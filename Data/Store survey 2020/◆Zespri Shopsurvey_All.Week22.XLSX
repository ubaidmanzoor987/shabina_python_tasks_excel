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codeName="ThisWorkbook" defaultThemeVersion="124226"/>
  <mc:AlternateContent xmlns:mc="http://schemas.openxmlformats.org/markup-compatibility/2006">
    <mc:Choice Requires="x15">
      <x15ac:absPath xmlns:x15ac="http://schemas.microsoft.com/office/spreadsheetml/2010/11/ac" url="\\192.168.11.200\000_全国共有\2-Zespri\品質調査\2020品質調査\22週\"/>
    </mc:Choice>
  </mc:AlternateContent>
  <xr:revisionPtr revIDLastSave="0" documentId="13_ncr:1_{59B64D3F-A5E8-4372-9E36-90B80BC40207}" xr6:coauthVersionLast="45" xr6:coauthVersionMax="45" xr10:uidLastSave="{00000000-0000-0000-0000-000000000000}"/>
  <bookViews>
    <workbookView xWindow="-120" yWindow="-120" windowWidth="29040" windowHeight="15840" xr2:uid="{00000000-000D-0000-FFFF-FFFF00000000}"/>
  </bookViews>
  <sheets>
    <sheet name="sapporo" sheetId="29" r:id="rId1"/>
    <sheet name="miyagi" sheetId="30" r:id="rId2"/>
    <sheet name="nagoya" sheetId="28" r:id="rId3"/>
    <sheet name="osaka" sheetId="24" r:id="rId4"/>
    <sheet name="hiroshima" sheetId="27" r:id="rId5"/>
    <sheet name="fukuoka" sheetId="26" r:id="rId6"/>
    <sheet name="tokyo-west(ota)" sheetId="23" r:id="rId7"/>
    <sheet name="tokyo-east(konishi)" sheetId="25" r:id="rId8"/>
  </sheets>
  <definedNames>
    <definedName name="_xlnm._FilterDatabase" localSheetId="5" hidden="1">fukuoka!$A$1:$BA$152</definedName>
    <definedName name="_xlnm._FilterDatabase" localSheetId="4" hidden="1">hiroshima!$A$1:$BA$151</definedName>
    <definedName name="_xlnm._FilterDatabase" localSheetId="1" hidden="1">miyagi!$A$1:$BA$163</definedName>
    <definedName name="_xlnm._FilterDatabase" localSheetId="2" hidden="1">nagoya!$A$1:$BA$142</definedName>
    <definedName name="_xlnm._FilterDatabase" localSheetId="3" hidden="1">osaka!$A$1:$BA$166</definedName>
    <definedName name="_xlnm._FilterDatabase" localSheetId="0" hidden="1">sapporo!$A$1:$BA$160</definedName>
    <definedName name="_xlnm._FilterDatabase" localSheetId="7" hidden="1">'tokyo-east(konishi)'!$A$1:$BA$154</definedName>
    <definedName name="_xlnm._FilterDatabase" localSheetId="6" hidden="1">'tokyo-west(ota)'!$A$1:$BA$181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23" i="25" l="1"/>
  <c r="T49" i="27" l="1"/>
  <c r="T163" i="30" l="1"/>
  <c r="V163" i="30" s="1"/>
  <c r="Q163" i="30"/>
  <c r="T162" i="30"/>
  <c r="V162" i="30" s="1"/>
  <c r="Q162" i="30"/>
  <c r="T161" i="30"/>
  <c r="V161" i="30" s="1"/>
  <c r="Q161" i="30"/>
  <c r="T160" i="30"/>
  <c r="V160" i="30" s="1"/>
  <c r="Q160" i="30"/>
  <c r="T159" i="30"/>
  <c r="V159" i="30" s="1"/>
  <c r="Q159" i="30"/>
  <c r="V158" i="30"/>
  <c r="T158" i="30"/>
  <c r="Q158" i="30"/>
  <c r="T157" i="30"/>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60" i="29" l="1"/>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42" i="28" l="1"/>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51" i="27"/>
  <c r="V151" i="27" s="1"/>
  <c r="Q151" i="27"/>
  <c r="T150" i="27"/>
  <c r="V150" i="27" s="1"/>
  <c r="Q150" i="27"/>
  <c r="T149" i="27"/>
  <c r="V149" i="27" s="1"/>
  <c r="Q149" i="27"/>
  <c r="T148" i="27"/>
  <c r="V148" i="27" s="1"/>
  <c r="Q148" i="27"/>
  <c r="T147" i="27"/>
  <c r="V147" i="27" s="1"/>
  <c r="Q147" i="27"/>
  <c r="T146" i="27"/>
  <c r="V146" i="27" s="1"/>
  <c r="Q146" i="27"/>
  <c r="T145" i="27"/>
  <c r="V145" i="27" s="1"/>
  <c r="Q145" i="27"/>
  <c r="T144" i="27"/>
  <c r="V144" i="27" s="1"/>
  <c r="Q144" i="27"/>
  <c r="T143" i="27"/>
  <c r="V143" i="27" s="1"/>
  <c r="Q143" i="27"/>
  <c r="T142" i="27"/>
  <c r="V142" i="27" s="1"/>
  <c r="Q142" i="27"/>
  <c r="T141" i="27"/>
  <c r="V141" i="27" s="1"/>
  <c r="Q141" i="27"/>
  <c r="T140" i="27"/>
  <c r="V140" i="27" s="1"/>
  <c r="Q140" i="27"/>
  <c r="T139" i="27"/>
  <c r="V139" i="27" s="1"/>
  <c r="Q139" i="27"/>
  <c r="T138" i="27"/>
  <c r="V138" i="27" s="1"/>
  <c r="Q138" i="27"/>
  <c r="T137" i="27"/>
  <c r="V137" i="27" s="1"/>
  <c r="Q137" i="27"/>
  <c r="T136" i="27"/>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V49" i="27"/>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V152" i="26" l="1"/>
  <c r="T152" i="26"/>
  <c r="Q152" i="26"/>
  <c r="V151" i="26"/>
  <c r="T151" i="26"/>
  <c r="Q151" i="26"/>
  <c r="V150" i="26"/>
  <c r="T150" i="26"/>
  <c r="Q150" i="26"/>
  <c r="V149" i="26"/>
  <c r="T149" i="26"/>
  <c r="Q149" i="26"/>
  <c r="V148" i="26"/>
  <c r="T148" i="26"/>
  <c r="Q148" i="26"/>
  <c r="V147" i="26"/>
  <c r="T147" i="26"/>
  <c r="Q147" i="26"/>
  <c r="V146" i="26"/>
  <c r="T146" i="26"/>
  <c r="Q146" i="26"/>
  <c r="V145" i="26"/>
  <c r="T145" i="26"/>
  <c r="Q145" i="26"/>
  <c r="V144" i="26"/>
  <c r="T144" i="26"/>
  <c r="Q144" i="26"/>
  <c r="V143" i="26"/>
  <c r="T143" i="26"/>
  <c r="Q143" i="26"/>
  <c r="V142" i="26"/>
  <c r="T142" i="26"/>
  <c r="Q142" i="26"/>
  <c r="V141" i="26"/>
  <c r="T141" i="26"/>
  <c r="Q141" i="26"/>
  <c r="V140" i="26"/>
  <c r="T140" i="26"/>
  <c r="Q140" i="26"/>
  <c r="V139" i="26"/>
  <c r="T139" i="26"/>
  <c r="Q139" i="26"/>
  <c r="V138" i="26"/>
  <c r="T138" i="26"/>
  <c r="Q138" i="26"/>
  <c r="V137" i="26"/>
  <c r="T137" i="26"/>
  <c r="Q137" i="26"/>
  <c r="V136" i="26"/>
  <c r="T136" i="26"/>
  <c r="Q136" i="26"/>
  <c r="V135" i="26"/>
  <c r="T135" i="26"/>
  <c r="Q135" i="26"/>
  <c r="V134" i="26"/>
  <c r="T134" i="26"/>
  <c r="Q134" i="26"/>
  <c r="V133" i="26"/>
  <c r="T133" i="26"/>
  <c r="Q133" i="26"/>
  <c r="V132" i="26"/>
  <c r="T132" i="26"/>
  <c r="Q132" i="26"/>
  <c r="V131" i="26"/>
  <c r="T131" i="26"/>
  <c r="Q131" i="26"/>
  <c r="V130" i="26"/>
  <c r="T130" i="26"/>
  <c r="Q130" i="26"/>
  <c r="V129" i="26"/>
  <c r="T129" i="26"/>
  <c r="Q129" i="26"/>
  <c r="V128" i="26"/>
  <c r="T128" i="26"/>
  <c r="Q128" i="26"/>
  <c r="V127" i="26"/>
  <c r="T127" i="26"/>
  <c r="Q127" i="26"/>
  <c r="V126" i="26"/>
  <c r="T126" i="26"/>
  <c r="Q126" i="26"/>
  <c r="V125" i="26"/>
  <c r="T125" i="26"/>
  <c r="Q125" i="26"/>
  <c r="V124" i="26"/>
  <c r="T124" i="26"/>
  <c r="Q124" i="26"/>
  <c r="V123" i="26"/>
  <c r="T123" i="26"/>
  <c r="Q123" i="26"/>
  <c r="V122" i="26"/>
  <c r="T122" i="26"/>
  <c r="Q122" i="26"/>
  <c r="V121" i="26"/>
  <c r="T121" i="26"/>
  <c r="Q121" i="26"/>
  <c r="V120" i="26"/>
  <c r="T120" i="26"/>
  <c r="Q120" i="26"/>
  <c r="V119" i="26"/>
  <c r="T119" i="26"/>
  <c r="Q119" i="26"/>
  <c r="V118" i="26"/>
  <c r="T118" i="26"/>
  <c r="Q118" i="26"/>
  <c r="V117" i="26"/>
  <c r="T117" i="26"/>
  <c r="Q117" i="26"/>
  <c r="V116" i="26"/>
  <c r="T116" i="26"/>
  <c r="Q116" i="26"/>
  <c r="V115" i="26"/>
  <c r="T115" i="26"/>
  <c r="Q115" i="26"/>
  <c r="V114" i="26"/>
  <c r="T114" i="26"/>
  <c r="Q114" i="26"/>
  <c r="V113" i="26"/>
  <c r="T113" i="26"/>
  <c r="Q113" i="26"/>
  <c r="V112" i="26"/>
  <c r="T112" i="26"/>
  <c r="Q112" i="26"/>
  <c r="V111" i="26"/>
  <c r="T111" i="26"/>
  <c r="Q111" i="26"/>
  <c r="V110" i="26"/>
  <c r="T110" i="26"/>
  <c r="Q110" i="26"/>
  <c r="V109" i="26"/>
  <c r="T109" i="26"/>
  <c r="Q109" i="26"/>
  <c r="V108" i="26"/>
  <c r="T108" i="26"/>
  <c r="Q108" i="26"/>
  <c r="V107" i="26"/>
  <c r="T107" i="26"/>
  <c r="Q107" i="26"/>
  <c r="V106" i="26"/>
  <c r="T106" i="26"/>
  <c r="Q106" i="26"/>
  <c r="V105" i="26"/>
  <c r="T105" i="26"/>
  <c r="Q105" i="26"/>
  <c r="V104" i="26"/>
  <c r="T104" i="26"/>
  <c r="Q104" i="26"/>
  <c r="V103" i="26"/>
  <c r="T103" i="26"/>
  <c r="Q103" i="26"/>
  <c r="V102" i="26"/>
  <c r="T102" i="26"/>
  <c r="Q102" i="26"/>
  <c r="V101" i="26"/>
  <c r="T101" i="26"/>
  <c r="Q101" i="26"/>
  <c r="V100" i="26"/>
  <c r="T100" i="26"/>
  <c r="Q100" i="26"/>
  <c r="V99" i="26"/>
  <c r="T99" i="26"/>
  <c r="Q99" i="26"/>
  <c r="V98" i="26"/>
  <c r="T98" i="26"/>
  <c r="Q98" i="26"/>
  <c r="V97" i="26"/>
  <c r="T97" i="26"/>
  <c r="Q97" i="26"/>
  <c r="V96" i="26"/>
  <c r="T96" i="26"/>
  <c r="Q96" i="26"/>
  <c r="V95" i="26"/>
  <c r="T95" i="26"/>
  <c r="Q95" i="26"/>
  <c r="V94" i="26"/>
  <c r="T94" i="26"/>
  <c r="Q94" i="26"/>
  <c r="V93" i="26"/>
  <c r="T93" i="26"/>
  <c r="Q93" i="26"/>
  <c r="V92" i="26"/>
  <c r="T92" i="26"/>
  <c r="Q92" i="26"/>
  <c r="V91" i="26"/>
  <c r="T91" i="26"/>
  <c r="Q91" i="26"/>
  <c r="V90" i="26"/>
  <c r="T90" i="26"/>
  <c r="Q90" i="26"/>
  <c r="V89" i="26"/>
  <c r="T89" i="26"/>
  <c r="Q89" i="26"/>
  <c r="V88" i="26"/>
  <c r="T88" i="26"/>
  <c r="Q88" i="26"/>
  <c r="V87" i="26"/>
  <c r="T87" i="26"/>
  <c r="Q87" i="26"/>
  <c r="V86" i="26"/>
  <c r="T86" i="26"/>
  <c r="Q86" i="26"/>
  <c r="V85" i="26"/>
  <c r="T85" i="26"/>
  <c r="Q85" i="26"/>
  <c r="V84" i="26"/>
  <c r="T84" i="26"/>
  <c r="Q84" i="26"/>
  <c r="V83" i="26"/>
  <c r="T83" i="26"/>
  <c r="Q83" i="26"/>
  <c r="V82" i="26"/>
  <c r="T82" i="26"/>
  <c r="Q82" i="26"/>
  <c r="V81" i="26"/>
  <c r="T81" i="26"/>
  <c r="Q81" i="26"/>
  <c r="V80" i="26"/>
  <c r="T80" i="26"/>
  <c r="Q80" i="26"/>
  <c r="V79" i="26"/>
  <c r="T79" i="26"/>
  <c r="Q79" i="26"/>
  <c r="V78" i="26"/>
  <c r="T78" i="26"/>
  <c r="Q78" i="26"/>
  <c r="V77" i="26"/>
  <c r="T77" i="26"/>
  <c r="Q77" i="26"/>
  <c r="V76" i="26"/>
  <c r="T76" i="26"/>
  <c r="Q76" i="26"/>
  <c r="V75" i="26"/>
  <c r="T75" i="26"/>
  <c r="Q75" i="26"/>
  <c r="V74" i="26"/>
  <c r="T74" i="26"/>
  <c r="Q74" i="26"/>
  <c r="V73" i="26"/>
  <c r="T73" i="26"/>
  <c r="Q73" i="26"/>
  <c r="V72" i="26"/>
  <c r="T72" i="26"/>
  <c r="Q72" i="26"/>
  <c r="V71" i="26"/>
  <c r="T71" i="26"/>
  <c r="Q71" i="26"/>
  <c r="V70" i="26"/>
  <c r="T70" i="26"/>
  <c r="Q70" i="26"/>
  <c r="V69" i="26"/>
  <c r="T69" i="26"/>
  <c r="Q69" i="26"/>
  <c r="V68" i="26"/>
  <c r="T68" i="26"/>
  <c r="Q68" i="26"/>
  <c r="V67" i="26"/>
  <c r="T67" i="26"/>
  <c r="Q67" i="26"/>
  <c r="V66" i="26"/>
  <c r="T66" i="26"/>
  <c r="Q66" i="26"/>
  <c r="V65" i="26"/>
  <c r="T65" i="26"/>
  <c r="Q65" i="26"/>
  <c r="V64" i="26"/>
  <c r="T64" i="26"/>
  <c r="Q64" i="26"/>
  <c r="V63" i="26"/>
  <c r="T63" i="26"/>
  <c r="Q63" i="26"/>
  <c r="V62" i="26"/>
  <c r="T62" i="26"/>
  <c r="Q62" i="26"/>
  <c r="V61" i="26"/>
  <c r="T61" i="26"/>
  <c r="Q61" i="26"/>
  <c r="V60" i="26"/>
  <c r="T60" i="26"/>
  <c r="Q60" i="26"/>
  <c r="V59" i="26"/>
  <c r="T59" i="26"/>
  <c r="Q59" i="26"/>
  <c r="V58" i="26"/>
  <c r="T58" i="26"/>
  <c r="Q58" i="26"/>
  <c r="V57" i="26"/>
  <c r="T57" i="26"/>
  <c r="Q57" i="26"/>
  <c r="V56" i="26"/>
  <c r="T56" i="26"/>
  <c r="Q56" i="26"/>
  <c r="V55" i="26"/>
  <c r="T55" i="26"/>
  <c r="Q55" i="26"/>
  <c r="V54" i="26"/>
  <c r="T54" i="26"/>
  <c r="Q54" i="26"/>
  <c r="V53" i="26"/>
  <c r="T53" i="26"/>
  <c r="Q53" i="26"/>
  <c r="V52" i="26"/>
  <c r="T52" i="26"/>
  <c r="Q52" i="26"/>
  <c r="V51" i="26"/>
  <c r="T51" i="26"/>
  <c r="Q51" i="26"/>
  <c r="V50" i="26"/>
  <c r="T50" i="26"/>
  <c r="Q50" i="26"/>
  <c r="V49" i="26"/>
  <c r="T49" i="26"/>
  <c r="Q49" i="26"/>
  <c r="V48" i="26"/>
  <c r="T48" i="26"/>
  <c r="Q48" i="26"/>
  <c r="V47" i="26"/>
  <c r="T47" i="26"/>
  <c r="Q47" i="26"/>
  <c r="V46" i="26"/>
  <c r="T46" i="26"/>
  <c r="Q46" i="26"/>
  <c r="V45" i="26"/>
  <c r="T45" i="26"/>
  <c r="Q45" i="26"/>
  <c r="V44" i="26"/>
  <c r="T44" i="26"/>
  <c r="Q44" i="26"/>
  <c r="V43" i="26"/>
  <c r="T43" i="26"/>
  <c r="Q43" i="26"/>
  <c r="V42" i="26"/>
  <c r="T42" i="26"/>
  <c r="Q42" i="26"/>
  <c r="V41" i="26"/>
  <c r="T41" i="26"/>
  <c r="Q41" i="26"/>
  <c r="V40" i="26"/>
  <c r="T40" i="26"/>
  <c r="Q40" i="26"/>
  <c r="V39" i="26"/>
  <c r="T39" i="26"/>
  <c r="Q39" i="26"/>
  <c r="V38" i="26"/>
  <c r="T38" i="26"/>
  <c r="Q38" i="26"/>
  <c r="V37" i="26"/>
  <c r="T37" i="26"/>
  <c r="Q37" i="26"/>
  <c r="V36" i="26"/>
  <c r="T36" i="26"/>
  <c r="Q36" i="26"/>
  <c r="V35" i="26"/>
  <c r="T35" i="26"/>
  <c r="Q35" i="26"/>
  <c r="V34" i="26"/>
  <c r="T34" i="26"/>
  <c r="Q34" i="26"/>
  <c r="V33" i="26"/>
  <c r="T33" i="26"/>
  <c r="Q33" i="26"/>
  <c r="V32" i="26"/>
  <c r="T32" i="26"/>
  <c r="Q32" i="26"/>
  <c r="V31" i="26"/>
  <c r="T31" i="26"/>
  <c r="Q31" i="26"/>
  <c r="V30" i="26"/>
  <c r="T30" i="26"/>
  <c r="Q30" i="26"/>
  <c r="V29" i="26"/>
  <c r="T29" i="26"/>
  <c r="Q29" i="26"/>
  <c r="V28" i="26"/>
  <c r="T28" i="26"/>
  <c r="Q28" i="26"/>
  <c r="V27" i="26"/>
  <c r="T27" i="26"/>
  <c r="Q27" i="26"/>
  <c r="V26" i="26"/>
  <c r="T26" i="26"/>
  <c r="Q26" i="26"/>
  <c r="V25" i="26"/>
  <c r="T25" i="26"/>
  <c r="Q25" i="26"/>
  <c r="V24" i="26"/>
  <c r="T24" i="26"/>
  <c r="Q24" i="26"/>
  <c r="V23" i="26"/>
  <c r="T23" i="26"/>
  <c r="Q23" i="26"/>
  <c r="V22" i="26"/>
  <c r="T22" i="26"/>
  <c r="Q22" i="26"/>
  <c r="V21" i="26"/>
  <c r="T21" i="26"/>
  <c r="Q21" i="26"/>
  <c r="V20" i="26"/>
  <c r="T20" i="26"/>
  <c r="Q20" i="26"/>
  <c r="V19" i="26"/>
  <c r="T19" i="26"/>
  <c r="Q19" i="26"/>
  <c r="V18" i="26"/>
  <c r="T18" i="26"/>
  <c r="Q18" i="26"/>
  <c r="V17" i="26"/>
  <c r="T17" i="26"/>
  <c r="Q17" i="26"/>
  <c r="V16" i="26"/>
  <c r="T16" i="26"/>
  <c r="Q16" i="26"/>
  <c r="V15" i="26"/>
  <c r="T15" i="26"/>
  <c r="Q15" i="26"/>
  <c r="V14" i="26"/>
  <c r="T14" i="26"/>
  <c r="Q14" i="26"/>
  <c r="V13" i="26"/>
  <c r="T13" i="26"/>
  <c r="Q13" i="26"/>
  <c r="V12" i="26"/>
  <c r="T12" i="26"/>
  <c r="Q12" i="26"/>
  <c r="V11" i="26"/>
  <c r="T11" i="26"/>
  <c r="Q11" i="26"/>
  <c r="V10" i="26"/>
  <c r="T10" i="26"/>
  <c r="Q10" i="26"/>
  <c r="V9" i="26"/>
  <c r="T9" i="26"/>
  <c r="Q9" i="26"/>
  <c r="V8" i="26"/>
  <c r="T8" i="26"/>
  <c r="Q8" i="26"/>
  <c r="V7" i="26"/>
  <c r="T7" i="26"/>
  <c r="Q7" i="26"/>
  <c r="V6" i="26"/>
  <c r="T6" i="26"/>
  <c r="Q6" i="26"/>
  <c r="V5" i="26"/>
  <c r="T5" i="26"/>
  <c r="Q5" i="26"/>
  <c r="V4" i="26"/>
  <c r="T4" i="26"/>
  <c r="Q4" i="26"/>
  <c r="V3" i="26"/>
  <c r="T3" i="26"/>
  <c r="Q3" i="26"/>
  <c r="V2" i="26"/>
  <c r="T2" i="26"/>
  <c r="Q2" i="26"/>
  <c r="T154" i="25" l="1"/>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V23" i="25"/>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6" i="24" l="1"/>
  <c r="V166" i="24" s="1"/>
  <c r="Q166" i="24"/>
  <c r="T165" i="24"/>
  <c r="V165" i="24" s="1"/>
  <c r="Q165" i="24"/>
  <c r="T164" i="24"/>
  <c r="V164" i="24" s="1"/>
  <c r="Q164" i="24"/>
  <c r="T163" i="24"/>
  <c r="V163" i="24" s="1"/>
  <c r="Q163" i="24"/>
  <c r="T162" i="24"/>
  <c r="V162" i="24" s="1"/>
  <c r="Q162" i="24"/>
  <c r="T161" i="24"/>
  <c r="V161" i="24" s="1"/>
  <c r="Q161" i="24"/>
  <c r="T160" i="24"/>
  <c r="V160" i="24" s="1"/>
  <c r="Q160" i="24"/>
  <c r="T159" i="24"/>
  <c r="V159" i="24" s="1"/>
  <c r="Q159" i="24"/>
  <c r="T158" i="24"/>
  <c r="V158" i="24" s="1"/>
  <c r="Q158" i="24"/>
  <c r="T157" i="24"/>
  <c r="V157" i="24" s="1"/>
  <c r="Q157" i="24"/>
  <c r="T156" i="24"/>
  <c r="V156" i="24" s="1"/>
  <c r="Q156" i="24"/>
  <c r="T155" i="24"/>
  <c r="V155" i="24" s="1"/>
  <c r="Q155" i="24"/>
  <c r="T154" i="24"/>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19" i="23" l="1"/>
  <c r="T89" i="23"/>
  <c r="T90" i="23"/>
  <c r="T91" i="23"/>
  <c r="T92" i="23"/>
  <c r="T93" i="23"/>
  <c r="T94" i="23"/>
  <c r="V94" i="23" s="1"/>
  <c r="T95" i="23"/>
  <c r="V95" i="23" s="1"/>
  <c r="T96" i="23"/>
  <c r="T97" i="23"/>
  <c r="V97" i="23" s="1"/>
  <c r="T98" i="23"/>
  <c r="V98" i="23" s="1"/>
  <c r="T99" i="23"/>
  <c r="V99" i="23" s="1"/>
  <c r="T100" i="23"/>
  <c r="V100" i="23" s="1"/>
  <c r="T101" i="23"/>
  <c r="T102" i="23"/>
  <c r="T103" i="23"/>
  <c r="T104" i="23"/>
  <c r="T105" i="23"/>
  <c r="T106" i="23"/>
  <c r="V106" i="23" s="1"/>
  <c r="T107" i="23"/>
  <c r="V107" i="23" s="1"/>
  <c r="T108" i="23"/>
  <c r="V108" i="23" s="1"/>
  <c r="T109" i="23"/>
  <c r="V109" i="23" s="1"/>
  <c r="T110" i="23"/>
  <c r="V110" i="23" s="1"/>
  <c r="T111" i="23"/>
  <c r="V111" i="23" s="1"/>
  <c r="T112" i="23"/>
  <c r="V112" i="23" s="1"/>
  <c r="T113" i="23"/>
  <c r="T114" i="23"/>
  <c r="T115" i="23"/>
  <c r="T116" i="23"/>
  <c r="T117" i="23"/>
  <c r="T118" i="23"/>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T150" i="23"/>
  <c r="T151" i="23"/>
  <c r="T152" i="23"/>
  <c r="V152" i="23" s="1"/>
  <c r="T153" i="23"/>
  <c r="T154" i="23"/>
  <c r="V154" i="23" s="1"/>
  <c r="T155" i="23"/>
  <c r="V155" i="23" s="1"/>
  <c r="T156" i="23"/>
  <c r="V156" i="23" s="1"/>
  <c r="T157" i="23"/>
  <c r="V157" i="23" s="1"/>
  <c r="T158" i="23"/>
  <c r="V158" i="23" s="1"/>
  <c r="T159" i="23"/>
  <c r="V159" i="23" s="1"/>
  <c r="T160" i="23"/>
  <c r="V160" i="23" s="1"/>
  <c r="T161" i="23"/>
  <c r="T162" i="23"/>
  <c r="T163" i="23"/>
  <c r="V163" i="23" s="1"/>
  <c r="T164" i="23"/>
  <c r="V164" i="23" s="1"/>
  <c r="T165" i="23"/>
  <c r="T166" i="23"/>
  <c r="V166" i="23" s="1"/>
  <c r="T167" i="23"/>
  <c r="V167" i="23" s="1"/>
  <c r="T168" i="23"/>
  <c r="V168" i="23" s="1"/>
  <c r="T169" i="23"/>
  <c r="V169" i="23" s="1"/>
  <c r="T170" i="23"/>
  <c r="V170" i="23" s="1"/>
  <c r="T171" i="23"/>
  <c r="V171" i="23" s="1"/>
  <c r="T172" i="23"/>
  <c r="V172" i="23" s="1"/>
  <c r="T173" i="23"/>
  <c r="T174" i="23"/>
  <c r="T175" i="23"/>
  <c r="V175" i="23" s="1"/>
  <c r="T176" i="23"/>
  <c r="V176" i="23" s="1"/>
  <c r="T177" i="23"/>
  <c r="V177" i="23" s="1"/>
  <c r="T178" i="23"/>
  <c r="T179" i="23"/>
  <c r="V179" i="23" s="1"/>
  <c r="T180" i="23"/>
  <c r="V180" i="23" s="1"/>
  <c r="V104" i="23"/>
  <c r="V105" i="23"/>
  <c r="V113" i="23"/>
  <c r="V114" i="23"/>
  <c r="V115" i="23"/>
  <c r="V116" i="23"/>
  <c r="V117" i="23"/>
  <c r="V118" i="23"/>
  <c r="V149" i="23"/>
  <c r="V150" i="23"/>
  <c r="V151" i="23"/>
  <c r="V153" i="23"/>
  <c r="V161" i="23"/>
  <c r="V162" i="23"/>
  <c r="V165" i="23"/>
  <c r="V173" i="23"/>
  <c r="V174" i="23"/>
  <c r="V178" i="23"/>
  <c r="Q104" i="23"/>
  <c r="Q105" i="23"/>
  <c r="Q106" i="23"/>
  <c r="Q107" i="23"/>
  <c r="Q108" i="23"/>
  <c r="Q109" i="23"/>
  <c r="Q110" i="23"/>
  <c r="Q111" i="23"/>
  <c r="Q112" i="23"/>
  <c r="Q113" i="23"/>
  <c r="Q114" i="23"/>
  <c r="Q115" i="23"/>
  <c r="Q116" i="23"/>
  <c r="Q117" i="23"/>
  <c r="Q118"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V103" i="23"/>
  <c r="Q103" i="23"/>
  <c r="V102" i="23"/>
  <c r="Q102" i="23"/>
  <c r="V101" i="23"/>
  <c r="Q101" i="23"/>
  <c r="Q100" i="23"/>
  <c r="Q99" i="23"/>
  <c r="Q98" i="23"/>
  <c r="Q97" i="23"/>
  <c r="V96" i="23"/>
  <c r="Q96" i="23"/>
  <c r="Q95" i="23"/>
  <c r="Q94" i="23"/>
  <c r="V93" i="23"/>
  <c r="Q93" i="23"/>
  <c r="V92" i="23"/>
  <c r="Q92" i="23"/>
  <c r="Q83" i="23"/>
  <c r="Q81" i="23"/>
  <c r="T66" i="23"/>
  <c r="Q42" i="23"/>
  <c r="T8" i="23" l="1"/>
  <c r="V91" i="23" l="1"/>
  <c r="Q91" i="23"/>
  <c r="V90" i="23"/>
  <c r="Q90" i="23"/>
  <c r="V89" i="23"/>
  <c r="Q89" i="23"/>
  <c r="T88" i="23"/>
  <c r="V88" i="23" s="1"/>
  <c r="Q88" i="23"/>
  <c r="T87" i="23"/>
  <c r="V87" i="23" s="1"/>
  <c r="Q87" i="23"/>
  <c r="T86" i="23"/>
  <c r="V86" i="23" s="1"/>
  <c r="Q86" i="23"/>
  <c r="T85" i="23"/>
  <c r="V85" i="23" s="1"/>
  <c r="Q85" i="23"/>
  <c r="T84" i="23"/>
  <c r="V84" i="23" s="1"/>
  <c r="Q84" i="23"/>
  <c r="T83" i="23"/>
  <c r="V83" i="23" s="1"/>
  <c r="T82" i="23"/>
  <c r="V82" i="23" s="1"/>
  <c r="Q82" i="23"/>
  <c r="T81" i="23"/>
  <c r="V81" i="23" s="1"/>
  <c r="T80" i="23"/>
  <c r="V80" i="23" s="1"/>
  <c r="Q80" i="23"/>
  <c r="T79" i="23"/>
  <c r="V79" i="23" s="1"/>
  <c r="Q79" i="23"/>
  <c r="T78" i="23"/>
  <c r="V78" i="23" s="1"/>
  <c r="Q78" i="23"/>
  <c r="V77" i="23"/>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V66" i="23"/>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V8" i="23"/>
  <c r="Q8" i="23"/>
  <c r="T7" i="23"/>
  <c r="V7" i="23" s="1"/>
  <c r="Q7" i="23"/>
  <c r="T6" i="23"/>
  <c r="V6" i="23" s="1"/>
  <c r="Q6" i="23"/>
  <c r="T5" i="23"/>
  <c r="V5" i="23" s="1"/>
  <c r="Q5" i="23"/>
  <c r="T4" i="23"/>
  <c r="V4" i="23" s="1"/>
  <c r="Q4" i="23"/>
  <c r="T3" i="23"/>
  <c r="V3" i="23" s="1"/>
  <c r="Q3" i="23"/>
  <c r="T2" i="23"/>
  <c r="V2" i="23" s="1"/>
  <c r="Q2" i="23"/>
</calcChain>
</file>

<file path=xl/sharedStrings.xml><?xml version="1.0" encoding="utf-8"?>
<sst xmlns="http://schemas.openxmlformats.org/spreadsheetml/2006/main" count="19283" uniqueCount="422">
  <si>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</si>
  <si>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</si>
  <si>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</si>
  <si>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</si>
  <si>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</si>
  <si>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</si>
  <si>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</si>
  <si>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</si>
  <si>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</si>
  <si>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</si>
  <si>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</si>
  <si>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</si>
  <si>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</si>
  <si>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</si>
  <si>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</si>
  <si>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</si>
  <si>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</si>
  <si>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</si>
  <si>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</si>
  <si>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</si>
  <si>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</si>
  <si>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</si>
  <si>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</si>
  <si>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</si>
  <si>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</si>
  <si>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</si>
  <si>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</si>
  <si>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</si>
  <si>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</si>
  <si>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</si>
  <si>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</si>
  <si>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</si>
  <si>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</si>
  <si>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</si>
  <si>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</si>
  <si>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</si>
  <si>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</si>
  <si>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</si>
  <si>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</si>
  <si>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</si>
  <si>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</si>
  <si>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</si>
  <si>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</si>
  <si>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</si>
  <si>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</si>
  <si>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</si>
  <si>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</si>
  <si>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</si>
  <si>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</si>
  <si>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</si>
  <si>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</si>
  <si>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</si>
  <si>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</si>
  <si>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</si>
  <si>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</si>
  <si>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</si>
  <si>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</si>
  <si>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</si>
  <si>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</si>
  <si>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</si>
  <si>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</si>
  <si>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</si>
  <si>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</si>
  <si>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</si>
  <si>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</si>
  <si>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</si>
  <si>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</si>
  <si>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</si>
  <si>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</si>
  <si>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</si>
  <si>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</si>
  <si>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</si>
  <si>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</si>
  <si>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</si>
  <si>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</si>
  <si>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</si>
  <si>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</si>
  <si>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</si>
  <si>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</si>
  <si>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</si>
  <si>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</si>
  <si>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</si>
  <si>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</si>
  <si>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</si>
  <si>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</si>
  <si>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</si>
  <si>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</si>
  <si>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</si>
  <si>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</si>
  <si>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</si>
  <si>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</si>
  <si>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</si>
  <si>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</si>
  <si>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</si>
  <si>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</si>
  <si>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</si>
  <si>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</si>
  <si>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</si>
  <si>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</si>
  <si>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</si>
  <si>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</si>
  <si>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</si>
  <si>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</si>
  <si>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</si>
  <si>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</si>
  <si>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</si>
  <si>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</si>
  <si>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</si>
  <si>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</si>
  <si>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</si>
  <si>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</si>
  <si>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</si>
  <si>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</si>
  <si>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</si>
  <si>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</si>
  <si>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</si>
  <si>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</si>
  <si>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</si>
  <si>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</si>
  <si>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</si>
  <si>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</si>
  <si>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</si>
  <si>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</si>
  <si>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</si>
  <si>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</si>
  <si>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</si>
  <si>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</si>
  <si>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</si>
  <si>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</si>
  <si>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</si>
  <si>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</si>
  <si>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</si>
  <si>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</si>
  <si>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</si>
  <si>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</si>
  <si>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</si>
  <si>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</si>
  <si>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</si>
  <si>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</si>
  <si>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</si>
  <si>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</si>
  <si>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</si>
  <si>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</si>
  <si>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</si>
  <si>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</si>
  <si>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</si>
  <si>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</si>
  <si>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</si>
  <si>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</si>
  <si>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</si>
  <si>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</si>
  <si>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</si>
  <si>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</si>
  <si>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</si>
  <si>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</si>
  <si>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</si>
  <si>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</si>
  <si>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</si>
  <si>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</si>
  <si>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</si>
  <si>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</si>
  <si>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</si>
  <si>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27.05.2020</t>
    <phoneticPr fontId="3"/>
  </si>
  <si>
    <t>オオゼキ</t>
  </si>
  <si>
    <t>GA</t>
  </si>
  <si>
    <t>HE</t>
  </si>
  <si>
    <t>OB</t>
  </si>
  <si>
    <t>HW</t>
    <phoneticPr fontId="3"/>
  </si>
  <si>
    <t>HE</t>
    <phoneticPr fontId="3"/>
  </si>
  <si>
    <t>保冷なし</t>
    <phoneticPr fontId="3"/>
  </si>
  <si>
    <t>ＩＹ</t>
  </si>
  <si>
    <t>マルエツ</t>
  </si>
  <si>
    <t>ライフ</t>
  </si>
  <si>
    <t>CK</t>
    <phoneticPr fontId="3"/>
  </si>
  <si>
    <t>サミット</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</si>
  <si>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</si>
  <si>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</si>
  <si>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</si>
  <si>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</si>
  <si>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</si>
  <si>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</si>
  <si>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</si>
  <si>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</si>
  <si>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</si>
  <si>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</si>
  <si>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</si>
  <si>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</si>
  <si>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charset val="128"/>
      </rPr>
      <t>最低重量</t>
    </r>
  </si>
  <si>
    <t>Green
Other
SIZE</t>
  </si>
  <si>
    <r>
      <rPr>
        <b/>
        <sz val="8"/>
        <rFont val="Arial"/>
        <family val="2"/>
      </rPr>
      <t xml:space="preserve">Gold
</t>
    </r>
    <r>
      <rPr>
        <b/>
        <sz val="8"/>
        <rFont val="ＭＳ Ｐゴシック"/>
        <charset val="128"/>
      </rPr>
      <t>最低重量</t>
    </r>
  </si>
  <si>
    <t>Gold
SIZE</t>
  </si>
  <si>
    <t>JP</t>
  </si>
  <si>
    <t>29.05.2020</t>
  </si>
  <si>
    <t>コノミヤ</t>
  </si>
  <si>
    <t>深井店</t>
  </si>
  <si>
    <t>JPY</t>
  </si>
  <si>
    <t>西友</t>
  </si>
  <si>
    <t>上野芝店</t>
  </si>
  <si>
    <t>その他グリーン</t>
  </si>
  <si>
    <t>デイリーカナート</t>
  </si>
  <si>
    <t>向ヶ丘店</t>
  </si>
  <si>
    <t>その他ゴールド</t>
  </si>
  <si>
    <t>松源</t>
  </si>
  <si>
    <t>北条店</t>
  </si>
  <si>
    <t>その他レッド</t>
  </si>
  <si>
    <t>減農薬栽培</t>
  </si>
  <si>
    <t>D'lish</t>
  </si>
  <si>
    <t>中国</t>
  </si>
  <si>
    <t>石津店</t>
  </si>
  <si>
    <t>Del Monte</t>
  </si>
  <si>
    <t>キンショー</t>
  </si>
  <si>
    <t>東湊店</t>
  </si>
  <si>
    <t>GK</t>
  </si>
  <si>
    <t>万代</t>
  </si>
  <si>
    <t>長野</t>
  </si>
  <si>
    <t>イズミヤ</t>
  </si>
  <si>
    <t>泉北店</t>
  </si>
  <si>
    <t>岩手</t>
  </si>
  <si>
    <t>ダイエーグルメシティ</t>
  </si>
  <si>
    <t>RD</t>
  </si>
  <si>
    <t>長崎</t>
  </si>
  <si>
    <t>福島</t>
  </si>
  <si>
    <t>和歌山</t>
  </si>
  <si>
    <t>イトーヨーカドー</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</si>
  <si>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</si>
  <si>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</si>
  <si>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</si>
  <si>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</si>
  <si>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</si>
  <si>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</si>
  <si>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</si>
  <si>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</si>
  <si>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</si>
  <si>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</si>
  <si>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</si>
  <si>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</si>
  <si>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</si>
  <si>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</si>
  <si>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</si>
  <si>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</si>
  <si>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</si>
  <si>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</si>
  <si>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</si>
  <si>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</si>
  <si>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</si>
  <si>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</si>
  <si>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</si>
  <si>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</si>
  <si>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栃木</t>
  </si>
  <si>
    <t>ＪＡ栃木</t>
  </si>
  <si>
    <t>愛知</t>
  </si>
  <si>
    <t>ＪＡ愛知</t>
  </si>
  <si>
    <t>U/P JPY</t>
    <phoneticPr fontId="4"/>
  </si>
  <si>
    <t>２番人気
果実</t>
    <phoneticPr fontId="3"/>
  </si>
  <si>
    <t>25.05.2020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</si>
  <si>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</si>
  <si>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</si>
  <si>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</si>
  <si>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</si>
  <si>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</si>
  <si>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</si>
  <si>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</si>
  <si>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</si>
  <si>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</si>
  <si>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</si>
  <si>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</si>
  <si>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</si>
  <si>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</si>
  <si>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</si>
  <si>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</si>
  <si>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</si>
  <si>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</si>
  <si>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</si>
  <si>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</si>
  <si>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</si>
  <si>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</si>
  <si>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</si>
  <si>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</si>
  <si>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</si>
  <si>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</si>
  <si>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</si>
  <si>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</si>
  <si>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</si>
  <si>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</si>
  <si>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販売
ユニット
個数</t>
    <phoneticPr fontId="4"/>
  </si>
  <si>
    <t>マルショク</t>
  </si>
  <si>
    <t>野間大池</t>
    <rPh sb="0" eb="2">
      <t>ノマ</t>
    </rPh>
    <rPh sb="2" eb="4">
      <t>オオイケ</t>
    </rPh>
    <phoneticPr fontId="3"/>
  </si>
  <si>
    <t>サニー</t>
  </si>
  <si>
    <t>野間</t>
    <rPh sb="0" eb="2">
      <t>ノマ</t>
    </rPh>
    <phoneticPr fontId="3"/>
  </si>
  <si>
    <t>一般栽培</t>
    <phoneticPr fontId="4"/>
  </si>
  <si>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</si>
  <si>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</si>
  <si>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</si>
  <si>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</si>
  <si>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</si>
  <si>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</si>
  <si>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</si>
  <si>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</si>
  <si>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</si>
  <si>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</si>
  <si>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</si>
  <si>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</si>
  <si>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</si>
  <si>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</si>
  <si>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</si>
  <si>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</si>
  <si>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</si>
  <si>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</si>
  <si>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</si>
  <si>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</si>
  <si>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</si>
  <si>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</si>
  <si>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</si>
  <si>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</si>
  <si>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</si>
  <si>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</si>
  <si>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</si>
  <si>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</si>
  <si>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</si>
  <si>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</si>
  <si>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</si>
  <si>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</si>
  <si>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</si>
  <si>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</si>
  <si>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</si>
  <si>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</si>
  <si>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</si>
  <si>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チェーン名</t>
    <phoneticPr fontId="3"/>
  </si>
  <si>
    <t>品種</t>
    <phoneticPr fontId="3"/>
  </si>
  <si>
    <t>JP</t>
    <phoneticPr fontId="4"/>
  </si>
  <si>
    <t>27.05.2020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</si>
  <si>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</si>
  <si>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</si>
  <si>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</si>
  <si>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</si>
  <si>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</si>
  <si>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</si>
  <si>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</si>
  <si>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</si>
  <si>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</si>
  <si>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</si>
  <si>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</si>
  <si>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</si>
  <si>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</si>
  <si>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</si>
  <si>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</si>
  <si>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</si>
  <si>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</si>
  <si>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</si>
  <si>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</si>
  <si>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</si>
  <si>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</si>
  <si>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</si>
  <si>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</si>
  <si>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</si>
  <si>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</si>
  <si>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</si>
  <si>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</si>
  <si>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</si>
  <si>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</si>
  <si>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</si>
  <si>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</si>
  <si>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</si>
  <si>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</si>
  <si>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</si>
  <si>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</si>
  <si>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</si>
  <si>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</si>
  <si>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</si>
  <si>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</si>
  <si>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28.05.2020</t>
  </si>
  <si>
    <t>旬楽膳</t>
  </si>
  <si>
    <t>長久手店</t>
  </si>
  <si>
    <t>フェルナ</t>
  </si>
  <si>
    <t>段の上店</t>
  </si>
  <si>
    <t>アオキスーパー</t>
  </si>
  <si>
    <t>日進店</t>
  </si>
  <si>
    <t>ピアゴ</t>
  </si>
  <si>
    <t>長久手南店</t>
  </si>
  <si>
    <t>カネスエ</t>
  </si>
  <si>
    <t>アピタ</t>
  </si>
  <si>
    <t>藤が丘店</t>
  </si>
  <si>
    <t>カネトク</t>
  </si>
  <si>
    <t>宮の沢店</t>
    <rPh sb="0" eb="1">
      <t>ミヤ</t>
    </rPh>
    <rPh sb="2" eb="3">
      <t>サワ</t>
    </rPh>
    <rPh sb="3" eb="4">
      <t>テン</t>
    </rPh>
    <phoneticPr fontId="3"/>
  </si>
  <si>
    <t>コープさっぽろ</t>
  </si>
  <si>
    <t>西宮の沢店</t>
    <rPh sb="0" eb="2">
      <t>ニシミヤ</t>
    </rPh>
    <rPh sb="3" eb="4">
      <t>サワ</t>
    </rPh>
    <rPh sb="4" eb="5">
      <t>テン</t>
    </rPh>
    <phoneticPr fontId="3"/>
  </si>
  <si>
    <t>25.05.2020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</si>
  <si>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</si>
  <si>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</si>
  <si>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</si>
  <si>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</si>
  <si>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</si>
  <si>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</si>
  <si>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</si>
  <si>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</si>
  <si>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</si>
  <si>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</si>
  <si>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</si>
  <si>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</si>
  <si>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</si>
  <si>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</si>
  <si>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Green
Other
最低重量</t>
  </si>
  <si>
    <t>Gold
最低重量</t>
  </si>
  <si>
    <t>26.05.2020</t>
  </si>
  <si>
    <t>利府店</t>
  </si>
  <si>
    <t>みやぎ生協</t>
  </si>
  <si>
    <t>杉の入店</t>
  </si>
  <si>
    <t>ウジエ</t>
  </si>
  <si>
    <t>塩釜店</t>
  </si>
  <si>
    <t>ザ・ビッグ</t>
  </si>
  <si>
    <t>ヤマザワ</t>
  </si>
  <si>
    <t>多賀城店</t>
  </si>
  <si>
    <t>ヨークベニマル</t>
  </si>
  <si>
    <t>塩釜北浜店</t>
  </si>
  <si>
    <t>塩釜中の島店</t>
  </si>
  <si>
    <t>高砂駅前店</t>
  </si>
  <si>
    <t>MIKO</t>
  </si>
  <si>
    <t>JP</t>
    <phoneticPr fontId="14"/>
  </si>
  <si>
    <t>ﾆｭｰｼﾞｰﾗﾝﾄﾞ</t>
    <phoneticPr fontId="3"/>
  </si>
  <si>
    <t>28.05.2020</t>
    <phoneticPr fontId="3"/>
  </si>
  <si>
    <t>Zespri</t>
    <phoneticPr fontId="3"/>
  </si>
  <si>
    <t>Weight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</si>
</sst>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27"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name val="ＭＳ Ｐゴシック"/>
      <charset val="128"/>
    </font>
    <font>
      <sz val="9"/>
      <name val="ＭＳ Ｐゴシック"/>
      <charset val="128"/>
    </font>
    <font>
      <sz val="9"/>
      <color indexed="8"/>
      <name val="ＭＳ Ｐゴシック"/>
      <charset val="128"/>
    </font>
    <font>
      <b/>
      <sz val="8"/>
      <name val="ＭＳ Ｐゴシック"/>
      <charset val="128"/>
    </font>
    <font>
      <sz val="10"/>
      <name val="ＭＳ Ｐゴシック"/>
      <charset val="128"/>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
      <sz val="9"/>
      <color theme="1"/>
      <name val="ＭＳ Ｐゴシック"/>
      <family val="3"/>
      <charset val="128"/>
    </font>
    <font>
      <sz val="11"/>
      <color theme="1"/>
      <name val="ＭＳ Ｐゴシック"/>
      <family val="3"/>
      <charset val="128"/>
    </font>
    <font>
      <b/>
      <sz val="8"/>
      <color theme="1"/>
      <name val="ＭＳ Ｐゴシック"/>
      <family val="3"/>
      <charset val="128"/>
    </font>
    <font>
      <sz val="10"/>
      <color theme="1"/>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5" fillId="0" borderId="0">
      <alignment vertical="center"/>
    </xf>
    <xf numFmtId="0" fontId="15" fillId="0" borderId="0"/>
  </cellStyleXfs>
  <cellXfs count="23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177" fontId="1" fillId="2" borderId="0" xfId="1" applyNumberFormat="1" applyFont="1" applyFill="1"/>
    <xf numFmtId="0" fontId="1" fillId="2" borderId="0" xfId="1" applyFont="1" applyFill="1"/>
    <xf numFmtId="0" fontId="1" fillId="0" borderId="31" xfId="1" applyFont="1" applyBorder="1"/>
    <xf numFmtId="0" fontId="1" fillId="3" borderId="0" xfId="1" applyFont="1" applyFill="1" applyBorder="1"/>
    <xf numFmtId="0" fontId="1" fillId="0" borderId="32" xfId="1" applyFont="1" applyBorder="1"/>
    <xf numFmtId="0" fontId="1" fillId="4" borderId="33" xfId="1" applyFont="1" applyFill="1" applyBorder="1"/>
    <xf numFmtId="0" fontId="1" fillId="4" borderId="0" xfId="1" applyFont="1" applyFill="1"/>
    <xf numFmtId="49" fontId="16" fillId="6" borderId="1" xfId="8" applyNumberFormat="1" applyFont="1" applyFill="1" applyBorder="1" applyAlignment="1">
      <alignment horizontal="center" vertical="center" wrapText="1"/>
    </xf>
    <xf numFmtId="49" fontId="16" fillId="0" borderId="2" xfId="8" applyNumberFormat="1" applyFont="1" applyBorder="1" applyAlignment="1">
      <alignment horizontal="center" vertical="center" wrapText="1"/>
    </xf>
    <xf numFmtId="49" fontId="16" fillId="0" borderId="3" xfId="8" applyNumberFormat="1" applyFont="1" applyBorder="1" applyAlignment="1">
      <alignment horizontal="center" vertical="center" wrapText="1"/>
    </xf>
    <xf numFmtId="49" fontId="16" fillId="6" borderId="3" xfId="8" applyNumberFormat="1" applyFont="1" applyFill="1" applyBorder="1" applyAlignment="1">
      <alignment horizontal="center" vertical="center" wrapText="1"/>
    </xf>
    <xf numFmtId="49" fontId="16" fillId="5" borderId="3" xfId="9" applyNumberFormat="1" applyFont="1" applyFill="1" applyBorder="1" applyAlignment="1">
      <alignment horizontal="center" vertical="center" wrapText="1"/>
    </xf>
    <xf numFmtId="49" fontId="16" fillId="2" borderId="3" xfId="8" applyNumberFormat="1" applyFont="1" applyFill="1" applyBorder="1" applyAlignment="1">
      <alignment horizontal="center" vertical="center" wrapText="1"/>
    </xf>
    <xf numFmtId="49" fontId="5" fillId="0" borderId="3" xfId="8" applyNumberFormat="1" applyFont="1" applyBorder="1" applyAlignment="1">
      <alignment horizontal="center" vertical="center" wrapText="1"/>
    </xf>
    <xf numFmtId="49" fontId="17" fillId="2" borderId="3" xfId="8" applyNumberFormat="1" applyFont="1" applyFill="1" applyBorder="1" applyAlignment="1">
      <alignment horizontal="center" vertical="center" wrapText="1"/>
    </xf>
    <xf numFmtId="49" fontId="16" fillId="6" borderId="4" xfId="8" applyNumberFormat="1" applyFont="1" applyFill="1" applyBorder="1" applyAlignment="1">
      <alignment horizontal="center" vertical="center" wrapText="1"/>
    </xf>
    <xf numFmtId="49" fontId="7" fillId="0" borderId="5" xfId="8" applyNumberFormat="1" applyFont="1" applyBorder="1" applyAlignment="1">
      <alignment horizontal="center" vertical="center" wrapText="1"/>
    </xf>
    <xf numFmtId="0" fontId="15" fillId="0" borderId="0" xfId="8" applyAlignment="1"/>
    <xf numFmtId="49" fontId="18" fillId="0" borderId="6" xfId="8" applyNumberFormat="1" applyFont="1" applyBorder="1" applyAlignment="1">
      <alignment horizontal="center" vertical="center" wrapText="1"/>
    </xf>
    <xf numFmtId="49" fontId="7" fillId="0" borderId="0" xfId="8" applyNumberFormat="1" applyFont="1" applyAlignment="1">
      <alignment horizontal="center" vertical="center" wrapText="1"/>
    </xf>
    <xf numFmtId="0" fontId="18" fillId="0" borderId="6" xfId="8" applyFont="1" applyBorder="1" applyAlignment="1">
      <alignment horizontal="center" vertical="center"/>
    </xf>
    <xf numFmtId="0" fontId="18" fillId="0" borderId="6" xfId="8" applyFont="1" applyBorder="1" applyAlignment="1">
      <alignment horizontal="center" vertical="center" wrapText="1"/>
    </xf>
    <xf numFmtId="0" fontId="9" fillId="0" borderId="1" xfId="8" applyFont="1" applyBorder="1" applyAlignment="1">
      <alignment horizontal="center" vertical="center" wrapText="1"/>
    </xf>
    <xf numFmtId="0" fontId="9" fillId="0" borderId="3" xfId="8" applyFont="1" applyBorder="1" applyAlignment="1">
      <alignment horizontal="center" vertical="center" wrapText="1"/>
    </xf>
    <xf numFmtId="0" fontId="9" fillId="0" borderId="4" xfId="8" applyFont="1" applyBorder="1" applyAlignment="1">
      <alignment horizontal="center" vertical="center" wrapText="1"/>
    </xf>
    <xf numFmtId="14" fontId="15" fillId="0" borderId="0" xfId="8" applyNumberFormat="1" applyAlignment="1"/>
    <xf numFmtId="0" fontId="15" fillId="0" borderId="0" xfId="9"/>
    <xf numFmtId="178" fontId="15" fillId="2" borderId="0" xfId="8" applyNumberFormat="1" applyFill="1" applyAlignment="1"/>
    <xf numFmtId="0" fontId="15" fillId="2" borderId="0" xfId="8" applyFill="1" applyAlignment="1"/>
    <xf numFmtId="179" fontId="15" fillId="2" borderId="0" xfId="8" applyNumberFormat="1" applyFill="1" applyAlignment="1"/>
    <xf numFmtId="0" fontId="19" fillId="0" borderId="7" xfId="8" applyFont="1" applyBorder="1" applyAlignment="1"/>
    <xf numFmtId="0" fontId="15" fillId="0" borderId="8" xfId="8" applyBorder="1" applyAlignment="1"/>
    <xf numFmtId="0" fontId="15" fillId="0" borderId="7" xfId="8" applyBorder="1" applyAlignment="1"/>
    <xf numFmtId="0" fontId="15" fillId="0" borderId="9" xfId="8" applyBorder="1" applyAlignment="1">
      <alignment wrapText="1"/>
    </xf>
    <xf numFmtId="0" fontId="15" fillId="0" borderId="10" xfId="8" applyBorder="1" applyAlignment="1">
      <alignment wrapText="1"/>
    </xf>
    <xf numFmtId="0" fontId="15" fillId="0" borderId="11" xfId="8" applyBorder="1" applyAlignment="1">
      <alignment wrapText="1"/>
    </xf>
    <xf numFmtId="0" fontId="19" fillId="0" borderId="12" xfId="8" applyFont="1" applyBorder="1" applyAlignment="1"/>
    <xf numFmtId="0" fontId="15" fillId="0" borderId="12" xfId="8" applyBorder="1" applyAlignment="1"/>
    <xf numFmtId="0" fontId="15" fillId="0" borderId="13" xfId="8" applyBorder="1" applyAlignment="1">
      <alignment wrapText="1"/>
    </xf>
    <xf numFmtId="0" fontId="15" fillId="0" borderId="14" xfId="8" applyBorder="1" applyAlignment="1">
      <alignment wrapText="1"/>
    </xf>
    <xf numFmtId="0" fontId="15" fillId="0" borderId="15" xfId="8" applyBorder="1" applyAlignment="1">
      <alignment wrapText="1"/>
    </xf>
    <xf numFmtId="0" fontId="15" fillId="0" borderId="16" xfId="8" applyBorder="1" applyAlignment="1"/>
    <xf numFmtId="0" fontId="15" fillId="0" borderId="17" xfId="8" applyBorder="1" applyAlignment="1"/>
    <xf numFmtId="0" fontId="15" fillId="0" borderId="18" xfId="8" applyBorder="1" applyAlignment="1"/>
    <xf numFmtId="0" fontId="15" fillId="0" borderId="12" xfId="9" applyBorder="1"/>
    <xf numFmtId="0" fontId="15" fillId="0" borderId="19" xfId="8" applyBorder="1" applyAlignment="1">
      <alignment wrapText="1"/>
    </xf>
    <xf numFmtId="0" fontId="15" fillId="0" borderId="20" xfId="8" applyBorder="1" applyAlignment="1">
      <alignment wrapText="1"/>
    </xf>
    <xf numFmtId="0" fontId="15" fillId="0" borderId="21" xfId="8" applyBorder="1" applyAlignment="1">
      <alignment wrapText="1"/>
    </xf>
    <xf numFmtId="0" fontId="19" fillId="0" borderId="16" xfId="8" applyFont="1" applyBorder="1" applyAlignment="1"/>
    <xf numFmtId="0" fontId="15" fillId="0" borderId="16" xfId="9" applyBorder="1"/>
    <xf numFmtId="0" fontId="15" fillId="0" borderId="17" xfId="9"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0" fillId="0" borderId="7" xfId="1" applyFont="1" applyBorder="1"/>
    <xf numFmtId="0" fontId="1" fillId="0" borderId="7" xfId="1" applyBorder="1" applyProtection="1">
      <protection locked="0"/>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 fillId="0" borderId="8" xfId="1" applyBorder="1" applyProtection="1">
      <protection locked="0"/>
    </xf>
    <xf numFmtId="0" fontId="1" fillId="0" borderId="18" xfId="1" applyBorder="1"/>
    <xf numFmtId="0" fontId="11" fillId="0" borderId="0" xfId="7">
      <alignment vertical="center"/>
    </xf>
    <xf numFmtId="0" fontId="1" fillId="0" borderId="0" xfId="1" applyAlignment="1">
      <alignment horizontal="center"/>
    </xf>
    <xf numFmtId="14" fontId="20" fillId="0" borderId="0" xfId="1" applyNumberFormat="1" applyFont="1" applyAlignment="1">
      <alignment horizontal="center"/>
    </xf>
    <xf numFmtId="0" fontId="21" fillId="0" borderId="1" xfId="0" applyFont="1" applyBorder="1">
      <alignment vertical="center"/>
    </xf>
    <xf numFmtId="0" fontId="22" fillId="0" borderId="4" xfId="0" applyFont="1" applyBorder="1">
      <alignment vertical="center"/>
    </xf>
    <xf numFmtId="0" fontId="22" fillId="0" borderId="1" xfId="0" applyFont="1" applyBorder="1">
      <alignment vertical="center"/>
    </xf>
    <xf numFmtId="0" fontId="20" fillId="0" borderId="0" xfId="1" applyFont="1"/>
    <xf numFmtId="0" fontId="22"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20" fillId="0" borderId="0" xfId="1" applyNumberFormat="1" applyFont="1"/>
    <xf numFmtId="0" fontId="1" fillId="0" borderId="12" xfId="1" applyBorder="1" applyAlignment="1">
      <alignment shrinkToFit="1"/>
    </xf>
    <xf numFmtId="0" fontId="11" fillId="0" borderId="0" xfId="2">
      <alignment vertical="center"/>
    </xf>
    <xf numFmtId="56" fontId="1" fillId="0" borderId="0" xfId="1" applyNumberFormat="1"/>
    <xf numFmtId="178" fontId="1" fillId="3" borderId="0" xfId="1" applyNumberFormat="1" applyFill="1" applyAlignment="1">
      <alignment horizontal="right"/>
    </xf>
    <xf numFmtId="0" fontId="1" fillId="3" borderId="0" xfId="1" applyFill="1"/>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xf numFmtId="49" fontId="23" fillId="5" borderId="1" xfId="1" applyNumberFormat="1" applyFont="1" applyFill="1" applyBorder="1" applyAlignment="1">
      <alignment horizontal="center" vertical="center" wrapText="1"/>
    </xf>
    <xf numFmtId="49" fontId="23" fillId="0" borderId="2" xfId="1" applyNumberFormat="1" applyFont="1" applyBorder="1" applyAlignment="1">
      <alignment horizontal="center" vertical="center" wrapText="1"/>
    </xf>
    <xf numFmtId="49" fontId="23" fillId="0" borderId="3" xfId="1" applyNumberFormat="1" applyFont="1" applyBorder="1" applyAlignment="1">
      <alignment horizontal="center" vertical="center" wrapText="1"/>
    </xf>
    <xf numFmtId="49" fontId="23" fillId="5" borderId="3" xfId="1" applyNumberFormat="1" applyFont="1" applyFill="1" applyBorder="1" applyAlignment="1">
      <alignment horizontal="center" vertical="center" wrapText="1"/>
    </xf>
    <xf numFmtId="49" fontId="23" fillId="3" borderId="3" xfId="1" applyNumberFormat="1" applyFont="1" applyFill="1" applyBorder="1" applyAlignment="1">
      <alignment horizontal="center" vertical="center" wrapText="1"/>
    </xf>
    <xf numFmtId="0" fontId="23" fillId="3" borderId="3" xfId="1" applyFont="1" applyFill="1" applyBorder="1" applyAlignment="1">
      <alignment horizontal="center" vertical="center" wrapText="1"/>
    </xf>
    <xf numFmtId="49" fontId="23" fillId="5" borderId="4" xfId="1" applyNumberFormat="1" applyFont="1" applyFill="1" applyBorder="1" applyAlignment="1">
      <alignment horizontal="center" vertical="center" wrapText="1"/>
    </xf>
    <xf numFmtId="0" fontId="24" fillId="0" borderId="0" xfId="1" applyFont="1"/>
    <xf numFmtId="49" fontId="25" fillId="0" borderId="6" xfId="1" applyNumberFormat="1" applyFont="1" applyBorder="1" applyAlignment="1">
      <alignment horizontal="center" vertical="center" wrapText="1"/>
    </xf>
    <xf numFmtId="49" fontId="25" fillId="0" borderId="0" xfId="1" applyNumberFormat="1" applyFont="1" applyAlignment="1">
      <alignment horizontal="center" vertical="center" wrapText="1"/>
    </xf>
    <xf numFmtId="0" fontId="25" fillId="0" borderId="6" xfId="1" applyFont="1" applyBorder="1" applyAlignment="1">
      <alignment horizontal="center" vertical="center"/>
    </xf>
    <xf numFmtId="0" fontId="25" fillId="0" borderId="6" xfId="1" applyFont="1" applyBorder="1" applyAlignment="1">
      <alignment horizontal="center" vertical="center" wrapText="1"/>
    </xf>
    <xf numFmtId="0" fontId="25" fillId="0" borderId="1" xfId="1" applyFont="1" applyBorder="1" applyAlignment="1">
      <alignment horizontal="center" vertical="center" wrapText="1"/>
    </xf>
    <xf numFmtId="0" fontId="25" fillId="0" borderId="3" xfId="1" applyFont="1" applyBorder="1" applyAlignment="1">
      <alignment horizontal="center" vertical="center" wrapText="1"/>
    </xf>
    <xf numFmtId="0" fontId="25" fillId="0" borderId="4" xfId="1" applyFont="1" applyBorder="1" applyAlignment="1">
      <alignment horizontal="center" vertical="center" wrapText="1"/>
    </xf>
    <xf numFmtId="56" fontId="24" fillId="0" borderId="0" xfId="1" applyNumberFormat="1" applyFont="1"/>
    <xf numFmtId="177" fontId="24" fillId="3" borderId="0" xfId="1" applyNumberFormat="1" applyFont="1" applyFill="1"/>
    <xf numFmtId="0" fontId="24" fillId="2" borderId="0" xfId="1" applyFont="1" applyFill="1"/>
    <xf numFmtId="0" fontId="26" fillId="0" borderId="7" xfId="1" applyFont="1" applyBorder="1"/>
    <xf numFmtId="0" fontId="26" fillId="0" borderId="37" xfId="2" applyFont="1" applyBorder="1" applyAlignment="1">
      <alignment horizontal="center" vertical="center"/>
    </xf>
    <xf numFmtId="0" fontId="26" fillId="0" borderId="38" xfId="2" applyFont="1" applyBorder="1" applyAlignment="1">
      <alignment horizontal="center" vertical="center"/>
    </xf>
    <xf numFmtId="0" fontId="24" fillId="0" borderId="8" xfId="1" applyFont="1" applyBorder="1"/>
    <xf numFmtId="0" fontId="24" fillId="0" borderId="7" xfId="1" applyFont="1" applyBorder="1"/>
    <xf numFmtId="0" fontId="24" fillId="0" borderId="9" xfId="1" applyFont="1" applyBorder="1" applyAlignment="1">
      <alignment wrapText="1"/>
    </xf>
    <xf numFmtId="0" fontId="24" fillId="0" borderId="10" xfId="1" applyFont="1" applyBorder="1" applyAlignment="1">
      <alignment wrapText="1"/>
    </xf>
    <xf numFmtId="0" fontId="24" fillId="0" borderId="11" xfId="1" applyFont="1" applyBorder="1" applyAlignment="1">
      <alignment wrapText="1"/>
    </xf>
    <xf numFmtId="0" fontId="26" fillId="0" borderId="12" xfId="1" applyFont="1" applyBorder="1"/>
    <xf numFmtId="0" fontId="26" fillId="0" borderId="12" xfId="2" applyFont="1" applyBorder="1" applyAlignment="1">
      <alignment horizontal="center" vertical="center"/>
    </xf>
    <xf numFmtId="0" fontId="24" fillId="0" borderId="12" xfId="1" applyFont="1" applyBorder="1"/>
    <xf numFmtId="0" fontId="24" fillId="0" borderId="13" xfId="1" applyFont="1" applyBorder="1" applyAlignment="1">
      <alignment wrapText="1"/>
    </xf>
    <xf numFmtId="0" fontId="24" fillId="0" borderId="14" xfId="1" applyFont="1" applyBorder="1" applyAlignment="1">
      <alignment wrapText="1"/>
    </xf>
    <xf numFmtId="0" fontId="24" fillId="0" borderId="15" xfId="1" applyFont="1" applyBorder="1" applyAlignment="1">
      <alignment wrapText="1"/>
    </xf>
    <xf numFmtId="0" fontId="24" fillId="0" borderId="16" xfId="1" applyFont="1" applyBorder="1"/>
    <xf numFmtId="0" fontId="24" fillId="0" borderId="17" xfId="1" applyFont="1" applyBorder="1"/>
    <xf numFmtId="0" fontId="24" fillId="0" borderId="18" xfId="1" applyFont="1" applyBorder="1"/>
    <xf numFmtId="0" fontId="24" fillId="3" borderId="0" xfId="1" applyFont="1" applyFill="1"/>
    <xf numFmtId="0" fontId="24" fillId="0" borderId="19" xfId="1" applyFont="1" applyBorder="1" applyAlignment="1">
      <alignment wrapText="1"/>
    </xf>
    <xf numFmtId="0" fontId="24" fillId="0" borderId="20" xfId="1" applyFont="1" applyBorder="1" applyAlignment="1">
      <alignment wrapText="1"/>
    </xf>
    <xf numFmtId="0" fontId="24" fillId="0" borderId="21" xfId="1" applyFont="1" applyBorder="1" applyAlignment="1">
      <alignment wrapText="1"/>
    </xf>
    <xf numFmtId="0" fontId="26" fillId="0" borderId="16" xfId="1" applyFont="1" applyBorder="1"/>
    <xf numFmtId="0" fontId="24" fillId="0" borderId="0" xfId="2" applyFont="1">
      <alignment vertical="center"/>
    </xf>
    <xf numFmtId="0" fontId="1" fillId="0" borderId="0" xfId="8" applyFont="1" applyAlignment="1"/>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2 2 2" xfId="8" xr:uid="{8048520F-EF21-4359-8969-4595D12CA5A7}"/>
    <cellStyle name="標準 2 3" xfId="9" xr:uid="{0EBF0120-5AA5-4DB4-9262-ED2E9810FD2B}"/>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5525-2DA7-42E2-B47C-DE0A326E1117}">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87"/>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143" t="s">
        <v>1</v>
      </c>
      <c r="C1" s="143" t="s">
        <v>118</v>
      </c>
      <c r="D1" s="144" t="s">
        <v>2</v>
      </c>
      <c r="E1" s="83" t="s">
        <v>3</v>
      </c>
      <c r="F1" s="83" t="s">
        <v>4</v>
      </c>
      <c r="G1" s="83" t="s">
        <v>5</v>
      </c>
      <c r="H1" s="83" t="s">
        <v>6</v>
      </c>
      <c r="I1" s="83" t="s">
        <v>7</v>
      </c>
      <c r="J1" s="83" t="s">
        <v>8</v>
      </c>
      <c r="K1" s="83" t="s">
        <v>9</v>
      </c>
      <c r="L1" s="144" t="s">
        <v>119</v>
      </c>
      <c r="M1" s="144" t="s">
        <v>10</v>
      </c>
      <c r="N1" s="144" t="s">
        <v>11</v>
      </c>
      <c r="O1" s="144" t="s">
        <v>120</v>
      </c>
      <c r="P1" s="144" t="s">
        <v>121</v>
      </c>
      <c r="Q1" s="3" t="s">
        <v>12</v>
      </c>
      <c r="R1" s="144" t="s">
        <v>122</v>
      </c>
      <c r="S1" s="144" t="s">
        <v>123</v>
      </c>
      <c r="T1" s="3" t="s">
        <v>13</v>
      </c>
      <c r="U1" s="145" t="s">
        <v>92</v>
      </c>
      <c r="V1" s="5" t="s">
        <v>14</v>
      </c>
      <c r="W1" s="144" t="s">
        <v>15</v>
      </c>
      <c r="X1" s="83" t="s">
        <v>16</v>
      </c>
      <c r="Y1" s="83" t="s">
        <v>17</v>
      </c>
      <c r="Z1" s="83" t="s">
        <v>18</v>
      </c>
      <c r="AA1" s="42" t="s">
        <v>19</v>
      </c>
      <c r="AB1" s="146" t="s">
        <v>124</v>
      </c>
      <c r="AE1" s="147" t="s">
        <v>0</v>
      </c>
      <c r="AF1" s="148"/>
      <c r="AG1" s="147" t="s">
        <v>3</v>
      </c>
      <c r="AH1" s="147" t="s">
        <v>4</v>
      </c>
      <c r="AI1" s="148"/>
      <c r="AJ1" s="147" t="s">
        <v>5</v>
      </c>
      <c r="AK1" s="148"/>
      <c r="AL1" s="10" t="s">
        <v>328</v>
      </c>
      <c r="AM1" s="148"/>
      <c r="AN1" s="10" t="s">
        <v>7</v>
      </c>
      <c r="AO1" s="148"/>
      <c r="AP1" s="10" t="s">
        <v>20</v>
      </c>
      <c r="AQ1" s="148"/>
      <c r="AR1" s="10" t="s">
        <v>9</v>
      </c>
      <c r="AS1" s="148"/>
      <c r="AT1" s="11" t="s">
        <v>21</v>
      </c>
      <c r="AU1" s="148"/>
      <c r="AV1" s="10" t="s">
        <v>22</v>
      </c>
      <c r="AX1" s="12" t="s">
        <v>125</v>
      </c>
      <c r="AY1" s="13" t="s">
        <v>126</v>
      </c>
      <c r="AZ1" s="13" t="s">
        <v>127</v>
      </c>
      <c r="BA1" s="14" t="s">
        <v>128</v>
      </c>
    </row>
    <row r="2" spans="1:53" x14ac:dyDescent="0.15">
      <c r="A2" s="77" t="s">
        <v>24</v>
      </c>
      <c r="B2" s="77" t="s">
        <v>191</v>
      </c>
      <c r="C2" s="77">
        <v>2020</v>
      </c>
      <c r="D2" s="182" t="s">
        <v>254</v>
      </c>
      <c r="E2" s="77" t="s">
        <v>266</v>
      </c>
      <c r="F2" s="77" t="s">
        <v>383</v>
      </c>
      <c r="G2" s="77" t="s">
        <v>25</v>
      </c>
      <c r="H2" s="77" t="s">
        <v>113</v>
      </c>
      <c r="I2" s="77" t="s">
        <v>111</v>
      </c>
      <c r="J2" s="77" t="s">
        <v>27</v>
      </c>
      <c r="K2" s="77" t="s">
        <v>112</v>
      </c>
      <c r="L2" s="77">
        <v>1</v>
      </c>
      <c r="N2" s="34">
        <v>1</v>
      </c>
      <c r="O2" s="77">
        <v>0.5</v>
      </c>
      <c r="P2" s="77">
        <v>0.5</v>
      </c>
      <c r="Q2" s="183">
        <f t="shared" ref="Q2:Q65" si="0">IF(OR(O2="",P2=""),"",AVERAGE(O2,P2))</f>
        <v>0.5</v>
      </c>
      <c r="R2" s="77">
        <v>11.1</v>
      </c>
      <c r="S2" s="77">
        <v>123</v>
      </c>
      <c r="T2" s="184">
        <f t="shared" ref="T2:T59" si="1">IF(H2="","",IF(OR(H2="GREEN",H2="GK"),IF(S2&gt;=$AX$2,VLOOKUP(S2,$AX$2:$AY$12,2,1),""),IF(S2&gt;=$AZ$2,VLOOKUP(S2,$AZ$2:$BA$12,2,1),"")))</f>
        <v>27</v>
      </c>
      <c r="U2" s="77">
        <v>117</v>
      </c>
      <c r="V2" s="184">
        <f t="shared" ref="V2:V65" si="2">IF(OR(N2="",U2="",T2=""),"",U2/N2*T2)</f>
        <v>3159</v>
      </c>
      <c r="W2" s="77">
        <v>2</v>
      </c>
      <c r="X2" s="77" t="s">
        <v>35</v>
      </c>
      <c r="Y2" s="77" t="s">
        <v>43</v>
      </c>
      <c r="Z2" s="77" t="s">
        <v>36</v>
      </c>
      <c r="AA2" s="77" t="s">
        <v>90</v>
      </c>
      <c r="AB2" s="34" t="s">
        <v>195</v>
      </c>
      <c r="AE2" s="151" t="s">
        <v>24</v>
      </c>
      <c r="AG2" s="170" t="s">
        <v>384</v>
      </c>
      <c r="AH2" s="170" t="s">
        <v>385</v>
      </c>
      <c r="AJ2" s="50" t="s">
        <v>25</v>
      </c>
      <c r="AL2" s="153" t="s">
        <v>107</v>
      </c>
      <c r="AN2" s="50" t="s">
        <v>26</v>
      </c>
      <c r="AP2" s="50" t="s">
        <v>27</v>
      </c>
      <c r="AR2" s="50" t="s">
        <v>129</v>
      </c>
      <c r="AT2" s="50" t="s">
        <v>28</v>
      </c>
      <c r="AV2" s="50" t="s">
        <v>29</v>
      </c>
      <c r="AX2" s="154">
        <v>1</v>
      </c>
      <c r="AY2" s="155">
        <v>50</v>
      </c>
      <c r="AZ2" s="155">
        <v>1</v>
      </c>
      <c r="BA2" s="156">
        <v>50</v>
      </c>
    </row>
    <row r="3" spans="1:53" x14ac:dyDescent="0.15">
      <c r="A3" s="77" t="s">
        <v>24</v>
      </c>
      <c r="B3" s="77" t="s">
        <v>191</v>
      </c>
      <c r="C3" s="77">
        <v>2020</v>
      </c>
      <c r="D3" s="185" t="s">
        <v>386</v>
      </c>
      <c r="E3" s="77" t="s">
        <v>266</v>
      </c>
      <c r="F3" s="77" t="s">
        <v>383</v>
      </c>
      <c r="G3" s="77" t="s">
        <v>25</v>
      </c>
      <c r="H3" s="77" t="s">
        <v>113</v>
      </c>
      <c r="I3" s="77" t="s">
        <v>111</v>
      </c>
      <c r="J3" s="77" t="s">
        <v>27</v>
      </c>
      <c r="K3" s="77" t="s">
        <v>112</v>
      </c>
      <c r="L3" s="77">
        <v>2</v>
      </c>
      <c r="N3" s="77">
        <v>1</v>
      </c>
      <c r="O3" s="34">
        <v>0.5</v>
      </c>
      <c r="P3" s="77">
        <v>0.5</v>
      </c>
      <c r="Q3" s="186">
        <f t="shared" si="0"/>
        <v>0.5</v>
      </c>
      <c r="R3" s="77">
        <v>11</v>
      </c>
      <c r="S3" s="77">
        <v>120</v>
      </c>
      <c r="T3" s="16">
        <f t="shared" si="1"/>
        <v>30</v>
      </c>
      <c r="U3" s="77">
        <v>117</v>
      </c>
      <c r="V3" s="16">
        <f t="shared" si="2"/>
        <v>3510</v>
      </c>
      <c r="W3" s="77">
        <v>2</v>
      </c>
      <c r="X3" s="77" t="s">
        <v>35</v>
      </c>
      <c r="Y3" s="77" t="s">
        <v>43</v>
      </c>
      <c r="Z3" s="77" t="s">
        <v>36</v>
      </c>
      <c r="AA3" s="77" t="s">
        <v>90</v>
      </c>
      <c r="AB3" s="34" t="s">
        <v>195</v>
      </c>
      <c r="AE3" s="22" t="s">
        <v>30</v>
      </c>
      <c r="AG3" s="170" t="s">
        <v>223</v>
      </c>
      <c r="AH3" s="170" t="s">
        <v>387</v>
      </c>
      <c r="AJ3" s="80" t="s">
        <v>31</v>
      </c>
      <c r="AL3" s="80" t="s">
        <v>108</v>
      </c>
      <c r="AN3" s="80" t="s">
        <v>32</v>
      </c>
      <c r="AP3" s="80" t="s">
        <v>33</v>
      </c>
      <c r="AR3" s="80" t="s">
        <v>34</v>
      </c>
      <c r="AT3" s="80" t="s">
        <v>35</v>
      </c>
      <c r="AV3" s="80" t="s">
        <v>36</v>
      </c>
      <c r="AX3" s="24">
        <v>72</v>
      </c>
      <c r="AY3" s="25">
        <v>46</v>
      </c>
      <c r="AZ3" s="25">
        <v>71</v>
      </c>
      <c r="BA3" s="26">
        <v>42</v>
      </c>
    </row>
    <row r="4" spans="1:53" x14ac:dyDescent="0.15">
      <c r="A4" s="77" t="s">
        <v>24</v>
      </c>
      <c r="B4" s="77" t="s">
        <v>191</v>
      </c>
      <c r="C4" s="77">
        <v>2020</v>
      </c>
      <c r="D4" s="185" t="s">
        <v>386</v>
      </c>
      <c r="E4" s="77" t="s">
        <v>266</v>
      </c>
      <c r="F4" s="77" t="s">
        <v>383</v>
      </c>
      <c r="G4" s="77" t="s">
        <v>25</v>
      </c>
      <c r="H4" s="77" t="s">
        <v>113</v>
      </c>
      <c r="I4" s="77" t="s">
        <v>111</v>
      </c>
      <c r="J4" s="77" t="s">
        <v>27</v>
      </c>
      <c r="K4" s="77" t="s">
        <v>112</v>
      </c>
      <c r="L4" s="77">
        <v>3</v>
      </c>
      <c r="N4" s="77">
        <v>1</v>
      </c>
      <c r="O4" s="77">
        <v>0.5</v>
      </c>
      <c r="P4" s="77">
        <v>0.5</v>
      </c>
      <c r="Q4" s="186">
        <f t="shared" si="0"/>
        <v>0.5</v>
      </c>
      <c r="R4" s="77">
        <v>11</v>
      </c>
      <c r="S4" s="77">
        <v>118</v>
      </c>
      <c r="T4" s="16">
        <f t="shared" si="1"/>
        <v>30</v>
      </c>
      <c r="U4" s="77">
        <v>117</v>
      </c>
      <c r="V4" s="16">
        <f t="shared" si="2"/>
        <v>3510</v>
      </c>
      <c r="W4" s="77">
        <v>2</v>
      </c>
      <c r="X4" s="77" t="s">
        <v>35</v>
      </c>
      <c r="Y4" s="77" t="s">
        <v>43</v>
      </c>
      <c r="Z4" s="77" t="s">
        <v>36</v>
      </c>
      <c r="AA4" s="77" t="s">
        <v>90</v>
      </c>
      <c r="AB4" s="34" t="s">
        <v>195</v>
      </c>
      <c r="AE4" s="22" t="s">
        <v>23</v>
      </c>
      <c r="AG4" s="170" t="s">
        <v>343</v>
      </c>
      <c r="AH4" s="170" t="s">
        <v>388</v>
      </c>
      <c r="AJ4" s="27" t="s">
        <v>37</v>
      </c>
      <c r="AL4" s="80" t="s">
        <v>109</v>
      </c>
      <c r="AN4" s="28" t="s">
        <v>38</v>
      </c>
      <c r="AP4" s="80" t="s">
        <v>130</v>
      </c>
      <c r="AR4" s="80" t="s">
        <v>131</v>
      </c>
      <c r="AT4" s="28"/>
      <c r="AV4" s="80" t="s">
        <v>39</v>
      </c>
      <c r="AX4" s="24">
        <v>75</v>
      </c>
      <c r="AY4" s="25">
        <v>42</v>
      </c>
      <c r="AZ4" s="25">
        <v>76</v>
      </c>
      <c r="BA4" s="26">
        <v>39</v>
      </c>
    </row>
    <row r="5" spans="1:53" x14ac:dyDescent="0.15">
      <c r="A5" s="77" t="s">
        <v>24</v>
      </c>
      <c r="B5" s="77" t="s">
        <v>191</v>
      </c>
      <c r="C5" s="77">
        <v>2020</v>
      </c>
      <c r="D5" s="185" t="s">
        <v>386</v>
      </c>
      <c r="E5" s="77" t="s">
        <v>266</v>
      </c>
      <c r="F5" s="77" t="s">
        <v>383</v>
      </c>
      <c r="G5" s="77" t="s">
        <v>25</v>
      </c>
      <c r="H5" s="77" t="s">
        <v>113</v>
      </c>
      <c r="I5" s="77" t="s">
        <v>111</v>
      </c>
      <c r="J5" s="77" t="s">
        <v>27</v>
      </c>
      <c r="K5" s="77" t="s">
        <v>112</v>
      </c>
      <c r="L5" s="77">
        <v>1</v>
      </c>
      <c r="N5" s="77">
        <v>5</v>
      </c>
      <c r="O5" s="77">
        <v>0.5</v>
      </c>
      <c r="P5" s="77">
        <v>0.5</v>
      </c>
      <c r="Q5" s="186">
        <f t="shared" si="0"/>
        <v>0.5</v>
      </c>
      <c r="R5" s="77">
        <v>9.4</v>
      </c>
      <c r="S5" s="77">
        <v>82</v>
      </c>
      <c r="T5" s="16">
        <f t="shared" si="1"/>
        <v>39</v>
      </c>
      <c r="U5" s="77">
        <v>297</v>
      </c>
      <c r="V5" s="16">
        <f t="shared" si="2"/>
        <v>2316.6</v>
      </c>
      <c r="W5" s="77">
        <v>3</v>
      </c>
      <c r="X5" s="77" t="s">
        <v>35</v>
      </c>
      <c r="Y5" s="77" t="s">
        <v>43</v>
      </c>
      <c r="Z5" s="77" t="s">
        <v>36</v>
      </c>
      <c r="AA5" s="77" t="s">
        <v>90</v>
      </c>
      <c r="AB5" s="34" t="s">
        <v>195</v>
      </c>
      <c r="AE5" s="22" t="s">
        <v>40</v>
      </c>
      <c r="AG5" s="170" t="s">
        <v>389</v>
      </c>
      <c r="AH5" s="170" t="s">
        <v>390</v>
      </c>
      <c r="AJ5" s="28"/>
      <c r="AL5" s="80" t="s">
        <v>132</v>
      </c>
      <c r="AN5" s="158" t="s">
        <v>133</v>
      </c>
      <c r="AP5" s="80" t="s">
        <v>134</v>
      </c>
      <c r="AR5" s="80" t="s">
        <v>42</v>
      </c>
      <c r="AV5" s="80" t="s">
        <v>43</v>
      </c>
      <c r="AX5" s="24">
        <v>84</v>
      </c>
      <c r="AY5" s="25">
        <v>39</v>
      </c>
      <c r="AZ5" s="25">
        <v>84</v>
      </c>
      <c r="BA5" s="26">
        <v>36</v>
      </c>
    </row>
    <row r="6" spans="1:53" x14ac:dyDescent="0.15">
      <c r="A6" s="77" t="s">
        <v>24</v>
      </c>
      <c r="B6" s="77" t="s">
        <v>191</v>
      </c>
      <c r="C6" s="77">
        <v>2020</v>
      </c>
      <c r="D6" s="185" t="s">
        <v>386</v>
      </c>
      <c r="E6" s="77" t="s">
        <v>266</v>
      </c>
      <c r="F6" s="77" t="s">
        <v>383</v>
      </c>
      <c r="G6" s="77" t="s">
        <v>25</v>
      </c>
      <c r="H6" s="77" t="s">
        <v>113</v>
      </c>
      <c r="I6" s="77" t="s">
        <v>111</v>
      </c>
      <c r="J6" s="77" t="s">
        <v>27</v>
      </c>
      <c r="K6" s="77" t="s">
        <v>112</v>
      </c>
      <c r="L6" s="77">
        <v>2</v>
      </c>
      <c r="N6" s="77">
        <v>5</v>
      </c>
      <c r="O6" s="77">
        <v>0.75</v>
      </c>
      <c r="P6" s="77">
        <v>0.8</v>
      </c>
      <c r="Q6" s="186">
        <f t="shared" si="0"/>
        <v>0.77500000000000002</v>
      </c>
      <c r="R6" s="77">
        <v>10.6</v>
      </c>
      <c r="S6" s="77">
        <v>89</v>
      </c>
      <c r="T6" s="16">
        <f t="shared" si="1"/>
        <v>36</v>
      </c>
      <c r="U6" s="77">
        <v>297</v>
      </c>
      <c r="V6" s="16">
        <f t="shared" si="2"/>
        <v>2138.4</v>
      </c>
      <c r="W6" s="77">
        <v>3</v>
      </c>
      <c r="X6" s="77" t="s">
        <v>35</v>
      </c>
      <c r="Y6" s="77" t="s">
        <v>43</v>
      </c>
      <c r="Z6" s="77" t="s">
        <v>36</v>
      </c>
      <c r="AA6" s="77" t="s">
        <v>90</v>
      </c>
      <c r="AB6" s="34" t="s">
        <v>195</v>
      </c>
      <c r="AE6" s="22" t="s">
        <v>44</v>
      </c>
      <c r="AG6" s="170" t="s">
        <v>391</v>
      </c>
      <c r="AH6" s="170" t="s">
        <v>392</v>
      </c>
      <c r="AL6" s="80" t="s">
        <v>135</v>
      </c>
      <c r="AN6" s="158" t="s">
        <v>136</v>
      </c>
      <c r="AP6" s="80" t="s">
        <v>41</v>
      </c>
      <c r="AR6" s="80" t="s">
        <v>46</v>
      </c>
      <c r="AV6" s="80" t="s">
        <v>47</v>
      </c>
      <c r="AX6" s="24">
        <v>97</v>
      </c>
      <c r="AY6" s="25">
        <v>36</v>
      </c>
      <c r="AZ6" s="25">
        <v>99</v>
      </c>
      <c r="BA6" s="26">
        <v>33</v>
      </c>
    </row>
    <row r="7" spans="1:53" ht="12" customHeight="1" x14ac:dyDescent="0.15">
      <c r="A7" s="77" t="s">
        <v>24</v>
      </c>
      <c r="B7" s="77" t="s">
        <v>191</v>
      </c>
      <c r="C7" s="77">
        <v>2020</v>
      </c>
      <c r="D7" s="185" t="s">
        <v>386</v>
      </c>
      <c r="E7" s="77" t="s">
        <v>266</v>
      </c>
      <c r="F7" s="77" t="s">
        <v>383</v>
      </c>
      <c r="G7" s="77" t="s">
        <v>25</v>
      </c>
      <c r="H7" s="77" t="s">
        <v>113</v>
      </c>
      <c r="I7" s="77" t="s">
        <v>111</v>
      </c>
      <c r="J7" s="77" t="s">
        <v>27</v>
      </c>
      <c r="K7" s="77" t="s">
        <v>112</v>
      </c>
      <c r="L7" s="77">
        <v>3</v>
      </c>
      <c r="N7" s="77">
        <v>5</v>
      </c>
      <c r="O7" s="77">
        <v>1.25</v>
      </c>
      <c r="P7" s="77">
        <v>1.1000000000000001</v>
      </c>
      <c r="Q7" s="186">
        <f t="shared" si="0"/>
        <v>1.175</v>
      </c>
      <c r="R7" s="34">
        <v>9.3000000000000007</v>
      </c>
      <c r="S7" s="77">
        <v>81</v>
      </c>
      <c r="T7" s="16">
        <f t="shared" si="1"/>
        <v>39</v>
      </c>
      <c r="U7" s="77">
        <v>297</v>
      </c>
      <c r="V7" s="16">
        <f t="shared" si="2"/>
        <v>2316.6</v>
      </c>
      <c r="W7" s="77">
        <v>3</v>
      </c>
      <c r="X7" s="77" t="s">
        <v>35</v>
      </c>
      <c r="Y7" s="77" t="s">
        <v>43</v>
      </c>
      <c r="Z7" s="77" t="s">
        <v>36</v>
      </c>
      <c r="AA7" s="77" t="s">
        <v>90</v>
      </c>
      <c r="AB7" s="34" t="s">
        <v>195</v>
      </c>
      <c r="AE7" s="22" t="s">
        <v>48</v>
      </c>
      <c r="AG7" s="170" t="s">
        <v>393</v>
      </c>
      <c r="AH7" s="170" t="s">
        <v>394</v>
      </c>
      <c r="AL7" s="86" t="s">
        <v>137</v>
      </c>
      <c r="AP7" s="80" t="s">
        <v>45</v>
      </c>
      <c r="AR7" s="80" t="s">
        <v>102</v>
      </c>
      <c r="AV7" s="80" t="s">
        <v>51</v>
      </c>
      <c r="AX7" s="24">
        <v>109</v>
      </c>
      <c r="AY7" s="25">
        <v>33</v>
      </c>
      <c r="AZ7" s="25">
        <v>113</v>
      </c>
      <c r="BA7" s="26">
        <v>30</v>
      </c>
    </row>
    <row r="8" spans="1:53" ht="12.75" customHeight="1" x14ac:dyDescent="0.15">
      <c r="A8" s="77" t="s">
        <v>24</v>
      </c>
      <c r="B8" s="77" t="s">
        <v>191</v>
      </c>
      <c r="C8" s="77">
        <v>2020</v>
      </c>
      <c r="D8" s="185" t="s">
        <v>386</v>
      </c>
      <c r="E8" s="77" t="s">
        <v>266</v>
      </c>
      <c r="F8" s="77" t="s">
        <v>383</v>
      </c>
      <c r="G8" s="77" t="s">
        <v>25</v>
      </c>
      <c r="H8" s="77" t="s">
        <v>164</v>
      </c>
      <c r="I8" s="77" t="s">
        <v>111</v>
      </c>
      <c r="J8" s="77" t="s">
        <v>27</v>
      </c>
      <c r="K8" s="77" t="s">
        <v>112</v>
      </c>
      <c r="L8" s="77">
        <v>1</v>
      </c>
      <c r="N8" s="77">
        <v>1</v>
      </c>
      <c r="O8" s="77">
        <v>1.1000000000000001</v>
      </c>
      <c r="P8" s="77">
        <v>1.1000000000000001</v>
      </c>
      <c r="Q8" s="186">
        <f t="shared" si="0"/>
        <v>1.1000000000000001</v>
      </c>
      <c r="R8" s="34">
        <v>10.4</v>
      </c>
      <c r="S8" s="77">
        <v>141</v>
      </c>
      <c r="T8" s="16">
        <f t="shared" si="1"/>
        <v>22</v>
      </c>
      <c r="U8" s="77">
        <v>117</v>
      </c>
      <c r="V8" s="16">
        <f t="shared" si="2"/>
        <v>2574</v>
      </c>
      <c r="W8" s="77">
        <v>4</v>
      </c>
      <c r="X8" s="77" t="s">
        <v>35</v>
      </c>
      <c r="Y8" s="77" t="s">
        <v>43</v>
      </c>
      <c r="Z8" s="77" t="s">
        <v>36</v>
      </c>
      <c r="AA8" s="77" t="s">
        <v>90</v>
      </c>
      <c r="AB8" s="34" t="s">
        <v>195</v>
      </c>
      <c r="AE8" s="22" t="s">
        <v>46</v>
      </c>
      <c r="AG8" s="170" t="s">
        <v>266</v>
      </c>
      <c r="AH8" s="170" t="s">
        <v>383</v>
      </c>
      <c r="AL8" s="86" t="s">
        <v>110</v>
      </c>
      <c r="AP8" s="80" t="s">
        <v>49</v>
      </c>
      <c r="AR8" s="80" t="s">
        <v>67</v>
      </c>
      <c r="AV8" s="80" t="s">
        <v>82</v>
      </c>
      <c r="AX8" s="24">
        <v>119</v>
      </c>
      <c r="AY8" s="25">
        <v>30</v>
      </c>
      <c r="AZ8" s="25">
        <v>121</v>
      </c>
      <c r="BA8" s="26">
        <v>27</v>
      </c>
    </row>
    <row r="9" spans="1:53" x14ac:dyDescent="0.15">
      <c r="A9" s="77" t="s">
        <v>24</v>
      </c>
      <c r="B9" s="77" t="s">
        <v>191</v>
      </c>
      <c r="C9" s="77">
        <v>2020</v>
      </c>
      <c r="D9" s="185" t="s">
        <v>386</v>
      </c>
      <c r="E9" s="77" t="s">
        <v>266</v>
      </c>
      <c r="F9" s="77" t="s">
        <v>383</v>
      </c>
      <c r="G9" s="77" t="s">
        <v>25</v>
      </c>
      <c r="H9" s="77" t="s">
        <v>164</v>
      </c>
      <c r="I9" s="77" t="s">
        <v>111</v>
      </c>
      <c r="J9" s="77" t="s">
        <v>27</v>
      </c>
      <c r="K9" s="77" t="s">
        <v>112</v>
      </c>
      <c r="L9" s="77">
        <v>2</v>
      </c>
      <c r="N9" s="77">
        <v>1</v>
      </c>
      <c r="O9" s="77">
        <v>1.1000000000000001</v>
      </c>
      <c r="P9" s="77">
        <v>1.2</v>
      </c>
      <c r="Q9" s="186">
        <f t="shared" si="0"/>
        <v>1.1499999999999999</v>
      </c>
      <c r="R9" s="77">
        <v>17.5</v>
      </c>
      <c r="S9" s="77">
        <v>134</v>
      </c>
      <c r="T9" s="16">
        <f t="shared" si="1"/>
        <v>25</v>
      </c>
      <c r="U9" s="77">
        <v>117</v>
      </c>
      <c r="V9" s="16">
        <f t="shared" si="2"/>
        <v>2925</v>
      </c>
      <c r="W9" s="77">
        <v>4</v>
      </c>
      <c r="X9" s="77" t="s">
        <v>35</v>
      </c>
      <c r="Y9" s="77" t="s">
        <v>43</v>
      </c>
      <c r="Z9" s="77" t="s">
        <v>36</v>
      </c>
      <c r="AA9" s="77" t="s">
        <v>90</v>
      </c>
      <c r="AB9" s="34" t="s">
        <v>195</v>
      </c>
      <c r="AE9" s="22" t="s">
        <v>83</v>
      </c>
      <c r="AG9" s="170" t="s">
        <v>395</v>
      </c>
      <c r="AH9" s="170" t="s">
        <v>396</v>
      </c>
      <c r="AL9" s="80" t="s">
        <v>139</v>
      </c>
      <c r="AP9" s="80" t="s">
        <v>80</v>
      </c>
      <c r="AR9" s="80" t="s">
        <v>75</v>
      </c>
      <c r="AV9" s="80" t="s">
        <v>86</v>
      </c>
      <c r="AX9" s="24">
        <v>128</v>
      </c>
      <c r="AY9" s="25">
        <v>27</v>
      </c>
      <c r="AZ9" s="25">
        <v>129</v>
      </c>
      <c r="BA9" s="26">
        <v>25</v>
      </c>
    </row>
    <row r="10" spans="1:53" x14ac:dyDescent="0.15">
      <c r="A10" s="77" t="s">
        <v>24</v>
      </c>
      <c r="B10" s="77" t="s">
        <v>191</v>
      </c>
      <c r="C10" s="77">
        <v>2020</v>
      </c>
      <c r="D10" s="185" t="s">
        <v>386</v>
      </c>
      <c r="E10" s="77" t="s">
        <v>266</v>
      </c>
      <c r="F10" s="77" t="s">
        <v>383</v>
      </c>
      <c r="G10" s="77" t="s">
        <v>25</v>
      </c>
      <c r="H10" s="77" t="s">
        <v>164</v>
      </c>
      <c r="I10" s="77" t="s">
        <v>111</v>
      </c>
      <c r="J10" s="77" t="s">
        <v>27</v>
      </c>
      <c r="K10" s="77" t="s">
        <v>112</v>
      </c>
      <c r="L10" s="77">
        <v>3</v>
      </c>
      <c r="N10" s="77">
        <v>1</v>
      </c>
      <c r="O10" s="77">
        <v>1</v>
      </c>
      <c r="P10" s="77">
        <v>1.25</v>
      </c>
      <c r="Q10" s="186">
        <f t="shared" si="0"/>
        <v>1.125</v>
      </c>
      <c r="R10" s="77">
        <v>11</v>
      </c>
      <c r="S10" s="77">
        <v>143</v>
      </c>
      <c r="T10" s="16">
        <f t="shared" si="1"/>
        <v>22</v>
      </c>
      <c r="U10" s="77">
        <v>117</v>
      </c>
      <c r="V10" s="16">
        <f t="shared" si="2"/>
        <v>2574</v>
      </c>
      <c r="W10" s="77">
        <v>4</v>
      </c>
      <c r="X10" s="77" t="s">
        <v>35</v>
      </c>
      <c r="Y10" s="77" t="s">
        <v>43</v>
      </c>
      <c r="Z10" s="77" t="s">
        <v>36</v>
      </c>
      <c r="AA10" s="77" t="s">
        <v>90</v>
      </c>
      <c r="AB10" s="34" t="s">
        <v>195</v>
      </c>
      <c r="AE10" s="22" t="s">
        <v>87</v>
      </c>
      <c r="AG10" s="170" t="s">
        <v>397</v>
      </c>
      <c r="AH10" s="170" t="s">
        <v>398</v>
      </c>
      <c r="AP10" s="80" t="s">
        <v>84</v>
      </c>
      <c r="AR10" s="80" t="s">
        <v>103</v>
      </c>
      <c r="AV10" s="80" t="s">
        <v>90</v>
      </c>
      <c r="AX10" s="24">
        <v>138</v>
      </c>
      <c r="AY10" s="25">
        <v>25</v>
      </c>
      <c r="AZ10" s="25">
        <v>138</v>
      </c>
      <c r="BA10" s="26">
        <v>22</v>
      </c>
    </row>
    <row r="11" spans="1:53" x14ac:dyDescent="0.15">
      <c r="A11" s="77" t="s">
        <v>24</v>
      </c>
      <c r="B11" s="77" t="s">
        <v>191</v>
      </c>
      <c r="C11" s="77">
        <v>2020</v>
      </c>
      <c r="D11" s="185" t="s">
        <v>386</v>
      </c>
      <c r="E11" s="77" t="s">
        <v>266</v>
      </c>
      <c r="F11" s="77" t="s">
        <v>383</v>
      </c>
      <c r="G11" s="77" t="s">
        <v>25</v>
      </c>
      <c r="H11" s="77" t="s">
        <v>164</v>
      </c>
      <c r="I11" s="77" t="s">
        <v>111</v>
      </c>
      <c r="J11" s="77" t="s">
        <v>27</v>
      </c>
      <c r="K11" s="77" t="s">
        <v>112</v>
      </c>
      <c r="L11" s="77">
        <v>1</v>
      </c>
      <c r="N11" s="77">
        <v>4</v>
      </c>
      <c r="O11" s="77">
        <v>0.5</v>
      </c>
      <c r="P11" s="77">
        <v>0.6</v>
      </c>
      <c r="Q11" s="186">
        <f t="shared" si="0"/>
        <v>0.55000000000000004</v>
      </c>
      <c r="R11" s="77">
        <v>11.9</v>
      </c>
      <c r="S11" s="77">
        <v>99</v>
      </c>
      <c r="T11" s="16">
        <f t="shared" si="1"/>
        <v>33</v>
      </c>
      <c r="U11" s="77">
        <v>397</v>
      </c>
      <c r="V11" s="16">
        <f t="shared" si="2"/>
        <v>3275.25</v>
      </c>
      <c r="W11" s="77">
        <v>3</v>
      </c>
      <c r="X11" s="77" t="s">
        <v>35</v>
      </c>
      <c r="Y11" s="77" t="s">
        <v>43</v>
      </c>
      <c r="Z11" s="77" t="s">
        <v>36</v>
      </c>
      <c r="AA11" s="77" t="s">
        <v>90</v>
      </c>
      <c r="AB11" s="34" t="s">
        <v>195</v>
      </c>
      <c r="AE11" s="22" t="s">
        <v>52</v>
      </c>
      <c r="AG11" s="170" t="s">
        <v>399</v>
      </c>
      <c r="AH11" s="170" t="s">
        <v>392</v>
      </c>
      <c r="AP11" s="80" t="s">
        <v>88</v>
      </c>
      <c r="AR11" s="80" t="s">
        <v>73</v>
      </c>
      <c r="AV11" s="80" t="s">
        <v>55</v>
      </c>
      <c r="AX11" s="24">
        <v>151</v>
      </c>
      <c r="AY11" s="25">
        <v>22</v>
      </c>
      <c r="AZ11" s="25">
        <v>152</v>
      </c>
      <c r="BA11" s="26">
        <v>18</v>
      </c>
    </row>
    <row r="12" spans="1:53" x14ac:dyDescent="0.15">
      <c r="A12" s="77" t="s">
        <v>24</v>
      </c>
      <c r="B12" s="77" t="s">
        <v>191</v>
      </c>
      <c r="C12" s="77">
        <v>2020</v>
      </c>
      <c r="D12" s="185" t="s">
        <v>386</v>
      </c>
      <c r="E12" s="77" t="s">
        <v>266</v>
      </c>
      <c r="F12" s="77" t="s">
        <v>383</v>
      </c>
      <c r="G12" s="77" t="s">
        <v>25</v>
      </c>
      <c r="H12" s="77" t="s">
        <v>164</v>
      </c>
      <c r="I12" s="77" t="s">
        <v>111</v>
      </c>
      <c r="J12" s="77" t="s">
        <v>27</v>
      </c>
      <c r="K12" s="77" t="s">
        <v>112</v>
      </c>
      <c r="L12" s="77">
        <v>2</v>
      </c>
      <c r="N12" s="77">
        <v>4</v>
      </c>
      <c r="O12" s="77">
        <v>1</v>
      </c>
      <c r="P12" s="77">
        <v>0.9</v>
      </c>
      <c r="Q12" s="186">
        <f t="shared" si="0"/>
        <v>0.95</v>
      </c>
      <c r="R12" s="34">
        <v>12</v>
      </c>
      <c r="S12" s="77">
        <v>101</v>
      </c>
      <c r="T12" s="16">
        <f t="shared" si="1"/>
        <v>33</v>
      </c>
      <c r="U12" s="77">
        <v>397</v>
      </c>
      <c r="V12" s="16">
        <f t="shared" si="2"/>
        <v>3275.25</v>
      </c>
      <c r="W12" s="77">
        <v>3</v>
      </c>
      <c r="X12" s="77" t="s">
        <v>35</v>
      </c>
      <c r="Y12" s="77" t="s">
        <v>43</v>
      </c>
      <c r="Z12" s="77" t="s">
        <v>36</v>
      </c>
      <c r="AA12" s="77" t="s">
        <v>90</v>
      </c>
      <c r="AB12" s="34" t="s">
        <v>195</v>
      </c>
      <c r="AE12" s="22" t="s">
        <v>56</v>
      </c>
      <c r="AG12" s="66"/>
      <c r="AH12" s="66"/>
      <c r="AP12" s="80" t="s">
        <v>53</v>
      </c>
      <c r="AR12" s="80" t="s">
        <v>104</v>
      </c>
      <c r="AV12" s="80" t="s">
        <v>58</v>
      </c>
      <c r="AX12" s="31">
        <v>180</v>
      </c>
      <c r="AY12" s="32">
        <v>18</v>
      </c>
      <c r="AZ12" s="32">
        <v>181</v>
      </c>
      <c r="BA12" s="33">
        <v>16</v>
      </c>
    </row>
    <row r="13" spans="1:53" x14ac:dyDescent="0.15">
      <c r="A13" s="77" t="s">
        <v>24</v>
      </c>
      <c r="B13" s="77" t="s">
        <v>191</v>
      </c>
      <c r="C13" s="77">
        <v>2020</v>
      </c>
      <c r="D13" s="185" t="s">
        <v>386</v>
      </c>
      <c r="E13" s="77" t="s">
        <v>266</v>
      </c>
      <c r="F13" s="77" t="s">
        <v>383</v>
      </c>
      <c r="G13" s="77" t="s">
        <v>25</v>
      </c>
      <c r="H13" s="77" t="s">
        <v>164</v>
      </c>
      <c r="I13" s="77" t="s">
        <v>111</v>
      </c>
      <c r="J13" s="77" t="s">
        <v>27</v>
      </c>
      <c r="K13" s="77" t="s">
        <v>112</v>
      </c>
      <c r="L13" s="77">
        <v>3</v>
      </c>
      <c r="N13" s="77">
        <v>4</v>
      </c>
      <c r="O13" s="77">
        <v>0.6</v>
      </c>
      <c r="P13" s="77">
        <v>0.75</v>
      </c>
      <c r="Q13" s="186">
        <f t="shared" si="0"/>
        <v>0.67500000000000004</v>
      </c>
      <c r="R13" s="77">
        <v>11.2</v>
      </c>
      <c r="S13" s="77">
        <v>105</v>
      </c>
      <c r="T13" s="16">
        <f t="shared" si="1"/>
        <v>33</v>
      </c>
      <c r="U13" s="77">
        <v>397</v>
      </c>
      <c r="V13" s="16">
        <f t="shared" si="2"/>
        <v>3275.25</v>
      </c>
      <c r="W13" s="77">
        <v>3</v>
      </c>
      <c r="X13" s="77" t="s">
        <v>35</v>
      </c>
      <c r="Y13" s="77" t="s">
        <v>43</v>
      </c>
      <c r="Z13" s="77" t="s">
        <v>36</v>
      </c>
      <c r="AA13" s="77" t="s">
        <v>90</v>
      </c>
      <c r="AB13" s="34" t="s">
        <v>195</v>
      </c>
      <c r="AE13" s="22" t="s">
        <v>59</v>
      </c>
      <c r="AG13" s="80"/>
      <c r="AH13" s="80"/>
      <c r="AP13" s="80" t="s">
        <v>57</v>
      </c>
      <c r="AR13" s="80" t="s">
        <v>87</v>
      </c>
      <c r="AV13" s="80" t="s">
        <v>61</v>
      </c>
    </row>
    <row r="14" spans="1:53" x14ac:dyDescent="0.15">
      <c r="A14" s="77" t="s">
        <v>24</v>
      </c>
      <c r="B14" s="77" t="s">
        <v>191</v>
      </c>
      <c r="C14" s="77">
        <v>2020</v>
      </c>
      <c r="D14" s="185" t="s">
        <v>386</v>
      </c>
      <c r="E14" s="77" t="s">
        <v>389</v>
      </c>
      <c r="F14" s="77" t="s">
        <v>390</v>
      </c>
      <c r="G14" s="77" t="s">
        <v>25</v>
      </c>
      <c r="H14" s="77" t="s">
        <v>113</v>
      </c>
      <c r="I14" s="77" t="s">
        <v>111</v>
      </c>
      <c r="J14" s="77" t="s">
        <v>27</v>
      </c>
      <c r="K14" s="77" t="s">
        <v>112</v>
      </c>
      <c r="L14" s="77">
        <v>1</v>
      </c>
      <c r="N14" s="77">
        <v>1</v>
      </c>
      <c r="O14" s="77">
        <v>1.25</v>
      </c>
      <c r="P14" s="77">
        <v>1.1000000000000001</v>
      </c>
      <c r="Q14" s="186">
        <f t="shared" si="0"/>
        <v>1.175</v>
      </c>
      <c r="R14" s="77">
        <v>10.9</v>
      </c>
      <c r="S14" s="77">
        <v>126</v>
      </c>
      <c r="T14" s="16">
        <f t="shared" si="1"/>
        <v>27</v>
      </c>
      <c r="U14" s="77">
        <v>98</v>
      </c>
      <c r="V14" s="16">
        <f t="shared" si="2"/>
        <v>2646</v>
      </c>
      <c r="W14" s="77">
        <v>3</v>
      </c>
      <c r="X14" s="77" t="s">
        <v>169</v>
      </c>
      <c r="Y14" s="77" t="s">
        <v>43</v>
      </c>
      <c r="Z14" s="77" t="s">
        <v>55</v>
      </c>
      <c r="AA14" s="77" t="s">
        <v>76</v>
      </c>
      <c r="AB14" s="34" t="s">
        <v>195</v>
      </c>
      <c r="AE14" s="22" t="s">
        <v>62</v>
      </c>
      <c r="AG14" s="80"/>
      <c r="AH14" s="80"/>
      <c r="AP14" s="80" t="s">
        <v>60</v>
      </c>
      <c r="AR14" s="80" t="s">
        <v>105</v>
      </c>
      <c r="AV14" s="80" t="s">
        <v>64</v>
      </c>
    </row>
    <row r="15" spans="1:53" x14ac:dyDescent="0.15">
      <c r="A15" s="77" t="s">
        <v>24</v>
      </c>
      <c r="B15" s="77" t="s">
        <v>191</v>
      </c>
      <c r="C15" s="77">
        <v>2020</v>
      </c>
      <c r="D15" s="185" t="s">
        <v>386</v>
      </c>
      <c r="E15" s="77" t="s">
        <v>389</v>
      </c>
      <c r="F15" s="77" t="s">
        <v>390</v>
      </c>
      <c r="G15" s="77" t="s">
        <v>25</v>
      </c>
      <c r="H15" s="77" t="s">
        <v>113</v>
      </c>
      <c r="I15" s="77" t="s">
        <v>111</v>
      </c>
      <c r="J15" s="77" t="s">
        <v>27</v>
      </c>
      <c r="K15" s="77" t="s">
        <v>112</v>
      </c>
      <c r="L15" s="77">
        <v>2</v>
      </c>
      <c r="N15" s="77">
        <v>1</v>
      </c>
      <c r="O15" s="77">
        <v>0.9</v>
      </c>
      <c r="P15" s="77">
        <v>0.8</v>
      </c>
      <c r="Q15" s="186">
        <f t="shared" si="0"/>
        <v>0.85000000000000009</v>
      </c>
      <c r="R15" s="77">
        <v>11.2</v>
      </c>
      <c r="S15" s="77">
        <v>120</v>
      </c>
      <c r="T15" s="16">
        <f t="shared" si="1"/>
        <v>30</v>
      </c>
      <c r="U15" s="77">
        <v>98</v>
      </c>
      <c r="V15" s="16">
        <f t="shared" si="2"/>
        <v>2940</v>
      </c>
      <c r="W15" s="77">
        <v>3</v>
      </c>
      <c r="X15" s="77" t="s">
        <v>35</v>
      </c>
      <c r="Y15" s="77" t="s">
        <v>43</v>
      </c>
      <c r="Z15" s="77" t="s">
        <v>55</v>
      </c>
      <c r="AA15" s="77" t="s">
        <v>76</v>
      </c>
      <c r="AB15" s="34" t="s">
        <v>195</v>
      </c>
      <c r="AE15" s="22" t="s">
        <v>65</v>
      </c>
      <c r="AG15" s="80"/>
      <c r="AH15" s="80"/>
      <c r="AP15" s="80" t="s">
        <v>63</v>
      </c>
      <c r="AR15" s="80" t="s">
        <v>79</v>
      </c>
      <c r="AV15" s="80" t="s">
        <v>91</v>
      </c>
    </row>
    <row r="16" spans="1:53" x14ac:dyDescent="0.15">
      <c r="A16" s="77" t="s">
        <v>24</v>
      </c>
      <c r="B16" s="77" t="s">
        <v>191</v>
      </c>
      <c r="C16" s="77">
        <v>2020</v>
      </c>
      <c r="D16" s="185" t="s">
        <v>386</v>
      </c>
      <c r="E16" s="77" t="s">
        <v>389</v>
      </c>
      <c r="F16" s="77" t="s">
        <v>390</v>
      </c>
      <c r="G16" s="77" t="s">
        <v>25</v>
      </c>
      <c r="H16" s="77" t="s">
        <v>113</v>
      </c>
      <c r="I16" s="77" t="s">
        <v>111</v>
      </c>
      <c r="J16" s="77" t="s">
        <v>27</v>
      </c>
      <c r="K16" s="77" t="s">
        <v>112</v>
      </c>
      <c r="L16" s="77">
        <v>3</v>
      </c>
      <c r="N16" s="77">
        <v>1</v>
      </c>
      <c r="O16" s="77">
        <v>1</v>
      </c>
      <c r="P16" s="77">
        <v>1.1000000000000001</v>
      </c>
      <c r="Q16" s="186">
        <f t="shared" si="0"/>
        <v>1.05</v>
      </c>
      <c r="R16" s="77">
        <v>11.2</v>
      </c>
      <c r="S16" s="77">
        <v>120</v>
      </c>
      <c r="T16" s="16">
        <f t="shared" si="1"/>
        <v>30</v>
      </c>
      <c r="U16" s="77">
        <v>98</v>
      </c>
      <c r="V16" s="16">
        <f t="shared" si="2"/>
        <v>2940</v>
      </c>
      <c r="W16" s="77">
        <v>3</v>
      </c>
      <c r="X16" s="77" t="s">
        <v>35</v>
      </c>
      <c r="Y16" s="77" t="s">
        <v>43</v>
      </c>
      <c r="Z16" s="77" t="s">
        <v>55</v>
      </c>
      <c r="AA16" s="77" t="s">
        <v>76</v>
      </c>
      <c r="AB16" s="34" t="s">
        <v>195</v>
      </c>
      <c r="AE16" s="22" t="s">
        <v>68</v>
      </c>
      <c r="AG16" s="28"/>
      <c r="AH16" s="28"/>
      <c r="AP16" s="80" t="s">
        <v>66</v>
      </c>
      <c r="AR16" s="80" t="s">
        <v>50</v>
      </c>
      <c r="AV16" s="80" t="s">
        <v>70</v>
      </c>
    </row>
    <row r="17" spans="1:48" x14ac:dyDescent="0.15">
      <c r="A17" s="77" t="s">
        <v>24</v>
      </c>
      <c r="B17" s="77" t="s">
        <v>191</v>
      </c>
      <c r="C17" s="77">
        <v>2020</v>
      </c>
      <c r="D17" s="185" t="s">
        <v>386</v>
      </c>
      <c r="E17" s="77" t="s">
        <v>389</v>
      </c>
      <c r="F17" s="77" t="s">
        <v>390</v>
      </c>
      <c r="G17" s="77" t="s">
        <v>25</v>
      </c>
      <c r="H17" s="77" t="s">
        <v>113</v>
      </c>
      <c r="I17" s="77" t="s">
        <v>111</v>
      </c>
      <c r="J17" s="77" t="s">
        <v>27</v>
      </c>
      <c r="K17" s="77" t="s">
        <v>112</v>
      </c>
      <c r="L17" s="77">
        <v>1</v>
      </c>
      <c r="N17" s="77">
        <v>4</v>
      </c>
      <c r="O17" s="77">
        <v>1.5</v>
      </c>
      <c r="P17" s="77">
        <v>1.6</v>
      </c>
      <c r="Q17" s="186">
        <f t="shared" si="0"/>
        <v>1.55</v>
      </c>
      <c r="R17" s="77">
        <v>11.9</v>
      </c>
      <c r="S17" s="77">
        <v>85</v>
      </c>
      <c r="T17" s="16">
        <f t="shared" si="1"/>
        <v>36</v>
      </c>
      <c r="U17" s="77">
        <v>295</v>
      </c>
      <c r="V17" s="16">
        <f t="shared" si="2"/>
        <v>2655</v>
      </c>
      <c r="W17" s="77">
        <v>2</v>
      </c>
      <c r="X17" s="77" t="s">
        <v>35</v>
      </c>
      <c r="Y17" s="77" t="s">
        <v>43</v>
      </c>
      <c r="Z17" s="77" t="s">
        <v>55</v>
      </c>
      <c r="AA17" s="77" t="s">
        <v>76</v>
      </c>
      <c r="AB17" s="34" t="s">
        <v>195</v>
      </c>
      <c r="AE17" s="22" t="s">
        <v>71</v>
      </c>
      <c r="AP17" s="27" t="s">
        <v>93</v>
      </c>
      <c r="AR17" s="80" t="s">
        <v>81</v>
      </c>
      <c r="AV17" s="80" t="s">
        <v>72</v>
      </c>
    </row>
    <row r="18" spans="1:48" x14ac:dyDescent="0.15">
      <c r="A18" s="77" t="s">
        <v>24</v>
      </c>
      <c r="B18" s="77" t="s">
        <v>191</v>
      </c>
      <c r="C18" s="77">
        <v>2020</v>
      </c>
      <c r="D18" s="185" t="s">
        <v>386</v>
      </c>
      <c r="E18" s="77" t="s">
        <v>389</v>
      </c>
      <c r="F18" s="77" t="s">
        <v>390</v>
      </c>
      <c r="G18" s="77" t="s">
        <v>25</v>
      </c>
      <c r="H18" s="77" t="s">
        <v>113</v>
      </c>
      <c r="I18" s="77" t="s">
        <v>111</v>
      </c>
      <c r="J18" s="77" t="s">
        <v>27</v>
      </c>
      <c r="K18" s="77" t="s">
        <v>112</v>
      </c>
      <c r="L18" s="77">
        <v>2</v>
      </c>
      <c r="N18" s="77">
        <v>4</v>
      </c>
      <c r="O18" s="77">
        <v>1.7</v>
      </c>
      <c r="P18" s="77">
        <v>1.75</v>
      </c>
      <c r="Q18" s="186">
        <f t="shared" si="0"/>
        <v>1.7250000000000001</v>
      </c>
      <c r="R18" s="77">
        <v>12.1</v>
      </c>
      <c r="S18" s="77">
        <v>92</v>
      </c>
      <c r="T18" s="16">
        <f t="shared" si="1"/>
        <v>36</v>
      </c>
      <c r="U18" s="77">
        <v>295</v>
      </c>
      <c r="V18" s="16">
        <f t="shared" si="2"/>
        <v>2655</v>
      </c>
      <c r="W18" s="77">
        <v>2</v>
      </c>
      <c r="X18" s="77" t="s">
        <v>35</v>
      </c>
      <c r="Y18" s="77" t="s">
        <v>43</v>
      </c>
      <c r="Z18" s="77" t="s">
        <v>55</v>
      </c>
      <c r="AA18" s="77" t="s">
        <v>76</v>
      </c>
      <c r="AB18" s="34" t="s">
        <v>195</v>
      </c>
      <c r="AE18" s="22" t="s">
        <v>73</v>
      </c>
      <c r="AP18" s="27" t="s">
        <v>94</v>
      </c>
      <c r="AR18" s="80" t="s">
        <v>85</v>
      </c>
      <c r="AV18" s="80" t="s">
        <v>74</v>
      </c>
    </row>
    <row r="19" spans="1:48" x14ac:dyDescent="0.15">
      <c r="A19" s="77" t="s">
        <v>24</v>
      </c>
      <c r="B19" s="77" t="s">
        <v>191</v>
      </c>
      <c r="C19" s="77">
        <v>2020</v>
      </c>
      <c r="D19" s="185" t="s">
        <v>386</v>
      </c>
      <c r="E19" s="77" t="s">
        <v>389</v>
      </c>
      <c r="F19" s="77" t="s">
        <v>390</v>
      </c>
      <c r="G19" s="77" t="s">
        <v>25</v>
      </c>
      <c r="H19" s="77" t="s">
        <v>113</v>
      </c>
      <c r="I19" s="77" t="s">
        <v>111</v>
      </c>
      <c r="J19" s="77" t="s">
        <v>27</v>
      </c>
      <c r="K19" s="77" t="s">
        <v>112</v>
      </c>
      <c r="L19" s="77">
        <v>3</v>
      </c>
      <c r="N19" s="77">
        <v>4</v>
      </c>
      <c r="O19" s="77">
        <v>1.25</v>
      </c>
      <c r="P19" s="77">
        <v>1.3</v>
      </c>
      <c r="Q19" s="186">
        <f t="shared" si="0"/>
        <v>1.2749999999999999</v>
      </c>
      <c r="R19" s="77">
        <v>11.1</v>
      </c>
      <c r="S19" s="77">
        <v>87</v>
      </c>
      <c r="T19" s="16">
        <f t="shared" si="1"/>
        <v>36</v>
      </c>
      <c r="U19" s="77">
        <v>295</v>
      </c>
      <c r="V19" s="16">
        <f t="shared" si="2"/>
        <v>2655</v>
      </c>
      <c r="W19" s="77">
        <v>2</v>
      </c>
      <c r="X19" s="77" t="s">
        <v>35</v>
      </c>
      <c r="Y19" s="77" t="s">
        <v>43</v>
      </c>
      <c r="Z19" s="77" t="s">
        <v>55</v>
      </c>
      <c r="AA19" s="77" t="s">
        <v>76</v>
      </c>
      <c r="AB19" s="34" t="s">
        <v>195</v>
      </c>
      <c r="AE19" s="35" t="s">
        <v>75</v>
      </c>
      <c r="AP19" s="27" t="s">
        <v>95</v>
      </c>
      <c r="AR19" s="80" t="s">
        <v>106</v>
      </c>
      <c r="AV19" s="80" t="s">
        <v>76</v>
      </c>
    </row>
    <row r="20" spans="1:48" x14ac:dyDescent="0.15">
      <c r="A20" s="77" t="s">
        <v>24</v>
      </c>
      <c r="B20" s="77" t="s">
        <v>191</v>
      </c>
      <c r="C20" s="77">
        <v>2020</v>
      </c>
      <c r="D20" s="185" t="s">
        <v>386</v>
      </c>
      <c r="E20" s="77" t="s">
        <v>389</v>
      </c>
      <c r="F20" s="77" t="s">
        <v>390</v>
      </c>
      <c r="G20" s="77" t="s">
        <v>25</v>
      </c>
      <c r="H20" s="77" t="s">
        <v>164</v>
      </c>
      <c r="I20" s="77" t="s">
        <v>111</v>
      </c>
      <c r="J20" s="77" t="s">
        <v>27</v>
      </c>
      <c r="K20" s="77" t="s">
        <v>112</v>
      </c>
      <c r="L20" s="77">
        <v>1</v>
      </c>
      <c r="N20" s="77">
        <v>1</v>
      </c>
      <c r="O20" s="77">
        <v>1</v>
      </c>
      <c r="P20" s="34">
        <v>0.8</v>
      </c>
      <c r="Q20" s="186">
        <f t="shared" si="0"/>
        <v>0.9</v>
      </c>
      <c r="R20" s="77">
        <v>13.6</v>
      </c>
      <c r="S20" s="77">
        <v>123</v>
      </c>
      <c r="T20" s="16">
        <f t="shared" si="1"/>
        <v>27</v>
      </c>
      <c r="U20" s="77">
        <v>98</v>
      </c>
      <c r="V20" s="16">
        <f t="shared" si="2"/>
        <v>2646</v>
      </c>
      <c r="W20" s="77">
        <v>6</v>
      </c>
      <c r="X20" s="77" t="s">
        <v>35</v>
      </c>
      <c r="Y20" s="77" t="s">
        <v>43</v>
      </c>
      <c r="Z20" s="77" t="s">
        <v>55</v>
      </c>
      <c r="AA20" s="77" t="s">
        <v>76</v>
      </c>
      <c r="AB20" s="34" t="s">
        <v>195</v>
      </c>
      <c r="AE20" s="22"/>
      <c r="AP20" s="27" t="s">
        <v>96</v>
      </c>
      <c r="AR20" s="80" t="s">
        <v>89</v>
      </c>
      <c r="AV20" s="27" t="s">
        <v>114</v>
      </c>
    </row>
    <row r="21" spans="1:48" x14ac:dyDescent="0.15">
      <c r="A21" s="77" t="s">
        <v>24</v>
      </c>
      <c r="B21" s="77" t="s">
        <v>191</v>
      </c>
      <c r="C21" s="77">
        <v>2020</v>
      </c>
      <c r="D21" s="185" t="s">
        <v>386</v>
      </c>
      <c r="E21" s="77" t="s">
        <v>389</v>
      </c>
      <c r="F21" s="77" t="s">
        <v>390</v>
      </c>
      <c r="G21" s="77" t="s">
        <v>25</v>
      </c>
      <c r="H21" s="77" t="s">
        <v>164</v>
      </c>
      <c r="I21" s="77" t="s">
        <v>111</v>
      </c>
      <c r="J21" s="77" t="s">
        <v>27</v>
      </c>
      <c r="K21" s="77" t="s">
        <v>112</v>
      </c>
      <c r="L21" s="77">
        <v>2</v>
      </c>
      <c r="N21" s="77">
        <v>1</v>
      </c>
      <c r="O21" s="77">
        <v>1.1000000000000001</v>
      </c>
      <c r="P21" s="77">
        <v>1.1000000000000001</v>
      </c>
      <c r="Q21" s="186">
        <f t="shared" si="0"/>
        <v>1.1000000000000001</v>
      </c>
      <c r="R21" s="77">
        <v>16.7</v>
      </c>
      <c r="S21" s="77">
        <v>124</v>
      </c>
      <c r="T21" s="16">
        <f t="shared" si="1"/>
        <v>27</v>
      </c>
      <c r="U21" s="77">
        <v>98</v>
      </c>
      <c r="V21" s="16">
        <f t="shared" si="2"/>
        <v>2646</v>
      </c>
      <c r="W21" s="77">
        <v>6</v>
      </c>
      <c r="X21" s="77" t="s">
        <v>35</v>
      </c>
      <c r="Y21" s="77" t="s">
        <v>43</v>
      </c>
      <c r="Z21" s="77" t="s">
        <v>55</v>
      </c>
      <c r="AA21" s="77" t="s">
        <v>76</v>
      </c>
      <c r="AB21" s="34" t="s">
        <v>195</v>
      </c>
      <c r="AE21" s="22"/>
      <c r="AP21" s="27" t="s">
        <v>97</v>
      </c>
      <c r="AR21" s="80" t="s">
        <v>54</v>
      </c>
      <c r="AV21" s="27" t="s">
        <v>115</v>
      </c>
    </row>
    <row r="22" spans="1:48" x14ac:dyDescent="0.15">
      <c r="A22" s="77" t="s">
        <v>24</v>
      </c>
      <c r="B22" s="77" t="s">
        <v>191</v>
      </c>
      <c r="C22" s="77">
        <v>2020</v>
      </c>
      <c r="D22" s="185" t="s">
        <v>386</v>
      </c>
      <c r="E22" s="77" t="s">
        <v>389</v>
      </c>
      <c r="F22" s="77" t="s">
        <v>390</v>
      </c>
      <c r="G22" s="77" t="s">
        <v>25</v>
      </c>
      <c r="H22" s="77" t="s">
        <v>164</v>
      </c>
      <c r="I22" s="77" t="s">
        <v>111</v>
      </c>
      <c r="J22" s="77" t="s">
        <v>27</v>
      </c>
      <c r="K22" s="77" t="s">
        <v>112</v>
      </c>
      <c r="L22" s="77">
        <v>3</v>
      </c>
      <c r="N22" s="77">
        <v>1</v>
      </c>
      <c r="O22" s="34">
        <v>0.8</v>
      </c>
      <c r="P22" s="77">
        <v>0.9</v>
      </c>
      <c r="Q22" s="186">
        <f t="shared" si="0"/>
        <v>0.85000000000000009</v>
      </c>
      <c r="R22" s="77">
        <v>13</v>
      </c>
      <c r="S22" s="77">
        <v>117</v>
      </c>
      <c r="T22" s="16">
        <f t="shared" si="1"/>
        <v>30</v>
      </c>
      <c r="U22" s="77">
        <v>98</v>
      </c>
      <c r="V22" s="16">
        <f t="shared" si="2"/>
        <v>2940</v>
      </c>
      <c r="W22" s="77">
        <v>6</v>
      </c>
      <c r="X22" s="77" t="s">
        <v>35</v>
      </c>
      <c r="Y22" s="77" t="s">
        <v>43</v>
      </c>
      <c r="Z22" s="77" t="s">
        <v>55</v>
      </c>
      <c r="AA22" s="77" t="s">
        <v>76</v>
      </c>
      <c r="AB22" s="34" t="s">
        <v>195</v>
      </c>
      <c r="AE22" s="35"/>
      <c r="AP22" s="27" t="s">
        <v>98</v>
      </c>
      <c r="AR22" s="80" t="s">
        <v>69</v>
      </c>
      <c r="AV22" s="27"/>
    </row>
    <row r="23" spans="1:48" x14ac:dyDescent="0.15">
      <c r="A23" s="77" t="s">
        <v>24</v>
      </c>
      <c r="B23" s="77" t="s">
        <v>191</v>
      </c>
      <c r="C23" s="77">
        <v>2020</v>
      </c>
      <c r="D23" s="185" t="s">
        <v>386</v>
      </c>
      <c r="E23" s="77" t="s">
        <v>389</v>
      </c>
      <c r="F23" s="77" t="s">
        <v>390</v>
      </c>
      <c r="G23" s="77" t="s">
        <v>25</v>
      </c>
      <c r="H23" s="77" t="s">
        <v>164</v>
      </c>
      <c r="I23" s="77" t="s">
        <v>111</v>
      </c>
      <c r="J23" s="77" t="s">
        <v>27</v>
      </c>
      <c r="K23" s="77" t="s">
        <v>112</v>
      </c>
      <c r="L23" s="77">
        <v>1</v>
      </c>
      <c r="N23" s="77">
        <v>6</v>
      </c>
      <c r="O23" s="34">
        <v>1.3</v>
      </c>
      <c r="P23" s="77">
        <v>1.5</v>
      </c>
      <c r="Q23" s="186">
        <f t="shared" si="0"/>
        <v>1.4</v>
      </c>
      <c r="R23" s="77">
        <v>11.3</v>
      </c>
      <c r="S23" s="77">
        <v>123</v>
      </c>
      <c r="T23" s="16">
        <f t="shared" si="1"/>
        <v>27</v>
      </c>
      <c r="U23" s="77">
        <v>560</v>
      </c>
      <c r="V23" s="16">
        <f t="shared" si="2"/>
        <v>2520</v>
      </c>
      <c r="W23" s="77">
        <v>3</v>
      </c>
      <c r="X23" s="77" t="s">
        <v>35</v>
      </c>
      <c r="Y23" s="77" t="s">
        <v>43</v>
      </c>
      <c r="Z23" s="77" t="s">
        <v>55</v>
      </c>
      <c r="AA23" s="77" t="s">
        <v>76</v>
      </c>
      <c r="AB23" s="34" t="s">
        <v>195</v>
      </c>
      <c r="AE23" s="22"/>
      <c r="AP23" s="27" t="s">
        <v>116</v>
      </c>
      <c r="AR23" s="80" t="s">
        <v>48</v>
      </c>
      <c r="AV23" s="27"/>
    </row>
    <row r="24" spans="1:48" x14ac:dyDescent="0.15">
      <c r="A24" s="77" t="s">
        <v>24</v>
      </c>
      <c r="B24" s="77" t="s">
        <v>191</v>
      </c>
      <c r="C24" s="77">
        <v>2020</v>
      </c>
      <c r="D24" s="185" t="s">
        <v>386</v>
      </c>
      <c r="E24" s="77" t="s">
        <v>389</v>
      </c>
      <c r="F24" s="77" t="s">
        <v>390</v>
      </c>
      <c r="G24" s="77" t="s">
        <v>25</v>
      </c>
      <c r="H24" s="77" t="s">
        <v>164</v>
      </c>
      <c r="I24" s="77" t="s">
        <v>111</v>
      </c>
      <c r="J24" s="77" t="s">
        <v>27</v>
      </c>
      <c r="K24" s="77" t="s">
        <v>112</v>
      </c>
      <c r="L24" s="77">
        <v>2</v>
      </c>
      <c r="N24" s="77">
        <v>6</v>
      </c>
      <c r="O24" s="77">
        <v>1.1000000000000001</v>
      </c>
      <c r="P24" s="77">
        <v>1.2</v>
      </c>
      <c r="Q24" s="186">
        <f t="shared" si="0"/>
        <v>1.1499999999999999</v>
      </c>
      <c r="R24" s="77">
        <v>12</v>
      </c>
      <c r="S24" s="77">
        <v>119</v>
      </c>
      <c r="T24" s="16">
        <f t="shared" si="1"/>
        <v>30</v>
      </c>
      <c r="U24" s="77">
        <v>560</v>
      </c>
      <c r="V24" s="16">
        <f t="shared" si="2"/>
        <v>2800</v>
      </c>
      <c r="W24" s="77">
        <v>3</v>
      </c>
      <c r="X24" s="77" t="s">
        <v>35</v>
      </c>
      <c r="Y24" s="77" t="s">
        <v>43</v>
      </c>
      <c r="Z24" s="77" t="s">
        <v>55</v>
      </c>
      <c r="AA24" s="77" t="s">
        <v>76</v>
      </c>
      <c r="AB24" s="34" t="s">
        <v>195</v>
      </c>
      <c r="AE24" s="22"/>
      <c r="AP24" s="27" t="s">
        <v>117</v>
      </c>
      <c r="AR24" s="80" t="s">
        <v>77</v>
      </c>
      <c r="AV24" s="27"/>
    </row>
    <row r="25" spans="1:48" x14ac:dyDescent="0.15">
      <c r="A25" s="77" t="s">
        <v>24</v>
      </c>
      <c r="B25" s="77" t="s">
        <v>191</v>
      </c>
      <c r="C25" s="77">
        <v>2020</v>
      </c>
      <c r="D25" s="185" t="s">
        <v>386</v>
      </c>
      <c r="E25" s="77" t="s">
        <v>389</v>
      </c>
      <c r="F25" s="77" t="s">
        <v>390</v>
      </c>
      <c r="G25" s="77" t="s">
        <v>25</v>
      </c>
      <c r="H25" s="77" t="s">
        <v>164</v>
      </c>
      <c r="I25" s="77" t="s">
        <v>111</v>
      </c>
      <c r="J25" s="77" t="s">
        <v>27</v>
      </c>
      <c r="K25" s="77" t="s">
        <v>112</v>
      </c>
      <c r="L25" s="77">
        <v>3</v>
      </c>
      <c r="N25" s="77">
        <v>6</v>
      </c>
      <c r="O25" s="77">
        <v>1.5</v>
      </c>
      <c r="P25" s="77">
        <v>1.3</v>
      </c>
      <c r="Q25" s="186">
        <f t="shared" si="0"/>
        <v>1.4</v>
      </c>
      <c r="R25" s="77">
        <v>17</v>
      </c>
      <c r="S25" s="77">
        <v>126</v>
      </c>
      <c r="T25" s="16">
        <f t="shared" si="1"/>
        <v>27</v>
      </c>
      <c r="U25" s="77">
        <v>560</v>
      </c>
      <c r="V25" s="16">
        <f t="shared" si="2"/>
        <v>2520</v>
      </c>
      <c r="W25" s="77">
        <v>3</v>
      </c>
      <c r="X25" s="77" t="s">
        <v>35</v>
      </c>
      <c r="Y25" s="77" t="s">
        <v>43</v>
      </c>
      <c r="Z25" s="77" t="s">
        <v>55</v>
      </c>
      <c r="AA25" s="77" t="s">
        <v>76</v>
      </c>
      <c r="AB25" s="34" t="s">
        <v>195</v>
      </c>
      <c r="AE25" s="35"/>
      <c r="AP25" s="27" t="s">
        <v>99</v>
      </c>
      <c r="AR25" s="27" t="s">
        <v>78</v>
      </c>
      <c r="AV25" s="27"/>
    </row>
    <row r="26" spans="1:48" x14ac:dyDescent="0.15">
      <c r="A26" s="77" t="s">
        <v>24</v>
      </c>
      <c r="B26" s="77" t="s">
        <v>191</v>
      </c>
      <c r="C26" s="77">
        <v>2020</v>
      </c>
      <c r="D26" s="185" t="s">
        <v>386</v>
      </c>
      <c r="E26" s="77" t="s">
        <v>389</v>
      </c>
      <c r="F26" s="77" t="s">
        <v>390</v>
      </c>
      <c r="G26" s="77" t="s">
        <v>25</v>
      </c>
      <c r="H26" s="77" t="s">
        <v>164</v>
      </c>
      <c r="I26" s="77" t="s">
        <v>166</v>
      </c>
      <c r="J26" s="77" t="s">
        <v>27</v>
      </c>
      <c r="K26" s="77" t="s">
        <v>112</v>
      </c>
      <c r="L26" s="77">
        <v>1</v>
      </c>
      <c r="N26" s="77">
        <v>4</v>
      </c>
      <c r="O26" s="77">
        <v>0.9</v>
      </c>
      <c r="P26" s="77">
        <v>1</v>
      </c>
      <c r="Q26" s="186">
        <f t="shared" si="0"/>
        <v>0.95</v>
      </c>
      <c r="R26" s="77">
        <v>12</v>
      </c>
      <c r="S26" s="77">
        <v>101</v>
      </c>
      <c r="T26" s="16">
        <f t="shared" si="1"/>
        <v>33</v>
      </c>
      <c r="U26" s="77">
        <v>580</v>
      </c>
      <c r="V26" s="16">
        <f t="shared" si="2"/>
        <v>4785</v>
      </c>
      <c r="W26" s="77">
        <v>2</v>
      </c>
      <c r="X26" s="77" t="s">
        <v>35</v>
      </c>
      <c r="Y26" s="77" t="s">
        <v>43</v>
      </c>
      <c r="Z26" s="77" t="s">
        <v>55</v>
      </c>
      <c r="AA26" s="77" t="s">
        <v>76</v>
      </c>
      <c r="AB26" s="34" t="s">
        <v>195</v>
      </c>
      <c r="AE26" s="35"/>
      <c r="AP26" s="27" t="s">
        <v>100</v>
      </c>
      <c r="AR26" s="80" t="s">
        <v>138</v>
      </c>
      <c r="AV26" s="28"/>
    </row>
    <row r="27" spans="1:48" x14ac:dyDescent="0.15">
      <c r="A27" s="77" t="s">
        <v>24</v>
      </c>
      <c r="B27" s="77" t="s">
        <v>191</v>
      </c>
      <c r="C27" s="77">
        <v>2020</v>
      </c>
      <c r="D27" s="185" t="s">
        <v>386</v>
      </c>
      <c r="E27" s="77" t="s">
        <v>389</v>
      </c>
      <c r="F27" s="77" t="s">
        <v>390</v>
      </c>
      <c r="G27" s="77" t="s">
        <v>25</v>
      </c>
      <c r="H27" s="77" t="s">
        <v>164</v>
      </c>
      <c r="I27" s="77" t="s">
        <v>166</v>
      </c>
      <c r="J27" s="77" t="s">
        <v>27</v>
      </c>
      <c r="K27" s="77" t="s">
        <v>112</v>
      </c>
      <c r="L27" s="77">
        <v>2</v>
      </c>
      <c r="N27" s="77">
        <v>4</v>
      </c>
      <c r="O27" s="77">
        <v>1.25</v>
      </c>
      <c r="P27" s="77">
        <v>1.3</v>
      </c>
      <c r="Q27" s="186">
        <f t="shared" si="0"/>
        <v>1.2749999999999999</v>
      </c>
      <c r="R27" s="77">
        <v>11.3</v>
      </c>
      <c r="S27" s="77">
        <v>106</v>
      </c>
      <c r="T27" s="16">
        <f t="shared" si="1"/>
        <v>33</v>
      </c>
      <c r="U27" s="77">
        <v>580</v>
      </c>
      <c r="V27" s="16">
        <f t="shared" si="2"/>
        <v>4785</v>
      </c>
      <c r="W27" s="77">
        <v>2</v>
      </c>
      <c r="X27" s="77" t="s">
        <v>35</v>
      </c>
      <c r="Y27" s="77" t="s">
        <v>43</v>
      </c>
      <c r="Z27" s="77" t="s">
        <v>55</v>
      </c>
      <c r="AA27" s="77" t="s">
        <v>76</v>
      </c>
      <c r="AB27" s="34" t="s">
        <v>195</v>
      </c>
      <c r="AE27" s="28"/>
      <c r="AP27" s="27" t="s">
        <v>101</v>
      </c>
      <c r="AR27" s="80" t="s">
        <v>159</v>
      </c>
    </row>
    <row r="28" spans="1:48" x14ac:dyDescent="0.15">
      <c r="A28" s="77" t="s">
        <v>24</v>
      </c>
      <c r="B28" s="77" t="s">
        <v>191</v>
      </c>
      <c r="C28" s="77">
        <v>2020</v>
      </c>
      <c r="D28" s="185" t="s">
        <v>386</v>
      </c>
      <c r="E28" s="77" t="s">
        <v>389</v>
      </c>
      <c r="F28" s="77" t="s">
        <v>390</v>
      </c>
      <c r="G28" s="77" t="s">
        <v>25</v>
      </c>
      <c r="H28" s="77" t="s">
        <v>164</v>
      </c>
      <c r="I28" s="77" t="s">
        <v>166</v>
      </c>
      <c r="J28" s="77" t="s">
        <v>27</v>
      </c>
      <c r="K28" s="77" t="s">
        <v>112</v>
      </c>
      <c r="L28" s="77">
        <v>3</v>
      </c>
      <c r="N28" s="77">
        <v>4</v>
      </c>
      <c r="O28" s="77">
        <v>1.3</v>
      </c>
      <c r="P28" s="77">
        <v>1.1000000000000001</v>
      </c>
      <c r="Q28" s="186">
        <f t="shared" si="0"/>
        <v>1.2000000000000002</v>
      </c>
      <c r="R28" s="77">
        <v>12.4</v>
      </c>
      <c r="S28" s="77">
        <v>99</v>
      </c>
      <c r="T28" s="16">
        <f t="shared" si="1"/>
        <v>33</v>
      </c>
      <c r="U28" s="77">
        <v>580</v>
      </c>
      <c r="V28" s="16">
        <f t="shared" si="2"/>
        <v>4785</v>
      </c>
      <c r="W28" s="77">
        <v>2</v>
      </c>
      <c r="X28" s="77" t="s">
        <v>35</v>
      </c>
      <c r="Y28" s="77" t="s">
        <v>43</v>
      </c>
      <c r="Z28" s="77" t="s">
        <v>55</v>
      </c>
      <c r="AA28" s="77" t="s">
        <v>76</v>
      </c>
      <c r="AB28" s="34" t="s">
        <v>195</v>
      </c>
      <c r="AP28" s="27" t="s">
        <v>156</v>
      </c>
      <c r="AR28" s="80" t="s">
        <v>158</v>
      </c>
    </row>
    <row r="29" spans="1:48" x14ac:dyDescent="0.15">
      <c r="A29" s="77" t="s">
        <v>24</v>
      </c>
      <c r="B29" s="77" t="s">
        <v>191</v>
      </c>
      <c r="C29" s="77">
        <v>2020</v>
      </c>
      <c r="D29" s="185" t="s">
        <v>386</v>
      </c>
      <c r="E29" s="77" t="s">
        <v>384</v>
      </c>
      <c r="F29" s="77" t="s">
        <v>385</v>
      </c>
      <c r="G29" s="77" t="s">
        <v>25</v>
      </c>
      <c r="H29" s="77" t="s">
        <v>113</v>
      </c>
      <c r="I29" s="77" t="s">
        <v>111</v>
      </c>
      <c r="J29" s="77" t="s">
        <v>27</v>
      </c>
      <c r="K29" s="77" t="s">
        <v>112</v>
      </c>
      <c r="L29" s="77">
        <v>1</v>
      </c>
      <c r="N29" s="77">
        <v>1</v>
      </c>
      <c r="O29" s="77">
        <v>0.9</v>
      </c>
      <c r="P29" s="77">
        <v>1</v>
      </c>
      <c r="Q29" s="186">
        <f t="shared" si="0"/>
        <v>0.95</v>
      </c>
      <c r="R29" s="77">
        <v>11.8</v>
      </c>
      <c r="S29" s="77">
        <v>116</v>
      </c>
      <c r="T29" s="16">
        <f t="shared" si="1"/>
        <v>30</v>
      </c>
      <c r="U29" s="77">
        <v>99</v>
      </c>
      <c r="V29" s="16">
        <f t="shared" si="2"/>
        <v>2970</v>
      </c>
      <c r="W29" s="77">
        <v>3</v>
      </c>
      <c r="X29" s="77" t="s">
        <v>35</v>
      </c>
      <c r="Y29" s="77" t="s">
        <v>43</v>
      </c>
      <c r="Z29" s="77" t="s">
        <v>76</v>
      </c>
      <c r="AA29" s="77" t="s">
        <v>36</v>
      </c>
      <c r="AB29" s="34" t="s">
        <v>195</v>
      </c>
      <c r="AP29" s="27" t="s">
        <v>157</v>
      </c>
      <c r="AR29" s="28"/>
      <c r="AV29" s="28"/>
    </row>
    <row r="30" spans="1:48" x14ac:dyDescent="0.15">
      <c r="A30" s="77" t="s">
        <v>24</v>
      </c>
      <c r="B30" s="77" t="s">
        <v>191</v>
      </c>
      <c r="C30" s="77">
        <v>2020</v>
      </c>
      <c r="D30" s="185" t="s">
        <v>386</v>
      </c>
      <c r="E30" s="77" t="s">
        <v>384</v>
      </c>
      <c r="F30" s="77" t="s">
        <v>385</v>
      </c>
      <c r="G30" s="77" t="s">
        <v>25</v>
      </c>
      <c r="H30" s="77" t="s">
        <v>113</v>
      </c>
      <c r="I30" s="77" t="s">
        <v>111</v>
      </c>
      <c r="J30" s="77" t="s">
        <v>27</v>
      </c>
      <c r="K30" s="77" t="s">
        <v>112</v>
      </c>
      <c r="L30" s="77">
        <v>2</v>
      </c>
      <c r="N30" s="77">
        <v>1</v>
      </c>
      <c r="O30" s="77">
        <v>1.75</v>
      </c>
      <c r="P30" s="77">
        <v>1.5</v>
      </c>
      <c r="Q30" s="186">
        <f t="shared" si="0"/>
        <v>1.625</v>
      </c>
      <c r="R30" s="77">
        <v>11.1</v>
      </c>
      <c r="S30" s="77">
        <v>121</v>
      </c>
      <c r="T30" s="16">
        <f t="shared" si="1"/>
        <v>27</v>
      </c>
      <c r="U30" s="77">
        <v>99</v>
      </c>
      <c r="V30" s="16">
        <f t="shared" si="2"/>
        <v>2673</v>
      </c>
      <c r="W30" s="77">
        <v>3</v>
      </c>
      <c r="X30" s="77" t="s">
        <v>35</v>
      </c>
      <c r="Y30" s="77" t="s">
        <v>43</v>
      </c>
      <c r="Z30" s="77" t="s">
        <v>76</v>
      </c>
      <c r="AA30" s="77" t="s">
        <v>36</v>
      </c>
      <c r="AB30" s="34" t="s">
        <v>195</v>
      </c>
      <c r="AP30" s="27"/>
      <c r="AR30" s="27"/>
    </row>
    <row r="31" spans="1:48" x14ac:dyDescent="0.15">
      <c r="A31" s="77" t="s">
        <v>24</v>
      </c>
      <c r="B31" s="77" t="s">
        <v>191</v>
      </c>
      <c r="C31" s="77">
        <v>2020</v>
      </c>
      <c r="D31" s="185" t="s">
        <v>386</v>
      </c>
      <c r="E31" s="77" t="s">
        <v>384</v>
      </c>
      <c r="F31" s="77" t="s">
        <v>385</v>
      </c>
      <c r="G31" s="77" t="s">
        <v>25</v>
      </c>
      <c r="H31" s="77" t="s">
        <v>113</v>
      </c>
      <c r="I31" s="77" t="s">
        <v>111</v>
      </c>
      <c r="J31" s="77" t="s">
        <v>27</v>
      </c>
      <c r="K31" s="77" t="s">
        <v>112</v>
      </c>
      <c r="L31" s="77">
        <v>3</v>
      </c>
      <c r="N31" s="77">
        <v>1</v>
      </c>
      <c r="O31" s="77">
        <v>1.25</v>
      </c>
      <c r="P31" s="77">
        <v>1.1000000000000001</v>
      </c>
      <c r="Q31" s="186">
        <f t="shared" si="0"/>
        <v>1.175</v>
      </c>
      <c r="R31" s="77">
        <v>11.9</v>
      </c>
      <c r="S31" s="77">
        <v>129</v>
      </c>
      <c r="T31" s="16">
        <f t="shared" si="1"/>
        <v>25</v>
      </c>
      <c r="U31" s="77">
        <v>99</v>
      </c>
      <c r="V31" s="16">
        <f t="shared" si="2"/>
        <v>2475</v>
      </c>
      <c r="W31" s="77">
        <v>3</v>
      </c>
      <c r="X31" s="77" t="s">
        <v>35</v>
      </c>
      <c r="Y31" s="77" t="s">
        <v>43</v>
      </c>
      <c r="Z31" s="77" t="s">
        <v>76</v>
      </c>
      <c r="AA31" s="77" t="s">
        <v>36</v>
      </c>
      <c r="AB31" s="34" t="s">
        <v>195</v>
      </c>
      <c r="AP31" s="27"/>
      <c r="AR31" s="27"/>
    </row>
    <row r="32" spans="1:48" x14ac:dyDescent="0.15">
      <c r="A32" s="77" t="s">
        <v>24</v>
      </c>
      <c r="B32" s="77" t="s">
        <v>191</v>
      </c>
      <c r="C32" s="77">
        <v>2020</v>
      </c>
      <c r="D32" s="185" t="s">
        <v>386</v>
      </c>
      <c r="E32" s="77" t="s">
        <v>384</v>
      </c>
      <c r="F32" s="77" t="s">
        <v>385</v>
      </c>
      <c r="G32" s="77" t="s">
        <v>25</v>
      </c>
      <c r="H32" s="77" t="s">
        <v>113</v>
      </c>
      <c r="I32" s="77" t="s">
        <v>111</v>
      </c>
      <c r="J32" s="77" t="s">
        <v>27</v>
      </c>
      <c r="K32" s="77" t="s">
        <v>112</v>
      </c>
      <c r="L32" s="77">
        <v>1</v>
      </c>
      <c r="N32" s="77">
        <v>5</v>
      </c>
      <c r="O32" s="77">
        <v>0.75</v>
      </c>
      <c r="P32" s="77">
        <v>0.75</v>
      </c>
      <c r="Q32" s="186">
        <f t="shared" si="0"/>
        <v>0.75</v>
      </c>
      <c r="R32" s="77">
        <v>12.8</v>
      </c>
      <c r="S32" s="77">
        <v>94</v>
      </c>
      <c r="T32" s="16">
        <f t="shared" si="1"/>
        <v>36</v>
      </c>
      <c r="U32" s="77">
        <v>398</v>
      </c>
      <c r="V32" s="16">
        <f t="shared" si="2"/>
        <v>2865.6</v>
      </c>
      <c r="W32" s="77">
        <v>3</v>
      </c>
      <c r="X32" s="77" t="s">
        <v>35</v>
      </c>
      <c r="Y32" s="77" t="s">
        <v>43</v>
      </c>
      <c r="Z32" s="77" t="s">
        <v>76</v>
      </c>
      <c r="AA32" s="77" t="s">
        <v>36</v>
      </c>
      <c r="AB32" s="34" t="s">
        <v>195</v>
      </c>
      <c r="AP32" s="28"/>
      <c r="AR32" s="28"/>
    </row>
    <row r="33" spans="1:28" x14ac:dyDescent="0.15">
      <c r="A33" s="77" t="s">
        <v>24</v>
      </c>
      <c r="B33" s="77" t="s">
        <v>191</v>
      </c>
      <c r="C33" s="77">
        <v>2020</v>
      </c>
      <c r="D33" s="185" t="s">
        <v>386</v>
      </c>
      <c r="E33" s="77" t="s">
        <v>384</v>
      </c>
      <c r="F33" s="77" t="s">
        <v>385</v>
      </c>
      <c r="G33" s="77" t="s">
        <v>25</v>
      </c>
      <c r="H33" s="77" t="s">
        <v>113</v>
      </c>
      <c r="I33" s="77" t="s">
        <v>111</v>
      </c>
      <c r="J33" s="77" t="s">
        <v>27</v>
      </c>
      <c r="K33" s="77" t="s">
        <v>112</v>
      </c>
      <c r="L33" s="77">
        <v>2</v>
      </c>
      <c r="N33" s="77">
        <v>5</v>
      </c>
      <c r="O33" s="77">
        <v>0.9</v>
      </c>
      <c r="P33" s="77">
        <v>0.8</v>
      </c>
      <c r="Q33" s="186">
        <f t="shared" si="0"/>
        <v>0.85000000000000009</v>
      </c>
      <c r="R33" s="77">
        <v>12.2</v>
      </c>
      <c r="S33" s="77">
        <v>101</v>
      </c>
      <c r="T33" s="16">
        <f t="shared" si="1"/>
        <v>33</v>
      </c>
      <c r="U33" s="77">
        <v>398</v>
      </c>
      <c r="V33" s="16">
        <f t="shared" si="2"/>
        <v>2626.7999999999997</v>
      </c>
      <c r="W33" s="77">
        <v>3</v>
      </c>
      <c r="X33" s="77" t="s">
        <v>35</v>
      </c>
      <c r="Y33" s="77" t="s">
        <v>43</v>
      </c>
      <c r="Z33" s="77" t="s">
        <v>76</v>
      </c>
      <c r="AA33" s="77" t="s">
        <v>36</v>
      </c>
      <c r="AB33" s="34" t="s">
        <v>195</v>
      </c>
    </row>
    <row r="34" spans="1:28" x14ac:dyDescent="0.15">
      <c r="A34" s="77" t="s">
        <v>24</v>
      </c>
      <c r="B34" s="77" t="s">
        <v>191</v>
      </c>
      <c r="C34" s="77">
        <v>2020</v>
      </c>
      <c r="D34" s="185" t="s">
        <v>386</v>
      </c>
      <c r="E34" s="77" t="s">
        <v>384</v>
      </c>
      <c r="F34" s="77" t="s">
        <v>385</v>
      </c>
      <c r="G34" s="77" t="s">
        <v>25</v>
      </c>
      <c r="H34" s="77" t="s">
        <v>113</v>
      </c>
      <c r="I34" s="77" t="s">
        <v>111</v>
      </c>
      <c r="J34" s="77" t="s">
        <v>27</v>
      </c>
      <c r="K34" s="77" t="s">
        <v>112</v>
      </c>
      <c r="L34" s="77">
        <v>3</v>
      </c>
      <c r="N34" s="77">
        <v>5</v>
      </c>
      <c r="O34" s="77">
        <v>0.8</v>
      </c>
      <c r="P34" s="77">
        <v>0.9</v>
      </c>
      <c r="Q34" s="186">
        <f t="shared" si="0"/>
        <v>0.85000000000000009</v>
      </c>
      <c r="R34" s="77">
        <v>12.2</v>
      </c>
      <c r="S34" s="77">
        <v>102</v>
      </c>
      <c r="T34" s="16">
        <f t="shared" si="1"/>
        <v>33</v>
      </c>
      <c r="U34" s="77">
        <v>398</v>
      </c>
      <c r="V34" s="16">
        <f t="shared" si="2"/>
        <v>2626.7999999999997</v>
      </c>
      <c r="W34" s="77">
        <v>3</v>
      </c>
      <c r="X34" s="77" t="s">
        <v>35</v>
      </c>
      <c r="Y34" s="77" t="s">
        <v>43</v>
      </c>
      <c r="Z34" s="77" t="s">
        <v>76</v>
      </c>
      <c r="AA34" s="77" t="s">
        <v>36</v>
      </c>
      <c r="AB34" s="34" t="s">
        <v>195</v>
      </c>
    </row>
    <row r="35" spans="1:28" x14ac:dyDescent="0.15">
      <c r="A35" s="77" t="s">
        <v>24</v>
      </c>
      <c r="B35" s="77" t="s">
        <v>191</v>
      </c>
      <c r="C35" s="77">
        <v>2020</v>
      </c>
      <c r="D35" s="185" t="s">
        <v>386</v>
      </c>
      <c r="E35" s="77" t="s">
        <v>384</v>
      </c>
      <c r="F35" s="77" t="s">
        <v>385</v>
      </c>
      <c r="G35" s="77" t="s">
        <v>25</v>
      </c>
      <c r="H35" s="77" t="s">
        <v>113</v>
      </c>
      <c r="I35" s="77" t="s">
        <v>166</v>
      </c>
      <c r="J35" s="77" t="s">
        <v>27</v>
      </c>
      <c r="K35" s="77" t="s">
        <v>112</v>
      </c>
      <c r="L35" s="77">
        <v>1</v>
      </c>
      <c r="N35" s="77">
        <v>5</v>
      </c>
      <c r="O35" s="77">
        <v>1.5</v>
      </c>
      <c r="P35" s="77">
        <v>1.6</v>
      </c>
      <c r="Q35" s="186">
        <f t="shared" si="0"/>
        <v>1.55</v>
      </c>
      <c r="R35" s="77">
        <v>10.7</v>
      </c>
      <c r="S35" s="77">
        <v>90</v>
      </c>
      <c r="T35" s="16">
        <f t="shared" si="1"/>
        <v>36</v>
      </c>
      <c r="U35" s="77">
        <v>398</v>
      </c>
      <c r="V35" s="16">
        <f t="shared" si="2"/>
        <v>2865.6</v>
      </c>
      <c r="W35" s="77">
        <v>1</v>
      </c>
      <c r="X35" s="77" t="s">
        <v>35</v>
      </c>
      <c r="Y35" s="77" t="s">
        <v>43</v>
      </c>
      <c r="Z35" s="77" t="s">
        <v>76</v>
      </c>
      <c r="AA35" s="77" t="s">
        <v>36</v>
      </c>
      <c r="AB35" s="34" t="s">
        <v>195</v>
      </c>
    </row>
    <row r="36" spans="1:28" x14ac:dyDescent="0.15">
      <c r="A36" s="77" t="s">
        <v>24</v>
      </c>
      <c r="B36" s="77" t="s">
        <v>191</v>
      </c>
      <c r="C36" s="77">
        <v>2020</v>
      </c>
      <c r="D36" s="185" t="s">
        <v>386</v>
      </c>
      <c r="E36" s="77" t="s">
        <v>384</v>
      </c>
      <c r="F36" s="77" t="s">
        <v>385</v>
      </c>
      <c r="G36" s="77" t="s">
        <v>25</v>
      </c>
      <c r="H36" s="77" t="s">
        <v>113</v>
      </c>
      <c r="I36" s="77" t="s">
        <v>166</v>
      </c>
      <c r="J36" s="77" t="s">
        <v>27</v>
      </c>
      <c r="K36" s="77" t="s">
        <v>112</v>
      </c>
      <c r="L36" s="77">
        <v>2</v>
      </c>
      <c r="N36" s="77">
        <v>5</v>
      </c>
      <c r="O36" s="77">
        <v>1.25</v>
      </c>
      <c r="P36" s="77">
        <v>1.4</v>
      </c>
      <c r="Q36" s="186">
        <f t="shared" si="0"/>
        <v>1.325</v>
      </c>
      <c r="R36" s="77">
        <v>10.1</v>
      </c>
      <c r="S36" s="77">
        <v>84</v>
      </c>
      <c r="T36" s="16">
        <f t="shared" si="1"/>
        <v>36</v>
      </c>
      <c r="U36" s="77">
        <v>398</v>
      </c>
      <c r="V36" s="16">
        <f t="shared" si="2"/>
        <v>2865.6</v>
      </c>
      <c r="W36" s="77">
        <v>1</v>
      </c>
      <c r="X36" s="77" t="s">
        <v>35</v>
      </c>
      <c r="Y36" s="77" t="s">
        <v>43</v>
      </c>
      <c r="Z36" s="77" t="s">
        <v>76</v>
      </c>
      <c r="AA36" s="77" t="s">
        <v>36</v>
      </c>
      <c r="AB36" s="34" t="s">
        <v>195</v>
      </c>
    </row>
    <row r="37" spans="1:28" x14ac:dyDescent="0.15">
      <c r="A37" s="77" t="s">
        <v>24</v>
      </c>
      <c r="B37" s="77" t="s">
        <v>191</v>
      </c>
      <c r="C37" s="77">
        <v>2020</v>
      </c>
      <c r="D37" s="185" t="s">
        <v>386</v>
      </c>
      <c r="E37" s="77" t="s">
        <v>384</v>
      </c>
      <c r="F37" s="77" t="s">
        <v>385</v>
      </c>
      <c r="G37" s="77" t="s">
        <v>25</v>
      </c>
      <c r="H37" s="77" t="s">
        <v>113</v>
      </c>
      <c r="I37" s="77" t="s">
        <v>166</v>
      </c>
      <c r="J37" s="77" t="s">
        <v>27</v>
      </c>
      <c r="K37" s="77" t="s">
        <v>112</v>
      </c>
      <c r="L37" s="77">
        <v>3</v>
      </c>
      <c r="N37" s="77">
        <v>5</v>
      </c>
      <c r="O37" s="34">
        <v>1.6</v>
      </c>
      <c r="P37" s="34">
        <v>1.75</v>
      </c>
      <c r="Q37" s="186">
        <f t="shared" si="0"/>
        <v>1.675</v>
      </c>
      <c r="R37" s="77">
        <v>10.1</v>
      </c>
      <c r="S37" s="77">
        <v>92</v>
      </c>
      <c r="T37" s="16">
        <f t="shared" si="1"/>
        <v>36</v>
      </c>
      <c r="U37" s="77">
        <v>398</v>
      </c>
      <c r="V37" s="16">
        <f t="shared" si="2"/>
        <v>2865.6</v>
      </c>
      <c r="W37" s="77">
        <v>1</v>
      </c>
      <c r="X37" s="77" t="s">
        <v>35</v>
      </c>
      <c r="Y37" s="77" t="s">
        <v>43</v>
      </c>
      <c r="Z37" s="77" t="s">
        <v>76</v>
      </c>
      <c r="AA37" s="77" t="s">
        <v>36</v>
      </c>
      <c r="AB37" s="34" t="s">
        <v>195</v>
      </c>
    </row>
    <row r="38" spans="1:28" x14ac:dyDescent="0.15">
      <c r="A38" s="77" t="s">
        <v>24</v>
      </c>
      <c r="B38" s="77" t="s">
        <v>191</v>
      </c>
      <c r="C38" s="77">
        <v>2020</v>
      </c>
      <c r="D38" s="185" t="s">
        <v>386</v>
      </c>
      <c r="E38" s="77" t="s">
        <v>384</v>
      </c>
      <c r="F38" s="77" t="s">
        <v>385</v>
      </c>
      <c r="G38" s="77" t="s">
        <v>25</v>
      </c>
      <c r="H38" s="77" t="s">
        <v>164</v>
      </c>
      <c r="I38" s="77" t="s">
        <v>111</v>
      </c>
      <c r="J38" s="77" t="s">
        <v>27</v>
      </c>
      <c r="K38" s="77" t="s">
        <v>112</v>
      </c>
      <c r="L38" s="77">
        <v>1</v>
      </c>
      <c r="N38" s="77">
        <v>1</v>
      </c>
      <c r="O38" s="34">
        <v>1.5</v>
      </c>
      <c r="P38" s="34">
        <v>1.6</v>
      </c>
      <c r="Q38" s="186">
        <f t="shared" si="0"/>
        <v>1.55</v>
      </c>
      <c r="R38" s="77">
        <v>12.4</v>
      </c>
      <c r="S38" s="77">
        <v>152</v>
      </c>
      <c r="T38" s="16">
        <f t="shared" si="1"/>
        <v>18</v>
      </c>
      <c r="U38" s="77">
        <v>128</v>
      </c>
      <c r="V38" s="16">
        <f t="shared" si="2"/>
        <v>2304</v>
      </c>
      <c r="W38" s="77">
        <v>6</v>
      </c>
      <c r="X38" s="77" t="s">
        <v>35</v>
      </c>
      <c r="Y38" s="77" t="s">
        <v>43</v>
      </c>
      <c r="Z38" s="77" t="s">
        <v>76</v>
      </c>
      <c r="AA38" s="77" t="s">
        <v>36</v>
      </c>
      <c r="AB38" s="34" t="s">
        <v>195</v>
      </c>
    </row>
    <row r="39" spans="1:28" x14ac:dyDescent="0.15">
      <c r="A39" s="77" t="s">
        <v>24</v>
      </c>
      <c r="B39" s="77" t="s">
        <v>191</v>
      </c>
      <c r="C39" s="77">
        <v>2020</v>
      </c>
      <c r="D39" s="185" t="s">
        <v>386</v>
      </c>
      <c r="E39" s="77" t="s">
        <v>384</v>
      </c>
      <c r="F39" s="77" t="s">
        <v>385</v>
      </c>
      <c r="G39" s="77" t="s">
        <v>25</v>
      </c>
      <c r="H39" s="77" t="s">
        <v>164</v>
      </c>
      <c r="I39" s="77" t="s">
        <v>111</v>
      </c>
      <c r="J39" s="77" t="s">
        <v>27</v>
      </c>
      <c r="K39" s="77" t="s">
        <v>112</v>
      </c>
      <c r="L39" s="77">
        <v>2</v>
      </c>
      <c r="N39" s="77">
        <v>1</v>
      </c>
      <c r="O39" s="77">
        <v>2</v>
      </c>
      <c r="P39" s="77">
        <v>2</v>
      </c>
      <c r="Q39" s="186">
        <f t="shared" si="0"/>
        <v>2</v>
      </c>
      <c r="R39" s="34">
        <v>10.3</v>
      </c>
      <c r="S39" s="77">
        <v>154</v>
      </c>
      <c r="T39" s="16">
        <f t="shared" si="1"/>
        <v>18</v>
      </c>
      <c r="U39" s="77">
        <v>128</v>
      </c>
      <c r="V39" s="16">
        <f t="shared" si="2"/>
        <v>2304</v>
      </c>
      <c r="W39" s="77">
        <v>6</v>
      </c>
      <c r="X39" s="77" t="s">
        <v>35</v>
      </c>
      <c r="Y39" s="77" t="s">
        <v>43</v>
      </c>
      <c r="Z39" s="77" t="s">
        <v>76</v>
      </c>
      <c r="AA39" s="77" t="s">
        <v>36</v>
      </c>
      <c r="AB39" s="34" t="s">
        <v>195</v>
      </c>
    </row>
    <row r="40" spans="1:28" x14ac:dyDescent="0.15">
      <c r="A40" s="77" t="s">
        <v>24</v>
      </c>
      <c r="B40" s="77" t="s">
        <v>191</v>
      </c>
      <c r="C40" s="77">
        <v>2020</v>
      </c>
      <c r="D40" s="185" t="s">
        <v>386</v>
      </c>
      <c r="E40" s="77" t="s">
        <v>384</v>
      </c>
      <c r="F40" s="77" t="s">
        <v>385</v>
      </c>
      <c r="G40" s="77" t="s">
        <v>25</v>
      </c>
      <c r="H40" s="77" t="s">
        <v>164</v>
      </c>
      <c r="I40" s="77" t="s">
        <v>111</v>
      </c>
      <c r="J40" s="77" t="s">
        <v>27</v>
      </c>
      <c r="K40" s="77" t="s">
        <v>112</v>
      </c>
      <c r="L40" s="77">
        <v>3</v>
      </c>
      <c r="N40" s="77">
        <v>1</v>
      </c>
      <c r="O40" s="77">
        <v>1.75</v>
      </c>
      <c r="P40" s="77">
        <v>1.6</v>
      </c>
      <c r="Q40" s="186">
        <f t="shared" si="0"/>
        <v>1.675</v>
      </c>
      <c r="R40" s="77">
        <v>11.3</v>
      </c>
      <c r="S40" s="77">
        <v>150</v>
      </c>
      <c r="T40" s="16">
        <f t="shared" si="1"/>
        <v>22</v>
      </c>
      <c r="U40" s="77">
        <v>128</v>
      </c>
      <c r="V40" s="16">
        <f t="shared" si="2"/>
        <v>2816</v>
      </c>
      <c r="W40" s="77">
        <v>6</v>
      </c>
      <c r="X40" s="77" t="s">
        <v>35</v>
      </c>
      <c r="Y40" s="77" t="s">
        <v>43</v>
      </c>
      <c r="Z40" s="77" t="s">
        <v>76</v>
      </c>
      <c r="AA40" s="77" t="s">
        <v>36</v>
      </c>
      <c r="AB40" s="34" t="s">
        <v>195</v>
      </c>
    </row>
    <row r="41" spans="1:28" ht="12.75" customHeight="1" x14ac:dyDescent="0.15">
      <c r="A41" s="77" t="s">
        <v>24</v>
      </c>
      <c r="B41" s="77" t="s">
        <v>191</v>
      </c>
      <c r="C41" s="77">
        <v>2020</v>
      </c>
      <c r="D41" s="185" t="s">
        <v>386</v>
      </c>
      <c r="E41" s="77" t="s">
        <v>384</v>
      </c>
      <c r="F41" s="77" t="s">
        <v>385</v>
      </c>
      <c r="G41" s="77" t="s">
        <v>25</v>
      </c>
      <c r="H41" s="77" t="s">
        <v>164</v>
      </c>
      <c r="I41" s="77" t="s">
        <v>111</v>
      </c>
      <c r="J41" s="77" t="s">
        <v>27</v>
      </c>
      <c r="K41" s="77" t="s">
        <v>112</v>
      </c>
      <c r="L41" s="77">
        <v>1</v>
      </c>
      <c r="N41" s="77">
        <v>4</v>
      </c>
      <c r="O41" s="77">
        <v>0.7</v>
      </c>
      <c r="P41" s="77">
        <v>0.7</v>
      </c>
      <c r="Q41" s="186">
        <f t="shared" si="0"/>
        <v>0.7</v>
      </c>
      <c r="R41" s="77">
        <v>13.8</v>
      </c>
      <c r="S41" s="77">
        <v>105</v>
      </c>
      <c r="T41" s="16">
        <f t="shared" si="1"/>
        <v>33</v>
      </c>
      <c r="U41" s="77">
        <v>498</v>
      </c>
      <c r="V41" s="16">
        <f t="shared" si="2"/>
        <v>4108.5</v>
      </c>
      <c r="W41" s="77">
        <v>4</v>
      </c>
      <c r="X41" s="77" t="s">
        <v>35</v>
      </c>
      <c r="Y41" s="77" t="s">
        <v>43</v>
      </c>
      <c r="Z41" s="77" t="s">
        <v>76</v>
      </c>
      <c r="AA41" s="77" t="s">
        <v>36</v>
      </c>
      <c r="AB41" s="34" t="s">
        <v>195</v>
      </c>
    </row>
    <row r="42" spans="1:28" x14ac:dyDescent="0.15">
      <c r="A42" s="77" t="s">
        <v>24</v>
      </c>
      <c r="B42" s="77" t="s">
        <v>191</v>
      </c>
      <c r="C42" s="77">
        <v>2020</v>
      </c>
      <c r="D42" s="185" t="s">
        <v>386</v>
      </c>
      <c r="E42" s="77" t="s">
        <v>384</v>
      </c>
      <c r="F42" s="77" t="s">
        <v>385</v>
      </c>
      <c r="G42" s="77" t="s">
        <v>25</v>
      </c>
      <c r="H42" s="77" t="s">
        <v>164</v>
      </c>
      <c r="I42" s="77" t="s">
        <v>111</v>
      </c>
      <c r="J42" s="77" t="s">
        <v>27</v>
      </c>
      <c r="K42" s="77" t="s">
        <v>112</v>
      </c>
      <c r="L42" s="77">
        <v>2</v>
      </c>
      <c r="N42" s="77">
        <v>4</v>
      </c>
      <c r="O42" s="77">
        <v>1</v>
      </c>
      <c r="P42" s="77">
        <v>1.2</v>
      </c>
      <c r="Q42" s="186">
        <f t="shared" si="0"/>
        <v>1.1000000000000001</v>
      </c>
      <c r="R42" s="77">
        <v>11.9</v>
      </c>
      <c r="S42" s="77">
        <v>113</v>
      </c>
      <c r="T42" s="16">
        <f t="shared" si="1"/>
        <v>30</v>
      </c>
      <c r="U42" s="77">
        <v>498</v>
      </c>
      <c r="V42" s="16">
        <f t="shared" si="2"/>
        <v>3735</v>
      </c>
      <c r="W42" s="77">
        <v>4</v>
      </c>
      <c r="X42" s="77" t="s">
        <v>35</v>
      </c>
      <c r="Y42" s="77" t="s">
        <v>43</v>
      </c>
      <c r="Z42" s="77" t="s">
        <v>76</v>
      </c>
      <c r="AA42" s="77" t="s">
        <v>36</v>
      </c>
      <c r="AB42" s="34" t="s">
        <v>195</v>
      </c>
    </row>
    <row r="43" spans="1:28" x14ac:dyDescent="0.15">
      <c r="A43" s="77" t="s">
        <v>24</v>
      </c>
      <c r="B43" s="77" t="s">
        <v>191</v>
      </c>
      <c r="C43" s="77">
        <v>2020</v>
      </c>
      <c r="D43" s="185" t="s">
        <v>386</v>
      </c>
      <c r="E43" s="77" t="s">
        <v>384</v>
      </c>
      <c r="F43" s="77" t="s">
        <v>385</v>
      </c>
      <c r="G43" s="77" t="s">
        <v>25</v>
      </c>
      <c r="H43" s="77" t="s">
        <v>164</v>
      </c>
      <c r="I43" s="77" t="s">
        <v>111</v>
      </c>
      <c r="J43" s="77" t="s">
        <v>27</v>
      </c>
      <c r="K43" s="77" t="s">
        <v>112</v>
      </c>
      <c r="L43" s="77">
        <v>3</v>
      </c>
      <c r="N43" s="77">
        <v>4</v>
      </c>
      <c r="O43" s="77">
        <v>1.1000000000000001</v>
      </c>
      <c r="P43" s="77">
        <v>1.1000000000000001</v>
      </c>
      <c r="Q43" s="186">
        <f t="shared" si="0"/>
        <v>1.1000000000000001</v>
      </c>
      <c r="R43" s="77">
        <v>12.4</v>
      </c>
      <c r="S43" s="77">
        <v>114</v>
      </c>
      <c r="T43" s="16">
        <f t="shared" si="1"/>
        <v>30</v>
      </c>
      <c r="U43" s="77">
        <v>498</v>
      </c>
      <c r="V43" s="16">
        <f t="shared" si="2"/>
        <v>3735</v>
      </c>
      <c r="W43" s="77">
        <v>4</v>
      </c>
      <c r="X43" s="77" t="s">
        <v>35</v>
      </c>
      <c r="Y43" s="77" t="s">
        <v>43</v>
      </c>
      <c r="Z43" s="77" t="s">
        <v>76</v>
      </c>
      <c r="AA43" s="77" t="s">
        <v>36</v>
      </c>
      <c r="AB43" s="34" t="s">
        <v>195</v>
      </c>
    </row>
    <row r="44" spans="1:28" x14ac:dyDescent="0.15">
      <c r="A44" s="77" t="s">
        <v>24</v>
      </c>
      <c r="B44" s="77" t="s">
        <v>191</v>
      </c>
      <c r="C44" s="77">
        <v>2020</v>
      </c>
      <c r="D44" s="185" t="s">
        <v>386</v>
      </c>
      <c r="E44" s="77" t="s">
        <v>384</v>
      </c>
      <c r="F44" s="77" t="s">
        <v>385</v>
      </c>
      <c r="G44" s="77" t="s">
        <v>25</v>
      </c>
      <c r="H44" s="77" t="s">
        <v>164</v>
      </c>
      <c r="I44" s="77" t="s">
        <v>166</v>
      </c>
      <c r="J44" s="77" t="s">
        <v>27</v>
      </c>
      <c r="K44" s="77" t="s">
        <v>112</v>
      </c>
      <c r="L44" s="77">
        <v>1</v>
      </c>
      <c r="N44" s="77">
        <v>4</v>
      </c>
      <c r="O44" s="77">
        <v>1.25</v>
      </c>
      <c r="P44" s="77">
        <v>1.3</v>
      </c>
      <c r="Q44" s="186">
        <f t="shared" si="0"/>
        <v>1.2749999999999999</v>
      </c>
      <c r="R44" s="77">
        <v>11.2</v>
      </c>
      <c r="S44" s="77">
        <v>106</v>
      </c>
      <c r="T44" s="16">
        <f t="shared" si="1"/>
        <v>33</v>
      </c>
      <c r="U44" s="77">
        <v>398</v>
      </c>
      <c r="V44" s="16">
        <f t="shared" si="2"/>
        <v>3283.5</v>
      </c>
      <c r="W44" s="77">
        <v>1</v>
      </c>
      <c r="X44" s="77" t="s">
        <v>35</v>
      </c>
      <c r="Y44" s="77" t="s">
        <v>43</v>
      </c>
      <c r="Z44" s="77" t="s">
        <v>76</v>
      </c>
      <c r="AA44" s="77" t="s">
        <v>36</v>
      </c>
      <c r="AB44" s="34" t="s">
        <v>195</v>
      </c>
    </row>
    <row r="45" spans="1:28" x14ac:dyDescent="0.15">
      <c r="A45" s="77" t="s">
        <v>24</v>
      </c>
      <c r="B45" s="77" t="s">
        <v>191</v>
      </c>
      <c r="C45" s="77">
        <v>2020</v>
      </c>
      <c r="D45" s="185" t="s">
        <v>386</v>
      </c>
      <c r="E45" s="77" t="s">
        <v>384</v>
      </c>
      <c r="F45" s="77" t="s">
        <v>385</v>
      </c>
      <c r="G45" s="77" t="s">
        <v>25</v>
      </c>
      <c r="H45" s="77" t="s">
        <v>164</v>
      </c>
      <c r="I45" s="77" t="s">
        <v>166</v>
      </c>
      <c r="J45" s="77" t="s">
        <v>27</v>
      </c>
      <c r="K45" s="77" t="s">
        <v>112</v>
      </c>
      <c r="L45" s="77">
        <v>2</v>
      </c>
      <c r="N45" s="77">
        <v>4</v>
      </c>
      <c r="O45" s="77">
        <v>1.25</v>
      </c>
      <c r="P45" s="77">
        <v>1.3</v>
      </c>
      <c r="Q45" s="186">
        <f t="shared" si="0"/>
        <v>1.2749999999999999</v>
      </c>
      <c r="R45" s="77">
        <v>10.9</v>
      </c>
      <c r="S45" s="77">
        <v>104</v>
      </c>
      <c r="T45" s="16">
        <f t="shared" si="1"/>
        <v>33</v>
      </c>
      <c r="U45" s="77">
        <v>398</v>
      </c>
      <c r="V45" s="16">
        <f t="shared" si="2"/>
        <v>3283.5</v>
      </c>
      <c r="W45" s="77">
        <v>1</v>
      </c>
      <c r="X45" s="77" t="s">
        <v>35</v>
      </c>
      <c r="Y45" s="77" t="s">
        <v>43</v>
      </c>
      <c r="Z45" s="77" t="s">
        <v>76</v>
      </c>
      <c r="AA45" s="77" t="s">
        <v>36</v>
      </c>
      <c r="AB45" s="34" t="s">
        <v>195</v>
      </c>
    </row>
    <row r="46" spans="1:28" x14ac:dyDescent="0.15">
      <c r="A46" s="77" t="s">
        <v>24</v>
      </c>
      <c r="B46" s="77" t="s">
        <v>191</v>
      </c>
      <c r="C46" s="77">
        <v>2020</v>
      </c>
      <c r="D46" s="185" t="s">
        <v>386</v>
      </c>
      <c r="E46" s="77" t="s">
        <v>384</v>
      </c>
      <c r="F46" s="77" t="s">
        <v>385</v>
      </c>
      <c r="G46" s="77" t="s">
        <v>25</v>
      </c>
      <c r="H46" s="77" t="s">
        <v>164</v>
      </c>
      <c r="I46" s="77" t="s">
        <v>166</v>
      </c>
      <c r="J46" s="77" t="s">
        <v>27</v>
      </c>
      <c r="K46" s="77" t="s">
        <v>112</v>
      </c>
      <c r="L46" s="77">
        <v>3</v>
      </c>
      <c r="N46" s="77">
        <v>4</v>
      </c>
      <c r="O46" s="77">
        <v>1.1000000000000001</v>
      </c>
      <c r="P46" s="34">
        <v>1.2</v>
      </c>
      <c r="Q46" s="186">
        <f t="shared" si="0"/>
        <v>1.1499999999999999</v>
      </c>
      <c r="R46" s="77">
        <v>13.1</v>
      </c>
      <c r="S46" s="77">
        <v>95</v>
      </c>
      <c r="T46" s="16">
        <f t="shared" si="1"/>
        <v>36</v>
      </c>
      <c r="U46" s="77">
        <v>398</v>
      </c>
      <c r="V46" s="16">
        <f t="shared" si="2"/>
        <v>3582</v>
      </c>
      <c r="W46" s="77">
        <v>1</v>
      </c>
      <c r="X46" s="77" t="s">
        <v>35</v>
      </c>
      <c r="Y46" s="77" t="s">
        <v>43</v>
      </c>
      <c r="Z46" s="77" t="s">
        <v>76</v>
      </c>
      <c r="AA46" s="77" t="s">
        <v>36</v>
      </c>
      <c r="AB46" s="34" t="s">
        <v>195</v>
      </c>
    </row>
    <row r="47" spans="1:28" x14ac:dyDescent="0.15">
      <c r="A47" s="77" t="s">
        <v>24</v>
      </c>
      <c r="B47" s="77" t="s">
        <v>191</v>
      </c>
      <c r="C47" s="77">
        <v>2020</v>
      </c>
      <c r="D47" s="185" t="s">
        <v>386</v>
      </c>
      <c r="E47" s="77" t="s">
        <v>395</v>
      </c>
      <c r="F47" s="77" t="s">
        <v>396</v>
      </c>
      <c r="G47" s="77" t="s">
        <v>25</v>
      </c>
      <c r="H47" s="77" t="s">
        <v>113</v>
      </c>
      <c r="I47" s="77" t="s">
        <v>111</v>
      </c>
      <c r="J47" s="77" t="s">
        <v>27</v>
      </c>
      <c r="K47" s="77" t="s">
        <v>112</v>
      </c>
      <c r="L47" s="77">
        <v>1</v>
      </c>
      <c r="N47" s="77">
        <v>1</v>
      </c>
      <c r="O47" s="77">
        <v>1</v>
      </c>
      <c r="P47" s="77">
        <v>0.8</v>
      </c>
      <c r="Q47" s="186">
        <f t="shared" si="0"/>
        <v>0.9</v>
      </c>
      <c r="R47" s="77">
        <v>14.2</v>
      </c>
      <c r="S47" s="77">
        <v>126</v>
      </c>
      <c r="T47" s="16">
        <f t="shared" si="1"/>
        <v>27</v>
      </c>
      <c r="U47" s="77">
        <v>88</v>
      </c>
      <c r="V47" s="16">
        <f t="shared" si="2"/>
        <v>2376</v>
      </c>
      <c r="W47" s="77">
        <v>6</v>
      </c>
      <c r="X47" s="77" t="s">
        <v>35</v>
      </c>
      <c r="Y47" s="77" t="s">
        <v>43</v>
      </c>
      <c r="Z47" s="77" t="s">
        <v>36</v>
      </c>
      <c r="AA47" s="77" t="s">
        <v>29</v>
      </c>
      <c r="AB47" s="34" t="s">
        <v>195</v>
      </c>
    </row>
    <row r="48" spans="1:28" x14ac:dyDescent="0.15">
      <c r="A48" s="77" t="s">
        <v>24</v>
      </c>
      <c r="B48" s="77" t="s">
        <v>191</v>
      </c>
      <c r="C48" s="77">
        <v>2020</v>
      </c>
      <c r="D48" s="185" t="s">
        <v>386</v>
      </c>
      <c r="E48" s="77" t="s">
        <v>395</v>
      </c>
      <c r="F48" s="77" t="s">
        <v>396</v>
      </c>
      <c r="G48" s="77" t="s">
        <v>25</v>
      </c>
      <c r="H48" s="77" t="s">
        <v>113</v>
      </c>
      <c r="I48" s="77" t="s">
        <v>111</v>
      </c>
      <c r="J48" s="77" t="s">
        <v>27</v>
      </c>
      <c r="K48" s="77" t="s">
        <v>112</v>
      </c>
      <c r="L48" s="77">
        <v>2</v>
      </c>
      <c r="N48" s="77">
        <v>1</v>
      </c>
      <c r="O48" s="77">
        <v>1</v>
      </c>
      <c r="P48" s="77">
        <v>1.1000000000000001</v>
      </c>
      <c r="Q48" s="186">
        <f t="shared" si="0"/>
        <v>1.05</v>
      </c>
      <c r="R48" s="77">
        <v>11.7</v>
      </c>
      <c r="S48" s="77">
        <v>116</v>
      </c>
      <c r="T48" s="16">
        <f t="shared" si="1"/>
        <v>30</v>
      </c>
      <c r="U48" s="77">
        <v>88</v>
      </c>
      <c r="V48" s="16">
        <f t="shared" si="2"/>
        <v>2640</v>
      </c>
      <c r="W48" s="77">
        <v>6</v>
      </c>
      <c r="X48" s="77" t="s">
        <v>35</v>
      </c>
      <c r="Y48" s="77" t="s">
        <v>43</v>
      </c>
      <c r="Z48" s="77" t="s">
        <v>36</v>
      </c>
      <c r="AA48" s="77" t="s">
        <v>29</v>
      </c>
      <c r="AB48" s="34" t="s">
        <v>195</v>
      </c>
    </row>
    <row r="49" spans="1:28" x14ac:dyDescent="0.15">
      <c r="A49" s="77" t="s">
        <v>24</v>
      </c>
      <c r="B49" s="77" t="s">
        <v>191</v>
      </c>
      <c r="C49" s="77">
        <v>2020</v>
      </c>
      <c r="D49" s="185" t="s">
        <v>386</v>
      </c>
      <c r="E49" s="77" t="s">
        <v>395</v>
      </c>
      <c r="F49" s="77" t="s">
        <v>396</v>
      </c>
      <c r="G49" s="77" t="s">
        <v>25</v>
      </c>
      <c r="H49" s="77" t="s">
        <v>113</v>
      </c>
      <c r="I49" s="77" t="s">
        <v>111</v>
      </c>
      <c r="J49" s="77" t="s">
        <v>27</v>
      </c>
      <c r="K49" s="77" t="s">
        <v>112</v>
      </c>
      <c r="L49" s="77">
        <v>3</v>
      </c>
      <c r="N49" s="77">
        <v>1</v>
      </c>
      <c r="O49" s="77">
        <v>1.5</v>
      </c>
      <c r="P49" s="34">
        <v>1.6</v>
      </c>
      <c r="Q49" s="186">
        <f t="shared" si="0"/>
        <v>1.55</v>
      </c>
      <c r="R49" s="77">
        <v>11.7</v>
      </c>
      <c r="S49" s="77">
        <v>101</v>
      </c>
      <c r="T49" s="16">
        <f t="shared" si="1"/>
        <v>33</v>
      </c>
      <c r="U49" s="77">
        <v>88</v>
      </c>
      <c r="V49" s="16">
        <f t="shared" si="2"/>
        <v>2904</v>
      </c>
      <c r="W49" s="77">
        <v>6</v>
      </c>
      <c r="X49" s="77" t="s">
        <v>35</v>
      </c>
      <c r="Y49" s="77" t="s">
        <v>43</v>
      </c>
      <c r="Z49" s="77" t="s">
        <v>36</v>
      </c>
      <c r="AA49" s="77" t="s">
        <v>29</v>
      </c>
      <c r="AB49" s="34" t="s">
        <v>195</v>
      </c>
    </row>
    <row r="50" spans="1:28" x14ac:dyDescent="0.15">
      <c r="A50" s="77" t="s">
        <v>24</v>
      </c>
      <c r="B50" s="77" t="s">
        <v>191</v>
      </c>
      <c r="C50" s="77">
        <v>2020</v>
      </c>
      <c r="D50" s="185" t="s">
        <v>386</v>
      </c>
      <c r="E50" s="77" t="s">
        <v>395</v>
      </c>
      <c r="F50" s="77" t="s">
        <v>396</v>
      </c>
      <c r="G50" s="77" t="s">
        <v>25</v>
      </c>
      <c r="H50" s="77" t="s">
        <v>113</v>
      </c>
      <c r="I50" s="77" t="s">
        <v>111</v>
      </c>
      <c r="J50" s="77" t="s">
        <v>27</v>
      </c>
      <c r="K50" s="77" t="s">
        <v>112</v>
      </c>
      <c r="L50" s="77">
        <v>1</v>
      </c>
      <c r="N50" s="77">
        <v>5</v>
      </c>
      <c r="O50" s="77">
        <v>0.5</v>
      </c>
      <c r="P50" s="77">
        <v>0.5</v>
      </c>
      <c r="Q50" s="186">
        <f t="shared" si="0"/>
        <v>0.5</v>
      </c>
      <c r="R50" s="77">
        <v>12.1</v>
      </c>
      <c r="S50" s="77">
        <v>81</v>
      </c>
      <c r="T50" s="16">
        <f t="shared" si="1"/>
        <v>39</v>
      </c>
      <c r="U50" s="77">
        <v>398</v>
      </c>
      <c r="V50" s="16">
        <f t="shared" si="2"/>
        <v>3104.3999999999996</v>
      </c>
      <c r="W50" s="77">
        <v>2</v>
      </c>
      <c r="X50" s="77" t="s">
        <v>35</v>
      </c>
      <c r="Y50" s="77" t="s">
        <v>43</v>
      </c>
      <c r="Z50" s="77" t="s">
        <v>36</v>
      </c>
      <c r="AA50" s="77" t="s">
        <v>29</v>
      </c>
      <c r="AB50" s="34" t="s">
        <v>195</v>
      </c>
    </row>
    <row r="51" spans="1:28" x14ac:dyDescent="0.15">
      <c r="A51" s="77" t="s">
        <v>24</v>
      </c>
      <c r="B51" s="77" t="s">
        <v>191</v>
      </c>
      <c r="C51" s="77">
        <v>2020</v>
      </c>
      <c r="D51" s="185" t="s">
        <v>386</v>
      </c>
      <c r="E51" s="77" t="s">
        <v>395</v>
      </c>
      <c r="F51" s="77" t="s">
        <v>396</v>
      </c>
      <c r="G51" s="77" t="s">
        <v>25</v>
      </c>
      <c r="H51" s="77" t="s">
        <v>113</v>
      </c>
      <c r="I51" s="77" t="s">
        <v>111</v>
      </c>
      <c r="J51" s="77" t="s">
        <v>27</v>
      </c>
      <c r="K51" s="77" t="s">
        <v>112</v>
      </c>
      <c r="L51" s="77">
        <v>2</v>
      </c>
      <c r="N51" s="77">
        <v>5</v>
      </c>
      <c r="O51" s="77">
        <v>0.6</v>
      </c>
      <c r="P51" s="77">
        <v>0.7</v>
      </c>
      <c r="Q51" s="186">
        <f t="shared" si="0"/>
        <v>0.64999999999999991</v>
      </c>
      <c r="R51" s="77">
        <v>17.5</v>
      </c>
      <c r="S51" s="77">
        <v>80</v>
      </c>
      <c r="T51" s="16">
        <f t="shared" si="1"/>
        <v>39</v>
      </c>
      <c r="U51" s="77">
        <v>398</v>
      </c>
      <c r="V51" s="16">
        <f t="shared" si="2"/>
        <v>3104.3999999999996</v>
      </c>
      <c r="W51" s="77">
        <v>2</v>
      </c>
      <c r="X51" s="77" t="s">
        <v>35</v>
      </c>
      <c r="Y51" s="77" t="s">
        <v>43</v>
      </c>
      <c r="Z51" s="77" t="s">
        <v>36</v>
      </c>
      <c r="AA51" s="77" t="s">
        <v>29</v>
      </c>
      <c r="AB51" s="34" t="s">
        <v>195</v>
      </c>
    </row>
    <row r="52" spans="1:28" x14ac:dyDescent="0.15">
      <c r="A52" s="77" t="s">
        <v>24</v>
      </c>
      <c r="B52" s="77" t="s">
        <v>191</v>
      </c>
      <c r="C52" s="77">
        <v>2020</v>
      </c>
      <c r="D52" s="185" t="s">
        <v>386</v>
      </c>
      <c r="E52" s="77" t="s">
        <v>395</v>
      </c>
      <c r="F52" s="77" t="s">
        <v>396</v>
      </c>
      <c r="G52" s="77" t="s">
        <v>25</v>
      </c>
      <c r="H52" s="77" t="s">
        <v>113</v>
      </c>
      <c r="I52" s="77" t="s">
        <v>111</v>
      </c>
      <c r="J52" s="77" t="s">
        <v>27</v>
      </c>
      <c r="K52" s="77" t="s">
        <v>112</v>
      </c>
      <c r="L52" s="77">
        <v>3</v>
      </c>
      <c r="N52" s="77">
        <v>5</v>
      </c>
      <c r="O52" s="77">
        <v>0.5</v>
      </c>
      <c r="P52" s="77">
        <v>0.5</v>
      </c>
      <c r="Q52" s="186">
        <f t="shared" si="0"/>
        <v>0.5</v>
      </c>
      <c r="R52" s="77">
        <v>16.3</v>
      </c>
      <c r="S52" s="77">
        <v>86</v>
      </c>
      <c r="T52" s="16">
        <f t="shared" si="1"/>
        <v>36</v>
      </c>
      <c r="U52" s="77">
        <v>398</v>
      </c>
      <c r="V52" s="16">
        <f t="shared" si="2"/>
        <v>2865.6</v>
      </c>
      <c r="W52" s="77">
        <v>2</v>
      </c>
      <c r="X52" s="77" t="s">
        <v>35</v>
      </c>
      <c r="Y52" s="77" t="s">
        <v>43</v>
      </c>
      <c r="Z52" s="77" t="s">
        <v>36</v>
      </c>
      <c r="AA52" s="77" t="s">
        <v>29</v>
      </c>
      <c r="AB52" s="34" t="s">
        <v>195</v>
      </c>
    </row>
    <row r="53" spans="1:28" x14ac:dyDescent="0.15">
      <c r="A53" s="77" t="s">
        <v>24</v>
      </c>
      <c r="B53" s="77" t="s">
        <v>191</v>
      </c>
      <c r="C53" s="77">
        <v>2020</v>
      </c>
      <c r="D53" s="185" t="s">
        <v>386</v>
      </c>
      <c r="E53" s="77" t="s">
        <v>395</v>
      </c>
      <c r="F53" s="77" t="s">
        <v>396</v>
      </c>
      <c r="G53" s="77" t="s">
        <v>25</v>
      </c>
      <c r="H53" s="77" t="s">
        <v>113</v>
      </c>
      <c r="I53" s="77" t="s">
        <v>111</v>
      </c>
      <c r="J53" s="77" t="s">
        <v>27</v>
      </c>
      <c r="K53" s="77" t="s">
        <v>112</v>
      </c>
      <c r="L53" s="77">
        <v>1</v>
      </c>
      <c r="N53" s="77">
        <v>8</v>
      </c>
      <c r="O53" s="77">
        <v>1.25</v>
      </c>
      <c r="P53" s="77">
        <v>1.4</v>
      </c>
      <c r="Q53" s="186">
        <f t="shared" si="0"/>
        <v>1.325</v>
      </c>
      <c r="R53" s="77">
        <v>12.1</v>
      </c>
      <c r="S53" s="77">
        <v>87</v>
      </c>
      <c r="T53" s="16">
        <f t="shared" si="1"/>
        <v>36</v>
      </c>
      <c r="U53" s="77">
        <v>598</v>
      </c>
      <c r="V53" s="16">
        <f t="shared" si="2"/>
        <v>2691</v>
      </c>
      <c r="W53" s="77">
        <v>6</v>
      </c>
      <c r="X53" s="77" t="s">
        <v>35</v>
      </c>
      <c r="Y53" s="77" t="s">
        <v>43</v>
      </c>
      <c r="Z53" s="77" t="s">
        <v>36</v>
      </c>
      <c r="AA53" s="77" t="s">
        <v>29</v>
      </c>
      <c r="AB53" s="34" t="s">
        <v>195</v>
      </c>
    </row>
    <row r="54" spans="1:28" x14ac:dyDescent="0.15">
      <c r="A54" s="77" t="s">
        <v>24</v>
      </c>
      <c r="B54" s="77" t="s">
        <v>191</v>
      </c>
      <c r="C54" s="77">
        <v>2020</v>
      </c>
      <c r="D54" s="185" t="s">
        <v>386</v>
      </c>
      <c r="E54" s="77" t="s">
        <v>395</v>
      </c>
      <c r="F54" s="77" t="s">
        <v>396</v>
      </c>
      <c r="G54" s="77" t="s">
        <v>25</v>
      </c>
      <c r="H54" s="77" t="s">
        <v>113</v>
      </c>
      <c r="I54" s="77" t="s">
        <v>111</v>
      </c>
      <c r="J54" s="77" t="s">
        <v>27</v>
      </c>
      <c r="K54" s="77" t="s">
        <v>112</v>
      </c>
      <c r="L54" s="77">
        <v>2</v>
      </c>
      <c r="N54" s="77">
        <v>8</v>
      </c>
      <c r="O54" s="77">
        <v>1</v>
      </c>
      <c r="P54" s="77">
        <v>1</v>
      </c>
      <c r="Q54" s="186">
        <f t="shared" si="0"/>
        <v>1</v>
      </c>
      <c r="R54" s="77">
        <v>12</v>
      </c>
      <c r="S54" s="77">
        <v>91</v>
      </c>
      <c r="T54" s="16">
        <f t="shared" si="1"/>
        <v>36</v>
      </c>
      <c r="U54" s="77">
        <v>598</v>
      </c>
      <c r="V54" s="16">
        <f t="shared" si="2"/>
        <v>2691</v>
      </c>
      <c r="W54" s="77">
        <v>6</v>
      </c>
      <c r="X54" s="77" t="s">
        <v>35</v>
      </c>
      <c r="Y54" s="77" t="s">
        <v>43</v>
      </c>
      <c r="Z54" s="77" t="s">
        <v>36</v>
      </c>
      <c r="AA54" s="77" t="s">
        <v>29</v>
      </c>
      <c r="AB54" s="34" t="s">
        <v>195</v>
      </c>
    </row>
    <row r="55" spans="1:28" x14ac:dyDescent="0.15">
      <c r="A55" s="77" t="s">
        <v>24</v>
      </c>
      <c r="B55" s="77" t="s">
        <v>191</v>
      </c>
      <c r="C55" s="77">
        <v>2020</v>
      </c>
      <c r="D55" s="185" t="s">
        <v>386</v>
      </c>
      <c r="E55" s="77" t="s">
        <v>395</v>
      </c>
      <c r="F55" s="77" t="s">
        <v>396</v>
      </c>
      <c r="G55" s="77" t="s">
        <v>25</v>
      </c>
      <c r="H55" s="77" t="s">
        <v>113</v>
      </c>
      <c r="I55" s="77" t="s">
        <v>111</v>
      </c>
      <c r="J55" s="77" t="s">
        <v>27</v>
      </c>
      <c r="K55" s="77" t="s">
        <v>112</v>
      </c>
      <c r="L55" s="77">
        <v>3</v>
      </c>
      <c r="N55" s="77">
        <v>8</v>
      </c>
      <c r="O55" s="77">
        <v>1.4</v>
      </c>
      <c r="P55" s="77">
        <v>1.2</v>
      </c>
      <c r="Q55" s="186">
        <f t="shared" si="0"/>
        <v>1.2999999999999998</v>
      </c>
      <c r="R55" s="77">
        <v>12.4</v>
      </c>
      <c r="S55" s="77">
        <v>88</v>
      </c>
      <c r="T55" s="16">
        <f t="shared" si="1"/>
        <v>36</v>
      </c>
      <c r="U55" s="77">
        <v>598</v>
      </c>
      <c r="V55" s="16">
        <f t="shared" si="2"/>
        <v>2691</v>
      </c>
      <c r="W55" s="77">
        <v>6</v>
      </c>
      <c r="X55" s="77" t="s">
        <v>35</v>
      </c>
      <c r="Y55" s="77" t="s">
        <v>43</v>
      </c>
      <c r="Z55" s="77" t="s">
        <v>36</v>
      </c>
      <c r="AA55" s="77" t="s">
        <v>29</v>
      </c>
      <c r="AB55" s="34" t="s">
        <v>195</v>
      </c>
    </row>
    <row r="56" spans="1:28" x14ac:dyDescent="0.15">
      <c r="A56" s="77" t="s">
        <v>24</v>
      </c>
      <c r="B56" s="77" t="s">
        <v>191</v>
      </c>
      <c r="C56" s="77">
        <v>2020</v>
      </c>
      <c r="D56" s="185" t="s">
        <v>386</v>
      </c>
      <c r="E56" s="77" t="s">
        <v>395</v>
      </c>
      <c r="F56" s="77" t="s">
        <v>396</v>
      </c>
      <c r="G56" s="77" t="s">
        <v>25</v>
      </c>
      <c r="H56" s="77" t="s">
        <v>164</v>
      </c>
      <c r="I56" s="77" t="s">
        <v>111</v>
      </c>
      <c r="J56" s="77" t="s">
        <v>27</v>
      </c>
      <c r="K56" s="77" t="s">
        <v>112</v>
      </c>
      <c r="L56" s="77">
        <v>1</v>
      </c>
      <c r="N56" s="77">
        <v>1</v>
      </c>
      <c r="O56" s="77">
        <v>1.25</v>
      </c>
      <c r="P56" s="77">
        <v>1.2</v>
      </c>
      <c r="Q56" s="186">
        <f t="shared" si="0"/>
        <v>1.2250000000000001</v>
      </c>
      <c r="R56" s="77">
        <v>17</v>
      </c>
      <c r="S56" s="77">
        <v>110</v>
      </c>
      <c r="T56" s="16">
        <f t="shared" si="1"/>
        <v>33</v>
      </c>
      <c r="U56" s="77">
        <v>98</v>
      </c>
      <c r="V56" s="16">
        <f t="shared" si="2"/>
        <v>3234</v>
      </c>
      <c r="W56" s="77">
        <v>16</v>
      </c>
      <c r="X56" s="77" t="s">
        <v>35</v>
      </c>
      <c r="Y56" s="77" t="s">
        <v>43</v>
      </c>
      <c r="Z56" s="77" t="s">
        <v>36</v>
      </c>
      <c r="AA56" s="77" t="s">
        <v>29</v>
      </c>
      <c r="AB56" s="34" t="s">
        <v>195</v>
      </c>
    </row>
    <row r="57" spans="1:28" x14ac:dyDescent="0.15">
      <c r="A57" s="77" t="s">
        <v>24</v>
      </c>
      <c r="B57" s="77" t="s">
        <v>191</v>
      </c>
      <c r="C57" s="77">
        <v>2020</v>
      </c>
      <c r="D57" s="185" t="s">
        <v>386</v>
      </c>
      <c r="E57" s="77" t="s">
        <v>395</v>
      </c>
      <c r="F57" s="77" t="s">
        <v>396</v>
      </c>
      <c r="G57" s="77" t="s">
        <v>25</v>
      </c>
      <c r="H57" s="77" t="s">
        <v>164</v>
      </c>
      <c r="I57" s="77" t="s">
        <v>111</v>
      </c>
      <c r="J57" s="77" t="s">
        <v>27</v>
      </c>
      <c r="K57" s="77" t="s">
        <v>112</v>
      </c>
      <c r="L57" s="77">
        <v>2</v>
      </c>
      <c r="N57" s="77">
        <v>1</v>
      </c>
      <c r="O57" s="77">
        <v>1.75</v>
      </c>
      <c r="P57" s="77">
        <v>1.75</v>
      </c>
      <c r="Q57" s="186">
        <f t="shared" si="0"/>
        <v>1.75</v>
      </c>
      <c r="R57" s="77">
        <v>19.8</v>
      </c>
      <c r="S57" s="77">
        <v>114</v>
      </c>
      <c r="T57" s="16">
        <f t="shared" si="1"/>
        <v>30</v>
      </c>
      <c r="U57" s="77">
        <v>98</v>
      </c>
      <c r="V57" s="16">
        <f t="shared" si="2"/>
        <v>2940</v>
      </c>
      <c r="W57" s="77">
        <v>16</v>
      </c>
      <c r="X57" s="77" t="s">
        <v>35</v>
      </c>
      <c r="Y57" s="77" t="s">
        <v>43</v>
      </c>
      <c r="Z57" s="77" t="s">
        <v>36</v>
      </c>
      <c r="AA57" s="77" t="s">
        <v>29</v>
      </c>
      <c r="AB57" s="34" t="s">
        <v>195</v>
      </c>
    </row>
    <row r="58" spans="1:28" x14ac:dyDescent="0.15">
      <c r="A58" s="77" t="s">
        <v>24</v>
      </c>
      <c r="B58" s="77" t="s">
        <v>191</v>
      </c>
      <c r="C58" s="77">
        <v>2020</v>
      </c>
      <c r="D58" s="185" t="s">
        <v>386</v>
      </c>
      <c r="E58" s="77" t="s">
        <v>395</v>
      </c>
      <c r="F58" s="77" t="s">
        <v>396</v>
      </c>
      <c r="G58" s="77" t="s">
        <v>25</v>
      </c>
      <c r="H58" s="77" t="s">
        <v>164</v>
      </c>
      <c r="I58" s="77" t="s">
        <v>111</v>
      </c>
      <c r="J58" s="77" t="s">
        <v>27</v>
      </c>
      <c r="K58" s="77" t="s">
        <v>112</v>
      </c>
      <c r="L58" s="77">
        <v>3</v>
      </c>
      <c r="N58" s="77">
        <v>1</v>
      </c>
      <c r="O58" s="77">
        <v>1.2</v>
      </c>
      <c r="P58" s="77">
        <v>1</v>
      </c>
      <c r="Q58" s="186">
        <f t="shared" si="0"/>
        <v>1.1000000000000001</v>
      </c>
      <c r="R58" s="77">
        <v>17.3</v>
      </c>
      <c r="S58" s="77">
        <v>107</v>
      </c>
      <c r="T58" s="16">
        <f t="shared" si="1"/>
        <v>33</v>
      </c>
      <c r="U58" s="77">
        <v>98</v>
      </c>
      <c r="V58" s="16">
        <f t="shared" si="2"/>
        <v>3234</v>
      </c>
      <c r="W58" s="77">
        <v>16</v>
      </c>
      <c r="X58" s="77" t="s">
        <v>35</v>
      </c>
      <c r="Y58" s="77" t="s">
        <v>43</v>
      </c>
      <c r="Z58" s="77" t="s">
        <v>36</v>
      </c>
      <c r="AA58" s="77" t="s">
        <v>29</v>
      </c>
      <c r="AB58" s="34" t="s">
        <v>195</v>
      </c>
    </row>
    <row r="59" spans="1:28" x14ac:dyDescent="0.15">
      <c r="A59" s="77" t="s">
        <v>24</v>
      </c>
      <c r="B59" s="77" t="s">
        <v>191</v>
      </c>
      <c r="C59" s="77">
        <v>2020</v>
      </c>
      <c r="D59" s="185" t="s">
        <v>386</v>
      </c>
      <c r="E59" s="77" t="s">
        <v>395</v>
      </c>
      <c r="F59" s="77" t="s">
        <v>396</v>
      </c>
      <c r="G59" s="77" t="s">
        <v>25</v>
      </c>
      <c r="H59" s="77" t="s">
        <v>164</v>
      </c>
      <c r="I59" s="77" t="s">
        <v>111</v>
      </c>
      <c r="J59" s="77" t="s">
        <v>27</v>
      </c>
      <c r="K59" s="77" t="s">
        <v>112</v>
      </c>
      <c r="L59" s="77">
        <v>1</v>
      </c>
      <c r="N59" s="77">
        <v>4</v>
      </c>
      <c r="O59" s="77">
        <v>0.8</v>
      </c>
      <c r="P59" s="77">
        <v>0.75</v>
      </c>
      <c r="Q59" s="186">
        <f t="shared" si="0"/>
        <v>0.77500000000000002</v>
      </c>
      <c r="R59" s="77">
        <v>13</v>
      </c>
      <c r="S59" s="77">
        <v>105</v>
      </c>
      <c r="T59" s="16">
        <f t="shared" si="1"/>
        <v>33</v>
      </c>
      <c r="U59" s="77">
        <v>398</v>
      </c>
      <c r="V59" s="16">
        <f t="shared" si="2"/>
        <v>3283.5</v>
      </c>
      <c r="W59" s="77">
        <v>4</v>
      </c>
      <c r="X59" s="77" t="s">
        <v>35</v>
      </c>
      <c r="Y59" s="77" t="s">
        <v>43</v>
      </c>
      <c r="Z59" s="77" t="s">
        <v>36</v>
      </c>
      <c r="AA59" s="77" t="s">
        <v>29</v>
      </c>
      <c r="AB59" s="34" t="s">
        <v>195</v>
      </c>
    </row>
    <row r="60" spans="1:28" x14ac:dyDescent="0.15">
      <c r="A60" s="77" t="s">
        <v>24</v>
      </c>
      <c r="B60" s="77" t="s">
        <v>191</v>
      </c>
      <c r="C60" s="77">
        <v>2020</v>
      </c>
      <c r="D60" s="185" t="s">
        <v>386</v>
      </c>
      <c r="E60" s="77" t="s">
        <v>395</v>
      </c>
      <c r="F60" s="77" t="s">
        <v>396</v>
      </c>
      <c r="G60" s="77" t="s">
        <v>25</v>
      </c>
      <c r="H60" s="77" t="s">
        <v>164</v>
      </c>
      <c r="I60" s="77" t="s">
        <v>111</v>
      </c>
      <c r="J60" s="77" t="s">
        <v>27</v>
      </c>
      <c r="K60" s="77" t="s">
        <v>112</v>
      </c>
      <c r="L60" s="77">
        <v>2</v>
      </c>
      <c r="N60" s="77">
        <v>4</v>
      </c>
      <c r="O60" s="77">
        <v>0.75</v>
      </c>
      <c r="P60" s="77">
        <v>0.75</v>
      </c>
      <c r="Q60" s="186">
        <f t="shared" si="0"/>
        <v>0.75</v>
      </c>
      <c r="R60" s="77">
        <v>12.2</v>
      </c>
      <c r="S60" s="77">
        <v>101</v>
      </c>
      <c r="T60" s="16">
        <f>IF(H60="","",IF(OR(H60="GREEN",H60="GK"),IF(S60&gt;=$AX$2,VLOOKUP(S60,$AX$2:$AY$12,2,1),""),IF(S60&gt;=$AZ$2,VLOOKUP(S60,$AZ$2:$BA$12,2,1),"")))</f>
        <v>33</v>
      </c>
      <c r="U60" s="77">
        <v>398</v>
      </c>
      <c r="V60" s="16">
        <f t="shared" si="2"/>
        <v>3283.5</v>
      </c>
      <c r="W60" s="77">
        <v>4</v>
      </c>
      <c r="X60" s="77" t="s">
        <v>35</v>
      </c>
      <c r="Y60" s="77" t="s">
        <v>43</v>
      </c>
      <c r="Z60" s="77" t="s">
        <v>36</v>
      </c>
      <c r="AA60" s="77" t="s">
        <v>29</v>
      </c>
      <c r="AB60" s="34" t="s">
        <v>195</v>
      </c>
    </row>
    <row r="61" spans="1:28" x14ac:dyDescent="0.15">
      <c r="A61" s="77" t="s">
        <v>24</v>
      </c>
      <c r="B61" s="77" t="s">
        <v>191</v>
      </c>
      <c r="C61" s="77">
        <v>2020</v>
      </c>
      <c r="D61" s="185" t="s">
        <v>386</v>
      </c>
      <c r="E61" s="77" t="s">
        <v>395</v>
      </c>
      <c r="F61" s="77" t="s">
        <v>396</v>
      </c>
      <c r="G61" s="77" t="s">
        <v>25</v>
      </c>
      <c r="H61" s="77" t="s">
        <v>164</v>
      </c>
      <c r="I61" s="77" t="s">
        <v>111</v>
      </c>
      <c r="J61" s="77" t="s">
        <v>27</v>
      </c>
      <c r="K61" s="77" t="s">
        <v>112</v>
      </c>
      <c r="L61" s="77">
        <v>3</v>
      </c>
      <c r="N61" s="77">
        <v>4</v>
      </c>
      <c r="O61" s="77">
        <v>0.7</v>
      </c>
      <c r="P61" s="77">
        <v>0.7</v>
      </c>
      <c r="Q61" s="186">
        <f t="shared" si="0"/>
        <v>0.7</v>
      </c>
      <c r="R61" s="77">
        <v>18.7</v>
      </c>
      <c r="S61" s="77">
        <v>97</v>
      </c>
      <c r="T61" s="16">
        <f>IF(H61="","",IF(OR(H61="GREEN",H61="GK"),IF(S61&gt;=$AX$2,VLOOKUP(S61,$AX$2:$AY$12,2,1),""),IF(S61&gt;=$AZ$2,VLOOKUP(S61,$AZ$2:$BA$12,2,1),"")))</f>
        <v>36</v>
      </c>
      <c r="U61" s="77">
        <v>398</v>
      </c>
      <c r="V61" s="16">
        <f t="shared" si="2"/>
        <v>3582</v>
      </c>
      <c r="W61" s="77">
        <v>4</v>
      </c>
      <c r="X61" s="77" t="s">
        <v>35</v>
      </c>
      <c r="Y61" s="77" t="s">
        <v>43</v>
      </c>
      <c r="Z61" s="77" t="s">
        <v>36</v>
      </c>
      <c r="AA61" s="77" t="s">
        <v>29</v>
      </c>
      <c r="AB61" s="34" t="s">
        <v>195</v>
      </c>
    </row>
    <row r="62" spans="1:28" x14ac:dyDescent="0.15">
      <c r="A62" s="77" t="s">
        <v>24</v>
      </c>
      <c r="B62" s="77" t="s">
        <v>191</v>
      </c>
      <c r="C62" s="77">
        <v>2020</v>
      </c>
      <c r="D62" s="185" t="s">
        <v>386</v>
      </c>
      <c r="E62" s="77" t="s">
        <v>395</v>
      </c>
      <c r="F62" s="77" t="s">
        <v>396</v>
      </c>
      <c r="G62" s="77" t="s">
        <v>25</v>
      </c>
      <c r="H62" s="77" t="s">
        <v>164</v>
      </c>
      <c r="I62" s="77" t="s">
        <v>111</v>
      </c>
      <c r="J62" s="77" t="s">
        <v>27</v>
      </c>
      <c r="K62" s="77" t="s">
        <v>112</v>
      </c>
      <c r="L62" s="77">
        <v>1</v>
      </c>
      <c r="N62" s="77">
        <v>8</v>
      </c>
      <c r="O62" s="77">
        <v>1</v>
      </c>
      <c r="P62" s="77">
        <v>0.8</v>
      </c>
      <c r="Q62" s="186">
        <f t="shared" si="0"/>
        <v>0.9</v>
      </c>
      <c r="R62" s="77">
        <v>12.9</v>
      </c>
      <c r="S62" s="77">
        <v>90</v>
      </c>
      <c r="T62" s="16">
        <f t="shared" ref="T62:T160" si="3">IF(H62="","",IF(OR(H62="GREEN",H62="GK"),IF(S62&gt;=$AX$2,VLOOKUP(S62,$AX$2:$AY$12,2,1),""),IF(S62&gt;=$AZ$2,VLOOKUP(S62,$AZ$2:$BA$12,2,1),"")))</f>
        <v>36</v>
      </c>
      <c r="U62" s="77">
        <v>598</v>
      </c>
      <c r="V62" s="16">
        <f t="shared" si="2"/>
        <v>2691</v>
      </c>
      <c r="W62" s="77">
        <v>9</v>
      </c>
      <c r="X62" s="77" t="s">
        <v>35</v>
      </c>
      <c r="Y62" s="77" t="s">
        <v>43</v>
      </c>
      <c r="Z62" s="77" t="s">
        <v>36</v>
      </c>
      <c r="AA62" s="77" t="s">
        <v>29</v>
      </c>
      <c r="AB62" s="34" t="s">
        <v>195</v>
      </c>
    </row>
    <row r="63" spans="1:28" x14ac:dyDescent="0.15">
      <c r="A63" s="77" t="s">
        <v>24</v>
      </c>
      <c r="B63" s="77" t="s">
        <v>191</v>
      </c>
      <c r="C63" s="77">
        <v>2020</v>
      </c>
      <c r="D63" s="185" t="s">
        <v>386</v>
      </c>
      <c r="E63" s="77" t="s">
        <v>395</v>
      </c>
      <c r="F63" s="77" t="s">
        <v>396</v>
      </c>
      <c r="G63" s="77" t="s">
        <v>25</v>
      </c>
      <c r="H63" s="77" t="s">
        <v>164</v>
      </c>
      <c r="I63" s="77" t="s">
        <v>111</v>
      </c>
      <c r="J63" s="77" t="s">
        <v>27</v>
      </c>
      <c r="K63" s="77" t="s">
        <v>112</v>
      </c>
      <c r="L63" s="77">
        <v>2</v>
      </c>
      <c r="N63" s="77">
        <v>8</v>
      </c>
      <c r="O63" s="77">
        <v>1</v>
      </c>
      <c r="P63" s="77">
        <v>1</v>
      </c>
      <c r="Q63" s="186">
        <f t="shared" si="0"/>
        <v>1</v>
      </c>
      <c r="R63" s="77">
        <v>11.3</v>
      </c>
      <c r="S63" s="77">
        <v>91</v>
      </c>
      <c r="T63" s="16">
        <f t="shared" si="3"/>
        <v>36</v>
      </c>
      <c r="U63" s="77">
        <v>598</v>
      </c>
      <c r="V63" s="16">
        <f t="shared" si="2"/>
        <v>2691</v>
      </c>
      <c r="W63" s="77">
        <v>9</v>
      </c>
      <c r="X63" s="77" t="s">
        <v>35</v>
      </c>
      <c r="Y63" s="77" t="s">
        <v>43</v>
      </c>
      <c r="Z63" s="77" t="s">
        <v>36</v>
      </c>
      <c r="AA63" s="77" t="s">
        <v>29</v>
      </c>
      <c r="AB63" s="34" t="s">
        <v>195</v>
      </c>
    </row>
    <row r="64" spans="1:28" x14ac:dyDescent="0.15">
      <c r="A64" s="77" t="s">
        <v>24</v>
      </c>
      <c r="B64" s="77" t="s">
        <v>191</v>
      </c>
      <c r="C64" s="77">
        <v>2020</v>
      </c>
      <c r="D64" s="185" t="s">
        <v>386</v>
      </c>
      <c r="E64" s="77" t="s">
        <v>395</v>
      </c>
      <c r="F64" s="77" t="s">
        <v>396</v>
      </c>
      <c r="G64" s="77" t="s">
        <v>25</v>
      </c>
      <c r="H64" s="77" t="s">
        <v>164</v>
      </c>
      <c r="I64" s="77" t="s">
        <v>111</v>
      </c>
      <c r="J64" s="77" t="s">
        <v>27</v>
      </c>
      <c r="K64" s="77" t="s">
        <v>112</v>
      </c>
      <c r="L64" s="77">
        <v>3</v>
      </c>
      <c r="N64" s="77">
        <v>8</v>
      </c>
      <c r="O64" s="77">
        <v>0.75</v>
      </c>
      <c r="P64" s="77">
        <v>0.75</v>
      </c>
      <c r="Q64" s="186">
        <f t="shared" si="0"/>
        <v>0.75</v>
      </c>
      <c r="R64" s="77">
        <v>12</v>
      </c>
      <c r="S64" s="77">
        <v>85</v>
      </c>
      <c r="T64" s="16">
        <f t="shared" si="3"/>
        <v>36</v>
      </c>
      <c r="U64" s="77">
        <v>598</v>
      </c>
      <c r="V64" s="16">
        <f t="shared" si="2"/>
        <v>2691</v>
      </c>
      <c r="W64" s="77">
        <v>9</v>
      </c>
      <c r="X64" s="77" t="s">
        <v>35</v>
      </c>
      <c r="Y64" s="77" t="s">
        <v>43</v>
      </c>
      <c r="Z64" s="77" t="s">
        <v>36</v>
      </c>
      <c r="AA64" s="77" t="s">
        <v>29</v>
      </c>
      <c r="AB64" s="34" t="s">
        <v>195</v>
      </c>
    </row>
    <row r="65" spans="1:28" x14ac:dyDescent="0.15">
      <c r="A65" s="77" t="s">
        <v>24</v>
      </c>
      <c r="B65" s="77" t="s">
        <v>191</v>
      </c>
      <c r="C65" s="77">
        <v>2020</v>
      </c>
      <c r="D65" s="185" t="s">
        <v>386</v>
      </c>
      <c r="E65" s="77" t="s">
        <v>395</v>
      </c>
      <c r="F65" s="77" t="s">
        <v>396</v>
      </c>
      <c r="G65" s="77" t="s">
        <v>25</v>
      </c>
      <c r="H65" s="77" t="s">
        <v>164</v>
      </c>
      <c r="I65" s="77" t="s">
        <v>166</v>
      </c>
      <c r="J65" s="77" t="s">
        <v>27</v>
      </c>
      <c r="K65" s="77" t="s">
        <v>112</v>
      </c>
      <c r="L65" s="77">
        <v>1</v>
      </c>
      <c r="N65" s="77">
        <v>4</v>
      </c>
      <c r="O65" s="77">
        <v>1.75</v>
      </c>
      <c r="P65" s="77">
        <v>1.75</v>
      </c>
      <c r="Q65" s="186">
        <f t="shared" si="0"/>
        <v>1.75</v>
      </c>
      <c r="R65" s="77">
        <v>13</v>
      </c>
      <c r="S65" s="77">
        <v>98</v>
      </c>
      <c r="T65" s="16">
        <f t="shared" si="3"/>
        <v>36</v>
      </c>
      <c r="U65" s="77">
        <v>498</v>
      </c>
      <c r="V65" s="16">
        <f t="shared" si="2"/>
        <v>4482</v>
      </c>
      <c r="W65" s="77">
        <v>1</v>
      </c>
      <c r="X65" s="77" t="s">
        <v>35</v>
      </c>
      <c r="Y65" s="77" t="s">
        <v>43</v>
      </c>
      <c r="Z65" s="77" t="s">
        <v>36</v>
      </c>
      <c r="AA65" s="77" t="s">
        <v>29</v>
      </c>
      <c r="AB65" s="34" t="s">
        <v>195</v>
      </c>
    </row>
    <row r="66" spans="1:28" x14ac:dyDescent="0.15">
      <c r="A66" s="77" t="s">
        <v>24</v>
      </c>
      <c r="B66" s="77" t="s">
        <v>191</v>
      </c>
      <c r="C66" s="77">
        <v>2020</v>
      </c>
      <c r="D66" s="185" t="s">
        <v>386</v>
      </c>
      <c r="E66" s="77" t="s">
        <v>395</v>
      </c>
      <c r="F66" s="77" t="s">
        <v>396</v>
      </c>
      <c r="G66" s="77" t="s">
        <v>25</v>
      </c>
      <c r="H66" s="77" t="s">
        <v>164</v>
      </c>
      <c r="I66" s="77" t="s">
        <v>166</v>
      </c>
      <c r="J66" s="77" t="s">
        <v>27</v>
      </c>
      <c r="K66" s="77" t="s">
        <v>112</v>
      </c>
      <c r="L66" s="77">
        <v>2</v>
      </c>
      <c r="N66" s="77">
        <v>4</v>
      </c>
      <c r="O66" s="77">
        <v>0.75</v>
      </c>
      <c r="P66" s="77">
        <v>0.75</v>
      </c>
      <c r="Q66" s="186">
        <f t="shared" ref="Q66:Q77" si="4">IF(OR(O66="",P66=""),"",AVERAGE(O66,P66))</f>
        <v>0.75</v>
      </c>
      <c r="R66" s="77">
        <v>12</v>
      </c>
      <c r="S66" s="77">
        <v>105</v>
      </c>
      <c r="T66" s="16">
        <f t="shared" si="3"/>
        <v>33</v>
      </c>
      <c r="U66" s="77">
        <v>498</v>
      </c>
      <c r="V66" s="16">
        <f t="shared" ref="V66:V70" si="5">IF(OR(N66="",U66="",T66=""),"",U66/N66*T66)</f>
        <v>4108.5</v>
      </c>
      <c r="W66" s="77">
        <v>1</v>
      </c>
      <c r="X66" s="77" t="s">
        <v>35</v>
      </c>
      <c r="Y66" s="77" t="s">
        <v>43</v>
      </c>
      <c r="Z66" s="77" t="s">
        <v>36</v>
      </c>
      <c r="AA66" s="77" t="s">
        <v>29</v>
      </c>
      <c r="AB66" s="34" t="s">
        <v>195</v>
      </c>
    </row>
    <row r="67" spans="1:28" x14ac:dyDescent="0.15">
      <c r="A67" s="77" t="s">
        <v>24</v>
      </c>
      <c r="B67" s="77" t="s">
        <v>191</v>
      </c>
      <c r="C67" s="77">
        <v>2020</v>
      </c>
      <c r="D67" s="185" t="s">
        <v>386</v>
      </c>
      <c r="E67" s="77" t="s">
        <v>395</v>
      </c>
      <c r="F67" s="77" t="s">
        <v>396</v>
      </c>
      <c r="G67" s="77" t="s">
        <v>25</v>
      </c>
      <c r="H67" s="77" t="s">
        <v>164</v>
      </c>
      <c r="I67" s="77" t="s">
        <v>166</v>
      </c>
      <c r="J67" s="77" t="s">
        <v>27</v>
      </c>
      <c r="K67" s="77" t="s">
        <v>112</v>
      </c>
      <c r="L67" s="77">
        <v>3</v>
      </c>
      <c r="N67" s="77">
        <v>4</v>
      </c>
      <c r="O67" s="77">
        <v>0.75</v>
      </c>
      <c r="P67" s="77">
        <v>0.6</v>
      </c>
      <c r="Q67" s="186">
        <f t="shared" si="4"/>
        <v>0.67500000000000004</v>
      </c>
      <c r="R67" s="77">
        <v>13</v>
      </c>
      <c r="S67" s="77">
        <v>102</v>
      </c>
      <c r="T67" s="16">
        <f t="shared" si="3"/>
        <v>33</v>
      </c>
      <c r="U67" s="77">
        <v>498</v>
      </c>
      <c r="V67" s="16">
        <f t="shared" si="5"/>
        <v>4108.5</v>
      </c>
      <c r="W67" s="77">
        <v>1</v>
      </c>
      <c r="X67" s="77" t="s">
        <v>35</v>
      </c>
      <c r="Y67" s="77" t="s">
        <v>43</v>
      </c>
      <c r="Z67" s="77" t="s">
        <v>36</v>
      </c>
      <c r="AA67" s="77" t="s">
        <v>29</v>
      </c>
      <c r="AB67" s="34" t="s">
        <v>195</v>
      </c>
    </row>
    <row r="68" spans="1:28" x14ac:dyDescent="0.15">
      <c r="A68" s="77" t="s">
        <v>24</v>
      </c>
      <c r="B68" s="77" t="s">
        <v>191</v>
      </c>
      <c r="C68" s="77">
        <v>2020</v>
      </c>
      <c r="D68" s="185" t="s">
        <v>386</v>
      </c>
      <c r="E68" s="77" t="s">
        <v>391</v>
      </c>
      <c r="F68" s="77" t="s">
        <v>392</v>
      </c>
      <c r="G68" s="77" t="s">
        <v>25</v>
      </c>
      <c r="H68" s="77" t="s">
        <v>113</v>
      </c>
      <c r="I68" s="77" t="s">
        <v>111</v>
      </c>
      <c r="J68" s="77" t="s">
        <v>27</v>
      </c>
      <c r="K68" s="77" t="s">
        <v>112</v>
      </c>
      <c r="L68" s="77">
        <v>1</v>
      </c>
      <c r="N68" s="77">
        <v>1</v>
      </c>
      <c r="O68" s="77">
        <v>1.25</v>
      </c>
      <c r="P68" s="77">
        <v>1.2</v>
      </c>
      <c r="Q68" s="186">
        <f t="shared" si="4"/>
        <v>1.2250000000000001</v>
      </c>
      <c r="R68" s="77">
        <v>11.1</v>
      </c>
      <c r="S68" s="77">
        <v>112</v>
      </c>
      <c r="T68" s="16">
        <f t="shared" si="3"/>
        <v>33</v>
      </c>
      <c r="U68" s="77">
        <v>100</v>
      </c>
      <c r="V68" s="16">
        <f t="shared" si="5"/>
        <v>3300</v>
      </c>
      <c r="W68" s="77">
        <v>2</v>
      </c>
      <c r="X68" s="77" t="s">
        <v>35</v>
      </c>
      <c r="Y68" s="77" t="s">
        <v>43</v>
      </c>
      <c r="Z68" s="77" t="s">
        <v>36</v>
      </c>
      <c r="AA68" s="77" t="s">
        <v>29</v>
      </c>
      <c r="AB68" s="34" t="s">
        <v>195</v>
      </c>
    </row>
    <row r="69" spans="1:28" x14ac:dyDescent="0.15">
      <c r="A69" s="77" t="s">
        <v>24</v>
      </c>
      <c r="B69" s="77" t="s">
        <v>191</v>
      </c>
      <c r="C69" s="77">
        <v>2020</v>
      </c>
      <c r="D69" s="185" t="s">
        <v>386</v>
      </c>
      <c r="E69" s="77" t="s">
        <v>391</v>
      </c>
      <c r="F69" s="77" t="s">
        <v>392</v>
      </c>
      <c r="G69" s="77" t="s">
        <v>25</v>
      </c>
      <c r="H69" s="77" t="s">
        <v>113</v>
      </c>
      <c r="I69" s="77" t="s">
        <v>111</v>
      </c>
      <c r="J69" s="77" t="s">
        <v>27</v>
      </c>
      <c r="K69" s="77" t="s">
        <v>112</v>
      </c>
      <c r="L69" s="77">
        <v>2</v>
      </c>
      <c r="N69" s="77">
        <v>1</v>
      </c>
      <c r="O69" s="77">
        <v>0.75</v>
      </c>
      <c r="P69" s="77">
        <v>0.6</v>
      </c>
      <c r="Q69" s="186">
        <f t="shared" si="4"/>
        <v>0.67500000000000004</v>
      </c>
      <c r="R69" s="77">
        <v>11.3</v>
      </c>
      <c r="S69" s="77">
        <v>119</v>
      </c>
      <c r="T69" s="16">
        <f t="shared" si="3"/>
        <v>30</v>
      </c>
      <c r="U69" s="77">
        <v>100</v>
      </c>
      <c r="V69" s="16">
        <f t="shared" si="5"/>
        <v>3000</v>
      </c>
      <c r="W69" s="77">
        <v>2</v>
      </c>
      <c r="X69" s="77" t="s">
        <v>35</v>
      </c>
      <c r="Y69" s="77" t="s">
        <v>43</v>
      </c>
      <c r="Z69" s="77" t="s">
        <v>36</v>
      </c>
      <c r="AA69" s="77" t="s">
        <v>29</v>
      </c>
      <c r="AB69" s="34" t="s">
        <v>195</v>
      </c>
    </row>
    <row r="70" spans="1:28" x14ac:dyDescent="0.15">
      <c r="A70" s="77" t="s">
        <v>24</v>
      </c>
      <c r="B70" s="77" t="s">
        <v>191</v>
      </c>
      <c r="C70" s="77">
        <v>2020</v>
      </c>
      <c r="D70" s="185" t="s">
        <v>386</v>
      </c>
      <c r="E70" s="77" t="s">
        <v>391</v>
      </c>
      <c r="F70" s="77" t="s">
        <v>392</v>
      </c>
      <c r="G70" s="77" t="s">
        <v>25</v>
      </c>
      <c r="H70" s="77" t="s">
        <v>113</v>
      </c>
      <c r="I70" s="77" t="s">
        <v>111</v>
      </c>
      <c r="J70" s="77" t="s">
        <v>27</v>
      </c>
      <c r="K70" s="77" t="s">
        <v>112</v>
      </c>
      <c r="L70" s="77">
        <v>3</v>
      </c>
      <c r="N70" s="77">
        <v>1</v>
      </c>
      <c r="O70" s="77">
        <v>1</v>
      </c>
      <c r="P70" s="77">
        <v>0.9</v>
      </c>
      <c r="Q70" s="186">
        <f t="shared" si="4"/>
        <v>0.95</v>
      </c>
      <c r="R70" s="77">
        <v>12.1</v>
      </c>
      <c r="S70" s="77">
        <v>117</v>
      </c>
      <c r="T70" s="16">
        <f t="shared" si="3"/>
        <v>30</v>
      </c>
      <c r="U70" s="77">
        <v>100</v>
      </c>
      <c r="V70" s="16">
        <f t="shared" si="5"/>
        <v>3000</v>
      </c>
      <c r="W70" s="77">
        <v>2</v>
      </c>
      <c r="X70" s="77" t="s">
        <v>35</v>
      </c>
      <c r="Y70" s="77" t="s">
        <v>43</v>
      </c>
      <c r="Z70" s="77" t="s">
        <v>36</v>
      </c>
      <c r="AA70" s="77" t="s">
        <v>29</v>
      </c>
      <c r="AB70" s="34" t="s">
        <v>195</v>
      </c>
    </row>
    <row r="71" spans="1:28" x14ac:dyDescent="0.15">
      <c r="A71" s="77" t="s">
        <v>24</v>
      </c>
      <c r="B71" s="77" t="s">
        <v>191</v>
      </c>
      <c r="C71" s="77">
        <v>2020</v>
      </c>
      <c r="D71" s="185" t="s">
        <v>386</v>
      </c>
      <c r="E71" s="77" t="s">
        <v>391</v>
      </c>
      <c r="F71" s="77" t="s">
        <v>392</v>
      </c>
      <c r="G71" s="77" t="s">
        <v>25</v>
      </c>
      <c r="H71" s="77" t="s">
        <v>113</v>
      </c>
      <c r="I71" s="77" t="s">
        <v>111</v>
      </c>
      <c r="J71" s="77" t="s">
        <v>27</v>
      </c>
      <c r="K71" s="77" t="s">
        <v>112</v>
      </c>
      <c r="L71" s="77">
        <v>1</v>
      </c>
      <c r="N71" s="77">
        <v>4</v>
      </c>
      <c r="O71" s="77">
        <v>0.8</v>
      </c>
      <c r="P71" s="77">
        <v>0.75</v>
      </c>
      <c r="Q71" s="186">
        <f t="shared" si="4"/>
        <v>0.77500000000000002</v>
      </c>
      <c r="R71" s="77">
        <v>9.6999999999999993</v>
      </c>
      <c r="S71" s="77">
        <v>94</v>
      </c>
      <c r="T71" s="16">
        <f t="shared" si="3"/>
        <v>36</v>
      </c>
      <c r="U71" s="77">
        <v>333</v>
      </c>
      <c r="V71" s="16">
        <f>IF(OR(N71="",U71="",T71=""),"",U71/N71*T71)</f>
        <v>2997</v>
      </c>
      <c r="W71" s="77">
        <v>4</v>
      </c>
      <c r="X71" s="77" t="s">
        <v>35</v>
      </c>
      <c r="Y71" s="77" t="s">
        <v>43</v>
      </c>
      <c r="Z71" s="77" t="s">
        <v>36</v>
      </c>
      <c r="AA71" s="77" t="s">
        <v>29</v>
      </c>
      <c r="AB71" s="34" t="s">
        <v>195</v>
      </c>
    </row>
    <row r="72" spans="1:28" x14ac:dyDescent="0.15">
      <c r="A72" s="77" t="s">
        <v>24</v>
      </c>
      <c r="B72" s="77" t="s">
        <v>191</v>
      </c>
      <c r="C72" s="77">
        <v>2020</v>
      </c>
      <c r="D72" s="185" t="s">
        <v>386</v>
      </c>
      <c r="E72" s="77" t="s">
        <v>391</v>
      </c>
      <c r="F72" s="77" t="s">
        <v>392</v>
      </c>
      <c r="G72" s="77" t="s">
        <v>25</v>
      </c>
      <c r="H72" s="77" t="s">
        <v>113</v>
      </c>
      <c r="I72" s="77" t="s">
        <v>111</v>
      </c>
      <c r="J72" s="77" t="s">
        <v>27</v>
      </c>
      <c r="K72" s="77" t="s">
        <v>112</v>
      </c>
      <c r="L72" s="77">
        <v>2</v>
      </c>
      <c r="N72" s="77">
        <v>4</v>
      </c>
      <c r="O72" s="77">
        <v>0.7</v>
      </c>
      <c r="P72" s="77">
        <v>1</v>
      </c>
      <c r="Q72" s="186">
        <f t="shared" si="4"/>
        <v>0.85</v>
      </c>
      <c r="R72" s="77">
        <v>17.399999999999999</v>
      </c>
      <c r="S72" s="77">
        <v>103</v>
      </c>
      <c r="T72" s="16">
        <f t="shared" si="3"/>
        <v>33</v>
      </c>
      <c r="U72" s="77">
        <v>333</v>
      </c>
      <c r="V72" s="16">
        <f t="shared" ref="V72:V74" si="6">IF(OR(N72="",U72="",T72=""),"",U72/N72*T72)</f>
        <v>2747.25</v>
      </c>
      <c r="W72" s="77">
        <v>4</v>
      </c>
      <c r="X72" s="77" t="s">
        <v>35</v>
      </c>
      <c r="Y72" s="77" t="s">
        <v>43</v>
      </c>
      <c r="Z72" s="77" t="s">
        <v>36</v>
      </c>
      <c r="AA72" s="77" t="s">
        <v>29</v>
      </c>
      <c r="AB72" s="34" t="s">
        <v>195</v>
      </c>
    </row>
    <row r="73" spans="1:28" x14ac:dyDescent="0.15">
      <c r="A73" s="77" t="s">
        <v>24</v>
      </c>
      <c r="B73" s="77" t="s">
        <v>191</v>
      </c>
      <c r="C73" s="77">
        <v>2020</v>
      </c>
      <c r="D73" s="185" t="s">
        <v>386</v>
      </c>
      <c r="E73" s="77" t="s">
        <v>391</v>
      </c>
      <c r="F73" s="77" t="s">
        <v>392</v>
      </c>
      <c r="G73" s="77" t="s">
        <v>25</v>
      </c>
      <c r="H73" s="77" t="s">
        <v>113</v>
      </c>
      <c r="I73" s="77" t="s">
        <v>111</v>
      </c>
      <c r="J73" s="77" t="s">
        <v>27</v>
      </c>
      <c r="K73" s="77" t="s">
        <v>112</v>
      </c>
      <c r="L73" s="77">
        <v>3</v>
      </c>
      <c r="N73" s="77">
        <v>4</v>
      </c>
      <c r="O73" s="77">
        <v>0.9</v>
      </c>
      <c r="P73" s="77">
        <v>0.75</v>
      </c>
      <c r="Q73" s="186">
        <f t="shared" si="4"/>
        <v>0.82499999999999996</v>
      </c>
      <c r="R73" s="77">
        <v>10.9</v>
      </c>
      <c r="S73" s="77">
        <v>90</v>
      </c>
      <c r="T73" s="16">
        <f t="shared" si="3"/>
        <v>36</v>
      </c>
      <c r="U73" s="77">
        <v>333</v>
      </c>
      <c r="V73" s="16">
        <f>IF(OR(N73="",U73="",T73=""),"",U73/N73*T73)</f>
        <v>2997</v>
      </c>
      <c r="W73" s="77">
        <v>4</v>
      </c>
      <c r="X73" s="77" t="s">
        <v>35</v>
      </c>
      <c r="Y73" s="77" t="s">
        <v>43</v>
      </c>
      <c r="Z73" s="77" t="s">
        <v>36</v>
      </c>
      <c r="AA73" s="77" t="s">
        <v>29</v>
      </c>
      <c r="AB73" s="34" t="s">
        <v>195</v>
      </c>
    </row>
    <row r="74" spans="1:28" x14ac:dyDescent="0.15">
      <c r="A74" s="77" t="s">
        <v>24</v>
      </c>
      <c r="B74" s="77" t="s">
        <v>191</v>
      </c>
      <c r="C74" s="77">
        <v>2020</v>
      </c>
      <c r="D74" s="185" t="s">
        <v>386</v>
      </c>
      <c r="E74" s="77" t="s">
        <v>391</v>
      </c>
      <c r="F74" s="77" t="s">
        <v>392</v>
      </c>
      <c r="G74" s="77" t="s">
        <v>25</v>
      </c>
      <c r="H74" s="77" t="s">
        <v>113</v>
      </c>
      <c r="I74" s="77" t="s">
        <v>166</v>
      </c>
      <c r="J74" s="77" t="s">
        <v>27</v>
      </c>
      <c r="K74" s="77" t="s">
        <v>112</v>
      </c>
      <c r="L74" s="77">
        <v>1</v>
      </c>
      <c r="N74" s="77">
        <v>4</v>
      </c>
      <c r="O74" s="77">
        <v>1.3</v>
      </c>
      <c r="P74" s="77">
        <v>1.5</v>
      </c>
      <c r="Q74" s="186">
        <f t="shared" si="4"/>
        <v>1.4</v>
      </c>
      <c r="R74" s="77">
        <v>11.7</v>
      </c>
      <c r="S74" s="77">
        <v>91</v>
      </c>
      <c r="T74" s="16">
        <f t="shared" si="3"/>
        <v>36</v>
      </c>
      <c r="U74" s="77">
        <v>498</v>
      </c>
      <c r="V74" s="16">
        <f t="shared" si="6"/>
        <v>4482</v>
      </c>
      <c r="W74" s="77">
        <v>1</v>
      </c>
      <c r="X74" s="77" t="s">
        <v>35</v>
      </c>
      <c r="Y74" s="77" t="s">
        <v>43</v>
      </c>
      <c r="Z74" s="77" t="s">
        <v>36</v>
      </c>
      <c r="AA74" s="77" t="s">
        <v>29</v>
      </c>
      <c r="AB74" s="34" t="s">
        <v>195</v>
      </c>
    </row>
    <row r="75" spans="1:28" x14ac:dyDescent="0.15">
      <c r="A75" s="77" t="s">
        <v>24</v>
      </c>
      <c r="B75" s="77" t="s">
        <v>191</v>
      </c>
      <c r="C75" s="77">
        <v>2020</v>
      </c>
      <c r="D75" s="185" t="s">
        <v>386</v>
      </c>
      <c r="E75" s="77" t="s">
        <v>391</v>
      </c>
      <c r="F75" s="77" t="s">
        <v>392</v>
      </c>
      <c r="G75" s="77" t="s">
        <v>25</v>
      </c>
      <c r="H75" s="77" t="s">
        <v>113</v>
      </c>
      <c r="I75" s="77" t="s">
        <v>166</v>
      </c>
      <c r="J75" s="77" t="s">
        <v>27</v>
      </c>
      <c r="K75" s="77" t="s">
        <v>112</v>
      </c>
      <c r="L75" s="77">
        <v>2</v>
      </c>
      <c r="N75" s="77">
        <v>4</v>
      </c>
      <c r="O75" s="77">
        <v>1.3</v>
      </c>
      <c r="P75" s="77">
        <v>1.5</v>
      </c>
      <c r="Q75" s="186">
        <f t="shared" si="4"/>
        <v>1.4</v>
      </c>
      <c r="R75" s="77">
        <v>11.5</v>
      </c>
      <c r="S75" s="77">
        <v>88</v>
      </c>
      <c r="T75" s="16">
        <f t="shared" si="3"/>
        <v>36</v>
      </c>
      <c r="U75" s="77">
        <v>498</v>
      </c>
      <c r="V75" s="16">
        <f>IF(OR(N75="",U75="",T75=""),"",U75/N75*T75)</f>
        <v>4482</v>
      </c>
      <c r="W75" s="77">
        <v>1</v>
      </c>
      <c r="X75" s="77" t="s">
        <v>35</v>
      </c>
      <c r="Y75" s="77" t="s">
        <v>43</v>
      </c>
      <c r="Z75" s="77" t="s">
        <v>36</v>
      </c>
      <c r="AA75" s="77" t="s">
        <v>29</v>
      </c>
      <c r="AB75" s="34" t="s">
        <v>195</v>
      </c>
    </row>
    <row r="76" spans="1:28" x14ac:dyDescent="0.15">
      <c r="A76" s="77" t="s">
        <v>24</v>
      </c>
      <c r="B76" s="77" t="s">
        <v>191</v>
      </c>
      <c r="C76" s="77">
        <v>2020</v>
      </c>
      <c r="D76" s="185" t="s">
        <v>386</v>
      </c>
      <c r="E76" s="77" t="s">
        <v>391</v>
      </c>
      <c r="F76" s="77" t="s">
        <v>392</v>
      </c>
      <c r="G76" s="77" t="s">
        <v>25</v>
      </c>
      <c r="H76" s="77" t="s">
        <v>113</v>
      </c>
      <c r="I76" s="77" t="s">
        <v>166</v>
      </c>
      <c r="J76" s="77" t="s">
        <v>27</v>
      </c>
      <c r="K76" s="77" t="s">
        <v>112</v>
      </c>
      <c r="L76" s="77">
        <v>3</v>
      </c>
      <c r="N76" s="77">
        <v>4</v>
      </c>
      <c r="O76" s="77">
        <v>1.1000000000000001</v>
      </c>
      <c r="P76" s="77">
        <v>1.2</v>
      </c>
      <c r="Q76" s="186">
        <f t="shared" si="4"/>
        <v>1.1499999999999999</v>
      </c>
      <c r="R76" s="77">
        <v>11.3</v>
      </c>
      <c r="S76" s="77">
        <v>85</v>
      </c>
      <c r="T76" s="16">
        <f t="shared" si="3"/>
        <v>36</v>
      </c>
      <c r="U76" s="77">
        <v>498</v>
      </c>
      <c r="V76" s="16">
        <f>IF(OR(N76="",U76="",T76=""),"",U76/N76*T76)</f>
        <v>4482</v>
      </c>
      <c r="W76" s="77">
        <v>1</v>
      </c>
      <c r="X76" s="77" t="s">
        <v>35</v>
      </c>
      <c r="Y76" s="77" t="s">
        <v>43</v>
      </c>
      <c r="Z76" s="77" t="s">
        <v>36</v>
      </c>
      <c r="AA76" s="77" t="s">
        <v>29</v>
      </c>
      <c r="AB76" s="34" t="s">
        <v>195</v>
      </c>
    </row>
    <row r="77" spans="1:28" x14ac:dyDescent="0.15">
      <c r="A77" s="77" t="s">
        <v>24</v>
      </c>
      <c r="B77" s="77" t="s">
        <v>191</v>
      </c>
      <c r="C77" s="77">
        <v>2020</v>
      </c>
      <c r="D77" s="185" t="s">
        <v>386</v>
      </c>
      <c r="E77" s="77" t="s">
        <v>391</v>
      </c>
      <c r="F77" s="77" t="s">
        <v>392</v>
      </c>
      <c r="G77" s="77" t="s">
        <v>25</v>
      </c>
      <c r="H77" s="77" t="s">
        <v>165</v>
      </c>
      <c r="I77" s="77" t="s">
        <v>111</v>
      </c>
      <c r="J77" s="77" t="s">
        <v>27</v>
      </c>
      <c r="K77" s="77" t="s">
        <v>112</v>
      </c>
      <c r="L77" s="77">
        <v>1</v>
      </c>
      <c r="N77" s="77">
        <v>5</v>
      </c>
      <c r="O77" s="77">
        <v>0.7</v>
      </c>
      <c r="P77" s="77">
        <v>0.7</v>
      </c>
      <c r="Q77" s="186">
        <f t="shared" si="4"/>
        <v>0.7</v>
      </c>
      <c r="R77" s="77">
        <v>13.4</v>
      </c>
      <c r="S77" s="77">
        <v>81</v>
      </c>
      <c r="T77" s="16">
        <f t="shared" si="3"/>
        <v>39</v>
      </c>
      <c r="U77" s="77">
        <v>398</v>
      </c>
      <c r="V77" s="16">
        <f t="shared" ref="V77:V160" si="7">IF(OR(N77="",U77="",T77=""),"",U77/N77*T77)</f>
        <v>3104.3999999999996</v>
      </c>
      <c r="W77" s="77">
        <v>2</v>
      </c>
      <c r="X77" s="77" t="s">
        <v>35</v>
      </c>
      <c r="Y77" s="77" t="s">
        <v>43</v>
      </c>
      <c r="Z77" s="77" t="s">
        <v>36</v>
      </c>
      <c r="AA77" s="77" t="s">
        <v>29</v>
      </c>
      <c r="AB77" s="34" t="s">
        <v>195</v>
      </c>
    </row>
    <row r="78" spans="1:28" x14ac:dyDescent="0.15">
      <c r="A78" s="77" t="s">
        <v>24</v>
      </c>
      <c r="B78" s="77" t="s">
        <v>191</v>
      </c>
      <c r="C78" s="77">
        <v>2020</v>
      </c>
      <c r="D78" s="185" t="s">
        <v>386</v>
      </c>
      <c r="E78" s="77" t="s">
        <v>391</v>
      </c>
      <c r="F78" s="77" t="s">
        <v>392</v>
      </c>
      <c r="G78" s="77" t="s">
        <v>25</v>
      </c>
      <c r="H78" s="77" t="s">
        <v>165</v>
      </c>
      <c r="I78" s="77" t="s">
        <v>111</v>
      </c>
      <c r="J78" s="77" t="s">
        <v>27</v>
      </c>
      <c r="K78" s="77" t="s">
        <v>112</v>
      </c>
      <c r="L78" s="77">
        <v>2</v>
      </c>
      <c r="N78" s="77">
        <v>5</v>
      </c>
      <c r="O78" s="77">
        <v>0.5</v>
      </c>
      <c r="P78" s="34">
        <v>0.7</v>
      </c>
      <c r="Q78" s="186">
        <f>IF(OR(O78="",P78=""),"",AVERAGE(O78,P78))</f>
        <v>0.6</v>
      </c>
      <c r="R78" s="77">
        <v>17.2</v>
      </c>
      <c r="S78" s="77">
        <v>81</v>
      </c>
      <c r="T78" s="16">
        <f t="shared" si="3"/>
        <v>39</v>
      </c>
      <c r="U78" s="77">
        <v>398</v>
      </c>
      <c r="V78" s="16">
        <f t="shared" si="7"/>
        <v>3104.3999999999996</v>
      </c>
      <c r="W78" s="77">
        <v>2</v>
      </c>
      <c r="X78" s="77" t="s">
        <v>35</v>
      </c>
      <c r="Y78" s="77" t="s">
        <v>43</v>
      </c>
      <c r="Z78" s="77" t="s">
        <v>36</v>
      </c>
      <c r="AA78" s="77" t="s">
        <v>29</v>
      </c>
      <c r="AB78" s="34" t="s">
        <v>195</v>
      </c>
    </row>
    <row r="79" spans="1:28" x14ac:dyDescent="0.15">
      <c r="A79" s="77" t="s">
        <v>24</v>
      </c>
      <c r="B79" s="77" t="s">
        <v>191</v>
      </c>
      <c r="C79" s="77">
        <v>2020</v>
      </c>
      <c r="D79" s="185" t="s">
        <v>386</v>
      </c>
      <c r="E79" s="77" t="s">
        <v>391</v>
      </c>
      <c r="F79" s="77" t="s">
        <v>392</v>
      </c>
      <c r="G79" s="77" t="s">
        <v>25</v>
      </c>
      <c r="H79" s="77" t="s">
        <v>165</v>
      </c>
      <c r="I79" s="77" t="s">
        <v>111</v>
      </c>
      <c r="J79" s="77" t="s">
        <v>27</v>
      </c>
      <c r="K79" s="77" t="s">
        <v>112</v>
      </c>
      <c r="L79" s="77">
        <v>3</v>
      </c>
      <c r="N79" s="77">
        <v>5</v>
      </c>
      <c r="O79" s="77">
        <v>0.7</v>
      </c>
      <c r="P79" s="77">
        <v>0.6</v>
      </c>
      <c r="Q79" s="186">
        <f>IF(OR(O79="",P79=""),"",AVERAGE(O79,P79))</f>
        <v>0.64999999999999991</v>
      </c>
      <c r="R79" s="77">
        <v>10.1</v>
      </c>
      <c r="S79" s="77">
        <v>84</v>
      </c>
      <c r="T79" s="16">
        <f t="shared" si="3"/>
        <v>36</v>
      </c>
      <c r="U79" s="77">
        <v>398</v>
      </c>
      <c r="V79" s="16">
        <f t="shared" si="7"/>
        <v>2865.6</v>
      </c>
      <c r="W79" s="77">
        <v>2</v>
      </c>
      <c r="X79" s="77" t="s">
        <v>35</v>
      </c>
      <c r="Y79" s="77" t="s">
        <v>43</v>
      </c>
      <c r="Z79" s="77" t="s">
        <v>36</v>
      </c>
      <c r="AA79" s="77" t="s">
        <v>29</v>
      </c>
      <c r="AB79" s="34" t="s">
        <v>195</v>
      </c>
    </row>
    <row r="80" spans="1:28" x14ac:dyDescent="0.15">
      <c r="A80" s="77" t="s">
        <v>24</v>
      </c>
      <c r="B80" s="77" t="s">
        <v>191</v>
      </c>
      <c r="C80" s="77">
        <v>2020</v>
      </c>
      <c r="D80" s="185" t="s">
        <v>386</v>
      </c>
      <c r="E80" s="77" t="s">
        <v>391</v>
      </c>
      <c r="F80" s="77" t="s">
        <v>392</v>
      </c>
      <c r="G80" s="77" t="s">
        <v>25</v>
      </c>
      <c r="H80" s="77" t="s">
        <v>164</v>
      </c>
      <c r="I80" s="77" t="s">
        <v>111</v>
      </c>
      <c r="J80" s="77" t="s">
        <v>27</v>
      </c>
      <c r="K80" s="77" t="s">
        <v>112</v>
      </c>
      <c r="L80" s="77">
        <v>1</v>
      </c>
      <c r="N80" s="77">
        <v>1</v>
      </c>
      <c r="O80" s="77">
        <v>0.7</v>
      </c>
      <c r="P80" s="77">
        <v>0.75</v>
      </c>
      <c r="Q80" s="186">
        <f t="shared" ref="Q80:Q160" si="8">IF(OR(O80="",P80=""),"",AVERAGE(O80,P80))</f>
        <v>0.72499999999999998</v>
      </c>
      <c r="R80" s="77">
        <v>11.9</v>
      </c>
      <c r="S80" s="77">
        <v>103</v>
      </c>
      <c r="T80" s="16">
        <f t="shared" si="3"/>
        <v>33</v>
      </c>
      <c r="U80" s="77">
        <v>98</v>
      </c>
      <c r="V80" s="16">
        <f t="shared" si="7"/>
        <v>3234</v>
      </c>
      <c r="W80" s="77">
        <v>13</v>
      </c>
      <c r="X80" s="77" t="s">
        <v>35</v>
      </c>
      <c r="Y80" s="77" t="s">
        <v>43</v>
      </c>
      <c r="Z80" s="77" t="s">
        <v>36</v>
      </c>
      <c r="AA80" s="77" t="s">
        <v>29</v>
      </c>
      <c r="AB80" s="34" t="s">
        <v>195</v>
      </c>
    </row>
    <row r="81" spans="1:28" x14ac:dyDescent="0.15">
      <c r="A81" s="77" t="s">
        <v>24</v>
      </c>
      <c r="B81" s="77" t="s">
        <v>191</v>
      </c>
      <c r="C81" s="77">
        <v>2020</v>
      </c>
      <c r="D81" s="185" t="s">
        <v>386</v>
      </c>
      <c r="E81" s="77" t="s">
        <v>391</v>
      </c>
      <c r="F81" s="77" t="s">
        <v>392</v>
      </c>
      <c r="G81" s="77" t="s">
        <v>25</v>
      </c>
      <c r="H81" s="77" t="s">
        <v>164</v>
      </c>
      <c r="I81" s="77" t="s">
        <v>111</v>
      </c>
      <c r="J81" s="77" t="s">
        <v>27</v>
      </c>
      <c r="K81" s="77" t="s">
        <v>112</v>
      </c>
      <c r="L81" s="77">
        <v>2</v>
      </c>
      <c r="N81" s="77">
        <v>1</v>
      </c>
      <c r="O81" s="77">
        <v>0.8</v>
      </c>
      <c r="P81" s="77">
        <v>0.75</v>
      </c>
      <c r="Q81" s="186">
        <f t="shared" si="8"/>
        <v>0.77500000000000002</v>
      </c>
      <c r="R81" s="77">
        <v>12.4</v>
      </c>
      <c r="S81" s="77">
        <v>112</v>
      </c>
      <c r="T81" s="16">
        <f t="shared" si="3"/>
        <v>33</v>
      </c>
      <c r="U81" s="77">
        <v>98</v>
      </c>
      <c r="V81" s="16">
        <f t="shared" si="7"/>
        <v>3234</v>
      </c>
      <c r="W81" s="77">
        <v>13</v>
      </c>
      <c r="X81" s="77" t="s">
        <v>35</v>
      </c>
      <c r="Y81" s="77" t="s">
        <v>43</v>
      </c>
      <c r="Z81" s="77" t="s">
        <v>36</v>
      </c>
      <c r="AA81" s="77" t="s">
        <v>29</v>
      </c>
      <c r="AB81" s="34" t="s">
        <v>195</v>
      </c>
    </row>
    <row r="82" spans="1:28" x14ac:dyDescent="0.15">
      <c r="A82" s="77" t="s">
        <v>24</v>
      </c>
      <c r="B82" s="77" t="s">
        <v>191</v>
      </c>
      <c r="C82" s="77">
        <v>2020</v>
      </c>
      <c r="D82" s="185" t="s">
        <v>386</v>
      </c>
      <c r="E82" s="77" t="s">
        <v>391</v>
      </c>
      <c r="F82" s="77" t="s">
        <v>392</v>
      </c>
      <c r="G82" s="77" t="s">
        <v>25</v>
      </c>
      <c r="H82" s="77" t="s">
        <v>164</v>
      </c>
      <c r="I82" s="77" t="s">
        <v>111</v>
      </c>
      <c r="J82" s="77" t="s">
        <v>27</v>
      </c>
      <c r="K82" s="77" t="s">
        <v>112</v>
      </c>
      <c r="L82" s="77">
        <v>3</v>
      </c>
      <c r="N82" s="77">
        <v>1</v>
      </c>
      <c r="O82" s="77">
        <v>0.75</v>
      </c>
      <c r="P82" s="77">
        <v>0.75</v>
      </c>
      <c r="Q82" s="186">
        <f t="shared" si="8"/>
        <v>0.75</v>
      </c>
      <c r="R82" s="77">
        <v>11.7</v>
      </c>
      <c r="S82" s="77">
        <v>106</v>
      </c>
      <c r="T82" s="16">
        <f t="shared" si="3"/>
        <v>33</v>
      </c>
      <c r="U82" s="77">
        <v>98</v>
      </c>
      <c r="V82" s="16">
        <f t="shared" si="7"/>
        <v>3234</v>
      </c>
      <c r="W82" s="77">
        <v>13</v>
      </c>
      <c r="X82" s="77" t="s">
        <v>35</v>
      </c>
      <c r="Y82" s="77" t="s">
        <v>43</v>
      </c>
      <c r="Z82" s="77" t="s">
        <v>36</v>
      </c>
      <c r="AA82" s="77" t="s">
        <v>29</v>
      </c>
      <c r="AB82" s="34" t="s">
        <v>195</v>
      </c>
    </row>
    <row r="83" spans="1:28" x14ac:dyDescent="0.15">
      <c r="A83" s="77" t="s">
        <v>24</v>
      </c>
      <c r="B83" s="77" t="s">
        <v>191</v>
      </c>
      <c r="C83" s="77">
        <v>2020</v>
      </c>
      <c r="D83" s="185" t="s">
        <v>386</v>
      </c>
      <c r="E83" s="77" t="s">
        <v>391</v>
      </c>
      <c r="F83" s="77" t="s">
        <v>392</v>
      </c>
      <c r="G83" s="77" t="s">
        <v>25</v>
      </c>
      <c r="H83" s="77" t="s">
        <v>164</v>
      </c>
      <c r="I83" s="77" t="s">
        <v>111</v>
      </c>
      <c r="J83" s="77" t="s">
        <v>27</v>
      </c>
      <c r="K83" s="77" t="s">
        <v>112</v>
      </c>
      <c r="L83" s="77">
        <v>1</v>
      </c>
      <c r="N83" s="77">
        <v>4</v>
      </c>
      <c r="O83" s="77">
        <v>0.8</v>
      </c>
      <c r="P83" s="77">
        <v>0.8</v>
      </c>
      <c r="Q83" s="186">
        <f t="shared" si="8"/>
        <v>0.8</v>
      </c>
      <c r="R83" s="77">
        <v>11.6</v>
      </c>
      <c r="S83" s="77">
        <v>106</v>
      </c>
      <c r="T83" s="16">
        <f t="shared" si="3"/>
        <v>33</v>
      </c>
      <c r="U83" s="77">
        <v>333</v>
      </c>
      <c r="V83" s="16">
        <f t="shared" si="7"/>
        <v>2747.25</v>
      </c>
      <c r="W83" s="77">
        <v>4</v>
      </c>
      <c r="X83" s="77" t="s">
        <v>35</v>
      </c>
      <c r="Y83" s="77" t="s">
        <v>43</v>
      </c>
      <c r="Z83" s="77" t="s">
        <v>36</v>
      </c>
      <c r="AA83" s="77" t="s">
        <v>29</v>
      </c>
      <c r="AB83" s="34" t="s">
        <v>195</v>
      </c>
    </row>
    <row r="84" spans="1:28" x14ac:dyDescent="0.15">
      <c r="A84" s="77" t="s">
        <v>24</v>
      </c>
      <c r="B84" s="77" t="s">
        <v>191</v>
      </c>
      <c r="C84" s="77">
        <v>2020</v>
      </c>
      <c r="D84" s="185" t="s">
        <v>386</v>
      </c>
      <c r="E84" s="77" t="s">
        <v>391</v>
      </c>
      <c r="F84" s="77" t="s">
        <v>392</v>
      </c>
      <c r="G84" s="77" t="s">
        <v>25</v>
      </c>
      <c r="H84" s="77" t="s">
        <v>164</v>
      </c>
      <c r="I84" s="77" t="s">
        <v>111</v>
      </c>
      <c r="J84" s="77" t="s">
        <v>27</v>
      </c>
      <c r="K84" s="77" t="s">
        <v>112</v>
      </c>
      <c r="L84" s="77">
        <v>2</v>
      </c>
      <c r="N84" s="77">
        <v>4</v>
      </c>
      <c r="O84" s="77">
        <v>0.6</v>
      </c>
      <c r="P84" s="77">
        <v>0.75</v>
      </c>
      <c r="Q84" s="186">
        <f t="shared" si="8"/>
        <v>0.67500000000000004</v>
      </c>
      <c r="R84" s="77">
        <v>12</v>
      </c>
      <c r="S84" s="77">
        <v>97</v>
      </c>
      <c r="T84" s="16">
        <f t="shared" si="3"/>
        <v>36</v>
      </c>
      <c r="U84" s="77">
        <v>333</v>
      </c>
      <c r="V84" s="16">
        <f t="shared" si="7"/>
        <v>2997</v>
      </c>
      <c r="W84" s="77">
        <v>4</v>
      </c>
      <c r="X84" s="77" t="s">
        <v>35</v>
      </c>
      <c r="Y84" s="77" t="s">
        <v>43</v>
      </c>
      <c r="Z84" s="77" t="s">
        <v>36</v>
      </c>
      <c r="AA84" s="77" t="s">
        <v>29</v>
      </c>
      <c r="AB84" s="34" t="s">
        <v>195</v>
      </c>
    </row>
    <row r="85" spans="1:28" x14ac:dyDescent="0.15">
      <c r="A85" s="77" t="s">
        <v>24</v>
      </c>
      <c r="B85" s="77" t="s">
        <v>191</v>
      </c>
      <c r="C85" s="77">
        <v>2020</v>
      </c>
      <c r="D85" s="185" t="s">
        <v>386</v>
      </c>
      <c r="E85" s="77" t="s">
        <v>391</v>
      </c>
      <c r="F85" s="77" t="s">
        <v>392</v>
      </c>
      <c r="G85" s="77" t="s">
        <v>25</v>
      </c>
      <c r="H85" s="77" t="s">
        <v>164</v>
      </c>
      <c r="I85" s="77" t="s">
        <v>111</v>
      </c>
      <c r="J85" s="77" t="s">
        <v>27</v>
      </c>
      <c r="K85" s="77" t="s">
        <v>112</v>
      </c>
      <c r="L85" s="77">
        <v>3</v>
      </c>
      <c r="N85" s="77">
        <v>4</v>
      </c>
      <c r="O85" s="77">
        <v>0.75</v>
      </c>
      <c r="P85" s="77">
        <v>0.5</v>
      </c>
      <c r="Q85" s="186">
        <f t="shared" si="8"/>
        <v>0.625</v>
      </c>
      <c r="R85" s="77">
        <v>14.6</v>
      </c>
      <c r="S85" s="77">
        <v>101</v>
      </c>
      <c r="T85" s="16">
        <f t="shared" si="3"/>
        <v>33</v>
      </c>
      <c r="U85" s="77">
        <v>333</v>
      </c>
      <c r="V85" s="16">
        <f t="shared" si="7"/>
        <v>2747.25</v>
      </c>
      <c r="W85" s="77">
        <v>4</v>
      </c>
      <c r="X85" s="77" t="s">
        <v>35</v>
      </c>
      <c r="Y85" s="77" t="s">
        <v>43</v>
      </c>
      <c r="Z85" s="77" t="s">
        <v>36</v>
      </c>
      <c r="AA85" s="77" t="s">
        <v>29</v>
      </c>
      <c r="AB85" s="34" t="s">
        <v>195</v>
      </c>
    </row>
    <row r="86" spans="1:28" x14ac:dyDescent="0.15">
      <c r="A86" s="77" t="s">
        <v>24</v>
      </c>
      <c r="B86" s="34" t="s">
        <v>191</v>
      </c>
      <c r="C86" s="77">
        <v>2020</v>
      </c>
      <c r="D86" s="185" t="s">
        <v>386</v>
      </c>
      <c r="E86" s="77" t="s">
        <v>391</v>
      </c>
      <c r="F86" s="77" t="s">
        <v>392</v>
      </c>
      <c r="G86" s="77" t="s">
        <v>25</v>
      </c>
      <c r="H86" s="77" t="s">
        <v>164</v>
      </c>
      <c r="I86" s="77" t="s">
        <v>166</v>
      </c>
      <c r="J86" s="77" t="s">
        <v>27</v>
      </c>
      <c r="K86" s="77" t="s">
        <v>112</v>
      </c>
      <c r="L86" s="77">
        <v>1</v>
      </c>
      <c r="N86" s="77">
        <v>4</v>
      </c>
      <c r="O86" s="77">
        <v>0.9</v>
      </c>
      <c r="P86" s="77">
        <v>0.9</v>
      </c>
      <c r="Q86" s="186">
        <f t="shared" si="8"/>
        <v>0.9</v>
      </c>
      <c r="R86" s="77">
        <v>12.9</v>
      </c>
      <c r="S86" s="77">
        <v>95</v>
      </c>
      <c r="T86" s="16">
        <f t="shared" si="3"/>
        <v>36</v>
      </c>
      <c r="U86" s="77">
        <v>498</v>
      </c>
      <c r="V86" s="16">
        <f t="shared" si="7"/>
        <v>4482</v>
      </c>
      <c r="W86" s="77">
        <v>1</v>
      </c>
      <c r="X86" s="77" t="s">
        <v>35</v>
      </c>
      <c r="Y86" s="77" t="s">
        <v>43</v>
      </c>
      <c r="Z86" s="77" t="s">
        <v>36</v>
      </c>
      <c r="AA86" s="77" t="s">
        <v>29</v>
      </c>
      <c r="AB86" s="34" t="s">
        <v>195</v>
      </c>
    </row>
    <row r="87" spans="1:28" x14ac:dyDescent="0.15">
      <c r="A87" s="77" t="s">
        <v>24</v>
      </c>
      <c r="B87" s="34" t="s">
        <v>191</v>
      </c>
      <c r="C87" s="77">
        <v>2020</v>
      </c>
      <c r="D87" s="185" t="s">
        <v>386</v>
      </c>
      <c r="E87" s="77" t="s">
        <v>391</v>
      </c>
      <c r="F87" s="77" t="s">
        <v>392</v>
      </c>
      <c r="G87" s="77" t="s">
        <v>25</v>
      </c>
      <c r="H87" s="77" t="s">
        <v>164</v>
      </c>
      <c r="I87" s="77" t="s">
        <v>166</v>
      </c>
      <c r="J87" s="77" t="s">
        <v>27</v>
      </c>
      <c r="K87" s="77" t="s">
        <v>112</v>
      </c>
      <c r="L87" s="77">
        <v>2</v>
      </c>
      <c r="N87" s="77">
        <v>4</v>
      </c>
      <c r="O87" s="77">
        <v>0.8</v>
      </c>
      <c r="P87" s="77">
        <v>0.8</v>
      </c>
      <c r="Q87" s="186">
        <f t="shared" si="8"/>
        <v>0.8</v>
      </c>
      <c r="R87" s="77">
        <v>11.9</v>
      </c>
      <c r="S87" s="77">
        <v>97</v>
      </c>
      <c r="T87" s="16">
        <f t="shared" si="3"/>
        <v>36</v>
      </c>
      <c r="U87" s="77">
        <v>498</v>
      </c>
      <c r="V87" s="16">
        <f t="shared" si="7"/>
        <v>4482</v>
      </c>
      <c r="W87" s="77">
        <v>1</v>
      </c>
      <c r="X87" s="77" t="s">
        <v>35</v>
      </c>
      <c r="Y87" s="77" t="s">
        <v>43</v>
      </c>
      <c r="Z87" s="77" t="s">
        <v>36</v>
      </c>
      <c r="AA87" s="77" t="s">
        <v>29</v>
      </c>
      <c r="AB87" s="34" t="s">
        <v>195</v>
      </c>
    </row>
    <row r="88" spans="1:28" x14ac:dyDescent="0.15">
      <c r="A88" s="77" t="s">
        <v>24</v>
      </c>
      <c r="B88" s="34" t="s">
        <v>191</v>
      </c>
      <c r="C88" s="77">
        <v>2020</v>
      </c>
      <c r="D88" s="185" t="s">
        <v>386</v>
      </c>
      <c r="E88" s="77" t="s">
        <v>391</v>
      </c>
      <c r="F88" s="77" t="s">
        <v>392</v>
      </c>
      <c r="G88" s="77" t="s">
        <v>25</v>
      </c>
      <c r="H88" s="77" t="s">
        <v>164</v>
      </c>
      <c r="I88" s="77" t="s">
        <v>166</v>
      </c>
      <c r="J88" s="77" t="s">
        <v>27</v>
      </c>
      <c r="K88" s="77" t="s">
        <v>112</v>
      </c>
      <c r="L88" s="77">
        <v>3</v>
      </c>
      <c r="N88" s="77">
        <v>4</v>
      </c>
      <c r="O88" s="77">
        <v>1</v>
      </c>
      <c r="P88" s="77">
        <v>1.1000000000000001</v>
      </c>
      <c r="Q88" s="186">
        <f t="shared" si="8"/>
        <v>1.05</v>
      </c>
      <c r="R88" s="77">
        <v>11.4</v>
      </c>
      <c r="S88" s="77">
        <v>95</v>
      </c>
      <c r="T88" s="16">
        <f t="shared" si="3"/>
        <v>36</v>
      </c>
      <c r="U88" s="77">
        <v>498</v>
      </c>
      <c r="V88" s="16">
        <f t="shared" si="7"/>
        <v>4482</v>
      </c>
      <c r="W88" s="77">
        <v>1</v>
      </c>
      <c r="X88" s="77" t="s">
        <v>35</v>
      </c>
      <c r="Y88" s="77" t="s">
        <v>43</v>
      </c>
      <c r="Z88" s="77" t="s">
        <v>36</v>
      </c>
      <c r="AA88" s="77" t="s">
        <v>29</v>
      </c>
      <c r="AB88" s="34" t="s">
        <v>195</v>
      </c>
    </row>
    <row r="89" spans="1:28" x14ac:dyDescent="0.15">
      <c r="A89" s="77" t="s">
        <v>24</v>
      </c>
      <c r="B89" s="34" t="s">
        <v>191</v>
      </c>
      <c r="C89" s="77">
        <v>2020</v>
      </c>
      <c r="D89" s="185" t="s">
        <v>386</v>
      </c>
      <c r="E89" s="77" t="s">
        <v>305</v>
      </c>
      <c r="F89" s="77" t="s">
        <v>388</v>
      </c>
      <c r="G89" s="77" t="s">
        <v>25</v>
      </c>
      <c r="H89" s="77" t="s">
        <v>113</v>
      </c>
      <c r="I89" s="77" t="s">
        <v>111</v>
      </c>
      <c r="J89" s="77" t="s">
        <v>27</v>
      </c>
      <c r="K89" s="77" t="s">
        <v>112</v>
      </c>
      <c r="L89" s="77">
        <v>1</v>
      </c>
      <c r="N89" s="77">
        <v>1</v>
      </c>
      <c r="O89" s="77">
        <v>0.7</v>
      </c>
      <c r="P89" s="77">
        <v>0.75</v>
      </c>
      <c r="Q89" s="186">
        <f t="shared" si="8"/>
        <v>0.72499999999999998</v>
      </c>
      <c r="R89" s="77">
        <v>11.4</v>
      </c>
      <c r="S89" s="77">
        <v>107</v>
      </c>
      <c r="T89" s="16">
        <f t="shared" si="3"/>
        <v>33</v>
      </c>
      <c r="U89" s="77">
        <v>78</v>
      </c>
      <c r="V89" s="16">
        <f t="shared" si="7"/>
        <v>2574</v>
      </c>
      <c r="W89" s="77">
        <v>8</v>
      </c>
      <c r="X89" s="77" t="s">
        <v>35</v>
      </c>
      <c r="Y89" s="77" t="s">
        <v>43</v>
      </c>
      <c r="Z89" s="77" t="s">
        <v>36</v>
      </c>
      <c r="AA89" s="77" t="s">
        <v>55</v>
      </c>
      <c r="AB89" s="34" t="s">
        <v>195</v>
      </c>
    </row>
    <row r="90" spans="1:28" x14ac:dyDescent="0.15">
      <c r="A90" s="77" t="s">
        <v>24</v>
      </c>
      <c r="B90" s="34" t="s">
        <v>191</v>
      </c>
      <c r="C90" s="77">
        <v>2020</v>
      </c>
      <c r="D90" s="185" t="s">
        <v>386</v>
      </c>
      <c r="E90" s="77" t="s">
        <v>305</v>
      </c>
      <c r="F90" s="77" t="s">
        <v>388</v>
      </c>
      <c r="G90" s="77" t="s">
        <v>25</v>
      </c>
      <c r="H90" s="77" t="s">
        <v>113</v>
      </c>
      <c r="I90" s="77" t="s">
        <v>111</v>
      </c>
      <c r="J90" s="77" t="s">
        <v>27</v>
      </c>
      <c r="K90" s="77" t="s">
        <v>112</v>
      </c>
      <c r="L90" s="77">
        <v>2</v>
      </c>
      <c r="N90" s="77">
        <v>1</v>
      </c>
      <c r="O90" s="77">
        <v>0.75</v>
      </c>
      <c r="P90" s="77">
        <v>0.6</v>
      </c>
      <c r="Q90" s="186">
        <f t="shared" si="8"/>
        <v>0.67500000000000004</v>
      </c>
      <c r="R90" s="77">
        <v>11.7</v>
      </c>
      <c r="S90" s="77">
        <v>109</v>
      </c>
      <c r="T90" s="16">
        <f t="shared" si="3"/>
        <v>33</v>
      </c>
      <c r="U90" s="77">
        <v>78</v>
      </c>
      <c r="V90" s="16">
        <f t="shared" si="7"/>
        <v>2574</v>
      </c>
      <c r="W90" s="77">
        <v>8</v>
      </c>
      <c r="X90" s="77" t="s">
        <v>35</v>
      </c>
      <c r="Y90" s="77" t="s">
        <v>43</v>
      </c>
      <c r="Z90" s="77" t="s">
        <v>36</v>
      </c>
      <c r="AA90" s="77" t="s">
        <v>55</v>
      </c>
      <c r="AB90" s="34" t="s">
        <v>195</v>
      </c>
    </row>
    <row r="91" spans="1:28" x14ac:dyDescent="0.15">
      <c r="A91" s="77" t="s">
        <v>24</v>
      </c>
      <c r="B91" s="34" t="s">
        <v>191</v>
      </c>
      <c r="C91" s="77">
        <v>2020</v>
      </c>
      <c r="D91" s="185" t="s">
        <v>386</v>
      </c>
      <c r="E91" s="77" t="s">
        <v>305</v>
      </c>
      <c r="F91" s="77" t="s">
        <v>388</v>
      </c>
      <c r="G91" s="77" t="s">
        <v>25</v>
      </c>
      <c r="H91" s="77" t="s">
        <v>113</v>
      </c>
      <c r="I91" s="77" t="s">
        <v>111</v>
      </c>
      <c r="J91" s="77" t="s">
        <v>27</v>
      </c>
      <c r="K91" s="77" t="s">
        <v>112</v>
      </c>
      <c r="L91" s="77">
        <v>3</v>
      </c>
      <c r="N91" s="77">
        <v>1</v>
      </c>
      <c r="O91" s="77">
        <v>0.7</v>
      </c>
      <c r="P91" s="77">
        <v>0.7</v>
      </c>
      <c r="Q91" s="186">
        <f t="shared" si="8"/>
        <v>0.7</v>
      </c>
      <c r="R91" s="77">
        <v>11</v>
      </c>
      <c r="S91" s="77">
        <v>114</v>
      </c>
      <c r="T91" s="16">
        <f t="shared" si="3"/>
        <v>30</v>
      </c>
      <c r="U91" s="77">
        <v>78</v>
      </c>
      <c r="V91" s="16">
        <f t="shared" si="7"/>
        <v>2340</v>
      </c>
      <c r="W91" s="77">
        <v>8</v>
      </c>
      <c r="X91" s="77" t="s">
        <v>35</v>
      </c>
      <c r="Y91" s="77" t="s">
        <v>43</v>
      </c>
      <c r="Z91" s="77" t="s">
        <v>36</v>
      </c>
      <c r="AA91" s="77" t="s">
        <v>55</v>
      </c>
      <c r="AB91" s="34" t="s">
        <v>195</v>
      </c>
    </row>
    <row r="92" spans="1:28" x14ac:dyDescent="0.15">
      <c r="A92" s="77" t="s">
        <v>24</v>
      </c>
      <c r="B92" s="77" t="s">
        <v>191</v>
      </c>
      <c r="C92" s="77">
        <v>2020</v>
      </c>
      <c r="D92" s="77" t="s">
        <v>386</v>
      </c>
      <c r="E92" s="77" t="s">
        <v>305</v>
      </c>
      <c r="F92" s="77" t="s">
        <v>388</v>
      </c>
      <c r="G92" s="77" t="s">
        <v>25</v>
      </c>
      <c r="H92" s="77" t="s">
        <v>113</v>
      </c>
      <c r="I92" s="77" t="s">
        <v>111</v>
      </c>
      <c r="J92" s="77" t="s">
        <v>27</v>
      </c>
      <c r="K92" s="77" t="s">
        <v>112</v>
      </c>
      <c r="L92" s="77">
        <v>1</v>
      </c>
      <c r="N92" s="77">
        <v>5</v>
      </c>
      <c r="O92" s="77">
        <v>0.9</v>
      </c>
      <c r="P92" s="77">
        <v>0.8</v>
      </c>
      <c r="Q92" s="186">
        <f t="shared" si="8"/>
        <v>0.85000000000000009</v>
      </c>
      <c r="R92" s="77">
        <v>13.9</v>
      </c>
      <c r="S92" s="77">
        <v>89</v>
      </c>
      <c r="T92" s="16">
        <f t="shared" si="3"/>
        <v>36</v>
      </c>
      <c r="U92" s="77">
        <v>398</v>
      </c>
      <c r="V92" s="16">
        <f t="shared" si="7"/>
        <v>2865.6</v>
      </c>
      <c r="W92" s="77">
        <v>2</v>
      </c>
      <c r="X92" s="77" t="s">
        <v>35</v>
      </c>
      <c r="Y92" s="77" t="s">
        <v>43</v>
      </c>
      <c r="Z92" s="77" t="s">
        <v>36</v>
      </c>
      <c r="AA92" s="77" t="s">
        <v>55</v>
      </c>
      <c r="AB92" s="77" t="s">
        <v>195</v>
      </c>
    </row>
    <row r="93" spans="1:28" x14ac:dyDescent="0.15">
      <c r="A93" s="77" t="s">
        <v>24</v>
      </c>
      <c r="B93" s="77" t="s">
        <v>191</v>
      </c>
      <c r="C93" s="77">
        <v>2020</v>
      </c>
      <c r="D93" s="77" t="s">
        <v>386</v>
      </c>
      <c r="E93" s="77" t="s">
        <v>305</v>
      </c>
      <c r="F93" s="77" t="s">
        <v>388</v>
      </c>
      <c r="G93" s="77" t="s">
        <v>25</v>
      </c>
      <c r="H93" s="77" t="s">
        <v>113</v>
      </c>
      <c r="I93" s="77" t="s">
        <v>111</v>
      </c>
      <c r="J93" s="77" t="s">
        <v>27</v>
      </c>
      <c r="K93" s="77" t="s">
        <v>112</v>
      </c>
      <c r="L93" s="77">
        <v>2</v>
      </c>
      <c r="N93" s="77">
        <v>5</v>
      </c>
      <c r="O93" s="77">
        <v>1.2</v>
      </c>
      <c r="P93" s="77">
        <v>1.1000000000000001</v>
      </c>
      <c r="Q93" s="186">
        <f t="shared" si="8"/>
        <v>1.1499999999999999</v>
      </c>
      <c r="R93" s="77">
        <v>13.3</v>
      </c>
      <c r="S93" s="77">
        <v>90</v>
      </c>
      <c r="T93" s="16">
        <f t="shared" si="3"/>
        <v>36</v>
      </c>
      <c r="U93" s="77">
        <v>398</v>
      </c>
      <c r="V93" s="16">
        <f t="shared" si="7"/>
        <v>2865.6</v>
      </c>
      <c r="W93" s="77">
        <v>2</v>
      </c>
      <c r="X93" s="77" t="s">
        <v>35</v>
      </c>
      <c r="Y93" s="77" t="s">
        <v>43</v>
      </c>
      <c r="Z93" s="77" t="s">
        <v>36</v>
      </c>
      <c r="AA93" s="77" t="s">
        <v>55</v>
      </c>
      <c r="AB93" s="77" t="s">
        <v>195</v>
      </c>
    </row>
    <row r="94" spans="1:28" x14ac:dyDescent="0.15">
      <c r="A94" s="77" t="s">
        <v>24</v>
      </c>
      <c r="B94" s="77" t="s">
        <v>191</v>
      </c>
      <c r="C94" s="77">
        <v>2020</v>
      </c>
      <c r="D94" s="77" t="s">
        <v>386</v>
      </c>
      <c r="E94" s="77" t="s">
        <v>305</v>
      </c>
      <c r="F94" s="77" t="s">
        <v>388</v>
      </c>
      <c r="G94" s="77" t="s">
        <v>25</v>
      </c>
      <c r="H94" s="77" t="s">
        <v>113</v>
      </c>
      <c r="I94" s="77" t="s">
        <v>111</v>
      </c>
      <c r="J94" s="77" t="s">
        <v>27</v>
      </c>
      <c r="K94" s="77" t="s">
        <v>112</v>
      </c>
      <c r="L94" s="77">
        <v>3</v>
      </c>
      <c r="N94" s="77">
        <v>5</v>
      </c>
      <c r="O94" s="77">
        <v>1.25</v>
      </c>
      <c r="P94" s="77">
        <v>1.25</v>
      </c>
      <c r="Q94" s="186">
        <f t="shared" si="8"/>
        <v>1.25</v>
      </c>
      <c r="R94" s="77">
        <v>14.3</v>
      </c>
      <c r="S94" s="77">
        <v>92</v>
      </c>
      <c r="T94" s="16">
        <f t="shared" si="3"/>
        <v>36</v>
      </c>
      <c r="U94" s="77">
        <v>398</v>
      </c>
      <c r="V94" s="16">
        <f t="shared" si="7"/>
        <v>2865.6</v>
      </c>
      <c r="W94" s="77">
        <v>2</v>
      </c>
      <c r="X94" s="77" t="s">
        <v>35</v>
      </c>
      <c r="Y94" s="77" t="s">
        <v>43</v>
      </c>
      <c r="Z94" s="77" t="s">
        <v>36</v>
      </c>
      <c r="AA94" s="77" t="s">
        <v>55</v>
      </c>
      <c r="AB94" s="77" t="s">
        <v>195</v>
      </c>
    </row>
    <row r="95" spans="1:28" x14ac:dyDescent="0.15">
      <c r="A95" s="77" t="s">
        <v>24</v>
      </c>
      <c r="B95" s="77" t="s">
        <v>191</v>
      </c>
      <c r="C95" s="77">
        <v>2020</v>
      </c>
      <c r="D95" s="77" t="s">
        <v>386</v>
      </c>
      <c r="E95" s="77" t="s">
        <v>305</v>
      </c>
      <c r="F95" s="77" t="s">
        <v>388</v>
      </c>
      <c r="G95" s="77" t="s">
        <v>25</v>
      </c>
      <c r="H95" s="77" t="s">
        <v>164</v>
      </c>
      <c r="I95" s="77" t="s">
        <v>111</v>
      </c>
      <c r="J95" s="77" t="s">
        <v>27</v>
      </c>
      <c r="K95" s="77" t="s">
        <v>112</v>
      </c>
      <c r="L95" s="77">
        <v>1</v>
      </c>
      <c r="N95" s="77">
        <v>1</v>
      </c>
      <c r="O95" s="77">
        <v>1.4</v>
      </c>
      <c r="P95" s="77">
        <v>1.5</v>
      </c>
      <c r="Q95" s="186">
        <f t="shared" si="8"/>
        <v>1.45</v>
      </c>
      <c r="R95" s="77">
        <v>15.3</v>
      </c>
      <c r="S95" s="77">
        <v>116</v>
      </c>
      <c r="T95" s="16">
        <f t="shared" si="3"/>
        <v>30</v>
      </c>
      <c r="U95" s="77">
        <v>78</v>
      </c>
      <c r="V95" s="16">
        <f t="shared" si="7"/>
        <v>2340</v>
      </c>
      <c r="W95" s="77">
        <v>3</v>
      </c>
      <c r="X95" s="77" t="s">
        <v>35</v>
      </c>
      <c r="Y95" s="77" t="s">
        <v>43</v>
      </c>
      <c r="Z95" s="77" t="s">
        <v>36</v>
      </c>
      <c r="AA95" s="77" t="s">
        <v>55</v>
      </c>
      <c r="AB95" s="77" t="s">
        <v>195</v>
      </c>
    </row>
    <row r="96" spans="1:28" x14ac:dyDescent="0.15">
      <c r="A96" s="77" t="s">
        <v>24</v>
      </c>
      <c r="B96" s="77" t="s">
        <v>191</v>
      </c>
      <c r="C96" s="77">
        <v>2020</v>
      </c>
      <c r="D96" s="77" t="s">
        <v>386</v>
      </c>
      <c r="E96" s="77" t="s">
        <v>305</v>
      </c>
      <c r="F96" s="77" t="s">
        <v>388</v>
      </c>
      <c r="G96" s="77" t="s">
        <v>25</v>
      </c>
      <c r="H96" s="77" t="s">
        <v>164</v>
      </c>
      <c r="I96" s="77" t="s">
        <v>111</v>
      </c>
      <c r="J96" s="77" t="s">
        <v>27</v>
      </c>
      <c r="K96" s="77" t="s">
        <v>112</v>
      </c>
      <c r="L96" s="77">
        <v>2</v>
      </c>
      <c r="N96" s="77">
        <v>1</v>
      </c>
      <c r="O96" s="77">
        <v>1.1000000000000001</v>
      </c>
      <c r="P96" s="77">
        <v>0.9</v>
      </c>
      <c r="Q96" s="186">
        <f t="shared" si="8"/>
        <v>1</v>
      </c>
      <c r="R96" s="77">
        <v>17.2</v>
      </c>
      <c r="S96" s="77">
        <v>110</v>
      </c>
      <c r="T96" s="16">
        <f t="shared" si="3"/>
        <v>33</v>
      </c>
      <c r="U96" s="77">
        <v>78</v>
      </c>
      <c r="V96" s="16">
        <f t="shared" si="7"/>
        <v>2574</v>
      </c>
      <c r="W96" s="77">
        <v>3</v>
      </c>
      <c r="X96" s="77" t="s">
        <v>35</v>
      </c>
      <c r="Y96" s="77" t="s">
        <v>43</v>
      </c>
      <c r="Z96" s="77" t="s">
        <v>36</v>
      </c>
      <c r="AA96" s="77" t="s">
        <v>55</v>
      </c>
      <c r="AB96" s="77" t="s">
        <v>195</v>
      </c>
    </row>
    <row r="97" spans="1:28" x14ac:dyDescent="0.15">
      <c r="A97" s="77" t="s">
        <v>24</v>
      </c>
      <c r="B97" s="77" t="s">
        <v>191</v>
      </c>
      <c r="C97" s="77">
        <v>2020</v>
      </c>
      <c r="D97" s="77" t="s">
        <v>386</v>
      </c>
      <c r="E97" s="77" t="s">
        <v>305</v>
      </c>
      <c r="F97" s="77" t="s">
        <v>388</v>
      </c>
      <c r="G97" s="77" t="s">
        <v>25</v>
      </c>
      <c r="H97" s="77" t="s">
        <v>164</v>
      </c>
      <c r="I97" s="77" t="s">
        <v>111</v>
      </c>
      <c r="J97" s="77" t="s">
        <v>27</v>
      </c>
      <c r="K97" s="77" t="s">
        <v>112</v>
      </c>
      <c r="L97" s="77">
        <v>3</v>
      </c>
      <c r="N97" s="77">
        <v>1</v>
      </c>
      <c r="O97" s="77">
        <v>1</v>
      </c>
      <c r="P97" s="77">
        <v>0.9</v>
      </c>
      <c r="Q97" s="186">
        <f t="shared" si="8"/>
        <v>0.95</v>
      </c>
      <c r="R97" s="77">
        <v>17.2</v>
      </c>
      <c r="S97" s="77">
        <v>114</v>
      </c>
      <c r="T97" s="16">
        <f t="shared" si="3"/>
        <v>30</v>
      </c>
      <c r="U97" s="77">
        <v>78</v>
      </c>
      <c r="V97" s="16">
        <f t="shared" si="7"/>
        <v>2340</v>
      </c>
      <c r="W97" s="77">
        <v>3</v>
      </c>
      <c r="X97" s="77" t="s">
        <v>35</v>
      </c>
      <c r="Y97" s="77" t="s">
        <v>43</v>
      </c>
      <c r="Z97" s="77" t="s">
        <v>36</v>
      </c>
      <c r="AA97" s="77" t="s">
        <v>55</v>
      </c>
      <c r="AB97" s="77" t="s">
        <v>195</v>
      </c>
    </row>
    <row r="98" spans="1:28" x14ac:dyDescent="0.15">
      <c r="A98" s="77" t="s">
        <v>24</v>
      </c>
      <c r="B98" s="77" t="s">
        <v>191</v>
      </c>
      <c r="C98" s="77">
        <v>2020</v>
      </c>
      <c r="D98" s="77" t="s">
        <v>386</v>
      </c>
      <c r="E98" s="77" t="s">
        <v>305</v>
      </c>
      <c r="F98" s="77" t="s">
        <v>388</v>
      </c>
      <c r="G98" s="77" t="s">
        <v>25</v>
      </c>
      <c r="H98" s="77" t="s">
        <v>164</v>
      </c>
      <c r="I98" s="77" t="s">
        <v>111</v>
      </c>
      <c r="J98" s="77" t="s">
        <v>27</v>
      </c>
      <c r="K98" s="77" t="s">
        <v>112</v>
      </c>
      <c r="L98" s="77">
        <v>1</v>
      </c>
      <c r="N98" s="77">
        <v>4</v>
      </c>
      <c r="O98" s="77">
        <v>0.75</v>
      </c>
      <c r="P98" s="77">
        <v>0.7</v>
      </c>
      <c r="Q98" s="186">
        <f t="shared" si="8"/>
        <v>0.72499999999999998</v>
      </c>
      <c r="R98" s="77">
        <v>17.3</v>
      </c>
      <c r="S98" s="77">
        <v>89</v>
      </c>
      <c r="T98" s="16">
        <f t="shared" si="3"/>
        <v>36</v>
      </c>
      <c r="U98" s="77">
        <v>398</v>
      </c>
      <c r="V98" s="16">
        <f t="shared" si="7"/>
        <v>3582</v>
      </c>
      <c r="W98" s="77">
        <v>1</v>
      </c>
      <c r="X98" s="77" t="s">
        <v>35</v>
      </c>
      <c r="Y98" s="77" t="s">
        <v>43</v>
      </c>
      <c r="Z98" s="77" t="s">
        <v>36</v>
      </c>
      <c r="AA98" s="77" t="s">
        <v>55</v>
      </c>
      <c r="AB98" s="77" t="s">
        <v>195</v>
      </c>
    </row>
    <row r="99" spans="1:28" x14ac:dyDescent="0.15">
      <c r="A99" s="77" t="s">
        <v>24</v>
      </c>
      <c r="B99" s="77" t="s">
        <v>191</v>
      </c>
      <c r="C99" s="77">
        <v>2020</v>
      </c>
      <c r="D99" s="77" t="s">
        <v>386</v>
      </c>
      <c r="E99" s="77" t="s">
        <v>305</v>
      </c>
      <c r="F99" s="77" t="s">
        <v>388</v>
      </c>
      <c r="G99" s="77" t="s">
        <v>25</v>
      </c>
      <c r="H99" s="77" t="s">
        <v>164</v>
      </c>
      <c r="I99" s="77" t="s">
        <v>111</v>
      </c>
      <c r="J99" s="77" t="s">
        <v>27</v>
      </c>
      <c r="K99" s="77" t="s">
        <v>112</v>
      </c>
      <c r="L99" s="77">
        <v>2</v>
      </c>
      <c r="N99" s="77">
        <v>4</v>
      </c>
      <c r="O99" s="77">
        <v>0.8</v>
      </c>
      <c r="P99" s="77">
        <v>1</v>
      </c>
      <c r="Q99" s="186">
        <f t="shared" si="8"/>
        <v>0.9</v>
      </c>
      <c r="R99" s="77">
        <v>17.5</v>
      </c>
      <c r="S99" s="77">
        <v>91</v>
      </c>
      <c r="T99" s="16">
        <f t="shared" si="3"/>
        <v>36</v>
      </c>
      <c r="U99" s="77">
        <v>398</v>
      </c>
      <c r="V99" s="16">
        <f t="shared" si="7"/>
        <v>3582</v>
      </c>
      <c r="W99" s="77">
        <v>1</v>
      </c>
      <c r="X99" s="77" t="s">
        <v>35</v>
      </c>
      <c r="Y99" s="77" t="s">
        <v>43</v>
      </c>
      <c r="Z99" s="77" t="s">
        <v>36</v>
      </c>
      <c r="AA99" s="77" t="s">
        <v>55</v>
      </c>
      <c r="AB99" s="77" t="s">
        <v>195</v>
      </c>
    </row>
    <row r="100" spans="1:28" x14ac:dyDescent="0.15">
      <c r="A100" s="77" t="s">
        <v>24</v>
      </c>
      <c r="B100" s="77" t="s">
        <v>191</v>
      </c>
      <c r="C100" s="77">
        <v>2020</v>
      </c>
      <c r="D100" s="77" t="s">
        <v>386</v>
      </c>
      <c r="E100" s="77" t="s">
        <v>305</v>
      </c>
      <c r="F100" s="77" t="s">
        <v>388</v>
      </c>
      <c r="G100" s="77" t="s">
        <v>25</v>
      </c>
      <c r="H100" s="77" t="s">
        <v>164</v>
      </c>
      <c r="I100" s="77" t="s">
        <v>111</v>
      </c>
      <c r="J100" s="77" t="s">
        <v>27</v>
      </c>
      <c r="K100" s="77" t="s">
        <v>112</v>
      </c>
      <c r="L100" s="77">
        <v>3</v>
      </c>
      <c r="N100" s="77">
        <v>4</v>
      </c>
      <c r="O100" s="77">
        <v>1.25</v>
      </c>
      <c r="P100" s="77">
        <v>1.1000000000000001</v>
      </c>
      <c r="Q100" s="186">
        <f t="shared" si="8"/>
        <v>1.175</v>
      </c>
      <c r="R100" s="77">
        <v>12.2</v>
      </c>
      <c r="S100" s="77">
        <v>91</v>
      </c>
      <c r="T100" s="16">
        <f t="shared" si="3"/>
        <v>36</v>
      </c>
      <c r="U100" s="77">
        <v>398</v>
      </c>
      <c r="V100" s="16">
        <f t="shared" si="7"/>
        <v>3582</v>
      </c>
      <c r="W100" s="77">
        <v>1</v>
      </c>
      <c r="X100" s="77" t="s">
        <v>35</v>
      </c>
      <c r="Y100" s="77" t="s">
        <v>43</v>
      </c>
      <c r="Z100" s="77" t="s">
        <v>36</v>
      </c>
      <c r="AA100" s="77" t="s">
        <v>55</v>
      </c>
      <c r="AB100" s="77" t="s">
        <v>195</v>
      </c>
    </row>
    <row r="101" spans="1:28" x14ac:dyDescent="0.15">
      <c r="A101" s="77" t="s">
        <v>24</v>
      </c>
      <c r="B101" s="77" t="s">
        <v>191</v>
      </c>
      <c r="C101" s="77">
        <v>2020</v>
      </c>
      <c r="D101" s="77" t="s">
        <v>386</v>
      </c>
      <c r="E101" s="77" t="s">
        <v>393</v>
      </c>
      <c r="F101" s="77" t="s">
        <v>394</v>
      </c>
      <c r="G101" s="77" t="s">
        <v>25</v>
      </c>
      <c r="H101" s="77" t="s">
        <v>113</v>
      </c>
      <c r="I101" s="77" t="s">
        <v>111</v>
      </c>
      <c r="J101" s="77" t="s">
        <v>27</v>
      </c>
      <c r="K101" s="77" t="s">
        <v>112</v>
      </c>
      <c r="L101" s="77">
        <v>1</v>
      </c>
      <c r="N101" s="77">
        <v>1</v>
      </c>
      <c r="O101" s="77">
        <v>0.6</v>
      </c>
      <c r="P101" s="77">
        <v>0.75</v>
      </c>
      <c r="Q101" s="186">
        <f t="shared" si="8"/>
        <v>0.67500000000000004</v>
      </c>
      <c r="R101" s="77">
        <v>13.4</v>
      </c>
      <c r="S101" s="77">
        <v>114</v>
      </c>
      <c r="T101" s="16">
        <f t="shared" si="3"/>
        <v>30</v>
      </c>
      <c r="U101" s="77">
        <v>98</v>
      </c>
      <c r="V101" s="16">
        <f t="shared" si="7"/>
        <v>2940</v>
      </c>
      <c r="W101" s="77">
        <v>3</v>
      </c>
      <c r="X101" s="77" t="s">
        <v>35</v>
      </c>
      <c r="Y101" s="77" t="s">
        <v>43</v>
      </c>
      <c r="Z101" s="77" t="s">
        <v>29</v>
      </c>
      <c r="AA101" s="77" t="s">
        <v>72</v>
      </c>
      <c r="AB101" s="77" t="s">
        <v>195</v>
      </c>
    </row>
    <row r="102" spans="1:28" x14ac:dyDescent="0.15">
      <c r="A102" s="77" t="s">
        <v>24</v>
      </c>
      <c r="B102" s="77" t="s">
        <v>191</v>
      </c>
      <c r="C102" s="77">
        <v>2020</v>
      </c>
      <c r="D102" s="77" t="s">
        <v>386</v>
      </c>
      <c r="E102" s="77" t="s">
        <v>393</v>
      </c>
      <c r="F102" s="77" t="s">
        <v>394</v>
      </c>
      <c r="G102" s="77" t="s">
        <v>25</v>
      </c>
      <c r="H102" s="77" t="s">
        <v>113</v>
      </c>
      <c r="I102" s="77" t="s">
        <v>111</v>
      </c>
      <c r="J102" s="77" t="s">
        <v>27</v>
      </c>
      <c r="K102" s="77" t="s">
        <v>112</v>
      </c>
      <c r="L102" s="77">
        <v>2</v>
      </c>
      <c r="N102" s="77">
        <v>1</v>
      </c>
      <c r="O102" s="77">
        <v>0.5</v>
      </c>
      <c r="P102" s="77">
        <v>0.6</v>
      </c>
      <c r="Q102" s="186">
        <f t="shared" si="8"/>
        <v>0.55000000000000004</v>
      </c>
      <c r="R102" s="77">
        <v>14.3</v>
      </c>
      <c r="S102" s="77">
        <v>110</v>
      </c>
      <c r="T102" s="16">
        <f t="shared" si="3"/>
        <v>33</v>
      </c>
      <c r="U102" s="77">
        <v>98</v>
      </c>
      <c r="V102" s="16">
        <f t="shared" si="7"/>
        <v>3234</v>
      </c>
      <c r="W102" s="77">
        <v>3</v>
      </c>
      <c r="X102" s="77" t="s">
        <v>35</v>
      </c>
      <c r="Y102" s="77" t="s">
        <v>43</v>
      </c>
      <c r="Z102" s="77" t="s">
        <v>29</v>
      </c>
      <c r="AA102" s="77" t="s">
        <v>72</v>
      </c>
      <c r="AB102" s="77" t="s">
        <v>195</v>
      </c>
    </row>
    <row r="103" spans="1:28" x14ac:dyDescent="0.15">
      <c r="A103" s="77" t="s">
        <v>24</v>
      </c>
      <c r="B103" s="77" t="s">
        <v>191</v>
      </c>
      <c r="C103" s="77">
        <v>2020</v>
      </c>
      <c r="D103" s="77" t="s">
        <v>386</v>
      </c>
      <c r="E103" s="77" t="s">
        <v>393</v>
      </c>
      <c r="F103" s="77" t="s">
        <v>394</v>
      </c>
      <c r="G103" s="77" t="s">
        <v>25</v>
      </c>
      <c r="H103" s="77" t="s">
        <v>113</v>
      </c>
      <c r="I103" s="77" t="s">
        <v>111</v>
      </c>
      <c r="J103" s="77" t="s">
        <v>27</v>
      </c>
      <c r="K103" s="77" t="s">
        <v>112</v>
      </c>
      <c r="L103" s="77">
        <v>3</v>
      </c>
      <c r="N103" s="77">
        <v>1</v>
      </c>
      <c r="O103" s="77">
        <v>0.6</v>
      </c>
      <c r="P103" s="77">
        <v>0.7</v>
      </c>
      <c r="Q103" s="186">
        <f t="shared" si="8"/>
        <v>0.64999999999999991</v>
      </c>
      <c r="R103" s="77">
        <v>11.4</v>
      </c>
      <c r="S103" s="77">
        <v>108</v>
      </c>
      <c r="T103" s="16">
        <f t="shared" si="3"/>
        <v>33</v>
      </c>
      <c r="U103" s="77">
        <v>98</v>
      </c>
      <c r="V103" s="16">
        <f t="shared" si="7"/>
        <v>3234</v>
      </c>
      <c r="W103" s="77">
        <v>3</v>
      </c>
      <c r="X103" s="77" t="s">
        <v>35</v>
      </c>
      <c r="Y103" s="77" t="s">
        <v>43</v>
      </c>
      <c r="Z103" s="77" t="s">
        <v>29</v>
      </c>
      <c r="AA103" s="77" t="s">
        <v>72</v>
      </c>
      <c r="AB103" s="77" t="s">
        <v>195</v>
      </c>
    </row>
    <row r="104" spans="1:28" x14ac:dyDescent="0.15">
      <c r="A104" s="77" t="s">
        <v>24</v>
      </c>
      <c r="B104" s="77" t="s">
        <v>191</v>
      </c>
      <c r="C104" s="77">
        <v>2020</v>
      </c>
      <c r="D104" s="77" t="s">
        <v>386</v>
      </c>
      <c r="E104" s="77" t="s">
        <v>393</v>
      </c>
      <c r="F104" s="77" t="s">
        <v>394</v>
      </c>
      <c r="G104" s="77" t="s">
        <v>25</v>
      </c>
      <c r="H104" s="77" t="s">
        <v>113</v>
      </c>
      <c r="I104" s="77" t="s">
        <v>111</v>
      </c>
      <c r="J104" s="77" t="s">
        <v>27</v>
      </c>
      <c r="K104" s="77" t="s">
        <v>112</v>
      </c>
      <c r="L104" s="77">
        <v>1</v>
      </c>
      <c r="N104" s="77">
        <v>5</v>
      </c>
      <c r="O104" s="77">
        <v>1</v>
      </c>
      <c r="P104" s="77">
        <v>0.8</v>
      </c>
      <c r="Q104" s="186">
        <f t="shared" si="8"/>
        <v>0.9</v>
      </c>
      <c r="R104" s="77">
        <v>10.8</v>
      </c>
      <c r="S104" s="77">
        <v>88</v>
      </c>
      <c r="T104" s="16">
        <f t="shared" si="3"/>
        <v>36</v>
      </c>
      <c r="U104" s="77">
        <v>398</v>
      </c>
      <c r="V104" s="16">
        <f t="shared" si="7"/>
        <v>2865.6</v>
      </c>
      <c r="W104" s="77">
        <v>3</v>
      </c>
      <c r="X104" s="77" t="s">
        <v>35</v>
      </c>
      <c r="Y104" s="77" t="s">
        <v>43</v>
      </c>
      <c r="Z104" s="77" t="s">
        <v>29</v>
      </c>
      <c r="AA104" s="77" t="s">
        <v>72</v>
      </c>
      <c r="AB104" s="77" t="s">
        <v>195</v>
      </c>
    </row>
    <row r="105" spans="1:28" x14ac:dyDescent="0.15">
      <c r="A105" s="77" t="s">
        <v>24</v>
      </c>
      <c r="B105" s="77" t="s">
        <v>191</v>
      </c>
      <c r="C105" s="77">
        <v>2020</v>
      </c>
      <c r="D105" s="77" t="s">
        <v>386</v>
      </c>
      <c r="E105" s="77" t="s">
        <v>393</v>
      </c>
      <c r="F105" s="77" t="s">
        <v>394</v>
      </c>
      <c r="G105" s="77" t="s">
        <v>25</v>
      </c>
      <c r="H105" s="77" t="s">
        <v>113</v>
      </c>
      <c r="I105" s="77" t="s">
        <v>111</v>
      </c>
      <c r="J105" s="77" t="s">
        <v>27</v>
      </c>
      <c r="K105" s="77" t="s">
        <v>112</v>
      </c>
      <c r="L105" s="77">
        <v>2</v>
      </c>
      <c r="N105" s="77">
        <v>5</v>
      </c>
      <c r="O105" s="77">
        <v>1</v>
      </c>
      <c r="P105" s="77">
        <v>1</v>
      </c>
      <c r="Q105" s="186">
        <f t="shared" si="8"/>
        <v>1</v>
      </c>
      <c r="R105" s="77">
        <v>10.8</v>
      </c>
      <c r="S105" s="77">
        <v>88</v>
      </c>
      <c r="T105" s="16">
        <f t="shared" si="3"/>
        <v>36</v>
      </c>
      <c r="U105" s="77">
        <v>398</v>
      </c>
      <c r="V105" s="16">
        <f t="shared" si="7"/>
        <v>2865.6</v>
      </c>
      <c r="W105" s="77">
        <v>3</v>
      </c>
      <c r="X105" s="77" t="s">
        <v>35</v>
      </c>
      <c r="Y105" s="77" t="s">
        <v>43</v>
      </c>
      <c r="Z105" s="77" t="s">
        <v>29</v>
      </c>
      <c r="AA105" s="77" t="s">
        <v>72</v>
      </c>
      <c r="AB105" s="77" t="s">
        <v>195</v>
      </c>
    </row>
    <row r="106" spans="1:28" x14ac:dyDescent="0.15">
      <c r="A106" s="77" t="s">
        <v>24</v>
      </c>
      <c r="B106" s="77" t="s">
        <v>191</v>
      </c>
      <c r="C106" s="77">
        <v>2020</v>
      </c>
      <c r="D106" s="77" t="s">
        <v>386</v>
      </c>
      <c r="E106" s="77" t="s">
        <v>393</v>
      </c>
      <c r="F106" s="77" t="s">
        <v>394</v>
      </c>
      <c r="G106" s="77" t="s">
        <v>25</v>
      </c>
      <c r="H106" s="77" t="s">
        <v>113</v>
      </c>
      <c r="I106" s="77" t="s">
        <v>111</v>
      </c>
      <c r="J106" s="77" t="s">
        <v>27</v>
      </c>
      <c r="K106" s="77" t="s">
        <v>112</v>
      </c>
      <c r="L106" s="77">
        <v>3</v>
      </c>
      <c r="N106" s="77">
        <v>5</v>
      </c>
      <c r="O106" s="77">
        <v>0.75</v>
      </c>
      <c r="P106" s="77">
        <v>0.75</v>
      </c>
      <c r="Q106" s="186">
        <f t="shared" si="8"/>
        <v>0.75</v>
      </c>
      <c r="R106" s="77">
        <v>10.6</v>
      </c>
      <c r="S106" s="77">
        <v>86</v>
      </c>
      <c r="T106" s="16">
        <f t="shared" si="3"/>
        <v>36</v>
      </c>
      <c r="U106" s="77">
        <v>398</v>
      </c>
      <c r="V106" s="16">
        <f t="shared" si="7"/>
        <v>2865.6</v>
      </c>
      <c r="W106" s="77">
        <v>3</v>
      </c>
      <c r="X106" s="77" t="s">
        <v>35</v>
      </c>
      <c r="Y106" s="77" t="s">
        <v>43</v>
      </c>
      <c r="Z106" s="77" t="s">
        <v>29</v>
      </c>
      <c r="AA106" s="77" t="s">
        <v>72</v>
      </c>
      <c r="AB106" s="77" t="s">
        <v>195</v>
      </c>
    </row>
    <row r="107" spans="1:28" x14ac:dyDescent="0.15">
      <c r="A107" s="77" t="s">
        <v>24</v>
      </c>
      <c r="B107" s="77" t="s">
        <v>191</v>
      </c>
      <c r="C107" s="77">
        <v>2020</v>
      </c>
      <c r="D107" s="77" t="s">
        <v>386</v>
      </c>
      <c r="E107" s="77" t="s">
        <v>393</v>
      </c>
      <c r="F107" s="77" t="s">
        <v>394</v>
      </c>
      <c r="G107" s="77" t="s">
        <v>25</v>
      </c>
      <c r="H107" s="77" t="s">
        <v>165</v>
      </c>
      <c r="I107" s="77" t="s">
        <v>111</v>
      </c>
      <c r="J107" s="77" t="s">
        <v>27</v>
      </c>
      <c r="K107" s="77" t="s">
        <v>112</v>
      </c>
      <c r="L107" s="77">
        <v>1</v>
      </c>
      <c r="N107" s="77">
        <v>8</v>
      </c>
      <c r="O107" s="77">
        <v>0.6</v>
      </c>
      <c r="P107" s="77">
        <v>0.6</v>
      </c>
      <c r="Q107" s="186">
        <f t="shared" si="8"/>
        <v>0.6</v>
      </c>
      <c r="R107" s="77">
        <v>17.2</v>
      </c>
      <c r="S107" s="77">
        <v>89</v>
      </c>
      <c r="T107" s="16">
        <f t="shared" si="3"/>
        <v>36</v>
      </c>
      <c r="U107" s="77">
        <v>398</v>
      </c>
      <c r="V107" s="16">
        <f t="shared" si="7"/>
        <v>1791</v>
      </c>
      <c r="W107" s="77">
        <v>12</v>
      </c>
      <c r="X107" s="77" t="s">
        <v>35</v>
      </c>
      <c r="Y107" s="77" t="s">
        <v>43</v>
      </c>
      <c r="Z107" s="77" t="s">
        <v>29</v>
      </c>
      <c r="AA107" s="77" t="s">
        <v>72</v>
      </c>
      <c r="AB107" s="77" t="s">
        <v>195</v>
      </c>
    </row>
    <row r="108" spans="1:28" x14ac:dyDescent="0.15">
      <c r="A108" s="77" t="s">
        <v>24</v>
      </c>
      <c r="B108" s="77" t="s">
        <v>191</v>
      </c>
      <c r="C108" s="77">
        <v>2020</v>
      </c>
      <c r="D108" s="77" t="s">
        <v>386</v>
      </c>
      <c r="E108" s="77" t="s">
        <v>393</v>
      </c>
      <c r="F108" s="77" t="s">
        <v>394</v>
      </c>
      <c r="G108" s="77" t="s">
        <v>25</v>
      </c>
      <c r="H108" s="77" t="s">
        <v>165</v>
      </c>
      <c r="I108" s="77" t="s">
        <v>111</v>
      </c>
      <c r="J108" s="77" t="s">
        <v>27</v>
      </c>
      <c r="K108" s="77" t="s">
        <v>112</v>
      </c>
      <c r="L108" s="77">
        <v>2</v>
      </c>
      <c r="N108" s="77">
        <v>8</v>
      </c>
      <c r="O108" s="77">
        <v>0.7</v>
      </c>
      <c r="P108" s="77">
        <v>0.7</v>
      </c>
      <c r="Q108" s="186">
        <f t="shared" si="8"/>
        <v>0.7</v>
      </c>
      <c r="R108" s="77">
        <v>18.3</v>
      </c>
      <c r="S108" s="77">
        <v>89</v>
      </c>
      <c r="T108" s="16">
        <f t="shared" si="3"/>
        <v>36</v>
      </c>
      <c r="U108" s="77">
        <v>398</v>
      </c>
      <c r="V108" s="16">
        <f t="shared" si="7"/>
        <v>1791</v>
      </c>
      <c r="W108" s="77">
        <v>12</v>
      </c>
      <c r="X108" s="77" t="s">
        <v>35</v>
      </c>
      <c r="Y108" s="77" t="s">
        <v>43</v>
      </c>
      <c r="Z108" s="77" t="s">
        <v>29</v>
      </c>
      <c r="AA108" s="77" t="s">
        <v>72</v>
      </c>
      <c r="AB108" s="77" t="s">
        <v>195</v>
      </c>
    </row>
    <row r="109" spans="1:28" x14ac:dyDescent="0.15">
      <c r="A109" s="77" t="s">
        <v>24</v>
      </c>
      <c r="B109" s="77" t="s">
        <v>191</v>
      </c>
      <c r="C109" s="77">
        <v>2020</v>
      </c>
      <c r="D109" s="77" t="s">
        <v>386</v>
      </c>
      <c r="E109" s="77" t="s">
        <v>393</v>
      </c>
      <c r="F109" s="77" t="s">
        <v>394</v>
      </c>
      <c r="G109" s="77" t="s">
        <v>25</v>
      </c>
      <c r="H109" s="77" t="s">
        <v>165</v>
      </c>
      <c r="I109" s="77" t="s">
        <v>111</v>
      </c>
      <c r="J109" s="77" t="s">
        <v>27</v>
      </c>
      <c r="K109" s="77" t="s">
        <v>112</v>
      </c>
      <c r="L109" s="77">
        <v>3</v>
      </c>
      <c r="N109" s="77">
        <v>8</v>
      </c>
      <c r="O109" s="77">
        <v>0.55000000000000004</v>
      </c>
      <c r="P109" s="77">
        <v>0.5</v>
      </c>
      <c r="Q109" s="186">
        <f t="shared" si="8"/>
        <v>0.52500000000000002</v>
      </c>
      <c r="R109" s="77">
        <v>14.1</v>
      </c>
      <c r="S109" s="77">
        <v>90</v>
      </c>
      <c r="T109" s="16">
        <f t="shared" si="3"/>
        <v>36</v>
      </c>
      <c r="U109" s="77">
        <v>398</v>
      </c>
      <c r="V109" s="16">
        <f t="shared" si="7"/>
        <v>1791</v>
      </c>
      <c r="W109" s="77">
        <v>12</v>
      </c>
      <c r="X109" s="77" t="s">
        <v>35</v>
      </c>
      <c r="Y109" s="77" t="s">
        <v>43</v>
      </c>
      <c r="Z109" s="77" t="s">
        <v>29</v>
      </c>
      <c r="AA109" s="77" t="s">
        <v>72</v>
      </c>
      <c r="AB109" s="77" t="s">
        <v>195</v>
      </c>
    </row>
    <row r="110" spans="1:28" x14ac:dyDescent="0.15">
      <c r="A110" s="77" t="s">
        <v>24</v>
      </c>
      <c r="B110" s="77" t="s">
        <v>191</v>
      </c>
      <c r="C110" s="77">
        <v>2020</v>
      </c>
      <c r="D110" s="77" t="s">
        <v>386</v>
      </c>
      <c r="E110" s="77" t="s">
        <v>393</v>
      </c>
      <c r="F110" s="77" t="s">
        <v>394</v>
      </c>
      <c r="G110" s="77" t="s">
        <v>25</v>
      </c>
      <c r="H110" s="77" t="s">
        <v>164</v>
      </c>
      <c r="I110" s="77" t="s">
        <v>111</v>
      </c>
      <c r="J110" s="77" t="s">
        <v>27</v>
      </c>
      <c r="K110" s="77" t="s">
        <v>112</v>
      </c>
      <c r="L110" s="77">
        <v>1</v>
      </c>
      <c r="N110" s="77">
        <v>1</v>
      </c>
      <c r="O110" s="77">
        <v>1.1000000000000001</v>
      </c>
      <c r="P110" s="77">
        <v>1.2</v>
      </c>
      <c r="Q110" s="186">
        <f t="shared" si="8"/>
        <v>1.1499999999999999</v>
      </c>
      <c r="R110" s="77">
        <v>13</v>
      </c>
      <c r="S110" s="77">
        <v>106</v>
      </c>
      <c r="T110" s="16">
        <f t="shared" si="3"/>
        <v>33</v>
      </c>
      <c r="U110" s="77">
        <v>108</v>
      </c>
      <c r="V110" s="16">
        <f t="shared" si="7"/>
        <v>3564</v>
      </c>
      <c r="W110" s="77">
        <v>5</v>
      </c>
      <c r="X110" s="77" t="s">
        <v>35</v>
      </c>
      <c r="Y110" s="77" t="s">
        <v>43</v>
      </c>
      <c r="Z110" s="77" t="s">
        <v>29</v>
      </c>
      <c r="AA110" s="77" t="s">
        <v>72</v>
      </c>
      <c r="AB110" s="77" t="s">
        <v>195</v>
      </c>
    </row>
    <row r="111" spans="1:28" x14ac:dyDescent="0.15">
      <c r="A111" s="77" t="s">
        <v>24</v>
      </c>
      <c r="B111" s="77" t="s">
        <v>191</v>
      </c>
      <c r="C111" s="77">
        <v>2020</v>
      </c>
      <c r="D111" s="77" t="s">
        <v>386</v>
      </c>
      <c r="E111" s="77" t="s">
        <v>393</v>
      </c>
      <c r="F111" s="77" t="s">
        <v>394</v>
      </c>
      <c r="G111" s="77" t="s">
        <v>25</v>
      </c>
      <c r="H111" s="77" t="s">
        <v>164</v>
      </c>
      <c r="I111" s="77" t="s">
        <v>111</v>
      </c>
      <c r="J111" s="77" t="s">
        <v>27</v>
      </c>
      <c r="K111" s="77" t="s">
        <v>112</v>
      </c>
      <c r="L111" s="77">
        <v>2</v>
      </c>
      <c r="N111" s="77">
        <v>1</v>
      </c>
      <c r="O111" s="77">
        <v>0.9</v>
      </c>
      <c r="P111" s="77">
        <v>1.1000000000000001</v>
      </c>
      <c r="Q111" s="186">
        <f t="shared" si="8"/>
        <v>1</v>
      </c>
      <c r="R111" s="77">
        <v>17.100000000000001</v>
      </c>
      <c r="S111" s="77">
        <v>108</v>
      </c>
      <c r="T111" s="16">
        <f t="shared" si="3"/>
        <v>33</v>
      </c>
      <c r="U111" s="77">
        <v>108</v>
      </c>
      <c r="V111" s="16">
        <f t="shared" si="7"/>
        <v>3564</v>
      </c>
      <c r="W111" s="77">
        <v>5</v>
      </c>
      <c r="X111" s="77" t="s">
        <v>35</v>
      </c>
      <c r="Y111" s="77" t="s">
        <v>43</v>
      </c>
      <c r="Z111" s="77" t="s">
        <v>29</v>
      </c>
      <c r="AA111" s="77" t="s">
        <v>72</v>
      </c>
      <c r="AB111" s="77" t="s">
        <v>195</v>
      </c>
    </row>
    <row r="112" spans="1:28" x14ac:dyDescent="0.15">
      <c r="A112" s="77" t="s">
        <v>24</v>
      </c>
      <c r="B112" s="77" t="s">
        <v>191</v>
      </c>
      <c r="C112" s="77">
        <v>2020</v>
      </c>
      <c r="D112" s="77" t="s">
        <v>386</v>
      </c>
      <c r="E112" s="77" t="s">
        <v>393</v>
      </c>
      <c r="F112" s="77" t="s">
        <v>394</v>
      </c>
      <c r="G112" s="77" t="s">
        <v>25</v>
      </c>
      <c r="H112" s="77" t="s">
        <v>164</v>
      </c>
      <c r="I112" s="77" t="s">
        <v>111</v>
      </c>
      <c r="J112" s="77" t="s">
        <v>27</v>
      </c>
      <c r="K112" s="77" t="s">
        <v>112</v>
      </c>
      <c r="L112" s="77">
        <v>3</v>
      </c>
      <c r="N112" s="77">
        <v>1</v>
      </c>
      <c r="O112" s="77">
        <v>1.2</v>
      </c>
      <c r="P112" s="77">
        <v>1</v>
      </c>
      <c r="Q112" s="186">
        <f t="shared" si="8"/>
        <v>1.1000000000000001</v>
      </c>
      <c r="R112" s="77">
        <v>13.1</v>
      </c>
      <c r="S112" s="77">
        <v>110</v>
      </c>
      <c r="T112" s="16">
        <f t="shared" si="3"/>
        <v>33</v>
      </c>
      <c r="U112" s="77">
        <v>108</v>
      </c>
      <c r="V112" s="16">
        <f t="shared" si="7"/>
        <v>3564</v>
      </c>
      <c r="W112" s="77">
        <v>5</v>
      </c>
      <c r="X112" s="77" t="s">
        <v>35</v>
      </c>
      <c r="Y112" s="77" t="s">
        <v>43</v>
      </c>
      <c r="Z112" s="77" t="s">
        <v>29</v>
      </c>
      <c r="AA112" s="77" t="s">
        <v>72</v>
      </c>
      <c r="AB112" s="77" t="s">
        <v>195</v>
      </c>
    </row>
    <row r="113" spans="1:28" x14ac:dyDescent="0.15">
      <c r="A113" s="77" t="s">
        <v>24</v>
      </c>
      <c r="B113" s="77" t="s">
        <v>191</v>
      </c>
      <c r="C113" s="77">
        <v>2020</v>
      </c>
      <c r="D113" s="77" t="s">
        <v>386</v>
      </c>
      <c r="E113" s="77" t="s">
        <v>393</v>
      </c>
      <c r="F113" s="77" t="s">
        <v>394</v>
      </c>
      <c r="G113" s="77" t="s">
        <v>25</v>
      </c>
      <c r="H113" s="77" t="s">
        <v>164</v>
      </c>
      <c r="I113" s="77" t="s">
        <v>111</v>
      </c>
      <c r="J113" s="77" t="s">
        <v>27</v>
      </c>
      <c r="K113" s="77" t="s">
        <v>112</v>
      </c>
      <c r="L113" s="77">
        <v>1</v>
      </c>
      <c r="N113" s="77">
        <v>4</v>
      </c>
      <c r="O113" s="77">
        <v>1.25</v>
      </c>
      <c r="P113" s="77">
        <v>1.2</v>
      </c>
      <c r="Q113" s="186">
        <f t="shared" si="8"/>
        <v>1.2250000000000001</v>
      </c>
      <c r="R113" s="77">
        <v>12.9</v>
      </c>
      <c r="S113" s="77">
        <v>110</v>
      </c>
      <c r="T113" s="16">
        <f t="shared" si="3"/>
        <v>33</v>
      </c>
      <c r="U113" s="77">
        <v>498</v>
      </c>
      <c r="V113" s="16">
        <f t="shared" si="7"/>
        <v>4108.5</v>
      </c>
      <c r="W113" s="77">
        <v>6</v>
      </c>
      <c r="X113" s="77" t="s">
        <v>35</v>
      </c>
      <c r="Y113" s="77" t="s">
        <v>43</v>
      </c>
      <c r="Z113" s="77" t="s">
        <v>29</v>
      </c>
      <c r="AA113" s="77" t="s">
        <v>72</v>
      </c>
      <c r="AB113" s="77" t="s">
        <v>195</v>
      </c>
    </row>
    <row r="114" spans="1:28" x14ac:dyDescent="0.15">
      <c r="A114" s="77" t="s">
        <v>24</v>
      </c>
      <c r="B114" s="77" t="s">
        <v>191</v>
      </c>
      <c r="C114" s="77">
        <v>2020</v>
      </c>
      <c r="D114" s="77" t="s">
        <v>386</v>
      </c>
      <c r="E114" s="77" t="s">
        <v>393</v>
      </c>
      <c r="F114" s="77" t="s">
        <v>394</v>
      </c>
      <c r="G114" s="77" t="s">
        <v>25</v>
      </c>
      <c r="H114" s="77" t="s">
        <v>164</v>
      </c>
      <c r="I114" s="77" t="s">
        <v>111</v>
      </c>
      <c r="J114" s="77" t="s">
        <v>27</v>
      </c>
      <c r="K114" s="77" t="s">
        <v>112</v>
      </c>
      <c r="L114" s="77">
        <v>2</v>
      </c>
      <c r="N114" s="77">
        <v>4</v>
      </c>
      <c r="O114" s="77">
        <v>1.5</v>
      </c>
      <c r="P114" s="77">
        <v>1.4</v>
      </c>
      <c r="Q114" s="186">
        <f t="shared" si="8"/>
        <v>1.45</v>
      </c>
      <c r="R114" s="77">
        <v>11.8</v>
      </c>
      <c r="S114" s="77">
        <v>114</v>
      </c>
      <c r="T114" s="16">
        <f t="shared" si="3"/>
        <v>30</v>
      </c>
      <c r="U114" s="77">
        <v>498</v>
      </c>
      <c r="V114" s="16">
        <f t="shared" si="7"/>
        <v>3735</v>
      </c>
      <c r="W114" s="77">
        <v>6</v>
      </c>
      <c r="X114" s="77" t="s">
        <v>35</v>
      </c>
      <c r="Y114" s="77" t="s">
        <v>43</v>
      </c>
      <c r="Z114" s="77" t="s">
        <v>29</v>
      </c>
      <c r="AA114" s="77" t="s">
        <v>72</v>
      </c>
      <c r="AB114" s="77" t="s">
        <v>195</v>
      </c>
    </row>
    <row r="115" spans="1:28" x14ac:dyDescent="0.15">
      <c r="A115" s="77" t="s">
        <v>24</v>
      </c>
      <c r="B115" s="77" t="s">
        <v>191</v>
      </c>
      <c r="C115" s="77">
        <v>2020</v>
      </c>
      <c r="D115" s="77" t="s">
        <v>386</v>
      </c>
      <c r="E115" s="77" t="s">
        <v>393</v>
      </c>
      <c r="F115" s="77" t="s">
        <v>394</v>
      </c>
      <c r="G115" s="77" t="s">
        <v>25</v>
      </c>
      <c r="H115" s="77" t="s">
        <v>164</v>
      </c>
      <c r="I115" s="77" t="s">
        <v>111</v>
      </c>
      <c r="J115" s="77" t="s">
        <v>27</v>
      </c>
      <c r="K115" s="77" t="s">
        <v>112</v>
      </c>
      <c r="L115" s="77">
        <v>3</v>
      </c>
      <c r="N115" s="77">
        <v>4</v>
      </c>
      <c r="O115" s="77">
        <v>1.5</v>
      </c>
      <c r="P115" s="77">
        <v>1.3</v>
      </c>
      <c r="Q115" s="186">
        <f t="shared" si="8"/>
        <v>1.4</v>
      </c>
      <c r="R115" s="77">
        <v>13</v>
      </c>
      <c r="S115" s="77">
        <v>113</v>
      </c>
      <c r="T115" s="16">
        <f t="shared" si="3"/>
        <v>30</v>
      </c>
      <c r="U115" s="77">
        <v>498</v>
      </c>
      <c r="V115" s="16">
        <f t="shared" si="7"/>
        <v>3735</v>
      </c>
      <c r="W115" s="77">
        <v>6</v>
      </c>
      <c r="X115" s="77" t="s">
        <v>35</v>
      </c>
      <c r="Y115" s="77" t="s">
        <v>43</v>
      </c>
      <c r="Z115" s="77" t="s">
        <v>29</v>
      </c>
      <c r="AA115" s="77" t="s">
        <v>72</v>
      </c>
      <c r="AB115" s="77" t="s">
        <v>195</v>
      </c>
    </row>
    <row r="116" spans="1:28" x14ac:dyDescent="0.15">
      <c r="A116" s="77" t="s">
        <v>24</v>
      </c>
      <c r="B116" s="77" t="s">
        <v>191</v>
      </c>
      <c r="C116" s="77">
        <v>2020</v>
      </c>
      <c r="D116" s="77" t="s">
        <v>386</v>
      </c>
      <c r="E116" s="77" t="s">
        <v>399</v>
      </c>
      <c r="F116" s="77" t="s">
        <v>392</v>
      </c>
      <c r="G116" s="77" t="s">
        <v>25</v>
      </c>
      <c r="H116" s="77" t="s">
        <v>113</v>
      </c>
      <c r="I116" s="77" t="s">
        <v>111</v>
      </c>
      <c r="J116" s="77" t="s">
        <v>27</v>
      </c>
      <c r="K116" s="77" t="s">
        <v>112</v>
      </c>
      <c r="L116" s="77">
        <v>1</v>
      </c>
      <c r="N116" s="77">
        <v>1</v>
      </c>
      <c r="O116" s="77">
        <v>0.75</v>
      </c>
      <c r="P116" s="77">
        <v>0.75</v>
      </c>
      <c r="Q116" s="186">
        <f t="shared" si="8"/>
        <v>0.75</v>
      </c>
      <c r="R116" s="77">
        <v>11.9</v>
      </c>
      <c r="S116" s="77">
        <v>125</v>
      </c>
      <c r="T116" s="16">
        <f t="shared" si="3"/>
        <v>27</v>
      </c>
      <c r="U116" s="77">
        <v>98</v>
      </c>
      <c r="V116" s="16">
        <f t="shared" si="7"/>
        <v>2646</v>
      </c>
      <c r="W116" s="77">
        <v>1</v>
      </c>
      <c r="X116" s="77" t="s">
        <v>35</v>
      </c>
      <c r="Y116" s="77" t="s">
        <v>43</v>
      </c>
      <c r="Z116" s="77" t="s">
        <v>29</v>
      </c>
      <c r="AA116" s="77" t="s">
        <v>76</v>
      </c>
      <c r="AB116" s="77" t="s">
        <v>195</v>
      </c>
    </row>
    <row r="117" spans="1:28" x14ac:dyDescent="0.15">
      <c r="A117" s="77" t="s">
        <v>24</v>
      </c>
      <c r="B117" s="77" t="s">
        <v>191</v>
      </c>
      <c r="C117" s="77">
        <v>2020</v>
      </c>
      <c r="D117" s="77" t="s">
        <v>386</v>
      </c>
      <c r="E117" s="77" t="s">
        <v>399</v>
      </c>
      <c r="F117" s="77" t="s">
        <v>392</v>
      </c>
      <c r="G117" s="77" t="s">
        <v>25</v>
      </c>
      <c r="H117" s="77" t="s">
        <v>113</v>
      </c>
      <c r="I117" s="77" t="s">
        <v>111</v>
      </c>
      <c r="J117" s="77" t="s">
        <v>27</v>
      </c>
      <c r="K117" s="77" t="s">
        <v>112</v>
      </c>
      <c r="L117" s="77">
        <v>2</v>
      </c>
      <c r="N117" s="77">
        <v>1</v>
      </c>
      <c r="O117" s="77">
        <v>1.1000000000000001</v>
      </c>
      <c r="P117" s="77">
        <v>1.3</v>
      </c>
      <c r="Q117" s="186">
        <f t="shared" si="8"/>
        <v>1.2000000000000002</v>
      </c>
      <c r="R117" s="77">
        <v>11.8</v>
      </c>
      <c r="S117" s="77">
        <v>130</v>
      </c>
      <c r="T117" s="16">
        <f t="shared" si="3"/>
        <v>25</v>
      </c>
      <c r="U117" s="77">
        <v>98</v>
      </c>
      <c r="V117" s="16">
        <f t="shared" si="7"/>
        <v>2450</v>
      </c>
      <c r="W117" s="77">
        <v>1</v>
      </c>
      <c r="X117" s="77" t="s">
        <v>35</v>
      </c>
      <c r="Y117" s="77" t="s">
        <v>43</v>
      </c>
      <c r="Z117" s="77" t="s">
        <v>29</v>
      </c>
      <c r="AA117" s="77" t="s">
        <v>76</v>
      </c>
      <c r="AB117" s="77" t="s">
        <v>195</v>
      </c>
    </row>
    <row r="118" spans="1:28" x14ac:dyDescent="0.15">
      <c r="A118" s="77" t="s">
        <v>24</v>
      </c>
      <c r="B118" s="77" t="s">
        <v>191</v>
      </c>
      <c r="C118" s="77">
        <v>2020</v>
      </c>
      <c r="D118" s="77" t="s">
        <v>386</v>
      </c>
      <c r="E118" s="77" t="s">
        <v>399</v>
      </c>
      <c r="F118" s="77" t="s">
        <v>392</v>
      </c>
      <c r="G118" s="77" t="s">
        <v>25</v>
      </c>
      <c r="H118" s="77" t="s">
        <v>113</v>
      </c>
      <c r="I118" s="77" t="s">
        <v>111</v>
      </c>
      <c r="J118" s="77" t="s">
        <v>27</v>
      </c>
      <c r="K118" s="77" t="s">
        <v>112</v>
      </c>
      <c r="L118" s="77">
        <v>3</v>
      </c>
      <c r="N118" s="77">
        <v>1</v>
      </c>
      <c r="O118" s="77">
        <v>0.6</v>
      </c>
      <c r="P118" s="77">
        <v>0.7</v>
      </c>
      <c r="Q118" s="186">
        <f t="shared" si="8"/>
        <v>0.64999999999999991</v>
      </c>
      <c r="R118" s="77">
        <v>11.3</v>
      </c>
      <c r="S118" s="77">
        <v>120</v>
      </c>
      <c r="T118" s="16">
        <f t="shared" si="3"/>
        <v>30</v>
      </c>
      <c r="U118" s="77">
        <v>98</v>
      </c>
      <c r="V118" s="16">
        <f t="shared" si="7"/>
        <v>2940</v>
      </c>
      <c r="W118" s="77">
        <v>1</v>
      </c>
      <c r="X118" s="77" t="s">
        <v>35</v>
      </c>
      <c r="Y118" s="77" t="s">
        <v>43</v>
      </c>
      <c r="Z118" s="77" t="s">
        <v>29</v>
      </c>
      <c r="AA118" s="77" t="s">
        <v>76</v>
      </c>
      <c r="AB118" s="77" t="s">
        <v>195</v>
      </c>
    </row>
    <row r="119" spans="1:28" x14ac:dyDescent="0.15">
      <c r="A119" s="77" t="s">
        <v>24</v>
      </c>
      <c r="B119" s="77" t="s">
        <v>191</v>
      </c>
      <c r="C119" s="77">
        <v>2020</v>
      </c>
      <c r="D119" s="77" t="s">
        <v>386</v>
      </c>
      <c r="E119" s="77" t="s">
        <v>399</v>
      </c>
      <c r="F119" s="77" t="s">
        <v>392</v>
      </c>
      <c r="G119" s="77" t="s">
        <v>25</v>
      </c>
      <c r="H119" s="77" t="s">
        <v>113</v>
      </c>
      <c r="I119" s="77" t="s">
        <v>111</v>
      </c>
      <c r="J119" s="77" t="s">
        <v>27</v>
      </c>
      <c r="K119" s="77" t="s">
        <v>112</v>
      </c>
      <c r="L119" s="77">
        <v>1</v>
      </c>
      <c r="N119" s="77">
        <v>4</v>
      </c>
      <c r="O119" s="77">
        <v>1</v>
      </c>
      <c r="P119" s="77">
        <v>1</v>
      </c>
      <c r="Q119" s="186">
        <f t="shared" si="8"/>
        <v>1</v>
      </c>
      <c r="R119" s="77">
        <v>10.9</v>
      </c>
      <c r="S119" s="77">
        <v>88</v>
      </c>
      <c r="T119" s="16">
        <f t="shared" si="3"/>
        <v>36</v>
      </c>
      <c r="U119" s="77">
        <v>298</v>
      </c>
      <c r="V119" s="16">
        <f t="shared" si="7"/>
        <v>2682</v>
      </c>
      <c r="W119" s="77">
        <v>1</v>
      </c>
      <c r="X119" s="77" t="s">
        <v>35</v>
      </c>
      <c r="Y119" s="77" t="s">
        <v>43</v>
      </c>
      <c r="Z119" s="77" t="s">
        <v>29</v>
      </c>
      <c r="AA119" s="77" t="s">
        <v>76</v>
      </c>
      <c r="AB119" s="77" t="s">
        <v>195</v>
      </c>
    </row>
    <row r="120" spans="1:28" x14ac:dyDescent="0.15">
      <c r="A120" s="77" t="s">
        <v>24</v>
      </c>
      <c r="B120" s="77" t="s">
        <v>191</v>
      </c>
      <c r="C120" s="77">
        <v>2020</v>
      </c>
      <c r="D120" s="77" t="s">
        <v>386</v>
      </c>
      <c r="E120" s="77" t="s">
        <v>399</v>
      </c>
      <c r="F120" s="77" t="s">
        <v>392</v>
      </c>
      <c r="G120" s="77" t="s">
        <v>25</v>
      </c>
      <c r="H120" s="77" t="s">
        <v>113</v>
      </c>
      <c r="I120" s="77" t="s">
        <v>111</v>
      </c>
      <c r="J120" s="77" t="s">
        <v>27</v>
      </c>
      <c r="K120" s="77" t="s">
        <v>112</v>
      </c>
      <c r="L120" s="77">
        <v>2</v>
      </c>
      <c r="N120" s="77">
        <v>4</v>
      </c>
      <c r="O120" s="77">
        <v>1.25</v>
      </c>
      <c r="P120" s="77">
        <v>1.4</v>
      </c>
      <c r="Q120" s="186">
        <f t="shared" si="8"/>
        <v>1.325</v>
      </c>
      <c r="R120" s="77">
        <v>9</v>
      </c>
      <c r="S120" s="77">
        <v>90</v>
      </c>
      <c r="T120" s="16">
        <f t="shared" si="3"/>
        <v>36</v>
      </c>
      <c r="U120" s="77">
        <v>298</v>
      </c>
      <c r="V120" s="16">
        <f t="shared" si="7"/>
        <v>2682</v>
      </c>
      <c r="W120" s="77">
        <v>1</v>
      </c>
      <c r="X120" s="77" t="s">
        <v>35</v>
      </c>
      <c r="Y120" s="77" t="s">
        <v>43</v>
      </c>
      <c r="Z120" s="77" t="s">
        <v>29</v>
      </c>
      <c r="AA120" s="77" t="s">
        <v>76</v>
      </c>
      <c r="AB120" s="77" t="s">
        <v>195</v>
      </c>
    </row>
    <row r="121" spans="1:28" x14ac:dyDescent="0.15">
      <c r="A121" s="77" t="s">
        <v>24</v>
      </c>
      <c r="B121" s="77" t="s">
        <v>191</v>
      </c>
      <c r="C121" s="77">
        <v>2020</v>
      </c>
      <c r="D121" s="77" t="s">
        <v>386</v>
      </c>
      <c r="E121" s="77" t="s">
        <v>399</v>
      </c>
      <c r="F121" s="77" t="s">
        <v>392</v>
      </c>
      <c r="G121" s="77" t="s">
        <v>25</v>
      </c>
      <c r="H121" s="77" t="s">
        <v>113</v>
      </c>
      <c r="I121" s="77" t="s">
        <v>111</v>
      </c>
      <c r="J121" s="77" t="s">
        <v>27</v>
      </c>
      <c r="K121" s="77" t="s">
        <v>112</v>
      </c>
      <c r="L121" s="77">
        <v>3</v>
      </c>
      <c r="N121" s="77">
        <v>4</v>
      </c>
      <c r="O121" s="77">
        <v>0.9</v>
      </c>
      <c r="P121" s="77">
        <v>0.75</v>
      </c>
      <c r="Q121" s="187">
        <f t="shared" si="8"/>
        <v>0.82499999999999996</v>
      </c>
      <c r="R121" s="77">
        <v>11</v>
      </c>
      <c r="S121" s="77">
        <v>81</v>
      </c>
      <c r="T121" s="16">
        <f t="shared" si="3"/>
        <v>39</v>
      </c>
      <c r="U121" s="77">
        <v>298</v>
      </c>
      <c r="V121" s="16">
        <f t="shared" si="7"/>
        <v>2905.5</v>
      </c>
      <c r="W121" s="77">
        <v>1</v>
      </c>
      <c r="X121" s="77" t="s">
        <v>35</v>
      </c>
      <c r="Y121" s="77" t="s">
        <v>43</v>
      </c>
      <c r="Z121" s="77" t="s">
        <v>29</v>
      </c>
      <c r="AA121" s="77" t="s">
        <v>76</v>
      </c>
      <c r="AB121" s="77" t="s">
        <v>195</v>
      </c>
    </row>
    <row r="122" spans="1:28" x14ac:dyDescent="0.15">
      <c r="A122" s="77" t="s">
        <v>24</v>
      </c>
      <c r="B122" s="77" t="s">
        <v>191</v>
      </c>
      <c r="C122" s="77">
        <v>2020</v>
      </c>
      <c r="D122" s="77" t="s">
        <v>386</v>
      </c>
      <c r="E122" s="77" t="s">
        <v>399</v>
      </c>
      <c r="F122" s="77" t="s">
        <v>392</v>
      </c>
      <c r="G122" s="77" t="s">
        <v>25</v>
      </c>
      <c r="H122" s="77" t="s">
        <v>164</v>
      </c>
      <c r="I122" s="77" t="s">
        <v>111</v>
      </c>
      <c r="J122" s="77" t="s">
        <v>27</v>
      </c>
      <c r="K122" s="77" t="s">
        <v>112</v>
      </c>
      <c r="L122" s="77">
        <v>1</v>
      </c>
      <c r="N122" s="77">
        <v>1</v>
      </c>
      <c r="O122" s="77">
        <v>1.25</v>
      </c>
      <c r="P122" s="77">
        <v>1.2</v>
      </c>
      <c r="Q122" s="187">
        <f t="shared" si="8"/>
        <v>1.2250000000000001</v>
      </c>
      <c r="R122" s="77">
        <v>11.1</v>
      </c>
      <c r="S122" s="77">
        <v>117</v>
      </c>
      <c r="T122" s="16">
        <f t="shared" si="3"/>
        <v>30</v>
      </c>
      <c r="U122" s="77">
        <v>98</v>
      </c>
      <c r="V122" s="16">
        <f t="shared" si="7"/>
        <v>2940</v>
      </c>
      <c r="W122" s="77">
        <v>4</v>
      </c>
      <c r="X122" s="77" t="s">
        <v>35</v>
      </c>
      <c r="Y122" s="77" t="s">
        <v>43</v>
      </c>
      <c r="Z122" s="77" t="s">
        <v>29</v>
      </c>
      <c r="AA122" s="77" t="s">
        <v>76</v>
      </c>
      <c r="AB122" s="77" t="s">
        <v>195</v>
      </c>
    </row>
    <row r="123" spans="1:28" x14ac:dyDescent="0.15">
      <c r="A123" s="77" t="s">
        <v>24</v>
      </c>
      <c r="B123" s="77" t="s">
        <v>191</v>
      </c>
      <c r="C123" s="77">
        <v>2020</v>
      </c>
      <c r="D123" s="77" t="s">
        <v>386</v>
      </c>
      <c r="E123" s="77" t="s">
        <v>399</v>
      </c>
      <c r="F123" s="77" t="s">
        <v>392</v>
      </c>
      <c r="G123" s="77" t="s">
        <v>25</v>
      </c>
      <c r="H123" s="77" t="s">
        <v>164</v>
      </c>
      <c r="I123" s="77" t="s">
        <v>111</v>
      </c>
      <c r="J123" s="77" t="s">
        <v>27</v>
      </c>
      <c r="K123" s="77" t="s">
        <v>112</v>
      </c>
      <c r="L123" s="77">
        <v>2</v>
      </c>
      <c r="N123" s="77">
        <v>1</v>
      </c>
      <c r="O123" s="77">
        <v>1.25</v>
      </c>
      <c r="P123" s="77">
        <v>1.2</v>
      </c>
      <c r="Q123" s="187">
        <f t="shared" si="8"/>
        <v>1.2250000000000001</v>
      </c>
      <c r="R123" s="77">
        <v>17.3</v>
      </c>
      <c r="S123" s="77">
        <v>116</v>
      </c>
      <c r="T123" s="16">
        <f t="shared" si="3"/>
        <v>30</v>
      </c>
      <c r="U123" s="77">
        <v>98</v>
      </c>
      <c r="V123" s="16">
        <f t="shared" si="7"/>
        <v>2940</v>
      </c>
      <c r="W123" s="77">
        <v>4</v>
      </c>
      <c r="X123" s="77" t="s">
        <v>35</v>
      </c>
      <c r="Y123" s="77" t="s">
        <v>43</v>
      </c>
      <c r="Z123" s="77" t="s">
        <v>29</v>
      </c>
      <c r="AA123" s="77" t="s">
        <v>76</v>
      </c>
      <c r="AB123" s="77" t="s">
        <v>195</v>
      </c>
    </row>
    <row r="124" spans="1:28" x14ac:dyDescent="0.15">
      <c r="A124" s="77" t="s">
        <v>24</v>
      </c>
      <c r="B124" s="77" t="s">
        <v>191</v>
      </c>
      <c r="C124" s="77">
        <v>2020</v>
      </c>
      <c r="D124" s="77" t="s">
        <v>386</v>
      </c>
      <c r="E124" s="77" t="s">
        <v>399</v>
      </c>
      <c r="F124" s="77" t="s">
        <v>392</v>
      </c>
      <c r="G124" s="77" t="s">
        <v>25</v>
      </c>
      <c r="H124" s="77" t="s">
        <v>164</v>
      </c>
      <c r="I124" s="77" t="s">
        <v>111</v>
      </c>
      <c r="J124" s="77" t="s">
        <v>27</v>
      </c>
      <c r="K124" s="77" t="s">
        <v>112</v>
      </c>
      <c r="L124" s="77">
        <v>3</v>
      </c>
      <c r="N124" s="77">
        <v>1</v>
      </c>
      <c r="O124" s="77">
        <v>0.9</v>
      </c>
      <c r="P124" s="77">
        <v>0.9</v>
      </c>
      <c r="Q124" s="187">
        <f t="shared" si="8"/>
        <v>0.9</v>
      </c>
      <c r="R124" s="77">
        <v>12.5</v>
      </c>
      <c r="S124" s="77">
        <v>115</v>
      </c>
      <c r="T124" s="16">
        <f t="shared" si="3"/>
        <v>30</v>
      </c>
      <c r="U124" s="77">
        <v>98</v>
      </c>
      <c r="V124" s="16">
        <f t="shared" si="7"/>
        <v>2940</v>
      </c>
      <c r="W124" s="77">
        <v>4</v>
      </c>
      <c r="X124" s="77" t="s">
        <v>35</v>
      </c>
      <c r="Y124" s="77" t="s">
        <v>43</v>
      </c>
      <c r="Z124" s="77" t="s">
        <v>29</v>
      </c>
      <c r="AA124" s="77" t="s">
        <v>76</v>
      </c>
      <c r="AB124" s="77" t="s">
        <v>195</v>
      </c>
    </row>
    <row r="125" spans="1:28" x14ac:dyDescent="0.15">
      <c r="A125" s="77" t="s">
        <v>24</v>
      </c>
      <c r="B125" s="77" t="s">
        <v>191</v>
      </c>
      <c r="C125" s="77">
        <v>2020</v>
      </c>
      <c r="D125" s="77" t="s">
        <v>386</v>
      </c>
      <c r="E125" s="77" t="s">
        <v>399</v>
      </c>
      <c r="F125" s="77" t="s">
        <v>392</v>
      </c>
      <c r="G125" s="77" t="s">
        <v>25</v>
      </c>
      <c r="H125" s="77" t="s">
        <v>164</v>
      </c>
      <c r="I125" s="77" t="s">
        <v>111</v>
      </c>
      <c r="J125" s="77" t="s">
        <v>27</v>
      </c>
      <c r="K125" s="77" t="s">
        <v>112</v>
      </c>
      <c r="L125" s="77">
        <v>1</v>
      </c>
      <c r="N125" s="77">
        <v>6</v>
      </c>
      <c r="O125" s="77">
        <v>1.75</v>
      </c>
      <c r="P125" s="77">
        <v>1.6</v>
      </c>
      <c r="Q125" s="187">
        <f t="shared" si="8"/>
        <v>1.675</v>
      </c>
      <c r="R125" s="77">
        <v>13.4</v>
      </c>
      <c r="S125" s="77">
        <v>126</v>
      </c>
      <c r="T125" s="16">
        <f t="shared" si="3"/>
        <v>27</v>
      </c>
      <c r="U125" s="77">
        <v>580</v>
      </c>
      <c r="V125" s="16">
        <f t="shared" si="7"/>
        <v>2610</v>
      </c>
      <c r="W125" s="77">
        <v>1</v>
      </c>
      <c r="X125" s="77" t="s">
        <v>35</v>
      </c>
      <c r="Y125" s="77" t="s">
        <v>43</v>
      </c>
      <c r="Z125" s="77" t="s">
        <v>29</v>
      </c>
      <c r="AA125" s="77" t="s">
        <v>76</v>
      </c>
      <c r="AB125" s="77" t="s">
        <v>195</v>
      </c>
    </row>
    <row r="126" spans="1:28" x14ac:dyDescent="0.15">
      <c r="A126" s="77" t="s">
        <v>24</v>
      </c>
      <c r="B126" s="77" t="s">
        <v>191</v>
      </c>
      <c r="C126" s="77">
        <v>2020</v>
      </c>
      <c r="D126" s="77" t="s">
        <v>386</v>
      </c>
      <c r="E126" s="77" t="s">
        <v>399</v>
      </c>
      <c r="F126" s="77" t="s">
        <v>392</v>
      </c>
      <c r="G126" s="77" t="s">
        <v>25</v>
      </c>
      <c r="H126" s="77" t="s">
        <v>164</v>
      </c>
      <c r="I126" s="77" t="s">
        <v>111</v>
      </c>
      <c r="J126" s="77" t="s">
        <v>27</v>
      </c>
      <c r="K126" s="77" t="s">
        <v>112</v>
      </c>
      <c r="L126" s="77">
        <v>2</v>
      </c>
      <c r="N126" s="77">
        <v>6</v>
      </c>
      <c r="O126" s="77">
        <v>1.25</v>
      </c>
      <c r="P126" s="77">
        <v>1</v>
      </c>
      <c r="Q126" s="187">
        <f t="shared" si="8"/>
        <v>1.125</v>
      </c>
      <c r="R126" s="77">
        <v>13</v>
      </c>
      <c r="S126" s="77">
        <v>125</v>
      </c>
      <c r="T126" s="16">
        <f t="shared" si="3"/>
        <v>27</v>
      </c>
      <c r="U126" s="77">
        <v>580</v>
      </c>
      <c r="V126" s="16">
        <f t="shared" si="7"/>
        <v>2610</v>
      </c>
      <c r="W126" s="77">
        <v>1</v>
      </c>
      <c r="X126" s="77" t="s">
        <v>35</v>
      </c>
      <c r="Y126" s="77" t="s">
        <v>43</v>
      </c>
      <c r="Z126" s="77" t="s">
        <v>29</v>
      </c>
      <c r="AA126" s="77" t="s">
        <v>76</v>
      </c>
      <c r="AB126" s="77" t="s">
        <v>195</v>
      </c>
    </row>
    <row r="127" spans="1:28" x14ac:dyDescent="0.15">
      <c r="A127" s="77" t="s">
        <v>24</v>
      </c>
      <c r="B127" s="77" t="s">
        <v>191</v>
      </c>
      <c r="C127" s="77">
        <v>2020</v>
      </c>
      <c r="D127" s="77" t="s">
        <v>386</v>
      </c>
      <c r="E127" s="77" t="s">
        <v>399</v>
      </c>
      <c r="F127" s="77" t="s">
        <v>392</v>
      </c>
      <c r="G127" s="77" t="s">
        <v>25</v>
      </c>
      <c r="H127" s="77" t="s">
        <v>164</v>
      </c>
      <c r="I127" s="77" t="s">
        <v>111</v>
      </c>
      <c r="J127" s="77" t="s">
        <v>27</v>
      </c>
      <c r="K127" s="77" t="s">
        <v>112</v>
      </c>
      <c r="L127" s="77">
        <v>3</v>
      </c>
      <c r="N127" s="77">
        <v>6</v>
      </c>
      <c r="O127" s="77">
        <v>1.5</v>
      </c>
      <c r="P127" s="77">
        <v>1.5</v>
      </c>
      <c r="Q127" s="187">
        <f t="shared" si="8"/>
        <v>1.5</v>
      </c>
      <c r="R127" s="77">
        <v>15.8</v>
      </c>
      <c r="S127" s="77">
        <v>124</v>
      </c>
      <c r="T127" s="16">
        <f t="shared" si="3"/>
        <v>27</v>
      </c>
      <c r="U127" s="77">
        <v>580</v>
      </c>
      <c r="V127" s="16">
        <f t="shared" si="7"/>
        <v>2610</v>
      </c>
      <c r="W127" s="77">
        <v>1</v>
      </c>
      <c r="X127" s="77" t="s">
        <v>35</v>
      </c>
      <c r="Y127" s="77" t="s">
        <v>43</v>
      </c>
      <c r="Z127" s="77" t="s">
        <v>29</v>
      </c>
      <c r="AA127" s="77" t="s">
        <v>76</v>
      </c>
      <c r="AB127" s="77" t="s">
        <v>195</v>
      </c>
    </row>
    <row r="128" spans="1:28" x14ac:dyDescent="0.15">
      <c r="A128" s="77" t="s">
        <v>24</v>
      </c>
      <c r="B128" s="77" t="s">
        <v>191</v>
      </c>
      <c r="C128" s="77">
        <v>2020</v>
      </c>
      <c r="D128" s="77" t="s">
        <v>386</v>
      </c>
      <c r="E128" s="77" t="s">
        <v>399</v>
      </c>
      <c r="F128" s="77" t="s">
        <v>392</v>
      </c>
      <c r="G128" s="77" t="s">
        <v>25</v>
      </c>
      <c r="H128" s="77" t="s">
        <v>164</v>
      </c>
      <c r="I128" s="77" t="s">
        <v>166</v>
      </c>
      <c r="J128" s="77" t="s">
        <v>27</v>
      </c>
      <c r="K128" s="77" t="s">
        <v>112</v>
      </c>
      <c r="L128" s="77">
        <v>1</v>
      </c>
      <c r="N128" s="77">
        <v>4</v>
      </c>
      <c r="O128" s="77">
        <v>1.1000000000000001</v>
      </c>
      <c r="P128" s="77">
        <v>1</v>
      </c>
      <c r="Q128" s="187">
        <f t="shared" si="8"/>
        <v>1.05</v>
      </c>
      <c r="R128" s="77">
        <v>16.899999999999999</v>
      </c>
      <c r="S128" s="77">
        <v>98</v>
      </c>
      <c r="T128" s="16">
        <f t="shared" si="3"/>
        <v>36</v>
      </c>
      <c r="U128" s="77">
        <v>580</v>
      </c>
      <c r="V128" s="16">
        <f t="shared" si="7"/>
        <v>5220</v>
      </c>
      <c r="W128" s="77">
        <v>1</v>
      </c>
      <c r="X128" s="77" t="s">
        <v>35</v>
      </c>
      <c r="Y128" s="77" t="s">
        <v>43</v>
      </c>
      <c r="Z128" s="77" t="s">
        <v>29</v>
      </c>
      <c r="AA128" s="77" t="s">
        <v>76</v>
      </c>
      <c r="AB128" s="77" t="s">
        <v>195</v>
      </c>
    </row>
    <row r="129" spans="1:28" x14ac:dyDescent="0.15">
      <c r="A129" s="77" t="s">
        <v>24</v>
      </c>
      <c r="B129" s="77" t="s">
        <v>191</v>
      </c>
      <c r="C129" s="77">
        <v>2020</v>
      </c>
      <c r="D129" s="77" t="s">
        <v>386</v>
      </c>
      <c r="E129" s="77" t="s">
        <v>399</v>
      </c>
      <c r="F129" s="77" t="s">
        <v>392</v>
      </c>
      <c r="G129" s="77" t="s">
        <v>25</v>
      </c>
      <c r="H129" s="77" t="s">
        <v>164</v>
      </c>
      <c r="I129" s="77" t="s">
        <v>166</v>
      </c>
      <c r="J129" s="77" t="s">
        <v>27</v>
      </c>
      <c r="K129" s="77" t="s">
        <v>112</v>
      </c>
      <c r="L129" s="77">
        <v>2</v>
      </c>
      <c r="N129" s="77">
        <v>4</v>
      </c>
      <c r="O129" s="77">
        <v>1.2</v>
      </c>
      <c r="P129" s="77">
        <v>1.2</v>
      </c>
      <c r="Q129" s="187">
        <f t="shared" si="8"/>
        <v>1.2</v>
      </c>
      <c r="R129" s="77">
        <v>12.4</v>
      </c>
      <c r="S129" s="77">
        <v>103</v>
      </c>
      <c r="T129" s="16">
        <f t="shared" si="3"/>
        <v>33</v>
      </c>
      <c r="U129" s="77">
        <v>580</v>
      </c>
      <c r="V129" s="16">
        <f t="shared" si="7"/>
        <v>4785</v>
      </c>
      <c r="W129" s="77">
        <v>1</v>
      </c>
      <c r="X129" s="77" t="s">
        <v>35</v>
      </c>
      <c r="Y129" s="77" t="s">
        <v>43</v>
      </c>
      <c r="Z129" s="77" t="s">
        <v>29</v>
      </c>
      <c r="AA129" s="77" t="s">
        <v>76</v>
      </c>
      <c r="AB129" s="77" t="s">
        <v>195</v>
      </c>
    </row>
    <row r="130" spans="1:28" x14ac:dyDescent="0.15">
      <c r="A130" s="77" t="s">
        <v>24</v>
      </c>
      <c r="B130" s="77" t="s">
        <v>191</v>
      </c>
      <c r="C130" s="77">
        <v>2020</v>
      </c>
      <c r="D130" s="77" t="s">
        <v>386</v>
      </c>
      <c r="E130" s="77" t="s">
        <v>399</v>
      </c>
      <c r="F130" s="77" t="s">
        <v>392</v>
      </c>
      <c r="G130" s="77" t="s">
        <v>25</v>
      </c>
      <c r="H130" s="77" t="s">
        <v>164</v>
      </c>
      <c r="I130" s="77" t="s">
        <v>166</v>
      </c>
      <c r="J130" s="77" t="s">
        <v>27</v>
      </c>
      <c r="K130" s="77" t="s">
        <v>112</v>
      </c>
      <c r="L130" s="77">
        <v>3</v>
      </c>
      <c r="N130" s="77">
        <v>4</v>
      </c>
      <c r="O130" s="77">
        <v>1.3</v>
      </c>
      <c r="P130" s="77">
        <v>1.25</v>
      </c>
      <c r="Q130" s="187">
        <f t="shared" si="8"/>
        <v>1.2749999999999999</v>
      </c>
      <c r="R130" s="77">
        <v>17.2</v>
      </c>
      <c r="S130" s="77">
        <v>96</v>
      </c>
      <c r="T130" s="16">
        <f t="shared" si="3"/>
        <v>36</v>
      </c>
      <c r="U130" s="77">
        <v>580</v>
      </c>
      <c r="V130" s="16">
        <f t="shared" si="7"/>
        <v>5220</v>
      </c>
      <c r="W130" s="77">
        <v>1</v>
      </c>
      <c r="X130" s="77" t="s">
        <v>35</v>
      </c>
      <c r="Y130" s="77" t="s">
        <v>43</v>
      </c>
      <c r="Z130" s="77" t="s">
        <v>29</v>
      </c>
      <c r="AA130" s="77" t="s">
        <v>76</v>
      </c>
      <c r="AB130" s="77" t="s">
        <v>195</v>
      </c>
    </row>
    <row r="131" spans="1:28" x14ac:dyDescent="0.15">
      <c r="A131" s="77" t="s">
        <v>24</v>
      </c>
      <c r="B131" s="77" t="s">
        <v>191</v>
      </c>
      <c r="C131" s="77">
        <v>2020</v>
      </c>
      <c r="D131" s="77" t="s">
        <v>386</v>
      </c>
      <c r="E131" s="77" t="s">
        <v>400</v>
      </c>
      <c r="F131" s="77" t="s">
        <v>398</v>
      </c>
      <c r="G131" s="77" t="s">
        <v>25</v>
      </c>
      <c r="H131" s="77" t="s">
        <v>113</v>
      </c>
      <c r="I131" s="77" t="s">
        <v>111</v>
      </c>
      <c r="J131" s="77" t="s">
        <v>27</v>
      </c>
      <c r="K131" s="77" t="s">
        <v>112</v>
      </c>
      <c r="L131" s="77">
        <v>1</v>
      </c>
      <c r="N131" s="77">
        <v>1</v>
      </c>
      <c r="O131" s="77">
        <v>0.8</v>
      </c>
      <c r="P131" s="77">
        <v>1</v>
      </c>
      <c r="Q131" s="187">
        <f t="shared" si="8"/>
        <v>0.9</v>
      </c>
      <c r="R131" s="77">
        <v>16.399999999999999</v>
      </c>
      <c r="S131" s="77">
        <v>122</v>
      </c>
      <c r="T131" s="16">
        <f t="shared" si="3"/>
        <v>27</v>
      </c>
      <c r="U131" s="77">
        <v>100</v>
      </c>
      <c r="V131" s="16">
        <f t="shared" si="7"/>
        <v>2700</v>
      </c>
      <c r="W131" s="77">
        <v>2</v>
      </c>
      <c r="X131" s="77" t="s">
        <v>35</v>
      </c>
      <c r="Y131" s="77" t="s">
        <v>43</v>
      </c>
      <c r="Z131" s="77" t="s">
        <v>76</v>
      </c>
      <c r="AA131" s="77" t="s">
        <v>47</v>
      </c>
      <c r="AB131" s="77" t="s">
        <v>195</v>
      </c>
    </row>
    <row r="132" spans="1:28" x14ac:dyDescent="0.15">
      <c r="A132" s="77" t="s">
        <v>24</v>
      </c>
      <c r="B132" s="77" t="s">
        <v>191</v>
      </c>
      <c r="C132" s="77">
        <v>2020</v>
      </c>
      <c r="D132" s="77" t="s">
        <v>386</v>
      </c>
      <c r="E132" s="77" t="s">
        <v>400</v>
      </c>
      <c r="F132" s="77" t="s">
        <v>398</v>
      </c>
      <c r="G132" s="77" t="s">
        <v>25</v>
      </c>
      <c r="H132" s="77" t="s">
        <v>113</v>
      </c>
      <c r="I132" s="77" t="s">
        <v>111</v>
      </c>
      <c r="J132" s="77" t="s">
        <v>27</v>
      </c>
      <c r="K132" s="77" t="s">
        <v>112</v>
      </c>
      <c r="L132" s="77">
        <v>2</v>
      </c>
      <c r="N132" s="77">
        <v>1</v>
      </c>
      <c r="O132" s="77">
        <v>0.8</v>
      </c>
      <c r="P132" s="77">
        <v>0.9</v>
      </c>
      <c r="Q132" s="187">
        <f t="shared" si="8"/>
        <v>0.85000000000000009</v>
      </c>
      <c r="R132" s="77">
        <v>15.1</v>
      </c>
      <c r="S132" s="77">
        <v>119</v>
      </c>
      <c r="T132" s="16">
        <f t="shared" si="3"/>
        <v>30</v>
      </c>
      <c r="U132" s="77">
        <v>100</v>
      </c>
      <c r="V132" s="16">
        <f t="shared" si="7"/>
        <v>3000</v>
      </c>
      <c r="W132" s="77">
        <v>2</v>
      </c>
      <c r="X132" s="77" t="s">
        <v>35</v>
      </c>
      <c r="Y132" s="77" t="s">
        <v>43</v>
      </c>
      <c r="Z132" s="77" t="s">
        <v>76</v>
      </c>
      <c r="AA132" s="77" t="s">
        <v>47</v>
      </c>
      <c r="AB132" s="77" t="s">
        <v>195</v>
      </c>
    </row>
    <row r="133" spans="1:28" x14ac:dyDescent="0.15">
      <c r="A133" s="77" t="s">
        <v>24</v>
      </c>
      <c r="B133" s="77" t="s">
        <v>191</v>
      </c>
      <c r="C133" s="77">
        <v>2020</v>
      </c>
      <c r="D133" s="77" t="s">
        <v>386</v>
      </c>
      <c r="E133" s="77" t="s">
        <v>400</v>
      </c>
      <c r="F133" s="77" t="s">
        <v>398</v>
      </c>
      <c r="G133" s="77" t="s">
        <v>25</v>
      </c>
      <c r="H133" s="77" t="s">
        <v>113</v>
      </c>
      <c r="I133" s="77" t="s">
        <v>111</v>
      </c>
      <c r="J133" s="77" t="s">
        <v>27</v>
      </c>
      <c r="K133" s="77" t="s">
        <v>112</v>
      </c>
      <c r="L133" s="77">
        <v>3</v>
      </c>
      <c r="N133" s="77">
        <v>1</v>
      </c>
      <c r="O133" s="77">
        <v>0.75</v>
      </c>
      <c r="P133" s="77">
        <v>0.75</v>
      </c>
      <c r="Q133" s="187">
        <f t="shared" si="8"/>
        <v>0.75</v>
      </c>
      <c r="R133" s="77">
        <v>12</v>
      </c>
      <c r="S133" s="77">
        <v>120</v>
      </c>
      <c r="T133" s="16">
        <f t="shared" si="3"/>
        <v>30</v>
      </c>
      <c r="U133" s="77">
        <v>100</v>
      </c>
      <c r="V133" s="16">
        <f t="shared" si="7"/>
        <v>3000</v>
      </c>
      <c r="W133" s="77">
        <v>2</v>
      </c>
      <c r="X133" s="77" t="s">
        <v>35</v>
      </c>
      <c r="Y133" s="77" t="s">
        <v>43</v>
      </c>
      <c r="Z133" s="77" t="s">
        <v>76</v>
      </c>
      <c r="AA133" s="77" t="s">
        <v>47</v>
      </c>
      <c r="AB133" s="77" t="s">
        <v>195</v>
      </c>
    </row>
    <row r="134" spans="1:28" x14ac:dyDescent="0.15">
      <c r="A134" s="77" t="s">
        <v>24</v>
      </c>
      <c r="B134" s="77" t="s">
        <v>191</v>
      </c>
      <c r="C134" s="77">
        <v>2020</v>
      </c>
      <c r="D134" s="77" t="s">
        <v>386</v>
      </c>
      <c r="E134" s="77" t="s">
        <v>400</v>
      </c>
      <c r="F134" s="77" t="s">
        <v>398</v>
      </c>
      <c r="G134" s="77" t="s">
        <v>25</v>
      </c>
      <c r="H134" s="77" t="s">
        <v>113</v>
      </c>
      <c r="I134" s="77" t="s">
        <v>111</v>
      </c>
      <c r="J134" s="77" t="s">
        <v>27</v>
      </c>
      <c r="K134" s="77" t="s">
        <v>112</v>
      </c>
      <c r="L134" s="77">
        <v>1</v>
      </c>
      <c r="N134" s="77">
        <v>4</v>
      </c>
      <c r="O134" s="77">
        <v>0.75</v>
      </c>
      <c r="P134" s="77">
        <v>0.75</v>
      </c>
      <c r="Q134" s="187">
        <f t="shared" si="8"/>
        <v>0.75</v>
      </c>
      <c r="R134" s="77">
        <v>12.2</v>
      </c>
      <c r="S134" s="77">
        <v>120</v>
      </c>
      <c r="T134" s="16">
        <f t="shared" si="3"/>
        <v>30</v>
      </c>
      <c r="U134" s="77">
        <v>388</v>
      </c>
      <c r="V134" s="16">
        <f t="shared" si="7"/>
        <v>2910</v>
      </c>
      <c r="W134" s="77">
        <v>1</v>
      </c>
      <c r="X134" s="77" t="s">
        <v>35</v>
      </c>
      <c r="Y134" s="77" t="s">
        <v>43</v>
      </c>
      <c r="Z134" s="77" t="s">
        <v>76</v>
      </c>
      <c r="AA134" s="77" t="s">
        <v>47</v>
      </c>
      <c r="AB134" s="77" t="s">
        <v>195</v>
      </c>
    </row>
    <row r="135" spans="1:28" x14ac:dyDescent="0.15">
      <c r="A135" s="77" t="s">
        <v>24</v>
      </c>
      <c r="B135" s="77" t="s">
        <v>191</v>
      </c>
      <c r="C135" s="77">
        <v>2020</v>
      </c>
      <c r="D135" s="77" t="s">
        <v>386</v>
      </c>
      <c r="E135" s="77" t="s">
        <v>400</v>
      </c>
      <c r="F135" s="77" t="s">
        <v>398</v>
      </c>
      <c r="G135" s="77" t="s">
        <v>25</v>
      </c>
      <c r="H135" s="77" t="s">
        <v>113</v>
      </c>
      <c r="I135" s="77" t="s">
        <v>111</v>
      </c>
      <c r="J135" s="77" t="s">
        <v>27</v>
      </c>
      <c r="K135" s="77" t="s">
        <v>112</v>
      </c>
      <c r="L135" s="77">
        <v>2</v>
      </c>
      <c r="N135" s="77">
        <v>4</v>
      </c>
      <c r="O135" s="77">
        <v>1.1000000000000001</v>
      </c>
      <c r="P135" s="77">
        <v>1.2</v>
      </c>
      <c r="Q135" s="187">
        <f t="shared" si="8"/>
        <v>1.1499999999999999</v>
      </c>
      <c r="R135" s="77">
        <v>13.6</v>
      </c>
      <c r="S135" s="77">
        <v>117</v>
      </c>
      <c r="T135" s="16">
        <f t="shared" si="3"/>
        <v>30</v>
      </c>
      <c r="U135" s="77">
        <v>388</v>
      </c>
      <c r="V135" s="16">
        <f t="shared" si="7"/>
        <v>2910</v>
      </c>
      <c r="W135" s="77">
        <v>1</v>
      </c>
      <c r="X135" s="77" t="s">
        <v>35</v>
      </c>
      <c r="Y135" s="77" t="s">
        <v>43</v>
      </c>
      <c r="Z135" s="77" t="s">
        <v>76</v>
      </c>
      <c r="AA135" s="77" t="s">
        <v>47</v>
      </c>
      <c r="AB135" s="77" t="s">
        <v>195</v>
      </c>
    </row>
    <row r="136" spans="1:28" x14ac:dyDescent="0.15">
      <c r="A136" s="77" t="s">
        <v>24</v>
      </c>
      <c r="B136" s="77" t="s">
        <v>191</v>
      </c>
      <c r="C136" s="77">
        <v>2020</v>
      </c>
      <c r="D136" s="77" t="s">
        <v>386</v>
      </c>
      <c r="E136" s="77" t="s">
        <v>400</v>
      </c>
      <c r="F136" s="77" t="s">
        <v>398</v>
      </c>
      <c r="G136" s="77" t="s">
        <v>25</v>
      </c>
      <c r="H136" s="77" t="s">
        <v>113</v>
      </c>
      <c r="I136" s="77" t="s">
        <v>111</v>
      </c>
      <c r="J136" s="77" t="s">
        <v>27</v>
      </c>
      <c r="K136" s="77" t="s">
        <v>112</v>
      </c>
      <c r="L136" s="77">
        <v>3</v>
      </c>
      <c r="N136" s="77">
        <v>4</v>
      </c>
      <c r="O136" s="77">
        <v>0.75</v>
      </c>
      <c r="P136" s="77">
        <v>0.8</v>
      </c>
      <c r="Q136" s="187">
        <f t="shared" si="8"/>
        <v>0.77500000000000002</v>
      </c>
      <c r="R136" s="77">
        <v>15.9</v>
      </c>
      <c r="S136" s="77">
        <v>121</v>
      </c>
      <c r="T136" s="16">
        <f t="shared" si="3"/>
        <v>27</v>
      </c>
      <c r="U136" s="77">
        <v>388</v>
      </c>
      <c r="V136" s="16">
        <f t="shared" si="7"/>
        <v>2619</v>
      </c>
      <c r="W136" s="77">
        <v>1</v>
      </c>
      <c r="X136" s="77" t="s">
        <v>35</v>
      </c>
      <c r="Y136" s="77" t="s">
        <v>43</v>
      </c>
      <c r="Z136" s="77" t="s">
        <v>76</v>
      </c>
      <c r="AA136" s="77" t="s">
        <v>47</v>
      </c>
      <c r="AB136" s="77" t="s">
        <v>195</v>
      </c>
    </row>
    <row r="137" spans="1:28" x14ac:dyDescent="0.15">
      <c r="A137" s="77" t="s">
        <v>24</v>
      </c>
      <c r="B137" s="77" t="s">
        <v>191</v>
      </c>
      <c r="C137" s="77">
        <v>2020</v>
      </c>
      <c r="D137" s="77" t="s">
        <v>386</v>
      </c>
      <c r="E137" s="77" t="s">
        <v>400</v>
      </c>
      <c r="F137" s="77" t="s">
        <v>398</v>
      </c>
      <c r="G137" s="77" t="s">
        <v>25</v>
      </c>
      <c r="H137" s="77" t="s">
        <v>164</v>
      </c>
      <c r="I137" s="77" t="s">
        <v>111</v>
      </c>
      <c r="J137" s="77" t="s">
        <v>27</v>
      </c>
      <c r="K137" s="77" t="s">
        <v>112</v>
      </c>
      <c r="L137" s="77">
        <v>1</v>
      </c>
      <c r="N137" s="77">
        <v>1</v>
      </c>
      <c r="O137" s="77">
        <v>0.75</v>
      </c>
      <c r="P137" s="77">
        <v>0.8</v>
      </c>
      <c r="Q137" s="187">
        <f t="shared" si="8"/>
        <v>0.77500000000000002</v>
      </c>
      <c r="R137" s="77">
        <v>13.7</v>
      </c>
      <c r="S137" s="77">
        <v>107</v>
      </c>
      <c r="T137" s="16">
        <f t="shared" si="3"/>
        <v>33</v>
      </c>
      <c r="U137" s="77">
        <v>100</v>
      </c>
      <c r="V137" s="16">
        <f t="shared" si="7"/>
        <v>3300</v>
      </c>
      <c r="W137" s="77">
        <v>3</v>
      </c>
      <c r="X137" s="77" t="s">
        <v>35</v>
      </c>
      <c r="Y137" s="77" t="s">
        <v>43</v>
      </c>
      <c r="Z137" s="77" t="s">
        <v>76</v>
      </c>
      <c r="AA137" s="77" t="s">
        <v>47</v>
      </c>
      <c r="AB137" s="77" t="s">
        <v>195</v>
      </c>
    </row>
    <row r="138" spans="1:28" x14ac:dyDescent="0.15">
      <c r="A138" s="77" t="s">
        <v>24</v>
      </c>
      <c r="B138" s="77" t="s">
        <v>191</v>
      </c>
      <c r="C138" s="77">
        <v>2020</v>
      </c>
      <c r="D138" s="77" t="s">
        <v>386</v>
      </c>
      <c r="E138" s="77" t="s">
        <v>400</v>
      </c>
      <c r="F138" s="77" t="s">
        <v>398</v>
      </c>
      <c r="G138" s="77" t="s">
        <v>25</v>
      </c>
      <c r="H138" s="77" t="s">
        <v>164</v>
      </c>
      <c r="I138" s="77" t="s">
        <v>111</v>
      </c>
      <c r="J138" s="77" t="s">
        <v>27</v>
      </c>
      <c r="K138" s="77" t="s">
        <v>112</v>
      </c>
      <c r="L138" s="77">
        <v>2</v>
      </c>
      <c r="N138" s="77">
        <v>1</v>
      </c>
      <c r="O138" s="77">
        <v>1.5</v>
      </c>
      <c r="P138" s="77">
        <v>1.4</v>
      </c>
      <c r="Q138" s="187">
        <f t="shared" si="8"/>
        <v>1.45</v>
      </c>
      <c r="R138" s="77">
        <v>14.8</v>
      </c>
      <c r="S138" s="77">
        <v>107</v>
      </c>
      <c r="T138" s="16">
        <f t="shared" si="3"/>
        <v>33</v>
      </c>
      <c r="U138" s="77">
        <v>100</v>
      </c>
      <c r="V138" s="16">
        <f t="shared" si="7"/>
        <v>3300</v>
      </c>
      <c r="W138" s="77">
        <v>3</v>
      </c>
      <c r="X138" s="77" t="s">
        <v>35</v>
      </c>
      <c r="Y138" s="77" t="s">
        <v>43</v>
      </c>
      <c r="Z138" s="77" t="s">
        <v>76</v>
      </c>
      <c r="AA138" s="77" t="s">
        <v>47</v>
      </c>
      <c r="AB138" s="77" t="s">
        <v>195</v>
      </c>
    </row>
    <row r="139" spans="1:28" x14ac:dyDescent="0.15">
      <c r="A139" s="77" t="s">
        <v>24</v>
      </c>
      <c r="B139" s="77" t="s">
        <v>191</v>
      </c>
      <c r="C139" s="77">
        <v>2020</v>
      </c>
      <c r="D139" s="77" t="s">
        <v>386</v>
      </c>
      <c r="E139" s="77" t="s">
        <v>400</v>
      </c>
      <c r="F139" s="77" t="s">
        <v>398</v>
      </c>
      <c r="G139" s="77" t="s">
        <v>25</v>
      </c>
      <c r="H139" s="77" t="s">
        <v>164</v>
      </c>
      <c r="I139" s="77" t="s">
        <v>111</v>
      </c>
      <c r="J139" s="77" t="s">
        <v>27</v>
      </c>
      <c r="K139" s="77" t="s">
        <v>112</v>
      </c>
      <c r="L139" s="77">
        <v>3</v>
      </c>
      <c r="N139" s="77">
        <v>1</v>
      </c>
      <c r="O139" s="77">
        <v>0.9</v>
      </c>
      <c r="P139" s="77">
        <v>0.9</v>
      </c>
      <c r="Q139" s="187">
        <f t="shared" si="8"/>
        <v>0.9</v>
      </c>
      <c r="R139" s="77">
        <v>14.5</v>
      </c>
      <c r="S139" s="77">
        <v>109</v>
      </c>
      <c r="T139" s="16">
        <f t="shared" si="3"/>
        <v>33</v>
      </c>
      <c r="U139" s="77">
        <v>100</v>
      </c>
      <c r="V139" s="16">
        <f t="shared" si="7"/>
        <v>3300</v>
      </c>
      <c r="W139" s="77">
        <v>3</v>
      </c>
      <c r="X139" s="77" t="s">
        <v>35</v>
      </c>
      <c r="Y139" s="77" t="s">
        <v>43</v>
      </c>
      <c r="Z139" s="77" t="s">
        <v>76</v>
      </c>
      <c r="AA139" s="77" t="s">
        <v>47</v>
      </c>
      <c r="AB139" s="77" t="s">
        <v>195</v>
      </c>
    </row>
    <row r="140" spans="1:28" x14ac:dyDescent="0.15">
      <c r="A140" s="77" t="s">
        <v>24</v>
      </c>
      <c r="B140" s="77" t="s">
        <v>191</v>
      </c>
      <c r="C140" s="77">
        <v>2020</v>
      </c>
      <c r="D140" s="77" t="s">
        <v>386</v>
      </c>
      <c r="E140" s="77" t="s">
        <v>400</v>
      </c>
      <c r="F140" s="77" t="s">
        <v>398</v>
      </c>
      <c r="G140" s="77" t="s">
        <v>25</v>
      </c>
      <c r="H140" s="77" t="s">
        <v>164</v>
      </c>
      <c r="I140" s="77" t="s">
        <v>111</v>
      </c>
      <c r="J140" s="77" t="s">
        <v>27</v>
      </c>
      <c r="K140" s="77" t="s">
        <v>112</v>
      </c>
      <c r="L140" s="77">
        <v>1</v>
      </c>
      <c r="N140" s="77">
        <v>4</v>
      </c>
      <c r="O140" s="77">
        <v>1.4</v>
      </c>
      <c r="P140" s="77">
        <v>1.2</v>
      </c>
      <c r="Q140" s="187">
        <f t="shared" si="8"/>
        <v>1.2999999999999998</v>
      </c>
      <c r="R140" s="77">
        <v>13</v>
      </c>
      <c r="S140" s="77">
        <v>112</v>
      </c>
      <c r="T140" s="16">
        <f t="shared" si="3"/>
        <v>33</v>
      </c>
      <c r="U140" s="77">
        <v>388</v>
      </c>
      <c r="V140" s="16">
        <f t="shared" si="7"/>
        <v>3201</v>
      </c>
      <c r="W140" s="77">
        <v>2</v>
      </c>
      <c r="X140" s="77" t="s">
        <v>35</v>
      </c>
      <c r="Y140" s="77" t="s">
        <v>43</v>
      </c>
      <c r="Z140" s="77" t="s">
        <v>76</v>
      </c>
      <c r="AA140" s="77" t="s">
        <v>47</v>
      </c>
      <c r="AB140" s="77" t="s">
        <v>195</v>
      </c>
    </row>
    <row r="141" spans="1:28" x14ac:dyDescent="0.15">
      <c r="A141" s="77" t="s">
        <v>24</v>
      </c>
      <c r="B141" s="77" t="s">
        <v>191</v>
      </c>
      <c r="C141" s="77">
        <v>2020</v>
      </c>
      <c r="D141" s="77" t="s">
        <v>386</v>
      </c>
      <c r="E141" s="77" t="s">
        <v>400</v>
      </c>
      <c r="F141" s="77" t="s">
        <v>398</v>
      </c>
      <c r="G141" s="77" t="s">
        <v>25</v>
      </c>
      <c r="H141" s="77" t="s">
        <v>164</v>
      </c>
      <c r="I141" s="77" t="s">
        <v>111</v>
      </c>
      <c r="J141" s="77" t="s">
        <v>27</v>
      </c>
      <c r="K141" s="77" t="s">
        <v>112</v>
      </c>
      <c r="L141" s="77">
        <v>2</v>
      </c>
      <c r="N141" s="77">
        <v>4</v>
      </c>
      <c r="O141" s="77">
        <v>1.5</v>
      </c>
      <c r="P141" s="77">
        <v>1.6</v>
      </c>
      <c r="Q141" s="187">
        <f t="shared" si="8"/>
        <v>1.55</v>
      </c>
      <c r="R141" s="77">
        <v>12.2</v>
      </c>
      <c r="S141" s="77">
        <v>112</v>
      </c>
      <c r="T141" s="16">
        <f t="shared" si="3"/>
        <v>33</v>
      </c>
      <c r="U141" s="77">
        <v>388</v>
      </c>
      <c r="V141" s="16">
        <f t="shared" si="7"/>
        <v>3201</v>
      </c>
      <c r="W141" s="77">
        <v>2</v>
      </c>
      <c r="X141" s="77" t="s">
        <v>35</v>
      </c>
      <c r="Y141" s="77" t="s">
        <v>43</v>
      </c>
      <c r="Z141" s="77" t="s">
        <v>76</v>
      </c>
      <c r="AA141" s="77" t="s">
        <v>47</v>
      </c>
      <c r="AB141" s="77" t="s">
        <v>195</v>
      </c>
    </row>
    <row r="142" spans="1:28" x14ac:dyDescent="0.15">
      <c r="A142" s="77" t="s">
        <v>24</v>
      </c>
      <c r="B142" s="77" t="s">
        <v>191</v>
      </c>
      <c r="C142" s="77">
        <v>2020</v>
      </c>
      <c r="D142" s="77" t="s">
        <v>386</v>
      </c>
      <c r="E142" s="77" t="s">
        <v>400</v>
      </c>
      <c r="F142" s="77" t="s">
        <v>398</v>
      </c>
      <c r="G142" s="77" t="s">
        <v>25</v>
      </c>
      <c r="H142" s="77" t="s">
        <v>164</v>
      </c>
      <c r="I142" s="77" t="s">
        <v>111</v>
      </c>
      <c r="J142" s="77" t="s">
        <v>27</v>
      </c>
      <c r="K142" s="77" t="s">
        <v>112</v>
      </c>
      <c r="L142" s="77">
        <v>3</v>
      </c>
      <c r="N142" s="77">
        <v>4</v>
      </c>
      <c r="O142" s="77">
        <v>1.25</v>
      </c>
      <c r="P142" s="77">
        <v>1.25</v>
      </c>
      <c r="Q142" s="187">
        <f t="shared" si="8"/>
        <v>1.25</v>
      </c>
      <c r="R142" s="77">
        <v>12.1</v>
      </c>
      <c r="S142" s="77">
        <v>106</v>
      </c>
      <c r="T142" s="16">
        <f t="shared" si="3"/>
        <v>33</v>
      </c>
      <c r="U142" s="77">
        <v>388</v>
      </c>
      <c r="V142" s="16">
        <f t="shared" si="7"/>
        <v>3201</v>
      </c>
      <c r="W142" s="77">
        <v>2</v>
      </c>
      <c r="X142" s="77" t="s">
        <v>35</v>
      </c>
      <c r="Y142" s="77" t="s">
        <v>43</v>
      </c>
      <c r="Z142" s="77" t="s">
        <v>76</v>
      </c>
      <c r="AA142" s="77" t="s">
        <v>47</v>
      </c>
      <c r="AB142" s="77" t="s">
        <v>195</v>
      </c>
    </row>
    <row r="143" spans="1:28" x14ac:dyDescent="0.15">
      <c r="A143" s="77" t="s">
        <v>24</v>
      </c>
      <c r="B143" s="77" t="s">
        <v>191</v>
      </c>
      <c r="C143" s="77">
        <v>2020</v>
      </c>
      <c r="D143" s="77" t="s">
        <v>386</v>
      </c>
      <c r="E143" s="77" t="s">
        <v>223</v>
      </c>
      <c r="F143" s="77" t="s">
        <v>387</v>
      </c>
      <c r="G143" s="77" t="s">
        <v>25</v>
      </c>
      <c r="H143" s="77" t="s">
        <v>113</v>
      </c>
      <c r="I143" s="77" t="s">
        <v>111</v>
      </c>
      <c r="J143" s="77" t="s">
        <v>27</v>
      </c>
      <c r="K143" s="77" t="s">
        <v>112</v>
      </c>
      <c r="L143" s="77">
        <v>1</v>
      </c>
      <c r="N143" s="77">
        <v>1</v>
      </c>
      <c r="O143" s="77">
        <v>0.75</v>
      </c>
      <c r="P143" s="77">
        <v>0.75</v>
      </c>
      <c r="Q143" s="187">
        <f t="shared" si="8"/>
        <v>0.75</v>
      </c>
      <c r="R143" s="77">
        <v>10.9</v>
      </c>
      <c r="S143" s="77">
        <v>136</v>
      </c>
      <c r="T143" s="16">
        <f t="shared" si="3"/>
        <v>25</v>
      </c>
      <c r="U143" s="77">
        <v>93</v>
      </c>
      <c r="V143" s="16">
        <f t="shared" si="7"/>
        <v>2325</v>
      </c>
      <c r="W143" s="77">
        <v>4</v>
      </c>
      <c r="X143" s="77" t="s">
        <v>35</v>
      </c>
      <c r="Y143" s="77" t="s">
        <v>43</v>
      </c>
      <c r="Z143" s="77" t="s">
        <v>36</v>
      </c>
      <c r="AA143" s="77" t="s">
        <v>55</v>
      </c>
      <c r="AB143" s="77" t="s">
        <v>195</v>
      </c>
    </row>
    <row r="144" spans="1:28" x14ac:dyDescent="0.15">
      <c r="A144" s="77" t="s">
        <v>24</v>
      </c>
      <c r="B144" s="77" t="s">
        <v>191</v>
      </c>
      <c r="C144" s="77">
        <v>2020</v>
      </c>
      <c r="D144" s="77" t="s">
        <v>386</v>
      </c>
      <c r="E144" s="77" t="s">
        <v>223</v>
      </c>
      <c r="F144" s="77" t="s">
        <v>387</v>
      </c>
      <c r="G144" s="77" t="s">
        <v>25</v>
      </c>
      <c r="H144" s="77" t="s">
        <v>113</v>
      </c>
      <c r="I144" s="77" t="s">
        <v>111</v>
      </c>
      <c r="J144" s="77" t="s">
        <v>27</v>
      </c>
      <c r="K144" s="77" t="s">
        <v>112</v>
      </c>
      <c r="L144" s="77">
        <v>2</v>
      </c>
      <c r="N144" s="77">
        <v>1</v>
      </c>
      <c r="O144" s="77">
        <v>0.8</v>
      </c>
      <c r="P144" s="77">
        <v>1</v>
      </c>
      <c r="Q144" s="187">
        <f t="shared" si="8"/>
        <v>0.9</v>
      </c>
      <c r="R144" s="77">
        <v>12.2</v>
      </c>
      <c r="S144" s="77">
        <v>138</v>
      </c>
      <c r="T144" s="16">
        <f t="shared" si="3"/>
        <v>22</v>
      </c>
      <c r="U144" s="77">
        <v>93</v>
      </c>
      <c r="V144" s="16">
        <f t="shared" si="7"/>
        <v>2046</v>
      </c>
      <c r="W144" s="77">
        <v>4</v>
      </c>
      <c r="X144" s="77" t="s">
        <v>35</v>
      </c>
      <c r="Y144" s="77" t="s">
        <v>43</v>
      </c>
      <c r="Z144" s="77" t="s">
        <v>36</v>
      </c>
      <c r="AA144" s="77" t="s">
        <v>55</v>
      </c>
      <c r="AB144" s="77" t="s">
        <v>195</v>
      </c>
    </row>
    <row r="145" spans="1:28" x14ac:dyDescent="0.15">
      <c r="A145" s="77" t="s">
        <v>24</v>
      </c>
      <c r="B145" s="77" t="s">
        <v>191</v>
      </c>
      <c r="C145" s="77">
        <v>2020</v>
      </c>
      <c r="D145" s="77" t="s">
        <v>386</v>
      </c>
      <c r="E145" s="77" t="s">
        <v>223</v>
      </c>
      <c r="F145" s="77" t="s">
        <v>387</v>
      </c>
      <c r="G145" s="77" t="s">
        <v>25</v>
      </c>
      <c r="H145" s="77" t="s">
        <v>113</v>
      </c>
      <c r="I145" s="77" t="s">
        <v>111</v>
      </c>
      <c r="J145" s="77" t="s">
        <v>27</v>
      </c>
      <c r="K145" s="77" t="s">
        <v>112</v>
      </c>
      <c r="L145" s="77">
        <v>3</v>
      </c>
      <c r="N145" s="77">
        <v>1</v>
      </c>
      <c r="O145" s="77">
        <v>0.8</v>
      </c>
      <c r="P145" s="77">
        <v>0.6</v>
      </c>
      <c r="Q145" s="187">
        <f t="shared" si="8"/>
        <v>0.7</v>
      </c>
      <c r="R145" s="77">
        <v>11.9</v>
      </c>
      <c r="S145" s="77">
        <v>145</v>
      </c>
      <c r="T145" s="16">
        <f t="shared" si="3"/>
        <v>22</v>
      </c>
      <c r="U145" s="77">
        <v>93</v>
      </c>
      <c r="V145" s="16">
        <f t="shared" si="7"/>
        <v>2046</v>
      </c>
      <c r="W145" s="77">
        <v>4</v>
      </c>
      <c r="X145" s="77" t="s">
        <v>35</v>
      </c>
      <c r="Y145" s="77" t="s">
        <v>43</v>
      </c>
      <c r="Z145" s="77" t="s">
        <v>36</v>
      </c>
      <c r="AA145" s="77" t="s">
        <v>55</v>
      </c>
      <c r="AB145" s="77" t="s">
        <v>195</v>
      </c>
    </row>
    <row r="146" spans="1:28" x14ac:dyDescent="0.15">
      <c r="A146" s="77" t="s">
        <v>24</v>
      </c>
      <c r="B146" s="77" t="s">
        <v>191</v>
      </c>
      <c r="C146" s="77">
        <v>2020</v>
      </c>
      <c r="D146" s="77" t="s">
        <v>386</v>
      </c>
      <c r="E146" s="77" t="s">
        <v>223</v>
      </c>
      <c r="F146" s="77" t="s">
        <v>387</v>
      </c>
      <c r="G146" s="77" t="s">
        <v>25</v>
      </c>
      <c r="H146" s="77" t="s">
        <v>113</v>
      </c>
      <c r="I146" s="77" t="s">
        <v>111</v>
      </c>
      <c r="J146" s="77" t="s">
        <v>27</v>
      </c>
      <c r="K146" s="77" t="s">
        <v>112</v>
      </c>
      <c r="L146" s="77">
        <v>1</v>
      </c>
      <c r="N146" s="77">
        <v>4</v>
      </c>
      <c r="O146" s="77">
        <v>0.5</v>
      </c>
      <c r="P146" s="77">
        <v>0.5</v>
      </c>
      <c r="Q146" s="187">
        <f t="shared" si="8"/>
        <v>0.5</v>
      </c>
      <c r="R146" s="77">
        <v>12.2</v>
      </c>
      <c r="S146" s="77">
        <v>142</v>
      </c>
      <c r="T146" s="16">
        <f t="shared" si="3"/>
        <v>22</v>
      </c>
      <c r="U146" s="77">
        <v>398</v>
      </c>
      <c r="V146" s="16">
        <f t="shared" si="7"/>
        <v>2189</v>
      </c>
      <c r="W146" s="77">
        <v>3</v>
      </c>
      <c r="X146" s="77" t="s">
        <v>35</v>
      </c>
      <c r="Y146" s="77" t="s">
        <v>43</v>
      </c>
      <c r="Z146" s="77" t="s">
        <v>36</v>
      </c>
      <c r="AA146" s="77" t="s">
        <v>55</v>
      </c>
      <c r="AB146" s="77" t="s">
        <v>195</v>
      </c>
    </row>
    <row r="147" spans="1:28" x14ac:dyDescent="0.15">
      <c r="A147" s="77" t="s">
        <v>24</v>
      </c>
      <c r="B147" s="77" t="s">
        <v>191</v>
      </c>
      <c r="C147" s="77">
        <v>2020</v>
      </c>
      <c r="D147" s="77" t="s">
        <v>386</v>
      </c>
      <c r="E147" s="77" t="s">
        <v>223</v>
      </c>
      <c r="F147" s="77" t="s">
        <v>387</v>
      </c>
      <c r="G147" s="77" t="s">
        <v>25</v>
      </c>
      <c r="H147" s="77" t="s">
        <v>113</v>
      </c>
      <c r="I147" s="77" t="s">
        <v>111</v>
      </c>
      <c r="J147" s="77" t="s">
        <v>27</v>
      </c>
      <c r="K147" s="77" t="s">
        <v>112</v>
      </c>
      <c r="L147" s="77">
        <v>2</v>
      </c>
      <c r="N147" s="77">
        <v>4</v>
      </c>
      <c r="O147" s="77">
        <v>0.75</v>
      </c>
      <c r="P147" s="77">
        <v>0.8</v>
      </c>
      <c r="Q147" s="187">
        <f t="shared" si="8"/>
        <v>0.77500000000000002</v>
      </c>
      <c r="R147" s="77">
        <v>11.8</v>
      </c>
      <c r="S147" s="77">
        <v>135</v>
      </c>
      <c r="T147" s="16">
        <f t="shared" si="3"/>
        <v>25</v>
      </c>
      <c r="U147" s="77">
        <v>398</v>
      </c>
      <c r="V147" s="16">
        <f t="shared" si="7"/>
        <v>2487.5</v>
      </c>
      <c r="W147" s="77">
        <v>3</v>
      </c>
      <c r="X147" s="77" t="s">
        <v>35</v>
      </c>
      <c r="Y147" s="77" t="s">
        <v>43</v>
      </c>
      <c r="Z147" s="77" t="s">
        <v>36</v>
      </c>
      <c r="AA147" s="77" t="s">
        <v>55</v>
      </c>
      <c r="AB147" s="77" t="s">
        <v>195</v>
      </c>
    </row>
    <row r="148" spans="1:28" x14ac:dyDescent="0.15">
      <c r="A148" s="77" t="s">
        <v>24</v>
      </c>
      <c r="B148" s="77" t="s">
        <v>191</v>
      </c>
      <c r="C148" s="77">
        <v>2020</v>
      </c>
      <c r="D148" s="77" t="s">
        <v>386</v>
      </c>
      <c r="E148" s="77" t="s">
        <v>223</v>
      </c>
      <c r="F148" s="77" t="s">
        <v>387</v>
      </c>
      <c r="G148" s="77" t="s">
        <v>25</v>
      </c>
      <c r="H148" s="77" t="s">
        <v>113</v>
      </c>
      <c r="I148" s="77" t="s">
        <v>111</v>
      </c>
      <c r="J148" s="77" t="s">
        <v>27</v>
      </c>
      <c r="K148" s="77" t="s">
        <v>112</v>
      </c>
      <c r="L148" s="77">
        <v>3</v>
      </c>
      <c r="N148" s="77">
        <v>4</v>
      </c>
      <c r="O148" s="77">
        <v>1.5</v>
      </c>
      <c r="P148" s="77">
        <v>1.4</v>
      </c>
      <c r="Q148" s="187">
        <f t="shared" si="8"/>
        <v>1.45</v>
      </c>
      <c r="R148" s="77">
        <v>11.3</v>
      </c>
      <c r="S148" s="77">
        <v>127</v>
      </c>
      <c r="T148" s="16">
        <f t="shared" si="3"/>
        <v>27</v>
      </c>
      <c r="U148" s="77">
        <v>398</v>
      </c>
      <c r="V148" s="16">
        <f t="shared" si="7"/>
        <v>2686.5</v>
      </c>
      <c r="W148" s="77">
        <v>3</v>
      </c>
      <c r="X148" s="77" t="s">
        <v>35</v>
      </c>
      <c r="Y148" s="77" t="s">
        <v>43</v>
      </c>
      <c r="Z148" s="77" t="s">
        <v>36</v>
      </c>
      <c r="AA148" s="77" t="s">
        <v>55</v>
      </c>
      <c r="AB148" s="77" t="s">
        <v>195</v>
      </c>
    </row>
    <row r="149" spans="1:28" x14ac:dyDescent="0.15">
      <c r="A149" s="77" t="s">
        <v>24</v>
      </c>
      <c r="B149" s="77" t="s">
        <v>191</v>
      </c>
      <c r="C149" s="77">
        <v>2020</v>
      </c>
      <c r="D149" s="77" t="s">
        <v>386</v>
      </c>
      <c r="E149" s="77" t="s">
        <v>223</v>
      </c>
      <c r="F149" s="77" t="s">
        <v>387</v>
      </c>
      <c r="G149" s="77" t="s">
        <v>25</v>
      </c>
      <c r="H149" s="77" t="s">
        <v>113</v>
      </c>
      <c r="I149" s="77" t="s">
        <v>111</v>
      </c>
      <c r="J149" s="77" t="s">
        <v>27</v>
      </c>
      <c r="K149" s="77" t="s">
        <v>112</v>
      </c>
      <c r="L149" s="77">
        <v>1</v>
      </c>
      <c r="N149" s="77">
        <v>5</v>
      </c>
      <c r="O149" s="77">
        <v>0.8</v>
      </c>
      <c r="P149" s="77">
        <v>0.8</v>
      </c>
      <c r="Q149" s="187">
        <f t="shared" si="8"/>
        <v>0.8</v>
      </c>
      <c r="R149" s="77">
        <v>11.1</v>
      </c>
      <c r="S149" s="77">
        <v>125</v>
      </c>
      <c r="T149" s="16">
        <f t="shared" si="3"/>
        <v>27</v>
      </c>
      <c r="U149" s="77">
        <v>387</v>
      </c>
      <c r="V149" s="16">
        <f t="shared" si="7"/>
        <v>2089.8000000000002</v>
      </c>
      <c r="W149" s="77">
        <v>4</v>
      </c>
      <c r="X149" s="77" t="s">
        <v>35</v>
      </c>
      <c r="Y149" s="77" t="s">
        <v>43</v>
      </c>
      <c r="Z149" s="77" t="s">
        <v>36</v>
      </c>
      <c r="AA149" s="77" t="s">
        <v>55</v>
      </c>
      <c r="AB149" s="77" t="s">
        <v>195</v>
      </c>
    </row>
    <row r="150" spans="1:28" x14ac:dyDescent="0.15">
      <c r="A150" s="77" t="s">
        <v>24</v>
      </c>
      <c r="B150" s="77" t="s">
        <v>191</v>
      </c>
      <c r="C150" s="77">
        <v>2020</v>
      </c>
      <c r="D150" s="77" t="s">
        <v>386</v>
      </c>
      <c r="E150" s="77" t="s">
        <v>223</v>
      </c>
      <c r="F150" s="77" t="s">
        <v>387</v>
      </c>
      <c r="G150" s="77" t="s">
        <v>25</v>
      </c>
      <c r="H150" s="77" t="s">
        <v>113</v>
      </c>
      <c r="I150" s="77" t="s">
        <v>111</v>
      </c>
      <c r="J150" s="77" t="s">
        <v>27</v>
      </c>
      <c r="K150" s="77" t="s">
        <v>112</v>
      </c>
      <c r="L150" s="77">
        <v>2</v>
      </c>
      <c r="N150" s="77">
        <v>5</v>
      </c>
      <c r="O150" s="77">
        <v>1.1000000000000001</v>
      </c>
      <c r="P150" s="77">
        <v>0.8</v>
      </c>
      <c r="Q150" s="187">
        <f t="shared" si="8"/>
        <v>0.95000000000000007</v>
      </c>
      <c r="R150" s="77">
        <v>11.1</v>
      </c>
      <c r="S150" s="77">
        <v>119</v>
      </c>
      <c r="T150" s="16">
        <f t="shared" si="3"/>
        <v>30</v>
      </c>
      <c r="U150" s="77">
        <v>387</v>
      </c>
      <c r="V150" s="16">
        <f t="shared" si="7"/>
        <v>2322</v>
      </c>
      <c r="W150" s="77">
        <v>4</v>
      </c>
      <c r="X150" s="77" t="s">
        <v>35</v>
      </c>
      <c r="Y150" s="77" t="s">
        <v>43</v>
      </c>
      <c r="Z150" s="77" t="s">
        <v>36</v>
      </c>
      <c r="AA150" s="77" t="s">
        <v>55</v>
      </c>
      <c r="AB150" s="77" t="s">
        <v>195</v>
      </c>
    </row>
    <row r="151" spans="1:28" x14ac:dyDescent="0.15">
      <c r="A151" s="77" t="s">
        <v>24</v>
      </c>
      <c r="B151" s="77" t="s">
        <v>191</v>
      </c>
      <c r="C151" s="77">
        <v>2020</v>
      </c>
      <c r="D151" s="77" t="s">
        <v>386</v>
      </c>
      <c r="E151" s="77" t="s">
        <v>223</v>
      </c>
      <c r="F151" s="77" t="s">
        <v>387</v>
      </c>
      <c r="G151" s="77" t="s">
        <v>25</v>
      </c>
      <c r="H151" s="77" t="s">
        <v>113</v>
      </c>
      <c r="I151" s="77" t="s">
        <v>111</v>
      </c>
      <c r="J151" s="77" t="s">
        <v>27</v>
      </c>
      <c r="K151" s="77" t="s">
        <v>112</v>
      </c>
      <c r="L151" s="77">
        <v>3</v>
      </c>
      <c r="N151" s="77">
        <v>5</v>
      </c>
      <c r="O151" s="77">
        <v>0.8</v>
      </c>
      <c r="P151" s="77">
        <v>0.75</v>
      </c>
      <c r="Q151" s="187">
        <f t="shared" si="8"/>
        <v>0.77500000000000002</v>
      </c>
      <c r="R151" s="77">
        <v>11.1</v>
      </c>
      <c r="S151" s="77">
        <v>119</v>
      </c>
      <c r="T151" s="16">
        <f t="shared" si="3"/>
        <v>30</v>
      </c>
      <c r="U151" s="77">
        <v>387</v>
      </c>
      <c r="V151" s="16">
        <f t="shared" si="7"/>
        <v>2322</v>
      </c>
      <c r="W151" s="77">
        <v>4</v>
      </c>
      <c r="X151" s="77" t="s">
        <v>35</v>
      </c>
      <c r="Y151" s="77" t="s">
        <v>43</v>
      </c>
      <c r="Z151" s="77" t="s">
        <v>36</v>
      </c>
      <c r="AA151" s="77" t="s">
        <v>55</v>
      </c>
      <c r="AB151" s="77" t="s">
        <v>195</v>
      </c>
    </row>
    <row r="152" spans="1:28" x14ac:dyDescent="0.15">
      <c r="A152" s="77" t="s">
        <v>24</v>
      </c>
      <c r="B152" s="77" t="s">
        <v>191</v>
      </c>
      <c r="C152" s="77">
        <v>2020</v>
      </c>
      <c r="D152" s="77" t="s">
        <v>386</v>
      </c>
      <c r="E152" s="77" t="s">
        <v>223</v>
      </c>
      <c r="F152" s="77" t="s">
        <v>387</v>
      </c>
      <c r="G152" s="77" t="s">
        <v>25</v>
      </c>
      <c r="H152" s="77" t="s">
        <v>164</v>
      </c>
      <c r="I152" s="77" t="s">
        <v>111</v>
      </c>
      <c r="J152" s="77" t="s">
        <v>27</v>
      </c>
      <c r="K152" s="77" t="s">
        <v>112</v>
      </c>
      <c r="L152" s="77">
        <v>1</v>
      </c>
      <c r="N152" s="77">
        <v>1</v>
      </c>
      <c r="O152" s="77">
        <v>1.2</v>
      </c>
      <c r="P152" s="77">
        <v>1.25</v>
      </c>
      <c r="Q152" s="187">
        <f t="shared" si="8"/>
        <v>1.2250000000000001</v>
      </c>
      <c r="R152" s="77">
        <v>12.5</v>
      </c>
      <c r="S152" s="77">
        <v>127</v>
      </c>
      <c r="T152" s="16">
        <f t="shared" si="3"/>
        <v>27</v>
      </c>
      <c r="U152" s="77">
        <v>93</v>
      </c>
      <c r="V152" s="16">
        <f t="shared" si="7"/>
        <v>2511</v>
      </c>
      <c r="W152" s="77">
        <v>8</v>
      </c>
      <c r="X152" s="77" t="s">
        <v>35</v>
      </c>
      <c r="Y152" s="77" t="s">
        <v>43</v>
      </c>
      <c r="Z152" s="77" t="s">
        <v>36</v>
      </c>
      <c r="AA152" s="77" t="s">
        <v>55</v>
      </c>
      <c r="AB152" s="77" t="s">
        <v>195</v>
      </c>
    </row>
    <row r="153" spans="1:28" x14ac:dyDescent="0.15">
      <c r="A153" s="77" t="s">
        <v>24</v>
      </c>
      <c r="B153" s="77" t="s">
        <v>191</v>
      </c>
      <c r="C153" s="77">
        <v>2020</v>
      </c>
      <c r="D153" s="77" t="s">
        <v>386</v>
      </c>
      <c r="E153" s="77" t="s">
        <v>223</v>
      </c>
      <c r="F153" s="77" t="s">
        <v>387</v>
      </c>
      <c r="G153" s="77" t="s">
        <v>25</v>
      </c>
      <c r="H153" s="77" t="s">
        <v>164</v>
      </c>
      <c r="I153" s="77" t="s">
        <v>111</v>
      </c>
      <c r="J153" s="77" t="s">
        <v>27</v>
      </c>
      <c r="K153" s="77" t="s">
        <v>112</v>
      </c>
      <c r="L153" s="77">
        <v>2</v>
      </c>
      <c r="N153" s="77">
        <v>1</v>
      </c>
      <c r="O153" s="77">
        <v>1.2</v>
      </c>
      <c r="P153" s="77">
        <v>1.1000000000000001</v>
      </c>
      <c r="Q153" s="187">
        <f t="shared" si="8"/>
        <v>1.1499999999999999</v>
      </c>
      <c r="R153" s="77">
        <v>16.600000000000001</v>
      </c>
      <c r="S153" s="77">
        <v>130</v>
      </c>
      <c r="T153" s="16">
        <f t="shared" si="3"/>
        <v>25</v>
      </c>
      <c r="U153" s="77">
        <v>93</v>
      </c>
      <c r="V153" s="16">
        <f t="shared" si="7"/>
        <v>2325</v>
      </c>
      <c r="W153" s="77">
        <v>8</v>
      </c>
      <c r="X153" s="77" t="s">
        <v>35</v>
      </c>
      <c r="Y153" s="77" t="s">
        <v>43</v>
      </c>
      <c r="Z153" s="77" t="s">
        <v>36</v>
      </c>
      <c r="AA153" s="77" t="s">
        <v>55</v>
      </c>
      <c r="AB153" s="77" t="s">
        <v>195</v>
      </c>
    </row>
    <row r="154" spans="1:28" x14ac:dyDescent="0.15">
      <c r="A154" s="77" t="s">
        <v>24</v>
      </c>
      <c r="B154" s="77" t="s">
        <v>191</v>
      </c>
      <c r="C154" s="77">
        <v>2020</v>
      </c>
      <c r="D154" s="77" t="s">
        <v>386</v>
      </c>
      <c r="E154" s="77" t="s">
        <v>223</v>
      </c>
      <c r="F154" s="77" t="s">
        <v>387</v>
      </c>
      <c r="G154" s="77" t="s">
        <v>25</v>
      </c>
      <c r="H154" s="77" t="s">
        <v>164</v>
      </c>
      <c r="I154" s="77" t="s">
        <v>111</v>
      </c>
      <c r="J154" s="77" t="s">
        <v>27</v>
      </c>
      <c r="K154" s="77" t="s">
        <v>112</v>
      </c>
      <c r="L154" s="77">
        <v>3</v>
      </c>
      <c r="N154" s="77">
        <v>1</v>
      </c>
      <c r="O154" s="77">
        <v>1</v>
      </c>
      <c r="P154" s="77">
        <v>0.8</v>
      </c>
      <c r="Q154" s="187">
        <f t="shared" si="8"/>
        <v>0.9</v>
      </c>
      <c r="R154" s="77">
        <v>13.1</v>
      </c>
      <c r="S154" s="77">
        <v>130</v>
      </c>
      <c r="T154" s="16">
        <f t="shared" si="3"/>
        <v>25</v>
      </c>
      <c r="U154" s="77">
        <v>93</v>
      </c>
      <c r="V154" s="16">
        <f t="shared" si="7"/>
        <v>2325</v>
      </c>
      <c r="W154" s="77">
        <v>8</v>
      </c>
      <c r="X154" s="77" t="s">
        <v>35</v>
      </c>
      <c r="Y154" s="77" t="s">
        <v>43</v>
      </c>
      <c r="Z154" s="77" t="s">
        <v>36</v>
      </c>
      <c r="AA154" s="77" t="s">
        <v>55</v>
      </c>
      <c r="AB154" s="77" t="s">
        <v>195</v>
      </c>
    </row>
    <row r="155" spans="1:28" x14ac:dyDescent="0.15">
      <c r="A155" s="77" t="s">
        <v>24</v>
      </c>
      <c r="B155" s="77" t="s">
        <v>191</v>
      </c>
      <c r="C155" s="77">
        <v>2020</v>
      </c>
      <c r="D155" s="77" t="s">
        <v>386</v>
      </c>
      <c r="E155" s="77" t="s">
        <v>223</v>
      </c>
      <c r="F155" s="77" t="s">
        <v>387</v>
      </c>
      <c r="G155" s="77" t="s">
        <v>25</v>
      </c>
      <c r="H155" s="77" t="s">
        <v>164</v>
      </c>
      <c r="I155" s="77" t="s">
        <v>111</v>
      </c>
      <c r="J155" s="77" t="s">
        <v>27</v>
      </c>
      <c r="K155" s="77" t="s">
        <v>112</v>
      </c>
      <c r="L155" s="77">
        <v>1</v>
      </c>
      <c r="N155" s="77">
        <v>4</v>
      </c>
      <c r="O155" s="77">
        <v>1</v>
      </c>
      <c r="P155" s="77">
        <v>1.2</v>
      </c>
      <c r="Q155" s="187">
        <f t="shared" si="8"/>
        <v>1.1000000000000001</v>
      </c>
      <c r="R155" s="77">
        <v>17.8</v>
      </c>
      <c r="S155" s="77">
        <v>133</v>
      </c>
      <c r="T155" s="16">
        <f t="shared" si="3"/>
        <v>25</v>
      </c>
      <c r="U155" s="77">
        <v>398</v>
      </c>
      <c r="V155" s="16">
        <f t="shared" si="7"/>
        <v>2487.5</v>
      </c>
      <c r="W155" s="77">
        <v>6</v>
      </c>
      <c r="X155" s="77" t="s">
        <v>35</v>
      </c>
      <c r="Y155" s="77" t="s">
        <v>43</v>
      </c>
      <c r="Z155" s="77" t="s">
        <v>36</v>
      </c>
      <c r="AA155" s="77" t="s">
        <v>55</v>
      </c>
      <c r="AB155" s="77" t="s">
        <v>195</v>
      </c>
    </row>
    <row r="156" spans="1:28" x14ac:dyDescent="0.15">
      <c r="A156" s="77" t="s">
        <v>24</v>
      </c>
      <c r="B156" s="77" t="s">
        <v>191</v>
      </c>
      <c r="C156" s="77">
        <v>2020</v>
      </c>
      <c r="D156" s="77" t="s">
        <v>386</v>
      </c>
      <c r="E156" s="77" t="s">
        <v>223</v>
      </c>
      <c r="F156" s="77" t="s">
        <v>387</v>
      </c>
      <c r="G156" s="77" t="s">
        <v>25</v>
      </c>
      <c r="H156" s="77" t="s">
        <v>164</v>
      </c>
      <c r="I156" s="77" t="s">
        <v>111</v>
      </c>
      <c r="J156" s="77" t="s">
        <v>27</v>
      </c>
      <c r="K156" s="77" t="s">
        <v>112</v>
      </c>
      <c r="L156" s="77">
        <v>2</v>
      </c>
      <c r="N156" s="77">
        <v>4</v>
      </c>
      <c r="O156" s="77">
        <v>1.5</v>
      </c>
      <c r="P156" s="77">
        <v>1.2</v>
      </c>
      <c r="Q156" s="187">
        <f t="shared" si="8"/>
        <v>1.35</v>
      </c>
      <c r="R156" s="77">
        <v>17.899999999999999</v>
      </c>
      <c r="S156" s="77">
        <v>131</v>
      </c>
      <c r="T156" s="16">
        <f t="shared" si="3"/>
        <v>25</v>
      </c>
      <c r="U156" s="77">
        <v>398</v>
      </c>
      <c r="V156" s="16">
        <f t="shared" si="7"/>
        <v>2487.5</v>
      </c>
      <c r="W156" s="77">
        <v>6</v>
      </c>
      <c r="X156" s="77" t="s">
        <v>35</v>
      </c>
      <c r="Y156" s="77" t="s">
        <v>43</v>
      </c>
      <c r="Z156" s="77" t="s">
        <v>36</v>
      </c>
      <c r="AA156" s="77" t="s">
        <v>55</v>
      </c>
      <c r="AB156" s="77" t="s">
        <v>195</v>
      </c>
    </row>
    <row r="157" spans="1:28" x14ac:dyDescent="0.15">
      <c r="A157" s="77" t="s">
        <v>24</v>
      </c>
      <c r="B157" s="77" t="s">
        <v>191</v>
      </c>
      <c r="C157" s="77">
        <v>2020</v>
      </c>
      <c r="D157" s="77" t="s">
        <v>386</v>
      </c>
      <c r="E157" s="77" t="s">
        <v>223</v>
      </c>
      <c r="F157" s="77" t="s">
        <v>387</v>
      </c>
      <c r="G157" s="77" t="s">
        <v>25</v>
      </c>
      <c r="H157" s="77" t="s">
        <v>164</v>
      </c>
      <c r="I157" s="77" t="s">
        <v>111</v>
      </c>
      <c r="J157" s="77" t="s">
        <v>27</v>
      </c>
      <c r="K157" s="77" t="s">
        <v>112</v>
      </c>
      <c r="L157" s="77">
        <v>3</v>
      </c>
      <c r="N157" s="77">
        <v>4</v>
      </c>
      <c r="O157" s="77">
        <v>1.2</v>
      </c>
      <c r="P157" s="77">
        <v>1.1000000000000001</v>
      </c>
      <c r="Q157" s="187">
        <f t="shared" si="8"/>
        <v>1.1499999999999999</v>
      </c>
      <c r="R157" s="77">
        <v>20.3</v>
      </c>
      <c r="S157" s="77">
        <v>136</v>
      </c>
      <c r="T157" s="16">
        <f t="shared" si="3"/>
        <v>25</v>
      </c>
      <c r="U157" s="77">
        <v>398</v>
      </c>
      <c r="V157" s="16">
        <f t="shared" si="7"/>
        <v>2487.5</v>
      </c>
      <c r="W157" s="77">
        <v>6</v>
      </c>
      <c r="X157" s="77" t="s">
        <v>35</v>
      </c>
      <c r="Y157" s="77" t="s">
        <v>43</v>
      </c>
      <c r="Z157" s="77" t="s">
        <v>36</v>
      </c>
      <c r="AA157" s="77" t="s">
        <v>55</v>
      </c>
      <c r="AB157" s="77" t="s">
        <v>195</v>
      </c>
    </row>
    <row r="158" spans="1:28" x14ac:dyDescent="0.15">
      <c r="A158" s="77" t="s">
        <v>24</v>
      </c>
      <c r="B158" s="77" t="s">
        <v>191</v>
      </c>
      <c r="C158" s="77">
        <v>2020</v>
      </c>
      <c r="D158" s="77" t="s">
        <v>386</v>
      </c>
      <c r="E158" s="77" t="s">
        <v>223</v>
      </c>
      <c r="F158" s="77" t="s">
        <v>387</v>
      </c>
      <c r="G158" s="77" t="s">
        <v>25</v>
      </c>
      <c r="H158" s="77" t="s">
        <v>164</v>
      </c>
      <c r="I158" s="77" t="s">
        <v>111</v>
      </c>
      <c r="J158" s="77" t="s">
        <v>27</v>
      </c>
      <c r="K158" s="77" t="s">
        <v>112</v>
      </c>
      <c r="L158" s="77">
        <v>1</v>
      </c>
      <c r="N158" s="77">
        <v>8</v>
      </c>
      <c r="O158" s="77">
        <v>0.7</v>
      </c>
      <c r="P158" s="77">
        <v>0.7</v>
      </c>
      <c r="Q158" s="187">
        <f t="shared" si="8"/>
        <v>0.7</v>
      </c>
      <c r="R158" s="77">
        <v>17.100000000000001</v>
      </c>
      <c r="S158" s="77">
        <v>107</v>
      </c>
      <c r="T158" s="16">
        <f t="shared" si="3"/>
        <v>33</v>
      </c>
      <c r="U158" s="77">
        <v>598</v>
      </c>
      <c r="V158" s="16">
        <f t="shared" si="7"/>
        <v>2466.75</v>
      </c>
      <c r="W158" s="77">
        <v>6</v>
      </c>
      <c r="X158" s="77" t="s">
        <v>35</v>
      </c>
      <c r="Y158" s="77" t="s">
        <v>43</v>
      </c>
      <c r="Z158" s="77" t="s">
        <v>36</v>
      </c>
      <c r="AA158" s="77" t="s">
        <v>55</v>
      </c>
      <c r="AB158" s="77" t="s">
        <v>195</v>
      </c>
    </row>
    <row r="159" spans="1:28" x14ac:dyDescent="0.15">
      <c r="A159" s="77" t="s">
        <v>24</v>
      </c>
      <c r="B159" s="77" t="s">
        <v>191</v>
      </c>
      <c r="C159" s="77">
        <v>2020</v>
      </c>
      <c r="D159" s="77" t="s">
        <v>386</v>
      </c>
      <c r="E159" s="77" t="s">
        <v>223</v>
      </c>
      <c r="F159" s="77" t="s">
        <v>387</v>
      </c>
      <c r="G159" s="77" t="s">
        <v>25</v>
      </c>
      <c r="H159" s="77" t="s">
        <v>164</v>
      </c>
      <c r="I159" s="77" t="s">
        <v>111</v>
      </c>
      <c r="J159" s="77" t="s">
        <v>27</v>
      </c>
      <c r="K159" s="77" t="s">
        <v>112</v>
      </c>
      <c r="L159" s="77">
        <v>2</v>
      </c>
      <c r="N159" s="77">
        <v>8</v>
      </c>
      <c r="O159" s="77">
        <v>0.7</v>
      </c>
      <c r="P159" s="77">
        <v>0.7</v>
      </c>
      <c r="Q159" s="187">
        <f t="shared" si="8"/>
        <v>0.7</v>
      </c>
      <c r="R159" s="77">
        <v>15.6</v>
      </c>
      <c r="S159" s="77">
        <v>111</v>
      </c>
      <c r="T159" s="16">
        <f t="shared" si="3"/>
        <v>33</v>
      </c>
      <c r="U159" s="77">
        <v>598</v>
      </c>
      <c r="V159" s="16">
        <f t="shared" si="7"/>
        <v>2466.75</v>
      </c>
      <c r="W159" s="77">
        <v>6</v>
      </c>
      <c r="X159" s="77" t="s">
        <v>35</v>
      </c>
      <c r="Y159" s="77" t="s">
        <v>43</v>
      </c>
      <c r="Z159" s="77" t="s">
        <v>36</v>
      </c>
      <c r="AA159" s="77" t="s">
        <v>55</v>
      </c>
      <c r="AB159" s="77" t="s">
        <v>195</v>
      </c>
    </row>
    <row r="160" spans="1:28" x14ac:dyDescent="0.15">
      <c r="A160" s="77" t="s">
        <v>24</v>
      </c>
      <c r="B160" s="77" t="s">
        <v>191</v>
      </c>
      <c r="C160" s="77">
        <v>2020</v>
      </c>
      <c r="D160" s="77" t="s">
        <v>386</v>
      </c>
      <c r="E160" s="77" t="s">
        <v>223</v>
      </c>
      <c r="F160" s="77" t="s">
        <v>387</v>
      </c>
      <c r="G160" s="77" t="s">
        <v>25</v>
      </c>
      <c r="H160" s="77" t="s">
        <v>164</v>
      </c>
      <c r="I160" s="77" t="s">
        <v>111</v>
      </c>
      <c r="J160" s="77" t="s">
        <v>27</v>
      </c>
      <c r="K160" s="77" t="s">
        <v>112</v>
      </c>
      <c r="L160" s="77">
        <v>3</v>
      </c>
      <c r="N160" s="77">
        <v>8</v>
      </c>
      <c r="O160" s="77">
        <v>0.75</v>
      </c>
      <c r="P160" s="77">
        <v>0.8</v>
      </c>
      <c r="Q160" s="187">
        <f t="shared" si="8"/>
        <v>0.77500000000000002</v>
      </c>
      <c r="R160" s="77">
        <v>13.8</v>
      </c>
      <c r="S160" s="77">
        <v>114</v>
      </c>
      <c r="T160" s="16">
        <f t="shared" si="3"/>
        <v>30</v>
      </c>
      <c r="U160" s="77">
        <v>598</v>
      </c>
      <c r="V160" s="16">
        <f t="shared" si="7"/>
        <v>2242.5</v>
      </c>
      <c r="W160" s="77">
        <v>6</v>
      </c>
      <c r="X160" s="77" t="s">
        <v>35</v>
      </c>
      <c r="Y160" s="77" t="s">
        <v>43</v>
      </c>
      <c r="Z160" s="77" t="s">
        <v>36</v>
      </c>
      <c r="AA160" s="77" t="s">
        <v>55</v>
      </c>
      <c r="AB160" s="77" t="s">
        <v>195</v>
      </c>
    </row>
  </sheetData>
  <autoFilter ref="A1:BA160" xr:uid="{00000000-0009-0000-0000-000000000000}"/>
  <phoneticPr fontId="3"/>
  <dataValidations count="18">
    <dataValidation type="list" allowBlank="1" showInputMessage="1" showErrorMessage="1" sqref="F158:F1048576 F1:F148" xr:uid="{757DE30E-8B3F-44A9-BA41-F4FE689E69A1}">
      <formula1>$AH$2:$AH$11</formula1>
    </dataValidation>
    <dataValidation type="list" allowBlank="1" showInputMessage="1" showErrorMessage="1" sqref="K2:K1000" xr:uid="{913F3160-3E74-4659-8FC0-5BAE8AB4DBF6}">
      <formula1>$AR$2:$AR$28</formula1>
    </dataValidation>
    <dataValidation type="list" allowBlank="1" showInputMessage="1" showErrorMessage="1" sqref="J2:J1000" xr:uid="{F4086684-5FC3-4DA4-9A13-757268C307DF}">
      <formula1>$AP$2:$AP$29</formula1>
    </dataValidation>
    <dataValidation type="list" allowBlank="1" showInputMessage="1" showErrorMessage="1" sqref="H2:H1184" xr:uid="{7CFAFEA0-6C7E-4CD7-902A-ED4F993C7349}">
      <formula1>$AL$2:$AL$9</formula1>
    </dataValidation>
    <dataValidation type="decimal" allowBlank="1" showInputMessage="1" showErrorMessage="1" error="硬度を正しく入力して下さい。" sqref="O2:P497" xr:uid="{8C96C8A9-A2EF-41F5-A635-0FDF47E8DCB6}">
      <formula1>0</formula1>
      <formula2>7</formula2>
    </dataValidation>
    <dataValidation type="list" allowBlank="1" showInputMessage="1" showErrorMessage="1" sqref="Y2:AA497" xr:uid="{14A49B74-BAC4-4496-9A68-D1A8D42F66D0}">
      <formula1>$AV$2:$AV$21</formula1>
    </dataValidation>
    <dataValidation type="list" allowBlank="1" showInputMessage="1" showErrorMessage="1" sqref="A3:A497" xr:uid="{50026EEA-CF8C-4D74-88B7-989404E7B3B7}">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20A58885-FF07-4DA6-964D-85D9A5B3F7A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441C6B5-FD0B-4B11-89E0-A0DFDF876D92}">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C8448945-0C58-49E4-8E6A-C72A92DA6E1B}">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CF6F52DA-BA9B-4D8A-BDFE-16B278C6C30A}">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280BB27D-ABF8-4076-8B76-102F2BBC0DFF}">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E337AE74-C833-4819-9D8E-44BA0ADB532E}">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C7F348C2-8E19-4560-A03F-D57A11C611D4}">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CFC76910-02DF-48AB-B7A6-2C32C893FAC7}">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6A02622D-D22E-43E6-B582-248CF3176E0A}">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EF691B31-1CA7-4762-909F-9B2F99DB788A}"/>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432D3DEB-DD9F-4D3D-8052-7B577783A301}">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75C6-7526-46D9-9D16-1DC625798F93}">
  <dimension ref="A1:BA163"/>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95"/>
    <col min="4" max="4" width="11" style="195" customWidth="1"/>
    <col min="5" max="5" width="10.875" style="195" customWidth="1"/>
    <col min="6" max="16" width="9" style="195"/>
    <col min="17" max="17" width="9" style="205"/>
    <col min="18" max="18" width="9" style="195"/>
    <col min="19" max="19" width="11.625" style="195" customWidth="1"/>
    <col min="20" max="20" width="9" style="205"/>
    <col min="21" max="21" width="9" style="195"/>
    <col min="22" max="22" width="9" style="205"/>
    <col min="23" max="32" width="9" style="195"/>
    <col min="33" max="33" width="14.375" style="195" customWidth="1"/>
    <col min="34" max="34" width="11.375" style="195" customWidth="1"/>
    <col min="35" max="16384" width="9" style="195"/>
  </cols>
  <sheetData>
    <row r="1" spans="1:53" ht="45" x14ac:dyDescent="0.15">
      <c r="A1" s="188" t="s">
        <v>0</v>
      </c>
      <c r="B1" s="189" t="s">
        <v>175</v>
      </c>
      <c r="C1" s="189" t="s">
        <v>176</v>
      </c>
      <c r="D1" s="190" t="s">
        <v>2</v>
      </c>
      <c r="E1" s="191" t="s">
        <v>3</v>
      </c>
      <c r="F1" s="191" t="s">
        <v>4</v>
      </c>
      <c r="G1" s="191" t="s">
        <v>5</v>
      </c>
      <c r="H1" s="191" t="s">
        <v>6</v>
      </c>
      <c r="I1" s="191" t="s">
        <v>7</v>
      </c>
      <c r="J1" s="191" t="s">
        <v>8</v>
      </c>
      <c r="K1" s="191" t="s">
        <v>9</v>
      </c>
      <c r="L1" s="190" t="s">
        <v>177</v>
      </c>
      <c r="M1" s="190" t="s">
        <v>178</v>
      </c>
      <c r="N1" s="190" t="s">
        <v>11</v>
      </c>
      <c r="O1" s="190" t="s">
        <v>179</v>
      </c>
      <c r="P1" s="190" t="s">
        <v>180</v>
      </c>
      <c r="Q1" s="192" t="s">
        <v>181</v>
      </c>
      <c r="R1" s="190" t="s">
        <v>182</v>
      </c>
      <c r="S1" s="190" t="s">
        <v>421</v>
      </c>
      <c r="T1" s="192" t="s">
        <v>13</v>
      </c>
      <c r="U1" s="190" t="s">
        <v>92</v>
      </c>
      <c r="V1" s="193" t="s">
        <v>14</v>
      </c>
      <c r="W1" s="190" t="s">
        <v>184</v>
      </c>
      <c r="X1" s="191" t="s">
        <v>16</v>
      </c>
      <c r="Y1" s="191" t="s">
        <v>17</v>
      </c>
      <c r="Z1" s="191" t="s">
        <v>18</v>
      </c>
      <c r="AA1" s="191" t="s">
        <v>19</v>
      </c>
      <c r="AB1" s="194" t="s">
        <v>185</v>
      </c>
      <c r="AE1" s="196" t="s">
        <v>0</v>
      </c>
      <c r="AF1" s="197"/>
      <c r="AG1" s="196" t="s">
        <v>3</v>
      </c>
      <c r="AH1" s="196" t="s">
        <v>4</v>
      </c>
      <c r="AI1" s="197"/>
      <c r="AJ1" s="196" t="s">
        <v>5</v>
      </c>
      <c r="AK1" s="197"/>
      <c r="AL1" s="198" t="s">
        <v>6</v>
      </c>
      <c r="AM1" s="197"/>
      <c r="AN1" s="198" t="s">
        <v>7</v>
      </c>
      <c r="AO1" s="197"/>
      <c r="AP1" s="198" t="s">
        <v>20</v>
      </c>
      <c r="AQ1" s="197"/>
      <c r="AR1" s="198" t="s">
        <v>9</v>
      </c>
      <c r="AS1" s="197"/>
      <c r="AT1" s="199" t="s">
        <v>186</v>
      </c>
      <c r="AU1" s="197"/>
      <c r="AV1" s="198" t="s">
        <v>22</v>
      </c>
      <c r="AX1" s="200" t="s">
        <v>401</v>
      </c>
      <c r="AY1" s="201" t="s">
        <v>188</v>
      </c>
      <c r="AZ1" s="201" t="s">
        <v>402</v>
      </c>
      <c r="BA1" s="202" t="s">
        <v>190</v>
      </c>
    </row>
    <row r="2" spans="1:53" x14ac:dyDescent="0.15">
      <c r="A2" s="195" t="s">
        <v>30</v>
      </c>
      <c r="B2" s="195" t="s">
        <v>191</v>
      </c>
      <c r="C2" s="195">
        <v>2020</v>
      </c>
      <c r="D2" s="203" t="s">
        <v>403</v>
      </c>
      <c r="E2" s="195" t="s">
        <v>395</v>
      </c>
      <c r="F2" s="195" t="s">
        <v>404</v>
      </c>
      <c r="G2" s="195" t="s">
        <v>25</v>
      </c>
      <c r="H2" s="195" t="s">
        <v>165</v>
      </c>
      <c r="I2" s="195" t="s">
        <v>111</v>
      </c>
      <c r="J2" s="195" t="s">
        <v>27</v>
      </c>
      <c r="K2" s="195" t="s">
        <v>112</v>
      </c>
      <c r="L2" s="195">
        <v>1</v>
      </c>
      <c r="N2" s="195">
        <v>1</v>
      </c>
      <c r="O2" s="195">
        <v>0.3</v>
      </c>
      <c r="P2" s="195">
        <v>0.35</v>
      </c>
      <c r="Q2" s="204">
        <f t="shared" ref="Q2:Q65" si="0">IF(OR(O2="",P2=""),"",AVERAGE(O2,P2))</f>
        <v>0.32499999999999996</v>
      </c>
      <c r="R2" s="195">
        <v>13.7</v>
      </c>
      <c r="S2" s="195">
        <v>132</v>
      </c>
      <c r="T2" s="205">
        <f t="shared" ref="T2:T65" si="1">IF(H2="","",IF(OR(H2="GREEN",H2="GK"),IF(S2&gt;=$AX$2,VLOOKUP(S2,$AX$2:$AY$10,2,1),""),IF(S2&gt;=$AZ$2,VLOOKUP(S2,$AZ$2:$BA$10,2,1),"")))</f>
        <v>25</v>
      </c>
      <c r="U2" s="195">
        <v>78</v>
      </c>
      <c r="V2" s="205">
        <f t="shared" ref="V2:V65" si="2">IF(OR(N2="",U2="",T2=""),"",U2/N2*T2)</f>
        <v>1950</v>
      </c>
      <c r="W2" s="195">
        <v>6</v>
      </c>
      <c r="X2" s="195" t="s">
        <v>35</v>
      </c>
      <c r="Y2" s="195" t="s">
        <v>43</v>
      </c>
      <c r="Z2" s="195" t="s">
        <v>55</v>
      </c>
      <c r="AA2" s="195" t="s">
        <v>36</v>
      </c>
      <c r="AB2" s="195" t="s">
        <v>195</v>
      </c>
      <c r="AE2" s="206" t="s">
        <v>24</v>
      </c>
      <c r="AG2" s="207" t="s">
        <v>395</v>
      </c>
      <c r="AH2" s="208" t="s">
        <v>404</v>
      </c>
      <c r="AJ2" s="209" t="s">
        <v>25</v>
      </c>
      <c r="AL2" s="210" t="s">
        <v>198</v>
      </c>
      <c r="AN2" s="209" t="s">
        <v>26</v>
      </c>
      <c r="AP2" s="209" t="s">
        <v>27</v>
      </c>
      <c r="AR2" s="209" t="s">
        <v>112</v>
      </c>
      <c r="AT2" s="209" t="s">
        <v>28</v>
      </c>
      <c r="AV2" s="209" t="s">
        <v>29</v>
      </c>
      <c r="AX2" s="211">
        <v>1</v>
      </c>
      <c r="AY2" s="212">
        <v>50</v>
      </c>
      <c r="AZ2" s="212">
        <v>1</v>
      </c>
      <c r="BA2" s="213">
        <v>50</v>
      </c>
    </row>
    <row r="3" spans="1:53" x14ac:dyDescent="0.15">
      <c r="A3" s="195" t="s">
        <v>30</v>
      </c>
      <c r="B3" s="195" t="s">
        <v>191</v>
      </c>
      <c r="C3" s="195">
        <v>2020</v>
      </c>
      <c r="D3" s="203" t="s">
        <v>403</v>
      </c>
      <c r="E3" s="195" t="s">
        <v>395</v>
      </c>
      <c r="F3" s="195" t="s">
        <v>404</v>
      </c>
      <c r="G3" s="195" t="s">
        <v>25</v>
      </c>
      <c r="H3" s="195" t="s">
        <v>165</v>
      </c>
      <c r="I3" s="195" t="s">
        <v>111</v>
      </c>
      <c r="J3" s="195" t="s">
        <v>27</v>
      </c>
      <c r="K3" s="195" t="s">
        <v>112</v>
      </c>
      <c r="L3" s="195">
        <v>2</v>
      </c>
      <c r="N3" s="195">
        <v>1</v>
      </c>
      <c r="O3" s="195">
        <v>0.45</v>
      </c>
      <c r="P3" s="195">
        <v>0.35</v>
      </c>
      <c r="Q3" s="204">
        <f t="shared" si="0"/>
        <v>0.4</v>
      </c>
      <c r="R3" s="195">
        <v>15.9</v>
      </c>
      <c r="S3" s="195">
        <v>132</v>
      </c>
      <c r="T3" s="205">
        <f t="shared" si="1"/>
        <v>25</v>
      </c>
      <c r="U3" s="195">
        <v>78</v>
      </c>
      <c r="V3" s="205">
        <f t="shared" si="2"/>
        <v>1950</v>
      </c>
      <c r="W3" s="195">
        <v>6</v>
      </c>
      <c r="X3" s="195" t="s">
        <v>35</v>
      </c>
      <c r="Y3" s="195" t="s">
        <v>43</v>
      </c>
      <c r="Z3" s="195" t="s">
        <v>55</v>
      </c>
      <c r="AA3" s="195" t="s">
        <v>36</v>
      </c>
      <c r="AB3" s="195" t="s">
        <v>195</v>
      </c>
      <c r="AE3" s="214" t="s">
        <v>30</v>
      </c>
      <c r="AG3" s="215" t="s">
        <v>405</v>
      </c>
      <c r="AH3" s="215" t="s">
        <v>404</v>
      </c>
      <c r="AJ3" s="216" t="s">
        <v>31</v>
      </c>
      <c r="AL3" s="216" t="s">
        <v>201</v>
      </c>
      <c r="AN3" s="216" t="s">
        <v>32</v>
      </c>
      <c r="AP3" s="216" t="s">
        <v>33</v>
      </c>
      <c r="AR3" s="216" t="s">
        <v>34</v>
      </c>
      <c r="AT3" s="216" t="s">
        <v>35</v>
      </c>
      <c r="AV3" s="216" t="s">
        <v>36</v>
      </c>
      <c r="AX3" s="217">
        <v>72</v>
      </c>
      <c r="AY3" s="218">
        <v>46</v>
      </c>
      <c r="AZ3" s="218">
        <v>71</v>
      </c>
      <c r="BA3" s="219">
        <v>42</v>
      </c>
    </row>
    <row r="4" spans="1:53" x14ac:dyDescent="0.15">
      <c r="A4" s="195" t="s">
        <v>30</v>
      </c>
      <c r="B4" s="195" t="s">
        <v>191</v>
      </c>
      <c r="C4" s="195">
        <v>2020</v>
      </c>
      <c r="D4" s="203" t="s">
        <v>403</v>
      </c>
      <c r="E4" s="195" t="s">
        <v>395</v>
      </c>
      <c r="F4" s="195" t="s">
        <v>404</v>
      </c>
      <c r="G4" s="195" t="s">
        <v>25</v>
      </c>
      <c r="H4" s="195" t="s">
        <v>165</v>
      </c>
      <c r="I4" s="195" t="s">
        <v>111</v>
      </c>
      <c r="J4" s="195" t="s">
        <v>27</v>
      </c>
      <c r="K4" s="195" t="s">
        <v>418</v>
      </c>
      <c r="L4" s="195">
        <v>3</v>
      </c>
      <c r="N4" s="195">
        <v>1</v>
      </c>
      <c r="O4" s="195">
        <v>0.3</v>
      </c>
      <c r="P4" s="195">
        <v>0.45</v>
      </c>
      <c r="Q4" s="204">
        <f t="shared" si="0"/>
        <v>0.375</v>
      </c>
      <c r="R4" s="195">
        <v>15.4</v>
      </c>
      <c r="S4" s="195">
        <v>133</v>
      </c>
      <c r="T4" s="205">
        <f t="shared" si="1"/>
        <v>25</v>
      </c>
      <c r="U4" s="195">
        <v>78</v>
      </c>
      <c r="V4" s="205">
        <f t="shared" si="2"/>
        <v>1950</v>
      </c>
      <c r="W4" s="195">
        <v>6</v>
      </c>
      <c r="X4" s="195" t="s">
        <v>35</v>
      </c>
      <c r="Y4" s="195" t="s">
        <v>43</v>
      </c>
      <c r="Z4" s="195" t="s">
        <v>55</v>
      </c>
      <c r="AA4" s="195" t="s">
        <v>36</v>
      </c>
      <c r="AB4" s="195" t="s">
        <v>195</v>
      </c>
      <c r="AE4" s="214" t="s">
        <v>23</v>
      </c>
      <c r="AG4" s="215" t="s">
        <v>405</v>
      </c>
      <c r="AH4" s="215" t="s">
        <v>406</v>
      </c>
      <c r="AJ4" s="220" t="s">
        <v>37</v>
      </c>
      <c r="AL4" s="216" t="s">
        <v>204</v>
      </c>
      <c r="AN4" s="221" t="s">
        <v>205</v>
      </c>
      <c r="AP4" s="216" t="s">
        <v>206</v>
      </c>
      <c r="AR4" s="216" t="s">
        <v>207</v>
      </c>
      <c r="AT4" s="221"/>
      <c r="AV4" s="216" t="s">
        <v>39</v>
      </c>
      <c r="AX4" s="217">
        <v>75</v>
      </c>
      <c r="AY4" s="218">
        <v>42</v>
      </c>
      <c r="AZ4" s="218">
        <v>76</v>
      </c>
      <c r="BA4" s="219">
        <v>39</v>
      </c>
    </row>
    <row r="5" spans="1:53" ht="13.5" customHeight="1" x14ac:dyDescent="0.15">
      <c r="A5" s="195" t="s">
        <v>30</v>
      </c>
      <c r="B5" s="195" t="s">
        <v>191</v>
      </c>
      <c r="C5" s="195">
        <v>2020</v>
      </c>
      <c r="D5" s="203" t="s">
        <v>403</v>
      </c>
      <c r="E5" s="195" t="s">
        <v>395</v>
      </c>
      <c r="F5" s="195" t="s">
        <v>404</v>
      </c>
      <c r="G5" s="195" t="s">
        <v>25</v>
      </c>
      <c r="H5" s="195" t="s">
        <v>165</v>
      </c>
      <c r="I5" s="195" t="s">
        <v>111</v>
      </c>
      <c r="J5" s="195" t="s">
        <v>27</v>
      </c>
      <c r="K5" s="195" t="s">
        <v>112</v>
      </c>
      <c r="L5" s="195">
        <v>1</v>
      </c>
      <c r="N5" s="195">
        <v>8</v>
      </c>
      <c r="O5" s="195">
        <v>1</v>
      </c>
      <c r="P5" s="195">
        <v>0.95</v>
      </c>
      <c r="Q5" s="204">
        <f t="shared" si="0"/>
        <v>0.97499999999999998</v>
      </c>
      <c r="R5" s="195">
        <v>12.8</v>
      </c>
      <c r="S5" s="195">
        <v>95</v>
      </c>
      <c r="T5" s="205">
        <f t="shared" si="1"/>
        <v>36</v>
      </c>
      <c r="U5" s="195">
        <v>598</v>
      </c>
      <c r="V5" s="205">
        <f t="shared" si="2"/>
        <v>2691</v>
      </c>
      <c r="W5" s="195">
        <v>3</v>
      </c>
      <c r="X5" s="195" t="s">
        <v>35</v>
      </c>
      <c r="Y5" s="195" t="s">
        <v>43</v>
      </c>
      <c r="Z5" s="195" t="s">
        <v>55</v>
      </c>
      <c r="AA5" s="195" t="s">
        <v>36</v>
      </c>
      <c r="AB5" s="195" t="s">
        <v>195</v>
      </c>
      <c r="AE5" s="214" t="s">
        <v>40</v>
      </c>
      <c r="AG5" s="215" t="s">
        <v>407</v>
      </c>
      <c r="AH5" s="215" t="s">
        <v>404</v>
      </c>
      <c r="AJ5" s="221"/>
      <c r="AL5" s="216" t="s">
        <v>113</v>
      </c>
      <c r="AN5" s="222" t="s">
        <v>111</v>
      </c>
      <c r="AP5" s="216" t="s">
        <v>209</v>
      </c>
      <c r="AR5" s="216" t="s">
        <v>42</v>
      </c>
      <c r="AV5" s="216" t="s">
        <v>43</v>
      </c>
      <c r="AX5" s="217">
        <v>84</v>
      </c>
      <c r="AY5" s="218">
        <v>39</v>
      </c>
      <c r="AZ5" s="218">
        <v>84</v>
      </c>
      <c r="BA5" s="219">
        <v>36</v>
      </c>
    </row>
    <row r="6" spans="1:53" x14ac:dyDescent="0.15">
      <c r="A6" s="195" t="s">
        <v>30</v>
      </c>
      <c r="B6" s="195" t="s">
        <v>191</v>
      </c>
      <c r="C6" s="195">
        <v>2020</v>
      </c>
      <c r="D6" s="203" t="s">
        <v>403</v>
      </c>
      <c r="E6" s="195" t="s">
        <v>395</v>
      </c>
      <c r="F6" s="195" t="s">
        <v>404</v>
      </c>
      <c r="G6" s="195" t="s">
        <v>25</v>
      </c>
      <c r="H6" s="195" t="s">
        <v>165</v>
      </c>
      <c r="I6" s="195" t="s">
        <v>111</v>
      </c>
      <c r="J6" s="195" t="s">
        <v>27</v>
      </c>
      <c r="K6" s="195" t="s">
        <v>112</v>
      </c>
      <c r="L6" s="195">
        <v>2</v>
      </c>
      <c r="N6" s="195">
        <v>8</v>
      </c>
      <c r="O6" s="195">
        <v>0.9</v>
      </c>
      <c r="P6" s="195">
        <v>1.1499999999999999</v>
      </c>
      <c r="Q6" s="204">
        <f t="shared" si="0"/>
        <v>1.0249999999999999</v>
      </c>
      <c r="R6" s="195">
        <v>14.7</v>
      </c>
      <c r="S6" s="195">
        <v>94</v>
      </c>
      <c r="T6" s="205">
        <f t="shared" si="1"/>
        <v>36</v>
      </c>
      <c r="U6" s="195">
        <v>598</v>
      </c>
      <c r="V6" s="205">
        <f t="shared" si="2"/>
        <v>2691</v>
      </c>
      <c r="W6" s="195">
        <v>3</v>
      </c>
      <c r="X6" s="195" t="s">
        <v>35</v>
      </c>
      <c r="Y6" s="195" t="s">
        <v>43</v>
      </c>
      <c r="Z6" s="195" t="s">
        <v>55</v>
      </c>
      <c r="AA6" s="195" t="s">
        <v>36</v>
      </c>
      <c r="AB6" s="195" t="s">
        <v>195</v>
      </c>
      <c r="AE6" s="214" t="s">
        <v>44</v>
      </c>
      <c r="AG6" s="215" t="s">
        <v>407</v>
      </c>
      <c r="AH6" s="215" t="s">
        <v>408</v>
      </c>
      <c r="AL6" s="216" t="s">
        <v>212</v>
      </c>
      <c r="AN6" s="222" t="s">
        <v>166</v>
      </c>
      <c r="AP6" s="216" t="s">
        <v>41</v>
      </c>
      <c r="AR6" s="216" t="s">
        <v>46</v>
      </c>
      <c r="AV6" s="216" t="s">
        <v>47</v>
      </c>
      <c r="AX6" s="217">
        <v>97</v>
      </c>
      <c r="AY6" s="218">
        <v>36</v>
      </c>
      <c r="AZ6" s="218">
        <v>99</v>
      </c>
      <c r="BA6" s="219">
        <v>33</v>
      </c>
    </row>
    <row r="7" spans="1:53" x14ac:dyDescent="0.15">
      <c r="A7" s="195" t="s">
        <v>30</v>
      </c>
      <c r="B7" s="195" t="s">
        <v>191</v>
      </c>
      <c r="C7" s="195">
        <v>2020</v>
      </c>
      <c r="D7" s="203" t="s">
        <v>403</v>
      </c>
      <c r="E7" s="195" t="s">
        <v>395</v>
      </c>
      <c r="F7" s="195" t="s">
        <v>404</v>
      </c>
      <c r="G7" s="195" t="s">
        <v>25</v>
      </c>
      <c r="H7" s="195" t="s">
        <v>165</v>
      </c>
      <c r="I7" s="195" t="s">
        <v>111</v>
      </c>
      <c r="J7" s="195" t="s">
        <v>27</v>
      </c>
      <c r="K7" s="195" t="s">
        <v>112</v>
      </c>
      <c r="L7" s="195">
        <v>3</v>
      </c>
      <c r="N7" s="195">
        <v>8</v>
      </c>
      <c r="O7" s="195">
        <v>0.95</v>
      </c>
      <c r="P7" s="195">
        <v>1.05</v>
      </c>
      <c r="Q7" s="204">
        <f t="shared" si="0"/>
        <v>1</v>
      </c>
      <c r="R7" s="195">
        <v>12.5</v>
      </c>
      <c r="S7" s="195">
        <v>97</v>
      </c>
      <c r="T7" s="205">
        <f t="shared" si="1"/>
        <v>36</v>
      </c>
      <c r="U7" s="195">
        <v>598</v>
      </c>
      <c r="V7" s="205">
        <f t="shared" si="2"/>
        <v>2691</v>
      </c>
      <c r="W7" s="195">
        <v>3</v>
      </c>
      <c r="X7" s="195" t="s">
        <v>35</v>
      </c>
      <c r="Y7" s="195" t="s">
        <v>43</v>
      </c>
      <c r="Z7" s="195" t="s">
        <v>55</v>
      </c>
      <c r="AA7" s="195" t="s">
        <v>36</v>
      </c>
      <c r="AB7" s="195" t="s">
        <v>195</v>
      </c>
      <c r="AE7" s="214" t="s">
        <v>48</v>
      </c>
      <c r="AG7" s="215" t="s">
        <v>409</v>
      </c>
      <c r="AH7" s="215" t="s">
        <v>408</v>
      </c>
      <c r="AL7" s="216" t="s">
        <v>165</v>
      </c>
      <c r="AP7" s="216" t="s">
        <v>45</v>
      </c>
      <c r="AR7" s="216" t="s">
        <v>214</v>
      </c>
      <c r="AV7" s="216" t="s">
        <v>51</v>
      </c>
      <c r="AX7" s="217">
        <v>109</v>
      </c>
      <c r="AY7" s="218">
        <v>33</v>
      </c>
      <c r="AZ7" s="218">
        <v>113</v>
      </c>
      <c r="BA7" s="219">
        <v>30</v>
      </c>
    </row>
    <row r="8" spans="1:53" x14ac:dyDescent="0.15">
      <c r="A8" s="195" t="s">
        <v>30</v>
      </c>
      <c r="B8" s="195" t="s">
        <v>191</v>
      </c>
      <c r="C8" s="195">
        <v>2020</v>
      </c>
      <c r="D8" s="203" t="s">
        <v>403</v>
      </c>
      <c r="E8" s="195" t="s">
        <v>395</v>
      </c>
      <c r="F8" s="195" t="s">
        <v>404</v>
      </c>
      <c r="G8" s="195" t="s">
        <v>25</v>
      </c>
      <c r="H8" s="195" t="s">
        <v>165</v>
      </c>
      <c r="I8" s="195" t="s">
        <v>111</v>
      </c>
      <c r="J8" s="195" t="s">
        <v>27</v>
      </c>
      <c r="K8" s="195" t="s">
        <v>112</v>
      </c>
      <c r="L8" s="195">
        <v>1</v>
      </c>
      <c r="N8" s="195">
        <v>12</v>
      </c>
      <c r="O8" s="195">
        <v>0.35</v>
      </c>
      <c r="P8" s="195">
        <v>0.4</v>
      </c>
      <c r="Q8" s="204">
        <f t="shared" si="0"/>
        <v>0.375</v>
      </c>
      <c r="R8" s="195">
        <v>13.6</v>
      </c>
      <c r="S8" s="195">
        <v>100</v>
      </c>
      <c r="T8" s="223">
        <f t="shared" si="1"/>
        <v>33</v>
      </c>
      <c r="U8" s="195">
        <v>880</v>
      </c>
      <c r="V8" s="223">
        <f t="shared" si="2"/>
        <v>2420</v>
      </c>
      <c r="W8" s="195">
        <v>3</v>
      </c>
      <c r="X8" s="195" t="s">
        <v>35</v>
      </c>
      <c r="Y8" s="195" t="s">
        <v>43</v>
      </c>
      <c r="Z8" s="195" t="s">
        <v>55</v>
      </c>
      <c r="AA8" s="195" t="s">
        <v>36</v>
      </c>
      <c r="AB8" s="195" t="s">
        <v>195</v>
      </c>
      <c r="AE8" s="214" t="s">
        <v>46</v>
      </c>
      <c r="AG8" s="215" t="s">
        <v>410</v>
      </c>
      <c r="AH8" s="215" t="s">
        <v>411</v>
      </c>
      <c r="AL8" s="216" t="s">
        <v>164</v>
      </c>
      <c r="AP8" s="216" t="s">
        <v>49</v>
      </c>
      <c r="AR8" s="216" t="s">
        <v>67</v>
      </c>
      <c r="AV8" s="216" t="s">
        <v>82</v>
      </c>
      <c r="AX8" s="217">
        <v>119</v>
      </c>
      <c r="AY8" s="218">
        <v>30</v>
      </c>
      <c r="AZ8" s="218">
        <v>121</v>
      </c>
      <c r="BA8" s="219">
        <v>27</v>
      </c>
    </row>
    <row r="9" spans="1:53" x14ac:dyDescent="0.15">
      <c r="A9" s="195" t="s">
        <v>30</v>
      </c>
      <c r="B9" s="195" t="s">
        <v>191</v>
      </c>
      <c r="C9" s="195">
        <v>2020</v>
      </c>
      <c r="D9" s="203" t="s">
        <v>403</v>
      </c>
      <c r="E9" s="195" t="s">
        <v>395</v>
      </c>
      <c r="F9" s="195" t="s">
        <v>404</v>
      </c>
      <c r="G9" s="195" t="s">
        <v>25</v>
      </c>
      <c r="H9" s="195" t="s">
        <v>165</v>
      </c>
      <c r="I9" s="195" t="s">
        <v>111</v>
      </c>
      <c r="J9" s="195" t="s">
        <v>27</v>
      </c>
      <c r="K9" s="195" t="s">
        <v>112</v>
      </c>
      <c r="L9" s="195">
        <v>2</v>
      </c>
      <c r="N9" s="195">
        <v>12</v>
      </c>
      <c r="O9" s="195">
        <v>0.25</v>
      </c>
      <c r="P9" s="195">
        <v>0.3</v>
      </c>
      <c r="Q9" s="204">
        <f t="shared" si="0"/>
        <v>0.27500000000000002</v>
      </c>
      <c r="R9" s="195">
        <v>15.7</v>
      </c>
      <c r="S9" s="195">
        <v>95</v>
      </c>
      <c r="T9" s="223">
        <f t="shared" si="1"/>
        <v>36</v>
      </c>
      <c r="U9" s="195">
        <v>880</v>
      </c>
      <c r="V9" s="205">
        <f t="shared" si="2"/>
        <v>2640</v>
      </c>
      <c r="W9" s="195">
        <v>3</v>
      </c>
      <c r="X9" s="195" t="s">
        <v>35</v>
      </c>
      <c r="Y9" s="195" t="s">
        <v>43</v>
      </c>
      <c r="Z9" s="195" t="s">
        <v>55</v>
      </c>
      <c r="AA9" s="195" t="s">
        <v>36</v>
      </c>
      <c r="AB9" s="195" t="s">
        <v>195</v>
      </c>
      <c r="AE9" s="214" t="s">
        <v>217</v>
      </c>
      <c r="AG9" s="215" t="s">
        <v>412</v>
      </c>
      <c r="AH9" s="215" t="s">
        <v>413</v>
      </c>
      <c r="AL9" s="216" t="s">
        <v>219</v>
      </c>
      <c r="AP9" s="216" t="s">
        <v>80</v>
      </c>
      <c r="AR9" s="216" t="s">
        <v>220</v>
      </c>
      <c r="AV9" s="216" t="s">
        <v>86</v>
      </c>
      <c r="AX9" s="217">
        <v>128</v>
      </c>
      <c r="AY9" s="218">
        <v>27</v>
      </c>
      <c r="AZ9" s="218">
        <v>129</v>
      </c>
      <c r="BA9" s="219">
        <v>25</v>
      </c>
    </row>
    <row r="10" spans="1:53" x14ac:dyDescent="0.15">
      <c r="A10" s="195" t="s">
        <v>30</v>
      </c>
      <c r="B10" s="195" t="s">
        <v>191</v>
      </c>
      <c r="C10" s="195">
        <v>2020</v>
      </c>
      <c r="D10" s="203" t="s">
        <v>403</v>
      </c>
      <c r="E10" s="195" t="s">
        <v>395</v>
      </c>
      <c r="F10" s="195" t="s">
        <v>404</v>
      </c>
      <c r="G10" s="195" t="s">
        <v>25</v>
      </c>
      <c r="H10" s="195" t="s">
        <v>165</v>
      </c>
      <c r="I10" s="195" t="s">
        <v>111</v>
      </c>
      <c r="J10" s="195" t="s">
        <v>27</v>
      </c>
      <c r="K10" s="195" t="s">
        <v>112</v>
      </c>
      <c r="L10" s="195">
        <v>3</v>
      </c>
      <c r="N10" s="195">
        <v>12</v>
      </c>
      <c r="O10" s="195">
        <v>0.25</v>
      </c>
      <c r="P10" s="195">
        <v>0.25</v>
      </c>
      <c r="Q10" s="204">
        <f t="shared" si="0"/>
        <v>0.25</v>
      </c>
      <c r="R10" s="195">
        <v>17.5</v>
      </c>
      <c r="S10" s="195">
        <v>97</v>
      </c>
      <c r="T10" s="223">
        <f t="shared" si="1"/>
        <v>36</v>
      </c>
      <c r="U10" s="195">
        <v>880</v>
      </c>
      <c r="V10" s="205">
        <f t="shared" si="2"/>
        <v>2640</v>
      </c>
      <c r="W10" s="195">
        <v>3</v>
      </c>
      <c r="X10" s="195" t="s">
        <v>35</v>
      </c>
      <c r="Y10" s="195" t="s">
        <v>43</v>
      </c>
      <c r="Z10" s="195" t="s">
        <v>55</v>
      </c>
      <c r="AA10" s="195" t="s">
        <v>36</v>
      </c>
      <c r="AB10" s="195" t="s">
        <v>195</v>
      </c>
      <c r="AE10" s="214" t="s">
        <v>221</v>
      </c>
      <c r="AG10" s="215" t="s">
        <v>410</v>
      </c>
      <c r="AH10" s="215" t="s">
        <v>414</v>
      </c>
      <c r="AP10" s="216" t="s">
        <v>84</v>
      </c>
      <c r="AR10" s="216" t="s">
        <v>222</v>
      </c>
      <c r="AV10" s="216" t="s">
        <v>90</v>
      </c>
      <c r="AX10" s="217">
        <v>138</v>
      </c>
      <c r="AY10" s="218">
        <v>25</v>
      </c>
      <c r="AZ10" s="218">
        <v>138</v>
      </c>
      <c r="BA10" s="219">
        <v>22</v>
      </c>
    </row>
    <row r="11" spans="1:53" x14ac:dyDescent="0.15">
      <c r="A11" s="195" t="s">
        <v>30</v>
      </c>
      <c r="B11" s="195" t="s">
        <v>191</v>
      </c>
      <c r="C11" s="195">
        <v>2020</v>
      </c>
      <c r="D11" s="203" t="s">
        <v>403</v>
      </c>
      <c r="E11" s="195" t="s">
        <v>395</v>
      </c>
      <c r="F11" s="195" t="s">
        <v>404</v>
      </c>
      <c r="G11" s="195" t="s">
        <v>25</v>
      </c>
      <c r="H11" s="195" t="s">
        <v>164</v>
      </c>
      <c r="I11" s="195" t="s">
        <v>111</v>
      </c>
      <c r="J11" s="195" t="s">
        <v>27</v>
      </c>
      <c r="K11" s="195" t="s">
        <v>112</v>
      </c>
      <c r="L11" s="195">
        <v>1</v>
      </c>
      <c r="N11" s="195">
        <v>1</v>
      </c>
      <c r="O11" s="195">
        <v>0.45</v>
      </c>
      <c r="P11" s="195">
        <v>0.5</v>
      </c>
      <c r="Q11" s="204">
        <f t="shared" si="0"/>
        <v>0.47499999999999998</v>
      </c>
      <c r="R11" s="195">
        <v>16.5</v>
      </c>
      <c r="S11" s="195">
        <v>132</v>
      </c>
      <c r="T11" s="223">
        <f t="shared" si="1"/>
        <v>25</v>
      </c>
      <c r="U11" s="195">
        <v>98</v>
      </c>
      <c r="V11" s="223">
        <f t="shared" si="2"/>
        <v>2450</v>
      </c>
      <c r="W11" s="195">
        <v>6</v>
      </c>
      <c r="X11" s="195" t="s">
        <v>35</v>
      </c>
      <c r="Y11" s="195" t="s">
        <v>43</v>
      </c>
      <c r="Z11" s="195" t="s">
        <v>55</v>
      </c>
      <c r="AA11" s="195" t="s">
        <v>36</v>
      </c>
      <c r="AB11" s="195" t="s">
        <v>195</v>
      </c>
      <c r="AE11" s="214" t="s">
        <v>54</v>
      </c>
      <c r="AG11" s="215" t="s">
        <v>196</v>
      </c>
      <c r="AH11" s="215" t="s">
        <v>415</v>
      </c>
      <c r="AP11" s="216" t="s">
        <v>88</v>
      </c>
      <c r="AR11" s="216" t="s">
        <v>225</v>
      </c>
      <c r="AV11" s="216" t="s">
        <v>55</v>
      </c>
      <c r="AX11" s="217">
        <v>151</v>
      </c>
      <c r="AY11" s="218">
        <v>22</v>
      </c>
      <c r="AZ11" s="218">
        <v>152</v>
      </c>
      <c r="BA11" s="219">
        <v>18</v>
      </c>
    </row>
    <row r="12" spans="1:53" x14ac:dyDescent="0.15">
      <c r="A12" s="195" t="s">
        <v>30</v>
      </c>
      <c r="B12" s="195" t="s">
        <v>191</v>
      </c>
      <c r="C12" s="195">
        <v>2020</v>
      </c>
      <c r="D12" s="203" t="s">
        <v>403</v>
      </c>
      <c r="E12" s="195" t="s">
        <v>395</v>
      </c>
      <c r="F12" s="195" t="s">
        <v>404</v>
      </c>
      <c r="G12" s="195" t="s">
        <v>25</v>
      </c>
      <c r="H12" s="195" t="s">
        <v>164</v>
      </c>
      <c r="I12" s="195" t="s">
        <v>111</v>
      </c>
      <c r="J12" s="195" t="s">
        <v>27</v>
      </c>
      <c r="K12" s="195" t="s">
        <v>112</v>
      </c>
      <c r="L12" s="195">
        <v>2</v>
      </c>
      <c r="N12" s="195">
        <v>1</v>
      </c>
      <c r="O12" s="195">
        <v>0.7</v>
      </c>
      <c r="P12" s="195">
        <v>0.55000000000000004</v>
      </c>
      <c r="Q12" s="204">
        <f t="shared" si="0"/>
        <v>0.625</v>
      </c>
      <c r="R12" s="195">
        <v>14.7</v>
      </c>
      <c r="S12" s="195">
        <v>129</v>
      </c>
      <c r="T12" s="223">
        <f t="shared" si="1"/>
        <v>25</v>
      </c>
      <c r="U12" s="195">
        <v>98</v>
      </c>
      <c r="V12" s="205">
        <f t="shared" si="2"/>
        <v>2450</v>
      </c>
      <c r="W12" s="195">
        <v>6</v>
      </c>
      <c r="X12" s="195" t="s">
        <v>35</v>
      </c>
      <c r="Y12" s="195" t="s">
        <v>43</v>
      </c>
      <c r="Z12" s="195" t="s">
        <v>55</v>
      </c>
      <c r="AA12" s="195" t="s">
        <v>36</v>
      </c>
      <c r="AB12" s="195" t="s">
        <v>195</v>
      </c>
      <c r="AE12" s="214" t="s">
        <v>226</v>
      </c>
      <c r="AG12" s="214"/>
      <c r="AH12" s="214"/>
      <c r="AP12" s="216" t="s">
        <v>53</v>
      </c>
      <c r="AR12" s="216" t="s">
        <v>227</v>
      </c>
      <c r="AV12" s="216" t="s">
        <v>58</v>
      </c>
      <c r="AX12" s="224">
        <v>180</v>
      </c>
      <c r="AY12" s="225">
        <v>18</v>
      </c>
      <c r="AZ12" s="225">
        <v>181</v>
      </c>
      <c r="BA12" s="226">
        <v>16</v>
      </c>
    </row>
    <row r="13" spans="1:53" x14ac:dyDescent="0.15">
      <c r="A13" s="195" t="s">
        <v>30</v>
      </c>
      <c r="B13" s="195" t="s">
        <v>191</v>
      </c>
      <c r="C13" s="195">
        <v>2020</v>
      </c>
      <c r="D13" s="203" t="s">
        <v>403</v>
      </c>
      <c r="E13" s="195" t="s">
        <v>395</v>
      </c>
      <c r="F13" s="195" t="s">
        <v>404</v>
      </c>
      <c r="G13" s="195" t="s">
        <v>25</v>
      </c>
      <c r="H13" s="195" t="s">
        <v>164</v>
      </c>
      <c r="I13" s="195" t="s">
        <v>111</v>
      </c>
      <c r="J13" s="195" t="s">
        <v>27</v>
      </c>
      <c r="K13" s="195" t="s">
        <v>112</v>
      </c>
      <c r="L13" s="195">
        <v>3</v>
      </c>
      <c r="N13" s="195">
        <v>1</v>
      </c>
      <c r="O13" s="195">
        <v>0.65</v>
      </c>
      <c r="P13" s="195">
        <v>0.65</v>
      </c>
      <c r="Q13" s="204">
        <f t="shared" si="0"/>
        <v>0.65</v>
      </c>
      <c r="R13" s="195">
        <v>15.9</v>
      </c>
      <c r="S13" s="195">
        <v>134</v>
      </c>
      <c r="T13" s="223">
        <f t="shared" si="1"/>
        <v>25</v>
      </c>
      <c r="U13" s="195">
        <v>98</v>
      </c>
      <c r="V13" s="205">
        <f t="shared" si="2"/>
        <v>2450</v>
      </c>
      <c r="W13" s="195">
        <v>6</v>
      </c>
      <c r="X13" s="195" t="s">
        <v>35</v>
      </c>
      <c r="Y13" s="195" t="s">
        <v>43</v>
      </c>
      <c r="Z13" s="195" t="s">
        <v>55</v>
      </c>
      <c r="AA13" s="195" t="s">
        <v>36</v>
      </c>
      <c r="AB13" s="195" t="s">
        <v>195</v>
      </c>
      <c r="AE13" s="214" t="s">
        <v>228</v>
      </c>
      <c r="AG13" s="216"/>
      <c r="AH13" s="216"/>
      <c r="AP13" s="216" t="s">
        <v>57</v>
      </c>
      <c r="AR13" s="216" t="s">
        <v>221</v>
      </c>
      <c r="AV13" s="216" t="s">
        <v>61</v>
      </c>
    </row>
    <row r="14" spans="1:53" x14ac:dyDescent="0.15">
      <c r="A14" s="195" t="s">
        <v>30</v>
      </c>
      <c r="B14" s="195" t="s">
        <v>191</v>
      </c>
      <c r="C14" s="195">
        <v>2020</v>
      </c>
      <c r="D14" s="203" t="s">
        <v>403</v>
      </c>
      <c r="E14" s="195" t="s">
        <v>405</v>
      </c>
      <c r="F14" s="195" t="s">
        <v>404</v>
      </c>
      <c r="G14" s="195" t="s">
        <v>25</v>
      </c>
      <c r="H14" s="195" t="s">
        <v>165</v>
      </c>
      <c r="I14" s="195" t="s">
        <v>111</v>
      </c>
      <c r="J14" s="195" t="s">
        <v>27</v>
      </c>
      <c r="K14" s="195" t="s">
        <v>112</v>
      </c>
      <c r="L14" s="195">
        <v>1</v>
      </c>
      <c r="N14" s="195">
        <v>6</v>
      </c>
      <c r="O14" s="195">
        <v>0.25</v>
      </c>
      <c r="P14" s="195">
        <v>0.45</v>
      </c>
      <c r="Q14" s="204">
        <f t="shared" si="0"/>
        <v>0.35</v>
      </c>
      <c r="R14" s="195">
        <v>18.100000000000001</v>
      </c>
      <c r="S14" s="195">
        <v>114</v>
      </c>
      <c r="T14" s="223">
        <f t="shared" si="1"/>
        <v>30</v>
      </c>
      <c r="U14" s="195">
        <v>398</v>
      </c>
      <c r="V14" s="205">
        <f t="shared" si="2"/>
        <v>1989.9999999999998</v>
      </c>
      <c r="W14" s="195">
        <v>2</v>
      </c>
      <c r="X14" s="195" t="s">
        <v>35</v>
      </c>
      <c r="Y14" s="195" t="s">
        <v>43</v>
      </c>
      <c r="Z14" s="195" t="s">
        <v>55</v>
      </c>
      <c r="AA14" s="195" t="s">
        <v>72</v>
      </c>
      <c r="AB14" s="195" t="s">
        <v>195</v>
      </c>
      <c r="AE14" s="214" t="s">
        <v>81</v>
      </c>
      <c r="AG14" s="216"/>
      <c r="AH14" s="216"/>
      <c r="AP14" s="216" t="s">
        <v>60</v>
      </c>
      <c r="AR14" s="216" t="s">
        <v>229</v>
      </c>
      <c r="AV14" s="216" t="s">
        <v>64</v>
      </c>
    </row>
    <row r="15" spans="1:53" x14ac:dyDescent="0.15">
      <c r="A15" s="195" t="s">
        <v>30</v>
      </c>
      <c r="B15" s="195" t="s">
        <v>191</v>
      </c>
      <c r="C15" s="195">
        <v>2020</v>
      </c>
      <c r="D15" s="203" t="s">
        <v>403</v>
      </c>
      <c r="E15" s="195" t="s">
        <v>405</v>
      </c>
      <c r="F15" s="195" t="s">
        <v>404</v>
      </c>
      <c r="G15" s="195" t="s">
        <v>25</v>
      </c>
      <c r="H15" s="195" t="s">
        <v>165</v>
      </c>
      <c r="I15" s="195" t="s">
        <v>111</v>
      </c>
      <c r="J15" s="195" t="s">
        <v>27</v>
      </c>
      <c r="K15" s="195" t="s">
        <v>112</v>
      </c>
      <c r="L15" s="195">
        <v>2</v>
      </c>
      <c r="N15" s="195">
        <v>6</v>
      </c>
      <c r="O15" s="195">
        <v>0.3</v>
      </c>
      <c r="P15" s="195">
        <v>0.45</v>
      </c>
      <c r="Q15" s="204">
        <f t="shared" si="0"/>
        <v>0.375</v>
      </c>
      <c r="R15" s="195">
        <v>15.7</v>
      </c>
      <c r="S15" s="195">
        <v>120</v>
      </c>
      <c r="T15" s="223">
        <f t="shared" si="1"/>
        <v>30</v>
      </c>
      <c r="U15" s="195">
        <v>398</v>
      </c>
      <c r="V15" s="205">
        <f t="shared" si="2"/>
        <v>1989.9999999999998</v>
      </c>
      <c r="W15" s="195">
        <v>2</v>
      </c>
      <c r="X15" s="195" t="s">
        <v>35</v>
      </c>
      <c r="Y15" s="195" t="s">
        <v>43</v>
      </c>
      <c r="Z15" s="195" t="s">
        <v>55</v>
      </c>
      <c r="AA15" s="195" t="s">
        <v>72</v>
      </c>
      <c r="AB15" s="195" t="s">
        <v>195</v>
      </c>
      <c r="AE15" s="214" t="s">
        <v>230</v>
      </c>
      <c r="AG15" s="216"/>
      <c r="AH15" s="216"/>
      <c r="AP15" s="216" t="s">
        <v>63</v>
      </c>
      <c r="AR15" s="216" t="s">
        <v>66</v>
      </c>
      <c r="AV15" s="216" t="s">
        <v>91</v>
      </c>
    </row>
    <row r="16" spans="1:53" x14ac:dyDescent="0.15">
      <c r="A16" s="195" t="s">
        <v>30</v>
      </c>
      <c r="B16" s="195" t="s">
        <v>191</v>
      </c>
      <c r="C16" s="195">
        <v>2020</v>
      </c>
      <c r="D16" s="203" t="s">
        <v>403</v>
      </c>
      <c r="E16" s="195" t="s">
        <v>405</v>
      </c>
      <c r="F16" s="195" t="s">
        <v>404</v>
      </c>
      <c r="G16" s="195" t="s">
        <v>25</v>
      </c>
      <c r="H16" s="195" t="s">
        <v>165</v>
      </c>
      <c r="I16" s="195" t="s">
        <v>111</v>
      </c>
      <c r="J16" s="195" t="s">
        <v>27</v>
      </c>
      <c r="K16" s="195" t="s">
        <v>112</v>
      </c>
      <c r="L16" s="195">
        <v>3</v>
      </c>
      <c r="N16" s="195">
        <v>6</v>
      </c>
      <c r="O16" s="195">
        <v>0.5</v>
      </c>
      <c r="P16" s="195">
        <v>0.4</v>
      </c>
      <c r="Q16" s="204">
        <f t="shared" si="0"/>
        <v>0.45</v>
      </c>
      <c r="R16" s="195">
        <v>15.4</v>
      </c>
      <c r="S16" s="195">
        <v>115</v>
      </c>
      <c r="T16" s="223">
        <f t="shared" si="1"/>
        <v>30</v>
      </c>
      <c r="U16" s="195">
        <v>398</v>
      </c>
      <c r="V16" s="205">
        <f t="shared" si="2"/>
        <v>1989.9999999999998</v>
      </c>
      <c r="W16" s="195">
        <v>2</v>
      </c>
      <c r="X16" s="195" t="s">
        <v>35</v>
      </c>
      <c r="Y16" s="195" t="s">
        <v>43</v>
      </c>
      <c r="Z16" s="195" t="s">
        <v>55</v>
      </c>
      <c r="AA16" s="195" t="s">
        <v>72</v>
      </c>
      <c r="AB16" s="195" t="s">
        <v>195</v>
      </c>
      <c r="AE16" s="214" t="s">
        <v>231</v>
      </c>
      <c r="AG16" s="221"/>
      <c r="AH16" s="221"/>
      <c r="AP16" s="216" t="s">
        <v>66</v>
      </c>
      <c r="AR16" s="216" t="s">
        <v>50</v>
      </c>
      <c r="AV16" s="216" t="s">
        <v>70</v>
      </c>
    </row>
    <row r="17" spans="1:48" x14ac:dyDescent="0.15">
      <c r="A17" s="195" t="s">
        <v>30</v>
      </c>
      <c r="B17" s="195" t="s">
        <v>191</v>
      </c>
      <c r="C17" s="195">
        <v>2020</v>
      </c>
      <c r="D17" s="203" t="s">
        <v>403</v>
      </c>
      <c r="E17" s="195" t="s">
        <v>405</v>
      </c>
      <c r="F17" s="195" t="s">
        <v>404</v>
      </c>
      <c r="G17" s="195" t="s">
        <v>25</v>
      </c>
      <c r="H17" s="195" t="s">
        <v>164</v>
      </c>
      <c r="I17" s="195" t="s">
        <v>111</v>
      </c>
      <c r="J17" s="195" t="s">
        <v>27</v>
      </c>
      <c r="K17" s="195" t="s">
        <v>112</v>
      </c>
      <c r="L17" s="195">
        <v>1</v>
      </c>
      <c r="N17" s="195">
        <v>1</v>
      </c>
      <c r="O17" s="195">
        <v>0.3</v>
      </c>
      <c r="P17" s="195">
        <v>0.4</v>
      </c>
      <c r="Q17" s="204">
        <f t="shared" si="0"/>
        <v>0.35</v>
      </c>
      <c r="R17" s="195">
        <v>17.5</v>
      </c>
      <c r="S17" s="195">
        <v>126</v>
      </c>
      <c r="T17" s="223">
        <f t="shared" si="1"/>
        <v>27</v>
      </c>
      <c r="U17" s="195">
        <v>138</v>
      </c>
      <c r="V17" s="205">
        <f t="shared" si="2"/>
        <v>3726</v>
      </c>
      <c r="W17" s="195">
        <v>4</v>
      </c>
      <c r="X17" s="195" t="s">
        <v>35</v>
      </c>
      <c r="Y17" s="195" t="s">
        <v>43</v>
      </c>
      <c r="Z17" s="195" t="s">
        <v>55</v>
      </c>
      <c r="AA17" s="195" t="s">
        <v>72</v>
      </c>
      <c r="AB17" s="195" t="s">
        <v>195</v>
      </c>
      <c r="AE17" s="214" t="s">
        <v>232</v>
      </c>
      <c r="AP17" s="220" t="s">
        <v>233</v>
      </c>
      <c r="AR17" s="216" t="s">
        <v>81</v>
      </c>
      <c r="AV17" s="216" t="s">
        <v>72</v>
      </c>
    </row>
    <row r="18" spans="1:48" x14ac:dyDescent="0.15">
      <c r="A18" s="195" t="s">
        <v>30</v>
      </c>
      <c r="B18" s="195" t="s">
        <v>191</v>
      </c>
      <c r="C18" s="195">
        <v>2020</v>
      </c>
      <c r="D18" s="203" t="s">
        <v>403</v>
      </c>
      <c r="E18" s="195" t="s">
        <v>405</v>
      </c>
      <c r="F18" s="195" t="s">
        <v>404</v>
      </c>
      <c r="G18" s="195" t="s">
        <v>25</v>
      </c>
      <c r="H18" s="195" t="s">
        <v>164</v>
      </c>
      <c r="I18" s="195" t="s">
        <v>111</v>
      </c>
      <c r="J18" s="195" t="s">
        <v>27</v>
      </c>
      <c r="K18" s="195" t="s">
        <v>112</v>
      </c>
      <c r="L18" s="195">
        <v>2</v>
      </c>
      <c r="N18" s="195">
        <v>1</v>
      </c>
      <c r="O18" s="195">
        <v>0.3</v>
      </c>
      <c r="P18" s="195">
        <v>0.35</v>
      </c>
      <c r="Q18" s="204">
        <f t="shared" si="0"/>
        <v>0.32499999999999996</v>
      </c>
      <c r="R18" s="195">
        <v>15.8</v>
      </c>
      <c r="S18" s="195">
        <v>127</v>
      </c>
      <c r="T18" s="223">
        <f t="shared" si="1"/>
        <v>27</v>
      </c>
      <c r="U18" s="195">
        <v>138</v>
      </c>
      <c r="V18" s="205">
        <f t="shared" si="2"/>
        <v>3726</v>
      </c>
      <c r="W18" s="195">
        <v>4</v>
      </c>
      <c r="X18" s="195" t="s">
        <v>35</v>
      </c>
      <c r="Y18" s="195" t="s">
        <v>43</v>
      </c>
      <c r="Z18" s="195" t="s">
        <v>55</v>
      </c>
      <c r="AA18" s="195" t="s">
        <v>72</v>
      </c>
      <c r="AB18" s="195" t="s">
        <v>195</v>
      </c>
      <c r="AE18" s="214" t="s">
        <v>225</v>
      </c>
      <c r="AP18" s="220" t="s">
        <v>234</v>
      </c>
      <c r="AR18" s="216" t="s">
        <v>85</v>
      </c>
      <c r="AV18" s="216" t="s">
        <v>74</v>
      </c>
    </row>
    <row r="19" spans="1:48" x14ac:dyDescent="0.15">
      <c r="A19" s="195" t="s">
        <v>30</v>
      </c>
      <c r="B19" s="195" t="s">
        <v>191</v>
      </c>
      <c r="C19" s="195">
        <v>2020</v>
      </c>
      <c r="D19" s="203" t="s">
        <v>403</v>
      </c>
      <c r="E19" s="195" t="s">
        <v>405</v>
      </c>
      <c r="F19" s="195" t="s">
        <v>404</v>
      </c>
      <c r="G19" s="195" t="s">
        <v>25</v>
      </c>
      <c r="H19" s="195" t="s">
        <v>164</v>
      </c>
      <c r="I19" s="195" t="s">
        <v>111</v>
      </c>
      <c r="J19" s="195" t="s">
        <v>27</v>
      </c>
      <c r="K19" s="195" t="s">
        <v>112</v>
      </c>
      <c r="L19" s="195">
        <v>3</v>
      </c>
      <c r="N19" s="195">
        <v>1</v>
      </c>
      <c r="O19" s="195">
        <v>0.45</v>
      </c>
      <c r="P19" s="195">
        <v>0.55000000000000004</v>
      </c>
      <c r="Q19" s="204">
        <f t="shared" si="0"/>
        <v>0.5</v>
      </c>
      <c r="R19" s="195">
        <v>15.2</v>
      </c>
      <c r="S19" s="195">
        <v>125</v>
      </c>
      <c r="T19" s="223">
        <f t="shared" si="1"/>
        <v>27</v>
      </c>
      <c r="U19" s="195">
        <v>138</v>
      </c>
      <c r="V19" s="205">
        <f t="shared" si="2"/>
        <v>3726</v>
      </c>
      <c r="W19" s="195">
        <v>4</v>
      </c>
      <c r="X19" s="195" t="s">
        <v>35</v>
      </c>
      <c r="Y19" s="195" t="s">
        <v>43</v>
      </c>
      <c r="Z19" s="195" t="s">
        <v>55</v>
      </c>
      <c r="AA19" s="195" t="s">
        <v>72</v>
      </c>
      <c r="AB19" s="195" t="s">
        <v>195</v>
      </c>
      <c r="AE19" s="227" t="s">
        <v>220</v>
      </c>
      <c r="AP19" s="220" t="s">
        <v>235</v>
      </c>
      <c r="AR19" s="216" t="s">
        <v>236</v>
      </c>
      <c r="AV19" s="216" t="s">
        <v>76</v>
      </c>
    </row>
    <row r="20" spans="1:48" x14ac:dyDescent="0.15">
      <c r="A20" s="195" t="s">
        <v>30</v>
      </c>
      <c r="B20" s="195" t="s">
        <v>191</v>
      </c>
      <c r="C20" s="195">
        <v>2020</v>
      </c>
      <c r="D20" s="203" t="s">
        <v>403</v>
      </c>
      <c r="E20" s="195" t="s">
        <v>405</v>
      </c>
      <c r="F20" s="195" t="s">
        <v>404</v>
      </c>
      <c r="G20" s="195" t="s">
        <v>25</v>
      </c>
      <c r="H20" s="195" t="s">
        <v>164</v>
      </c>
      <c r="I20" s="195" t="s">
        <v>111</v>
      </c>
      <c r="J20" s="195" t="s">
        <v>27</v>
      </c>
      <c r="K20" s="195" t="s">
        <v>112</v>
      </c>
      <c r="L20" s="195">
        <v>1</v>
      </c>
      <c r="N20" s="195">
        <v>4</v>
      </c>
      <c r="O20" s="195">
        <v>0.3</v>
      </c>
      <c r="P20" s="195">
        <v>0.35</v>
      </c>
      <c r="Q20" s="204">
        <f t="shared" si="0"/>
        <v>0.32499999999999996</v>
      </c>
      <c r="R20" s="195">
        <v>14.2</v>
      </c>
      <c r="S20" s="195">
        <v>105</v>
      </c>
      <c r="T20" s="223">
        <f t="shared" si="1"/>
        <v>33</v>
      </c>
      <c r="U20" s="195">
        <v>498</v>
      </c>
      <c r="V20" s="223">
        <f t="shared" si="2"/>
        <v>4108.5</v>
      </c>
      <c r="W20" s="195">
        <v>2</v>
      </c>
      <c r="X20" s="195" t="s">
        <v>35</v>
      </c>
      <c r="Y20" s="195" t="s">
        <v>43</v>
      </c>
      <c r="Z20" s="195" t="s">
        <v>55</v>
      </c>
      <c r="AA20" s="195" t="s">
        <v>72</v>
      </c>
      <c r="AB20" s="195" t="s">
        <v>195</v>
      </c>
      <c r="AE20" s="227"/>
      <c r="AP20" s="220" t="s">
        <v>237</v>
      </c>
      <c r="AR20" s="216" t="s">
        <v>89</v>
      </c>
      <c r="AV20" s="220" t="s">
        <v>238</v>
      </c>
    </row>
    <row r="21" spans="1:48" x14ac:dyDescent="0.15">
      <c r="A21" s="195" t="s">
        <v>30</v>
      </c>
      <c r="B21" s="195" t="s">
        <v>191</v>
      </c>
      <c r="C21" s="195">
        <v>2020</v>
      </c>
      <c r="D21" s="203" t="s">
        <v>403</v>
      </c>
      <c r="E21" s="195" t="s">
        <v>405</v>
      </c>
      <c r="F21" s="195" t="s">
        <v>404</v>
      </c>
      <c r="G21" s="195" t="s">
        <v>25</v>
      </c>
      <c r="H21" s="195" t="s">
        <v>164</v>
      </c>
      <c r="I21" s="195" t="s">
        <v>111</v>
      </c>
      <c r="J21" s="195" t="s">
        <v>27</v>
      </c>
      <c r="K21" s="195" t="s">
        <v>112</v>
      </c>
      <c r="L21" s="195">
        <v>2</v>
      </c>
      <c r="N21" s="195">
        <v>4</v>
      </c>
      <c r="O21" s="195">
        <v>0.5</v>
      </c>
      <c r="P21" s="195">
        <v>0.45</v>
      </c>
      <c r="Q21" s="204">
        <f t="shared" si="0"/>
        <v>0.47499999999999998</v>
      </c>
      <c r="R21" s="195">
        <v>16</v>
      </c>
      <c r="S21" s="195">
        <v>110</v>
      </c>
      <c r="T21" s="223">
        <f t="shared" si="1"/>
        <v>33</v>
      </c>
      <c r="U21" s="195">
        <v>498</v>
      </c>
      <c r="V21" s="205">
        <f t="shared" si="2"/>
        <v>4108.5</v>
      </c>
      <c r="W21" s="195">
        <v>2</v>
      </c>
      <c r="X21" s="195" t="s">
        <v>35</v>
      </c>
      <c r="Y21" s="195" t="s">
        <v>43</v>
      </c>
      <c r="Z21" s="195" t="s">
        <v>55</v>
      </c>
      <c r="AA21" s="195" t="s">
        <v>72</v>
      </c>
      <c r="AB21" s="195" t="s">
        <v>195</v>
      </c>
      <c r="AE21" s="221"/>
      <c r="AP21" s="220" t="s">
        <v>239</v>
      </c>
      <c r="AR21" s="216" t="s">
        <v>54</v>
      </c>
      <c r="AV21" s="220" t="s">
        <v>240</v>
      </c>
    </row>
    <row r="22" spans="1:48" x14ac:dyDescent="0.15">
      <c r="A22" s="195" t="s">
        <v>30</v>
      </c>
      <c r="B22" s="195" t="s">
        <v>191</v>
      </c>
      <c r="C22" s="195">
        <v>2020</v>
      </c>
      <c r="D22" s="203" t="s">
        <v>403</v>
      </c>
      <c r="E22" s="195" t="s">
        <v>405</v>
      </c>
      <c r="F22" s="195" t="s">
        <v>404</v>
      </c>
      <c r="G22" s="195" t="s">
        <v>25</v>
      </c>
      <c r="H22" s="195" t="s">
        <v>164</v>
      </c>
      <c r="I22" s="195" t="s">
        <v>111</v>
      </c>
      <c r="J22" s="195" t="s">
        <v>27</v>
      </c>
      <c r="K22" s="195" t="s">
        <v>112</v>
      </c>
      <c r="L22" s="195">
        <v>3</v>
      </c>
      <c r="N22" s="195">
        <v>4</v>
      </c>
      <c r="O22" s="195">
        <v>0.65</v>
      </c>
      <c r="P22" s="195">
        <v>0.5</v>
      </c>
      <c r="Q22" s="204">
        <f t="shared" si="0"/>
        <v>0.57499999999999996</v>
      </c>
      <c r="R22" s="195">
        <v>16.7</v>
      </c>
      <c r="S22" s="195">
        <v>109</v>
      </c>
      <c r="T22" s="223">
        <f t="shared" si="1"/>
        <v>33</v>
      </c>
      <c r="U22" s="195">
        <v>498</v>
      </c>
      <c r="V22" s="205">
        <f t="shared" si="2"/>
        <v>4108.5</v>
      </c>
      <c r="W22" s="195">
        <v>2</v>
      </c>
      <c r="X22" s="195" t="s">
        <v>35</v>
      </c>
      <c r="Y22" s="195" t="s">
        <v>43</v>
      </c>
      <c r="Z22" s="195" t="s">
        <v>55</v>
      </c>
      <c r="AA22" s="195" t="s">
        <v>72</v>
      </c>
      <c r="AB22" s="195" t="s">
        <v>195</v>
      </c>
      <c r="AP22" s="220" t="s">
        <v>241</v>
      </c>
      <c r="AR22" s="216" t="s">
        <v>69</v>
      </c>
      <c r="AV22" s="220"/>
    </row>
    <row r="23" spans="1:48" x14ac:dyDescent="0.15">
      <c r="A23" s="195" t="s">
        <v>30</v>
      </c>
      <c r="B23" s="195" t="s">
        <v>191</v>
      </c>
      <c r="C23" s="195">
        <v>2020</v>
      </c>
      <c r="D23" s="203" t="s">
        <v>403</v>
      </c>
      <c r="E23" s="195" t="s">
        <v>405</v>
      </c>
      <c r="F23" s="195" t="s">
        <v>404</v>
      </c>
      <c r="G23" s="195" t="s">
        <v>25</v>
      </c>
      <c r="H23" s="195" t="s">
        <v>164</v>
      </c>
      <c r="I23" s="195" t="s">
        <v>111</v>
      </c>
      <c r="J23" s="195" t="s">
        <v>27</v>
      </c>
      <c r="K23" s="195" t="s">
        <v>112</v>
      </c>
      <c r="L23" s="195">
        <v>1</v>
      </c>
      <c r="N23" s="195">
        <v>6</v>
      </c>
      <c r="O23" s="195">
        <v>0.7</v>
      </c>
      <c r="P23" s="195">
        <v>0.65</v>
      </c>
      <c r="Q23" s="204">
        <f t="shared" si="0"/>
        <v>0.67500000000000004</v>
      </c>
      <c r="R23" s="195">
        <v>13.8</v>
      </c>
      <c r="S23" s="195">
        <v>102</v>
      </c>
      <c r="T23" s="223">
        <f t="shared" si="1"/>
        <v>33</v>
      </c>
      <c r="U23" s="195">
        <v>680</v>
      </c>
      <c r="V23" s="223">
        <f t="shared" si="2"/>
        <v>3740</v>
      </c>
      <c r="W23" s="195">
        <v>2</v>
      </c>
      <c r="X23" s="195" t="s">
        <v>35</v>
      </c>
      <c r="Y23" s="195" t="s">
        <v>43</v>
      </c>
      <c r="Z23" s="195" t="s">
        <v>55</v>
      </c>
      <c r="AA23" s="195" t="s">
        <v>72</v>
      </c>
      <c r="AB23" s="195" t="s">
        <v>195</v>
      </c>
      <c r="AP23" s="220" t="s">
        <v>245</v>
      </c>
      <c r="AR23" s="221" t="s">
        <v>246</v>
      </c>
      <c r="AV23" s="221"/>
    </row>
    <row r="24" spans="1:48" x14ac:dyDescent="0.15">
      <c r="A24" s="195" t="s">
        <v>30</v>
      </c>
      <c r="B24" s="195" t="s">
        <v>191</v>
      </c>
      <c r="C24" s="195">
        <v>2020</v>
      </c>
      <c r="D24" s="203" t="s">
        <v>403</v>
      </c>
      <c r="E24" s="195" t="s">
        <v>405</v>
      </c>
      <c r="F24" s="195" t="s">
        <v>404</v>
      </c>
      <c r="G24" s="195" t="s">
        <v>25</v>
      </c>
      <c r="H24" s="195" t="s">
        <v>164</v>
      </c>
      <c r="I24" s="195" t="s">
        <v>111</v>
      </c>
      <c r="J24" s="195" t="s">
        <v>27</v>
      </c>
      <c r="K24" s="195" t="s">
        <v>112</v>
      </c>
      <c r="L24" s="195">
        <v>2</v>
      </c>
      <c r="N24" s="195">
        <v>6</v>
      </c>
      <c r="O24" s="195">
        <v>0.55000000000000004</v>
      </c>
      <c r="P24" s="195">
        <v>0.5</v>
      </c>
      <c r="Q24" s="204">
        <f t="shared" si="0"/>
        <v>0.52500000000000002</v>
      </c>
      <c r="R24" s="195">
        <v>14.5</v>
      </c>
      <c r="S24" s="195">
        <v>99</v>
      </c>
      <c r="T24" s="223">
        <f t="shared" si="1"/>
        <v>33</v>
      </c>
      <c r="U24" s="195">
        <v>680</v>
      </c>
      <c r="V24" s="223">
        <f t="shared" si="2"/>
        <v>3740</v>
      </c>
      <c r="W24" s="195">
        <v>2</v>
      </c>
      <c r="X24" s="195" t="s">
        <v>35</v>
      </c>
      <c r="Y24" s="195" t="s">
        <v>43</v>
      </c>
      <c r="Z24" s="195" t="s">
        <v>55</v>
      </c>
      <c r="AA24" s="195" t="s">
        <v>72</v>
      </c>
      <c r="AB24" s="195" t="s">
        <v>195</v>
      </c>
      <c r="AP24" s="220" t="s">
        <v>247</v>
      </c>
    </row>
    <row r="25" spans="1:48" x14ac:dyDescent="0.15">
      <c r="A25" s="195" t="s">
        <v>30</v>
      </c>
      <c r="B25" s="195" t="s">
        <v>191</v>
      </c>
      <c r="C25" s="195">
        <v>2020</v>
      </c>
      <c r="D25" s="203" t="s">
        <v>403</v>
      </c>
      <c r="E25" s="195" t="s">
        <v>405</v>
      </c>
      <c r="F25" s="195" t="s">
        <v>404</v>
      </c>
      <c r="G25" s="195" t="s">
        <v>25</v>
      </c>
      <c r="H25" s="195" t="s">
        <v>164</v>
      </c>
      <c r="I25" s="195" t="s">
        <v>111</v>
      </c>
      <c r="J25" s="195" t="s">
        <v>27</v>
      </c>
      <c r="K25" s="195" t="s">
        <v>112</v>
      </c>
      <c r="L25" s="195">
        <v>3</v>
      </c>
      <c r="N25" s="195">
        <v>6</v>
      </c>
      <c r="O25" s="195">
        <v>0.7</v>
      </c>
      <c r="P25" s="195">
        <v>0.75</v>
      </c>
      <c r="Q25" s="204">
        <f t="shared" si="0"/>
        <v>0.72499999999999998</v>
      </c>
      <c r="R25" s="195">
        <v>15.7</v>
      </c>
      <c r="S25" s="195">
        <v>103</v>
      </c>
      <c r="T25" s="223">
        <f t="shared" si="1"/>
        <v>33</v>
      </c>
      <c r="U25" s="195">
        <v>680</v>
      </c>
      <c r="V25" s="223">
        <f t="shared" si="2"/>
        <v>3740</v>
      </c>
      <c r="W25" s="195">
        <v>2</v>
      </c>
      <c r="X25" s="195" t="s">
        <v>35</v>
      </c>
      <c r="Y25" s="195" t="s">
        <v>43</v>
      </c>
      <c r="Z25" s="195" t="s">
        <v>55</v>
      </c>
      <c r="AA25" s="195" t="s">
        <v>72</v>
      </c>
      <c r="AB25" s="195" t="s">
        <v>195</v>
      </c>
      <c r="AP25" s="195" t="s">
        <v>416</v>
      </c>
    </row>
    <row r="26" spans="1:48" x14ac:dyDescent="0.15">
      <c r="A26" s="195" t="s">
        <v>30</v>
      </c>
      <c r="B26" s="195" t="s">
        <v>417</v>
      </c>
      <c r="C26" s="195">
        <v>2020</v>
      </c>
      <c r="D26" s="203" t="s">
        <v>403</v>
      </c>
      <c r="E26" s="195" t="s">
        <v>405</v>
      </c>
      <c r="F26" s="195" t="s">
        <v>404</v>
      </c>
      <c r="G26" s="195" t="s">
        <v>25</v>
      </c>
      <c r="H26" s="195" t="s">
        <v>113</v>
      </c>
      <c r="I26" s="195" t="s">
        <v>111</v>
      </c>
      <c r="J26" s="195" t="s">
        <v>27</v>
      </c>
      <c r="K26" s="195" t="s">
        <v>112</v>
      </c>
      <c r="L26" s="195">
        <v>1</v>
      </c>
      <c r="N26" s="195">
        <v>1</v>
      </c>
      <c r="O26" s="195">
        <v>0.85</v>
      </c>
      <c r="P26" s="195">
        <v>0.7</v>
      </c>
      <c r="Q26" s="204">
        <f t="shared" si="0"/>
        <v>0.77499999999999991</v>
      </c>
      <c r="R26" s="195">
        <v>11.4</v>
      </c>
      <c r="S26" s="195">
        <v>134</v>
      </c>
      <c r="T26" s="223">
        <f t="shared" si="1"/>
        <v>25</v>
      </c>
      <c r="U26" s="195">
        <v>138</v>
      </c>
      <c r="V26" s="223">
        <f t="shared" si="2"/>
        <v>3450</v>
      </c>
      <c r="W26" s="195">
        <v>4</v>
      </c>
      <c r="X26" s="195" t="s">
        <v>35</v>
      </c>
      <c r="Y26" s="195" t="s">
        <v>43</v>
      </c>
      <c r="Z26" s="195" t="s">
        <v>55</v>
      </c>
      <c r="AA26" s="195" t="s">
        <v>72</v>
      </c>
      <c r="AB26" s="195" t="s">
        <v>195</v>
      </c>
    </row>
    <row r="27" spans="1:48" x14ac:dyDescent="0.15">
      <c r="A27" s="195" t="s">
        <v>30</v>
      </c>
      <c r="B27" s="195" t="s">
        <v>191</v>
      </c>
      <c r="C27" s="195">
        <v>2020</v>
      </c>
      <c r="D27" s="203" t="s">
        <v>403</v>
      </c>
      <c r="E27" s="195" t="s">
        <v>405</v>
      </c>
      <c r="F27" s="195" t="s">
        <v>404</v>
      </c>
      <c r="G27" s="195" t="s">
        <v>25</v>
      </c>
      <c r="H27" s="195" t="s">
        <v>113</v>
      </c>
      <c r="I27" s="195" t="s">
        <v>111</v>
      </c>
      <c r="J27" s="195" t="s">
        <v>27</v>
      </c>
      <c r="K27" s="195" t="s">
        <v>112</v>
      </c>
      <c r="L27" s="195">
        <v>2</v>
      </c>
      <c r="N27" s="195">
        <v>1</v>
      </c>
      <c r="O27" s="195">
        <v>0.8</v>
      </c>
      <c r="P27" s="195">
        <v>0.65</v>
      </c>
      <c r="Q27" s="204">
        <f t="shared" si="0"/>
        <v>0.72500000000000009</v>
      </c>
      <c r="R27" s="195">
        <v>12.8</v>
      </c>
      <c r="S27" s="195">
        <v>129</v>
      </c>
      <c r="T27" s="223">
        <f t="shared" si="1"/>
        <v>25</v>
      </c>
      <c r="U27" s="195">
        <v>138</v>
      </c>
      <c r="V27" s="223">
        <f t="shared" si="2"/>
        <v>3450</v>
      </c>
      <c r="W27" s="195">
        <v>4</v>
      </c>
      <c r="X27" s="195" t="s">
        <v>35</v>
      </c>
      <c r="Y27" s="195" t="s">
        <v>43</v>
      </c>
      <c r="Z27" s="195" t="s">
        <v>55</v>
      </c>
      <c r="AA27" s="195" t="s">
        <v>72</v>
      </c>
      <c r="AB27" s="195" t="s">
        <v>195</v>
      </c>
    </row>
    <row r="28" spans="1:48" x14ac:dyDescent="0.15">
      <c r="A28" s="195" t="s">
        <v>30</v>
      </c>
      <c r="B28" s="195" t="s">
        <v>191</v>
      </c>
      <c r="C28" s="195">
        <v>2020</v>
      </c>
      <c r="D28" s="203" t="s">
        <v>403</v>
      </c>
      <c r="E28" s="195" t="s">
        <v>405</v>
      </c>
      <c r="F28" s="195" t="s">
        <v>404</v>
      </c>
      <c r="G28" s="195" t="s">
        <v>25</v>
      </c>
      <c r="H28" s="195" t="s">
        <v>113</v>
      </c>
      <c r="I28" s="195" t="s">
        <v>111</v>
      </c>
      <c r="J28" s="195" t="s">
        <v>27</v>
      </c>
      <c r="K28" s="195" t="s">
        <v>112</v>
      </c>
      <c r="L28" s="195">
        <v>3</v>
      </c>
      <c r="N28" s="195">
        <v>1</v>
      </c>
      <c r="O28" s="195">
        <v>0.6</v>
      </c>
      <c r="P28" s="195">
        <v>0.85</v>
      </c>
      <c r="Q28" s="204">
        <f t="shared" si="0"/>
        <v>0.72499999999999998</v>
      </c>
      <c r="R28" s="195">
        <v>12.4</v>
      </c>
      <c r="S28" s="195">
        <v>129</v>
      </c>
      <c r="T28" s="223">
        <f t="shared" si="1"/>
        <v>25</v>
      </c>
      <c r="U28" s="195">
        <v>138</v>
      </c>
      <c r="V28" s="223">
        <f t="shared" si="2"/>
        <v>3450</v>
      </c>
      <c r="W28" s="195">
        <v>4</v>
      </c>
      <c r="X28" s="195" t="s">
        <v>35</v>
      </c>
      <c r="Y28" s="195" t="s">
        <v>43</v>
      </c>
      <c r="Z28" s="195" t="s">
        <v>55</v>
      </c>
      <c r="AA28" s="195" t="s">
        <v>72</v>
      </c>
      <c r="AB28" s="195" t="s">
        <v>195</v>
      </c>
    </row>
    <row r="29" spans="1:48" x14ac:dyDescent="0.15">
      <c r="A29" s="195" t="s">
        <v>30</v>
      </c>
      <c r="B29" s="195" t="s">
        <v>191</v>
      </c>
      <c r="C29" s="195">
        <v>2020</v>
      </c>
      <c r="D29" s="203" t="s">
        <v>403</v>
      </c>
      <c r="E29" s="195" t="s">
        <v>405</v>
      </c>
      <c r="F29" s="195" t="s">
        <v>404</v>
      </c>
      <c r="G29" s="195" t="s">
        <v>25</v>
      </c>
      <c r="H29" s="195" t="s">
        <v>113</v>
      </c>
      <c r="I29" s="195" t="s">
        <v>111</v>
      </c>
      <c r="J29" s="195" t="s">
        <v>27</v>
      </c>
      <c r="K29" s="195" t="s">
        <v>112</v>
      </c>
      <c r="L29" s="195">
        <v>1</v>
      </c>
      <c r="N29" s="195">
        <v>4</v>
      </c>
      <c r="O29" s="195">
        <v>0.45</v>
      </c>
      <c r="P29" s="195">
        <v>0.55000000000000004</v>
      </c>
      <c r="Q29" s="204">
        <f t="shared" si="0"/>
        <v>0.5</v>
      </c>
      <c r="R29" s="195">
        <v>13.5</v>
      </c>
      <c r="S29" s="195">
        <v>114</v>
      </c>
      <c r="T29" s="223">
        <f t="shared" si="1"/>
        <v>30</v>
      </c>
      <c r="U29" s="195">
        <v>398</v>
      </c>
      <c r="V29" s="223">
        <f t="shared" si="2"/>
        <v>2985</v>
      </c>
      <c r="W29" s="195">
        <v>2</v>
      </c>
      <c r="X29" s="195" t="s">
        <v>35</v>
      </c>
      <c r="Y29" s="195" t="s">
        <v>43</v>
      </c>
      <c r="Z29" s="195" t="s">
        <v>55</v>
      </c>
      <c r="AA29" s="195" t="s">
        <v>72</v>
      </c>
      <c r="AB29" s="195" t="s">
        <v>195</v>
      </c>
    </row>
    <row r="30" spans="1:48" x14ac:dyDescent="0.15">
      <c r="A30" s="195" t="s">
        <v>30</v>
      </c>
      <c r="B30" s="195" t="s">
        <v>191</v>
      </c>
      <c r="C30" s="195">
        <v>2020</v>
      </c>
      <c r="D30" s="203" t="s">
        <v>403</v>
      </c>
      <c r="E30" s="195" t="s">
        <v>405</v>
      </c>
      <c r="F30" s="195" t="s">
        <v>404</v>
      </c>
      <c r="G30" s="195" t="s">
        <v>25</v>
      </c>
      <c r="H30" s="195" t="s">
        <v>113</v>
      </c>
      <c r="I30" s="195" t="s">
        <v>111</v>
      </c>
      <c r="J30" s="195" t="s">
        <v>27</v>
      </c>
      <c r="K30" s="195" t="s">
        <v>112</v>
      </c>
      <c r="L30" s="195">
        <v>2</v>
      </c>
      <c r="N30" s="195">
        <v>4</v>
      </c>
      <c r="O30" s="195">
        <v>0.55000000000000004</v>
      </c>
      <c r="P30" s="195">
        <v>0.6</v>
      </c>
      <c r="Q30" s="204">
        <f t="shared" si="0"/>
        <v>0.57499999999999996</v>
      </c>
      <c r="R30" s="195">
        <v>13.8</v>
      </c>
      <c r="S30" s="195">
        <v>112</v>
      </c>
      <c r="T30" s="223">
        <f t="shared" si="1"/>
        <v>33</v>
      </c>
      <c r="U30" s="195">
        <v>398</v>
      </c>
      <c r="V30" s="223">
        <f t="shared" si="2"/>
        <v>3283.5</v>
      </c>
      <c r="W30" s="195">
        <v>2</v>
      </c>
      <c r="X30" s="195" t="s">
        <v>35</v>
      </c>
      <c r="Y30" s="195" t="s">
        <v>43</v>
      </c>
      <c r="Z30" s="195" t="s">
        <v>55</v>
      </c>
      <c r="AA30" s="195" t="s">
        <v>72</v>
      </c>
      <c r="AB30" s="195" t="s">
        <v>195</v>
      </c>
    </row>
    <row r="31" spans="1:48" x14ac:dyDescent="0.15">
      <c r="A31" s="195" t="s">
        <v>30</v>
      </c>
      <c r="B31" s="195" t="s">
        <v>191</v>
      </c>
      <c r="C31" s="195">
        <v>2020</v>
      </c>
      <c r="D31" s="203" t="s">
        <v>403</v>
      </c>
      <c r="E31" s="195" t="s">
        <v>405</v>
      </c>
      <c r="F31" s="195" t="s">
        <v>404</v>
      </c>
      <c r="G31" s="195" t="s">
        <v>25</v>
      </c>
      <c r="H31" s="195" t="s">
        <v>113</v>
      </c>
      <c r="I31" s="195" t="s">
        <v>111</v>
      </c>
      <c r="J31" s="195" t="s">
        <v>27</v>
      </c>
      <c r="K31" s="195" t="s">
        <v>112</v>
      </c>
      <c r="L31" s="195">
        <v>3</v>
      </c>
      <c r="N31" s="195">
        <v>4</v>
      </c>
      <c r="O31" s="195">
        <v>0.5</v>
      </c>
      <c r="P31" s="195">
        <v>0.45</v>
      </c>
      <c r="Q31" s="204">
        <f t="shared" si="0"/>
        <v>0.47499999999999998</v>
      </c>
      <c r="R31" s="195">
        <v>11.4</v>
      </c>
      <c r="S31" s="195">
        <v>110</v>
      </c>
      <c r="T31" s="223">
        <f t="shared" si="1"/>
        <v>33</v>
      </c>
      <c r="U31" s="195">
        <v>398</v>
      </c>
      <c r="V31" s="223">
        <f t="shared" si="2"/>
        <v>3283.5</v>
      </c>
      <c r="W31" s="195">
        <v>2</v>
      </c>
      <c r="X31" s="195" t="s">
        <v>35</v>
      </c>
      <c r="Y31" s="195" t="s">
        <v>43</v>
      </c>
      <c r="Z31" s="195" t="s">
        <v>55</v>
      </c>
      <c r="AA31" s="195" t="s">
        <v>72</v>
      </c>
      <c r="AB31" s="195" t="s">
        <v>195</v>
      </c>
    </row>
    <row r="32" spans="1:48" x14ac:dyDescent="0.15">
      <c r="A32" s="195" t="s">
        <v>30</v>
      </c>
      <c r="B32" s="195" t="s">
        <v>191</v>
      </c>
      <c r="C32" s="195">
        <v>2020</v>
      </c>
      <c r="D32" s="203" t="s">
        <v>403</v>
      </c>
      <c r="E32" s="195" t="s">
        <v>405</v>
      </c>
      <c r="F32" s="195" t="s">
        <v>404</v>
      </c>
      <c r="G32" s="195" t="s">
        <v>25</v>
      </c>
      <c r="H32" s="195" t="s">
        <v>113</v>
      </c>
      <c r="I32" s="195" t="s">
        <v>111</v>
      </c>
      <c r="J32" s="195" t="s">
        <v>27</v>
      </c>
      <c r="K32" s="195" t="s">
        <v>112</v>
      </c>
      <c r="L32" s="195">
        <v>1</v>
      </c>
      <c r="N32" s="195">
        <v>7</v>
      </c>
      <c r="O32" s="195">
        <v>0.8</v>
      </c>
      <c r="P32" s="195">
        <v>0.85</v>
      </c>
      <c r="Q32" s="204">
        <f t="shared" si="0"/>
        <v>0.82499999999999996</v>
      </c>
      <c r="R32" s="195">
        <v>12.4</v>
      </c>
      <c r="S32" s="195">
        <v>100</v>
      </c>
      <c r="T32" s="223">
        <f t="shared" si="1"/>
        <v>33</v>
      </c>
      <c r="U32" s="195">
        <v>580</v>
      </c>
      <c r="V32" s="223">
        <f t="shared" si="2"/>
        <v>2734.2857142857142</v>
      </c>
      <c r="W32" s="195">
        <v>2</v>
      </c>
      <c r="X32" s="195" t="s">
        <v>35</v>
      </c>
      <c r="Y32" s="195" t="s">
        <v>43</v>
      </c>
      <c r="Z32" s="195" t="s">
        <v>55</v>
      </c>
      <c r="AA32" s="195" t="s">
        <v>72</v>
      </c>
      <c r="AB32" s="195" t="s">
        <v>195</v>
      </c>
    </row>
    <row r="33" spans="1:28" x14ac:dyDescent="0.15">
      <c r="A33" s="195" t="s">
        <v>30</v>
      </c>
      <c r="B33" s="195" t="s">
        <v>191</v>
      </c>
      <c r="C33" s="195">
        <v>2020</v>
      </c>
      <c r="D33" s="203" t="s">
        <v>403</v>
      </c>
      <c r="E33" s="195" t="s">
        <v>405</v>
      </c>
      <c r="F33" s="195" t="s">
        <v>404</v>
      </c>
      <c r="G33" s="195" t="s">
        <v>25</v>
      </c>
      <c r="H33" s="195" t="s">
        <v>113</v>
      </c>
      <c r="I33" s="195" t="s">
        <v>111</v>
      </c>
      <c r="J33" s="195" t="s">
        <v>27</v>
      </c>
      <c r="K33" s="195" t="s">
        <v>112</v>
      </c>
      <c r="L33" s="195">
        <v>2</v>
      </c>
      <c r="N33" s="195">
        <v>7</v>
      </c>
      <c r="O33" s="195">
        <v>0.65</v>
      </c>
      <c r="P33" s="195">
        <v>0.75</v>
      </c>
      <c r="Q33" s="204">
        <f t="shared" si="0"/>
        <v>0.7</v>
      </c>
      <c r="R33" s="195">
        <v>13.7</v>
      </c>
      <c r="S33" s="195">
        <v>100</v>
      </c>
      <c r="T33" s="223">
        <f t="shared" si="1"/>
        <v>33</v>
      </c>
      <c r="U33" s="195">
        <v>580</v>
      </c>
      <c r="V33" s="205">
        <f t="shared" si="2"/>
        <v>2734.2857142857142</v>
      </c>
      <c r="W33" s="195">
        <v>2</v>
      </c>
      <c r="X33" s="195" t="s">
        <v>35</v>
      </c>
      <c r="Y33" s="195" t="s">
        <v>43</v>
      </c>
      <c r="Z33" s="195" t="s">
        <v>55</v>
      </c>
      <c r="AA33" s="195" t="s">
        <v>72</v>
      </c>
      <c r="AB33" s="195" t="s">
        <v>195</v>
      </c>
    </row>
    <row r="34" spans="1:28" x14ac:dyDescent="0.15">
      <c r="A34" s="195" t="s">
        <v>30</v>
      </c>
      <c r="B34" s="195" t="s">
        <v>191</v>
      </c>
      <c r="C34" s="195">
        <v>2020</v>
      </c>
      <c r="D34" s="203" t="s">
        <v>403</v>
      </c>
      <c r="E34" s="195" t="s">
        <v>405</v>
      </c>
      <c r="F34" s="195" t="s">
        <v>404</v>
      </c>
      <c r="G34" s="195" t="s">
        <v>25</v>
      </c>
      <c r="H34" s="195" t="s">
        <v>113</v>
      </c>
      <c r="I34" s="195" t="s">
        <v>111</v>
      </c>
      <c r="J34" s="195" t="s">
        <v>27</v>
      </c>
      <c r="K34" s="195" t="s">
        <v>112</v>
      </c>
      <c r="L34" s="195">
        <v>3</v>
      </c>
      <c r="N34" s="195">
        <v>7</v>
      </c>
      <c r="O34" s="195">
        <v>0.7</v>
      </c>
      <c r="P34" s="195">
        <v>0.65</v>
      </c>
      <c r="Q34" s="204">
        <f t="shared" si="0"/>
        <v>0.67500000000000004</v>
      </c>
      <c r="R34" s="195">
        <v>13.8</v>
      </c>
      <c r="S34" s="195">
        <v>103</v>
      </c>
      <c r="T34" s="223">
        <f t="shared" si="1"/>
        <v>33</v>
      </c>
      <c r="U34" s="195">
        <v>580</v>
      </c>
      <c r="V34" s="205">
        <f t="shared" si="2"/>
        <v>2734.2857142857142</v>
      </c>
      <c r="W34" s="195">
        <v>2</v>
      </c>
      <c r="X34" s="195" t="s">
        <v>35</v>
      </c>
      <c r="Y34" s="195" t="s">
        <v>43</v>
      </c>
      <c r="Z34" s="195" t="s">
        <v>55</v>
      </c>
      <c r="AA34" s="195" t="s">
        <v>72</v>
      </c>
      <c r="AB34" s="195" t="s">
        <v>195</v>
      </c>
    </row>
    <row r="35" spans="1:28" x14ac:dyDescent="0.15">
      <c r="A35" s="195" t="s">
        <v>30</v>
      </c>
      <c r="B35" s="195" t="s">
        <v>191</v>
      </c>
      <c r="C35" s="195">
        <v>2020</v>
      </c>
      <c r="D35" s="203" t="s">
        <v>403</v>
      </c>
      <c r="E35" s="195" t="s">
        <v>405</v>
      </c>
      <c r="F35" s="195" t="s">
        <v>406</v>
      </c>
      <c r="G35" s="195" t="s">
        <v>25</v>
      </c>
      <c r="H35" s="195" t="s">
        <v>164</v>
      </c>
      <c r="I35" s="195" t="s">
        <v>111</v>
      </c>
      <c r="J35" s="195" t="s">
        <v>27</v>
      </c>
      <c r="K35" s="195" t="s">
        <v>112</v>
      </c>
      <c r="L35" s="195">
        <v>1</v>
      </c>
      <c r="N35" s="195">
        <v>1</v>
      </c>
      <c r="O35" s="195">
        <v>0.65</v>
      </c>
      <c r="P35" s="195">
        <v>0.75</v>
      </c>
      <c r="Q35" s="204">
        <f t="shared" si="0"/>
        <v>0.7</v>
      </c>
      <c r="R35" s="195">
        <v>14.2</v>
      </c>
      <c r="S35" s="195">
        <v>122</v>
      </c>
      <c r="T35" s="205">
        <f t="shared" si="1"/>
        <v>27</v>
      </c>
      <c r="U35" s="195">
        <v>138</v>
      </c>
      <c r="V35" s="205">
        <f t="shared" si="2"/>
        <v>3726</v>
      </c>
      <c r="W35" s="195">
        <v>4</v>
      </c>
      <c r="X35" s="195" t="s">
        <v>35</v>
      </c>
      <c r="Y35" s="195" t="s">
        <v>43</v>
      </c>
      <c r="Z35" s="195" t="s">
        <v>55</v>
      </c>
      <c r="AA35" s="195" t="s">
        <v>72</v>
      </c>
      <c r="AB35" s="195" t="s">
        <v>195</v>
      </c>
    </row>
    <row r="36" spans="1:28" x14ac:dyDescent="0.15">
      <c r="A36" s="195" t="s">
        <v>30</v>
      </c>
      <c r="B36" s="195" t="s">
        <v>191</v>
      </c>
      <c r="C36" s="195">
        <v>2020</v>
      </c>
      <c r="D36" s="203" t="s">
        <v>403</v>
      </c>
      <c r="E36" s="195" t="s">
        <v>405</v>
      </c>
      <c r="F36" s="195" t="s">
        <v>406</v>
      </c>
      <c r="G36" s="195" t="s">
        <v>25</v>
      </c>
      <c r="H36" s="195" t="s">
        <v>164</v>
      </c>
      <c r="I36" s="195" t="s">
        <v>111</v>
      </c>
      <c r="J36" s="195" t="s">
        <v>27</v>
      </c>
      <c r="K36" s="195" t="s">
        <v>112</v>
      </c>
      <c r="L36" s="195">
        <v>2</v>
      </c>
      <c r="N36" s="195">
        <v>1</v>
      </c>
      <c r="O36" s="195">
        <v>0.7</v>
      </c>
      <c r="P36" s="195">
        <v>0.55000000000000004</v>
      </c>
      <c r="Q36" s="204">
        <f t="shared" si="0"/>
        <v>0.625</v>
      </c>
      <c r="R36" s="195">
        <v>13.8</v>
      </c>
      <c r="S36" s="195">
        <v>120</v>
      </c>
      <c r="T36" s="205">
        <f t="shared" si="1"/>
        <v>30</v>
      </c>
      <c r="U36" s="195">
        <v>138</v>
      </c>
      <c r="V36" s="205">
        <f t="shared" si="2"/>
        <v>4140</v>
      </c>
      <c r="W36" s="195">
        <v>4</v>
      </c>
      <c r="X36" s="195" t="s">
        <v>35</v>
      </c>
      <c r="Y36" s="195" t="s">
        <v>43</v>
      </c>
      <c r="Z36" s="195" t="s">
        <v>55</v>
      </c>
      <c r="AA36" s="195" t="s">
        <v>72</v>
      </c>
      <c r="AB36" s="195" t="s">
        <v>195</v>
      </c>
    </row>
    <row r="37" spans="1:28" x14ac:dyDescent="0.15">
      <c r="A37" s="195" t="s">
        <v>30</v>
      </c>
      <c r="B37" s="195" t="s">
        <v>191</v>
      </c>
      <c r="C37" s="195">
        <v>2020</v>
      </c>
      <c r="D37" s="203" t="s">
        <v>403</v>
      </c>
      <c r="E37" s="195" t="s">
        <v>405</v>
      </c>
      <c r="F37" s="195" t="s">
        <v>406</v>
      </c>
      <c r="G37" s="195" t="s">
        <v>25</v>
      </c>
      <c r="H37" s="195" t="s">
        <v>164</v>
      </c>
      <c r="I37" s="195" t="s">
        <v>111</v>
      </c>
      <c r="J37" s="195" t="s">
        <v>27</v>
      </c>
      <c r="K37" s="195" t="s">
        <v>112</v>
      </c>
      <c r="L37" s="195">
        <v>3</v>
      </c>
      <c r="N37" s="195">
        <v>1</v>
      </c>
      <c r="O37" s="195">
        <v>0.65</v>
      </c>
      <c r="P37" s="195">
        <v>0.7</v>
      </c>
      <c r="Q37" s="204">
        <f t="shared" si="0"/>
        <v>0.67500000000000004</v>
      </c>
      <c r="R37" s="195">
        <v>15.7</v>
      </c>
      <c r="S37" s="195">
        <v>117</v>
      </c>
      <c r="T37" s="205">
        <f t="shared" si="1"/>
        <v>30</v>
      </c>
      <c r="U37" s="195">
        <v>138</v>
      </c>
      <c r="V37" s="205">
        <f t="shared" si="2"/>
        <v>4140</v>
      </c>
      <c r="W37" s="195">
        <v>4</v>
      </c>
      <c r="X37" s="195" t="s">
        <v>35</v>
      </c>
      <c r="Y37" s="195" t="s">
        <v>43</v>
      </c>
      <c r="Z37" s="195" t="s">
        <v>55</v>
      </c>
      <c r="AA37" s="195" t="s">
        <v>72</v>
      </c>
      <c r="AB37" s="195" t="s">
        <v>195</v>
      </c>
    </row>
    <row r="38" spans="1:28" x14ac:dyDescent="0.15">
      <c r="A38" s="195" t="s">
        <v>30</v>
      </c>
      <c r="B38" s="195" t="s">
        <v>191</v>
      </c>
      <c r="C38" s="195">
        <v>2020</v>
      </c>
      <c r="D38" s="203" t="s">
        <v>403</v>
      </c>
      <c r="E38" s="195" t="s">
        <v>405</v>
      </c>
      <c r="F38" s="195" t="s">
        <v>406</v>
      </c>
      <c r="G38" s="195" t="s">
        <v>25</v>
      </c>
      <c r="H38" s="195" t="s">
        <v>164</v>
      </c>
      <c r="I38" s="195" t="s">
        <v>111</v>
      </c>
      <c r="J38" s="195" t="s">
        <v>27</v>
      </c>
      <c r="K38" s="195" t="s">
        <v>112</v>
      </c>
      <c r="L38" s="195">
        <v>1</v>
      </c>
      <c r="N38" s="195">
        <v>4</v>
      </c>
      <c r="O38" s="195">
        <v>0.8</v>
      </c>
      <c r="P38" s="195">
        <v>0.85</v>
      </c>
      <c r="Q38" s="204">
        <f t="shared" si="0"/>
        <v>0.82499999999999996</v>
      </c>
      <c r="R38" s="195">
        <v>14.7</v>
      </c>
      <c r="S38" s="195">
        <v>120</v>
      </c>
      <c r="T38" s="223">
        <f t="shared" si="1"/>
        <v>30</v>
      </c>
      <c r="U38" s="195">
        <v>498</v>
      </c>
      <c r="V38" s="223">
        <f t="shared" si="2"/>
        <v>3735</v>
      </c>
      <c r="W38" s="195">
        <v>2</v>
      </c>
      <c r="X38" s="195" t="s">
        <v>35</v>
      </c>
      <c r="Y38" s="195" t="s">
        <v>43</v>
      </c>
      <c r="Z38" s="195" t="s">
        <v>55</v>
      </c>
      <c r="AA38" s="195" t="s">
        <v>72</v>
      </c>
      <c r="AB38" s="195" t="s">
        <v>195</v>
      </c>
    </row>
    <row r="39" spans="1:28" x14ac:dyDescent="0.15">
      <c r="A39" s="195" t="s">
        <v>30</v>
      </c>
      <c r="B39" s="195" t="s">
        <v>191</v>
      </c>
      <c r="C39" s="195">
        <v>2020</v>
      </c>
      <c r="D39" s="203" t="s">
        <v>403</v>
      </c>
      <c r="E39" s="195" t="s">
        <v>405</v>
      </c>
      <c r="F39" s="195" t="s">
        <v>406</v>
      </c>
      <c r="G39" s="195" t="s">
        <v>25</v>
      </c>
      <c r="H39" s="195" t="s">
        <v>164</v>
      </c>
      <c r="I39" s="195" t="s">
        <v>111</v>
      </c>
      <c r="J39" s="195" t="s">
        <v>27</v>
      </c>
      <c r="K39" s="195" t="s">
        <v>112</v>
      </c>
      <c r="L39" s="195">
        <v>2</v>
      </c>
      <c r="N39" s="195">
        <v>4</v>
      </c>
      <c r="O39" s="195">
        <v>0.75</v>
      </c>
      <c r="P39" s="195">
        <v>0.65</v>
      </c>
      <c r="Q39" s="204">
        <f t="shared" si="0"/>
        <v>0.7</v>
      </c>
      <c r="R39" s="195">
        <v>13.8</v>
      </c>
      <c r="S39" s="195">
        <v>118</v>
      </c>
      <c r="T39" s="223">
        <f t="shared" si="1"/>
        <v>30</v>
      </c>
      <c r="U39" s="195">
        <v>498</v>
      </c>
      <c r="V39" s="223">
        <f t="shared" si="2"/>
        <v>3735</v>
      </c>
      <c r="W39" s="195">
        <v>2</v>
      </c>
      <c r="X39" s="195" t="s">
        <v>35</v>
      </c>
      <c r="Y39" s="195" t="s">
        <v>43</v>
      </c>
      <c r="Z39" s="195" t="s">
        <v>55</v>
      </c>
      <c r="AA39" s="195" t="s">
        <v>72</v>
      </c>
      <c r="AB39" s="195" t="s">
        <v>195</v>
      </c>
    </row>
    <row r="40" spans="1:28" x14ac:dyDescent="0.15">
      <c r="A40" s="195" t="s">
        <v>30</v>
      </c>
      <c r="B40" s="195" t="s">
        <v>191</v>
      </c>
      <c r="C40" s="195">
        <v>2020</v>
      </c>
      <c r="D40" s="203" t="s">
        <v>403</v>
      </c>
      <c r="E40" s="195" t="s">
        <v>405</v>
      </c>
      <c r="F40" s="195" t="s">
        <v>406</v>
      </c>
      <c r="G40" s="195" t="s">
        <v>25</v>
      </c>
      <c r="H40" s="195" t="s">
        <v>164</v>
      </c>
      <c r="I40" s="195" t="s">
        <v>111</v>
      </c>
      <c r="J40" s="195" t="s">
        <v>27</v>
      </c>
      <c r="K40" s="195" t="s">
        <v>112</v>
      </c>
      <c r="L40" s="195">
        <v>3</v>
      </c>
      <c r="N40" s="195">
        <v>4</v>
      </c>
      <c r="O40" s="195">
        <v>0.65</v>
      </c>
      <c r="P40" s="195">
        <v>0.5</v>
      </c>
      <c r="Q40" s="204">
        <f t="shared" si="0"/>
        <v>0.57499999999999996</v>
      </c>
      <c r="R40" s="195">
        <v>16</v>
      </c>
      <c r="S40" s="195">
        <v>116</v>
      </c>
      <c r="T40" s="223">
        <f t="shared" si="1"/>
        <v>30</v>
      </c>
      <c r="U40" s="195">
        <v>498</v>
      </c>
      <c r="V40" s="223">
        <f t="shared" si="2"/>
        <v>3735</v>
      </c>
      <c r="W40" s="195">
        <v>2</v>
      </c>
      <c r="X40" s="195" t="s">
        <v>35</v>
      </c>
      <c r="Y40" s="195" t="s">
        <v>43</v>
      </c>
      <c r="Z40" s="195" t="s">
        <v>55</v>
      </c>
      <c r="AA40" s="195" t="s">
        <v>72</v>
      </c>
      <c r="AB40" s="195" t="s">
        <v>195</v>
      </c>
    </row>
    <row r="41" spans="1:28" x14ac:dyDescent="0.15">
      <c r="A41" s="195" t="s">
        <v>30</v>
      </c>
      <c r="B41" s="195" t="s">
        <v>191</v>
      </c>
      <c r="C41" s="195">
        <v>2020</v>
      </c>
      <c r="D41" s="203" t="s">
        <v>403</v>
      </c>
      <c r="E41" s="195" t="s">
        <v>405</v>
      </c>
      <c r="F41" s="195" t="s">
        <v>406</v>
      </c>
      <c r="G41" s="195" t="s">
        <v>25</v>
      </c>
      <c r="H41" s="195" t="s">
        <v>164</v>
      </c>
      <c r="I41" s="195" t="s">
        <v>111</v>
      </c>
      <c r="J41" s="195" t="s">
        <v>27</v>
      </c>
      <c r="K41" s="195" t="s">
        <v>112</v>
      </c>
      <c r="L41" s="195">
        <v>1</v>
      </c>
      <c r="N41" s="195">
        <v>6</v>
      </c>
      <c r="O41" s="195">
        <v>0.55000000000000004</v>
      </c>
      <c r="P41" s="195">
        <v>0.45</v>
      </c>
      <c r="Q41" s="204">
        <f t="shared" si="0"/>
        <v>0.5</v>
      </c>
      <c r="R41" s="195">
        <v>17.399999999999999</v>
      </c>
      <c r="S41" s="195">
        <v>112</v>
      </c>
      <c r="T41" s="223">
        <f t="shared" si="1"/>
        <v>33</v>
      </c>
      <c r="U41" s="195">
        <v>680</v>
      </c>
      <c r="V41" s="223">
        <f t="shared" si="2"/>
        <v>3740</v>
      </c>
      <c r="W41" s="195">
        <v>2</v>
      </c>
      <c r="X41" s="195" t="s">
        <v>35</v>
      </c>
      <c r="Y41" s="195" t="s">
        <v>43</v>
      </c>
      <c r="Z41" s="195" t="s">
        <v>55</v>
      </c>
      <c r="AA41" s="195" t="s">
        <v>72</v>
      </c>
      <c r="AB41" s="195" t="s">
        <v>195</v>
      </c>
    </row>
    <row r="42" spans="1:28" x14ac:dyDescent="0.15">
      <c r="A42" s="195" t="s">
        <v>30</v>
      </c>
      <c r="B42" s="195" t="s">
        <v>191</v>
      </c>
      <c r="C42" s="195">
        <v>2020</v>
      </c>
      <c r="D42" s="203" t="s">
        <v>403</v>
      </c>
      <c r="E42" s="195" t="s">
        <v>405</v>
      </c>
      <c r="F42" s="195" t="s">
        <v>406</v>
      </c>
      <c r="G42" s="195" t="s">
        <v>25</v>
      </c>
      <c r="H42" s="195" t="s">
        <v>164</v>
      </c>
      <c r="I42" s="195" t="s">
        <v>111</v>
      </c>
      <c r="J42" s="195" t="s">
        <v>27</v>
      </c>
      <c r="K42" s="195" t="s">
        <v>112</v>
      </c>
      <c r="L42" s="195">
        <v>2</v>
      </c>
      <c r="N42" s="195">
        <v>6</v>
      </c>
      <c r="O42" s="195">
        <v>0.8</v>
      </c>
      <c r="P42" s="195">
        <v>0.75</v>
      </c>
      <c r="Q42" s="204">
        <f t="shared" si="0"/>
        <v>0.77500000000000002</v>
      </c>
      <c r="R42" s="195">
        <v>15.8</v>
      </c>
      <c r="S42" s="195">
        <v>104</v>
      </c>
      <c r="T42" s="223">
        <f t="shared" si="1"/>
        <v>33</v>
      </c>
      <c r="U42" s="195">
        <v>680</v>
      </c>
      <c r="V42" s="205">
        <f t="shared" si="2"/>
        <v>3740</v>
      </c>
      <c r="W42" s="195">
        <v>2</v>
      </c>
      <c r="X42" s="195" t="s">
        <v>35</v>
      </c>
      <c r="Y42" s="195" t="s">
        <v>43</v>
      </c>
      <c r="Z42" s="195" t="s">
        <v>55</v>
      </c>
      <c r="AA42" s="195" t="s">
        <v>72</v>
      </c>
      <c r="AB42" s="195" t="s">
        <v>195</v>
      </c>
    </row>
    <row r="43" spans="1:28" x14ac:dyDescent="0.15">
      <c r="A43" s="195" t="s">
        <v>30</v>
      </c>
      <c r="B43" s="195" t="s">
        <v>191</v>
      </c>
      <c r="C43" s="195">
        <v>2020</v>
      </c>
      <c r="D43" s="203" t="s">
        <v>403</v>
      </c>
      <c r="E43" s="195" t="s">
        <v>405</v>
      </c>
      <c r="F43" s="195" t="s">
        <v>406</v>
      </c>
      <c r="G43" s="195" t="s">
        <v>25</v>
      </c>
      <c r="H43" s="195" t="s">
        <v>164</v>
      </c>
      <c r="I43" s="195" t="s">
        <v>111</v>
      </c>
      <c r="J43" s="195" t="s">
        <v>27</v>
      </c>
      <c r="K43" s="195" t="s">
        <v>112</v>
      </c>
      <c r="L43" s="195">
        <v>3</v>
      </c>
      <c r="N43" s="195">
        <v>6</v>
      </c>
      <c r="O43" s="195">
        <v>0.6</v>
      </c>
      <c r="P43" s="195">
        <v>0.75</v>
      </c>
      <c r="Q43" s="204">
        <f t="shared" si="0"/>
        <v>0.67500000000000004</v>
      </c>
      <c r="R43" s="195">
        <v>14.8</v>
      </c>
      <c r="S43" s="195">
        <v>106</v>
      </c>
      <c r="T43" s="223">
        <f t="shared" si="1"/>
        <v>33</v>
      </c>
      <c r="U43" s="195">
        <v>680</v>
      </c>
      <c r="V43" s="205">
        <f t="shared" si="2"/>
        <v>3740</v>
      </c>
      <c r="W43" s="195">
        <v>2</v>
      </c>
      <c r="X43" s="195" t="s">
        <v>35</v>
      </c>
      <c r="Y43" s="195" t="s">
        <v>43</v>
      </c>
      <c r="Z43" s="195" t="s">
        <v>55</v>
      </c>
      <c r="AA43" s="195" t="s">
        <v>72</v>
      </c>
      <c r="AB43" s="195" t="s">
        <v>195</v>
      </c>
    </row>
    <row r="44" spans="1:28" x14ac:dyDescent="0.15">
      <c r="A44" s="195" t="s">
        <v>30</v>
      </c>
      <c r="B44" s="195" t="s">
        <v>191</v>
      </c>
      <c r="C44" s="195">
        <v>2020</v>
      </c>
      <c r="D44" s="203" t="s">
        <v>403</v>
      </c>
      <c r="E44" s="195" t="s">
        <v>405</v>
      </c>
      <c r="F44" s="195" t="s">
        <v>406</v>
      </c>
      <c r="G44" s="195" t="s">
        <v>25</v>
      </c>
      <c r="H44" s="195" t="s">
        <v>113</v>
      </c>
      <c r="I44" s="195" t="s">
        <v>111</v>
      </c>
      <c r="J44" s="195" t="s">
        <v>27</v>
      </c>
      <c r="K44" s="195" t="s">
        <v>112</v>
      </c>
      <c r="L44" s="195">
        <v>1</v>
      </c>
      <c r="N44" s="195">
        <v>1</v>
      </c>
      <c r="O44" s="195">
        <v>0.45</v>
      </c>
      <c r="P44" s="195">
        <v>0.55000000000000004</v>
      </c>
      <c r="Q44" s="204">
        <f t="shared" si="0"/>
        <v>0.5</v>
      </c>
      <c r="R44" s="195">
        <v>13.7</v>
      </c>
      <c r="S44" s="195">
        <v>126</v>
      </c>
      <c r="T44" s="205">
        <f t="shared" si="1"/>
        <v>27</v>
      </c>
      <c r="U44" s="195">
        <v>138</v>
      </c>
      <c r="V44" s="205">
        <f t="shared" si="2"/>
        <v>3726</v>
      </c>
      <c r="W44" s="195">
        <v>2</v>
      </c>
      <c r="X44" s="195" t="s">
        <v>35</v>
      </c>
      <c r="Y44" s="195" t="s">
        <v>43</v>
      </c>
      <c r="Z44" s="195" t="s">
        <v>55</v>
      </c>
      <c r="AA44" s="195" t="s">
        <v>72</v>
      </c>
      <c r="AB44" s="195" t="s">
        <v>195</v>
      </c>
    </row>
    <row r="45" spans="1:28" x14ac:dyDescent="0.15">
      <c r="A45" s="195" t="s">
        <v>30</v>
      </c>
      <c r="B45" s="195" t="s">
        <v>191</v>
      </c>
      <c r="C45" s="195">
        <v>2020</v>
      </c>
      <c r="D45" s="203" t="s">
        <v>403</v>
      </c>
      <c r="E45" s="195" t="s">
        <v>405</v>
      </c>
      <c r="F45" s="195" t="s">
        <v>406</v>
      </c>
      <c r="G45" s="195" t="s">
        <v>25</v>
      </c>
      <c r="H45" s="195" t="s">
        <v>113</v>
      </c>
      <c r="I45" s="195" t="s">
        <v>111</v>
      </c>
      <c r="J45" s="195" t="s">
        <v>27</v>
      </c>
      <c r="K45" s="195" t="s">
        <v>112</v>
      </c>
      <c r="L45" s="195">
        <v>2</v>
      </c>
      <c r="N45" s="195">
        <v>1</v>
      </c>
      <c r="O45" s="195">
        <v>0.5</v>
      </c>
      <c r="P45" s="195">
        <v>0.55000000000000004</v>
      </c>
      <c r="Q45" s="204">
        <f t="shared" si="0"/>
        <v>0.52500000000000002</v>
      </c>
      <c r="R45" s="195">
        <v>13.8</v>
      </c>
      <c r="S45" s="195">
        <v>122</v>
      </c>
      <c r="T45" s="205">
        <f t="shared" si="1"/>
        <v>27</v>
      </c>
      <c r="U45" s="195">
        <v>138</v>
      </c>
      <c r="V45" s="205">
        <f t="shared" si="2"/>
        <v>3726</v>
      </c>
      <c r="W45" s="195">
        <v>2</v>
      </c>
      <c r="X45" s="195" t="s">
        <v>35</v>
      </c>
      <c r="Y45" s="195" t="s">
        <v>43</v>
      </c>
      <c r="Z45" s="195" t="s">
        <v>55</v>
      </c>
      <c r="AA45" s="195" t="s">
        <v>72</v>
      </c>
      <c r="AB45" s="195" t="s">
        <v>195</v>
      </c>
    </row>
    <row r="46" spans="1:28" x14ac:dyDescent="0.15">
      <c r="A46" s="195" t="s">
        <v>30</v>
      </c>
      <c r="B46" s="195" t="s">
        <v>191</v>
      </c>
      <c r="C46" s="195">
        <v>2020</v>
      </c>
      <c r="D46" s="203" t="s">
        <v>403</v>
      </c>
      <c r="E46" s="195" t="s">
        <v>405</v>
      </c>
      <c r="F46" s="195" t="s">
        <v>406</v>
      </c>
      <c r="G46" s="195" t="s">
        <v>25</v>
      </c>
      <c r="H46" s="195" t="s">
        <v>113</v>
      </c>
      <c r="I46" s="195" t="s">
        <v>111</v>
      </c>
      <c r="J46" s="195" t="s">
        <v>27</v>
      </c>
      <c r="K46" s="195" t="s">
        <v>112</v>
      </c>
      <c r="L46" s="195">
        <v>3</v>
      </c>
      <c r="N46" s="195">
        <v>1</v>
      </c>
      <c r="O46" s="195">
        <v>0.35</v>
      </c>
      <c r="P46" s="195">
        <v>0.35</v>
      </c>
      <c r="Q46" s="204">
        <f t="shared" si="0"/>
        <v>0.35</v>
      </c>
      <c r="R46" s="195">
        <v>14.7</v>
      </c>
      <c r="S46" s="195">
        <v>122</v>
      </c>
      <c r="T46" s="205">
        <f t="shared" si="1"/>
        <v>27</v>
      </c>
      <c r="U46" s="195">
        <v>138</v>
      </c>
      <c r="V46" s="205">
        <f t="shared" si="2"/>
        <v>3726</v>
      </c>
      <c r="W46" s="195">
        <v>2</v>
      </c>
      <c r="X46" s="195" t="s">
        <v>35</v>
      </c>
      <c r="Y46" s="195" t="s">
        <v>43</v>
      </c>
      <c r="Z46" s="195" t="s">
        <v>55</v>
      </c>
      <c r="AA46" s="195" t="s">
        <v>72</v>
      </c>
      <c r="AB46" s="195" t="s">
        <v>195</v>
      </c>
    </row>
    <row r="47" spans="1:28" x14ac:dyDescent="0.15">
      <c r="A47" s="195" t="s">
        <v>30</v>
      </c>
      <c r="B47" s="195" t="s">
        <v>191</v>
      </c>
      <c r="C47" s="195">
        <v>2020</v>
      </c>
      <c r="D47" s="203" t="s">
        <v>403</v>
      </c>
      <c r="E47" s="195" t="s">
        <v>405</v>
      </c>
      <c r="F47" s="195" t="s">
        <v>406</v>
      </c>
      <c r="G47" s="195" t="s">
        <v>25</v>
      </c>
      <c r="H47" s="195" t="s">
        <v>113</v>
      </c>
      <c r="I47" s="195" t="s">
        <v>111</v>
      </c>
      <c r="J47" s="195" t="s">
        <v>27</v>
      </c>
      <c r="K47" s="195" t="s">
        <v>112</v>
      </c>
      <c r="L47" s="195">
        <v>1</v>
      </c>
      <c r="N47" s="195">
        <v>5</v>
      </c>
      <c r="O47" s="195">
        <v>0.65</v>
      </c>
      <c r="P47" s="195">
        <v>0.85</v>
      </c>
      <c r="Q47" s="204">
        <f t="shared" si="0"/>
        <v>0.75</v>
      </c>
      <c r="R47" s="195">
        <v>13.6</v>
      </c>
      <c r="S47" s="195">
        <v>100</v>
      </c>
      <c r="T47" s="205">
        <f t="shared" si="1"/>
        <v>33</v>
      </c>
      <c r="U47" s="195">
        <v>398</v>
      </c>
      <c r="V47" s="205">
        <f t="shared" si="2"/>
        <v>2626.7999999999997</v>
      </c>
      <c r="W47" s="195">
        <v>2</v>
      </c>
      <c r="X47" s="195" t="s">
        <v>35</v>
      </c>
      <c r="Y47" s="195" t="s">
        <v>43</v>
      </c>
      <c r="Z47" s="195" t="s">
        <v>55</v>
      </c>
      <c r="AA47" s="195" t="s">
        <v>72</v>
      </c>
      <c r="AB47" s="195" t="s">
        <v>195</v>
      </c>
    </row>
    <row r="48" spans="1:28" x14ac:dyDescent="0.15">
      <c r="A48" s="195" t="s">
        <v>30</v>
      </c>
      <c r="B48" s="195" t="s">
        <v>191</v>
      </c>
      <c r="C48" s="195">
        <v>2020</v>
      </c>
      <c r="D48" s="203" t="s">
        <v>403</v>
      </c>
      <c r="E48" s="195" t="s">
        <v>405</v>
      </c>
      <c r="F48" s="195" t="s">
        <v>406</v>
      </c>
      <c r="G48" s="195" t="s">
        <v>25</v>
      </c>
      <c r="H48" s="195" t="s">
        <v>113</v>
      </c>
      <c r="I48" s="195" t="s">
        <v>111</v>
      </c>
      <c r="J48" s="195" t="s">
        <v>27</v>
      </c>
      <c r="K48" s="195" t="s">
        <v>112</v>
      </c>
      <c r="L48" s="195">
        <v>2</v>
      </c>
      <c r="N48" s="195">
        <v>5</v>
      </c>
      <c r="O48" s="195">
        <v>0.5</v>
      </c>
      <c r="P48" s="195">
        <v>0.65</v>
      </c>
      <c r="Q48" s="204">
        <f t="shared" si="0"/>
        <v>0.57499999999999996</v>
      </c>
      <c r="R48" s="195">
        <v>13.8</v>
      </c>
      <c r="S48" s="195">
        <v>104</v>
      </c>
      <c r="T48" s="205">
        <f t="shared" si="1"/>
        <v>33</v>
      </c>
      <c r="U48" s="195">
        <v>398</v>
      </c>
      <c r="V48" s="205">
        <f t="shared" si="2"/>
        <v>2626.7999999999997</v>
      </c>
      <c r="W48" s="195">
        <v>2</v>
      </c>
      <c r="X48" s="195" t="s">
        <v>35</v>
      </c>
      <c r="Y48" s="195" t="s">
        <v>43</v>
      </c>
      <c r="Z48" s="195" t="s">
        <v>55</v>
      </c>
      <c r="AA48" s="195" t="s">
        <v>72</v>
      </c>
      <c r="AB48" s="195" t="s">
        <v>195</v>
      </c>
    </row>
    <row r="49" spans="1:28" x14ac:dyDescent="0.15">
      <c r="A49" s="195" t="s">
        <v>30</v>
      </c>
      <c r="B49" s="195" t="s">
        <v>191</v>
      </c>
      <c r="C49" s="195">
        <v>2020</v>
      </c>
      <c r="D49" s="203" t="s">
        <v>403</v>
      </c>
      <c r="E49" s="195" t="s">
        <v>405</v>
      </c>
      <c r="F49" s="195" t="s">
        <v>406</v>
      </c>
      <c r="G49" s="195" t="s">
        <v>25</v>
      </c>
      <c r="H49" s="195" t="s">
        <v>113</v>
      </c>
      <c r="I49" s="195" t="s">
        <v>111</v>
      </c>
      <c r="J49" s="195" t="s">
        <v>27</v>
      </c>
      <c r="K49" s="195" t="s">
        <v>112</v>
      </c>
      <c r="L49" s="195">
        <v>3</v>
      </c>
      <c r="N49" s="195">
        <v>5</v>
      </c>
      <c r="O49" s="195">
        <v>0.35</v>
      </c>
      <c r="P49" s="195">
        <v>0.5</v>
      </c>
      <c r="Q49" s="204">
        <f t="shared" si="0"/>
        <v>0.42499999999999999</v>
      </c>
      <c r="R49" s="195">
        <v>15.4</v>
      </c>
      <c r="S49" s="195">
        <v>108</v>
      </c>
      <c r="T49" s="205">
        <f t="shared" si="1"/>
        <v>33</v>
      </c>
      <c r="U49" s="195">
        <v>398</v>
      </c>
      <c r="V49" s="205">
        <f t="shared" si="2"/>
        <v>2626.7999999999997</v>
      </c>
      <c r="W49" s="195">
        <v>2</v>
      </c>
      <c r="X49" s="195" t="s">
        <v>35</v>
      </c>
      <c r="Y49" s="195" t="s">
        <v>43</v>
      </c>
      <c r="Z49" s="195" t="s">
        <v>55</v>
      </c>
      <c r="AA49" s="195" t="s">
        <v>72</v>
      </c>
      <c r="AB49" s="195" t="s">
        <v>195</v>
      </c>
    </row>
    <row r="50" spans="1:28" x14ac:dyDescent="0.15">
      <c r="A50" s="195" t="s">
        <v>30</v>
      </c>
      <c r="B50" s="195" t="s">
        <v>191</v>
      </c>
      <c r="C50" s="195">
        <v>2020</v>
      </c>
      <c r="D50" s="203" t="s">
        <v>403</v>
      </c>
      <c r="E50" s="195" t="s">
        <v>405</v>
      </c>
      <c r="F50" s="195" t="s">
        <v>406</v>
      </c>
      <c r="G50" s="195" t="s">
        <v>25</v>
      </c>
      <c r="H50" s="195" t="s">
        <v>113</v>
      </c>
      <c r="I50" s="195" t="s">
        <v>111</v>
      </c>
      <c r="J50" s="195" t="s">
        <v>27</v>
      </c>
      <c r="K50" s="195" t="s">
        <v>112</v>
      </c>
      <c r="L50" s="195">
        <v>1</v>
      </c>
      <c r="N50" s="195">
        <v>7</v>
      </c>
      <c r="O50" s="195">
        <v>0.9</v>
      </c>
      <c r="P50" s="195">
        <v>1.1499999999999999</v>
      </c>
      <c r="Q50" s="204">
        <f t="shared" si="0"/>
        <v>1.0249999999999999</v>
      </c>
      <c r="R50" s="195">
        <v>10.4</v>
      </c>
      <c r="S50" s="195">
        <v>102</v>
      </c>
      <c r="T50" s="205">
        <f t="shared" si="1"/>
        <v>33</v>
      </c>
      <c r="U50" s="195">
        <v>580</v>
      </c>
      <c r="V50" s="205">
        <f t="shared" si="2"/>
        <v>2734.2857142857142</v>
      </c>
      <c r="W50" s="195">
        <v>2</v>
      </c>
      <c r="X50" s="195" t="s">
        <v>35</v>
      </c>
      <c r="Y50" s="195" t="s">
        <v>43</v>
      </c>
      <c r="Z50" s="195" t="s">
        <v>55</v>
      </c>
      <c r="AA50" s="195" t="s">
        <v>72</v>
      </c>
      <c r="AB50" s="195" t="s">
        <v>195</v>
      </c>
    </row>
    <row r="51" spans="1:28" x14ac:dyDescent="0.15">
      <c r="A51" s="195" t="s">
        <v>30</v>
      </c>
      <c r="B51" s="195" t="s">
        <v>191</v>
      </c>
      <c r="C51" s="195">
        <v>2020</v>
      </c>
      <c r="D51" s="203" t="s">
        <v>403</v>
      </c>
      <c r="E51" s="195" t="s">
        <v>405</v>
      </c>
      <c r="F51" s="195" t="s">
        <v>406</v>
      </c>
      <c r="G51" s="195" t="s">
        <v>25</v>
      </c>
      <c r="H51" s="195" t="s">
        <v>113</v>
      </c>
      <c r="I51" s="195" t="s">
        <v>111</v>
      </c>
      <c r="J51" s="195" t="s">
        <v>27</v>
      </c>
      <c r="K51" s="195" t="s">
        <v>112</v>
      </c>
      <c r="L51" s="195">
        <v>2</v>
      </c>
      <c r="N51" s="195">
        <v>7</v>
      </c>
      <c r="O51" s="195">
        <v>0.85</v>
      </c>
      <c r="P51" s="195">
        <v>1</v>
      </c>
      <c r="Q51" s="204">
        <f t="shared" si="0"/>
        <v>0.92500000000000004</v>
      </c>
      <c r="R51" s="195">
        <v>12.6</v>
      </c>
      <c r="S51" s="195">
        <v>103</v>
      </c>
      <c r="T51" s="205">
        <f t="shared" si="1"/>
        <v>33</v>
      </c>
      <c r="U51" s="195">
        <v>580</v>
      </c>
      <c r="V51" s="205">
        <f t="shared" si="2"/>
        <v>2734.2857142857142</v>
      </c>
      <c r="W51" s="195">
        <v>2</v>
      </c>
      <c r="X51" s="195" t="s">
        <v>35</v>
      </c>
      <c r="Y51" s="195" t="s">
        <v>43</v>
      </c>
      <c r="Z51" s="195" t="s">
        <v>55</v>
      </c>
      <c r="AA51" s="195" t="s">
        <v>72</v>
      </c>
      <c r="AB51" s="195" t="s">
        <v>195</v>
      </c>
    </row>
    <row r="52" spans="1:28" x14ac:dyDescent="0.15">
      <c r="A52" s="195" t="s">
        <v>30</v>
      </c>
      <c r="B52" s="195" t="s">
        <v>191</v>
      </c>
      <c r="C52" s="195">
        <v>2020</v>
      </c>
      <c r="D52" s="203" t="s">
        <v>403</v>
      </c>
      <c r="E52" s="195" t="s">
        <v>405</v>
      </c>
      <c r="F52" s="195" t="s">
        <v>406</v>
      </c>
      <c r="G52" s="195" t="s">
        <v>25</v>
      </c>
      <c r="H52" s="195" t="s">
        <v>113</v>
      </c>
      <c r="I52" s="195" t="s">
        <v>111</v>
      </c>
      <c r="J52" s="195" t="s">
        <v>27</v>
      </c>
      <c r="K52" s="195" t="s">
        <v>112</v>
      </c>
      <c r="L52" s="195">
        <v>3</v>
      </c>
      <c r="N52" s="195">
        <v>7</v>
      </c>
      <c r="O52" s="195">
        <v>0.65</v>
      </c>
      <c r="P52" s="195">
        <v>0.8</v>
      </c>
      <c r="Q52" s="204">
        <f t="shared" si="0"/>
        <v>0.72500000000000009</v>
      </c>
      <c r="R52" s="195">
        <v>13.7</v>
      </c>
      <c r="S52" s="195">
        <v>104</v>
      </c>
      <c r="T52" s="205">
        <f t="shared" si="1"/>
        <v>33</v>
      </c>
      <c r="U52" s="195">
        <v>580</v>
      </c>
      <c r="V52" s="205">
        <f t="shared" si="2"/>
        <v>2734.2857142857142</v>
      </c>
      <c r="W52" s="195">
        <v>2</v>
      </c>
      <c r="X52" s="195" t="s">
        <v>35</v>
      </c>
      <c r="Y52" s="195" t="s">
        <v>43</v>
      </c>
      <c r="Z52" s="195" t="s">
        <v>55</v>
      </c>
      <c r="AA52" s="195" t="s">
        <v>72</v>
      </c>
      <c r="AB52" s="195" t="s">
        <v>195</v>
      </c>
    </row>
    <row r="53" spans="1:28" x14ac:dyDescent="0.15">
      <c r="A53" s="195" t="s">
        <v>30</v>
      </c>
      <c r="B53" s="195" t="s">
        <v>191</v>
      </c>
      <c r="C53" s="195">
        <v>2020</v>
      </c>
      <c r="D53" s="203" t="s">
        <v>403</v>
      </c>
      <c r="E53" s="195" t="s">
        <v>407</v>
      </c>
      <c r="F53" s="195" t="s">
        <v>404</v>
      </c>
      <c r="G53" s="195" t="s">
        <v>25</v>
      </c>
      <c r="H53" s="195" t="s">
        <v>113</v>
      </c>
      <c r="I53" s="195" t="s">
        <v>111</v>
      </c>
      <c r="J53" s="195" t="s">
        <v>27</v>
      </c>
      <c r="K53" s="195" t="s">
        <v>112</v>
      </c>
      <c r="L53" s="195">
        <v>1</v>
      </c>
      <c r="N53" s="195">
        <v>5</v>
      </c>
      <c r="O53" s="195">
        <v>0.5</v>
      </c>
      <c r="P53" s="195">
        <v>0.65</v>
      </c>
      <c r="Q53" s="204">
        <f t="shared" si="0"/>
        <v>0.57499999999999996</v>
      </c>
      <c r="R53" s="195">
        <v>11.3</v>
      </c>
      <c r="S53" s="195">
        <v>112</v>
      </c>
      <c r="T53" s="205">
        <f t="shared" si="1"/>
        <v>33</v>
      </c>
      <c r="U53" s="195">
        <v>398</v>
      </c>
      <c r="V53" s="205">
        <f t="shared" si="2"/>
        <v>2626.7999999999997</v>
      </c>
      <c r="W53" s="195">
        <v>2</v>
      </c>
      <c r="X53" s="195" t="s">
        <v>35</v>
      </c>
      <c r="Y53" s="195" t="s">
        <v>43</v>
      </c>
      <c r="Z53" s="195" t="s">
        <v>55</v>
      </c>
      <c r="AA53" s="195" t="s">
        <v>29</v>
      </c>
      <c r="AB53" s="195" t="s">
        <v>195</v>
      </c>
    </row>
    <row r="54" spans="1:28" x14ac:dyDescent="0.15">
      <c r="A54" s="195" t="s">
        <v>30</v>
      </c>
      <c r="B54" s="195" t="s">
        <v>191</v>
      </c>
      <c r="C54" s="195">
        <v>2020</v>
      </c>
      <c r="D54" s="203" t="s">
        <v>403</v>
      </c>
      <c r="E54" s="195" t="s">
        <v>407</v>
      </c>
      <c r="F54" s="195" t="s">
        <v>404</v>
      </c>
      <c r="G54" s="195" t="s">
        <v>25</v>
      </c>
      <c r="H54" s="195" t="s">
        <v>113</v>
      </c>
      <c r="I54" s="195" t="s">
        <v>111</v>
      </c>
      <c r="J54" s="195" t="s">
        <v>27</v>
      </c>
      <c r="K54" s="195" t="s">
        <v>112</v>
      </c>
      <c r="L54" s="195">
        <v>2</v>
      </c>
      <c r="N54" s="195">
        <v>5</v>
      </c>
      <c r="O54" s="195">
        <v>0.65</v>
      </c>
      <c r="P54" s="195">
        <v>0.8</v>
      </c>
      <c r="Q54" s="204">
        <f t="shared" si="0"/>
        <v>0.72500000000000009</v>
      </c>
      <c r="R54" s="195">
        <v>12.4</v>
      </c>
      <c r="S54" s="195">
        <v>113</v>
      </c>
      <c r="T54" s="205">
        <f t="shared" si="1"/>
        <v>30</v>
      </c>
      <c r="U54" s="195">
        <v>398</v>
      </c>
      <c r="V54" s="205">
        <f t="shared" si="2"/>
        <v>2388</v>
      </c>
      <c r="W54" s="195">
        <v>2</v>
      </c>
      <c r="X54" s="195" t="s">
        <v>35</v>
      </c>
      <c r="Y54" s="195" t="s">
        <v>43</v>
      </c>
      <c r="Z54" s="195" t="s">
        <v>55</v>
      </c>
      <c r="AA54" s="195" t="s">
        <v>29</v>
      </c>
      <c r="AB54" s="195" t="s">
        <v>195</v>
      </c>
    </row>
    <row r="55" spans="1:28" x14ac:dyDescent="0.15">
      <c r="A55" s="195" t="s">
        <v>30</v>
      </c>
      <c r="B55" s="195" t="s">
        <v>191</v>
      </c>
      <c r="C55" s="195">
        <v>2020</v>
      </c>
      <c r="D55" s="203" t="s">
        <v>403</v>
      </c>
      <c r="E55" s="195" t="s">
        <v>407</v>
      </c>
      <c r="F55" s="195" t="s">
        <v>404</v>
      </c>
      <c r="G55" s="195" t="s">
        <v>25</v>
      </c>
      <c r="H55" s="195" t="s">
        <v>113</v>
      </c>
      <c r="I55" s="195" t="s">
        <v>111</v>
      </c>
      <c r="J55" s="195" t="s">
        <v>27</v>
      </c>
      <c r="K55" s="195" t="s">
        <v>112</v>
      </c>
      <c r="L55" s="195">
        <v>3</v>
      </c>
      <c r="N55" s="195">
        <v>5</v>
      </c>
      <c r="O55" s="195">
        <v>0.5</v>
      </c>
      <c r="P55" s="195">
        <v>0.75</v>
      </c>
      <c r="Q55" s="204">
        <f t="shared" si="0"/>
        <v>0.625</v>
      </c>
      <c r="R55" s="195">
        <v>15.2</v>
      </c>
      <c r="S55" s="195">
        <v>114</v>
      </c>
      <c r="T55" s="205">
        <f t="shared" si="1"/>
        <v>30</v>
      </c>
      <c r="U55" s="195">
        <v>398</v>
      </c>
      <c r="V55" s="205">
        <f t="shared" si="2"/>
        <v>2388</v>
      </c>
      <c r="W55" s="195">
        <v>2</v>
      </c>
      <c r="X55" s="195" t="s">
        <v>35</v>
      </c>
      <c r="Y55" s="195" t="s">
        <v>43</v>
      </c>
      <c r="Z55" s="195" t="s">
        <v>55</v>
      </c>
      <c r="AA55" s="195" t="s">
        <v>29</v>
      </c>
      <c r="AB55" s="195" t="s">
        <v>195</v>
      </c>
    </row>
    <row r="56" spans="1:28" x14ac:dyDescent="0.15">
      <c r="A56" s="195" t="s">
        <v>30</v>
      </c>
      <c r="B56" s="195" t="s">
        <v>191</v>
      </c>
      <c r="C56" s="195">
        <v>2020</v>
      </c>
      <c r="D56" s="203" t="s">
        <v>403</v>
      </c>
      <c r="E56" s="195" t="s">
        <v>407</v>
      </c>
      <c r="F56" s="195" t="s">
        <v>404</v>
      </c>
      <c r="G56" s="195" t="s">
        <v>25</v>
      </c>
      <c r="H56" s="195" t="s">
        <v>113</v>
      </c>
      <c r="I56" s="195" t="s">
        <v>111</v>
      </c>
      <c r="J56" s="195" t="s">
        <v>27</v>
      </c>
      <c r="K56" s="195" t="s">
        <v>112</v>
      </c>
      <c r="L56" s="195">
        <v>1</v>
      </c>
      <c r="N56" s="195">
        <v>1</v>
      </c>
      <c r="O56" s="195">
        <v>0.9</v>
      </c>
      <c r="P56" s="195">
        <v>1.1499999999999999</v>
      </c>
      <c r="Q56" s="204">
        <f t="shared" si="0"/>
        <v>1.0249999999999999</v>
      </c>
      <c r="R56" s="195">
        <v>12</v>
      </c>
      <c r="S56" s="195">
        <v>138</v>
      </c>
      <c r="T56" s="205">
        <f t="shared" si="1"/>
        <v>22</v>
      </c>
      <c r="U56" s="195">
        <v>100</v>
      </c>
      <c r="V56" s="205">
        <f t="shared" si="2"/>
        <v>2200</v>
      </c>
      <c r="W56" s="195">
        <v>2</v>
      </c>
      <c r="X56" s="195" t="s">
        <v>35</v>
      </c>
      <c r="Y56" s="195" t="s">
        <v>43</v>
      </c>
      <c r="Z56" s="195" t="s">
        <v>55</v>
      </c>
      <c r="AA56" s="195" t="s">
        <v>29</v>
      </c>
      <c r="AB56" s="195" t="s">
        <v>195</v>
      </c>
    </row>
    <row r="57" spans="1:28" x14ac:dyDescent="0.15">
      <c r="A57" s="195" t="s">
        <v>30</v>
      </c>
      <c r="B57" s="195" t="s">
        <v>191</v>
      </c>
      <c r="C57" s="195">
        <v>2020</v>
      </c>
      <c r="D57" s="203" t="s">
        <v>403</v>
      </c>
      <c r="E57" s="195" t="s">
        <v>407</v>
      </c>
      <c r="F57" s="195" t="s">
        <v>404</v>
      </c>
      <c r="G57" s="195" t="s">
        <v>25</v>
      </c>
      <c r="H57" s="195" t="s">
        <v>113</v>
      </c>
      <c r="I57" s="195" t="s">
        <v>111</v>
      </c>
      <c r="J57" s="195" t="s">
        <v>27</v>
      </c>
      <c r="K57" s="195" t="s">
        <v>112</v>
      </c>
      <c r="L57" s="195">
        <v>2</v>
      </c>
      <c r="N57" s="195">
        <v>1</v>
      </c>
      <c r="O57" s="195">
        <v>0.8</v>
      </c>
      <c r="P57" s="195">
        <v>0.85</v>
      </c>
      <c r="Q57" s="204">
        <f t="shared" si="0"/>
        <v>0.82499999999999996</v>
      </c>
      <c r="R57" s="195">
        <v>14.2</v>
      </c>
      <c r="S57" s="195">
        <v>134</v>
      </c>
      <c r="T57" s="205">
        <f t="shared" si="1"/>
        <v>25</v>
      </c>
      <c r="U57" s="195">
        <v>100</v>
      </c>
      <c r="V57" s="205">
        <f t="shared" si="2"/>
        <v>2500</v>
      </c>
      <c r="W57" s="195">
        <v>2</v>
      </c>
      <c r="X57" s="195" t="s">
        <v>35</v>
      </c>
      <c r="Y57" s="195" t="s">
        <v>43</v>
      </c>
      <c r="Z57" s="195" t="s">
        <v>55</v>
      </c>
      <c r="AA57" s="195" t="s">
        <v>29</v>
      </c>
      <c r="AB57" s="195" t="s">
        <v>195</v>
      </c>
    </row>
    <row r="58" spans="1:28" x14ac:dyDescent="0.15">
      <c r="A58" s="195" t="s">
        <v>30</v>
      </c>
      <c r="B58" s="195" t="s">
        <v>191</v>
      </c>
      <c r="C58" s="195">
        <v>2020</v>
      </c>
      <c r="D58" s="203" t="s">
        <v>403</v>
      </c>
      <c r="E58" s="195" t="s">
        <v>407</v>
      </c>
      <c r="F58" s="195" t="s">
        <v>404</v>
      </c>
      <c r="G58" s="195" t="s">
        <v>25</v>
      </c>
      <c r="H58" s="195" t="s">
        <v>113</v>
      </c>
      <c r="I58" s="195" t="s">
        <v>111</v>
      </c>
      <c r="J58" s="195" t="s">
        <v>27</v>
      </c>
      <c r="K58" s="195" t="s">
        <v>112</v>
      </c>
      <c r="L58" s="195">
        <v>3</v>
      </c>
      <c r="N58" s="195">
        <v>1</v>
      </c>
      <c r="O58" s="195">
        <v>1</v>
      </c>
      <c r="P58" s="195">
        <v>0.95</v>
      </c>
      <c r="Q58" s="204">
        <f t="shared" si="0"/>
        <v>0.97499999999999998</v>
      </c>
      <c r="R58" s="195">
        <v>13.2</v>
      </c>
      <c r="S58" s="195">
        <v>135</v>
      </c>
      <c r="T58" s="205">
        <f t="shared" si="1"/>
        <v>25</v>
      </c>
      <c r="U58" s="195">
        <v>100</v>
      </c>
      <c r="V58" s="205">
        <f t="shared" si="2"/>
        <v>2500</v>
      </c>
      <c r="W58" s="195">
        <v>2</v>
      </c>
      <c r="X58" s="195" t="s">
        <v>35</v>
      </c>
      <c r="Y58" s="195" t="s">
        <v>43</v>
      </c>
      <c r="Z58" s="195" t="s">
        <v>55</v>
      </c>
      <c r="AA58" s="195" t="s">
        <v>29</v>
      </c>
      <c r="AB58" s="195" t="s">
        <v>195</v>
      </c>
    </row>
    <row r="59" spans="1:28" x14ac:dyDescent="0.15">
      <c r="A59" s="195" t="s">
        <v>30</v>
      </c>
      <c r="B59" s="195" t="s">
        <v>191</v>
      </c>
      <c r="C59" s="195">
        <v>2020</v>
      </c>
      <c r="D59" s="203" t="s">
        <v>403</v>
      </c>
      <c r="E59" s="195" t="s">
        <v>407</v>
      </c>
      <c r="F59" s="195" t="s">
        <v>404</v>
      </c>
      <c r="G59" s="195" t="s">
        <v>25</v>
      </c>
      <c r="H59" s="195" t="s">
        <v>164</v>
      </c>
      <c r="I59" s="195" t="s">
        <v>111</v>
      </c>
      <c r="J59" s="195" t="s">
        <v>27</v>
      </c>
      <c r="K59" s="195" t="s">
        <v>112</v>
      </c>
      <c r="L59" s="195">
        <v>1</v>
      </c>
      <c r="N59" s="195">
        <v>1</v>
      </c>
      <c r="O59" s="195">
        <v>0.8</v>
      </c>
      <c r="P59" s="195">
        <v>0.65</v>
      </c>
      <c r="Q59" s="204">
        <f t="shared" si="0"/>
        <v>0.72500000000000009</v>
      </c>
      <c r="R59" s="195">
        <v>16.5</v>
      </c>
      <c r="S59" s="195">
        <v>134</v>
      </c>
      <c r="T59" s="205">
        <f t="shared" si="1"/>
        <v>25</v>
      </c>
      <c r="U59" s="195">
        <v>99</v>
      </c>
      <c r="V59" s="205">
        <f t="shared" si="2"/>
        <v>2475</v>
      </c>
      <c r="W59" s="195">
        <v>5</v>
      </c>
      <c r="X59" s="195" t="s">
        <v>35</v>
      </c>
      <c r="Y59" s="195" t="s">
        <v>43</v>
      </c>
      <c r="Z59" s="195" t="s">
        <v>55</v>
      </c>
      <c r="AA59" s="195" t="s">
        <v>29</v>
      </c>
      <c r="AB59" s="195" t="s">
        <v>195</v>
      </c>
    </row>
    <row r="60" spans="1:28" x14ac:dyDescent="0.15">
      <c r="A60" s="195" t="s">
        <v>30</v>
      </c>
      <c r="B60" s="195" t="s">
        <v>191</v>
      </c>
      <c r="C60" s="195">
        <v>2020</v>
      </c>
      <c r="D60" s="203" t="s">
        <v>403</v>
      </c>
      <c r="E60" s="195" t="s">
        <v>407</v>
      </c>
      <c r="F60" s="195" t="s">
        <v>404</v>
      </c>
      <c r="G60" s="195" t="s">
        <v>25</v>
      </c>
      <c r="H60" s="195" t="s">
        <v>164</v>
      </c>
      <c r="I60" s="195" t="s">
        <v>111</v>
      </c>
      <c r="J60" s="195" t="s">
        <v>27</v>
      </c>
      <c r="K60" s="195" t="s">
        <v>112</v>
      </c>
      <c r="L60" s="195">
        <v>2</v>
      </c>
      <c r="N60" s="195">
        <v>1</v>
      </c>
      <c r="O60" s="195">
        <v>0.9</v>
      </c>
      <c r="P60" s="195">
        <v>0.85</v>
      </c>
      <c r="Q60" s="204">
        <f t="shared" si="0"/>
        <v>0.875</v>
      </c>
      <c r="R60" s="195">
        <v>14.1</v>
      </c>
      <c r="S60" s="195">
        <v>130</v>
      </c>
      <c r="T60" s="205">
        <f t="shared" si="1"/>
        <v>25</v>
      </c>
      <c r="U60" s="195">
        <v>99</v>
      </c>
      <c r="V60" s="205">
        <f t="shared" si="2"/>
        <v>2475</v>
      </c>
      <c r="W60" s="195">
        <v>5</v>
      </c>
      <c r="X60" s="195" t="s">
        <v>35</v>
      </c>
      <c r="Y60" s="195" t="s">
        <v>43</v>
      </c>
      <c r="Z60" s="195" t="s">
        <v>55</v>
      </c>
      <c r="AA60" s="195" t="s">
        <v>29</v>
      </c>
      <c r="AB60" s="195" t="s">
        <v>195</v>
      </c>
    </row>
    <row r="61" spans="1:28" x14ac:dyDescent="0.15">
      <c r="A61" s="195" t="s">
        <v>30</v>
      </c>
      <c r="B61" s="195" t="s">
        <v>191</v>
      </c>
      <c r="C61" s="195">
        <v>2020</v>
      </c>
      <c r="D61" s="203" t="s">
        <v>403</v>
      </c>
      <c r="E61" s="195" t="s">
        <v>407</v>
      </c>
      <c r="F61" s="195" t="s">
        <v>404</v>
      </c>
      <c r="G61" s="195" t="s">
        <v>25</v>
      </c>
      <c r="H61" s="195" t="s">
        <v>164</v>
      </c>
      <c r="I61" s="195" t="s">
        <v>111</v>
      </c>
      <c r="J61" s="195" t="s">
        <v>27</v>
      </c>
      <c r="K61" s="195" t="s">
        <v>112</v>
      </c>
      <c r="L61" s="195">
        <v>3</v>
      </c>
      <c r="N61" s="195">
        <v>1</v>
      </c>
      <c r="O61" s="195">
        <v>0.8</v>
      </c>
      <c r="P61" s="195">
        <v>1</v>
      </c>
      <c r="Q61" s="204">
        <f t="shared" si="0"/>
        <v>0.9</v>
      </c>
      <c r="R61" s="195">
        <v>12.5</v>
      </c>
      <c r="S61" s="195">
        <v>131</v>
      </c>
      <c r="T61" s="205">
        <f t="shared" si="1"/>
        <v>25</v>
      </c>
      <c r="U61" s="195">
        <v>99</v>
      </c>
      <c r="V61" s="205">
        <f t="shared" si="2"/>
        <v>2475</v>
      </c>
      <c r="W61" s="195">
        <v>5</v>
      </c>
      <c r="X61" s="195" t="s">
        <v>35</v>
      </c>
      <c r="Y61" s="195" t="s">
        <v>43</v>
      </c>
      <c r="Z61" s="195" t="s">
        <v>55</v>
      </c>
      <c r="AA61" s="195" t="s">
        <v>29</v>
      </c>
      <c r="AB61" s="195" t="s">
        <v>195</v>
      </c>
    </row>
    <row r="62" spans="1:28" x14ac:dyDescent="0.15">
      <c r="A62" s="195" t="s">
        <v>30</v>
      </c>
      <c r="B62" s="195" t="s">
        <v>191</v>
      </c>
      <c r="C62" s="195">
        <v>2020</v>
      </c>
      <c r="D62" s="203" t="s">
        <v>403</v>
      </c>
      <c r="E62" s="195" t="s">
        <v>407</v>
      </c>
      <c r="F62" s="195" t="s">
        <v>404</v>
      </c>
      <c r="G62" s="195" t="s">
        <v>25</v>
      </c>
      <c r="H62" s="195" t="s">
        <v>164</v>
      </c>
      <c r="I62" s="195" t="s">
        <v>111</v>
      </c>
      <c r="J62" s="195" t="s">
        <v>27</v>
      </c>
      <c r="K62" s="195" t="s">
        <v>112</v>
      </c>
      <c r="L62" s="195">
        <v>1</v>
      </c>
      <c r="N62" s="195">
        <v>4</v>
      </c>
      <c r="O62" s="195">
        <v>0.3</v>
      </c>
      <c r="P62" s="195">
        <v>0.3</v>
      </c>
      <c r="Q62" s="204">
        <f t="shared" si="0"/>
        <v>0.3</v>
      </c>
      <c r="R62" s="195">
        <v>12.4</v>
      </c>
      <c r="S62" s="195">
        <v>124</v>
      </c>
      <c r="T62" s="205">
        <f t="shared" si="1"/>
        <v>27</v>
      </c>
      <c r="U62" s="195">
        <v>488</v>
      </c>
      <c r="V62" s="205">
        <f t="shared" si="2"/>
        <v>3294</v>
      </c>
      <c r="W62" s="195">
        <v>2</v>
      </c>
      <c r="X62" s="195" t="s">
        <v>35</v>
      </c>
      <c r="Y62" s="195" t="s">
        <v>43</v>
      </c>
      <c r="Z62" s="195" t="s">
        <v>55</v>
      </c>
      <c r="AA62" s="195" t="s">
        <v>29</v>
      </c>
      <c r="AB62" s="195" t="s">
        <v>195</v>
      </c>
    </row>
    <row r="63" spans="1:28" x14ac:dyDescent="0.15">
      <c r="A63" s="195" t="s">
        <v>30</v>
      </c>
      <c r="B63" s="195" t="s">
        <v>191</v>
      </c>
      <c r="C63" s="195">
        <v>2020</v>
      </c>
      <c r="D63" s="203" t="s">
        <v>403</v>
      </c>
      <c r="E63" s="195" t="s">
        <v>407</v>
      </c>
      <c r="F63" s="195" t="s">
        <v>404</v>
      </c>
      <c r="G63" s="195" t="s">
        <v>25</v>
      </c>
      <c r="H63" s="195" t="s">
        <v>164</v>
      </c>
      <c r="I63" s="195" t="s">
        <v>111</v>
      </c>
      <c r="J63" s="195" t="s">
        <v>27</v>
      </c>
      <c r="K63" s="195" t="s">
        <v>112</v>
      </c>
      <c r="L63" s="195">
        <v>2</v>
      </c>
      <c r="N63" s="195">
        <v>4</v>
      </c>
      <c r="O63" s="195">
        <v>0.4</v>
      </c>
      <c r="P63" s="195">
        <v>0.25</v>
      </c>
      <c r="Q63" s="204">
        <f t="shared" si="0"/>
        <v>0.32500000000000001</v>
      </c>
      <c r="R63" s="195">
        <v>14.7</v>
      </c>
      <c r="S63" s="195">
        <v>125</v>
      </c>
      <c r="T63" s="205">
        <f t="shared" si="1"/>
        <v>27</v>
      </c>
      <c r="U63" s="195">
        <v>488</v>
      </c>
      <c r="V63" s="205">
        <f t="shared" si="2"/>
        <v>3294</v>
      </c>
      <c r="W63" s="195">
        <v>2</v>
      </c>
      <c r="X63" s="195" t="s">
        <v>35</v>
      </c>
      <c r="Y63" s="195" t="s">
        <v>43</v>
      </c>
      <c r="Z63" s="195" t="s">
        <v>55</v>
      </c>
      <c r="AA63" s="195" t="s">
        <v>29</v>
      </c>
      <c r="AB63" s="195" t="s">
        <v>195</v>
      </c>
    </row>
    <row r="64" spans="1:28" x14ac:dyDescent="0.15">
      <c r="A64" s="195" t="s">
        <v>30</v>
      </c>
      <c r="B64" s="195" t="s">
        <v>191</v>
      </c>
      <c r="C64" s="195">
        <v>2020</v>
      </c>
      <c r="D64" s="203" t="s">
        <v>403</v>
      </c>
      <c r="E64" s="195" t="s">
        <v>407</v>
      </c>
      <c r="F64" s="195" t="s">
        <v>404</v>
      </c>
      <c r="G64" s="195" t="s">
        <v>25</v>
      </c>
      <c r="H64" s="195" t="s">
        <v>164</v>
      </c>
      <c r="I64" s="195" t="s">
        <v>111</v>
      </c>
      <c r="J64" s="195" t="s">
        <v>27</v>
      </c>
      <c r="K64" s="195" t="s">
        <v>112</v>
      </c>
      <c r="L64" s="195">
        <v>3</v>
      </c>
      <c r="N64" s="195">
        <v>4</v>
      </c>
      <c r="O64" s="195">
        <v>0.3</v>
      </c>
      <c r="P64" s="195">
        <v>0.25</v>
      </c>
      <c r="Q64" s="204">
        <f t="shared" si="0"/>
        <v>0.27500000000000002</v>
      </c>
      <c r="R64" s="195">
        <v>15.8</v>
      </c>
      <c r="S64" s="195">
        <v>124</v>
      </c>
      <c r="T64" s="205">
        <f t="shared" si="1"/>
        <v>27</v>
      </c>
      <c r="U64" s="195">
        <v>488</v>
      </c>
      <c r="V64" s="205">
        <f t="shared" si="2"/>
        <v>3294</v>
      </c>
      <c r="W64" s="195">
        <v>2</v>
      </c>
      <c r="X64" s="195" t="s">
        <v>35</v>
      </c>
      <c r="Y64" s="195" t="s">
        <v>43</v>
      </c>
      <c r="Z64" s="195" t="s">
        <v>55</v>
      </c>
      <c r="AA64" s="195" t="s">
        <v>29</v>
      </c>
      <c r="AB64" s="195" t="s">
        <v>195</v>
      </c>
    </row>
    <row r="65" spans="1:28" x14ac:dyDescent="0.15">
      <c r="A65" s="195" t="s">
        <v>30</v>
      </c>
      <c r="B65" s="195" t="s">
        <v>191</v>
      </c>
      <c r="C65" s="195">
        <v>2020</v>
      </c>
      <c r="D65" s="203" t="s">
        <v>403</v>
      </c>
      <c r="E65" s="195" t="s">
        <v>407</v>
      </c>
      <c r="F65" s="195" t="s">
        <v>404</v>
      </c>
      <c r="G65" s="195" t="s">
        <v>25</v>
      </c>
      <c r="H65" s="195" t="s">
        <v>164</v>
      </c>
      <c r="I65" s="195" t="s">
        <v>111</v>
      </c>
      <c r="J65" s="195" t="s">
        <v>27</v>
      </c>
      <c r="K65" s="195" t="s">
        <v>112</v>
      </c>
      <c r="L65" s="195">
        <v>1</v>
      </c>
      <c r="N65" s="195">
        <v>8</v>
      </c>
      <c r="O65" s="195">
        <v>0.65</v>
      </c>
      <c r="P65" s="195">
        <v>0.75</v>
      </c>
      <c r="Q65" s="204">
        <f t="shared" si="0"/>
        <v>0.7</v>
      </c>
      <c r="R65" s="195">
        <v>17.8</v>
      </c>
      <c r="S65" s="195">
        <v>126</v>
      </c>
      <c r="T65" s="205">
        <f t="shared" si="1"/>
        <v>27</v>
      </c>
      <c r="U65" s="195">
        <v>980</v>
      </c>
      <c r="V65" s="205">
        <f t="shared" si="2"/>
        <v>3307.5</v>
      </c>
      <c r="W65" s="195">
        <v>5</v>
      </c>
      <c r="X65" s="195" t="s">
        <v>35</v>
      </c>
      <c r="Y65" s="195" t="s">
        <v>43</v>
      </c>
      <c r="Z65" s="195" t="s">
        <v>55</v>
      </c>
      <c r="AA65" s="195" t="s">
        <v>29</v>
      </c>
      <c r="AB65" s="195" t="s">
        <v>195</v>
      </c>
    </row>
    <row r="66" spans="1:28" x14ac:dyDescent="0.15">
      <c r="A66" s="195" t="s">
        <v>30</v>
      </c>
      <c r="B66" s="195" t="s">
        <v>191</v>
      </c>
      <c r="C66" s="195">
        <v>2020</v>
      </c>
      <c r="D66" s="203" t="s">
        <v>403</v>
      </c>
      <c r="E66" s="195" t="s">
        <v>407</v>
      </c>
      <c r="F66" s="195" t="s">
        <v>404</v>
      </c>
      <c r="G66" s="195" t="s">
        <v>25</v>
      </c>
      <c r="H66" s="195" t="s">
        <v>164</v>
      </c>
      <c r="I66" s="195" t="s">
        <v>111</v>
      </c>
      <c r="J66" s="195" t="s">
        <v>27</v>
      </c>
      <c r="K66" s="195" t="s">
        <v>112</v>
      </c>
      <c r="L66" s="195">
        <v>2</v>
      </c>
      <c r="N66" s="195">
        <v>8</v>
      </c>
      <c r="O66" s="195">
        <v>0.5</v>
      </c>
      <c r="P66" s="195">
        <v>0.55000000000000004</v>
      </c>
      <c r="Q66" s="204">
        <f t="shared" ref="Q66:Q129" si="3">IF(OR(O66="",P66=""),"",AVERAGE(O66,P66))</f>
        <v>0.52500000000000002</v>
      </c>
      <c r="R66" s="195">
        <v>16.8</v>
      </c>
      <c r="S66" s="195">
        <v>127</v>
      </c>
      <c r="T66" s="205">
        <f t="shared" ref="T66:T73" si="4">IF(H66="","",IF(OR(H66="GREEN",H66="GK"),IF(S66&gt;=$AX$2,VLOOKUP(S66,$AX$2:$AY$10,2,1),""),IF(S66&gt;=$AZ$2,VLOOKUP(S66,$AZ$2:$BA$10,2,1),"")))</f>
        <v>27</v>
      </c>
      <c r="U66" s="195">
        <v>980</v>
      </c>
      <c r="V66" s="205">
        <f t="shared" ref="V66:V74" si="5">IF(OR(N66="",U66="",T66=""),"",U66/N66*T66)</f>
        <v>3307.5</v>
      </c>
      <c r="W66" s="195">
        <v>5</v>
      </c>
      <c r="X66" s="195" t="s">
        <v>35</v>
      </c>
      <c r="Y66" s="195" t="s">
        <v>43</v>
      </c>
      <c r="Z66" s="195" t="s">
        <v>55</v>
      </c>
      <c r="AA66" s="195" t="s">
        <v>29</v>
      </c>
      <c r="AB66" s="195" t="s">
        <v>195</v>
      </c>
    </row>
    <row r="67" spans="1:28" x14ac:dyDescent="0.15">
      <c r="A67" s="195" t="s">
        <v>30</v>
      </c>
      <c r="B67" s="195" t="s">
        <v>191</v>
      </c>
      <c r="C67" s="195">
        <v>2020</v>
      </c>
      <c r="D67" s="203" t="s">
        <v>403</v>
      </c>
      <c r="E67" s="195" t="s">
        <v>407</v>
      </c>
      <c r="F67" s="195" t="s">
        <v>404</v>
      </c>
      <c r="G67" s="195" t="s">
        <v>25</v>
      </c>
      <c r="H67" s="195" t="s">
        <v>164</v>
      </c>
      <c r="I67" s="195" t="s">
        <v>111</v>
      </c>
      <c r="J67" s="195" t="s">
        <v>27</v>
      </c>
      <c r="K67" s="195" t="s">
        <v>112</v>
      </c>
      <c r="L67" s="195">
        <v>3</v>
      </c>
      <c r="N67" s="195">
        <v>8</v>
      </c>
      <c r="O67" s="195">
        <v>0.45</v>
      </c>
      <c r="P67" s="195">
        <v>0.55000000000000004</v>
      </c>
      <c r="Q67" s="204">
        <f t="shared" si="3"/>
        <v>0.5</v>
      </c>
      <c r="R67" s="195">
        <v>15.4</v>
      </c>
      <c r="S67" s="195">
        <v>122</v>
      </c>
      <c r="T67" s="205">
        <f t="shared" si="4"/>
        <v>27</v>
      </c>
      <c r="U67" s="195">
        <v>980</v>
      </c>
      <c r="V67" s="205">
        <f t="shared" si="5"/>
        <v>3307.5</v>
      </c>
      <c r="W67" s="195">
        <v>5</v>
      </c>
      <c r="X67" s="195" t="s">
        <v>35</v>
      </c>
      <c r="Y67" s="195" t="s">
        <v>43</v>
      </c>
      <c r="Z67" s="195" t="s">
        <v>55</v>
      </c>
      <c r="AA67" s="195" t="s">
        <v>29</v>
      </c>
      <c r="AB67" s="195" t="s">
        <v>195</v>
      </c>
    </row>
    <row r="68" spans="1:28" x14ac:dyDescent="0.15">
      <c r="A68" s="195" t="s">
        <v>30</v>
      </c>
      <c r="B68" s="195" t="s">
        <v>191</v>
      </c>
      <c r="C68" s="195">
        <v>2020</v>
      </c>
      <c r="D68" s="203" t="s">
        <v>403</v>
      </c>
      <c r="E68" s="195" t="s">
        <v>407</v>
      </c>
      <c r="F68" s="195" t="s">
        <v>408</v>
      </c>
      <c r="G68" s="195" t="s">
        <v>25</v>
      </c>
      <c r="H68" s="195" t="s">
        <v>164</v>
      </c>
      <c r="I68" s="195" t="s">
        <v>111</v>
      </c>
      <c r="J68" s="195" t="s">
        <v>27</v>
      </c>
      <c r="K68" s="195" t="s">
        <v>112</v>
      </c>
      <c r="L68" s="195">
        <v>1</v>
      </c>
      <c r="N68" s="195">
        <v>1</v>
      </c>
      <c r="O68" s="195">
        <v>0.25</v>
      </c>
      <c r="P68" s="195">
        <v>0.35</v>
      </c>
      <c r="Q68" s="204">
        <f t="shared" si="3"/>
        <v>0.3</v>
      </c>
      <c r="R68" s="195">
        <v>16.2</v>
      </c>
      <c r="S68" s="195">
        <v>132</v>
      </c>
      <c r="T68" s="205">
        <f t="shared" si="4"/>
        <v>25</v>
      </c>
      <c r="U68" s="195">
        <v>99</v>
      </c>
      <c r="V68" s="205">
        <f t="shared" si="5"/>
        <v>2475</v>
      </c>
      <c r="W68" s="195">
        <v>3</v>
      </c>
      <c r="X68" s="195" t="s">
        <v>35</v>
      </c>
      <c r="Y68" s="195" t="s">
        <v>43</v>
      </c>
      <c r="Z68" s="195" t="s">
        <v>72</v>
      </c>
      <c r="AA68" s="195" t="s">
        <v>55</v>
      </c>
      <c r="AB68" s="195" t="s">
        <v>195</v>
      </c>
    </row>
    <row r="69" spans="1:28" x14ac:dyDescent="0.15">
      <c r="A69" s="195" t="s">
        <v>30</v>
      </c>
      <c r="B69" s="195" t="s">
        <v>191</v>
      </c>
      <c r="C69" s="195">
        <v>2020</v>
      </c>
      <c r="D69" s="203" t="s">
        <v>403</v>
      </c>
      <c r="E69" s="195" t="s">
        <v>407</v>
      </c>
      <c r="F69" s="195" t="s">
        <v>408</v>
      </c>
      <c r="G69" s="195" t="s">
        <v>25</v>
      </c>
      <c r="H69" s="195" t="s">
        <v>164</v>
      </c>
      <c r="I69" s="195" t="s">
        <v>111</v>
      </c>
      <c r="J69" s="195" t="s">
        <v>27</v>
      </c>
      <c r="K69" s="195" t="s">
        <v>112</v>
      </c>
      <c r="L69" s="195">
        <v>2</v>
      </c>
      <c r="N69" s="195">
        <v>1</v>
      </c>
      <c r="O69" s="195">
        <v>0.3</v>
      </c>
      <c r="P69" s="195">
        <v>0.25</v>
      </c>
      <c r="Q69" s="204">
        <f t="shared" si="3"/>
        <v>0.27500000000000002</v>
      </c>
      <c r="R69" s="195">
        <v>16.3</v>
      </c>
      <c r="S69" s="195">
        <v>134</v>
      </c>
      <c r="T69" s="205">
        <f t="shared" si="4"/>
        <v>25</v>
      </c>
      <c r="U69" s="195">
        <v>99</v>
      </c>
      <c r="V69" s="205">
        <f t="shared" si="5"/>
        <v>2475</v>
      </c>
      <c r="W69" s="195">
        <v>3</v>
      </c>
      <c r="X69" s="195" t="s">
        <v>35</v>
      </c>
      <c r="Y69" s="195" t="s">
        <v>43</v>
      </c>
      <c r="Z69" s="195" t="s">
        <v>72</v>
      </c>
      <c r="AA69" s="195" t="s">
        <v>55</v>
      </c>
      <c r="AB69" s="195" t="s">
        <v>195</v>
      </c>
    </row>
    <row r="70" spans="1:28" x14ac:dyDescent="0.15">
      <c r="A70" s="195" t="s">
        <v>30</v>
      </c>
      <c r="B70" s="195" t="s">
        <v>191</v>
      </c>
      <c r="C70" s="195">
        <v>2020</v>
      </c>
      <c r="D70" s="203" t="s">
        <v>403</v>
      </c>
      <c r="E70" s="195" t="s">
        <v>407</v>
      </c>
      <c r="F70" s="195" t="s">
        <v>408</v>
      </c>
      <c r="G70" s="195" t="s">
        <v>25</v>
      </c>
      <c r="H70" s="195" t="s">
        <v>164</v>
      </c>
      <c r="I70" s="195" t="s">
        <v>111</v>
      </c>
      <c r="J70" s="195" t="s">
        <v>27</v>
      </c>
      <c r="K70" s="195" t="s">
        <v>112</v>
      </c>
      <c r="L70" s="195">
        <v>3</v>
      </c>
      <c r="N70" s="195">
        <v>1</v>
      </c>
      <c r="O70" s="195">
        <v>0.35</v>
      </c>
      <c r="P70" s="195">
        <v>0.3</v>
      </c>
      <c r="Q70" s="204">
        <f t="shared" si="3"/>
        <v>0.32499999999999996</v>
      </c>
      <c r="R70" s="195">
        <v>15.1</v>
      </c>
      <c r="S70" s="195">
        <v>129</v>
      </c>
      <c r="T70" s="205">
        <f t="shared" si="4"/>
        <v>25</v>
      </c>
      <c r="U70" s="195">
        <v>99</v>
      </c>
      <c r="V70" s="205">
        <f t="shared" si="5"/>
        <v>2475</v>
      </c>
      <c r="W70" s="195">
        <v>3</v>
      </c>
      <c r="X70" s="195" t="s">
        <v>35</v>
      </c>
      <c r="Y70" s="195" t="s">
        <v>43</v>
      </c>
      <c r="Z70" s="195" t="s">
        <v>72</v>
      </c>
      <c r="AA70" s="195" t="s">
        <v>55</v>
      </c>
      <c r="AB70" s="195" t="s">
        <v>195</v>
      </c>
    </row>
    <row r="71" spans="1:28" x14ac:dyDescent="0.15">
      <c r="A71" s="195" t="s">
        <v>30</v>
      </c>
      <c r="B71" s="195" t="s">
        <v>191</v>
      </c>
      <c r="C71" s="195">
        <v>2020</v>
      </c>
      <c r="D71" s="203" t="s">
        <v>403</v>
      </c>
      <c r="E71" s="195" t="s">
        <v>407</v>
      </c>
      <c r="F71" s="195" t="s">
        <v>408</v>
      </c>
      <c r="G71" s="195" t="s">
        <v>25</v>
      </c>
      <c r="H71" s="195" t="s">
        <v>164</v>
      </c>
      <c r="I71" s="195" t="s">
        <v>111</v>
      </c>
      <c r="J71" s="195" t="s">
        <v>27</v>
      </c>
      <c r="K71" s="195" t="s">
        <v>112</v>
      </c>
      <c r="L71" s="195">
        <v>1</v>
      </c>
      <c r="N71" s="195">
        <v>4</v>
      </c>
      <c r="O71" s="195">
        <v>0.4</v>
      </c>
      <c r="P71" s="195">
        <v>0.55000000000000004</v>
      </c>
      <c r="Q71" s="204">
        <f t="shared" si="3"/>
        <v>0.47500000000000003</v>
      </c>
      <c r="R71" s="195">
        <v>14.2</v>
      </c>
      <c r="S71" s="195">
        <v>124</v>
      </c>
      <c r="T71" s="205">
        <f t="shared" si="4"/>
        <v>27</v>
      </c>
      <c r="U71" s="195">
        <v>396</v>
      </c>
      <c r="V71" s="205">
        <f t="shared" si="5"/>
        <v>2673</v>
      </c>
      <c r="W71" s="195">
        <v>3</v>
      </c>
      <c r="X71" s="195" t="s">
        <v>35</v>
      </c>
      <c r="Y71" s="195" t="s">
        <v>43</v>
      </c>
      <c r="Z71" s="195" t="s">
        <v>72</v>
      </c>
      <c r="AA71" s="195" t="s">
        <v>55</v>
      </c>
      <c r="AB71" s="195" t="s">
        <v>195</v>
      </c>
    </row>
    <row r="72" spans="1:28" x14ac:dyDescent="0.15">
      <c r="A72" s="195" t="s">
        <v>30</v>
      </c>
      <c r="B72" s="195" t="s">
        <v>191</v>
      </c>
      <c r="C72" s="195">
        <v>2020</v>
      </c>
      <c r="D72" s="203" t="s">
        <v>403</v>
      </c>
      <c r="E72" s="195" t="s">
        <v>407</v>
      </c>
      <c r="F72" s="195" t="s">
        <v>408</v>
      </c>
      <c r="G72" s="195" t="s">
        <v>25</v>
      </c>
      <c r="H72" s="195" t="s">
        <v>164</v>
      </c>
      <c r="I72" s="195" t="s">
        <v>111</v>
      </c>
      <c r="J72" s="195" t="s">
        <v>27</v>
      </c>
      <c r="K72" s="195" t="s">
        <v>112</v>
      </c>
      <c r="L72" s="195">
        <v>2</v>
      </c>
      <c r="N72" s="195">
        <v>4</v>
      </c>
      <c r="O72" s="195">
        <v>0.3</v>
      </c>
      <c r="P72" s="195">
        <v>0.5</v>
      </c>
      <c r="Q72" s="204">
        <f t="shared" si="3"/>
        <v>0.4</v>
      </c>
      <c r="R72" s="195">
        <v>15.8</v>
      </c>
      <c r="S72" s="195">
        <v>122</v>
      </c>
      <c r="T72" s="205">
        <f t="shared" si="4"/>
        <v>27</v>
      </c>
      <c r="U72" s="195">
        <v>396</v>
      </c>
      <c r="V72" s="205">
        <f t="shared" si="5"/>
        <v>2673</v>
      </c>
      <c r="W72" s="195">
        <v>3</v>
      </c>
      <c r="X72" s="195" t="s">
        <v>35</v>
      </c>
      <c r="Y72" s="195" t="s">
        <v>43</v>
      </c>
      <c r="Z72" s="195" t="s">
        <v>72</v>
      </c>
      <c r="AA72" s="195" t="s">
        <v>55</v>
      </c>
      <c r="AB72" s="195" t="s">
        <v>195</v>
      </c>
    </row>
    <row r="73" spans="1:28" x14ac:dyDescent="0.15">
      <c r="A73" s="195" t="s">
        <v>30</v>
      </c>
      <c r="B73" s="195" t="s">
        <v>191</v>
      </c>
      <c r="C73" s="195">
        <v>2020</v>
      </c>
      <c r="D73" s="203" t="s">
        <v>403</v>
      </c>
      <c r="E73" s="195" t="s">
        <v>407</v>
      </c>
      <c r="F73" s="195" t="s">
        <v>408</v>
      </c>
      <c r="G73" s="195" t="s">
        <v>25</v>
      </c>
      <c r="H73" s="195" t="s">
        <v>164</v>
      </c>
      <c r="I73" s="195" t="s">
        <v>111</v>
      </c>
      <c r="J73" s="195" t="s">
        <v>27</v>
      </c>
      <c r="K73" s="195" t="s">
        <v>112</v>
      </c>
      <c r="L73" s="195">
        <v>3</v>
      </c>
      <c r="N73" s="195">
        <v>4</v>
      </c>
      <c r="O73" s="195">
        <v>0.35</v>
      </c>
      <c r="P73" s="195">
        <v>0.35</v>
      </c>
      <c r="Q73" s="204">
        <f t="shared" si="3"/>
        <v>0.35</v>
      </c>
      <c r="R73" s="195">
        <v>17.2</v>
      </c>
      <c r="S73" s="195">
        <v>122</v>
      </c>
      <c r="T73" s="205">
        <f t="shared" si="4"/>
        <v>27</v>
      </c>
      <c r="U73" s="195">
        <v>396</v>
      </c>
      <c r="V73" s="205">
        <f t="shared" si="5"/>
        <v>2673</v>
      </c>
      <c r="W73" s="195">
        <v>3</v>
      </c>
      <c r="X73" s="195" t="s">
        <v>35</v>
      </c>
      <c r="Y73" s="195" t="s">
        <v>43</v>
      </c>
      <c r="Z73" s="195" t="s">
        <v>72</v>
      </c>
      <c r="AA73" s="195" t="s">
        <v>55</v>
      </c>
      <c r="AB73" s="195" t="s">
        <v>195</v>
      </c>
    </row>
    <row r="74" spans="1:28" x14ac:dyDescent="0.15">
      <c r="A74" s="195" t="s">
        <v>30</v>
      </c>
      <c r="B74" s="195" t="s">
        <v>191</v>
      </c>
      <c r="C74" s="195">
        <v>2020</v>
      </c>
      <c r="D74" s="203" t="s">
        <v>403</v>
      </c>
      <c r="E74" s="195" t="s">
        <v>407</v>
      </c>
      <c r="F74" s="195" t="s">
        <v>408</v>
      </c>
      <c r="G74" s="195" t="s">
        <v>25</v>
      </c>
      <c r="H74" s="195" t="s">
        <v>164</v>
      </c>
      <c r="I74" s="195" t="s">
        <v>111</v>
      </c>
      <c r="J74" s="195" t="s">
        <v>27</v>
      </c>
      <c r="K74" s="195" t="s">
        <v>112</v>
      </c>
      <c r="L74" s="195">
        <v>1</v>
      </c>
      <c r="N74" s="195">
        <v>6</v>
      </c>
      <c r="O74" s="195">
        <v>0.25</v>
      </c>
      <c r="P74" s="195">
        <v>0.3</v>
      </c>
      <c r="Q74" s="204">
        <f t="shared" si="3"/>
        <v>0.27500000000000002</v>
      </c>
      <c r="R74" s="195">
        <v>14</v>
      </c>
      <c r="S74" s="195">
        <v>121</v>
      </c>
      <c r="T74" s="205">
        <f t="shared" ref="T74:T85" si="6">IF(H74="","",IF(OR(H74="GREEN",H74="GK"),IF(S74&gt;=$AX$2,VLOOKUP(S74,$AX$2:$AY$12,2,1),""),IF(S74&gt;=$AZ$2,VLOOKUP(S74,$AZ$2:$BA$12,2,1),"")))</f>
        <v>27</v>
      </c>
      <c r="U74" s="195">
        <v>780</v>
      </c>
      <c r="V74" s="205">
        <f t="shared" si="5"/>
        <v>3510</v>
      </c>
      <c r="W74" s="195">
        <v>3</v>
      </c>
      <c r="X74" s="195" t="s">
        <v>35</v>
      </c>
      <c r="Y74" s="195" t="s">
        <v>43</v>
      </c>
      <c r="Z74" s="195" t="s">
        <v>72</v>
      </c>
      <c r="AA74" s="195" t="s">
        <v>55</v>
      </c>
      <c r="AB74" s="195" t="s">
        <v>195</v>
      </c>
    </row>
    <row r="75" spans="1:28" x14ac:dyDescent="0.15">
      <c r="A75" s="195" t="s">
        <v>30</v>
      </c>
      <c r="B75" s="195" t="s">
        <v>191</v>
      </c>
      <c r="C75" s="195">
        <v>2020</v>
      </c>
      <c r="D75" s="203" t="s">
        <v>403</v>
      </c>
      <c r="E75" s="195" t="s">
        <v>407</v>
      </c>
      <c r="F75" s="195" t="s">
        <v>408</v>
      </c>
      <c r="G75" s="195" t="s">
        <v>25</v>
      </c>
      <c r="H75" s="195" t="s">
        <v>164</v>
      </c>
      <c r="I75" s="195" t="s">
        <v>111</v>
      </c>
      <c r="J75" s="195" t="s">
        <v>27</v>
      </c>
      <c r="K75" s="195" t="s">
        <v>112</v>
      </c>
      <c r="L75" s="195">
        <v>2</v>
      </c>
      <c r="N75" s="195">
        <v>6</v>
      </c>
      <c r="O75" s="195">
        <v>0.3</v>
      </c>
      <c r="P75" s="195">
        <v>0.25</v>
      </c>
      <c r="Q75" s="204">
        <f t="shared" si="3"/>
        <v>0.27500000000000002</v>
      </c>
      <c r="R75" s="195">
        <v>14.9</v>
      </c>
      <c r="S75" s="195">
        <v>124</v>
      </c>
      <c r="T75" s="205">
        <f t="shared" si="6"/>
        <v>27</v>
      </c>
      <c r="U75" s="195">
        <v>780</v>
      </c>
      <c r="V75" s="205">
        <f>IF(OR(N75="",U75="",T75=""),"",U75/N75*T75)</f>
        <v>3510</v>
      </c>
      <c r="W75" s="195">
        <v>3</v>
      </c>
      <c r="X75" s="195" t="s">
        <v>35</v>
      </c>
      <c r="Y75" s="195" t="s">
        <v>43</v>
      </c>
      <c r="Z75" s="195" t="s">
        <v>72</v>
      </c>
      <c r="AA75" s="195" t="s">
        <v>55</v>
      </c>
      <c r="AB75" s="195" t="s">
        <v>195</v>
      </c>
    </row>
    <row r="76" spans="1:28" x14ac:dyDescent="0.15">
      <c r="A76" s="195" t="s">
        <v>30</v>
      </c>
      <c r="B76" s="195" t="s">
        <v>191</v>
      </c>
      <c r="C76" s="195">
        <v>2020</v>
      </c>
      <c r="D76" s="203" t="s">
        <v>403</v>
      </c>
      <c r="E76" s="195" t="s">
        <v>407</v>
      </c>
      <c r="F76" s="195" t="s">
        <v>408</v>
      </c>
      <c r="G76" s="195" t="s">
        <v>25</v>
      </c>
      <c r="H76" s="195" t="s">
        <v>164</v>
      </c>
      <c r="I76" s="195" t="s">
        <v>111</v>
      </c>
      <c r="J76" s="195" t="s">
        <v>27</v>
      </c>
      <c r="K76" s="195" t="s">
        <v>112</v>
      </c>
      <c r="L76" s="195">
        <v>3</v>
      </c>
      <c r="N76" s="195">
        <v>6</v>
      </c>
      <c r="O76" s="195">
        <v>0.35</v>
      </c>
      <c r="P76" s="195">
        <v>0.3</v>
      </c>
      <c r="Q76" s="204">
        <f t="shared" si="3"/>
        <v>0.32499999999999996</v>
      </c>
      <c r="R76" s="195">
        <v>15.4</v>
      </c>
      <c r="S76" s="195">
        <v>122</v>
      </c>
      <c r="T76" s="205">
        <f t="shared" si="6"/>
        <v>27</v>
      </c>
      <c r="U76" s="195">
        <v>780</v>
      </c>
      <c r="V76" s="205">
        <f>IF(OR(N76="",U76="",T76=""),"",U76/N76*T76)</f>
        <v>3510</v>
      </c>
      <c r="W76" s="195">
        <v>3</v>
      </c>
      <c r="X76" s="195" t="s">
        <v>35</v>
      </c>
      <c r="Y76" s="195" t="s">
        <v>43</v>
      </c>
      <c r="Z76" s="195" t="s">
        <v>72</v>
      </c>
      <c r="AA76" s="195" t="s">
        <v>55</v>
      </c>
      <c r="AB76" s="195" t="s">
        <v>195</v>
      </c>
    </row>
    <row r="77" spans="1:28" x14ac:dyDescent="0.15">
      <c r="A77" s="195" t="s">
        <v>30</v>
      </c>
      <c r="B77" s="195" t="s">
        <v>191</v>
      </c>
      <c r="C77" s="195">
        <v>2020</v>
      </c>
      <c r="D77" s="203" t="s">
        <v>403</v>
      </c>
      <c r="E77" s="195" t="s">
        <v>407</v>
      </c>
      <c r="F77" s="195" t="s">
        <v>408</v>
      </c>
      <c r="G77" s="195" t="s">
        <v>25</v>
      </c>
      <c r="H77" s="195" t="s">
        <v>113</v>
      </c>
      <c r="I77" s="195" t="s">
        <v>111</v>
      </c>
      <c r="J77" s="195" t="s">
        <v>27</v>
      </c>
      <c r="K77" s="195" t="s">
        <v>112</v>
      </c>
      <c r="L77" s="195">
        <v>1</v>
      </c>
      <c r="N77" s="195">
        <v>1</v>
      </c>
      <c r="O77" s="195">
        <v>0.6</v>
      </c>
      <c r="P77" s="195">
        <v>0.65</v>
      </c>
      <c r="Q77" s="204">
        <f t="shared" si="3"/>
        <v>0.625</v>
      </c>
      <c r="R77" s="195">
        <v>13.5</v>
      </c>
      <c r="S77" s="195">
        <v>139</v>
      </c>
      <c r="T77" s="205">
        <f t="shared" si="6"/>
        <v>22</v>
      </c>
      <c r="U77" s="195">
        <v>158</v>
      </c>
      <c r="V77" s="205">
        <f>IF(OR(N77="",U77="",T77=""),"",U77/N77*T77)</f>
        <v>3476</v>
      </c>
      <c r="W77" s="195">
        <v>2</v>
      </c>
      <c r="X77" s="195" t="s">
        <v>35</v>
      </c>
      <c r="Y77" s="195" t="s">
        <v>43</v>
      </c>
      <c r="Z77" s="195" t="s">
        <v>72</v>
      </c>
      <c r="AA77" s="195" t="s">
        <v>55</v>
      </c>
      <c r="AB77" s="195" t="s">
        <v>195</v>
      </c>
    </row>
    <row r="78" spans="1:28" x14ac:dyDescent="0.15">
      <c r="A78" s="195" t="s">
        <v>30</v>
      </c>
      <c r="B78" s="195" t="s">
        <v>191</v>
      </c>
      <c r="C78" s="195">
        <v>2020</v>
      </c>
      <c r="D78" s="203" t="s">
        <v>403</v>
      </c>
      <c r="E78" s="195" t="s">
        <v>407</v>
      </c>
      <c r="F78" s="195" t="s">
        <v>408</v>
      </c>
      <c r="G78" s="195" t="s">
        <v>25</v>
      </c>
      <c r="H78" s="195" t="s">
        <v>113</v>
      </c>
      <c r="I78" s="195" t="s">
        <v>111</v>
      </c>
      <c r="J78" s="195" t="s">
        <v>27</v>
      </c>
      <c r="K78" s="195" t="s">
        <v>112</v>
      </c>
      <c r="L78" s="195">
        <v>2</v>
      </c>
      <c r="N78" s="195">
        <v>1</v>
      </c>
      <c r="O78" s="195">
        <v>0.85</v>
      </c>
      <c r="P78" s="195">
        <v>0.75</v>
      </c>
      <c r="Q78" s="204">
        <f t="shared" si="3"/>
        <v>0.8</v>
      </c>
      <c r="R78" s="195">
        <v>12.3</v>
      </c>
      <c r="S78" s="195">
        <v>137</v>
      </c>
      <c r="T78" s="205">
        <f t="shared" si="6"/>
        <v>25</v>
      </c>
      <c r="U78" s="195">
        <v>158</v>
      </c>
      <c r="V78" s="205">
        <f t="shared" ref="V78:V141" si="7">IF(OR(N78="",U78="",T78=""),"",U78/N78*T78)</f>
        <v>3950</v>
      </c>
      <c r="W78" s="195">
        <v>2</v>
      </c>
      <c r="X78" s="195" t="s">
        <v>35</v>
      </c>
      <c r="Y78" s="195" t="s">
        <v>43</v>
      </c>
      <c r="Z78" s="195" t="s">
        <v>72</v>
      </c>
      <c r="AA78" s="195" t="s">
        <v>55</v>
      </c>
      <c r="AB78" s="195" t="s">
        <v>195</v>
      </c>
    </row>
    <row r="79" spans="1:28" x14ac:dyDescent="0.15">
      <c r="A79" s="195" t="s">
        <v>30</v>
      </c>
      <c r="B79" s="195" t="s">
        <v>191</v>
      </c>
      <c r="C79" s="195">
        <v>2020</v>
      </c>
      <c r="D79" s="203" t="s">
        <v>403</v>
      </c>
      <c r="E79" s="195" t="s">
        <v>407</v>
      </c>
      <c r="F79" s="195" t="s">
        <v>408</v>
      </c>
      <c r="G79" s="195" t="s">
        <v>25</v>
      </c>
      <c r="H79" s="195" t="s">
        <v>113</v>
      </c>
      <c r="I79" s="195" t="s">
        <v>111</v>
      </c>
      <c r="J79" s="195" t="s">
        <v>27</v>
      </c>
      <c r="K79" s="195" t="s">
        <v>112</v>
      </c>
      <c r="L79" s="195">
        <v>3</v>
      </c>
      <c r="N79" s="195">
        <v>1</v>
      </c>
      <c r="O79" s="195">
        <v>0.9</v>
      </c>
      <c r="P79" s="195">
        <v>0.95</v>
      </c>
      <c r="Q79" s="204">
        <f t="shared" si="3"/>
        <v>0.92500000000000004</v>
      </c>
      <c r="R79" s="195">
        <v>14.2</v>
      </c>
      <c r="S79" s="195">
        <v>140</v>
      </c>
      <c r="T79" s="205">
        <f t="shared" si="6"/>
        <v>22</v>
      </c>
      <c r="U79" s="195">
        <v>158</v>
      </c>
      <c r="V79" s="205">
        <f t="shared" si="7"/>
        <v>3476</v>
      </c>
      <c r="W79" s="195">
        <v>2</v>
      </c>
      <c r="X79" s="195" t="s">
        <v>35</v>
      </c>
      <c r="Y79" s="195" t="s">
        <v>43</v>
      </c>
      <c r="Z79" s="195" t="s">
        <v>72</v>
      </c>
      <c r="AA79" s="195" t="s">
        <v>55</v>
      </c>
      <c r="AB79" s="195" t="s">
        <v>195</v>
      </c>
    </row>
    <row r="80" spans="1:28" x14ac:dyDescent="0.15">
      <c r="A80" s="195" t="s">
        <v>30</v>
      </c>
      <c r="B80" s="195" t="s">
        <v>191</v>
      </c>
      <c r="C80" s="195">
        <v>2020</v>
      </c>
      <c r="D80" s="203" t="s">
        <v>403</v>
      </c>
      <c r="E80" s="195" t="s">
        <v>407</v>
      </c>
      <c r="F80" s="195" t="s">
        <v>408</v>
      </c>
      <c r="G80" s="195" t="s">
        <v>25</v>
      </c>
      <c r="H80" s="195" t="s">
        <v>113</v>
      </c>
      <c r="I80" s="195" t="s">
        <v>111</v>
      </c>
      <c r="J80" s="195" t="s">
        <v>27</v>
      </c>
      <c r="K80" s="195" t="s">
        <v>112</v>
      </c>
      <c r="L80" s="195">
        <v>1</v>
      </c>
      <c r="N80" s="195">
        <v>4</v>
      </c>
      <c r="O80" s="195">
        <v>1</v>
      </c>
      <c r="P80" s="195">
        <v>1.05</v>
      </c>
      <c r="Q80" s="204">
        <f t="shared" si="3"/>
        <v>1.0249999999999999</v>
      </c>
      <c r="R80" s="195">
        <v>11.2</v>
      </c>
      <c r="S80" s="195">
        <v>115</v>
      </c>
      <c r="T80" s="205">
        <f t="shared" si="6"/>
        <v>30</v>
      </c>
      <c r="U80" s="195">
        <v>398</v>
      </c>
      <c r="V80" s="205">
        <f t="shared" si="7"/>
        <v>2985</v>
      </c>
      <c r="W80" s="195">
        <v>2</v>
      </c>
      <c r="X80" s="195" t="s">
        <v>35</v>
      </c>
      <c r="Y80" s="195" t="s">
        <v>43</v>
      </c>
      <c r="Z80" s="195" t="s">
        <v>72</v>
      </c>
      <c r="AA80" s="195" t="s">
        <v>55</v>
      </c>
      <c r="AB80" s="195" t="s">
        <v>195</v>
      </c>
    </row>
    <row r="81" spans="1:28" x14ac:dyDescent="0.15">
      <c r="A81" s="195" t="s">
        <v>30</v>
      </c>
      <c r="B81" s="195" t="s">
        <v>191</v>
      </c>
      <c r="C81" s="195">
        <v>2020</v>
      </c>
      <c r="D81" s="203" t="s">
        <v>403</v>
      </c>
      <c r="E81" s="195" t="s">
        <v>407</v>
      </c>
      <c r="F81" s="195" t="s">
        <v>408</v>
      </c>
      <c r="G81" s="195" t="s">
        <v>25</v>
      </c>
      <c r="H81" s="195" t="s">
        <v>113</v>
      </c>
      <c r="I81" s="195" t="s">
        <v>111</v>
      </c>
      <c r="J81" s="195" t="s">
        <v>27</v>
      </c>
      <c r="K81" s="195" t="s">
        <v>112</v>
      </c>
      <c r="L81" s="195">
        <v>2</v>
      </c>
      <c r="N81" s="195">
        <v>4</v>
      </c>
      <c r="O81" s="195">
        <v>0.95</v>
      </c>
      <c r="P81" s="195">
        <v>1</v>
      </c>
      <c r="Q81" s="204">
        <f t="shared" si="3"/>
        <v>0.97499999999999998</v>
      </c>
      <c r="R81" s="195">
        <v>12</v>
      </c>
      <c r="S81" s="195">
        <v>114</v>
      </c>
      <c r="T81" s="205">
        <f t="shared" si="6"/>
        <v>30</v>
      </c>
      <c r="U81" s="195">
        <v>398</v>
      </c>
      <c r="V81" s="205">
        <f t="shared" si="7"/>
        <v>2985</v>
      </c>
      <c r="W81" s="195">
        <v>2</v>
      </c>
      <c r="X81" s="195" t="s">
        <v>35</v>
      </c>
      <c r="Y81" s="195" t="s">
        <v>43</v>
      </c>
      <c r="Z81" s="195" t="s">
        <v>72</v>
      </c>
      <c r="AA81" s="195" t="s">
        <v>55</v>
      </c>
      <c r="AB81" s="195" t="s">
        <v>195</v>
      </c>
    </row>
    <row r="82" spans="1:28" x14ac:dyDescent="0.15">
      <c r="A82" s="195" t="s">
        <v>30</v>
      </c>
      <c r="B82" s="195" t="s">
        <v>191</v>
      </c>
      <c r="C82" s="195">
        <v>2020</v>
      </c>
      <c r="D82" s="203" t="s">
        <v>403</v>
      </c>
      <c r="E82" s="195" t="s">
        <v>407</v>
      </c>
      <c r="F82" s="195" t="s">
        <v>408</v>
      </c>
      <c r="G82" s="195" t="s">
        <v>25</v>
      </c>
      <c r="H82" s="195" t="s">
        <v>113</v>
      </c>
      <c r="I82" s="195" t="s">
        <v>111</v>
      </c>
      <c r="J82" s="195" t="s">
        <v>27</v>
      </c>
      <c r="K82" s="195" t="s">
        <v>112</v>
      </c>
      <c r="L82" s="195">
        <v>3</v>
      </c>
      <c r="N82" s="195">
        <v>4</v>
      </c>
      <c r="O82" s="195">
        <v>1.2</v>
      </c>
      <c r="P82" s="195">
        <v>1.3</v>
      </c>
      <c r="Q82" s="204">
        <f t="shared" si="3"/>
        <v>1.25</v>
      </c>
      <c r="R82" s="195">
        <v>12.8</v>
      </c>
      <c r="S82" s="195">
        <v>120</v>
      </c>
      <c r="T82" s="205">
        <f t="shared" si="6"/>
        <v>30</v>
      </c>
      <c r="U82" s="195">
        <v>398</v>
      </c>
      <c r="V82" s="205">
        <f t="shared" si="7"/>
        <v>2985</v>
      </c>
      <c r="W82" s="195">
        <v>2</v>
      </c>
      <c r="X82" s="195" t="s">
        <v>35</v>
      </c>
      <c r="Y82" s="195" t="s">
        <v>43</v>
      </c>
      <c r="Z82" s="195" t="s">
        <v>72</v>
      </c>
      <c r="AA82" s="195" t="s">
        <v>55</v>
      </c>
      <c r="AB82" s="195" t="s">
        <v>195</v>
      </c>
    </row>
    <row r="83" spans="1:28" x14ac:dyDescent="0.15">
      <c r="A83" s="195" t="s">
        <v>30</v>
      </c>
      <c r="B83" s="195" t="s">
        <v>191</v>
      </c>
      <c r="C83" s="195">
        <v>2020</v>
      </c>
      <c r="D83" s="203" t="s">
        <v>403</v>
      </c>
      <c r="E83" s="195" t="s">
        <v>407</v>
      </c>
      <c r="F83" s="195" t="s">
        <v>408</v>
      </c>
      <c r="G83" s="195" t="s">
        <v>25</v>
      </c>
      <c r="H83" s="195" t="s">
        <v>113</v>
      </c>
      <c r="I83" s="195" t="s">
        <v>111</v>
      </c>
      <c r="J83" s="195" t="s">
        <v>27</v>
      </c>
      <c r="K83" s="195" t="s">
        <v>112</v>
      </c>
      <c r="L83" s="195">
        <v>1</v>
      </c>
      <c r="N83" s="195">
        <v>7</v>
      </c>
      <c r="O83" s="195">
        <v>0.35</v>
      </c>
      <c r="P83" s="195">
        <v>0.4</v>
      </c>
      <c r="Q83" s="204">
        <f t="shared" si="3"/>
        <v>0.375</v>
      </c>
      <c r="R83" s="195">
        <v>15</v>
      </c>
      <c r="S83" s="195">
        <v>112</v>
      </c>
      <c r="T83" s="205">
        <f t="shared" si="6"/>
        <v>33</v>
      </c>
      <c r="U83" s="195">
        <v>598</v>
      </c>
      <c r="V83" s="205">
        <f t="shared" si="7"/>
        <v>2819.1428571428573</v>
      </c>
      <c r="W83" s="195">
        <v>2</v>
      </c>
      <c r="X83" s="195" t="s">
        <v>35</v>
      </c>
      <c r="Y83" s="195" t="s">
        <v>43</v>
      </c>
      <c r="Z83" s="195" t="s">
        <v>72</v>
      </c>
      <c r="AA83" s="195" t="s">
        <v>55</v>
      </c>
      <c r="AB83" s="195" t="s">
        <v>195</v>
      </c>
    </row>
    <row r="84" spans="1:28" x14ac:dyDescent="0.15">
      <c r="A84" s="195" t="s">
        <v>30</v>
      </c>
      <c r="B84" s="195" t="s">
        <v>191</v>
      </c>
      <c r="C84" s="195">
        <v>2020</v>
      </c>
      <c r="D84" s="203" t="s">
        <v>403</v>
      </c>
      <c r="E84" s="195" t="s">
        <v>407</v>
      </c>
      <c r="F84" s="195" t="s">
        <v>408</v>
      </c>
      <c r="G84" s="195" t="s">
        <v>25</v>
      </c>
      <c r="H84" s="195" t="s">
        <v>113</v>
      </c>
      <c r="I84" s="195" t="s">
        <v>111</v>
      </c>
      <c r="J84" s="195" t="s">
        <v>27</v>
      </c>
      <c r="K84" s="195" t="s">
        <v>112</v>
      </c>
      <c r="L84" s="195">
        <v>2</v>
      </c>
      <c r="N84" s="195">
        <v>7</v>
      </c>
      <c r="O84" s="195">
        <v>0.45</v>
      </c>
      <c r="P84" s="195">
        <v>0.4</v>
      </c>
      <c r="Q84" s="204">
        <f t="shared" si="3"/>
        <v>0.42500000000000004</v>
      </c>
      <c r="R84" s="195">
        <v>14.2</v>
      </c>
      <c r="S84" s="195">
        <v>110</v>
      </c>
      <c r="T84" s="205">
        <f t="shared" si="6"/>
        <v>33</v>
      </c>
      <c r="U84" s="195">
        <v>598</v>
      </c>
      <c r="V84" s="205">
        <f t="shared" si="7"/>
        <v>2819.1428571428573</v>
      </c>
      <c r="W84" s="195">
        <v>2</v>
      </c>
      <c r="X84" s="195" t="s">
        <v>35</v>
      </c>
      <c r="Y84" s="195" t="s">
        <v>43</v>
      </c>
      <c r="Z84" s="195" t="s">
        <v>72</v>
      </c>
      <c r="AA84" s="195" t="s">
        <v>55</v>
      </c>
      <c r="AB84" s="195" t="s">
        <v>195</v>
      </c>
    </row>
    <row r="85" spans="1:28" x14ac:dyDescent="0.15">
      <c r="A85" s="195" t="s">
        <v>30</v>
      </c>
      <c r="B85" s="195" t="s">
        <v>191</v>
      </c>
      <c r="C85" s="195">
        <v>2020</v>
      </c>
      <c r="D85" s="203" t="s">
        <v>403</v>
      </c>
      <c r="E85" s="195" t="s">
        <v>407</v>
      </c>
      <c r="F85" s="195" t="s">
        <v>408</v>
      </c>
      <c r="G85" s="195" t="s">
        <v>25</v>
      </c>
      <c r="H85" s="195" t="s">
        <v>113</v>
      </c>
      <c r="I85" s="195" t="s">
        <v>111</v>
      </c>
      <c r="J85" s="195" t="s">
        <v>27</v>
      </c>
      <c r="K85" s="195" t="s">
        <v>112</v>
      </c>
      <c r="L85" s="195">
        <v>3</v>
      </c>
      <c r="N85" s="195">
        <v>7</v>
      </c>
      <c r="O85" s="195">
        <v>0.3</v>
      </c>
      <c r="P85" s="195">
        <v>0.35</v>
      </c>
      <c r="Q85" s="204">
        <f t="shared" si="3"/>
        <v>0.32499999999999996</v>
      </c>
      <c r="R85" s="195">
        <v>13.4</v>
      </c>
      <c r="S85" s="195">
        <v>112</v>
      </c>
      <c r="T85" s="205">
        <f t="shared" si="6"/>
        <v>33</v>
      </c>
      <c r="U85" s="195">
        <v>598</v>
      </c>
      <c r="V85" s="205">
        <f t="shared" si="7"/>
        <v>2819.1428571428573</v>
      </c>
      <c r="W85" s="195">
        <v>2</v>
      </c>
      <c r="X85" s="195" t="s">
        <v>35</v>
      </c>
      <c r="Y85" s="195" t="s">
        <v>43</v>
      </c>
      <c r="Z85" s="195" t="s">
        <v>72</v>
      </c>
      <c r="AA85" s="195" t="s">
        <v>55</v>
      </c>
      <c r="AB85" s="195" t="s">
        <v>195</v>
      </c>
    </row>
    <row r="86" spans="1:28" x14ac:dyDescent="0.15">
      <c r="A86" s="195" t="s">
        <v>30</v>
      </c>
      <c r="B86" s="195" t="s">
        <v>191</v>
      </c>
      <c r="C86" s="195">
        <v>2020</v>
      </c>
      <c r="D86" s="203" t="s">
        <v>403</v>
      </c>
      <c r="E86" s="195" t="s">
        <v>409</v>
      </c>
      <c r="F86" s="195" t="s">
        <v>408</v>
      </c>
      <c r="G86" s="195" t="s">
        <v>25</v>
      </c>
      <c r="H86" s="195" t="s">
        <v>113</v>
      </c>
      <c r="I86" s="195" t="s">
        <v>111</v>
      </c>
      <c r="J86" s="195" t="s">
        <v>27</v>
      </c>
      <c r="K86" s="195" t="s">
        <v>112</v>
      </c>
      <c r="L86" s="195">
        <v>1</v>
      </c>
      <c r="N86" s="195">
        <v>1</v>
      </c>
      <c r="O86" s="195">
        <v>1.2</v>
      </c>
      <c r="P86" s="195">
        <v>1.1499999999999999</v>
      </c>
      <c r="Q86" s="204">
        <f t="shared" si="3"/>
        <v>1.1749999999999998</v>
      </c>
      <c r="R86" s="195">
        <v>13</v>
      </c>
      <c r="S86" s="195">
        <v>120</v>
      </c>
      <c r="T86" s="205">
        <f t="shared" ref="T86:T149" si="8">IF(H86="","",IF(OR(H86="GREEN",H86="GK"),IF(S86&gt;=$AX$2,VLOOKUP(S86,$AX$2:$AY$10,2,1),""),IF(S86&gt;=$AZ$2,VLOOKUP(S86,$AZ$2:$BA$10,2,1),"")))</f>
        <v>30</v>
      </c>
      <c r="U86" s="195">
        <v>87</v>
      </c>
      <c r="V86" s="205">
        <f t="shared" si="7"/>
        <v>2610</v>
      </c>
      <c r="W86" s="195">
        <v>4</v>
      </c>
      <c r="X86" s="195" t="s">
        <v>35</v>
      </c>
      <c r="Y86" s="195" t="s">
        <v>43</v>
      </c>
      <c r="Z86" s="195" t="s">
        <v>55</v>
      </c>
      <c r="AA86" s="195" t="s">
        <v>29</v>
      </c>
      <c r="AB86" s="195" t="s">
        <v>195</v>
      </c>
    </row>
    <row r="87" spans="1:28" x14ac:dyDescent="0.15">
      <c r="A87" s="195" t="s">
        <v>30</v>
      </c>
      <c r="B87" s="195" t="s">
        <v>191</v>
      </c>
      <c r="C87" s="195">
        <v>2020</v>
      </c>
      <c r="D87" s="203" t="s">
        <v>403</v>
      </c>
      <c r="E87" s="195" t="s">
        <v>409</v>
      </c>
      <c r="F87" s="195" t="s">
        <v>408</v>
      </c>
      <c r="G87" s="195" t="s">
        <v>25</v>
      </c>
      <c r="H87" s="195" t="s">
        <v>113</v>
      </c>
      <c r="I87" s="195" t="s">
        <v>111</v>
      </c>
      <c r="J87" s="195" t="s">
        <v>27</v>
      </c>
      <c r="K87" s="195" t="s">
        <v>112</v>
      </c>
      <c r="L87" s="195">
        <v>2</v>
      </c>
      <c r="N87" s="195">
        <v>1</v>
      </c>
      <c r="O87" s="195">
        <v>1</v>
      </c>
      <c r="P87" s="195">
        <v>0.95</v>
      </c>
      <c r="Q87" s="204">
        <f t="shared" si="3"/>
        <v>0.97499999999999998</v>
      </c>
      <c r="R87" s="195">
        <v>10.4</v>
      </c>
      <c r="S87" s="195">
        <v>118</v>
      </c>
      <c r="T87" s="205">
        <f t="shared" si="8"/>
        <v>30</v>
      </c>
      <c r="U87" s="195">
        <v>87</v>
      </c>
      <c r="V87" s="205">
        <f t="shared" si="7"/>
        <v>2610</v>
      </c>
      <c r="W87" s="195">
        <v>4</v>
      </c>
      <c r="X87" s="195" t="s">
        <v>35</v>
      </c>
      <c r="Y87" s="195" t="s">
        <v>43</v>
      </c>
      <c r="Z87" s="195" t="s">
        <v>55</v>
      </c>
      <c r="AA87" s="195" t="s">
        <v>29</v>
      </c>
      <c r="AB87" s="195" t="s">
        <v>195</v>
      </c>
    </row>
    <row r="88" spans="1:28" x14ac:dyDescent="0.15">
      <c r="A88" s="195" t="s">
        <v>30</v>
      </c>
      <c r="B88" s="195" t="s">
        <v>191</v>
      </c>
      <c r="C88" s="195">
        <v>2020</v>
      </c>
      <c r="D88" s="203" t="s">
        <v>403</v>
      </c>
      <c r="E88" s="195" t="s">
        <v>409</v>
      </c>
      <c r="F88" s="195" t="s">
        <v>408</v>
      </c>
      <c r="G88" s="195" t="s">
        <v>25</v>
      </c>
      <c r="H88" s="195" t="s">
        <v>113</v>
      </c>
      <c r="I88" s="195" t="s">
        <v>111</v>
      </c>
      <c r="J88" s="195" t="s">
        <v>27</v>
      </c>
      <c r="K88" s="195" t="s">
        <v>112</v>
      </c>
      <c r="L88" s="195">
        <v>3</v>
      </c>
      <c r="N88" s="195">
        <v>1</v>
      </c>
      <c r="O88" s="195">
        <v>0.9</v>
      </c>
      <c r="P88" s="195">
        <v>0.95</v>
      </c>
      <c r="Q88" s="204">
        <f t="shared" si="3"/>
        <v>0.92500000000000004</v>
      </c>
      <c r="R88" s="195">
        <v>12</v>
      </c>
      <c r="S88" s="195">
        <v>120</v>
      </c>
      <c r="T88" s="205">
        <f t="shared" si="8"/>
        <v>30</v>
      </c>
      <c r="U88" s="195">
        <v>87</v>
      </c>
      <c r="V88" s="205">
        <f t="shared" si="7"/>
        <v>2610</v>
      </c>
      <c r="W88" s="195">
        <v>4</v>
      </c>
      <c r="X88" s="195" t="s">
        <v>35</v>
      </c>
      <c r="Y88" s="195" t="s">
        <v>43</v>
      </c>
      <c r="Z88" s="195" t="s">
        <v>55</v>
      </c>
      <c r="AA88" s="195" t="s">
        <v>29</v>
      </c>
      <c r="AB88" s="195" t="s">
        <v>195</v>
      </c>
    </row>
    <row r="89" spans="1:28" x14ac:dyDescent="0.15">
      <c r="A89" s="195" t="s">
        <v>30</v>
      </c>
      <c r="B89" s="195" t="s">
        <v>191</v>
      </c>
      <c r="C89" s="195">
        <v>2020</v>
      </c>
      <c r="D89" s="203" t="s">
        <v>403</v>
      </c>
      <c r="E89" s="195" t="s">
        <v>409</v>
      </c>
      <c r="F89" s="195" t="s">
        <v>408</v>
      </c>
      <c r="G89" s="195" t="s">
        <v>25</v>
      </c>
      <c r="H89" s="195" t="s">
        <v>113</v>
      </c>
      <c r="I89" s="195" t="s">
        <v>111</v>
      </c>
      <c r="J89" s="195" t="s">
        <v>27</v>
      </c>
      <c r="K89" s="195" t="s">
        <v>112</v>
      </c>
      <c r="L89" s="195">
        <v>1</v>
      </c>
      <c r="N89" s="195">
        <v>4</v>
      </c>
      <c r="O89" s="195">
        <v>0.65</v>
      </c>
      <c r="P89" s="195">
        <v>0.55000000000000004</v>
      </c>
      <c r="Q89" s="204">
        <f t="shared" si="3"/>
        <v>0.60000000000000009</v>
      </c>
      <c r="R89" s="195">
        <v>12.7</v>
      </c>
      <c r="S89" s="195">
        <v>112</v>
      </c>
      <c r="T89" s="205">
        <f t="shared" si="8"/>
        <v>33</v>
      </c>
      <c r="U89" s="195">
        <v>357</v>
      </c>
      <c r="V89" s="205">
        <f t="shared" si="7"/>
        <v>2945.25</v>
      </c>
      <c r="W89" s="195">
        <v>2</v>
      </c>
      <c r="X89" s="195" t="s">
        <v>35</v>
      </c>
      <c r="Y89" s="195" t="s">
        <v>43</v>
      </c>
      <c r="Z89" s="195" t="s">
        <v>55</v>
      </c>
      <c r="AA89" s="195" t="s">
        <v>29</v>
      </c>
      <c r="AB89" s="195" t="s">
        <v>195</v>
      </c>
    </row>
    <row r="90" spans="1:28" x14ac:dyDescent="0.15">
      <c r="A90" s="195" t="s">
        <v>30</v>
      </c>
      <c r="B90" s="195" t="s">
        <v>191</v>
      </c>
      <c r="C90" s="195">
        <v>2020</v>
      </c>
      <c r="D90" s="203" t="s">
        <v>403</v>
      </c>
      <c r="E90" s="195" t="s">
        <v>409</v>
      </c>
      <c r="F90" s="195" t="s">
        <v>408</v>
      </c>
      <c r="G90" s="195" t="s">
        <v>25</v>
      </c>
      <c r="H90" s="195" t="s">
        <v>113</v>
      </c>
      <c r="I90" s="195" t="s">
        <v>111</v>
      </c>
      <c r="J90" s="195" t="s">
        <v>27</v>
      </c>
      <c r="K90" s="195" t="s">
        <v>112</v>
      </c>
      <c r="L90" s="195">
        <v>2</v>
      </c>
      <c r="N90" s="195">
        <v>4</v>
      </c>
      <c r="O90" s="195">
        <v>0.5</v>
      </c>
      <c r="P90" s="195">
        <v>0.65</v>
      </c>
      <c r="Q90" s="204">
        <f t="shared" si="3"/>
        <v>0.57499999999999996</v>
      </c>
      <c r="R90" s="195">
        <v>15.2</v>
      </c>
      <c r="S90" s="195">
        <v>114</v>
      </c>
      <c r="T90" s="205">
        <f t="shared" si="8"/>
        <v>30</v>
      </c>
      <c r="U90" s="195">
        <v>357</v>
      </c>
      <c r="V90" s="205">
        <f t="shared" si="7"/>
        <v>2677.5</v>
      </c>
      <c r="W90" s="195">
        <v>2</v>
      </c>
      <c r="X90" s="195" t="s">
        <v>35</v>
      </c>
      <c r="Y90" s="195" t="s">
        <v>43</v>
      </c>
      <c r="Z90" s="195" t="s">
        <v>55</v>
      </c>
      <c r="AA90" s="195" t="s">
        <v>29</v>
      </c>
      <c r="AB90" s="195" t="s">
        <v>195</v>
      </c>
    </row>
    <row r="91" spans="1:28" x14ac:dyDescent="0.15">
      <c r="A91" s="195" t="s">
        <v>30</v>
      </c>
      <c r="B91" s="195" t="s">
        <v>191</v>
      </c>
      <c r="C91" s="195">
        <v>2020</v>
      </c>
      <c r="D91" s="203" t="s">
        <v>403</v>
      </c>
      <c r="E91" s="195" t="s">
        <v>409</v>
      </c>
      <c r="F91" s="195" t="s">
        <v>408</v>
      </c>
      <c r="G91" s="195" t="s">
        <v>25</v>
      </c>
      <c r="H91" s="195" t="s">
        <v>113</v>
      </c>
      <c r="I91" s="195" t="s">
        <v>111</v>
      </c>
      <c r="J91" s="195" t="s">
        <v>27</v>
      </c>
      <c r="K91" s="195" t="s">
        <v>112</v>
      </c>
      <c r="L91" s="195">
        <v>3</v>
      </c>
      <c r="N91" s="195">
        <v>4</v>
      </c>
      <c r="O91" s="195">
        <v>0.75</v>
      </c>
      <c r="P91" s="195">
        <v>0.7</v>
      </c>
      <c r="Q91" s="204">
        <f t="shared" si="3"/>
        <v>0.72499999999999998</v>
      </c>
      <c r="R91" s="195">
        <v>14.2</v>
      </c>
      <c r="S91" s="195">
        <v>115</v>
      </c>
      <c r="T91" s="205">
        <f t="shared" si="8"/>
        <v>30</v>
      </c>
      <c r="U91" s="195">
        <v>357</v>
      </c>
      <c r="V91" s="205">
        <f t="shared" si="7"/>
        <v>2677.5</v>
      </c>
      <c r="W91" s="195">
        <v>2</v>
      </c>
      <c r="X91" s="195" t="s">
        <v>35</v>
      </c>
      <c r="Y91" s="195" t="s">
        <v>43</v>
      </c>
      <c r="Z91" s="195" t="s">
        <v>55</v>
      </c>
      <c r="AA91" s="195" t="s">
        <v>29</v>
      </c>
      <c r="AB91" s="195" t="s">
        <v>195</v>
      </c>
    </row>
    <row r="92" spans="1:28" x14ac:dyDescent="0.15">
      <c r="A92" s="195" t="s">
        <v>30</v>
      </c>
      <c r="B92" s="195" t="s">
        <v>191</v>
      </c>
      <c r="C92" s="195">
        <v>2020</v>
      </c>
      <c r="D92" s="203" t="s">
        <v>403</v>
      </c>
      <c r="E92" s="195" t="s">
        <v>409</v>
      </c>
      <c r="F92" s="195" t="s">
        <v>408</v>
      </c>
      <c r="G92" s="195" t="s">
        <v>25</v>
      </c>
      <c r="H92" s="195" t="s">
        <v>164</v>
      </c>
      <c r="I92" s="195" t="s">
        <v>111</v>
      </c>
      <c r="J92" s="195" t="s">
        <v>27</v>
      </c>
      <c r="K92" s="195" t="s">
        <v>112</v>
      </c>
      <c r="L92" s="195">
        <v>1</v>
      </c>
      <c r="N92" s="195">
        <v>1</v>
      </c>
      <c r="O92" s="195">
        <v>0.35</v>
      </c>
      <c r="P92" s="195">
        <v>0.35</v>
      </c>
      <c r="Q92" s="204">
        <f t="shared" si="3"/>
        <v>0.35</v>
      </c>
      <c r="R92" s="195">
        <v>14.2</v>
      </c>
      <c r="S92" s="195">
        <v>116</v>
      </c>
      <c r="T92" s="205">
        <f t="shared" si="8"/>
        <v>30</v>
      </c>
      <c r="U92" s="195">
        <v>87</v>
      </c>
      <c r="V92" s="205">
        <f t="shared" si="7"/>
        <v>2610</v>
      </c>
      <c r="W92" s="195">
        <v>4</v>
      </c>
      <c r="X92" s="195" t="s">
        <v>35</v>
      </c>
      <c r="Y92" s="195" t="s">
        <v>43</v>
      </c>
      <c r="Z92" s="195" t="s">
        <v>55</v>
      </c>
      <c r="AA92" s="195" t="s">
        <v>29</v>
      </c>
      <c r="AB92" s="195" t="s">
        <v>195</v>
      </c>
    </row>
    <row r="93" spans="1:28" x14ac:dyDescent="0.15">
      <c r="A93" s="195" t="s">
        <v>30</v>
      </c>
      <c r="B93" s="195" t="s">
        <v>191</v>
      </c>
      <c r="C93" s="195">
        <v>2020</v>
      </c>
      <c r="D93" s="203" t="s">
        <v>403</v>
      </c>
      <c r="E93" s="195" t="s">
        <v>409</v>
      </c>
      <c r="F93" s="195" t="s">
        <v>408</v>
      </c>
      <c r="G93" s="195" t="s">
        <v>25</v>
      </c>
      <c r="H93" s="195" t="s">
        <v>164</v>
      </c>
      <c r="I93" s="195" t="s">
        <v>111</v>
      </c>
      <c r="J93" s="195" t="s">
        <v>27</v>
      </c>
      <c r="K93" s="195" t="s">
        <v>112</v>
      </c>
      <c r="L93" s="195">
        <v>2</v>
      </c>
      <c r="N93" s="195">
        <v>1</v>
      </c>
      <c r="O93" s="195">
        <v>0.45</v>
      </c>
      <c r="P93" s="195">
        <v>0.5</v>
      </c>
      <c r="Q93" s="204">
        <f t="shared" si="3"/>
        <v>0.47499999999999998</v>
      </c>
      <c r="R93" s="195">
        <v>15.2</v>
      </c>
      <c r="S93" s="195">
        <v>120</v>
      </c>
      <c r="T93" s="205">
        <f t="shared" si="8"/>
        <v>30</v>
      </c>
      <c r="U93" s="195">
        <v>87</v>
      </c>
      <c r="V93" s="205">
        <f t="shared" si="7"/>
        <v>2610</v>
      </c>
      <c r="W93" s="195">
        <v>4</v>
      </c>
      <c r="X93" s="195" t="s">
        <v>35</v>
      </c>
      <c r="Y93" s="195" t="s">
        <v>43</v>
      </c>
      <c r="Z93" s="195" t="s">
        <v>55</v>
      </c>
      <c r="AA93" s="195" t="s">
        <v>29</v>
      </c>
      <c r="AB93" s="195" t="s">
        <v>195</v>
      </c>
    </row>
    <row r="94" spans="1:28" x14ac:dyDescent="0.15">
      <c r="A94" s="195" t="s">
        <v>30</v>
      </c>
      <c r="B94" s="195" t="s">
        <v>191</v>
      </c>
      <c r="C94" s="195">
        <v>2020</v>
      </c>
      <c r="D94" s="203" t="s">
        <v>403</v>
      </c>
      <c r="E94" s="195" t="s">
        <v>409</v>
      </c>
      <c r="F94" s="195" t="s">
        <v>408</v>
      </c>
      <c r="G94" s="195" t="s">
        <v>25</v>
      </c>
      <c r="H94" s="195" t="s">
        <v>164</v>
      </c>
      <c r="I94" s="195" t="s">
        <v>111</v>
      </c>
      <c r="J94" s="195" t="s">
        <v>27</v>
      </c>
      <c r="K94" s="195" t="s">
        <v>112</v>
      </c>
      <c r="L94" s="195">
        <v>3</v>
      </c>
      <c r="N94" s="195">
        <v>1</v>
      </c>
      <c r="O94" s="195">
        <v>0.5</v>
      </c>
      <c r="P94" s="195">
        <v>0.45</v>
      </c>
      <c r="Q94" s="204">
        <f t="shared" si="3"/>
        <v>0.47499999999999998</v>
      </c>
      <c r="R94" s="195">
        <v>14.8</v>
      </c>
      <c r="S94" s="195">
        <v>115</v>
      </c>
      <c r="T94" s="205">
        <f t="shared" si="8"/>
        <v>30</v>
      </c>
      <c r="U94" s="195">
        <v>87</v>
      </c>
      <c r="V94" s="205">
        <f t="shared" si="7"/>
        <v>2610</v>
      </c>
      <c r="W94" s="195">
        <v>4</v>
      </c>
      <c r="X94" s="195" t="s">
        <v>35</v>
      </c>
      <c r="Y94" s="195" t="s">
        <v>43</v>
      </c>
      <c r="Z94" s="195" t="s">
        <v>55</v>
      </c>
      <c r="AA94" s="195" t="s">
        <v>29</v>
      </c>
      <c r="AB94" s="195" t="s">
        <v>195</v>
      </c>
    </row>
    <row r="95" spans="1:28" x14ac:dyDescent="0.15">
      <c r="A95" s="195" t="s">
        <v>30</v>
      </c>
      <c r="B95" s="195" t="s">
        <v>191</v>
      </c>
      <c r="C95" s="195">
        <v>2020</v>
      </c>
      <c r="D95" s="203" t="s">
        <v>403</v>
      </c>
      <c r="E95" s="195" t="s">
        <v>409</v>
      </c>
      <c r="F95" s="195" t="s">
        <v>408</v>
      </c>
      <c r="G95" s="195" t="s">
        <v>25</v>
      </c>
      <c r="H95" s="195" t="s">
        <v>164</v>
      </c>
      <c r="I95" s="195" t="s">
        <v>111</v>
      </c>
      <c r="J95" s="195" t="s">
        <v>27</v>
      </c>
      <c r="K95" s="195" t="s">
        <v>112</v>
      </c>
      <c r="L95" s="195">
        <v>1</v>
      </c>
      <c r="N95" s="195">
        <v>4</v>
      </c>
      <c r="O95" s="195">
        <v>0.65</v>
      </c>
      <c r="P95" s="195">
        <v>0.6</v>
      </c>
      <c r="Q95" s="204">
        <f t="shared" si="3"/>
        <v>0.625</v>
      </c>
      <c r="R95" s="195">
        <v>15.7</v>
      </c>
      <c r="S95" s="195">
        <v>100</v>
      </c>
      <c r="T95" s="205">
        <f t="shared" si="8"/>
        <v>33</v>
      </c>
      <c r="U95" s="195">
        <v>397</v>
      </c>
      <c r="V95" s="205">
        <f t="shared" si="7"/>
        <v>3275.25</v>
      </c>
      <c r="W95" s="195">
        <v>2</v>
      </c>
      <c r="X95" s="195" t="s">
        <v>35</v>
      </c>
      <c r="Y95" s="195" t="s">
        <v>43</v>
      </c>
      <c r="Z95" s="195" t="s">
        <v>55</v>
      </c>
      <c r="AA95" s="195" t="s">
        <v>29</v>
      </c>
      <c r="AB95" s="195" t="s">
        <v>195</v>
      </c>
    </row>
    <row r="96" spans="1:28" x14ac:dyDescent="0.15">
      <c r="A96" s="195" t="s">
        <v>30</v>
      </c>
      <c r="B96" s="195" t="s">
        <v>191</v>
      </c>
      <c r="C96" s="195">
        <v>2020</v>
      </c>
      <c r="D96" s="203" t="s">
        <v>403</v>
      </c>
      <c r="E96" s="195" t="s">
        <v>409</v>
      </c>
      <c r="F96" s="195" t="s">
        <v>408</v>
      </c>
      <c r="G96" s="195" t="s">
        <v>25</v>
      </c>
      <c r="H96" s="195" t="s">
        <v>164</v>
      </c>
      <c r="I96" s="195" t="s">
        <v>111</v>
      </c>
      <c r="J96" s="195" t="s">
        <v>27</v>
      </c>
      <c r="K96" s="195" t="s">
        <v>112</v>
      </c>
      <c r="L96" s="195">
        <v>2</v>
      </c>
      <c r="N96" s="195">
        <v>4</v>
      </c>
      <c r="O96" s="195">
        <v>0.45</v>
      </c>
      <c r="P96" s="195">
        <v>0.55000000000000004</v>
      </c>
      <c r="Q96" s="204">
        <f t="shared" si="3"/>
        <v>0.5</v>
      </c>
      <c r="R96" s="195">
        <v>16</v>
      </c>
      <c r="S96" s="195">
        <v>102</v>
      </c>
      <c r="T96" s="205">
        <f t="shared" si="8"/>
        <v>33</v>
      </c>
      <c r="U96" s="195">
        <v>397</v>
      </c>
      <c r="V96" s="205">
        <f t="shared" si="7"/>
        <v>3275.25</v>
      </c>
      <c r="W96" s="195">
        <v>2</v>
      </c>
      <c r="X96" s="195" t="s">
        <v>35</v>
      </c>
      <c r="Y96" s="195" t="s">
        <v>43</v>
      </c>
      <c r="Z96" s="195" t="s">
        <v>55</v>
      </c>
      <c r="AA96" s="195" t="s">
        <v>29</v>
      </c>
      <c r="AB96" s="195" t="s">
        <v>195</v>
      </c>
    </row>
    <row r="97" spans="1:28" x14ac:dyDescent="0.15">
      <c r="A97" s="195" t="s">
        <v>30</v>
      </c>
      <c r="B97" s="195" t="s">
        <v>191</v>
      </c>
      <c r="C97" s="195">
        <v>2020</v>
      </c>
      <c r="D97" s="203" t="s">
        <v>403</v>
      </c>
      <c r="E97" s="195" t="s">
        <v>409</v>
      </c>
      <c r="F97" s="195" t="s">
        <v>408</v>
      </c>
      <c r="G97" s="195" t="s">
        <v>25</v>
      </c>
      <c r="H97" s="195" t="s">
        <v>164</v>
      </c>
      <c r="I97" s="195" t="s">
        <v>111</v>
      </c>
      <c r="J97" s="195" t="s">
        <v>27</v>
      </c>
      <c r="K97" s="195" t="s">
        <v>112</v>
      </c>
      <c r="L97" s="195">
        <v>3</v>
      </c>
      <c r="N97" s="195">
        <v>4</v>
      </c>
      <c r="O97" s="195">
        <v>0.3</v>
      </c>
      <c r="P97" s="195">
        <v>0.35</v>
      </c>
      <c r="Q97" s="204">
        <f t="shared" si="3"/>
        <v>0.32499999999999996</v>
      </c>
      <c r="R97" s="195">
        <v>15.2</v>
      </c>
      <c r="S97" s="195">
        <v>101</v>
      </c>
      <c r="T97" s="205">
        <f t="shared" si="8"/>
        <v>33</v>
      </c>
      <c r="U97" s="195">
        <v>397</v>
      </c>
      <c r="V97" s="205">
        <f t="shared" si="7"/>
        <v>3275.25</v>
      </c>
      <c r="W97" s="195">
        <v>2</v>
      </c>
      <c r="X97" s="195" t="s">
        <v>35</v>
      </c>
      <c r="Y97" s="195" t="s">
        <v>43</v>
      </c>
      <c r="Z97" s="195" t="s">
        <v>55</v>
      </c>
      <c r="AA97" s="195" t="s">
        <v>29</v>
      </c>
      <c r="AB97" s="195" t="s">
        <v>195</v>
      </c>
    </row>
    <row r="98" spans="1:28" x14ac:dyDescent="0.15">
      <c r="A98" s="195" t="s">
        <v>30</v>
      </c>
      <c r="B98" s="195" t="s">
        <v>191</v>
      </c>
      <c r="C98" s="195">
        <v>2020</v>
      </c>
      <c r="D98" s="203" t="s">
        <v>403</v>
      </c>
      <c r="E98" s="195" t="s">
        <v>409</v>
      </c>
      <c r="F98" s="195" t="s">
        <v>408</v>
      </c>
      <c r="G98" s="195" t="s">
        <v>25</v>
      </c>
      <c r="H98" s="195" t="s">
        <v>165</v>
      </c>
      <c r="I98" s="195" t="s">
        <v>111</v>
      </c>
      <c r="J98" s="195" t="s">
        <v>27</v>
      </c>
      <c r="K98" s="195" t="s">
        <v>112</v>
      </c>
      <c r="L98" s="195">
        <v>1</v>
      </c>
      <c r="N98" s="195">
        <v>5</v>
      </c>
      <c r="O98" s="195">
        <v>0.35</v>
      </c>
      <c r="P98" s="195">
        <v>0.3</v>
      </c>
      <c r="Q98" s="204">
        <f t="shared" si="3"/>
        <v>0.32499999999999996</v>
      </c>
      <c r="R98" s="195">
        <v>16.399999999999999</v>
      </c>
      <c r="S98" s="195">
        <v>110</v>
      </c>
      <c r="T98" s="205">
        <f t="shared" si="8"/>
        <v>33</v>
      </c>
      <c r="U98" s="195">
        <v>357</v>
      </c>
      <c r="V98" s="205">
        <f t="shared" si="7"/>
        <v>2356.2000000000003</v>
      </c>
      <c r="W98" s="195">
        <v>3</v>
      </c>
      <c r="X98" s="195" t="s">
        <v>35</v>
      </c>
      <c r="Y98" s="195" t="s">
        <v>43</v>
      </c>
      <c r="Z98" s="195" t="s">
        <v>55</v>
      </c>
      <c r="AA98" s="195" t="s">
        <v>29</v>
      </c>
      <c r="AB98" s="195" t="s">
        <v>195</v>
      </c>
    </row>
    <row r="99" spans="1:28" x14ac:dyDescent="0.15">
      <c r="A99" s="195" t="s">
        <v>30</v>
      </c>
      <c r="B99" s="195" t="s">
        <v>191</v>
      </c>
      <c r="C99" s="195">
        <v>2020</v>
      </c>
      <c r="D99" s="203" t="s">
        <v>403</v>
      </c>
      <c r="E99" s="195" t="s">
        <v>409</v>
      </c>
      <c r="F99" s="195" t="s">
        <v>408</v>
      </c>
      <c r="G99" s="195" t="s">
        <v>25</v>
      </c>
      <c r="H99" s="195" t="s">
        <v>165</v>
      </c>
      <c r="I99" s="195" t="s">
        <v>111</v>
      </c>
      <c r="J99" s="195" t="s">
        <v>27</v>
      </c>
      <c r="K99" s="195" t="s">
        <v>112</v>
      </c>
      <c r="L99" s="195">
        <v>2</v>
      </c>
      <c r="N99" s="195">
        <v>5</v>
      </c>
      <c r="O99" s="195">
        <v>0.25</v>
      </c>
      <c r="P99" s="195">
        <v>0.3</v>
      </c>
      <c r="Q99" s="204">
        <f t="shared" si="3"/>
        <v>0.27500000000000002</v>
      </c>
      <c r="R99" s="195">
        <v>15.1</v>
      </c>
      <c r="S99" s="195">
        <v>111</v>
      </c>
      <c r="T99" s="205">
        <f t="shared" si="8"/>
        <v>33</v>
      </c>
      <c r="U99" s="195">
        <v>357</v>
      </c>
      <c r="V99" s="205">
        <f t="shared" si="7"/>
        <v>2356.2000000000003</v>
      </c>
      <c r="W99" s="195">
        <v>3</v>
      </c>
      <c r="X99" s="195" t="s">
        <v>35</v>
      </c>
      <c r="Y99" s="195" t="s">
        <v>43</v>
      </c>
      <c r="Z99" s="195" t="s">
        <v>55</v>
      </c>
      <c r="AA99" s="195" t="s">
        <v>29</v>
      </c>
      <c r="AB99" s="195" t="s">
        <v>195</v>
      </c>
    </row>
    <row r="100" spans="1:28" x14ac:dyDescent="0.15">
      <c r="A100" s="195" t="s">
        <v>30</v>
      </c>
      <c r="B100" s="195" t="s">
        <v>191</v>
      </c>
      <c r="C100" s="195">
        <v>2020</v>
      </c>
      <c r="D100" s="203" t="s">
        <v>403</v>
      </c>
      <c r="E100" s="195" t="s">
        <v>409</v>
      </c>
      <c r="F100" s="195" t="s">
        <v>408</v>
      </c>
      <c r="G100" s="195" t="s">
        <v>25</v>
      </c>
      <c r="H100" s="195" t="s">
        <v>165</v>
      </c>
      <c r="I100" s="195" t="s">
        <v>111</v>
      </c>
      <c r="J100" s="195" t="s">
        <v>27</v>
      </c>
      <c r="K100" s="195" t="s">
        <v>112</v>
      </c>
      <c r="L100" s="195">
        <v>3</v>
      </c>
      <c r="N100" s="195">
        <v>5</v>
      </c>
      <c r="O100" s="195">
        <v>0.3</v>
      </c>
      <c r="P100" s="195">
        <v>0.25</v>
      </c>
      <c r="Q100" s="204">
        <f t="shared" si="3"/>
        <v>0.27500000000000002</v>
      </c>
      <c r="R100" s="195">
        <v>16.8</v>
      </c>
      <c r="S100" s="195">
        <v>113</v>
      </c>
      <c r="T100" s="205">
        <f t="shared" si="8"/>
        <v>30</v>
      </c>
      <c r="U100" s="195">
        <v>357</v>
      </c>
      <c r="V100" s="205">
        <f t="shared" si="7"/>
        <v>2142</v>
      </c>
      <c r="W100" s="195">
        <v>3</v>
      </c>
      <c r="X100" s="195" t="s">
        <v>35</v>
      </c>
      <c r="Y100" s="195" t="s">
        <v>43</v>
      </c>
      <c r="Z100" s="195" t="s">
        <v>55</v>
      </c>
      <c r="AA100" s="195" t="s">
        <v>29</v>
      </c>
      <c r="AB100" s="195" t="s">
        <v>195</v>
      </c>
    </row>
    <row r="101" spans="1:28" x14ac:dyDescent="0.15">
      <c r="A101" s="195" t="s">
        <v>30</v>
      </c>
      <c r="B101" s="195" t="s">
        <v>191</v>
      </c>
      <c r="C101" s="195">
        <v>2020</v>
      </c>
      <c r="D101" s="203" t="s">
        <v>403</v>
      </c>
      <c r="E101" s="195" t="s">
        <v>410</v>
      </c>
      <c r="F101" s="195" t="s">
        <v>411</v>
      </c>
      <c r="G101" s="195" t="s">
        <v>25</v>
      </c>
      <c r="H101" s="195" t="s">
        <v>164</v>
      </c>
      <c r="I101" s="195" t="s">
        <v>111</v>
      </c>
      <c r="J101" s="195" t="s">
        <v>27</v>
      </c>
      <c r="K101" s="195" t="s">
        <v>112</v>
      </c>
      <c r="L101" s="195">
        <v>1</v>
      </c>
      <c r="N101" s="195">
        <v>1</v>
      </c>
      <c r="O101" s="195">
        <v>0.95</v>
      </c>
      <c r="P101" s="195">
        <v>1</v>
      </c>
      <c r="Q101" s="204">
        <f t="shared" si="3"/>
        <v>0.97499999999999998</v>
      </c>
      <c r="R101" s="195">
        <v>12.2</v>
      </c>
      <c r="S101" s="195">
        <v>124</v>
      </c>
      <c r="T101" s="205">
        <f t="shared" si="8"/>
        <v>27</v>
      </c>
      <c r="U101" s="195">
        <v>98</v>
      </c>
      <c r="V101" s="205">
        <f t="shared" si="7"/>
        <v>2646</v>
      </c>
      <c r="W101" s="195">
        <v>4</v>
      </c>
      <c r="X101" s="195" t="s">
        <v>35</v>
      </c>
      <c r="Y101" s="195" t="s">
        <v>43</v>
      </c>
      <c r="Z101" s="195" t="s">
        <v>55</v>
      </c>
      <c r="AA101" s="195" t="s">
        <v>72</v>
      </c>
      <c r="AB101" s="195" t="s">
        <v>195</v>
      </c>
    </row>
    <row r="102" spans="1:28" x14ac:dyDescent="0.15">
      <c r="A102" s="195" t="s">
        <v>30</v>
      </c>
      <c r="B102" s="195" t="s">
        <v>191</v>
      </c>
      <c r="C102" s="195">
        <v>2020</v>
      </c>
      <c r="D102" s="203" t="s">
        <v>403</v>
      </c>
      <c r="E102" s="195" t="s">
        <v>410</v>
      </c>
      <c r="F102" s="195" t="s">
        <v>411</v>
      </c>
      <c r="G102" s="195" t="s">
        <v>25</v>
      </c>
      <c r="H102" s="195" t="s">
        <v>164</v>
      </c>
      <c r="I102" s="195" t="s">
        <v>111</v>
      </c>
      <c r="J102" s="195" t="s">
        <v>27</v>
      </c>
      <c r="K102" s="195" t="s">
        <v>112</v>
      </c>
      <c r="L102" s="195">
        <v>2</v>
      </c>
      <c r="N102" s="195">
        <v>1</v>
      </c>
      <c r="O102" s="195">
        <v>0.65</v>
      </c>
      <c r="P102" s="195">
        <v>0.85</v>
      </c>
      <c r="Q102" s="204">
        <f t="shared" si="3"/>
        <v>0.75</v>
      </c>
      <c r="R102" s="195">
        <v>14</v>
      </c>
      <c r="S102" s="195">
        <v>122</v>
      </c>
      <c r="T102" s="205">
        <f t="shared" si="8"/>
        <v>27</v>
      </c>
      <c r="U102" s="195">
        <v>98</v>
      </c>
      <c r="V102" s="205">
        <f t="shared" si="7"/>
        <v>2646</v>
      </c>
      <c r="W102" s="195">
        <v>4</v>
      </c>
      <c r="X102" s="195" t="s">
        <v>35</v>
      </c>
      <c r="Y102" s="195" t="s">
        <v>43</v>
      </c>
      <c r="Z102" s="195" t="s">
        <v>55</v>
      </c>
      <c r="AA102" s="195" t="s">
        <v>72</v>
      </c>
      <c r="AB102" s="195" t="s">
        <v>195</v>
      </c>
    </row>
    <row r="103" spans="1:28" x14ac:dyDescent="0.15">
      <c r="A103" s="195" t="s">
        <v>30</v>
      </c>
      <c r="B103" s="195" t="s">
        <v>191</v>
      </c>
      <c r="C103" s="195">
        <v>2020</v>
      </c>
      <c r="D103" s="203" t="s">
        <v>403</v>
      </c>
      <c r="E103" s="195" t="s">
        <v>410</v>
      </c>
      <c r="F103" s="195" t="s">
        <v>411</v>
      </c>
      <c r="G103" s="195" t="s">
        <v>25</v>
      </c>
      <c r="H103" s="195" t="s">
        <v>164</v>
      </c>
      <c r="I103" s="195" t="s">
        <v>111</v>
      </c>
      <c r="J103" s="195" t="s">
        <v>27</v>
      </c>
      <c r="K103" s="195" t="s">
        <v>112</v>
      </c>
      <c r="L103" s="195">
        <v>3</v>
      </c>
      <c r="N103" s="195">
        <v>1</v>
      </c>
      <c r="O103" s="195">
        <v>0.5</v>
      </c>
      <c r="P103" s="195">
        <v>0.65</v>
      </c>
      <c r="Q103" s="204">
        <f t="shared" si="3"/>
        <v>0.57499999999999996</v>
      </c>
      <c r="R103" s="195">
        <v>13.5</v>
      </c>
      <c r="S103" s="195">
        <v>126</v>
      </c>
      <c r="T103" s="205">
        <f t="shared" si="8"/>
        <v>27</v>
      </c>
      <c r="U103" s="195">
        <v>98</v>
      </c>
      <c r="V103" s="205">
        <f t="shared" si="7"/>
        <v>2646</v>
      </c>
      <c r="W103" s="195">
        <v>4</v>
      </c>
      <c r="X103" s="195" t="s">
        <v>35</v>
      </c>
      <c r="Y103" s="195" t="s">
        <v>43</v>
      </c>
      <c r="Z103" s="195" t="s">
        <v>55</v>
      </c>
      <c r="AA103" s="195" t="s">
        <v>72</v>
      </c>
      <c r="AB103" s="195" t="s">
        <v>195</v>
      </c>
    </row>
    <row r="104" spans="1:28" x14ac:dyDescent="0.15">
      <c r="A104" s="195" t="s">
        <v>30</v>
      </c>
      <c r="B104" s="195" t="s">
        <v>191</v>
      </c>
      <c r="C104" s="195">
        <v>2020</v>
      </c>
      <c r="D104" s="203" t="s">
        <v>403</v>
      </c>
      <c r="E104" s="195" t="s">
        <v>410</v>
      </c>
      <c r="F104" s="195" t="s">
        <v>411</v>
      </c>
      <c r="G104" s="195" t="s">
        <v>25</v>
      </c>
      <c r="H104" s="195" t="s">
        <v>164</v>
      </c>
      <c r="I104" s="195" t="s">
        <v>111</v>
      </c>
      <c r="J104" s="195" t="s">
        <v>27</v>
      </c>
      <c r="K104" s="195" t="s">
        <v>112</v>
      </c>
      <c r="L104" s="195">
        <v>1</v>
      </c>
      <c r="N104" s="195">
        <v>4</v>
      </c>
      <c r="O104" s="195">
        <v>0.8</v>
      </c>
      <c r="P104" s="195">
        <v>0.75</v>
      </c>
      <c r="Q104" s="204">
        <f t="shared" si="3"/>
        <v>0.77500000000000002</v>
      </c>
      <c r="R104" s="195">
        <v>14</v>
      </c>
      <c r="S104" s="195">
        <v>119</v>
      </c>
      <c r="T104" s="205">
        <f t="shared" si="8"/>
        <v>30</v>
      </c>
      <c r="U104" s="195">
        <v>380</v>
      </c>
      <c r="V104" s="205">
        <f t="shared" si="7"/>
        <v>2850</v>
      </c>
      <c r="W104" s="195">
        <v>3</v>
      </c>
      <c r="X104" s="195" t="s">
        <v>35</v>
      </c>
      <c r="Y104" s="195" t="s">
        <v>43</v>
      </c>
      <c r="Z104" s="195" t="s">
        <v>55</v>
      </c>
      <c r="AA104" s="195" t="s">
        <v>72</v>
      </c>
      <c r="AB104" s="195" t="s">
        <v>195</v>
      </c>
    </row>
    <row r="105" spans="1:28" x14ac:dyDescent="0.15">
      <c r="A105" s="195" t="s">
        <v>30</v>
      </c>
      <c r="B105" s="195" t="s">
        <v>191</v>
      </c>
      <c r="C105" s="195">
        <v>2020</v>
      </c>
      <c r="D105" s="203" t="s">
        <v>403</v>
      </c>
      <c r="E105" s="195" t="s">
        <v>410</v>
      </c>
      <c r="F105" s="195" t="s">
        <v>411</v>
      </c>
      <c r="G105" s="195" t="s">
        <v>25</v>
      </c>
      <c r="H105" s="195" t="s">
        <v>164</v>
      </c>
      <c r="I105" s="195" t="s">
        <v>111</v>
      </c>
      <c r="J105" s="195" t="s">
        <v>27</v>
      </c>
      <c r="K105" s="195" t="s">
        <v>112</v>
      </c>
      <c r="L105" s="195">
        <v>2</v>
      </c>
      <c r="N105" s="195">
        <v>4</v>
      </c>
      <c r="O105" s="195">
        <v>0.5</v>
      </c>
      <c r="P105" s="195">
        <v>0.45</v>
      </c>
      <c r="Q105" s="204">
        <f t="shared" si="3"/>
        <v>0.47499999999999998</v>
      </c>
      <c r="R105" s="195">
        <v>16.2</v>
      </c>
      <c r="S105" s="195">
        <v>114</v>
      </c>
      <c r="T105" s="205">
        <f t="shared" si="8"/>
        <v>30</v>
      </c>
      <c r="U105" s="195">
        <v>380</v>
      </c>
      <c r="V105" s="205">
        <f t="shared" si="7"/>
        <v>2850</v>
      </c>
      <c r="W105" s="195">
        <v>3</v>
      </c>
      <c r="X105" s="195" t="s">
        <v>35</v>
      </c>
      <c r="Y105" s="195" t="s">
        <v>43</v>
      </c>
      <c r="Z105" s="195" t="s">
        <v>55</v>
      </c>
      <c r="AA105" s="195" t="s">
        <v>72</v>
      </c>
      <c r="AB105" s="195" t="s">
        <v>195</v>
      </c>
    </row>
    <row r="106" spans="1:28" x14ac:dyDescent="0.15">
      <c r="A106" s="195" t="s">
        <v>30</v>
      </c>
      <c r="B106" s="195" t="s">
        <v>191</v>
      </c>
      <c r="C106" s="195">
        <v>2020</v>
      </c>
      <c r="D106" s="203" t="s">
        <v>403</v>
      </c>
      <c r="E106" s="195" t="s">
        <v>410</v>
      </c>
      <c r="F106" s="195" t="s">
        <v>411</v>
      </c>
      <c r="G106" s="195" t="s">
        <v>25</v>
      </c>
      <c r="H106" s="195" t="s">
        <v>164</v>
      </c>
      <c r="I106" s="195" t="s">
        <v>111</v>
      </c>
      <c r="J106" s="195" t="s">
        <v>27</v>
      </c>
      <c r="K106" s="195" t="s">
        <v>112</v>
      </c>
      <c r="L106" s="195">
        <v>3</v>
      </c>
      <c r="N106" s="195">
        <v>4</v>
      </c>
      <c r="O106" s="195">
        <v>0.65</v>
      </c>
      <c r="P106" s="195">
        <v>0.6</v>
      </c>
      <c r="Q106" s="204">
        <f t="shared" si="3"/>
        <v>0.625</v>
      </c>
      <c r="R106" s="195">
        <v>14.2</v>
      </c>
      <c r="S106" s="195">
        <v>115</v>
      </c>
      <c r="T106" s="205">
        <f t="shared" si="8"/>
        <v>30</v>
      </c>
      <c r="U106" s="195">
        <v>380</v>
      </c>
      <c r="V106" s="205">
        <f t="shared" si="7"/>
        <v>2850</v>
      </c>
      <c r="W106" s="195">
        <v>3</v>
      </c>
      <c r="X106" s="195" t="s">
        <v>35</v>
      </c>
      <c r="Y106" s="195" t="s">
        <v>43</v>
      </c>
      <c r="Z106" s="195" t="s">
        <v>55</v>
      </c>
      <c r="AA106" s="195" t="s">
        <v>72</v>
      </c>
      <c r="AB106" s="195" t="s">
        <v>195</v>
      </c>
    </row>
    <row r="107" spans="1:28" x14ac:dyDescent="0.15">
      <c r="A107" s="195" t="s">
        <v>30</v>
      </c>
      <c r="B107" s="195" t="s">
        <v>191</v>
      </c>
      <c r="C107" s="195">
        <v>2020</v>
      </c>
      <c r="D107" s="203" t="s">
        <v>403</v>
      </c>
      <c r="E107" s="195" t="s">
        <v>410</v>
      </c>
      <c r="F107" s="195" t="s">
        <v>411</v>
      </c>
      <c r="G107" s="195" t="s">
        <v>25</v>
      </c>
      <c r="H107" s="195" t="s">
        <v>164</v>
      </c>
      <c r="I107" s="195" t="s">
        <v>111</v>
      </c>
      <c r="J107" s="195" t="s">
        <v>27</v>
      </c>
      <c r="K107" s="195" t="s">
        <v>112</v>
      </c>
      <c r="L107" s="195">
        <v>1</v>
      </c>
      <c r="N107" s="195">
        <v>3</v>
      </c>
      <c r="O107" s="195">
        <v>0.65</v>
      </c>
      <c r="P107" s="195">
        <v>0.7</v>
      </c>
      <c r="Q107" s="204">
        <f t="shared" si="3"/>
        <v>0.67500000000000004</v>
      </c>
      <c r="R107" s="195">
        <v>11.4</v>
      </c>
      <c r="S107" s="195">
        <v>134</v>
      </c>
      <c r="T107" s="205">
        <f t="shared" si="8"/>
        <v>25</v>
      </c>
      <c r="U107" s="195">
        <v>398</v>
      </c>
      <c r="V107" s="205">
        <f t="shared" si="7"/>
        <v>3316.6666666666665</v>
      </c>
      <c r="W107" s="195">
        <v>2</v>
      </c>
      <c r="X107" s="195" t="s">
        <v>35</v>
      </c>
      <c r="Y107" s="195" t="s">
        <v>43</v>
      </c>
      <c r="Z107" s="195" t="s">
        <v>55</v>
      </c>
      <c r="AA107" s="195" t="s">
        <v>72</v>
      </c>
      <c r="AB107" s="195" t="s">
        <v>195</v>
      </c>
    </row>
    <row r="108" spans="1:28" x14ac:dyDescent="0.15">
      <c r="A108" s="195" t="s">
        <v>30</v>
      </c>
      <c r="B108" s="195" t="s">
        <v>191</v>
      </c>
      <c r="C108" s="195">
        <v>2020</v>
      </c>
      <c r="D108" s="203" t="s">
        <v>403</v>
      </c>
      <c r="E108" s="195" t="s">
        <v>410</v>
      </c>
      <c r="F108" s="195" t="s">
        <v>411</v>
      </c>
      <c r="G108" s="195" t="s">
        <v>25</v>
      </c>
      <c r="H108" s="195" t="s">
        <v>164</v>
      </c>
      <c r="I108" s="195" t="s">
        <v>111</v>
      </c>
      <c r="J108" s="195" t="s">
        <v>27</v>
      </c>
      <c r="K108" s="195" t="s">
        <v>112</v>
      </c>
      <c r="L108" s="195">
        <v>2</v>
      </c>
      <c r="N108" s="195">
        <v>3</v>
      </c>
      <c r="O108" s="195">
        <v>0.5</v>
      </c>
      <c r="P108" s="195">
        <v>0.75</v>
      </c>
      <c r="Q108" s="204">
        <f t="shared" si="3"/>
        <v>0.625</v>
      </c>
      <c r="R108" s="195">
        <v>13.5</v>
      </c>
      <c r="S108" s="195">
        <v>132</v>
      </c>
      <c r="T108" s="205">
        <f t="shared" si="8"/>
        <v>25</v>
      </c>
      <c r="U108" s="195">
        <v>398</v>
      </c>
      <c r="V108" s="205">
        <f t="shared" si="7"/>
        <v>3316.6666666666665</v>
      </c>
      <c r="W108" s="195">
        <v>2</v>
      </c>
      <c r="X108" s="195" t="s">
        <v>35</v>
      </c>
      <c r="Y108" s="195" t="s">
        <v>43</v>
      </c>
      <c r="Z108" s="195" t="s">
        <v>55</v>
      </c>
      <c r="AA108" s="195" t="s">
        <v>72</v>
      </c>
      <c r="AB108" s="195" t="s">
        <v>195</v>
      </c>
    </row>
    <row r="109" spans="1:28" x14ac:dyDescent="0.15">
      <c r="A109" s="195" t="s">
        <v>30</v>
      </c>
      <c r="B109" s="195" t="s">
        <v>191</v>
      </c>
      <c r="C109" s="195">
        <v>2020</v>
      </c>
      <c r="D109" s="203" t="s">
        <v>403</v>
      </c>
      <c r="E109" s="195" t="s">
        <v>410</v>
      </c>
      <c r="F109" s="195" t="s">
        <v>411</v>
      </c>
      <c r="G109" s="195" t="s">
        <v>25</v>
      </c>
      <c r="H109" s="195" t="s">
        <v>164</v>
      </c>
      <c r="I109" s="195" t="s">
        <v>111</v>
      </c>
      <c r="J109" s="195" t="s">
        <v>27</v>
      </c>
      <c r="K109" s="195" t="s">
        <v>112</v>
      </c>
      <c r="L109" s="195">
        <v>3</v>
      </c>
      <c r="N109" s="195">
        <v>3</v>
      </c>
      <c r="O109" s="195">
        <v>0.7</v>
      </c>
      <c r="P109" s="195">
        <v>0.65</v>
      </c>
      <c r="Q109" s="204">
        <f t="shared" si="3"/>
        <v>0.67500000000000004</v>
      </c>
      <c r="R109" s="195">
        <v>13.8</v>
      </c>
      <c r="S109" s="195">
        <v>137</v>
      </c>
      <c r="T109" s="205">
        <f t="shared" si="8"/>
        <v>25</v>
      </c>
      <c r="U109" s="195">
        <v>398</v>
      </c>
      <c r="V109" s="205">
        <f t="shared" si="7"/>
        <v>3316.6666666666665</v>
      </c>
      <c r="W109" s="195">
        <v>2</v>
      </c>
      <c r="X109" s="195" t="s">
        <v>35</v>
      </c>
      <c r="Y109" s="195" t="s">
        <v>43</v>
      </c>
      <c r="Z109" s="195" t="s">
        <v>55</v>
      </c>
      <c r="AA109" s="195" t="s">
        <v>72</v>
      </c>
      <c r="AB109" s="195" t="s">
        <v>195</v>
      </c>
    </row>
    <row r="110" spans="1:28" x14ac:dyDescent="0.15">
      <c r="A110" s="195" t="s">
        <v>30</v>
      </c>
      <c r="B110" s="195" t="s">
        <v>191</v>
      </c>
      <c r="C110" s="195">
        <v>2020</v>
      </c>
      <c r="D110" s="203" t="s">
        <v>403</v>
      </c>
      <c r="E110" s="195" t="s">
        <v>410</v>
      </c>
      <c r="F110" s="195" t="s">
        <v>411</v>
      </c>
      <c r="G110" s="195" t="s">
        <v>25</v>
      </c>
      <c r="H110" s="195" t="s">
        <v>113</v>
      </c>
      <c r="I110" s="195" t="s">
        <v>111</v>
      </c>
      <c r="J110" s="195" t="s">
        <v>27</v>
      </c>
      <c r="K110" s="195" t="s">
        <v>112</v>
      </c>
      <c r="L110" s="195">
        <v>1</v>
      </c>
      <c r="N110" s="195">
        <v>1</v>
      </c>
      <c r="O110" s="195">
        <v>0.9</v>
      </c>
      <c r="P110" s="195">
        <v>1</v>
      </c>
      <c r="Q110" s="204">
        <f t="shared" si="3"/>
        <v>0.95</v>
      </c>
      <c r="R110" s="195">
        <v>11.5</v>
      </c>
      <c r="S110" s="195">
        <v>128</v>
      </c>
      <c r="T110" s="205">
        <f t="shared" si="8"/>
        <v>27</v>
      </c>
      <c r="U110" s="195">
        <v>98</v>
      </c>
      <c r="V110" s="205">
        <f t="shared" si="7"/>
        <v>2646</v>
      </c>
      <c r="W110" s="195">
        <v>4</v>
      </c>
      <c r="X110" s="195" t="s">
        <v>35</v>
      </c>
      <c r="Y110" s="195" t="s">
        <v>43</v>
      </c>
      <c r="Z110" s="195" t="s">
        <v>55</v>
      </c>
      <c r="AA110" s="195" t="s">
        <v>72</v>
      </c>
      <c r="AB110" s="195" t="s">
        <v>195</v>
      </c>
    </row>
    <row r="111" spans="1:28" x14ac:dyDescent="0.15">
      <c r="A111" s="195" t="s">
        <v>30</v>
      </c>
      <c r="B111" s="195" t="s">
        <v>191</v>
      </c>
      <c r="C111" s="195">
        <v>2020</v>
      </c>
      <c r="D111" s="203" t="s">
        <v>403</v>
      </c>
      <c r="E111" s="195" t="s">
        <v>410</v>
      </c>
      <c r="F111" s="195" t="s">
        <v>411</v>
      </c>
      <c r="G111" s="195" t="s">
        <v>25</v>
      </c>
      <c r="H111" s="195" t="s">
        <v>113</v>
      </c>
      <c r="I111" s="195" t="s">
        <v>111</v>
      </c>
      <c r="J111" s="195" t="s">
        <v>27</v>
      </c>
      <c r="K111" s="195" t="s">
        <v>112</v>
      </c>
      <c r="L111" s="195">
        <v>2</v>
      </c>
      <c r="N111" s="195">
        <v>1</v>
      </c>
      <c r="O111" s="195">
        <v>1</v>
      </c>
      <c r="P111" s="195">
        <v>0.9</v>
      </c>
      <c r="Q111" s="204">
        <f t="shared" si="3"/>
        <v>0.95</v>
      </c>
      <c r="R111" s="195">
        <v>13</v>
      </c>
      <c r="S111" s="195">
        <v>126</v>
      </c>
      <c r="T111" s="205">
        <f t="shared" si="8"/>
        <v>27</v>
      </c>
      <c r="U111" s="195">
        <v>98</v>
      </c>
      <c r="V111" s="205">
        <f t="shared" si="7"/>
        <v>2646</v>
      </c>
      <c r="W111" s="195">
        <v>4</v>
      </c>
      <c r="X111" s="195" t="s">
        <v>35</v>
      </c>
      <c r="Y111" s="195" t="s">
        <v>43</v>
      </c>
      <c r="Z111" s="195" t="s">
        <v>55</v>
      </c>
      <c r="AA111" s="195" t="s">
        <v>72</v>
      </c>
      <c r="AB111" s="195" t="s">
        <v>195</v>
      </c>
    </row>
    <row r="112" spans="1:28" x14ac:dyDescent="0.15">
      <c r="A112" s="195" t="s">
        <v>30</v>
      </c>
      <c r="B112" s="195" t="s">
        <v>191</v>
      </c>
      <c r="C112" s="195">
        <v>2020</v>
      </c>
      <c r="D112" s="203" t="s">
        <v>403</v>
      </c>
      <c r="E112" s="195" t="s">
        <v>410</v>
      </c>
      <c r="F112" s="195" t="s">
        <v>411</v>
      </c>
      <c r="G112" s="195" t="s">
        <v>25</v>
      </c>
      <c r="H112" s="195" t="s">
        <v>113</v>
      </c>
      <c r="I112" s="195" t="s">
        <v>111</v>
      </c>
      <c r="J112" s="195" t="s">
        <v>27</v>
      </c>
      <c r="K112" s="195" t="s">
        <v>112</v>
      </c>
      <c r="L112" s="195">
        <v>3</v>
      </c>
      <c r="N112" s="195">
        <v>1</v>
      </c>
      <c r="O112" s="195">
        <v>0.95</v>
      </c>
      <c r="P112" s="195">
        <v>0.85</v>
      </c>
      <c r="Q112" s="204">
        <f t="shared" si="3"/>
        <v>0.89999999999999991</v>
      </c>
      <c r="R112" s="195">
        <v>12.7</v>
      </c>
      <c r="S112" s="195">
        <v>127</v>
      </c>
      <c r="T112" s="205">
        <f t="shared" si="8"/>
        <v>27</v>
      </c>
      <c r="U112" s="195">
        <v>98</v>
      </c>
      <c r="V112" s="205">
        <f t="shared" si="7"/>
        <v>2646</v>
      </c>
      <c r="W112" s="195">
        <v>4</v>
      </c>
      <c r="X112" s="195" t="s">
        <v>35</v>
      </c>
      <c r="Y112" s="195" t="s">
        <v>43</v>
      </c>
      <c r="Z112" s="195" t="s">
        <v>55</v>
      </c>
      <c r="AA112" s="195" t="s">
        <v>72</v>
      </c>
      <c r="AB112" s="195" t="s">
        <v>195</v>
      </c>
    </row>
    <row r="113" spans="1:28" x14ac:dyDescent="0.15">
      <c r="A113" s="195" t="s">
        <v>30</v>
      </c>
      <c r="B113" s="195" t="s">
        <v>191</v>
      </c>
      <c r="C113" s="195">
        <v>2020</v>
      </c>
      <c r="D113" s="203" t="s">
        <v>403</v>
      </c>
      <c r="E113" s="195" t="s">
        <v>410</v>
      </c>
      <c r="F113" s="195" t="s">
        <v>411</v>
      </c>
      <c r="G113" s="195" t="s">
        <v>25</v>
      </c>
      <c r="H113" s="195" t="s">
        <v>113</v>
      </c>
      <c r="I113" s="195" t="s">
        <v>111</v>
      </c>
      <c r="J113" s="195" t="s">
        <v>27</v>
      </c>
      <c r="K113" s="195" t="s">
        <v>112</v>
      </c>
      <c r="L113" s="195">
        <v>1</v>
      </c>
      <c r="N113" s="195">
        <v>5</v>
      </c>
      <c r="O113" s="195">
        <v>0.65</v>
      </c>
      <c r="P113" s="195">
        <v>0.6</v>
      </c>
      <c r="Q113" s="204">
        <f t="shared" si="3"/>
        <v>0.625</v>
      </c>
      <c r="R113" s="195">
        <v>10.5</v>
      </c>
      <c r="S113" s="195">
        <v>120</v>
      </c>
      <c r="T113" s="205">
        <f t="shared" si="8"/>
        <v>30</v>
      </c>
      <c r="U113" s="195">
        <v>398</v>
      </c>
      <c r="V113" s="205">
        <f t="shared" si="7"/>
        <v>2388</v>
      </c>
      <c r="W113" s="195">
        <v>2</v>
      </c>
      <c r="X113" s="195" t="s">
        <v>35</v>
      </c>
      <c r="Y113" s="195" t="s">
        <v>43</v>
      </c>
      <c r="Z113" s="195" t="s">
        <v>55</v>
      </c>
      <c r="AA113" s="195" t="s">
        <v>72</v>
      </c>
      <c r="AB113" s="195" t="s">
        <v>195</v>
      </c>
    </row>
    <row r="114" spans="1:28" x14ac:dyDescent="0.15">
      <c r="A114" s="195" t="s">
        <v>30</v>
      </c>
      <c r="B114" s="195" t="s">
        <v>191</v>
      </c>
      <c r="C114" s="195">
        <v>2020</v>
      </c>
      <c r="D114" s="203" t="s">
        <v>403</v>
      </c>
      <c r="E114" s="195" t="s">
        <v>410</v>
      </c>
      <c r="F114" s="195" t="s">
        <v>411</v>
      </c>
      <c r="G114" s="195" t="s">
        <v>25</v>
      </c>
      <c r="H114" s="195" t="s">
        <v>113</v>
      </c>
      <c r="I114" s="195" t="s">
        <v>111</v>
      </c>
      <c r="J114" s="195" t="s">
        <v>27</v>
      </c>
      <c r="K114" s="195" t="s">
        <v>112</v>
      </c>
      <c r="L114" s="195">
        <v>2</v>
      </c>
      <c r="N114" s="195">
        <v>5</v>
      </c>
      <c r="O114" s="195">
        <v>0.45</v>
      </c>
      <c r="P114" s="195">
        <v>0.55000000000000004</v>
      </c>
      <c r="Q114" s="204">
        <f t="shared" si="3"/>
        <v>0.5</v>
      </c>
      <c r="R114" s="195">
        <v>16.5</v>
      </c>
      <c r="S114" s="195">
        <v>117</v>
      </c>
      <c r="T114" s="205">
        <f t="shared" si="8"/>
        <v>30</v>
      </c>
      <c r="U114" s="195">
        <v>398</v>
      </c>
      <c r="V114" s="205">
        <f t="shared" si="7"/>
        <v>2388</v>
      </c>
      <c r="W114" s="195">
        <v>2</v>
      </c>
      <c r="X114" s="195" t="s">
        <v>35</v>
      </c>
      <c r="Y114" s="195" t="s">
        <v>43</v>
      </c>
      <c r="Z114" s="195" t="s">
        <v>55</v>
      </c>
      <c r="AA114" s="195" t="s">
        <v>72</v>
      </c>
      <c r="AB114" s="195" t="s">
        <v>195</v>
      </c>
    </row>
    <row r="115" spans="1:28" x14ac:dyDescent="0.15">
      <c r="A115" s="195" t="s">
        <v>30</v>
      </c>
      <c r="B115" s="195" t="s">
        <v>191</v>
      </c>
      <c r="C115" s="195">
        <v>2020</v>
      </c>
      <c r="D115" s="203" t="s">
        <v>403</v>
      </c>
      <c r="E115" s="195" t="s">
        <v>410</v>
      </c>
      <c r="F115" s="195" t="s">
        <v>411</v>
      </c>
      <c r="G115" s="195" t="s">
        <v>25</v>
      </c>
      <c r="H115" s="195" t="s">
        <v>113</v>
      </c>
      <c r="I115" s="195" t="s">
        <v>111</v>
      </c>
      <c r="J115" s="195" t="s">
        <v>27</v>
      </c>
      <c r="K115" s="195" t="s">
        <v>112</v>
      </c>
      <c r="L115" s="195">
        <v>3</v>
      </c>
      <c r="N115" s="195">
        <v>5</v>
      </c>
      <c r="O115" s="195">
        <v>0.5</v>
      </c>
      <c r="P115" s="195">
        <v>0.65</v>
      </c>
      <c r="Q115" s="204">
        <f t="shared" si="3"/>
        <v>0.57499999999999996</v>
      </c>
      <c r="R115" s="195">
        <v>14</v>
      </c>
      <c r="S115" s="195">
        <v>115</v>
      </c>
      <c r="T115" s="205">
        <f t="shared" si="8"/>
        <v>30</v>
      </c>
      <c r="U115" s="195">
        <v>398</v>
      </c>
      <c r="V115" s="205">
        <f t="shared" si="7"/>
        <v>2388</v>
      </c>
      <c r="W115" s="195">
        <v>2</v>
      </c>
      <c r="X115" s="195" t="s">
        <v>35</v>
      </c>
      <c r="Y115" s="195" t="s">
        <v>43</v>
      </c>
      <c r="Z115" s="195" t="s">
        <v>55</v>
      </c>
      <c r="AA115" s="195" t="s">
        <v>72</v>
      </c>
      <c r="AB115" s="195" t="s">
        <v>195</v>
      </c>
    </row>
    <row r="116" spans="1:28" x14ac:dyDescent="0.15">
      <c r="A116" s="195" t="s">
        <v>30</v>
      </c>
      <c r="B116" s="195" t="s">
        <v>191</v>
      </c>
      <c r="C116" s="195">
        <v>2020</v>
      </c>
      <c r="D116" s="203" t="s">
        <v>403</v>
      </c>
      <c r="E116" s="195" t="s">
        <v>410</v>
      </c>
      <c r="F116" s="195" t="s">
        <v>414</v>
      </c>
      <c r="G116" s="195" t="s">
        <v>25</v>
      </c>
      <c r="H116" s="195" t="s">
        <v>164</v>
      </c>
      <c r="I116" s="195" t="s">
        <v>111</v>
      </c>
      <c r="J116" s="195" t="s">
        <v>27</v>
      </c>
      <c r="K116" s="195" t="s">
        <v>112</v>
      </c>
      <c r="L116" s="195">
        <v>1</v>
      </c>
      <c r="N116" s="195">
        <v>1</v>
      </c>
      <c r="O116" s="195">
        <v>0.65</v>
      </c>
      <c r="P116" s="195">
        <v>0.7</v>
      </c>
      <c r="Q116" s="204">
        <f t="shared" si="3"/>
        <v>0.67500000000000004</v>
      </c>
      <c r="R116" s="195">
        <v>14.8</v>
      </c>
      <c r="S116" s="195">
        <v>122</v>
      </c>
      <c r="T116" s="205">
        <f t="shared" si="8"/>
        <v>27</v>
      </c>
      <c r="U116" s="195">
        <v>98</v>
      </c>
      <c r="V116" s="205">
        <f t="shared" si="7"/>
        <v>2646</v>
      </c>
      <c r="W116" s="195">
        <v>3</v>
      </c>
      <c r="X116" s="195" t="s">
        <v>35</v>
      </c>
      <c r="Y116" s="195" t="s">
        <v>43</v>
      </c>
      <c r="Z116" s="195" t="s">
        <v>55</v>
      </c>
      <c r="AA116" s="195" t="s">
        <v>29</v>
      </c>
      <c r="AB116" s="195" t="s">
        <v>195</v>
      </c>
    </row>
    <row r="117" spans="1:28" x14ac:dyDescent="0.15">
      <c r="A117" s="195" t="s">
        <v>30</v>
      </c>
      <c r="B117" s="195" t="s">
        <v>191</v>
      </c>
      <c r="C117" s="195">
        <v>2020</v>
      </c>
      <c r="D117" s="203" t="s">
        <v>403</v>
      </c>
      <c r="E117" s="195" t="s">
        <v>410</v>
      </c>
      <c r="F117" s="195" t="s">
        <v>414</v>
      </c>
      <c r="G117" s="195" t="s">
        <v>25</v>
      </c>
      <c r="H117" s="195" t="s">
        <v>164</v>
      </c>
      <c r="I117" s="195" t="s">
        <v>111</v>
      </c>
      <c r="J117" s="195" t="s">
        <v>27</v>
      </c>
      <c r="K117" s="195" t="s">
        <v>112</v>
      </c>
      <c r="L117" s="195">
        <v>2</v>
      </c>
      <c r="N117" s="195">
        <v>1</v>
      </c>
      <c r="O117" s="195">
        <v>0.45</v>
      </c>
      <c r="P117" s="195">
        <v>0.65</v>
      </c>
      <c r="Q117" s="204">
        <f t="shared" si="3"/>
        <v>0.55000000000000004</v>
      </c>
      <c r="R117" s="195">
        <v>17</v>
      </c>
      <c r="S117" s="195">
        <v>124</v>
      </c>
      <c r="T117" s="205">
        <f t="shared" si="8"/>
        <v>27</v>
      </c>
      <c r="U117" s="195">
        <v>98</v>
      </c>
      <c r="V117" s="205">
        <f t="shared" si="7"/>
        <v>2646</v>
      </c>
      <c r="W117" s="195">
        <v>3</v>
      </c>
      <c r="X117" s="195" t="s">
        <v>35</v>
      </c>
      <c r="Y117" s="195" t="s">
        <v>43</v>
      </c>
      <c r="Z117" s="195" t="s">
        <v>55</v>
      </c>
      <c r="AA117" s="195" t="s">
        <v>29</v>
      </c>
      <c r="AB117" s="195" t="s">
        <v>195</v>
      </c>
    </row>
    <row r="118" spans="1:28" x14ac:dyDescent="0.15">
      <c r="A118" s="195" t="s">
        <v>30</v>
      </c>
      <c r="B118" s="195" t="s">
        <v>191</v>
      </c>
      <c r="C118" s="195">
        <v>2020</v>
      </c>
      <c r="D118" s="203" t="s">
        <v>403</v>
      </c>
      <c r="E118" s="195" t="s">
        <v>410</v>
      </c>
      <c r="F118" s="195" t="s">
        <v>414</v>
      </c>
      <c r="G118" s="195" t="s">
        <v>25</v>
      </c>
      <c r="H118" s="195" t="s">
        <v>164</v>
      </c>
      <c r="I118" s="195" t="s">
        <v>111</v>
      </c>
      <c r="J118" s="195" t="s">
        <v>27</v>
      </c>
      <c r="K118" s="195" t="s">
        <v>112</v>
      </c>
      <c r="L118" s="195">
        <v>3</v>
      </c>
      <c r="N118" s="195">
        <v>1</v>
      </c>
      <c r="O118" s="195">
        <v>0.8</v>
      </c>
      <c r="P118" s="195">
        <v>0.85</v>
      </c>
      <c r="Q118" s="204">
        <f t="shared" si="3"/>
        <v>0.82499999999999996</v>
      </c>
      <c r="R118" s="195">
        <v>16.5</v>
      </c>
      <c r="S118" s="195">
        <v>126</v>
      </c>
      <c r="T118" s="205">
        <f t="shared" si="8"/>
        <v>27</v>
      </c>
      <c r="U118" s="195">
        <v>98</v>
      </c>
      <c r="V118" s="205">
        <f t="shared" si="7"/>
        <v>2646</v>
      </c>
      <c r="W118" s="195">
        <v>3</v>
      </c>
      <c r="X118" s="195" t="s">
        <v>35</v>
      </c>
      <c r="Y118" s="195" t="s">
        <v>43</v>
      </c>
      <c r="Z118" s="195" t="s">
        <v>55</v>
      </c>
      <c r="AA118" s="195" t="s">
        <v>29</v>
      </c>
      <c r="AB118" s="195" t="s">
        <v>195</v>
      </c>
    </row>
    <row r="119" spans="1:28" x14ac:dyDescent="0.15">
      <c r="A119" s="195" t="s">
        <v>30</v>
      </c>
      <c r="B119" s="195" t="s">
        <v>191</v>
      </c>
      <c r="C119" s="195">
        <v>2020</v>
      </c>
      <c r="D119" s="203" t="s">
        <v>403</v>
      </c>
      <c r="E119" s="195" t="s">
        <v>410</v>
      </c>
      <c r="F119" s="195" t="s">
        <v>414</v>
      </c>
      <c r="G119" s="195" t="s">
        <v>25</v>
      </c>
      <c r="H119" s="195" t="s">
        <v>164</v>
      </c>
      <c r="I119" s="195" t="s">
        <v>111</v>
      </c>
      <c r="J119" s="195" t="s">
        <v>27</v>
      </c>
      <c r="K119" s="195" t="s">
        <v>112</v>
      </c>
      <c r="L119" s="195">
        <v>1</v>
      </c>
      <c r="N119" s="195">
        <v>3</v>
      </c>
      <c r="O119" s="195">
        <v>0.35</v>
      </c>
      <c r="P119" s="195">
        <v>0.35</v>
      </c>
      <c r="Q119" s="204">
        <f t="shared" si="3"/>
        <v>0.35</v>
      </c>
      <c r="R119" s="195">
        <v>13.8</v>
      </c>
      <c r="S119" s="195">
        <v>132</v>
      </c>
      <c r="T119" s="205">
        <f t="shared" si="8"/>
        <v>25</v>
      </c>
      <c r="U119" s="195">
        <v>498</v>
      </c>
      <c r="V119" s="205">
        <f t="shared" si="7"/>
        <v>4150</v>
      </c>
      <c r="W119" s="195">
        <v>1</v>
      </c>
      <c r="X119" s="195" t="s">
        <v>35</v>
      </c>
      <c r="Y119" s="195" t="s">
        <v>43</v>
      </c>
      <c r="Z119" s="195" t="s">
        <v>55</v>
      </c>
      <c r="AA119" s="195" t="s">
        <v>29</v>
      </c>
      <c r="AB119" s="195" t="s">
        <v>195</v>
      </c>
    </row>
    <row r="120" spans="1:28" x14ac:dyDescent="0.15">
      <c r="A120" s="195" t="s">
        <v>30</v>
      </c>
      <c r="B120" s="195" t="s">
        <v>191</v>
      </c>
      <c r="C120" s="195">
        <v>2020</v>
      </c>
      <c r="D120" s="203" t="s">
        <v>403</v>
      </c>
      <c r="E120" s="195" t="s">
        <v>410</v>
      </c>
      <c r="F120" s="195" t="s">
        <v>414</v>
      </c>
      <c r="G120" s="195" t="s">
        <v>25</v>
      </c>
      <c r="H120" s="195" t="s">
        <v>164</v>
      </c>
      <c r="I120" s="195" t="s">
        <v>111</v>
      </c>
      <c r="J120" s="195" t="s">
        <v>27</v>
      </c>
      <c r="K120" s="195" t="s">
        <v>112</v>
      </c>
      <c r="L120" s="195">
        <v>2</v>
      </c>
      <c r="N120" s="195">
        <v>3</v>
      </c>
      <c r="O120" s="195">
        <v>0.45</v>
      </c>
      <c r="P120" s="195">
        <v>0.45</v>
      </c>
      <c r="Q120" s="204">
        <f t="shared" si="3"/>
        <v>0.45</v>
      </c>
      <c r="R120" s="195">
        <v>16.7</v>
      </c>
      <c r="S120" s="195">
        <v>130</v>
      </c>
      <c r="T120" s="205">
        <f t="shared" si="8"/>
        <v>25</v>
      </c>
      <c r="U120" s="195">
        <v>498</v>
      </c>
      <c r="V120" s="205">
        <f t="shared" si="7"/>
        <v>4150</v>
      </c>
      <c r="W120" s="195">
        <v>1</v>
      </c>
      <c r="X120" s="195" t="s">
        <v>35</v>
      </c>
      <c r="Y120" s="195" t="s">
        <v>43</v>
      </c>
      <c r="Z120" s="195" t="s">
        <v>55</v>
      </c>
      <c r="AA120" s="195" t="s">
        <v>29</v>
      </c>
      <c r="AB120" s="195" t="s">
        <v>195</v>
      </c>
    </row>
    <row r="121" spans="1:28" x14ac:dyDescent="0.15">
      <c r="A121" s="195" t="s">
        <v>30</v>
      </c>
      <c r="B121" s="195" t="s">
        <v>191</v>
      </c>
      <c r="C121" s="195">
        <v>2020</v>
      </c>
      <c r="D121" s="203" t="s">
        <v>403</v>
      </c>
      <c r="E121" s="195" t="s">
        <v>410</v>
      </c>
      <c r="F121" s="195" t="s">
        <v>414</v>
      </c>
      <c r="G121" s="195" t="s">
        <v>25</v>
      </c>
      <c r="H121" s="195" t="s">
        <v>164</v>
      </c>
      <c r="I121" s="195" t="s">
        <v>111</v>
      </c>
      <c r="J121" s="195" t="s">
        <v>27</v>
      </c>
      <c r="K121" s="195" t="s">
        <v>112</v>
      </c>
      <c r="L121" s="195">
        <v>3</v>
      </c>
      <c r="N121" s="195">
        <v>3</v>
      </c>
      <c r="O121" s="195">
        <v>0.5</v>
      </c>
      <c r="P121" s="195">
        <v>0.45</v>
      </c>
      <c r="Q121" s="204">
        <f t="shared" si="3"/>
        <v>0.47499999999999998</v>
      </c>
      <c r="R121" s="195">
        <v>15.4</v>
      </c>
      <c r="S121" s="195">
        <v>128</v>
      </c>
      <c r="T121" s="205">
        <f t="shared" si="8"/>
        <v>27</v>
      </c>
      <c r="U121" s="195">
        <v>498</v>
      </c>
      <c r="V121" s="205">
        <f t="shared" si="7"/>
        <v>4482</v>
      </c>
      <c r="W121" s="195">
        <v>1</v>
      </c>
      <c r="X121" s="195" t="s">
        <v>35</v>
      </c>
      <c r="Y121" s="195" t="s">
        <v>43</v>
      </c>
      <c r="Z121" s="195" t="s">
        <v>55</v>
      </c>
      <c r="AA121" s="195" t="s">
        <v>29</v>
      </c>
      <c r="AB121" s="195" t="s">
        <v>195</v>
      </c>
    </row>
    <row r="122" spans="1:28" x14ac:dyDescent="0.15">
      <c r="A122" s="195" t="s">
        <v>30</v>
      </c>
      <c r="B122" s="195" t="s">
        <v>191</v>
      </c>
      <c r="C122" s="195">
        <v>2020</v>
      </c>
      <c r="D122" s="203" t="s">
        <v>403</v>
      </c>
      <c r="E122" s="195" t="s">
        <v>410</v>
      </c>
      <c r="F122" s="195" t="s">
        <v>414</v>
      </c>
      <c r="G122" s="195" t="s">
        <v>25</v>
      </c>
      <c r="H122" s="195" t="s">
        <v>201</v>
      </c>
      <c r="I122" s="195" t="s">
        <v>111</v>
      </c>
      <c r="J122" s="195" t="s">
        <v>416</v>
      </c>
      <c r="K122" s="195" t="s">
        <v>34</v>
      </c>
      <c r="L122" s="195">
        <v>1</v>
      </c>
      <c r="N122" s="195">
        <v>5</v>
      </c>
      <c r="O122" s="195">
        <v>0.3</v>
      </c>
      <c r="P122" s="195">
        <v>0.3</v>
      </c>
      <c r="Q122" s="204">
        <f t="shared" si="3"/>
        <v>0.3</v>
      </c>
      <c r="R122" s="195">
        <v>12.8</v>
      </c>
      <c r="S122" s="195">
        <v>98</v>
      </c>
      <c r="T122" s="223">
        <f t="shared" si="8"/>
        <v>36</v>
      </c>
      <c r="U122" s="195">
        <v>350</v>
      </c>
      <c r="V122" s="223">
        <f t="shared" si="7"/>
        <v>2520</v>
      </c>
      <c r="W122" s="195">
        <v>5</v>
      </c>
      <c r="X122" s="195" t="s">
        <v>35</v>
      </c>
      <c r="Y122" s="195" t="s">
        <v>43</v>
      </c>
      <c r="Z122" s="195" t="s">
        <v>55</v>
      </c>
      <c r="AA122" s="195" t="s">
        <v>29</v>
      </c>
      <c r="AB122" s="195" t="s">
        <v>195</v>
      </c>
    </row>
    <row r="123" spans="1:28" x14ac:dyDescent="0.15">
      <c r="A123" s="195" t="s">
        <v>30</v>
      </c>
      <c r="B123" s="195" t="s">
        <v>191</v>
      </c>
      <c r="C123" s="195">
        <v>2020</v>
      </c>
      <c r="D123" s="203" t="s">
        <v>403</v>
      </c>
      <c r="E123" s="195" t="s">
        <v>410</v>
      </c>
      <c r="F123" s="195" t="s">
        <v>414</v>
      </c>
      <c r="G123" s="195" t="s">
        <v>25</v>
      </c>
      <c r="H123" s="195" t="s">
        <v>201</v>
      </c>
      <c r="I123" s="195" t="s">
        <v>111</v>
      </c>
      <c r="J123" s="195" t="s">
        <v>416</v>
      </c>
      <c r="K123" s="195" t="s">
        <v>34</v>
      </c>
      <c r="L123" s="195">
        <v>2</v>
      </c>
      <c r="N123" s="195">
        <v>5</v>
      </c>
      <c r="O123" s="195">
        <v>0.35</v>
      </c>
      <c r="P123" s="195">
        <v>0.35</v>
      </c>
      <c r="Q123" s="204">
        <f t="shared" si="3"/>
        <v>0.35</v>
      </c>
      <c r="R123" s="195">
        <v>15.4</v>
      </c>
      <c r="S123" s="195">
        <v>100</v>
      </c>
      <c r="T123" s="223">
        <f t="shared" si="8"/>
        <v>33</v>
      </c>
      <c r="U123" s="195">
        <v>350</v>
      </c>
      <c r="V123" s="223">
        <f t="shared" si="7"/>
        <v>2310</v>
      </c>
      <c r="W123" s="195">
        <v>5</v>
      </c>
      <c r="X123" s="195" t="s">
        <v>35</v>
      </c>
      <c r="Y123" s="195" t="s">
        <v>43</v>
      </c>
      <c r="Z123" s="195" t="s">
        <v>55</v>
      </c>
      <c r="AA123" s="195" t="s">
        <v>29</v>
      </c>
      <c r="AB123" s="195" t="s">
        <v>195</v>
      </c>
    </row>
    <row r="124" spans="1:28" x14ac:dyDescent="0.15">
      <c r="A124" s="195" t="s">
        <v>30</v>
      </c>
      <c r="B124" s="195" t="s">
        <v>191</v>
      </c>
      <c r="C124" s="195">
        <v>2020</v>
      </c>
      <c r="D124" s="203" t="s">
        <v>403</v>
      </c>
      <c r="E124" s="195" t="s">
        <v>410</v>
      </c>
      <c r="F124" s="195" t="s">
        <v>414</v>
      </c>
      <c r="G124" s="195" t="s">
        <v>25</v>
      </c>
      <c r="H124" s="195" t="s">
        <v>201</v>
      </c>
      <c r="I124" s="195" t="s">
        <v>111</v>
      </c>
      <c r="J124" s="195" t="s">
        <v>416</v>
      </c>
      <c r="K124" s="195" t="s">
        <v>34</v>
      </c>
      <c r="L124" s="195">
        <v>3</v>
      </c>
      <c r="N124" s="195">
        <v>5</v>
      </c>
      <c r="O124" s="195">
        <v>0.45</v>
      </c>
      <c r="P124" s="195">
        <v>0.35</v>
      </c>
      <c r="Q124" s="204">
        <f t="shared" si="3"/>
        <v>0.4</v>
      </c>
      <c r="R124" s="195">
        <v>14.8</v>
      </c>
      <c r="S124" s="195">
        <v>97</v>
      </c>
      <c r="T124" s="223">
        <f t="shared" si="8"/>
        <v>36</v>
      </c>
      <c r="U124" s="195">
        <v>350</v>
      </c>
      <c r="V124" s="223">
        <f t="shared" si="7"/>
        <v>2520</v>
      </c>
      <c r="W124" s="195">
        <v>5</v>
      </c>
      <c r="X124" s="195" t="s">
        <v>35</v>
      </c>
      <c r="Y124" s="195" t="s">
        <v>43</v>
      </c>
      <c r="Z124" s="195" t="s">
        <v>55</v>
      </c>
      <c r="AA124" s="195" t="s">
        <v>29</v>
      </c>
      <c r="AB124" s="195" t="s">
        <v>195</v>
      </c>
    </row>
    <row r="125" spans="1:28" x14ac:dyDescent="0.15">
      <c r="A125" s="195" t="s">
        <v>30</v>
      </c>
      <c r="B125" s="195" t="s">
        <v>191</v>
      </c>
      <c r="C125" s="195">
        <v>2020</v>
      </c>
      <c r="D125" s="203" t="s">
        <v>403</v>
      </c>
      <c r="E125" s="195" t="s">
        <v>410</v>
      </c>
      <c r="F125" s="195" t="s">
        <v>414</v>
      </c>
      <c r="G125" s="195" t="s">
        <v>25</v>
      </c>
      <c r="H125" s="195" t="s">
        <v>113</v>
      </c>
      <c r="I125" s="195" t="s">
        <v>111</v>
      </c>
      <c r="J125" s="195" t="s">
        <v>27</v>
      </c>
      <c r="K125" s="195" t="s">
        <v>112</v>
      </c>
      <c r="L125" s="195">
        <v>1</v>
      </c>
      <c r="N125" s="195">
        <v>1</v>
      </c>
      <c r="O125" s="195">
        <v>0.45</v>
      </c>
      <c r="P125" s="195">
        <v>0.45</v>
      </c>
      <c r="Q125" s="204">
        <f t="shared" si="3"/>
        <v>0.45</v>
      </c>
      <c r="R125" s="195">
        <v>13.8</v>
      </c>
      <c r="S125" s="195">
        <v>128</v>
      </c>
      <c r="T125" s="223">
        <f t="shared" si="8"/>
        <v>27</v>
      </c>
      <c r="U125" s="195">
        <v>88</v>
      </c>
      <c r="V125" s="223">
        <f t="shared" si="7"/>
        <v>2376</v>
      </c>
      <c r="W125" s="195">
        <v>3</v>
      </c>
      <c r="X125" s="195" t="s">
        <v>35</v>
      </c>
      <c r="Y125" s="195" t="s">
        <v>43</v>
      </c>
      <c r="Z125" s="195" t="s">
        <v>55</v>
      </c>
      <c r="AA125" s="195" t="s">
        <v>29</v>
      </c>
      <c r="AB125" s="195" t="s">
        <v>195</v>
      </c>
    </row>
    <row r="126" spans="1:28" x14ac:dyDescent="0.15">
      <c r="A126" s="195" t="s">
        <v>30</v>
      </c>
      <c r="B126" s="195" t="s">
        <v>191</v>
      </c>
      <c r="C126" s="195">
        <v>2020</v>
      </c>
      <c r="D126" s="203" t="s">
        <v>403</v>
      </c>
      <c r="E126" s="195" t="s">
        <v>410</v>
      </c>
      <c r="F126" s="195" t="s">
        <v>414</v>
      </c>
      <c r="G126" s="195" t="s">
        <v>25</v>
      </c>
      <c r="H126" s="195" t="s">
        <v>113</v>
      </c>
      <c r="I126" s="195" t="s">
        <v>111</v>
      </c>
      <c r="J126" s="195" t="s">
        <v>27</v>
      </c>
      <c r="K126" s="195" t="s">
        <v>112</v>
      </c>
      <c r="L126" s="195">
        <v>2</v>
      </c>
      <c r="N126" s="195">
        <v>1</v>
      </c>
      <c r="O126" s="195">
        <v>0.65</v>
      </c>
      <c r="P126" s="195">
        <v>0.5</v>
      </c>
      <c r="Q126" s="204">
        <f t="shared" si="3"/>
        <v>0.57499999999999996</v>
      </c>
      <c r="R126" s="195">
        <v>15.2</v>
      </c>
      <c r="S126" s="195">
        <v>124</v>
      </c>
      <c r="T126" s="223">
        <f t="shared" si="8"/>
        <v>27</v>
      </c>
      <c r="U126" s="195">
        <v>88</v>
      </c>
      <c r="V126" s="223">
        <f t="shared" si="7"/>
        <v>2376</v>
      </c>
      <c r="W126" s="195">
        <v>3</v>
      </c>
      <c r="X126" s="195" t="s">
        <v>35</v>
      </c>
      <c r="Y126" s="195" t="s">
        <v>43</v>
      </c>
      <c r="Z126" s="195" t="s">
        <v>55</v>
      </c>
      <c r="AA126" s="195" t="s">
        <v>29</v>
      </c>
      <c r="AB126" s="195" t="s">
        <v>195</v>
      </c>
    </row>
    <row r="127" spans="1:28" x14ac:dyDescent="0.15">
      <c r="A127" s="195" t="s">
        <v>30</v>
      </c>
      <c r="B127" s="195" t="s">
        <v>191</v>
      </c>
      <c r="C127" s="195">
        <v>2020</v>
      </c>
      <c r="D127" s="203" t="s">
        <v>403</v>
      </c>
      <c r="E127" s="195" t="s">
        <v>410</v>
      </c>
      <c r="F127" s="195" t="s">
        <v>414</v>
      </c>
      <c r="G127" s="195" t="s">
        <v>25</v>
      </c>
      <c r="H127" s="195" t="s">
        <v>113</v>
      </c>
      <c r="I127" s="195" t="s">
        <v>111</v>
      </c>
      <c r="J127" s="195" t="s">
        <v>27</v>
      </c>
      <c r="K127" s="195" t="s">
        <v>112</v>
      </c>
      <c r="L127" s="195">
        <v>3</v>
      </c>
      <c r="N127" s="195">
        <v>1</v>
      </c>
      <c r="O127" s="195">
        <v>0.5</v>
      </c>
      <c r="P127" s="195">
        <v>0.35</v>
      </c>
      <c r="Q127" s="204">
        <f t="shared" si="3"/>
        <v>0.42499999999999999</v>
      </c>
      <c r="R127" s="195">
        <v>16.7</v>
      </c>
      <c r="S127" s="195">
        <v>127</v>
      </c>
      <c r="T127" s="223">
        <f t="shared" si="8"/>
        <v>27</v>
      </c>
      <c r="U127" s="195">
        <v>88</v>
      </c>
      <c r="V127" s="223">
        <f t="shared" si="7"/>
        <v>2376</v>
      </c>
      <c r="W127" s="195">
        <v>3</v>
      </c>
      <c r="X127" s="195" t="s">
        <v>35</v>
      </c>
      <c r="Y127" s="195" t="s">
        <v>43</v>
      </c>
      <c r="Z127" s="195" t="s">
        <v>55</v>
      </c>
      <c r="AA127" s="195" t="s">
        <v>29</v>
      </c>
      <c r="AB127" s="195" t="s">
        <v>195</v>
      </c>
    </row>
    <row r="128" spans="1:28" x14ac:dyDescent="0.15">
      <c r="A128" s="195" t="s">
        <v>30</v>
      </c>
      <c r="B128" s="195" t="s">
        <v>191</v>
      </c>
      <c r="C128" s="195">
        <v>2020</v>
      </c>
      <c r="D128" s="203" t="s">
        <v>403</v>
      </c>
      <c r="E128" s="195" t="s">
        <v>410</v>
      </c>
      <c r="F128" s="195" t="s">
        <v>414</v>
      </c>
      <c r="G128" s="195" t="s">
        <v>25</v>
      </c>
      <c r="H128" s="195" t="s">
        <v>113</v>
      </c>
      <c r="I128" s="195" t="s">
        <v>111</v>
      </c>
      <c r="J128" s="195" t="s">
        <v>27</v>
      </c>
      <c r="K128" s="195" t="s">
        <v>112</v>
      </c>
      <c r="L128" s="195">
        <v>1</v>
      </c>
      <c r="N128" s="195">
        <v>5</v>
      </c>
      <c r="O128" s="195">
        <v>0.35</v>
      </c>
      <c r="P128" s="195">
        <v>0.4</v>
      </c>
      <c r="Q128" s="204">
        <f t="shared" si="3"/>
        <v>0.375</v>
      </c>
      <c r="R128" s="195">
        <v>14.2</v>
      </c>
      <c r="S128" s="195">
        <v>115</v>
      </c>
      <c r="T128" s="223">
        <f t="shared" si="8"/>
        <v>30</v>
      </c>
      <c r="U128" s="195">
        <v>350</v>
      </c>
      <c r="V128" s="223">
        <f t="shared" si="7"/>
        <v>2100</v>
      </c>
      <c r="W128" s="195">
        <v>2</v>
      </c>
      <c r="X128" s="195" t="s">
        <v>35</v>
      </c>
      <c r="Y128" s="195" t="s">
        <v>43</v>
      </c>
      <c r="Z128" s="195" t="s">
        <v>55</v>
      </c>
      <c r="AA128" s="195" t="s">
        <v>29</v>
      </c>
      <c r="AB128" s="195" t="s">
        <v>195</v>
      </c>
    </row>
    <row r="129" spans="1:28" x14ac:dyDescent="0.15">
      <c r="A129" s="195" t="s">
        <v>30</v>
      </c>
      <c r="B129" s="195" t="s">
        <v>191</v>
      </c>
      <c r="C129" s="195">
        <v>2020</v>
      </c>
      <c r="D129" s="203" t="s">
        <v>403</v>
      </c>
      <c r="E129" s="195" t="s">
        <v>410</v>
      </c>
      <c r="F129" s="195" t="s">
        <v>414</v>
      </c>
      <c r="G129" s="195" t="s">
        <v>25</v>
      </c>
      <c r="H129" s="195" t="s">
        <v>113</v>
      </c>
      <c r="I129" s="195" t="s">
        <v>111</v>
      </c>
      <c r="J129" s="195" t="s">
        <v>27</v>
      </c>
      <c r="K129" s="195" t="s">
        <v>112</v>
      </c>
      <c r="L129" s="195">
        <v>2</v>
      </c>
      <c r="N129" s="195">
        <v>5</v>
      </c>
      <c r="O129" s="195">
        <v>0.45</v>
      </c>
      <c r="P129" s="195">
        <v>0.35</v>
      </c>
      <c r="Q129" s="204">
        <f t="shared" si="3"/>
        <v>0.4</v>
      </c>
      <c r="R129" s="195">
        <v>13.4</v>
      </c>
      <c r="S129" s="195">
        <v>120</v>
      </c>
      <c r="T129" s="223">
        <f t="shared" si="8"/>
        <v>30</v>
      </c>
      <c r="U129" s="195">
        <v>350</v>
      </c>
      <c r="V129" s="205">
        <f t="shared" si="7"/>
        <v>2100</v>
      </c>
      <c r="W129" s="195">
        <v>2</v>
      </c>
      <c r="X129" s="195" t="s">
        <v>35</v>
      </c>
      <c r="Y129" s="195" t="s">
        <v>43</v>
      </c>
      <c r="Z129" s="195" t="s">
        <v>55</v>
      </c>
      <c r="AA129" s="195" t="s">
        <v>29</v>
      </c>
      <c r="AB129" s="195" t="s">
        <v>195</v>
      </c>
    </row>
    <row r="130" spans="1:28" x14ac:dyDescent="0.15">
      <c r="A130" s="195" t="s">
        <v>30</v>
      </c>
      <c r="B130" s="195" t="s">
        <v>191</v>
      </c>
      <c r="C130" s="195">
        <v>2020</v>
      </c>
      <c r="D130" s="203" t="s">
        <v>403</v>
      </c>
      <c r="E130" s="195" t="s">
        <v>410</v>
      </c>
      <c r="F130" s="195" t="s">
        <v>414</v>
      </c>
      <c r="G130" s="195" t="s">
        <v>25</v>
      </c>
      <c r="H130" s="195" t="s">
        <v>113</v>
      </c>
      <c r="I130" s="195" t="s">
        <v>111</v>
      </c>
      <c r="J130" s="195" t="s">
        <v>27</v>
      </c>
      <c r="K130" s="195" t="s">
        <v>112</v>
      </c>
      <c r="L130" s="195">
        <v>3</v>
      </c>
      <c r="N130" s="195">
        <v>5</v>
      </c>
      <c r="O130" s="195">
        <v>0.65</v>
      </c>
      <c r="P130" s="195">
        <v>0.65</v>
      </c>
      <c r="Q130" s="204">
        <f t="shared" ref="Q130:Q163" si="9">IF(OR(O130="",P130=""),"",AVERAGE(O130,P130))</f>
        <v>0.65</v>
      </c>
      <c r="R130" s="195">
        <v>15.2</v>
      </c>
      <c r="S130" s="195">
        <v>114</v>
      </c>
      <c r="T130" s="223">
        <f t="shared" si="8"/>
        <v>30</v>
      </c>
      <c r="U130" s="195">
        <v>350</v>
      </c>
      <c r="V130" s="205">
        <f t="shared" si="7"/>
        <v>2100</v>
      </c>
      <c r="W130" s="195">
        <v>2</v>
      </c>
      <c r="X130" s="195" t="s">
        <v>35</v>
      </c>
      <c r="Y130" s="195" t="s">
        <v>43</v>
      </c>
      <c r="Z130" s="195" t="s">
        <v>55</v>
      </c>
      <c r="AA130" s="195" t="s">
        <v>29</v>
      </c>
      <c r="AB130" s="195" t="s">
        <v>195</v>
      </c>
    </row>
    <row r="131" spans="1:28" x14ac:dyDescent="0.15">
      <c r="A131" s="195" t="s">
        <v>30</v>
      </c>
      <c r="B131" s="195" t="s">
        <v>191</v>
      </c>
      <c r="C131" s="195">
        <v>2020</v>
      </c>
      <c r="D131" s="203" t="s">
        <v>403</v>
      </c>
      <c r="E131" s="195" t="s">
        <v>412</v>
      </c>
      <c r="F131" s="195" t="s">
        <v>413</v>
      </c>
      <c r="G131" s="195" t="s">
        <v>25</v>
      </c>
      <c r="H131" s="195" t="s">
        <v>164</v>
      </c>
      <c r="I131" s="195" t="s">
        <v>111</v>
      </c>
      <c r="J131" s="195" t="s">
        <v>27</v>
      </c>
      <c r="K131" s="195" t="s">
        <v>112</v>
      </c>
      <c r="L131" s="195">
        <v>1</v>
      </c>
      <c r="N131" s="195">
        <v>1</v>
      </c>
      <c r="O131" s="195">
        <v>0.25</v>
      </c>
      <c r="P131" s="195">
        <v>0.3</v>
      </c>
      <c r="Q131" s="204">
        <f t="shared" si="9"/>
        <v>0.27500000000000002</v>
      </c>
      <c r="R131" s="195">
        <v>16.8</v>
      </c>
      <c r="S131" s="195">
        <v>120</v>
      </c>
      <c r="T131" s="205">
        <f t="shared" si="8"/>
        <v>30</v>
      </c>
      <c r="U131" s="195">
        <v>97</v>
      </c>
      <c r="V131" s="205">
        <f t="shared" si="7"/>
        <v>2910</v>
      </c>
      <c r="W131" s="195">
        <v>4</v>
      </c>
      <c r="X131" s="195" t="s">
        <v>35</v>
      </c>
      <c r="Y131" s="195" t="s">
        <v>43</v>
      </c>
      <c r="Z131" s="195" t="s">
        <v>55</v>
      </c>
      <c r="AA131" s="195" t="s">
        <v>82</v>
      </c>
      <c r="AB131" s="195" t="s">
        <v>195</v>
      </c>
    </row>
    <row r="132" spans="1:28" x14ac:dyDescent="0.15">
      <c r="A132" s="195" t="s">
        <v>30</v>
      </c>
      <c r="B132" s="195" t="s">
        <v>191</v>
      </c>
      <c r="C132" s="195">
        <v>2020</v>
      </c>
      <c r="D132" s="203" t="s">
        <v>403</v>
      </c>
      <c r="E132" s="195" t="s">
        <v>412</v>
      </c>
      <c r="F132" s="195" t="s">
        <v>413</v>
      </c>
      <c r="G132" s="195" t="s">
        <v>25</v>
      </c>
      <c r="H132" s="195" t="s">
        <v>164</v>
      </c>
      <c r="I132" s="195" t="s">
        <v>111</v>
      </c>
      <c r="J132" s="195" t="s">
        <v>27</v>
      </c>
      <c r="K132" s="195" t="s">
        <v>112</v>
      </c>
      <c r="L132" s="195">
        <v>2</v>
      </c>
      <c r="N132" s="195">
        <v>1</v>
      </c>
      <c r="O132" s="195">
        <v>0.25</v>
      </c>
      <c r="P132" s="195">
        <v>0.35</v>
      </c>
      <c r="Q132" s="204">
        <f t="shared" si="9"/>
        <v>0.3</v>
      </c>
      <c r="R132" s="195">
        <v>17</v>
      </c>
      <c r="S132" s="195">
        <v>118</v>
      </c>
      <c r="T132" s="205">
        <f t="shared" si="8"/>
        <v>30</v>
      </c>
      <c r="U132" s="195">
        <v>97</v>
      </c>
      <c r="V132" s="205">
        <f t="shared" si="7"/>
        <v>2910</v>
      </c>
      <c r="W132" s="195">
        <v>4</v>
      </c>
      <c r="X132" s="195" t="s">
        <v>35</v>
      </c>
      <c r="Y132" s="195" t="s">
        <v>43</v>
      </c>
      <c r="Z132" s="195" t="s">
        <v>55</v>
      </c>
      <c r="AA132" s="195" t="s">
        <v>82</v>
      </c>
      <c r="AB132" s="195" t="s">
        <v>195</v>
      </c>
    </row>
    <row r="133" spans="1:28" x14ac:dyDescent="0.15">
      <c r="A133" s="195" t="s">
        <v>30</v>
      </c>
      <c r="B133" s="195" t="s">
        <v>191</v>
      </c>
      <c r="C133" s="195">
        <v>2020</v>
      </c>
      <c r="D133" s="203" t="s">
        <v>403</v>
      </c>
      <c r="E133" s="195" t="s">
        <v>412</v>
      </c>
      <c r="F133" s="195" t="s">
        <v>413</v>
      </c>
      <c r="G133" s="195" t="s">
        <v>25</v>
      </c>
      <c r="H133" s="195" t="s">
        <v>164</v>
      </c>
      <c r="I133" s="195" t="s">
        <v>111</v>
      </c>
      <c r="J133" s="195" t="s">
        <v>27</v>
      </c>
      <c r="K133" s="195" t="s">
        <v>112</v>
      </c>
      <c r="L133" s="195">
        <v>3</v>
      </c>
      <c r="N133" s="195">
        <v>1</v>
      </c>
      <c r="O133" s="195">
        <v>0.3</v>
      </c>
      <c r="P133" s="195">
        <v>0.25</v>
      </c>
      <c r="Q133" s="204">
        <f t="shared" si="9"/>
        <v>0.27500000000000002</v>
      </c>
      <c r="R133" s="195">
        <v>14.5</v>
      </c>
      <c r="S133" s="195">
        <v>120</v>
      </c>
      <c r="T133" s="205">
        <f t="shared" si="8"/>
        <v>30</v>
      </c>
      <c r="U133" s="195">
        <v>97</v>
      </c>
      <c r="V133" s="205">
        <f t="shared" si="7"/>
        <v>2910</v>
      </c>
      <c r="W133" s="195">
        <v>4</v>
      </c>
      <c r="X133" s="195" t="s">
        <v>35</v>
      </c>
      <c r="Y133" s="195" t="s">
        <v>43</v>
      </c>
      <c r="Z133" s="195" t="s">
        <v>55</v>
      </c>
      <c r="AA133" s="195" t="s">
        <v>82</v>
      </c>
      <c r="AB133" s="195" t="s">
        <v>195</v>
      </c>
    </row>
    <row r="134" spans="1:28" x14ac:dyDescent="0.15">
      <c r="A134" s="195" t="s">
        <v>30</v>
      </c>
      <c r="B134" s="195" t="s">
        <v>191</v>
      </c>
      <c r="C134" s="195">
        <v>2020</v>
      </c>
      <c r="D134" s="203" t="s">
        <v>403</v>
      </c>
      <c r="E134" s="195" t="s">
        <v>412</v>
      </c>
      <c r="F134" s="195" t="s">
        <v>413</v>
      </c>
      <c r="G134" s="195" t="s">
        <v>25</v>
      </c>
      <c r="H134" s="195" t="s">
        <v>164</v>
      </c>
      <c r="I134" s="195" t="s">
        <v>111</v>
      </c>
      <c r="J134" s="195" t="s">
        <v>27</v>
      </c>
      <c r="K134" s="195" t="s">
        <v>112</v>
      </c>
      <c r="L134" s="195">
        <v>1</v>
      </c>
      <c r="N134" s="195">
        <v>4</v>
      </c>
      <c r="O134" s="195">
        <v>0.75</v>
      </c>
      <c r="P134" s="195">
        <v>0.7</v>
      </c>
      <c r="Q134" s="204">
        <f t="shared" si="9"/>
        <v>0.72499999999999998</v>
      </c>
      <c r="R134" s="195">
        <v>13.4</v>
      </c>
      <c r="S134" s="195">
        <v>114</v>
      </c>
      <c r="T134" s="205">
        <f t="shared" si="8"/>
        <v>30</v>
      </c>
      <c r="U134" s="195">
        <v>387</v>
      </c>
      <c r="V134" s="205">
        <f t="shared" si="7"/>
        <v>2902.5</v>
      </c>
      <c r="W134" s="195">
        <v>4</v>
      </c>
      <c r="X134" s="195" t="s">
        <v>35</v>
      </c>
      <c r="Y134" s="195" t="s">
        <v>43</v>
      </c>
      <c r="Z134" s="195" t="s">
        <v>55</v>
      </c>
      <c r="AA134" s="195" t="s">
        <v>82</v>
      </c>
      <c r="AB134" s="195" t="s">
        <v>195</v>
      </c>
    </row>
    <row r="135" spans="1:28" x14ac:dyDescent="0.15">
      <c r="A135" s="195" t="s">
        <v>30</v>
      </c>
      <c r="B135" s="195" t="s">
        <v>191</v>
      </c>
      <c r="C135" s="195">
        <v>2020</v>
      </c>
      <c r="D135" s="203" t="s">
        <v>403</v>
      </c>
      <c r="E135" s="195" t="s">
        <v>412</v>
      </c>
      <c r="F135" s="195" t="s">
        <v>413</v>
      </c>
      <c r="G135" s="195" t="s">
        <v>25</v>
      </c>
      <c r="H135" s="195" t="s">
        <v>164</v>
      </c>
      <c r="I135" s="195" t="s">
        <v>111</v>
      </c>
      <c r="J135" s="195" t="s">
        <v>27</v>
      </c>
      <c r="K135" s="195" t="s">
        <v>112</v>
      </c>
      <c r="L135" s="195">
        <v>2</v>
      </c>
      <c r="N135" s="195">
        <v>4</v>
      </c>
      <c r="O135" s="195">
        <v>0.85</v>
      </c>
      <c r="P135" s="195">
        <v>0.9</v>
      </c>
      <c r="Q135" s="204">
        <f t="shared" si="9"/>
        <v>0.875</v>
      </c>
      <c r="R135" s="195">
        <v>15</v>
      </c>
      <c r="S135" s="195">
        <v>110</v>
      </c>
      <c r="T135" s="205">
        <f t="shared" si="8"/>
        <v>33</v>
      </c>
      <c r="U135" s="195">
        <v>387</v>
      </c>
      <c r="V135" s="205">
        <f t="shared" si="7"/>
        <v>3192.75</v>
      </c>
      <c r="W135" s="195">
        <v>4</v>
      </c>
      <c r="X135" s="195" t="s">
        <v>35</v>
      </c>
      <c r="Y135" s="195" t="s">
        <v>43</v>
      </c>
      <c r="Z135" s="195" t="s">
        <v>55</v>
      </c>
      <c r="AA135" s="195" t="s">
        <v>82</v>
      </c>
      <c r="AB135" s="195" t="s">
        <v>195</v>
      </c>
    </row>
    <row r="136" spans="1:28" x14ac:dyDescent="0.15">
      <c r="A136" s="195" t="s">
        <v>30</v>
      </c>
      <c r="B136" s="195" t="s">
        <v>191</v>
      </c>
      <c r="C136" s="195">
        <v>2020</v>
      </c>
      <c r="D136" s="203" t="s">
        <v>403</v>
      </c>
      <c r="E136" s="195" t="s">
        <v>412</v>
      </c>
      <c r="F136" s="195" t="s">
        <v>413</v>
      </c>
      <c r="G136" s="195" t="s">
        <v>25</v>
      </c>
      <c r="H136" s="195" t="s">
        <v>164</v>
      </c>
      <c r="I136" s="195" t="s">
        <v>111</v>
      </c>
      <c r="J136" s="195" t="s">
        <v>27</v>
      </c>
      <c r="K136" s="195" t="s">
        <v>112</v>
      </c>
      <c r="L136" s="195">
        <v>3</v>
      </c>
      <c r="N136" s="195">
        <v>4</v>
      </c>
      <c r="O136" s="195">
        <v>0.65</v>
      </c>
      <c r="P136" s="195">
        <v>0.85</v>
      </c>
      <c r="Q136" s="204">
        <f t="shared" si="9"/>
        <v>0.75</v>
      </c>
      <c r="R136" s="195">
        <v>14.2</v>
      </c>
      <c r="S136" s="195">
        <v>112</v>
      </c>
      <c r="T136" s="205">
        <f t="shared" si="8"/>
        <v>33</v>
      </c>
      <c r="U136" s="195">
        <v>387</v>
      </c>
      <c r="V136" s="205">
        <f t="shared" si="7"/>
        <v>3192.75</v>
      </c>
      <c r="W136" s="195">
        <v>4</v>
      </c>
      <c r="X136" s="195" t="s">
        <v>35</v>
      </c>
      <c r="Y136" s="195" t="s">
        <v>43</v>
      </c>
      <c r="Z136" s="195" t="s">
        <v>55</v>
      </c>
      <c r="AA136" s="195" t="s">
        <v>82</v>
      </c>
      <c r="AB136" s="195" t="s">
        <v>195</v>
      </c>
    </row>
    <row r="137" spans="1:28" x14ac:dyDescent="0.15">
      <c r="A137" s="195" t="s">
        <v>30</v>
      </c>
      <c r="B137" s="195" t="s">
        <v>191</v>
      </c>
      <c r="C137" s="195">
        <v>2020</v>
      </c>
      <c r="D137" s="203" t="s">
        <v>403</v>
      </c>
      <c r="E137" s="195" t="s">
        <v>412</v>
      </c>
      <c r="F137" s="195" t="s">
        <v>413</v>
      </c>
      <c r="G137" s="195" t="s">
        <v>25</v>
      </c>
      <c r="H137" s="195" t="s">
        <v>164</v>
      </c>
      <c r="I137" s="195" t="s">
        <v>111</v>
      </c>
      <c r="J137" s="195" t="s">
        <v>27</v>
      </c>
      <c r="K137" s="195" t="s">
        <v>112</v>
      </c>
      <c r="L137" s="195">
        <v>1</v>
      </c>
      <c r="N137" s="195">
        <v>8</v>
      </c>
      <c r="O137" s="195">
        <v>0.5</v>
      </c>
      <c r="P137" s="195">
        <v>0.65</v>
      </c>
      <c r="Q137" s="204">
        <f t="shared" si="9"/>
        <v>0.57499999999999996</v>
      </c>
      <c r="R137" s="195">
        <v>16.2</v>
      </c>
      <c r="S137" s="195">
        <v>100</v>
      </c>
      <c r="T137" s="205">
        <f t="shared" si="8"/>
        <v>33</v>
      </c>
      <c r="U137" s="195">
        <v>780</v>
      </c>
      <c r="V137" s="205">
        <f t="shared" si="7"/>
        <v>3217.5</v>
      </c>
      <c r="W137" s="195">
        <v>2</v>
      </c>
      <c r="X137" s="195" t="s">
        <v>35</v>
      </c>
      <c r="Y137" s="195" t="s">
        <v>43</v>
      </c>
      <c r="Z137" s="195" t="s">
        <v>55</v>
      </c>
      <c r="AA137" s="195" t="s">
        <v>82</v>
      </c>
      <c r="AB137" s="195" t="s">
        <v>195</v>
      </c>
    </row>
    <row r="138" spans="1:28" x14ac:dyDescent="0.15">
      <c r="A138" s="195" t="s">
        <v>30</v>
      </c>
      <c r="B138" s="195" t="s">
        <v>191</v>
      </c>
      <c r="C138" s="195">
        <v>2020</v>
      </c>
      <c r="D138" s="203" t="s">
        <v>403</v>
      </c>
      <c r="E138" s="195" t="s">
        <v>412</v>
      </c>
      <c r="F138" s="195" t="s">
        <v>413</v>
      </c>
      <c r="G138" s="195" t="s">
        <v>25</v>
      </c>
      <c r="H138" s="195" t="s">
        <v>164</v>
      </c>
      <c r="I138" s="195" t="s">
        <v>111</v>
      </c>
      <c r="J138" s="195" t="s">
        <v>27</v>
      </c>
      <c r="K138" s="195" t="s">
        <v>112</v>
      </c>
      <c r="L138" s="195">
        <v>2</v>
      </c>
      <c r="N138" s="195">
        <v>8</v>
      </c>
      <c r="O138" s="195">
        <v>0.45</v>
      </c>
      <c r="P138" s="195">
        <v>0.55000000000000004</v>
      </c>
      <c r="Q138" s="204">
        <f t="shared" si="9"/>
        <v>0.5</v>
      </c>
      <c r="R138" s="195">
        <v>15</v>
      </c>
      <c r="S138" s="195">
        <v>102</v>
      </c>
      <c r="T138" s="205">
        <f t="shared" si="8"/>
        <v>33</v>
      </c>
      <c r="U138" s="195">
        <v>780</v>
      </c>
      <c r="V138" s="205">
        <f t="shared" si="7"/>
        <v>3217.5</v>
      </c>
      <c r="W138" s="195">
        <v>2</v>
      </c>
      <c r="X138" s="195" t="s">
        <v>35</v>
      </c>
      <c r="Y138" s="195" t="s">
        <v>43</v>
      </c>
      <c r="Z138" s="195" t="s">
        <v>55</v>
      </c>
      <c r="AA138" s="195" t="s">
        <v>82</v>
      </c>
      <c r="AB138" s="195" t="s">
        <v>195</v>
      </c>
    </row>
    <row r="139" spans="1:28" x14ac:dyDescent="0.15">
      <c r="A139" s="195" t="s">
        <v>30</v>
      </c>
      <c r="B139" s="195" t="s">
        <v>191</v>
      </c>
      <c r="C139" s="195">
        <v>2020</v>
      </c>
      <c r="D139" s="203" t="s">
        <v>403</v>
      </c>
      <c r="E139" s="195" t="s">
        <v>412</v>
      </c>
      <c r="F139" s="195" t="s">
        <v>413</v>
      </c>
      <c r="G139" s="195" t="s">
        <v>25</v>
      </c>
      <c r="H139" s="195" t="s">
        <v>164</v>
      </c>
      <c r="I139" s="195" t="s">
        <v>111</v>
      </c>
      <c r="J139" s="195" t="s">
        <v>27</v>
      </c>
      <c r="K139" s="195" t="s">
        <v>112</v>
      </c>
      <c r="L139" s="195">
        <v>3</v>
      </c>
      <c r="N139" s="195">
        <v>8</v>
      </c>
      <c r="O139" s="195">
        <v>0.5</v>
      </c>
      <c r="P139" s="195">
        <v>0.7</v>
      </c>
      <c r="Q139" s="204">
        <f t="shared" si="9"/>
        <v>0.6</v>
      </c>
      <c r="R139" s="195">
        <v>15.1</v>
      </c>
      <c r="S139" s="195">
        <v>104</v>
      </c>
      <c r="T139" s="205">
        <f t="shared" si="8"/>
        <v>33</v>
      </c>
      <c r="U139" s="195">
        <v>780</v>
      </c>
      <c r="V139" s="205">
        <f t="shared" si="7"/>
        <v>3217.5</v>
      </c>
      <c r="W139" s="195">
        <v>2</v>
      </c>
      <c r="X139" s="195" t="s">
        <v>35</v>
      </c>
      <c r="Y139" s="195" t="s">
        <v>43</v>
      </c>
      <c r="Z139" s="195" t="s">
        <v>55</v>
      </c>
      <c r="AA139" s="195" t="s">
        <v>82</v>
      </c>
      <c r="AB139" s="195" t="s">
        <v>195</v>
      </c>
    </row>
    <row r="140" spans="1:28" x14ac:dyDescent="0.15">
      <c r="A140" s="195" t="s">
        <v>30</v>
      </c>
      <c r="B140" s="195" t="s">
        <v>191</v>
      </c>
      <c r="C140" s="195">
        <v>2020</v>
      </c>
      <c r="D140" s="203" t="s">
        <v>403</v>
      </c>
      <c r="E140" s="195" t="s">
        <v>412</v>
      </c>
      <c r="F140" s="195" t="s">
        <v>413</v>
      </c>
      <c r="G140" s="195" t="s">
        <v>25</v>
      </c>
      <c r="H140" s="195" t="s">
        <v>113</v>
      </c>
      <c r="I140" s="195" t="s">
        <v>111</v>
      </c>
      <c r="J140" s="195" t="s">
        <v>27</v>
      </c>
      <c r="K140" s="195" t="s">
        <v>112</v>
      </c>
      <c r="L140" s="195">
        <v>1</v>
      </c>
      <c r="N140" s="195">
        <v>1</v>
      </c>
      <c r="O140" s="195">
        <v>1</v>
      </c>
      <c r="P140" s="195">
        <v>1.2</v>
      </c>
      <c r="Q140" s="204">
        <f t="shared" si="9"/>
        <v>1.1000000000000001</v>
      </c>
      <c r="R140" s="195">
        <v>13.7</v>
      </c>
      <c r="S140" s="195">
        <v>120</v>
      </c>
      <c r="T140" s="205">
        <f t="shared" si="8"/>
        <v>30</v>
      </c>
      <c r="U140" s="195">
        <v>97</v>
      </c>
      <c r="V140" s="205">
        <f t="shared" si="7"/>
        <v>2910</v>
      </c>
      <c r="W140" s="195">
        <v>4</v>
      </c>
      <c r="X140" s="195" t="s">
        <v>35</v>
      </c>
      <c r="Y140" s="195" t="s">
        <v>43</v>
      </c>
      <c r="Z140" s="195" t="s">
        <v>55</v>
      </c>
      <c r="AA140" s="195" t="s">
        <v>82</v>
      </c>
      <c r="AB140" s="195" t="s">
        <v>195</v>
      </c>
    </row>
    <row r="141" spans="1:28" x14ac:dyDescent="0.15">
      <c r="A141" s="195" t="s">
        <v>30</v>
      </c>
      <c r="B141" s="195" t="s">
        <v>191</v>
      </c>
      <c r="C141" s="195">
        <v>2020</v>
      </c>
      <c r="D141" s="203" t="s">
        <v>403</v>
      </c>
      <c r="E141" s="195" t="s">
        <v>412</v>
      </c>
      <c r="F141" s="195" t="s">
        <v>413</v>
      </c>
      <c r="G141" s="195" t="s">
        <v>25</v>
      </c>
      <c r="H141" s="195" t="s">
        <v>113</v>
      </c>
      <c r="I141" s="195" t="s">
        <v>111</v>
      </c>
      <c r="J141" s="195" t="s">
        <v>27</v>
      </c>
      <c r="K141" s="195" t="s">
        <v>112</v>
      </c>
      <c r="L141" s="195">
        <v>2</v>
      </c>
      <c r="N141" s="195">
        <v>1</v>
      </c>
      <c r="O141" s="195">
        <v>0.95</v>
      </c>
      <c r="P141" s="195">
        <v>1.05</v>
      </c>
      <c r="Q141" s="204">
        <f t="shared" si="9"/>
        <v>1</v>
      </c>
      <c r="R141" s="195">
        <v>14.2</v>
      </c>
      <c r="S141" s="195">
        <v>120</v>
      </c>
      <c r="T141" s="205">
        <f t="shared" si="8"/>
        <v>30</v>
      </c>
      <c r="U141" s="195">
        <v>97</v>
      </c>
      <c r="V141" s="205">
        <f t="shared" si="7"/>
        <v>2910</v>
      </c>
      <c r="W141" s="195">
        <v>4</v>
      </c>
      <c r="X141" s="195" t="s">
        <v>35</v>
      </c>
      <c r="Y141" s="195" t="s">
        <v>43</v>
      </c>
      <c r="Z141" s="195" t="s">
        <v>55</v>
      </c>
      <c r="AA141" s="195" t="s">
        <v>82</v>
      </c>
      <c r="AB141" s="195" t="s">
        <v>195</v>
      </c>
    </row>
    <row r="142" spans="1:28" x14ac:dyDescent="0.15">
      <c r="A142" s="195" t="s">
        <v>30</v>
      </c>
      <c r="B142" s="195" t="s">
        <v>191</v>
      </c>
      <c r="C142" s="195">
        <v>2020</v>
      </c>
      <c r="D142" s="203" t="s">
        <v>403</v>
      </c>
      <c r="E142" s="195" t="s">
        <v>412</v>
      </c>
      <c r="F142" s="195" t="s">
        <v>413</v>
      </c>
      <c r="G142" s="195" t="s">
        <v>25</v>
      </c>
      <c r="H142" s="195" t="s">
        <v>113</v>
      </c>
      <c r="I142" s="195" t="s">
        <v>111</v>
      </c>
      <c r="J142" s="195" t="s">
        <v>27</v>
      </c>
      <c r="K142" s="195" t="s">
        <v>112</v>
      </c>
      <c r="L142" s="195">
        <v>3</v>
      </c>
      <c r="N142" s="195">
        <v>1</v>
      </c>
      <c r="O142" s="195">
        <v>0.8</v>
      </c>
      <c r="P142" s="195">
        <v>0.8</v>
      </c>
      <c r="Q142" s="204">
        <f t="shared" si="9"/>
        <v>0.8</v>
      </c>
      <c r="R142" s="195">
        <v>12.8</v>
      </c>
      <c r="S142" s="195">
        <v>120</v>
      </c>
      <c r="T142" s="205">
        <f t="shared" si="8"/>
        <v>30</v>
      </c>
      <c r="U142" s="195">
        <v>97</v>
      </c>
      <c r="V142" s="205">
        <f t="shared" ref="V142:V163" si="10">IF(OR(N142="",U142="",T142=""),"",U142/N142*T142)</f>
        <v>2910</v>
      </c>
      <c r="W142" s="195">
        <v>4</v>
      </c>
      <c r="X142" s="195" t="s">
        <v>35</v>
      </c>
      <c r="Y142" s="195" t="s">
        <v>43</v>
      </c>
      <c r="Z142" s="195" t="s">
        <v>55</v>
      </c>
      <c r="AA142" s="195" t="s">
        <v>82</v>
      </c>
      <c r="AB142" s="195" t="s">
        <v>195</v>
      </c>
    </row>
    <row r="143" spans="1:28" x14ac:dyDescent="0.15">
      <c r="A143" s="195" t="s">
        <v>30</v>
      </c>
      <c r="B143" s="195" t="s">
        <v>191</v>
      </c>
      <c r="C143" s="195">
        <v>2020</v>
      </c>
      <c r="D143" s="203" t="s">
        <v>403</v>
      </c>
      <c r="E143" s="195" t="s">
        <v>412</v>
      </c>
      <c r="F143" s="195" t="s">
        <v>413</v>
      </c>
      <c r="G143" s="195" t="s">
        <v>25</v>
      </c>
      <c r="H143" s="195" t="s">
        <v>113</v>
      </c>
      <c r="I143" s="195" t="s">
        <v>111</v>
      </c>
      <c r="J143" s="195" t="s">
        <v>27</v>
      </c>
      <c r="K143" s="195" t="s">
        <v>112</v>
      </c>
      <c r="L143" s="195">
        <v>1</v>
      </c>
      <c r="N143" s="195">
        <v>5</v>
      </c>
      <c r="O143" s="195">
        <v>0.8</v>
      </c>
      <c r="P143" s="195">
        <v>0.75</v>
      </c>
      <c r="Q143" s="204">
        <f t="shared" si="9"/>
        <v>0.77500000000000002</v>
      </c>
      <c r="R143" s="195">
        <v>14.2</v>
      </c>
      <c r="S143" s="195">
        <v>100</v>
      </c>
      <c r="T143" s="205">
        <f t="shared" si="8"/>
        <v>33</v>
      </c>
      <c r="U143" s="195">
        <v>387</v>
      </c>
      <c r="V143" s="205">
        <f t="shared" si="10"/>
        <v>2554.2000000000003</v>
      </c>
      <c r="W143" s="195">
        <v>4</v>
      </c>
      <c r="X143" s="195" t="s">
        <v>35</v>
      </c>
      <c r="Y143" s="195" t="s">
        <v>43</v>
      </c>
      <c r="Z143" s="195" t="s">
        <v>55</v>
      </c>
      <c r="AA143" s="195" t="s">
        <v>82</v>
      </c>
      <c r="AB143" s="195" t="s">
        <v>195</v>
      </c>
    </row>
    <row r="144" spans="1:28" x14ac:dyDescent="0.15">
      <c r="A144" s="195" t="s">
        <v>30</v>
      </c>
      <c r="B144" s="195" t="s">
        <v>191</v>
      </c>
      <c r="C144" s="195">
        <v>2020</v>
      </c>
      <c r="D144" s="203" t="s">
        <v>403</v>
      </c>
      <c r="E144" s="195" t="s">
        <v>412</v>
      </c>
      <c r="F144" s="195" t="s">
        <v>413</v>
      </c>
      <c r="G144" s="195" t="s">
        <v>25</v>
      </c>
      <c r="H144" s="195" t="s">
        <v>113</v>
      </c>
      <c r="I144" s="195" t="s">
        <v>111</v>
      </c>
      <c r="J144" s="195" t="s">
        <v>27</v>
      </c>
      <c r="K144" s="195" t="s">
        <v>112</v>
      </c>
      <c r="L144" s="195">
        <v>2</v>
      </c>
      <c r="N144" s="195">
        <v>5</v>
      </c>
      <c r="O144" s="195">
        <v>0.65</v>
      </c>
      <c r="P144" s="195">
        <v>0.65</v>
      </c>
      <c r="Q144" s="204">
        <f t="shared" si="9"/>
        <v>0.65</v>
      </c>
      <c r="R144" s="195">
        <v>13.8</v>
      </c>
      <c r="S144" s="195">
        <v>104</v>
      </c>
      <c r="T144" s="205">
        <f t="shared" si="8"/>
        <v>33</v>
      </c>
      <c r="U144" s="195">
        <v>387</v>
      </c>
      <c r="V144" s="205">
        <f t="shared" si="10"/>
        <v>2554.2000000000003</v>
      </c>
      <c r="W144" s="195">
        <v>4</v>
      </c>
      <c r="X144" s="195" t="s">
        <v>35</v>
      </c>
      <c r="Y144" s="195" t="s">
        <v>43</v>
      </c>
      <c r="Z144" s="195" t="s">
        <v>55</v>
      </c>
      <c r="AA144" s="195" t="s">
        <v>82</v>
      </c>
      <c r="AB144" s="195" t="s">
        <v>195</v>
      </c>
    </row>
    <row r="145" spans="1:28" x14ac:dyDescent="0.15">
      <c r="A145" s="195" t="s">
        <v>30</v>
      </c>
      <c r="B145" s="195" t="s">
        <v>191</v>
      </c>
      <c r="C145" s="195">
        <v>2020</v>
      </c>
      <c r="D145" s="203" t="s">
        <v>403</v>
      </c>
      <c r="E145" s="195" t="s">
        <v>412</v>
      </c>
      <c r="F145" s="195" t="s">
        <v>413</v>
      </c>
      <c r="G145" s="195" t="s">
        <v>25</v>
      </c>
      <c r="H145" s="195" t="s">
        <v>113</v>
      </c>
      <c r="I145" s="195" t="s">
        <v>111</v>
      </c>
      <c r="J145" s="195" t="s">
        <v>27</v>
      </c>
      <c r="K145" s="195" t="s">
        <v>112</v>
      </c>
      <c r="L145" s="195">
        <v>3</v>
      </c>
      <c r="N145" s="195">
        <v>5</v>
      </c>
      <c r="O145" s="195">
        <v>0.5</v>
      </c>
      <c r="P145" s="195">
        <v>0.55000000000000004</v>
      </c>
      <c r="Q145" s="204">
        <f t="shared" si="9"/>
        <v>0.52500000000000002</v>
      </c>
      <c r="R145" s="195">
        <v>15.2</v>
      </c>
      <c r="S145" s="195">
        <v>102</v>
      </c>
      <c r="T145" s="205">
        <f t="shared" si="8"/>
        <v>33</v>
      </c>
      <c r="U145" s="195">
        <v>387</v>
      </c>
      <c r="V145" s="205">
        <f t="shared" si="10"/>
        <v>2554.2000000000003</v>
      </c>
      <c r="W145" s="195">
        <v>4</v>
      </c>
      <c r="X145" s="195" t="s">
        <v>35</v>
      </c>
      <c r="Y145" s="195" t="s">
        <v>43</v>
      </c>
      <c r="Z145" s="195" t="s">
        <v>55</v>
      </c>
      <c r="AA145" s="195" t="s">
        <v>82</v>
      </c>
      <c r="AB145" s="195" t="s">
        <v>195</v>
      </c>
    </row>
    <row r="146" spans="1:28" x14ac:dyDescent="0.15">
      <c r="A146" s="195" t="s">
        <v>30</v>
      </c>
      <c r="B146" s="195" t="s">
        <v>191</v>
      </c>
      <c r="C146" s="195">
        <v>2020</v>
      </c>
      <c r="D146" s="203" t="s">
        <v>403</v>
      </c>
      <c r="E146" s="195" t="s">
        <v>412</v>
      </c>
      <c r="F146" s="195" t="s">
        <v>413</v>
      </c>
      <c r="G146" s="195" t="s">
        <v>25</v>
      </c>
      <c r="H146" s="195" t="s">
        <v>113</v>
      </c>
      <c r="I146" s="195" t="s">
        <v>111</v>
      </c>
      <c r="J146" s="195" t="s">
        <v>27</v>
      </c>
      <c r="K146" s="195" t="s">
        <v>112</v>
      </c>
      <c r="L146" s="195">
        <v>1</v>
      </c>
      <c r="N146" s="195">
        <v>8</v>
      </c>
      <c r="O146" s="195">
        <v>0.7</v>
      </c>
      <c r="P146" s="195">
        <v>0.9</v>
      </c>
      <c r="Q146" s="204">
        <f t="shared" si="9"/>
        <v>0.8</v>
      </c>
      <c r="R146" s="195">
        <v>14.7</v>
      </c>
      <c r="S146" s="195">
        <v>95</v>
      </c>
      <c r="T146" s="205">
        <f t="shared" si="8"/>
        <v>36</v>
      </c>
      <c r="U146" s="195">
        <v>497</v>
      </c>
      <c r="V146" s="205">
        <f t="shared" si="10"/>
        <v>2236.5</v>
      </c>
      <c r="W146" s="195">
        <v>2</v>
      </c>
      <c r="X146" s="195" t="s">
        <v>35</v>
      </c>
      <c r="Y146" s="195" t="s">
        <v>43</v>
      </c>
      <c r="Z146" s="195" t="s">
        <v>55</v>
      </c>
      <c r="AA146" s="195" t="s">
        <v>82</v>
      </c>
      <c r="AB146" s="195" t="s">
        <v>195</v>
      </c>
    </row>
    <row r="147" spans="1:28" x14ac:dyDescent="0.15">
      <c r="A147" s="195" t="s">
        <v>30</v>
      </c>
      <c r="B147" s="195" t="s">
        <v>191</v>
      </c>
      <c r="C147" s="195">
        <v>2020</v>
      </c>
      <c r="D147" s="203" t="s">
        <v>403</v>
      </c>
      <c r="E147" s="195" t="s">
        <v>412</v>
      </c>
      <c r="F147" s="195" t="s">
        <v>413</v>
      </c>
      <c r="G147" s="195" t="s">
        <v>25</v>
      </c>
      <c r="H147" s="195" t="s">
        <v>113</v>
      </c>
      <c r="I147" s="195" t="s">
        <v>111</v>
      </c>
      <c r="J147" s="195" t="s">
        <v>27</v>
      </c>
      <c r="K147" s="195" t="s">
        <v>112</v>
      </c>
      <c r="L147" s="195">
        <v>2</v>
      </c>
      <c r="N147" s="195">
        <v>8</v>
      </c>
      <c r="O147" s="195">
        <v>0.85</v>
      </c>
      <c r="P147" s="195">
        <v>0.95</v>
      </c>
      <c r="Q147" s="204">
        <f t="shared" si="9"/>
        <v>0.89999999999999991</v>
      </c>
      <c r="R147" s="195">
        <v>13.2</v>
      </c>
      <c r="S147" s="195">
        <v>100</v>
      </c>
      <c r="T147" s="205">
        <f t="shared" si="8"/>
        <v>33</v>
      </c>
      <c r="U147" s="195">
        <v>497</v>
      </c>
      <c r="V147" s="205">
        <f t="shared" si="10"/>
        <v>2050.125</v>
      </c>
      <c r="W147" s="195">
        <v>2</v>
      </c>
      <c r="X147" s="195" t="s">
        <v>35</v>
      </c>
      <c r="Y147" s="195" t="s">
        <v>43</v>
      </c>
      <c r="Z147" s="195" t="s">
        <v>55</v>
      </c>
      <c r="AA147" s="195" t="s">
        <v>82</v>
      </c>
      <c r="AB147" s="195" t="s">
        <v>195</v>
      </c>
    </row>
    <row r="148" spans="1:28" x14ac:dyDescent="0.15">
      <c r="A148" s="195" t="s">
        <v>30</v>
      </c>
      <c r="B148" s="195" t="s">
        <v>191</v>
      </c>
      <c r="C148" s="195">
        <v>2020</v>
      </c>
      <c r="D148" s="203" t="s">
        <v>403</v>
      </c>
      <c r="E148" s="195" t="s">
        <v>412</v>
      </c>
      <c r="F148" s="195" t="s">
        <v>413</v>
      </c>
      <c r="G148" s="195" t="s">
        <v>25</v>
      </c>
      <c r="H148" s="195" t="s">
        <v>113</v>
      </c>
      <c r="I148" s="195" t="s">
        <v>111</v>
      </c>
      <c r="J148" s="195" t="s">
        <v>27</v>
      </c>
      <c r="K148" s="195" t="s">
        <v>112</v>
      </c>
      <c r="L148" s="195">
        <v>3</v>
      </c>
      <c r="N148" s="195">
        <v>8</v>
      </c>
      <c r="O148" s="195">
        <v>0.75</v>
      </c>
      <c r="P148" s="195">
        <v>0.7</v>
      </c>
      <c r="Q148" s="204">
        <f t="shared" si="9"/>
        <v>0.72499999999999998</v>
      </c>
      <c r="R148" s="195">
        <v>13.2</v>
      </c>
      <c r="S148" s="195">
        <v>97</v>
      </c>
      <c r="T148" s="205">
        <f t="shared" si="8"/>
        <v>36</v>
      </c>
      <c r="U148" s="195">
        <v>497</v>
      </c>
      <c r="V148" s="205">
        <f t="shared" si="10"/>
        <v>2236.5</v>
      </c>
      <c r="W148" s="195">
        <v>2</v>
      </c>
      <c r="X148" s="195" t="s">
        <v>35</v>
      </c>
      <c r="Y148" s="195" t="s">
        <v>43</v>
      </c>
      <c r="Z148" s="195" t="s">
        <v>55</v>
      </c>
      <c r="AA148" s="195" t="s">
        <v>82</v>
      </c>
      <c r="AB148" s="195" t="s">
        <v>195</v>
      </c>
    </row>
    <row r="149" spans="1:28" x14ac:dyDescent="0.15">
      <c r="A149" s="195" t="s">
        <v>30</v>
      </c>
      <c r="B149" s="195" t="s">
        <v>191</v>
      </c>
      <c r="C149" s="195">
        <v>2020</v>
      </c>
      <c r="D149" s="203" t="s">
        <v>403</v>
      </c>
      <c r="E149" s="195" t="s">
        <v>196</v>
      </c>
      <c r="F149" s="195" t="s">
        <v>415</v>
      </c>
      <c r="G149" s="195" t="s">
        <v>25</v>
      </c>
      <c r="H149" s="195" t="s">
        <v>164</v>
      </c>
      <c r="I149" s="195" t="s">
        <v>111</v>
      </c>
      <c r="J149" s="195" t="s">
        <v>27</v>
      </c>
      <c r="K149" s="195" t="s">
        <v>112</v>
      </c>
      <c r="L149" s="195">
        <v>1</v>
      </c>
      <c r="N149" s="195">
        <v>1</v>
      </c>
      <c r="O149" s="195">
        <v>0.45</v>
      </c>
      <c r="P149" s="195">
        <v>0.55000000000000004</v>
      </c>
      <c r="Q149" s="204">
        <f t="shared" si="9"/>
        <v>0.5</v>
      </c>
      <c r="R149" s="195">
        <v>15.1</v>
      </c>
      <c r="S149" s="195">
        <v>124</v>
      </c>
      <c r="T149" s="205">
        <f t="shared" si="8"/>
        <v>27</v>
      </c>
      <c r="U149" s="195">
        <v>117</v>
      </c>
      <c r="V149" s="205">
        <f t="shared" si="10"/>
        <v>3159</v>
      </c>
      <c r="W149" s="195">
        <v>4</v>
      </c>
      <c r="X149" s="195" t="s">
        <v>35</v>
      </c>
      <c r="Y149" s="195" t="s">
        <v>43</v>
      </c>
      <c r="Z149" s="195" t="s">
        <v>55</v>
      </c>
      <c r="AA149" s="195" t="s">
        <v>72</v>
      </c>
      <c r="AB149" s="195" t="s">
        <v>195</v>
      </c>
    </row>
    <row r="150" spans="1:28" x14ac:dyDescent="0.15">
      <c r="A150" s="195" t="s">
        <v>30</v>
      </c>
      <c r="B150" s="195" t="s">
        <v>191</v>
      </c>
      <c r="C150" s="195">
        <v>2020</v>
      </c>
      <c r="D150" s="203" t="s">
        <v>403</v>
      </c>
      <c r="E150" s="195" t="s">
        <v>196</v>
      </c>
      <c r="F150" s="195" t="s">
        <v>415</v>
      </c>
      <c r="G150" s="195" t="s">
        <v>25</v>
      </c>
      <c r="H150" s="195" t="s">
        <v>164</v>
      </c>
      <c r="I150" s="195" t="s">
        <v>111</v>
      </c>
      <c r="J150" s="195" t="s">
        <v>27</v>
      </c>
      <c r="K150" s="195" t="s">
        <v>112</v>
      </c>
      <c r="L150" s="195">
        <v>2</v>
      </c>
      <c r="N150" s="195">
        <v>1</v>
      </c>
      <c r="O150" s="195">
        <v>0.5</v>
      </c>
      <c r="P150" s="195">
        <v>0.35</v>
      </c>
      <c r="Q150" s="204">
        <f t="shared" si="9"/>
        <v>0.42499999999999999</v>
      </c>
      <c r="R150" s="195">
        <v>15.4</v>
      </c>
      <c r="S150" s="195">
        <v>122</v>
      </c>
      <c r="T150" s="205">
        <f t="shared" ref="T150:T163" si="11">IF(H150="","",IF(OR(H150="GREEN",H150="GK"),IF(S150&gt;=$AX$2,VLOOKUP(S150,$AX$2:$AY$10,2,1),""),IF(S150&gt;=$AZ$2,VLOOKUP(S150,$AZ$2:$BA$10,2,1),"")))</f>
        <v>27</v>
      </c>
      <c r="U150" s="195">
        <v>117</v>
      </c>
      <c r="V150" s="205">
        <f t="shared" si="10"/>
        <v>3159</v>
      </c>
      <c r="W150" s="195">
        <v>4</v>
      </c>
      <c r="X150" s="195" t="s">
        <v>35</v>
      </c>
      <c r="Y150" s="195" t="s">
        <v>43</v>
      </c>
      <c r="Z150" s="195" t="s">
        <v>55</v>
      </c>
      <c r="AA150" s="195" t="s">
        <v>72</v>
      </c>
      <c r="AB150" s="195" t="s">
        <v>195</v>
      </c>
    </row>
    <row r="151" spans="1:28" x14ac:dyDescent="0.15">
      <c r="A151" s="195" t="s">
        <v>30</v>
      </c>
      <c r="B151" s="195" t="s">
        <v>191</v>
      </c>
      <c r="C151" s="195">
        <v>2020</v>
      </c>
      <c r="D151" s="203" t="s">
        <v>403</v>
      </c>
      <c r="E151" s="195" t="s">
        <v>196</v>
      </c>
      <c r="F151" s="195" t="s">
        <v>415</v>
      </c>
      <c r="G151" s="195" t="s">
        <v>25</v>
      </c>
      <c r="H151" s="195" t="s">
        <v>164</v>
      </c>
      <c r="I151" s="195" t="s">
        <v>111</v>
      </c>
      <c r="J151" s="195" t="s">
        <v>27</v>
      </c>
      <c r="K151" s="195" t="s">
        <v>112</v>
      </c>
      <c r="L151" s="195">
        <v>3</v>
      </c>
      <c r="N151" s="195">
        <v>1</v>
      </c>
      <c r="O151" s="195">
        <v>0.45</v>
      </c>
      <c r="P151" s="195">
        <v>0.5</v>
      </c>
      <c r="Q151" s="204">
        <f t="shared" si="9"/>
        <v>0.47499999999999998</v>
      </c>
      <c r="R151" s="195">
        <v>14.7</v>
      </c>
      <c r="S151" s="195">
        <v>126</v>
      </c>
      <c r="T151" s="205">
        <f t="shared" si="11"/>
        <v>27</v>
      </c>
      <c r="U151" s="195">
        <v>117</v>
      </c>
      <c r="V151" s="205">
        <f t="shared" si="10"/>
        <v>3159</v>
      </c>
      <c r="W151" s="195">
        <v>4</v>
      </c>
      <c r="X151" s="195" t="s">
        <v>35</v>
      </c>
      <c r="Y151" s="195" t="s">
        <v>43</v>
      </c>
      <c r="Z151" s="195" t="s">
        <v>55</v>
      </c>
      <c r="AA151" s="195" t="s">
        <v>72</v>
      </c>
      <c r="AB151" s="195" t="s">
        <v>195</v>
      </c>
    </row>
    <row r="152" spans="1:28" x14ac:dyDescent="0.15">
      <c r="A152" s="195" t="s">
        <v>30</v>
      </c>
      <c r="B152" s="195" t="s">
        <v>191</v>
      </c>
      <c r="C152" s="195">
        <v>2020</v>
      </c>
      <c r="D152" s="203" t="s">
        <v>403</v>
      </c>
      <c r="E152" s="195" t="s">
        <v>196</v>
      </c>
      <c r="F152" s="195" t="s">
        <v>415</v>
      </c>
      <c r="G152" s="195" t="s">
        <v>25</v>
      </c>
      <c r="H152" s="195" t="s">
        <v>164</v>
      </c>
      <c r="I152" s="195" t="s">
        <v>111</v>
      </c>
      <c r="J152" s="195" t="s">
        <v>27</v>
      </c>
      <c r="K152" s="195" t="s">
        <v>112</v>
      </c>
      <c r="L152" s="195">
        <v>1</v>
      </c>
      <c r="N152" s="195">
        <v>4</v>
      </c>
      <c r="O152" s="195">
        <v>0.55000000000000004</v>
      </c>
      <c r="P152" s="195">
        <v>0.65</v>
      </c>
      <c r="Q152" s="204">
        <f t="shared" si="9"/>
        <v>0.60000000000000009</v>
      </c>
      <c r="R152" s="195">
        <v>14</v>
      </c>
      <c r="S152" s="195">
        <v>110</v>
      </c>
      <c r="T152" s="205">
        <f t="shared" si="11"/>
        <v>33</v>
      </c>
      <c r="U152" s="228">
        <v>397</v>
      </c>
      <c r="V152" s="205">
        <f t="shared" si="10"/>
        <v>3275.25</v>
      </c>
      <c r="W152" s="195">
        <v>3</v>
      </c>
      <c r="X152" s="195" t="s">
        <v>35</v>
      </c>
      <c r="Y152" s="195" t="s">
        <v>43</v>
      </c>
      <c r="Z152" s="195" t="s">
        <v>55</v>
      </c>
      <c r="AA152" s="195" t="s">
        <v>72</v>
      </c>
      <c r="AB152" s="195" t="s">
        <v>195</v>
      </c>
    </row>
    <row r="153" spans="1:28" x14ac:dyDescent="0.15">
      <c r="A153" s="195" t="s">
        <v>30</v>
      </c>
      <c r="B153" s="195" t="s">
        <v>191</v>
      </c>
      <c r="C153" s="195">
        <v>2020</v>
      </c>
      <c r="D153" s="203" t="s">
        <v>403</v>
      </c>
      <c r="E153" s="195" t="s">
        <v>196</v>
      </c>
      <c r="F153" s="195" t="s">
        <v>415</v>
      </c>
      <c r="G153" s="195" t="s">
        <v>25</v>
      </c>
      <c r="H153" s="195" t="s">
        <v>164</v>
      </c>
      <c r="I153" s="195" t="s">
        <v>111</v>
      </c>
      <c r="J153" s="195" t="s">
        <v>27</v>
      </c>
      <c r="K153" s="195" t="s">
        <v>112</v>
      </c>
      <c r="L153" s="195">
        <v>2</v>
      </c>
      <c r="N153" s="195">
        <v>4</v>
      </c>
      <c r="O153" s="195">
        <v>0.65</v>
      </c>
      <c r="P153" s="195">
        <v>0.8</v>
      </c>
      <c r="Q153" s="204">
        <f t="shared" si="9"/>
        <v>0.72500000000000009</v>
      </c>
      <c r="R153" s="195">
        <v>16</v>
      </c>
      <c r="S153" s="195">
        <v>108</v>
      </c>
      <c r="T153" s="205">
        <f t="shared" si="11"/>
        <v>33</v>
      </c>
      <c r="U153" s="228">
        <v>397</v>
      </c>
      <c r="V153" s="205">
        <f t="shared" si="10"/>
        <v>3275.25</v>
      </c>
      <c r="W153" s="195">
        <v>3</v>
      </c>
      <c r="X153" s="195" t="s">
        <v>35</v>
      </c>
      <c r="Y153" s="195" t="s">
        <v>43</v>
      </c>
      <c r="Z153" s="195" t="s">
        <v>55</v>
      </c>
      <c r="AA153" s="195" t="s">
        <v>72</v>
      </c>
      <c r="AB153" s="195" t="s">
        <v>195</v>
      </c>
    </row>
    <row r="154" spans="1:28" x14ac:dyDescent="0.15">
      <c r="A154" s="195" t="s">
        <v>30</v>
      </c>
      <c r="B154" s="195" t="s">
        <v>191</v>
      </c>
      <c r="C154" s="195">
        <v>2020</v>
      </c>
      <c r="D154" s="203" t="s">
        <v>403</v>
      </c>
      <c r="E154" s="195" t="s">
        <v>196</v>
      </c>
      <c r="F154" s="195" t="s">
        <v>415</v>
      </c>
      <c r="G154" s="195" t="s">
        <v>25</v>
      </c>
      <c r="H154" s="195" t="s">
        <v>164</v>
      </c>
      <c r="I154" s="195" t="s">
        <v>111</v>
      </c>
      <c r="J154" s="195" t="s">
        <v>27</v>
      </c>
      <c r="K154" s="195" t="s">
        <v>112</v>
      </c>
      <c r="L154" s="195">
        <v>3</v>
      </c>
      <c r="N154" s="195">
        <v>4</v>
      </c>
      <c r="O154" s="195">
        <v>0.55000000000000004</v>
      </c>
      <c r="P154" s="195">
        <v>0.65</v>
      </c>
      <c r="Q154" s="204">
        <f t="shared" si="9"/>
        <v>0.60000000000000009</v>
      </c>
      <c r="R154" s="195">
        <v>16.5</v>
      </c>
      <c r="S154" s="195">
        <v>106</v>
      </c>
      <c r="T154" s="205">
        <f t="shared" si="11"/>
        <v>33</v>
      </c>
      <c r="U154" s="228">
        <v>397</v>
      </c>
      <c r="V154" s="205">
        <f t="shared" si="10"/>
        <v>3275.25</v>
      </c>
      <c r="W154" s="195">
        <v>3</v>
      </c>
      <c r="X154" s="195" t="s">
        <v>35</v>
      </c>
      <c r="Y154" s="195" t="s">
        <v>43</v>
      </c>
      <c r="Z154" s="195" t="s">
        <v>55</v>
      </c>
      <c r="AA154" s="195" t="s">
        <v>72</v>
      </c>
      <c r="AB154" s="195" t="s">
        <v>195</v>
      </c>
    </row>
    <row r="155" spans="1:28" x14ac:dyDescent="0.15">
      <c r="A155" s="195" t="s">
        <v>30</v>
      </c>
      <c r="B155" s="195" t="s">
        <v>191</v>
      </c>
      <c r="C155" s="195">
        <v>2020</v>
      </c>
      <c r="D155" s="203" t="s">
        <v>403</v>
      </c>
      <c r="E155" s="195" t="s">
        <v>196</v>
      </c>
      <c r="F155" s="195" t="s">
        <v>415</v>
      </c>
      <c r="G155" s="195" t="s">
        <v>25</v>
      </c>
      <c r="H155" s="195" t="s">
        <v>113</v>
      </c>
      <c r="I155" s="195" t="s">
        <v>111</v>
      </c>
      <c r="J155" s="195" t="s">
        <v>27</v>
      </c>
      <c r="K155" s="195" t="s">
        <v>112</v>
      </c>
      <c r="L155" s="195">
        <v>1</v>
      </c>
      <c r="N155" s="195">
        <v>1</v>
      </c>
      <c r="O155" s="195">
        <v>1.05</v>
      </c>
      <c r="P155" s="195">
        <v>1.2</v>
      </c>
      <c r="Q155" s="204">
        <f t="shared" si="9"/>
        <v>1.125</v>
      </c>
      <c r="R155" s="195">
        <v>13.5</v>
      </c>
      <c r="S155" s="195">
        <v>124</v>
      </c>
      <c r="T155" s="205">
        <f t="shared" si="11"/>
        <v>27</v>
      </c>
      <c r="U155" s="228">
        <v>117</v>
      </c>
      <c r="V155" s="205">
        <f t="shared" si="10"/>
        <v>3159</v>
      </c>
      <c r="W155" s="195">
        <v>4</v>
      </c>
      <c r="X155" s="195" t="s">
        <v>35</v>
      </c>
      <c r="Y155" s="195" t="s">
        <v>43</v>
      </c>
      <c r="Z155" s="195" t="s">
        <v>55</v>
      </c>
      <c r="AA155" s="195" t="s">
        <v>72</v>
      </c>
      <c r="AB155" s="195" t="s">
        <v>195</v>
      </c>
    </row>
    <row r="156" spans="1:28" x14ac:dyDescent="0.15">
      <c r="A156" s="195" t="s">
        <v>30</v>
      </c>
      <c r="B156" s="195" t="s">
        <v>191</v>
      </c>
      <c r="C156" s="195">
        <v>2020</v>
      </c>
      <c r="D156" s="203" t="s">
        <v>403</v>
      </c>
      <c r="E156" s="195" t="s">
        <v>196</v>
      </c>
      <c r="F156" s="195" t="s">
        <v>415</v>
      </c>
      <c r="G156" s="195" t="s">
        <v>25</v>
      </c>
      <c r="H156" s="195" t="s">
        <v>113</v>
      </c>
      <c r="I156" s="195" t="s">
        <v>111</v>
      </c>
      <c r="J156" s="195" t="s">
        <v>27</v>
      </c>
      <c r="K156" s="195" t="s">
        <v>112</v>
      </c>
      <c r="L156" s="195">
        <v>2</v>
      </c>
      <c r="N156" s="195">
        <v>1</v>
      </c>
      <c r="O156" s="195">
        <v>1</v>
      </c>
      <c r="P156" s="195">
        <v>1.05</v>
      </c>
      <c r="Q156" s="204">
        <f t="shared" si="9"/>
        <v>1.0249999999999999</v>
      </c>
      <c r="R156" s="195">
        <v>12.2</v>
      </c>
      <c r="S156" s="195">
        <v>127</v>
      </c>
      <c r="T156" s="205">
        <f t="shared" si="11"/>
        <v>27</v>
      </c>
      <c r="U156" s="228">
        <v>117</v>
      </c>
      <c r="V156" s="205">
        <f t="shared" si="10"/>
        <v>3159</v>
      </c>
      <c r="W156" s="195">
        <v>4</v>
      </c>
      <c r="X156" s="195" t="s">
        <v>35</v>
      </c>
      <c r="Y156" s="195" t="s">
        <v>43</v>
      </c>
      <c r="Z156" s="195" t="s">
        <v>55</v>
      </c>
      <c r="AA156" s="195" t="s">
        <v>72</v>
      </c>
      <c r="AB156" s="195" t="s">
        <v>195</v>
      </c>
    </row>
    <row r="157" spans="1:28" x14ac:dyDescent="0.15">
      <c r="A157" s="195" t="s">
        <v>30</v>
      </c>
      <c r="B157" s="195" t="s">
        <v>191</v>
      </c>
      <c r="C157" s="195">
        <v>2020</v>
      </c>
      <c r="D157" s="203" t="s">
        <v>403</v>
      </c>
      <c r="E157" s="195" t="s">
        <v>196</v>
      </c>
      <c r="F157" s="195" t="s">
        <v>415</v>
      </c>
      <c r="G157" s="195" t="s">
        <v>25</v>
      </c>
      <c r="H157" s="195" t="s">
        <v>113</v>
      </c>
      <c r="I157" s="195" t="s">
        <v>111</v>
      </c>
      <c r="J157" s="195" t="s">
        <v>27</v>
      </c>
      <c r="K157" s="195" t="s">
        <v>112</v>
      </c>
      <c r="L157" s="195">
        <v>3</v>
      </c>
      <c r="N157" s="195">
        <v>1</v>
      </c>
      <c r="O157" s="195">
        <v>0.95</v>
      </c>
      <c r="P157" s="195">
        <v>0.9</v>
      </c>
      <c r="Q157" s="204">
        <f t="shared" si="9"/>
        <v>0.92500000000000004</v>
      </c>
      <c r="R157" s="195">
        <v>13.2</v>
      </c>
      <c r="S157" s="195">
        <v>122</v>
      </c>
      <c r="T157" s="205">
        <f t="shared" si="11"/>
        <v>27</v>
      </c>
      <c r="U157" s="228">
        <v>117</v>
      </c>
      <c r="V157" s="205">
        <f t="shared" si="10"/>
        <v>3159</v>
      </c>
      <c r="W157" s="195">
        <v>4</v>
      </c>
      <c r="X157" s="195" t="s">
        <v>35</v>
      </c>
      <c r="Y157" s="195" t="s">
        <v>43</v>
      </c>
      <c r="Z157" s="195" t="s">
        <v>55</v>
      </c>
      <c r="AA157" s="195" t="s">
        <v>72</v>
      </c>
      <c r="AB157" s="195" t="s">
        <v>195</v>
      </c>
    </row>
    <row r="158" spans="1:28" x14ac:dyDescent="0.15">
      <c r="A158" s="195" t="s">
        <v>30</v>
      </c>
      <c r="B158" s="195" t="s">
        <v>191</v>
      </c>
      <c r="C158" s="195">
        <v>2020</v>
      </c>
      <c r="D158" s="203" t="s">
        <v>403</v>
      </c>
      <c r="E158" s="195" t="s">
        <v>196</v>
      </c>
      <c r="F158" s="195" t="s">
        <v>415</v>
      </c>
      <c r="G158" s="195" t="s">
        <v>25</v>
      </c>
      <c r="H158" s="195" t="s">
        <v>113</v>
      </c>
      <c r="I158" s="195" t="s">
        <v>111</v>
      </c>
      <c r="J158" s="195" t="s">
        <v>27</v>
      </c>
      <c r="K158" s="195" t="s">
        <v>112</v>
      </c>
      <c r="L158" s="195">
        <v>1</v>
      </c>
      <c r="N158" s="195">
        <v>4</v>
      </c>
      <c r="O158" s="195">
        <v>0.9</v>
      </c>
      <c r="P158" s="195">
        <v>0.75</v>
      </c>
      <c r="Q158" s="204">
        <f t="shared" si="9"/>
        <v>0.82499999999999996</v>
      </c>
      <c r="R158" s="195">
        <v>13</v>
      </c>
      <c r="S158" s="195">
        <v>112</v>
      </c>
      <c r="T158" s="205">
        <f t="shared" si="11"/>
        <v>33</v>
      </c>
      <c r="U158" s="228">
        <v>297</v>
      </c>
      <c r="V158" s="205">
        <f t="shared" si="10"/>
        <v>2450.25</v>
      </c>
      <c r="W158" s="195">
        <v>2</v>
      </c>
      <c r="X158" s="195" t="s">
        <v>35</v>
      </c>
      <c r="Y158" s="195" t="s">
        <v>43</v>
      </c>
      <c r="Z158" s="195" t="s">
        <v>55</v>
      </c>
      <c r="AA158" s="195" t="s">
        <v>72</v>
      </c>
      <c r="AB158" s="195" t="s">
        <v>195</v>
      </c>
    </row>
    <row r="159" spans="1:28" x14ac:dyDescent="0.15">
      <c r="A159" s="195" t="s">
        <v>30</v>
      </c>
      <c r="B159" s="195" t="s">
        <v>191</v>
      </c>
      <c r="C159" s="195">
        <v>2020</v>
      </c>
      <c r="D159" s="203" t="s">
        <v>403</v>
      </c>
      <c r="E159" s="195" t="s">
        <v>196</v>
      </c>
      <c r="F159" s="195" t="s">
        <v>415</v>
      </c>
      <c r="G159" s="195" t="s">
        <v>25</v>
      </c>
      <c r="H159" s="195" t="s">
        <v>113</v>
      </c>
      <c r="I159" s="195" t="s">
        <v>111</v>
      </c>
      <c r="J159" s="195" t="s">
        <v>27</v>
      </c>
      <c r="K159" s="195" t="s">
        <v>112</v>
      </c>
      <c r="L159" s="195">
        <v>2</v>
      </c>
      <c r="N159" s="195">
        <v>4</v>
      </c>
      <c r="O159" s="195">
        <v>0.95</v>
      </c>
      <c r="P159" s="195">
        <v>0.85</v>
      </c>
      <c r="Q159" s="204">
        <f t="shared" si="9"/>
        <v>0.89999999999999991</v>
      </c>
      <c r="R159" s="195">
        <v>13.4</v>
      </c>
      <c r="S159" s="195">
        <v>114</v>
      </c>
      <c r="T159" s="205">
        <f t="shared" si="11"/>
        <v>30</v>
      </c>
      <c r="U159" s="228">
        <v>297</v>
      </c>
      <c r="V159" s="205">
        <f t="shared" si="10"/>
        <v>2227.5</v>
      </c>
      <c r="W159" s="195">
        <v>2</v>
      </c>
      <c r="X159" s="195" t="s">
        <v>35</v>
      </c>
      <c r="Y159" s="195" t="s">
        <v>43</v>
      </c>
      <c r="Z159" s="195" t="s">
        <v>55</v>
      </c>
      <c r="AA159" s="195" t="s">
        <v>72</v>
      </c>
      <c r="AB159" s="195" t="s">
        <v>195</v>
      </c>
    </row>
    <row r="160" spans="1:28" x14ac:dyDescent="0.15">
      <c r="A160" s="195" t="s">
        <v>30</v>
      </c>
      <c r="B160" s="195" t="s">
        <v>191</v>
      </c>
      <c r="C160" s="195">
        <v>2020</v>
      </c>
      <c r="D160" s="203" t="s">
        <v>403</v>
      </c>
      <c r="E160" s="195" t="s">
        <v>196</v>
      </c>
      <c r="F160" s="195" t="s">
        <v>415</v>
      </c>
      <c r="G160" s="195" t="s">
        <v>25</v>
      </c>
      <c r="H160" s="195" t="s">
        <v>113</v>
      </c>
      <c r="I160" s="195" t="s">
        <v>111</v>
      </c>
      <c r="J160" s="195" t="s">
        <v>27</v>
      </c>
      <c r="K160" s="195" t="s">
        <v>112</v>
      </c>
      <c r="L160" s="195">
        <v>3</v>
      </c>
      <c r="N160" s="195">
        <v>4</v>
      </c>
      <c r="O160" s="195">
        <v>0.65</v>
      </c>
      <c r="P160" s="195">
        <v>0.6</v>
      </c>
      <c r="Q160" s="204">
        <f t="shared" si="9"/>
        <v>0.625</v>
      </c>
      <c r="R160" s="195">
        <v>12.8</v>
      </c>
      <c r="S160" s="195">
        <v>111</v>
      </c>
      <c r="T160" s="205">
        <f t="shared" si="11"/>
        <v>33</v>
      </c>
      <c r="U160" s="228">
        <v>297</v>
      </c>
      <c r="V160" s="205">
        <f t="shared" si="10"/>
        <v>2450.25</v>
      </c>
      <c r="W160" s="195">
        <v>2</v>
      </c>
      <c r="X160" s="195" t="s">
        <v>35</v>
      </c>
      <c r="Y160" s="195" t="s">
        <v>43</v>
      </c>
      <c r="Z160" s="195" t="s">
        <v>55</v>
      </c>
      <c r="AA160" s="195" t="s">
        <v>72</v>
      </c>
      <c r="AB160" s="195" t="s">
        <v>195</v>
      </c>
    </row>
    <row r="161" spans="1:28" x14ac:dyDescent="0.15">
      <c r="A161" s="195" t="s">
        <v>30</v>
      </c>
      <c r="B161" s="195" t="s">
        <v>191</v>
      </c>
      <c r="C161" s="195">
        <v>2020</v>
      </c>
      <c r="D161" s="203" t="s">
        <v>403</v>
      </c>
      <c r="E161" s="195" t="s">
        <v>196</v>
      </c>
      <c r="F161" s="195" t="s">
        <v>415</v>
      </c>
      <c r="G161" s="195" t="s">
        <v>25</v>
      </c>
      <c r="H161" s="195" t="s">
        <v>113</v>
      </c>
      <c r="I161" s="195" t="s">
        <v>111</v>
      </c>
      <c r="J161" s="195" t="s">
        <v>27</v>
      </c>
      <c r="K161" s="195" t="s">
        <v>112</v>
      </c>
      <c r="L161" s="195">
        <v>1</v>
      </c>
      <c r="N161" s="195">
        <v>6</v>
      </c>
      <c r="O161" s="195">
        <v>0.35</v>
      </c>
      <c r="P161" s="195">
        <v>0.3</v>
      </c>
      <c r="Q161" s="204">
        <f t="shared" si="9"/>
        <v>0.32499999999999996</v>
      </c>
      <c r="R161" s="195">
        <v>15.4</v>
      </c>
      <c r="S161" s="195">
        <v>101</v>
      </c>
      <c r="T161" s="205">
        <f t="shared" si="11"/>
        <v>33</v>
      </c>
      <c r="U161" s="228">
        <v>447</v>
      </c>
      <c r="V161" s="205">
        <f t="shared" si="10"/>
        <v>2458.5</v>
      </c>
      <c r="W161" s="195">
        <v>2</v>
      </c>
      <c r="X161" s="195" t="s">
        <v>35</v>
      </c>
      <c r="Y161" s="195" t="s">
        <v>43</v>
      </c>
      <c r="Z161" s="195" t="s">
        <v>55</v>
      </c>
      <c r="AA161" s="195" t="s">
        <v>72</v>
      </c>
      <c r="AB161" s="195" t="s">
        <v>195</v>
      </c>
    </row>
    <row r="162" spans="1:28" x14ac:dyDescent="0.15">
      <c r="A162" s="195" t="s">
        <v>30</v>
      </c>
      <c r="B162" s="195" t="s">
        <v>191</v>
      </c>
      <c r="C162" s="195">
        <v>2020</v>
      </c>
      <c r="D162" s="203" t="s">
        <v>403</v>
      </c>
      <c r="E162" s="195" t="s">
        <v>196</v>
      </c>
      <c r="F162" s="195" t="s">
        <v>415</v>
      </c>
      <c r="G162" s="195" t="s">
        <v>25</v>
      </c>
      <c r="H162" s="195" t="s">
        <v>113</v>
      </c>
      <c r="I162" s="195" t="s">
        <v>111</v>
      </c>
      <c r="J162" s="195" t="s">
        <v>27</v>
      </c>
      <c r="K162" s="195" t="s">
        <v>112</v>
      </c>
      <c r="L162" s="195">
        <v>2</v>
      </c>
      <c r="N162" s="195">
        <v>6</v>
      </c>
      <c r="O162" s="195">
        <v>0.35</v>
      </c>
      <c r="P162" s="195">
        <v>0.35</v>
      </c>
      <c r="Q162" s="204">
        <f t="shared" si="9"/>
        <v>0.35</v>
      </c>
      <c r="R162" s="195">
        <v>14.2</v>
      </c>
      <c r="S162" s="195">
        <v>100</v>
      </c>
      <c r="T162" s="205">
        <f t="shared" si="11"/>
        <v>33</v>
      </c>
      <c r="U162" s="228">
        <v>447</v>
      </c>
      <c r="V162" s="205">
        <f t="shared" si="10"/>
        <v>2458.5</v>
      </c>
      <c r="W162" s="195">
        <v>2</v>
      </c>
      <c r="X162" s="195" t="s">
        <v>35</v>
      </c>
      <c r="Y162" s="195" t="s">
        <v>43</v>
      </c>
      <c r="Z162" s="195" t="s">
        <v>55</v>
      </c>
      <c r="AA162" s="195" t="s">
        <v>72</v>
      </c>
      <c r="AB162" s="195" t="s">
        <v>195</v>
      </c>
    </row>
    <row r="163" spans="1:28" x14ac:dyDescent="0.15">
      <c r="A163" s="195" t="s">
        <v>30</v>
      </c>
      <c r="B163" s="195" t="s">
        <v>191</v>
      </c>
      <c r="C163" s="195">
        <v>2020</v>
      </c>
      <c r="D163" s="203" t="s">
        <v>403</v>
      </c>
      <c r="E163" s="195" t="s">
        <v>196</v>
      </c>
      <c r="F163" s="195" t="s">
        <v>415</v>
      </c>
      <c r="G163" s="195" t="s">
        <v>25</v>
      </c>
      <c r="H163" s="195" t="s">
        <v>113</v>
      </c>
      <c r="I163" s="195" t="s">
        <v>111</v>
      </c>
      <c r="J163" s="195" t="s">
        <v>27</v>
      </c>
      <c r="K163" s="195" t="s">
        <v>112</v>
      </c>
      <c r="L163" s="195">
        <v>3</v>
      </c>
      <c r="N163" s="195">
        <v>6</v>
      </c>
      <c r="O163" s="195">
        <v>0.5</v>
      </c>
      <c r="P163" s="195">
        <v>0.35</v>
      </c>
      <c r="Q163" s="204">
        <f t="shared" si="9"/>
        <v>0.42499999999999999</v>
      </c>
      <c r="R163" s="195">
        <v>14.8</v>
      </c>
      <c r="S163" s="195">
        <v>103</v>
      </c>
      <c r="T163" s="205">
        <f t="shared" si="11"/>
        <v>33</v>
      </c>
      <c r="U163" s="228">
        <v>447</v>
      </c>
      <c r="V163" s="205">
        <f t="shared" si="10"/>
        <v>2458.5</v>
      </c>
      <c r="W163" s="195">
        <v>2</v>
      </c>
      <c r="X163" s="195" t="s">
        <v>35</v>
      </c>
      <c r="Y163" s="195" t="s">
        <v>43</v>
      </c>
      <c r="Z163" s="195" t="s">
        <v>55</v>
      </c>
      <c r="AA163" s="195" t="s">
        <v>72</v>
      </c>
      <c r="AB163" s="195" t="s">
        <v>195</v>
      </c>
    </row>
  </sheetData>
  <autoFilter ref="A1:BA163" xr:uid="{00000000-0009-0000-0000-000001000000}"/>
  <phoneticPr fontId="3"/>
  <dataValidations count="20">
    <dataValidation type="list" allowBlank="1" showInputMessage="1" showErrorMessage="1" sqref="Y164:AA356" xr:uid="{4915353E-2757-4821-B57D-91E6356B73B6}">
      <formula1>$AV$2:$AV$16</formula1>
    </dataValidation>
    <dataValidation type="decimal" allowBlank="1" showInputMessage="1" showErrorMessage="1" error="硬度を正しく入力して下さい。" sqref="O2:P356" xr:uid="{FA128D6B-DD9E-4C03-B257-BB9B5D15E71D}">
      <formula1>0</formula1>
      <formula2>7</formula2>
    </dataValidation>
    <dataValidation type="list" allowBlank="1" showInputMessage="1" showErrorMessage="1" sqref="X2:X356" xr:uid="{66496281-955B-4807-9DE6-35045545FAD7}">
      <formula1>$AT$2:$AT$3</formula1>
    </dataValidation>
    <dataValidation type="list" allowBlank="1" showInputMessage="1" showErrorMessage="1" sqref="K164:K172" xr:uid="{FCF54B8E-5C61-490F-AB5C-AA7AE168FC02}">
      <formula1>$AR$2:$AR$23</formula1>
    </dataValidation>
    <dataValidation type="list" allowBlank="1" showInputMessage="1" showErrorMessage="1" sqref="K2:K132" xr:uid="{0D96468C-060E-48E6-A057-2DA261FAA021}">
      <formula1>$AR$2:$AR$26</formula1>
    </dataValidation>
    <dataValidation type="list" allowBlank="1" showInputMessage="1" showErrorMessage="1" sqref="K133:K163" xr:uid="{0FD26FAA-5767-4A8B-A9B0-CBA4A06520B6}">
      <formula1>$AR$2:$AR$25</formula1>
    </dataValidation>
    <dataValidation type="list" allowBlank="1" showInputMessage="1" showErrorMessage="1" sqref="K173:K356" xr:uid="{7886036C-A886-4DD1-85DA-5C272D20D137}">
      <formula1>$AR$2:$AR$19</formula1>
    </dataValidation>
    <dataValidation type="list" allowBlank="1" showInputMessage="1" showErrorMessage="1" sqref="J164:J356" xr:uid="{179631C7-5B37-4B95-A507-87DDD1DC7941}">
      <formula1>$AP$2:$AP$19</formula1>
    </dataValidation>
    <dataValidation type="list" allowBlank="1" showInputMessage="1" showErrorMessage="1" sqref="J2:J163" xr:uid="{161D0C44-14F0-470F-AC3D-3F9C1544537A}">
      <formula1>$AP$2:$AP$27</formula1>
    </dataValidation>
    <dataValidation type="list" allowBlank="1" showInputMessage="1" showErrorMessage="1" sqref="I2:I356" xr:uid="{5CF5768B-C52A-48C0-8C74-2F22D8E8C6C3}">
      <formula1>$AN$5:$AN$6</formula1>
    </dataValidation>
    <dataValidation type="list" allowBlank="1" showInputMessage="1" showErrorMessage="1" sqref="H2:H1297" xr:uid="{09612C09-47F9-41EC-A85A-12B1E6894F3E}">
      <formula1>$AL$2:$AL$9</formula1>
    </dataValidation>
    <dataValidation type="list" allowBlank="1" showInputMessage="1" showErrorMessage="1" sqref="F164:F356" xr:uid="{B9694E34-4A34-4244-A4A6-4985B2302CFE}">
      <formula1>$AH$2:$AH$9</formula1>
    </dataValidation>
    <dataValidation type="list" allowBlank="1" showInputMessage="1" showErrorMessage="1" sqref="F2:F163" xr:uid="{1F1256D0-AF1B-40B2-9421-7827E8478ED3}">
      <formula1>$AH$2:$AH$11</formula1>
    </dataValidation>
    <dataValidation type="list" allowBlank="1" showInputMessage="1" showErrorMessage="1" sqref="E164:E356" xr:uid="{DADD99E1-F8F8-4AA1-80FF-1FB5D80D295F}">
      <formula1>$AG$2:$AG$10</formula1>
    </dataValidation>
    <dataValidation allowBlank="1" showInputMessage="1" showErrorMessage="1" sqref="B3:B73" xr:uid="{1629E4B8-FB88-4F79-A3FA-DD102F43CCA6}"/>
    <dataValidation type="list" allowBlank="1" showInputMessage="1" showErrorMessage="1" sqref="E2:E163" xr:uid="{E549321D-682D-4C9C-8AF1-49CB211DEBC9}">
      <formula1>$AG$2:$AG$11</formula1>
    </dataValidation>
    <dataValidation type="list" allowBlank="1" showInputMessage="1" showErrorMessage="1" sqref="A3:A163" xr:uid="{03B9A1B9-4CD9-4A9F-B807-2B3AAE3B3FEB}">
      <formula1>$AE$2:$AE$19</formula1>
    </dataValidation>
    <dataValidation type="list" allowBlank="1" showInputMessage="1" showErrorMessage="1" sqref="G2:G356" xr:uid="{642BFE4A-6A09-43DB-AF33-739A175E33EC}">
      <formula1>$AJ$2:$AJ$4</formula1>
    </dataValidation>
    <dataValidation type="list" allowBlank="1" showInputMessage="1" showErrorMessage="1" sqref="Y2:AA163" xr:uid="{E7B0B35C-6F67-4F07-9868-4A08A6E23D5A}">
      <formula1>$AV$2:$AV$23</formula1>
    </dataValidation>
    <dataValidation type="list" allowBlank="1" showInputMessage="1" showErrorMessage="1" sqref="A164:A356" xr:uid="{DF9EBD73-036E-4656-ABFD-5ADC925A08CB}">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694B-B7D5-4411-A929-0041BC20C782}">
  <dimension ref="A1:BA148"/>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76" t="s">
        <v>0</v>
      </c>
      <c r="B1" s="143" t="s">
        <v>175</v>
      </c>
      <c r="C1" s="143" t="s">
        <v>176</v>
      </c>
      <c r="D1" s="144" t="s">
        <v>2</v>
      </c>
      <c r="E1" s="177" t="s">
        <v>3</v>
      </c>
      <c r="F1" s="177" t="s">
        <v>4</v>
      </c>
      <c r="G1" s="177" t="s">
        <v>5</v>
      </c>
      <c r="H1" s="177" t="s">
        <v>6</v>
      </c>
      <c r="I1" s="177" t="s">
        <v>7</v>
      </c>
      <c r="J1" s="177" t="s">
        <v>8</v>
      </c>
      <c r="K1" s="177" t="s">
        <v>9</v>
      </c>
      <c r="L1" s="144" t="s">
        <v>177</v>
      </c>
      <c r="M1" s="144" t="s">
        <v>178</v>
      </c>
      <c r="N1" s="144" t="s">
        <v>11</v>
      </c>
      <c r="O1" s="144" t="s">
        <v>179</v>
      </c>
      <c r="P1" s="144" t="s">
        <v>180</v>
      </c>
      <c r="Q1" s="3" t="s">
        <v>181</v>
      </c>
      <c r="R1" s="144" t="s">
        <v>182</v>
      </c>
      <c r="S1" s="144" t="s">
        <v>183</v>
      </c>
      <c r="T1" s="3" t="s">
        <v>13</v>
      </c>
      <c r="U1" s="145" t="s">
        <v>92</v>
      </c>
      <c r="V1" s="5" t="s">
        <v>14</v>
      </c>
      <c r="W1" s="144" t="s">
        <v>184</v>
      </c>
      <c r="X1" s="177" t="s">
        <v>16</v>
      </c>
      <c r="Y1" s="177" t="s">
        <v>17</v>
      </c>
      <c r="Z1" s="177" t="s">
        <v>18</v>
      </c>
      <c r="AA1" s="178" t="s">
        <v>19</v>
      </c>
      <c r="AB1" s="146" t="s">
        <v>185</v>
      </c>
      <c r="AE1" s="147" t="s">
        <v>0</v>
      </c>
      <c r="AF1" s="148"/>
      <c r="AG1" s="147" t="s">
        <v>3</v>
      </c>
      <c r="AH1" s="147" t="s">
        <v>4</v>
      </c>
      <c r="AI1" s="148"/>
      <c r="AJ1" s="147" t="s">
        <v>5</v>
      </c>
      <c r="AK1" s="148"/>
      <c r="AL1" s="10" t="s">
        <v>6</v>
      </c>
      <c r="AM1" s="148"/>
      <c r="AN1" s="10" t="s">
        <v>7</v>
      </c>
      <c r="AO1" s="148"/>
      <c r="AP1" s="10" t="s">
        <v>20</v>
      </c>
      <c r="AQ1" s="148"/>
      <c r="AR1" s="10" t="s">
        <v>9</v>
      </c>
      <c r="AS1" s="148"/>
      <c r="AT1" s="11" t="s">
        <v>186</v>
      </c>
      <c r="AU1" s="148"/>
      <c r="AV1" s="10" t="s">
        <v>22</v>
      </c>
      <c r="AX1" s="12" t="s">
        <v>368</v>
      </c>
      <c r="AY1" s="13" t="s">
        <v>188</v>
      </c>
      <c r="AZ1" s="13" t="s">
        <v>369</v>
      </c>
      <c r="BA1" s="14" t="s">
        <v>190</v>
      </c>
    </row>
    <row r="2" spans="1:53" x14ac:dyDescent="0.15">
      <c r="A2" s="77" t="s">
        <v>44</v>
      </c>
      <c r="B2" s="77" t="s">
        <v>191</v>
      </c>
      <c r="C2" s="77">
        <v>2020</v>
      </c>
      <c r="D2" s="179" t="s">
        <v>370</v>
      </c>
      <c r="E2" s="77" t="s">
        <v>371</v>
      </c>
      <c r="F2" s="77" t="s">
        <v>372</v>
      </c>
      <c r="G2" s="77" t="s">
        <v>31</v>
      </c>
      <c r="H2" s="77" t="s">
        <v>113</v>
      </c>
      <c r="I2" s="77" t="s">
        <v>166</v>
      </c>
      <c r="J2" s="77" t="s">
        <v>27</v>
      </c>
      <c r="K2" s="77" t="s">
        <v>112</v>
      </c>
      <c r="L2" s="77">
        <v>1</v>
      </c>
      <c r="N2" s="77">
        <v>4</v>
      </c>
      <c r="O2" s="77">
        <v>0.75</v>
      </c>
      <c r="P2" s="77">
        <v>0.8</v>
      </c>
      <c r="Q2" s="44">
        <f t="shared" ref="Q2:Q65" si="0">IF(OR(O2="",P2=""),"",AVERAGE(O2,P2))</f>
        <v>0.77500000000000002</v>
      </c>
      <c r="R2" s="77">
        <v>12.9</v>
      </c>
      <c r="S2" s="77">
        <v>102</v>
      </c>
      <c r="T2" s="16">
        <f t="shared" ref="T2:T65" si="1">IF(H2="","",IF(OR(H2="GREEN",H2="GK"),IF(S2&gt;=$AX$2,VLOOKUP(S2,$AX$2:$AY$10,2,1),""),IF(S2&gt;=$AZ$2,VLOOKUP(S2,$AZ$2:$BA$10,2,1),"")))</f>
        <v>33</v>
      </c>
      <c r="U2" s="77">
        <v>499</v>
      </c>
      <c r="V2" s="16">
        <f t="shared" ref="V2:V65" si="2">IF(OR(N2="",U2="",T2=""),"",U2/N2*T2)</f>
        <v>4116.75</v>
      </c>
      <c r="W2" s="77">
        <v>4</v>
      </c>
      <c r="X2" s="77" t="s">
        <v>28</v>
      </c>
      <c r="Y2" s="77" t="s">
        <v>43</v>
      </c>
      <c r="Z2" s="77" t="s">
        <v>90</v>
      </c>
      <c r="AA2" s="77" t="s">
        <v>82</v>
      </c>
      <c r="AB2" s="77" t="s">
        <v>195</v>
      </c>
      <c r="AE2" s="151" t="s">
        <v>24</v>
      </c>
      <c r="AG2" s="80" t="s">
        <v>373</v>
      </c>
      <c r="AH2" s="180" t="s">
        <v>374</v>
      </c>
      <c r="AJ2" s="50" t="s">
        <v>25</v>
      </c>
      <c r="AL2" s="50" t="s">
        <v>198</v>
      </c>
      <c r="AN2" s="50" t="s">
        <v>26</v>
      </c>
      <c r="AP2" s="50" t="s">
        <v>27</v>
      </c>
      <c r="AR2" s="50" t="s">
        <v>112</v>
      </c>
      <c r="AT2" s="50" t="s">
        <v>28</v>
      </c>
      <c r="AV2" s="50" t="s">
        <v>29</v>
      </c>
      <c r="AX2" s="154">
        <v>1</v>
      </c>
      <c r="AY2" s="155">
        <v>50</v>
      </c>
      <c r="AZ2" s="155">
        <v>1</v>
      </c>
      <c r="BA2" s="156">
        <v>50</v>
      </c>
    </row>
    <row r="3" spans="1:53" x14ac:dyDescent="0.15">
      <c r="A3" s="77" t="s">
        <v>44</v>
      </c>
      <c r="B3" s="77" t="s">
        <v>191</v>
      </c>
      <c r="C3" s="77">
        <v>2020</v>
      </c>
      <c r="D3" s="179" t="s">
        <v>370</v>
      </c>
      <c r="E3" s="77" t="s">
        <v>371</v>
      </c>
      <c r="F3" s="77" t="s">
        <v>372</v>
      </c>
      <c r="G3" s="77" t="s">
        <v>31</v>
      </c>
      <c r="H3" s="77" t="s">
        <v>113</v>
      </c>
      <c r="I3" s="77" t="s">
        <v>166</v>
      </c>
      <c r="J3" s="77" t="s">
        <v>27</v>
      </c>
      <c r="K3" s="77" t="s">
        <v>112</v>
      </c>
      <c r="L3" s="77">
        <v>2</v>
      </c>
      <c r="N3" s="77">
        <v>4</v>
      </c>
      <c r="O3" s="77">
        <v>0.9</v>
      </c>
      <c r="P3" s="77">
        <v>0.95</v>
      </c>
      <c r="Q3" s="44">
        <f t="shared" si="0"/>
        <v>0.92500000000000004</v>
      </c>
      <c r="R3" s="77">
        <v>13.7</v>
      </c>
      <c r="S3" s="77">
        <v>98</v>
      </c>
      <c r="T3" s="16">
        <f t="shared" si="1"/>
        <v>36</v>
      </c>
      <c r="U3" s="77">
        <v>499</v>
      </c>
      <c r="V3" s="16">
        <f t="shared" si="2"/>
        <v>4491</v>
      </c>
      <c r="W3" s="77">
        <v>4</v>
      </c>
      <c r="X3" s="77" t="s">
        <v>28</v>
      </c>
      <c r="Y3" s="77" t="s">
        <v>43</v>
      </c>
      <c r="Z3" s="77" t="s">
        <v>90</v>
      </c>
      <c r="AA3" s="77" t="s">
        <v>82</v>
      </c>
      <c r="AB3" s="77" t="s">
        <v>195</v>
      </c>
      <c r="AE3" s="22" t="s">
        <v>30</v>
      </c>
      <c r="AG3" s="80" t="s">
        <v>375</v>
      </c>
      <c r="AH3" s="180" t="s">
        <v>376</v>
      </c>
      <c r="AJ3" s="80" t="s">
        <v>31</v>
      </c>
      <c r="AL3" s="80" t="s">
        <v>201</v>
      </c>
      <c r="AN3" s="80" t="s">
        <v>32</v>
      </c>
      <c r="AP3" s="80" t="s">
        <v>33</v>
      </c>
      <c r="AR3" s="80" t="s">
        <v>34</v>
      </c>
      <c r="AT3" s="80" t="s">
        <v>35</v>
      </c>
      <c r="AV3" s="80" t="s">
        <v>36</v>
      </c>
      <c r="AX3" s="24">
        <v>72</v>
      </c>
      <c r="AY3" s="25">
        <v>46</v>
      </c>
      <c r="AZ3" s="25">
        <v>71</v>
      </c>
      <c r="BA3" s="26">
        <v>42</v>
      </c>
    </row>
    <row r="4" spans="1:53" x14ac:dyDescent="0.15">
      <c r="A4" s="77" t="s">
        <v>44</v>
      </c>
      <c r="B4" s="77" t="s">
        <v>191</v>
      </c>
      <c r="C4" s="77">
        <v>2020</v>
      </c>
      <c r="D4" s="179" t="s">
        <v>370</v>
      </c>
      <c r="E4" s="77" t="s">
        <v>371</v>
      </c>
      <c r="F4" s="77" t="s">
        <v>372</v>
      </c>
      <c r="G4" s="77" t="s">
        <v>31</v>
      </c>
      <c r="H4" s="77" t="s">
        <v>113</v>
      </c>
      <c r="I4" s="77" t="s">
        <v>166</v>
      </c>
      <c r="J4" s="77" t="s">
        <v>27</v>
      </c>
      <c r="K4" s="77" t="s">
        <v>112</v>
      </c>
      <c r="L4" s="77">
        <v>3</v>
      </c>
      <c r="N4" s="77">
        <v>4</v>
      </c>
      <c r="O4" s="77">
        <v>1</v>
      </c>
      <c r="P4" s="77">
        <v>1</v>
      </c>
      <c r="Q4" s="44">
        <f t="shared" si="0"/>
        <v>1</v>
      </c>
      <c r="R4" s="77">
        <v>13.9</v>
      </c>
      <c r="S4" s="77">
        <v>102</v>
      </c>
      <c r="T4" s="16">
        <f t="shared" si="1"/>
        <v>33</v>
      </c>
      <c r="U4" s="77">
        <v>499</v>
      </c>
      <c r="V4" s="16">
        <f t="shared" si="2"/>
        <v>4116.75</v>
      </c>
      <c r="W4" s="77">
        <v>4</v>
      </c>
      <c r="X4" s="77" t="s">
        <v>28</v>
      </c>
      <c r="Y4" s="77" t="s">
        <v>43</v>
      </c>
      <c r="Z4" s="77" t="s">
        <v>90</v>
      </c>
      <c r="AA4" s="77" t="s">
        <v>82</v>
      </c>
      <c r="AB4" s="77" t="s">
        <v>195</v>
      </c>
      <c r="AE4" s="22" t="s">
        <v>23</v>
      </c>
      <c r="AG4" s="80" t="s">
        <v>377</v>
      </c>
      <c r="AH4" s="180" t="s">
        <v>378</v>
      </c>
      <c r="AJ4" s="27" t="s">
        <v>37</v>
      </c>
      <c r="AL4" s="27" t="s">
        <v>204</v>
      </c>
      <c r="AN4" s="28" t="s">
        <v>205</v>
      </c>
      <c r="AP4" s="80" t="s">
        <v>206</v>
      </c>
      <c r="AR4" s="80" t="s">
        <v>207</v>
      </c>
      <c r="AT4" s="28"/>
      <c r="AV4" s="80" t="s">
        <v>39</v>
      </c>
      <c r="AX4" s="24">
        <v>75</v>
      </c>
      <c r="AY4" s="25">
        <v>42</v>
      </c>
      <c r="AZ4" s="25">
        <v>76</v>
      </c>
      <c r="BA4" s="26">
        <v>39</v>
      </c>
    </row>
    <row r="5" spans="1:53" x14ac:dyDescent="0.15">
      <c r="A5" s="77" t="s">
        <v>44</v>
      </c>
      <c r="B5" s="77" t="s">
        <v>191</v>
      </c>
      <c r="C5" s="77">
        <v>2020</v>
      </c>
      <c r="D5" s="179" t="s">
        <v>419</v>
      </c>
      <c r="E5" s="77" t="s">
        <v>371</v>
      </c>
      <c r="F5" s="77" t="s">
        <v>372</v>
      </c>
      <c r="G5" s="77" t="s">
        <v>31</v>
      </c>
      <c r="H5" s="77" t="s">
        <v>164</v>
      </c>
      <c r="I5" s="77" t="s">
        <v>166</v>
      </c>
      <c r="J5" s="77" t="s">
        <v>27</v>
      </c>
      <c r="K5" s="77" t="s">
        <v>112</v>
      </c>
      <c r="L5" s="77">
        <v>1</v>
      </c>
      <c r="N5" s="77">
        <v>1</v>
      </c>
      <c r="O5" s="77">
        <v>0.6</v>
      </c>
      <c r="P5" s="77">
        <v>0.7</v>
      </c>
      <c r="Q5" s="44">
        <f t="shared" si="0"/>
        <v>0.64999999999999991</v>
      </c>
      <c r="R5" s="77">
        <v>16.899999999999999</v>
      </c>
      <c r="S5" s="77">
        <v>120</v>
      </c>
      <c r="T5" s="16">
        <f t="shared" si="1"/>
        <v>30</v>
      </c>
      <c r="U5" s="77">
        <v>159</v>
      </c>
      <c r="V5" s="16">
        <f t="shared" si="2"/>
        <v>4770</v>
      </c>
      <c r="W5" s="77">
        <v>6</v>
      </c>
      <c r="X5" s="77" t="s">
        <v>28</v>
      </c>
      <c r="Y5" s="77" t="s">
        <v>43</v>
      </c>
      <c r="Z5" s="77" t="s">
        <v>90</v>
      </c>
      <c r="AA5" s="77" t="s">
        <v>82</v>
      </c>
      <c r="AB5" s="77" t="s">
        <v>195</v>
      </c>
      <c r="AE5" s="22" t="s">
        <v>40</v>
      </c>
      <c r="AG5" s="80" t="s">
        <v>379</v>
      </c>
      <c r="AH5" s="180" t="s">
        <v>372</v>
      </c>
      <c r="AJ5" s="28"/>
      <c r="AL5" s="158" t="s">
        <v>113</v>
      </c>
      <c r="AN5" s="158" t="s">
        <v>111</v>
      </c>
      <c r="AP5" s="80" t="s">
        <v>209</v>
      </c>
      <c r="AR5" s="80" t="s">
        <v>42</v>
      </c>
      <c r="AV5" s="80" t="s">
        <v>43</v>
      </c>
      <c r="AX5" s="24">
        <v>84</v>
      </c>
      <c r="AY5" s="25">
        <v>39</v>
      </c>
      <c r="AZ5" s="25">
        <v>84</v>
      </c>
      <c r="BA5" s="26">
        <v>36</v>
      </c>
    </row>
    <row r="6" spans="1:53" x14ac:dyDescent="0.15">
      <c r="A6" s="77" t="s">
        <v>44</v>
      </c>
      <c r="B6" s="77" t="s">
        <v>191</v>
      </c>
      <c r="C6" s="77">
        <v>2020</v>
      </c>
      <c r="D6" s="179" t="s">
        <v>370</v>
      </c>
      <c r="E6" s="77" t="s">
        <v>371</v>
      </c>
      <c r="F6" s="77" t="s">
        <v>372</v>
      </c>
      <c r="G6" s="77" t="s">
        <v>31</v>
      </c>
      <c r="H6" s="77" t="s">
        <v>164</v>
      </c>
      <c r="I6" s="77" t="s">
        <v>166</v>
      </c>
      <c r="J6" s="77" t="s">
        <v>27</v>
      </c>
      <c r="K6" s="77" t="s">
        <v>112</v>
      </c>
      <c r="L6" s="77">
        <v>2</v>
      </c>
      <c r="M6" s="181"/>
      <c r="N6" s="77">
        <v>1</v>
      </c>
      <c r="O6" s="77">
        <v>0.65</v>
      </c>
      <c r="P6" s="77">
        <v>0.6</v>
      </c>
      <c r="Q6" s="44">
        <f t="shared" si="0"/>
        <v>0.625</v>
      </c>
      <c r="R6" s="77">
        <v>15.6</v>
      </c>
      <c r="S6" s="77">
        <v>121</v>
      </c>
      <c r="T6" s="16">
        <f t="shared" si="1"/>
        <v>27</v>
      </c>
      <c r="U6" s="77">
        <v>159</v>
      </c>
      <c r="V6" s="16">
        <f t="shared" si="2"/>
        <v>4293</v>
      </c>
      <c r="W6" s="77">
        <v>6</v>
      </c>
      <c r="X6" s="77" t="s">
        <v>28</v>
      </c>
      <c r="Y6" s="77" t="s">
        <v>43</v>
      </c>
      <c r="Z6" s="77" t="s">
        <v>90</v>
      </c>
      <c r="AA6" s="77" t="s">
        <v>82</v>
      </c>
      <c r="AB6" s="77" t="s">
        <v>195</v>
      </c>
      <c r="AE6" s="22" t="s">
        <v>44</v>
      </c>
      <c r="AG6" s="80" t="s">
        <v>380</v>
      </c>
      <c r="AH6" s="180" t="s">
        <v>372</v>
      </c>
      <c r="AL6" s="158" t="s">
        <v>212</v>
      </c>
      <c r="AN6" s="158" t="s">
        <v>166</v>
      </c>
      <c r="AP6" s="80" t="s">
        <v>41</v>
      </c>
      <c r="AR6" s="80" t="s">
        <v>46</v>
      </c>
      <c r="AV6" s="80" t="s">
        <v>47</v>
      </c>
      <c r="AX6" s="24">
        <v>97</v>
      </c>
      <c r="AY6" s="25">
        <v>36</v>
      </c>
      <c r="AZ6" s="25">
        <v>99</v>
      </c>
      <c r="BA6" s="26">
        <v>33</v>
      </c>
    </row>
    <row r="7" spans="1:53" x14ac:dyDescent="0.15">
      <c r="A7" s="77" t="s">
        <v>44</v>
      </c>
      <c r="B7" s="77" t="s">
        <v>191</v>
      </c>
      <c r="C7" s="77">
        <v>2020</v>
      </c>
      <c r="D7" s="179" t="s">
        <v>370</v>
      </c>
      <c r="E7" s="77" t="s">
        <v>371</v>
      </c>
      <c r="F7" s="77" t="s">
        <v>372</v>
      </c>
      <c r="G7" s="77" t="s">
        <v>31</v>
      </c>
      <c r="H7" s="77" t="s">
        <v>164</v>
      </c>
      <c r="I7" s="77" t="s">
        <v>166</v>
      </c>
      <c r="J7" s="77" t="s">
        <v>27</v>
      </c>
      <c r="K7" s="77" t="s">
        <v>112</v>
      </c>
      <c r="L7" s="77">
        <v>3</v>
      </c>
      <c r="M7" s="181"/>
      <c r="N7" s="77">
        <v>1</v>
      </c>
      <c r="O7" s="77">
        <v>0.55000000000000004</v>
      </c>
      <c r="P7" s="77">
        <v>0.6</v>
      </c>
      <c r="Q7" s="44">
        <f t="shared" si="0"/>
        <v>0.57499999999999996</v>
      </c>
      <c r="R7" s="77">
        <v>15.8</v>
      </c>
      <c r="S7" s="77">
        <v>118</v>
      </c>
      <c r="T7" s="16">
        <f t="shared" si="1"/>
        <v>30</v>
      </c>
      <c r="U7" s="77">
        <v>159</v>
      </c>
      <c r="V7" s="16">
        <f t="shared" si="2"/>
        <v>4770</v>
      </c>
      <c r="W7" s="77">
        <v>6</v>
      </c>
      <c r="X7" s="77" t="s">
        <v>28</v>
      </c>
      <c r="Y7" s="77" t="s">
        <v>43</v>
      </c>
      <c r="Z7" s="77" t="s">
        <v>90</v>
      </c>
      <c r="AA7" s="77" t="s">
        <v>82</v>
      </c>
      <c r="AB7" s="77" t="s">
        <v>195</v>
      </c>
      <c r="AE7" s="22" t="s">
        <v>48</v>
      </c>
      <c r="AG7" s="80" t="s">
        <v>305</v>
      </c>
      <c r="AH7" s="180" t="s">
        <v>381</v>
      </c>
      <c r="AL7" s="165" t="s">
        <v>165</v>
      </c>
      <c r="AP7" s="80" t="s">
        <v>45</v>
      </c>
      <c r="AR7" s="80" t="s">
        <v>214</v>
      </c>
      <c r="AV7" s="80" t="s">
        <v>51</v>
      </c>
      <c r="AX7" s="24">
        <v>109</v>
      </c>
      <c r="AY7" s="25">
        <v>33</v>
      </c>
      <c r="AZ7" s="25">
        <v>113</v>
      </c>
      <c r="BA7" s="26">
        <v>30</v>
      </c>
    </row>
    <row r="8" spans="1:53" x14ac:dyDescent="0.15">
      <c r="A8" s="77" t="s">
        <v>44</v>
      </c>
      <c r="B8" s="77" t="s">
        <v>191</v>
      </c>
      <c r="C8" s="77">
        <v>2020</v>
      </c>
      <c r="D8" s="179" t="s">
        <v>370</v>
      </c>
      <c r="E8" s="77" t="s">
        <v>371</v>
      </c>
      <c r="F8" s="77" t="s">
        <v>372</v>
      </c>
      <c r="G8" s="77" t="s">
        <v>31</v>
      </c>
      <c r="H8" s="77" t="s">
        <v>164</v>
      </c>
      <c r="I8" s="77" t="s">
        <v>166</v>
      </c>
      <c r="J8" s="77" t="s">
        <v>27</v>
      </c>
      <c r="K8" s="77" t="s">
        <v>112</v>
      </c>
      <c r="L8" s="77">
        <v>1</v>
      </c>
      <c r="N8" s="77">
        <v>8</v>
      </c>
      <c r="O8" s="77">
        <v>0.8</v>
      </c>
      <c r="P8" s="77">
        <v>0.75</v>
      </c>
      <c r="Q8" s="44">
        <f t="shared" si="0"/>
        <v>0.77500000000000002</v>
      </c>
      <c r="R8" s="77">
        <v>16.2</v>
      </c>
      <c r="S8" s="77">
        <v>92</v>
      </c>
      <c r="T8" s="16">
        <f t="shared" si="1"/>
        <v>36</v>
      </c>
      <c r="U8" s="77">
        <v>999</v>
      </c>
      <c r="V8" s="16">
        <f t="shared" si="2"/>
        <v>4495.5</v>
      </c>
      <c r="W8" s="77">
        <v>8</v>
      </c>
      <c r="X8" s="77" t="s">
        <v>28</v>
      </c>
      <c r="Y8" s="77" t="s">
        <v>43</v>
      </c>
      <c r="Z8" s="77" t="s">
        <v>90</v>
      </c>
      <c r="AA8" s="77" t="s">
        <v>82</v>
      </c>
      <c r="AB8" s="77" t="s">
        <v>195</v>
      </c>
      <c r="AE8" s="22" t="s">
        <v>46</v>
      </c>
      <c r="AG8" s="80" t="s">
        <v>382</v>
      </c>
      <c r="AH8" s="180" t="s">
        <v>381</v>
      </c>
      <c r="AL8" s="165" t="s">
        <v>164</v>
      </c>
      <c r="AP8" s="80" t="s">
        <v>49</v>
      </c>
      <c r="AR8" s="80" t="s">
        <v>67</v>
      </c>
      <c r="AV8" s="80" t="s">
        <v>82</v>
      </c>
      <c r="AX8" s="24">
        <v>119</v>
      </c>
      <c r="AY8" s="25">
        <v>30</v>
      </c>
      <c r="AZ8" s="25">
        <v>121</v>
      </c>
      <c r="BA8" s="26">
        <v>27</v>
      </c>
    </row>
    <row r="9" spans="1:53" x14ac:dyDescent="0.15">
      <c r="A9" s="77" t="s">
        <v>44</v>
      </c>
      <c r="B9" s="77" t="s">
        <v>191</v>
      </c>
      <c r="C9" s="77">
        <v>2020</v>
      </c>
      <c r="D9" s="179" t="s">
        <v>370</v>
      </c>
      <c r="E9" s="77" t="s">
        <v>371</v>
      </c>
      <c r="F9" s="77" t="s">
        <v>372</v>
      </c>
      <c r="G9" s="77" t="s">
        <v>31</v>
      </c>
      <c r="H9" s="77" t="s">
        <v>164</v>
      </c>
      <c r="I9" s="77" t="s">
        <v>166</v>
      </c>
      <c r="J9" s="77" t="s">
        <v>27</v>
      </c>
      <c r="K9" s="77" t="s">
        <v>112</v>
      </c>
      <c r="L9" s="77">
        <v>2</v>
      </c>
      <c r="M9" s="181"/>
      <c r="N9" s="77">
        <v>8</v>
      </c>
      <c r="O9" s="77">
        <v>0.75</v>
      </c>
      <c r="P9" s="77">
        <v>0.75</v>
      </c>
      <c r="Q9" s="44">
        <f t="shared" si="0"/>
        <v>0.75</v>
      </c>
      <c r="R9" s="77">
        <v>15.9</v>
      </c>
      <c r="S9" s="77">
        <v>97</v>
      </c>
      <c r="T9" s="16">
        <f t="shared" si="1"/>
        <v>36</v>
      </c>
      <c r="U9" s="77">
        <v>999</v>
      </c>
      <c r="V9" s="16">
        <f t="shared" si="2"/>
        <v>4495.5</v>
      </c>
      <c r="W9" s="77">
        <v>8</v>
      </c>
      <c r="X9" s="77" t="s">
        <v>28</v>
      </c>
      <c r="Y9" s="77" t="s">
        <v>43</v>
      </c>
      <c r="Z9" s="77" t="s">
        <v>90</v>
      </c>
      <c r="AA9" s="77" t="s">
        <v>82</v>
      </c>
      <c r="AB9" s="77" t="s">
        <v>195</v>
      </c>
      <c r="AE9" s="22" t="s">
        <v>217</v>
      </c>
      <c r="AG9" s="80" t="s">
        <v>371</v>
      </c>
      <c r="AH9" s="80" t="s">
        <v>376</v>
      </c>
      <c r="AL9" s="158" t="s">
        <v>219</v>
      </c>
      <c r="AP9" s="80" t="s">
        <v>80</v>
      </c>
      <c r="AR9" s="80" t="s">
        <v>220</v>
      </c>
      <c r="AV9" s="80" t="s">
        <v>86</v>
      </c>
      <c r="AX9" s="24">
        <v>128</v>
      </c>
      <c r="AY9" s="25">
        <v>27</v>
      </c>
      <c r="AZ9" s="25">
        <v>129</v>
      </c>
      <c r="BA9" s="26">
        <v>25</v>
      </c>
    </row>
    <row r="10" spans="1:53" x14ac:dyDescent="0.15">
      <c r="A10" s="77" t="s">
        <v>44</v>
      </c>
      <c r="B10" s="77" t="s">
        <v>191</v>
      </c>
      <c r="C10" s="77">
        <v>2020</v>
      </c>
      <c r="D10" s="179" t="s">
        <v>370</v>
      </c>
      <c r="E10" s="77" t="s">
        <v>371</v>
      </c>
      <c r="F10" s="77" t="s">
        <v>372</v>
      </c>
      <c r="G10" s="77" t="s">
        <v>31</v>
      </c>
      <c r="H10" s="77" t="s">
        <v>164</v>
      </c>
      <c r="I10" s="77" t="s">
        <v>166</v>
      </c>
      <c r="J10" s="77" t="s">
        <v>27</v>
      </c>
      <c r="K10" s="77" t="s">
        <v>112</v>
      </c>
      <c r="L10" s="77">
        <v>3</v>
      </c>
      <c r="M10" s="181"/>
      <c r="N10" s="77">
        <v>8</v>
      </c>
      <c r="O10" s="77">
        <v>0.6</v>
      </c>
      <c r="P10" s="77">
        <v>0.65</v>
      </c>
      <c r="Q10" s="44">
        <f t="shared" si="0"/>
        <v>0.625</v>
      </c>
      <c r="R10" s="77">
        <v>16.2</v>
      </c>
      <c r="S10" s="77">
        <v>101</v>
      </c>
      <c r="T10" s="16">
        <f t="shared" si="1"/>
        <v>33</v>
      </c>
      <c r="U10" s="77">
        <v>999</v>
      </c>
      <c r="V10" s="16">
        <f t="shared" si="2"/>
        <v>4120.875</v>
      </c>
      <c r="W10" s="77">
        <v>8</v>
      </c>
      <c r="X10" s="77" t="s">
        <v>28</v>
      </c>
      <c r="Y10" s="77" t="s">
        <v>43</v>
      </c>
      <c r="Z10" s="77" t="s">
        <v>90</v>
      </c>
      <c r="AA10" s="77" t="s">
        <v>82</v>
      </c>
      <c r="AB10" s="77" t="s">
        <v>195</v>
      </c>
      <c r="AE10" s="22" t="s">
        <v>221</v>
      </c>
      <c r="AG10" s="80" t="s">
        <v>305</v>
      </c>
      <c r="AH10" s="180" t="s">
        <v>372</v>
      </c>
      <c r="AL10" s="165"/>
      <c r="AP10" s="80" t="s">
        <v>84</v>
      </c>
      <c r="AR10" s="80" t="s">
        <v>222</v>
      </c>
      <c r="AV10" s="80" t="s">
        <v>90</v>
      </c>
      <c r="AX10" s="24">
        <v>138</v>
      </c>
      <c r="AY10" s="25">
        <v>25</v>
      </c>
      <c r="AZ10" s="25">
        <v>138</v>
      </c>
      <c r="BA10" s="26">
        <v>22</v>
      </c>
    </row>
    <row r="11" spans="1:53" x14ac:dyDescent="0.15">
      <c r="A11" s="77" t="s">
        <v>44</v>
      </c>
      <c r="B11" s="77" t="s">
        <v>191</v>
      </c>
      <c r="C11" s="77">
        <v>2020</v>
      </c>
      <c r="D11" s="179" t="s">
        <v>370</v>
      </c>
      <c r="E11" s="77" t="s">
        <v>371</v>
      </c>
      <c r="F11" s="77" t="s">
        <v>372</v>
      </c>
      <c r="G11" s="77" t="s">
        <v>31</v>
      </c>
      <c r="H11" s="77" t="s">
        <v>164</v>
      </c>
      <c r="I11" s="77" t="s">
        <v>166</v>
      </c>
      <c r="J11" s="77" t="s">
        <v>27</v>
      </c>
      <c r="K11" s="77" t="s">
        <v>112</v>
      </c>
      <c r="L11" s="77">
        <v>1</v>
      </c>
      <c r="N11" s="77">
        <v>4</v>
      </c>
      <c r="O11" s="77">
        <v>0.75</v>
      </c>
      <c r="P11" s="77">
        <v>0.75</v>
      </c>
      <c r="Q11" s="44">
        <f t="shared" si="0"/>
        <v>0.75</v>
      </c>
      <c r="R11" s="77">
        <v>15.3</v>
      </c>
      <c r="S11" s="77">
        <v>97</v>
      </c>
      <c r="T11" s="16">
        <f t="shared" si="1"/>
        <v>36</v>
      </c>
      <c r="U11" s="77">
        <v>599</v>
      </c>
      <c r="V11" s="16">
        <f t="shared" si="2"/>
        <v>5391</v>
      </c>
      <c r="W11" s="77">
        <v>4</v>
      </c>
      <c r="X11" s="77" t="s">
        <v>28</v>
      </c>
      <c r="Y11" s="77" t="s">
        <v>43</v>
      </c>
      <c r="Z11" s="77" t="s">
        <v>90</v>
      </c>
      <c r="AA11" s="77" t="s">
        <v>82</v>
      </c>
      <c r="AB11" s="77" t="s">
        <v>195</v>
      </c>
      <c r="AE11" s="22" t="s">
        <v>54</v>
      </c>
      <c r="AG11" s="80" t="s">
        <v>380</v>
      </c>
      <c r="AH11" s="180" t="s">
        <v>372</v>
      </c>
      <c r="AJ11" s="165"/>
      <c r="AP11" s="80" t="s">
        <v>88</v>
      </c>
      <c r="AR11" s="80" t="s">
        <v>225</v>
      </c>
      <c r="AV11" s="80" t="s">
        <v>55</v>
      </c>
    </row>
    <row r="12" spans="1:53" x14ac:dyDescent="0.15">
      <c r="A12" s="77" t="s">
        <v>44</v>
      </c>
      <c r="B12" s="77" t="s">
        <v>191</v>
      </c>
      <c r="C12" s="77">
        <v>2020</v>
      </c>
      <c r="D12" s="179" t="s">
        <v>370</v>
      </c>
      <c r="E12" s="77" t="s">
        <v>371</v>
      </c>
      <c r="F12" s="77" t="s">
        <v>372</v>
      </c>
      <c r="G12" s="77" t="s">
        <v>31</v>
      </c>
      <c r="H12" s="77" t="s">
        <v>164</v>
      </c>
      <c r="I12" s="77" t="s">
        <v>166</v>
      </c>
      <c r="J12" s="77" t="s">
        <v>27</v>
      </c>
      <c r="K12" s="77" t="s">
        <v>112</v>
      </c>
      <c r="L12" s="77">
        <v>2</v>
      </c>
      <c r="M12" s="181"/>
      <c r="N12" s="77">
        <v>4</v>
      </c>
      <c r="O12" s="77">
        <v>0.7</v>
      </c>
      <c r="P12" s="77">
        <v>0.7</v>
      </c>
      <c r="Q12" s="44">
        <f t="shared" si="0"/>
        <v>0.7</v>
      </c>
      <c r="R12" s="77">
        <v>13.4</v>
      </c>
      <c r="S12" s="77">
        <v>100</v>
      </c>
      <c r="T12" s="16">
        <f t="shared" si="1"/>
        <v>33</v>
      </c>
      <c r="U12" s="77">
        <v>599</v>
      </c>
      <c r="V12" s="16">
        <f t="shared" si="2"/>
        <v>4941.75</v>
      </c>
      <c r="W12" s="77">
        <v>4</v>
      </c>
      <c r="X12" s="77" t="s">
        <v>28</v>
      </c>
      <c r="Y12" s="77" t="s">
        <v>43</v>
      </c>
      <c r="Z12" s="77" t="s">
        <v>90</v>
      </c>
      <c r="AA12" s="77" t="s">
        <v>82</v>
      </c>
      <c r="AB12" s="77" t="s">
        <v>195</v>
      </c>
      <c r="AE12" s="22" t="s">
        <v>226</v>
      </c>
      <c r="AG12" s="80" t="s">
        <v>375</v>
      </c>
      <c r="AH12" s="180" t="s">
        <v>372</v>
      </c>
      <c r="AJ12" s="165"/>
      <c r="AP12" s="80" t="s">
        <v>53</v>
      </c>
      <c r="AR12" s="80" t="s">
        <v>227</v>
      </c>
      <c r="AV12" s="80" t="s">
        <v>58</v>
      </c>
    </row>
    <row r="13" spans="1:53" x14ac:dyDescent="0.15">
      <c r="A13" s="77" t="s">
        <v>44</v>
      </c>
      <c r="B13" s="77" t="s">
        <v>191</v>
      </c>
      <c r="C13" s="77">
        <v>2020</v>
      </c>
      <c r="D13" s="179" t="s">
        <v>370</v>
      </c>
      <c r="E13" s="77" t="s">
        <v>371</v>
      </c>
      <c r="F13" s="77" t="s">
        <v>372</v>
      </c>
      <c r="G13" s="77" t="s">
        <v>31</v>
      </c>
      <c r="H13" s="77" t="s">
        <v>164</v>
      </c>
      <c r="I13" s="77" t="s">
        <v>166</v>
      </c>
      <c r="J13" s="77" t="s">
        <v>27</v>
      </c>
      <c r="K13" s="77" t="s">
        <v>112</v>
      </c>
      <c r="L13" s="77">
        <v>3</v>
      </c>
      <c r="M13" s="181"/>
      <c r="N13" s="77">
        <v>4</v>
      </c>
      <c r="O13" s="77">
        <v>0.7</v>
      </c>
      <c r="P13" s="77">
        <v>0.7</v>
      </c>
      <c r="Q13" s="44">
        <f t="shared" si="0"/>
        <v>0.7</v>
      </c>
      <c r="R13" s="77">
        <v>15.7</v>
      </c>
      <c r="S13" s="77">
        <v>92</v>
      </c>
      <c r="T13" s="16">
        <f t="shared" si="1"/>
        <v>36</v>
      </c>
      <c r="U13" s="77">
        <v>599</v>
      </c>
      <c r="V13" s="16">
        <f t="shared" si="2"/>
        <v>5391</v>
      </c>
      <c r="W13" s="77">
        <v>4</v>
      </c>
      <c r="X13" s="77" t="s">
        <v>28</v>
      </c>
      <c r="Y13" s="77" t="s">
        <v>43</v>
      </c>
      <c r="Z13" s="77" t="s">
        <v>90</v>
      </c>
      <c r="AA13" s="77" t="s">
        <v>82</v>
      </c>
      <c r="AB13" s="77" t="s">
        <v>195</v>
      </c>
      <c r="AE13" s="22" t="s">
        <v>228</v>
      </c>
      <c r="AP13" s="80" t="s">
        <v>57</v>
      </c>
      <c r="AR13" s="80" t="s">
        <v>221</v>
      </c>
      <c r="AV13" s="80" t="s">
        <v>61</v>
      </c>
    </row>
    <row r="14" spans="1:53" x14ac:dyDescent="0.15">
      <c r="A14" s="77" t="s">
        <v>44</v>
      </c>
      <c r="B14" s="77" t="s">
        <v>191</v>
      </c>
      <c r="C14" s="77">
        <v>2020</v>
      </c>
      <c r="D14" s="179" t="s">
        <v>370</v>
      </c>
      <c r="E14" s="77" t="s">
        <v>375</v>
      </c>
      <c r="F14" s="77" t="s">
        <v>376</v>
      </c>
      <c r="G14" s="77" t="s">
        <v>25</v>
      </c>
      <c r="H14" s="77" t="s">
        <v>113</v>
      </c>
      <c r="I14" s="77" t="s">
        <v>111</v>
      </c>
      <c r="J14" s="77" t="s">
        <v>27</v>
      </c>
      <c r="K14" s="77" t="s">
        <v>112</v>
      </c>
      <c r="L14" s="77">
        <v>1</v>
      </c>
      <c r="M14" s="181"/>
      <c r="N14" s="77">
        <v>1</v>
      </c>
      <c r="O14" s="77">
        <v>0.85</v>
      </c>
      <c r="P14" s="77">
        <v>0.85</v>
      </c>
      <c r="Q14" s="44">
        <f t="shared" si="0"/>
        <v>0.85</v>
      </c>
      <c r="R14" s="77">
        <v>13</v>
      </c>
      <c r="S14" s="77">
        <v>138</v>
      </c>
      <c r="T14" s="16">
        <f t="shared" si="1"/>
        <v>22</v>
      </c>
      <c r="U14" s="77">
        <v>100</v>
      </c>
      <c r="V14" s="16">
        <f t="shared" si="2"/>
        <v>2200</v>
      </c>
      <c r="W14" s="77">
        <v>2</v>
      </c>
      <c r="X14" s="77" t="s">
        <v>35</v>
      </c>
      <c r="Y14" s="77" t="s">
        <v>43</v>
      </c>
      <c r="Z14" s="77" t="s">
        <v>36</v>
      </c>
      <c r="AA14" s="77" t="s">
        <v>64</v>
      </c>
      <c r="AB14" s="77" t="s">
        <v>195</v>
      </c>
      <c r="AE14" s="22" t="s">
        <v>81</v>
      </c>
      <c r="AP14" s="80" t="s">
        <v>60</v>
      </c>
      <c r="AR14" s="80" t="s">
        <v>229</v>
      </c>
      <c r="AV14" s="80" t="s">
        <v>64</v>
      </c>
    </row>
    <row r="15" spans="1:53" x14ac:dyDescent="0.15">
      <c r="A15" s="77" t="s">
        <v>44</v>
      </c>
      <c r="B15" s="77" t="s">
        <v>191</v>
      </c>
      <c r="C15" s="77">
        <v>2020</v>
      </c>
      <c r="D15" s="179" t="s">
        <v>370</v>
      </c>
      <c r="E15" s="77" t="s">
        <v>375</v>
      </c>
      <c r="F15" s="77" t="s">
        <v>376</v>
      </c>
      <c r="G15" s="77" t="s">
        <v>25</v>
      </c>
      <c r="H15" s="77" t="s">
        <v>113</v>
      </c>
      <c r="I15" s="77" t="s">
        <v>111</v>
      </c>
      <c r="J15" s="77" t="s">
        <v>27</v>
      </c>
      <c r="K15" s="77" t="s">
        <v>112</v>
      </c>
      <c r="L15" s="77">
        <v>2</v>
      </c>
      <c r="M15" s="181"/>
      <c r="N15" s="77">
        <v>1</v>
      </c>
      <c r="O15" s="77">
        <v>0.8</v>
      </c>
      <c r="P15" s="77">
        <v>0.75</v>
      </c>
      <c r="Q15" s="44">
        <f t="shared" si="0"/>
        <v>0.77500000000000002</v>
      </c>
      <c r="R15" s="77">
        <v>14</v>
      </c>
      <c r="S15" s="77">
        <v>138</v>
      </c>
      <c r="T15" s="16">
        <f t="shared" si="1"/>
        <v>22</v>
      </c>
      <c r="U15" s="77">
        <v>100</v>
      </c>
      <c r="V15" s="16">
        <f t="shared" si="2"/>
        <v>2200</v>
      </c>
      <c r="W15" s="77">
        <v>2</v>
      </c>
      <c r="X15" s="77" t="s">
        <v>35</v>
      </c>
      <c r="Y15" s="77" t="s">
        <v>43</v>
      </c>
      <c r="Z15" s="77" t="s">
        <v>36</v>
      </c>
      <c r="AA15" s="77" t="s">
        <v>64</v>
      </c>
      <c r="AB15" s="77" t="s">
        <v>195</v>
      </c>
      <c r="AE15" s="22" t="s">
        <v>230</v>
      </c>
      <c r="AP15" s="80" t="s">
        <v>63</v>
      </c>
      <c r="AR15" s="80" t="s">
        <v>66</v>
      </c>
      <c r="AV15" s="80" t="s">
        <v>91</v>
      </c>
    </row>
    <row r="16" spans="1:53" x14ac:dyDescent="0.15">
      <c r="A16" s="77" t="s">
        <v>44</v>
      </c>
      <c r="B16" s="77" t="s">
        <v>191</v>
      </c>
      <c r="C16" s="77">
        <v>2020</v>
      </c>
      <c r="D16" s="179" t="s">
        <v>370</v>
      </c>
      <c r="E16" s="77" t="s">
        <v>375</v>
      </c>
      <c r="F16" s="77" t="s">
        <v>376</v>
      </c>
      <c r="G16" s="77" t="s">
        <v>25</v>
      </c>
      <c r="H16" s="77" t="s">
        <v>113</v>
      </c>
      <c r="I16" s="77" t="s">
        <v>111</v>
      </c>
      <c r="J16" s="77" t="s">
        <v>27</v>
      </c>
      <c r="K16" s="77" t="s">
        <v>112</v>
      </c>
      <c r="L16" s="77">
        <v>3</v>
      </c>
      <c r="M16" s="181"/>
      <c r="N16" s="77">
        <v>1</v>
      </c>
      <c r="O16" s="77">
        <v>0.8</v>
      </c>
      <c r="P16" s="77">
        <v>0.75</v>
      </c>
      <c r="Q16" s="44">
        <f t="shared" si="0"/>
        <v>0.77500000000000002</v>
      </c>
      <c r="R16" s="77">
        <v>14.5</v>
      </c>
      <c r="S16" s="77">
        <v>147</v>
      </c>
      <c r="T16" s="16">
        <f t="shared" si="1"/>
        <v>22</v>
      </c>
      <c r="U16" s="77">
        <v>100</v>
      </c>
      <c r="V16" s="16">
        <f t="shared" si="2"/>
        <v>2200</v>
      </c>
      <c r="W16" s="77">
        <v>2</v>
      </c>
      <c r="X16" s="77" t="s">
        <v>35</v>
      </c>
      <c r="Y16" s="77" t="s">
        <v>43</v>
      </c>
      <c r="Z16" s="77" t="s">
        <v>36</v>
      </c>
      <c r="AA16" s="77" t="s">
        <v>64</v>
      </c>
      <c r="AB16" s="77" t="s">
        <v>195</v>
      </c>
      <c r="AE16" s="22" t="s">
        <v>231</v>
      </c>
      <c r="AP16" s="80" t="s">
        <v>66</v>
      </c>
      <c r="AR16" s="80" t="s">
        <v>50</v>
      </c>
      <c r="AV16" s="80" t="s">
        <v>70</v>
      </c>
    </row>
    <row r="17" spans="1:48" x14ac:dyDescent="0.15">
      <c r="A17" s="77" t="s">
        <v>44</v>
      </c>
      <c r="B17" s="77" t="s">
        <v>191</v>
      </c>
      <c r="C17" s="77">
        <v>2020</v>
      </c>
      <c r="D17" s="179" t="s">
        <v>370</v>
      </c>
      <c r="E17" s="77" t="s">
        <v>375</v>
      </c>
      <c r="F17" s="77" t="s">
        <v>376</v>
      </c>
      <c r="G17" s="77" t="s">
        <v>25</v>
      </c>
      <c r="H17" s="77" t="s">
        <v>113</v>
      </c>
      <c r="I17" s="77" t="s">
        <v>111</v>
      </c>
      <c r="J17" s="77" t="s">
        <v>27</v>
      </c>
      <c r="K17" s="77" t="s">
        <v>112</v>
      </c>
      <c r="L17" s="77">
        <v>1</v>
      </c>
      <c r="M17" s="181"/>
      <c r="N17" s="77">
        <v>5</v>
      </c>
      <c r="O17" s="77">
        <v>0.85</v>
      </c>
      <c r="P17" s="77">
        <v>0.85</v>
      </c>
      <c r="Q17" s="44">
        <f t="shared" si="0"/>
        <v>0.85</v>
      </c>
      <c r="R17" s="77">
        <v>13.3</v>
      </c>
      <c r="S17" s="77">
        <v>83</v>
      </c>
      <c r="T17" s="16">
        <f t="shared" si="1"/>
        <v>39</v>
      </c>
      <c r="U17" s="77">
        <v>450</v>
      </c>
      <c r="V17" s="16">
        <f t="shared" si="2"/>
        <v>3510</v>
      </c>
      <c r="W17" s="77">
        <v>4</v>
      </c>
      <c r="X17" s="77" t="s">
        <v>35</v>
      </c>
      <c r="Y17" s="77" t="s">
        <v>43</v>
      </c>
      <c r="Z17" s="77" t="s">
        <v>36</v>
      </c>
      <c r="AA17" s="77" t="s">
        <v>64</v>
      </c>
      <c r="AB17" s="77" t="s">
        <v>195</v>
      </c>
      <c r="AE17" s="22" t="s">
        <v>232</v>
      </c>
      <c r="AP17" s="27" t="s">
        <v>233</v>
      </c>
      <c r="AR17" s="80" t="s">
        <v>81</v>
      </c>
      <c r="AV17" s="80" t="s">
        <v>72</v>
      </c>
    </row>
    <row r="18" spans="1:48" x14ac:dyDescent="0.15">
      <c r="A18" s="77" t="s">
        <v>44</v>
      </c>
      <c r="B18" s="77" t="s">
        <v>191</v>
      </c>
      <c r="C18" s="77">
        <v>2020</v>
      </c>
      <c r="D18" s="179" t="s">
        <v>370</v>
      </c>
      <c r="E18" s="77" t="s">
        <v>375</v>
      </c>
      <c r="F18" s="77" t="s">
        <v>376</v>
      </c>
      <c r="G18" s="77" t="s">
        <v>25</v>
      </c>
      <c r="H18" s="77" t="s">
        <v>113</v>
      </c>
      <c r="I18" s="77" t="s">
        <v>111</v>
      </c>
      <c r="J18" s="77" t="s">
        <v>27</v>
      </c>
      <c r="K18" s="77" t="s">
        <v>112</v>
      </c>
      <c r="L18" s="77">
        <v>2</v>
      </c>
      <c r="M18" s="181"/>
      <c r="N18" s="77">
        <v>5</v>
      </c>
      <c r="O18" s="77">
        <v>0.75</v>
      </c>
      <c r="P18" s="77">
        <v>0.7</v>
      </c>
      <c r="Q18" s="44">
        <f t="shared" si="0"/>
        <v>0.72499999999999998</v>
      </c>
      <c r="R18" s="77">
        <v>12.7</v>
      </c>
      <c r="S18" s="77">
        <v>99</v>
      </c>
      <c r="T18" s="16">
        <f t="shared" si="1"/>
        <v>33</v>
      </c>
      <c r="U18" s="77">
        <v>450</v>
      </c>
      <c r="V18" s="16">
        <f t="shared" si="2"/>
        <v>2970</v>
      </c>
      <c r="W18" s="77">
        <v>4</v>
      </c>
      <c r="X18" s="77" t="s">
        <v>35</v>
      </c>
      <c r="Y18" s="77" t="s">
        <v>43</v>
      </c>
      <c r="Z18" s="77" t="s">
        <v>36</v>
      </c>
      <c r="AA18" s="77" t="s">
        <v>64</v>
      </c>
      <c r="AB18" s="77" t="s">
        <v>195</v>
      </c>
      <c r="AE18" s="22" t="s">
        <v>225</v>
      </c>
      <c r="AP18" s="27" t="s">
        <v>234</v>
      </c>
      <c r="AR18" s="80" t="s">
        <v>85</v>
      </c>
      <c r="AV18" s="80" t="s">
        <v>74</v>
      </c>
    </row>
    <row r="19" spans="1:48" x14ac:dyDescent="0.15">
      <c r="A19" s="77" t="s">
        <v>44</v>
      </c>
      <c r="B19" s="77" t="s">
        <v>191</v>
      </c>
      <c r="C19" s="77">
        <v>2020</v>
      </c>
      <c r="D19" s="179" t="s">
        <v>370</v>
      </c>
      <c r="E19" s="77" t="s">
        <v>375</v>
      </c>
      <c r="F19" s="77" t="s">
        <v>376</v>
      </c>
      <c r="G19" s="77" t="s">
        <v>25</v>
      </c>
      <c r="H19" s="77" t="s">
        <v>113</v>
      </c>
      <c r="I19" s="77" t="s">
        <v>111</v>
      </c>
      <c r="J19" s="77" t="s">
        <v>27</v>
      </c>
      <c r="K19" s="77" t="s">
        <v>112</v>
      </c>
      <c r="L19" s="77">
        <v>3</v>
      </c>
      <c r="M19" s="181"/>
      <c r="N19" s="77">
        <v>5</v>
      </c>
      <c r="O19" s="77">
        <v>0.65</v>
      </c>
      <c r="P19" s="77">
        <v>0.65</v>
      </c>
      <c r="Q19" s="44">
        <f t="shared" si="0"/>
        <v>0.65</v>
      </c>
      <c r="R19" s="77">
        <v>12.6</v>
      </c>
      <c r="S19" s="77">
        <v>82</v>
      </c>
      <c r="T19" s="16">
        <f t="shared" si="1"/>
        <v>39</v>
      </c>
      <c r="U19" s="77">
        <v>450</v>
      </c>
      <c r="V19" s="16">
        <f t="shared" si="2"/>
        <v>3510</v>
      </c>
      <c r="W19" s="77">
        <v>4</v>
      </c>
      <c r="X19" s="77" t="s">
        <v>35</v>
      </c>
      <c r="Y19" s="77" t="s">
        <v>43</v>
      </c>
      <c r="Z19" s="77" t="s">
        <v>36</v>
      </c>
      <c r="AA19" s="77" t="s">
        <v>64</v>
      </c>
      <c r="AB19" s="77" t="s">
        <v>195</v>
      </c>
      <c r="AE19" s="35" t="s">
        <v>220</v>
      </c>
      <c r="AP19" s="27" t="s">
        <v>235</v>
      </c>
      <c r="AR19" s="80" t="s">
        <v>236</v>
      </c>
      <c r="AV19" s="80" t="s">
        <v>76</v>
      </c>
    </row>
    <row r="20" spans="1:48" x14ac:dyDescent="0.15">
      <c r="A20" s="77" t="s">
        <v>44</v>
      </c>
      <c r="B20" s="77" t="s">
        <v>191</v>
      </c>
      <c r="C20" s="77">
        <v>2020</v>
      </c>
      <c r="D20" s="179" t="s">
        <v>370</v>
      </c>
      <c r="E20" s="77" t="s">
        <v>375</v>
      </c>
      <c r="F20" s="77" t="s">
        <v>376</v>
      </c>
      <c r="G20" s="77" t="s">
        <v>25</v>
      </c>
      <c r="H20" s="77" t="s">
        <v>164</v>
      </c>
      <c r="I20" s="77" t="s">
        <v>111</v>
      </c>
      <c r="J20" s="77" t="s">
        <v>27</v>
      </c>
      <c r="K20" s="77" t="s">
        <v>112</v>
      </c>
      <c r="L20" s="77">
        <v>1</v>
      </c>
      <c r="M20" s="181"/>
      <c r="N20" s="77">
        <v>1</v>
      </c>
      <c r="O20" s="77">
        <v>0.65</v>
      </c>
      <c r="P20" s="77">
        <v>0.6</v>
      </c>
      <c r="Q20" s="44">
        <f t="shared" si="0"/>
        <v>0.625</v>
      </c>
      <c r="R20" s="77">
        <v>18</v>
      </c>
      <c r="S20" s="77">
        <v>140</v>
      </c>
      <c r="T20" s="16">
        <f t="shared" si="1"/>
        <v>22</v>
      </c>
      <c r="U20" s="77">
        <v>100</v>
      </c>
      <c r="V20" s="16">
        <f t="shared" si="2"/>
        <v>2200</v>
      </c>
      <c r="W20" s="77">
        <v>9</v>
      </c>
      <c r="X20" s="77" t="s">
        <v>35</v>
      </c>
      <c r="Y20" s="77" t="s">
        <v>43</v>
      </c>
      <c r="Z20" s="77" t="s">
        <v>36</v>
      </c>
      <c r="AA20" s="77" t="s">
        <v>64</v>
      </c>
      <c r="AB20" s="77" t="s">
        <v>195</v>
      </c>
      <c r="AP20" s="27" t="s">
        <v>237</v>
      </c>
      <c r="AR20" s="80" t="s">
        <v>89</v>
      </c>
      <c r="AV20" s="27" t="s">
        <v>238</v>
      </c>
    </row>
    <row r="21" spans="1:48" x14ac:dyDescent="0.15">
      <c r="A21" s="77" t="s">
        <v>44</v>
      </c>
      <c r="B21" s="77" t="s">
        <v>191</v>
      </c>
      <c r="C21" s="77">
        <v>2020</v>
      </c>
      <c r="D21" s="179" t="s">
        <v>370</v>
      </c>
      <c r="E21" s="77" t="s">
        <v>375</v>
      </c>
      <c r="F21" s="77" t="s">
        <v>376</v>
      </c>
      <c r="G21" s="77" t="s">
        <v>25</v>
      </c>
      <c r="H21" s="77" t="s">
        <v>164</v>
      </c>
      <c r="I21" s="77" t="s">
        <v>111</v>
      </c>
      <c r="J21" s="77" t="s">
        <v>27</v>
      </c>
      <c r="K21" s="77" t="s">
        <v>112</v>
      </c>
      <c r="L21" s="77">
        <v>2</v>
      </c>
      <c r="M21" s="181"/>
      <c r="N21" s="77">
        <v>1</v>
      </c>
      <c r="O21" s="77">
        <v>0.7</v>
      </c>
      <c r="P21" s="77">
        <v>0.6</v>
      </c>
      <c r="Q21" s="44">
        <f t="shared" si="0"/>
        <v>0.64999999999999991</v>
      </c>
      <c r="R21" s="77">
        <v>18.3</v>
      </c>
      <c r="S21" s="77">
        <v>138</v>
      </c>
      <c r="T21" s="16">
        <f t="shared" si="1"/>
        <v>22</v>
      </c>
      <c r="U21" s="77">
        <v>100</v>
      </c>
      <c r="V21" s="16">
        <f t="shared" si="2"/>
        <v>2200</v>
      </c>
      <c r="W21" s="77">
        <v>9</v>
      </c>
      <c r="X21" s="77" t="s">
        <v>35</v>
      </c>
      <c r="Y21" s="77" t="s">
        <v>43</v>
      </c>
      <c r="Z21" s="77" t="s">
        <v>36</v>
      </c>
      <c r="AA21" s="77" t="s">
        <v>64</v>
      </c>
      <c r="AB21" s="77" t="s">
        <v>195</v>
      </c>
      <c r="AP21" s="27" t="s">
        <v>239</v>
      </c>
      <c r="AR21" s="80" t="s">
        <v>54</v>
      </c>
      <c r="AV21" s="28" t="s">
        <v>240</v>
      </c>
    </row>
    <row r="22" spans="1:48" x14ac:dyDescent="0.15">
      <c r="A22" s="77" t="s">
        <v>44</v>
      </c>
      <c r="B22" s="77" t="s">
        <v>191</v>
      </c>
      <c r="C22" s="77">
        <v>2020</v>
      </c>
      <c r="D22" s="179" t="s">
        <v>370</v>
      </c>
      <c r="E22" s="77" t="s">
        <v>375</v>
      </c>
      <c r="F22" s="77" t="s">
        <v>376</v>
      </c>
      <c r="G22" s="77" t="s">
        <v>25</v>
      </c>
      <c r="H22" s="77" t="s">
        <v>164</v>
      </c>
      <c r="I22" s="77" t="s">
        <v>111</v>
      </c>
      <c r="J22" s="77" t="s">
        <v>27</v>
      </c>
      <c r="K22" s="77" t="s">
        <v>112</v>
      </c>
      <c r="L22" s="77">
        <v>3</v>
      </c>
      <c r="M22" s="181"/>
      <c r="N22" s="77">
        <v>1</v>
      </c>
      <c r="O22" s="77">
        <v>0.8</v>
      </c>
      <c r="P22" s="77">
        <v>0.8</v>
      </c>
      <c r="Q22" s="44">
        <f t="shared" si="0"/>
        <v>0.8</v>
      </c>
      <c r="R22" s="77">
        <v>16.600000000000001</v>
      </c>
      <c r="S22" s="77">
        <v>140</v>
      </c>
      <c r="T22" s="16">
        <f t="shared" si="1"/>
        <v>22</v>
      </c>
      <c r="U22" s="77">
        <v>100</v>
      </c>
      <c r="V22" s="16">
        <f t="shared" si="2"/>
        <v>2200</v>
      </c>
      <c r="W22" s="77">
        <v>9</v>
      </c>
      <c r="X22" s="77" t="s">
        <v>35</v>
      </c>
      <c r="Y22" s="77" t="s">
        <v>43</v>
      </c>
      <c r="Z22" s="77" t="s">
        <v>36</v>
      </c>
      <c r="AA22" s="77" t="s">
        <v>64</v>
      </c>
      <c r="AB22" s="77" t="s">
        <v>195</v>
      </c>
      <c r="AP22" s="27" t="s">
        <v>241</v>
      </c>
      <c r="AR22" s="80" t="s">
        <v>69</v>
      </c>
    </row>
    <row r="23" spans="1:48" x14ac:dyDescent="0.15">
      <c r="A23" s="77" t="s">
        <v>44</v>
      </c>
      <c r="B23" s="77" t="s">
        <v>191</v>
      </c>
      <c r="C23" s="77">
        <v>2020</v>
      </c>
      <c r="D23" s="179" t="s">
        <v>370</v>
      </c>
      <c r="E23" s="77" t="s">
        <v>375</v>
      </c>
      <c r="F23" s="77" t="s">
        <v>376</v>
      </c>
      <c r="G23" s="77" t="s">
        <v>25</v>
      </c>
      <c r="H23" s="77" t="s">
        <v>164</v>
      </c>
      <c r="I23" s="77" t="s">
        <v>111</v>
      </c>
      <c r="J23" s="77" t="s">
        <v>27</v>
      </c>
      <c r="K23" s="77" t="s">
        <v>112</v>
      </c>
      <c r="L23" s="77">
        <v>1</v>
      </c>
      <c r="M23" s="181"/>
      <c r="N23" s="77">
        <v>5</v>
      </c>
      <c r="O23" s="77">
        <v>0.55000000000000004</v>
      </c>
      <c r="P23" s="77">
        <v>0.55000000000000004</v>
      </c>
      <c r="Q23" s="44">
        <f t="shared" si="0"/>
        <v>0.55000000000000004</v>
      </c>
      <c r="R23" s="77">
        <v>17.399999999999999</v>
      </c>
      <c r="S23" s="77">
        <v>104</v>
      </c>
      <c r="T23" s="16">
        <f t="shared" si="1"/>
        <v>33</v>
      </c>
      <c r="U23" s="77">
        <v>450</v>
      </c>
      <c r="V23" s="16">
        <f t="shared" si="2"/>
        <v>2970</v>
      </c>
      <c r="W23" s="77">
        <v>8</v>
      </c>
      <c r="X23" s="77" t="s">
        <v>35</v>
      </c>
      <c r="Y23" s="77" t="s">
        <v>43</v>
      </c>
      <c r="Z23" s="77" t="s">
        <v>36</v>
      </c>
      <c r="AA23" s="77" t="s">
        <v>64</v>
      </c>
      <c r="AB23" s="77" t="s">
        <v>195</v>
      </c>
      <c r="AP23" s="27" t="s">
        <v>242</v>
      </c>
      <c r="AR23" s="80" t="s">
        <v>48</v>
      </c>
    </row>
    <row r="24" spans="1:48" x14ac:dyDescent="0.15">
      <c r="A24" s="77" t="s">
        <v>44</v>
      </c>
      <c r="B24" s="77" t="s">
        <v>191</v>
      </c>
      <c r="C24" s="77">
        <v>2020</v>
      </c>
      <c r="D24" s="179" t="s">
        <v>370</v>
      </c>
      <c r="E24" s="77" t="s">
        <v>375</v>
      </c>
      <c r="F24" s="77" t="s">
        <v>376</v>
      </c>
      <c r="G24" s="77" t="s">
        <v>25</v>
      </c>
      <c r="H24" s="77" t="s">
        <v>164</v>
      </c>
      <c r="I24" s="77" t="s">
        <v>111</v>
      </c>
      <c r="J24" s="77" t="s">
        <v>27</v>
      </c>
      <c r="K24" s="77" t="s">
        <v>112</v>
      </c>
      <c r="L24" s="77">
        <v>2</v>
      </c>
      <c r="M24" s="181"/>
      <c r="N24" s="77">
        <v>5</v>
      </c>
      <c r="O24" s="77">
        <v>0.55000000000000004</v>
      </c>
      <c r="P24" s="77">
        <v>0.55000000000000004</v>
      </c>
      <c r="Q24" s="44">
        <f t="shared" si="0"/>
        <v>0.55000000000000004</v>
      </c>
      <c r="R24" s="77">
        <v>17.8</v>
      </c>
      <c r="S24" s="77">
        <v>101</v>
      </c>
      <c r="T24" s="16">
        <f t="shared" si="1"/>
        <v>33</v>
      </c>
      <c r="U24" s="77">
        <v>450</v>
      </c>
      <c r="V24" s="16">
        <f t="shared" si="2"/>
        <v>2970</v>
      </c>
      <c r="W24" s="77">
        <v>8</v>
      </c>
      <c r="X24" s="77" t="s">
        <v>35</v>
      </c>
      <c r="Y24" s="77" t="s">
        <v>43</v>
      </c>
      <c r="Z24" s="77" t="s">
        <v>36</v>
      </c>
      <c r="AA24" s="77" t="s">
        <v>64</v>
      </c>
      <c r="AB24" s="77" t="s">
        <v>195</v>
      </c>
      <c r="AP24" s="27" t="s">
        <v>243</v>
      </c>
      <c r="AR24" s="80" t="s">
        <v>77</v>
      </c>
    </row>
    <row r="25" spans="1:48" x14ac:dyDescent="0.15">
      <c r="A25" s="77" t="s">
        <v>44</v>
      </c>
      <c r="B25" s="77" t="s">
        <v>191</v>
      </c>
      <c r="C25" s="77">
        <v>2020</v>
      </c>
      <c r="D25" s="179" t="s">
        <v>370</v>
      </c>
      <c r="E25" s="77" t="s">
        <v>375</v>
      </c>
      <c r="F25" s="77" t="s">
        <v>376</v>
      </c>
      <c r="G25" s="77" t="s">
        <v>25</v>
      </c>
      <c r="H25" s="77" t="s">
        <v>164</v>
      </c>
      <c r="I25" s="77" t="s">
        <v>111</v>
      </c>
      <c r="J25" s="77" t="s">
        <v>27</v>
      </c>
      <c r="K25" s="77" t="s">
        <v>112</v>
      </c>
      <c r="L25" s="77">
        <v>3</v>
      </c>
      <c r="M25" s="181"/>
      <c r="N25" s="77">
        <v>5</v>
      </c>
      <c r="O25" s="77">
        <v>0.7</v>
      </c>
      <c r="P25" s="77">
        <v>0.65</v>
      </c>
      <c r="Q25" s="44">
        <f t="shared" si="0"/>
        <v>0.67500000000000004</v>
      </c>
      <c r="R25" s="77">
        <v>17.100000000000001</v>
      </c>
      <c r="S25" s="77">
        <v>99</v>
      </c>
      <c r="T25" s="16">
        <f t="shared" si="1"/>
        <v>33</v>
      </c>
      <c r="U25" s="77">
        <v>450</v>
      </c>
      <c r="V25" s="16">
        <f t="shared" si="2"/>
        <v>2970</v>
      </c>
      <c r="W25" s="77">
        <v>8</v>
      </c>
      <c r="X25" s="77" t="s">
        <v>35</v>
      </c>
      <c r="Y25" s="77" t="s">
        <v>43</v>
      </c>
      <c r="Z25" s="77" t="s">
        <v>36</v>
      </c>
      <c r="AA25" s="77" t="s">
        <v>64</v>
      </c>
      <c r="AB25" s="77" t="s">
        <v>195</v>
      </c>
      <c r="AP25" s="27" t="s">
        <v>244</v>
      </c>
      <c r="AR25" s="27" t="s">
        <v>40</v>
      </c>
    </row>
    <row r="26" spans="1:48" x14ac:dyDescent="0.15">
      <c r="A26" s="77" t="s">
        <v>44</v>
      </c>
      <c r="B26" s="77" t="s">
        <v>191</v>
      </c>
      <c r="C26" s="77">
        <v>2020</v>
      </c>
      <c r="D26" s="179" t="s">
        <v>370</v>
      </c>
      <c r="E26" s="77" t="s">
        <v>305</v>
      </c>
      <c r="F26" s="77" t="s">
        <v>372</v>
      </c>
      <c r="G26" s="77" t="s">
        <v>25</v>
      </c>
      <c r="H26" s="77" t="s">
        <v>113</v>
      </c>
      <c r="I26" s="77" t="s">
        <v>111</v>
      </c>
      <c r="J26" s="77" t="s">
        <v>27</v>
      </c>
      <c r="K26" s="77" t="s">
        <v>112</v>
      </c>
      <c r="L26" s="77">
        <v>1</v>
      </c>
      <c r="M26" s="181"/>
      <c r="N26" s="77">
        <v>1</v>
      </c>
      <c r="O26" s="77">
        <v>0.75</v>
      </c>
      <c r="P26" s="77">
        <v>0.8</v>
      </c>
      <c r="Q26" s="44">
        <f t="shared" si="0"/>
        <v>0.77500000000000002</v>
      </c>
      <c r="R26" s="77">
        <v>14.7</v>
      </c>
      <c r="S26" s="77">
        <v>111</v>
      </c>
      <c r="T26" s="16">
        <f t="shared" si="1"/>
        <v>33</v>
      </c>
      <c r="U26" s="77">
        <v>128</v>
      </c>
      <c r="V26" s="16">
        <f t="shared" si="2"/>
        <v>4224</v>
      </c>
      <c r="W26" s="77">
        <v>4</v>
      </c>
      <c r="X26" s="77" t="s">
        <v>35</v>
      </c>
      <c r="Y26" s="77" t="s">
        <v>64</v>
      </c>
      <c r="Z26" s="77" t="s">
        <v>43</v>
      </c>
      <c r="AA26" s="77" t="s">
        <v>36</v>
      </c>
      <c r="AB26" s="77" t="s">
        <v>195</v>
      </c>
      <c r="AP26" s="27" t="s">
        <v>245</v>
      </c>
      <c r="AR26" s="77" t="s">
        <v>246</v>
      </c>
    </row>
    <row r="27" spans="1:48" x14ac:dyDescent="0.15">
      <c r="A27" s="77" t="s">
        <v>44</v>
      </c>
      <c r="B27" s="77" t="s">
        <v>191</v>
      </c>
      <c r="C27" s="77">
        <v>2020</v>
      </c>
      <c r="D27" s="179" t="s">
        <v>370</v>
      </c>
      <c r="E27" s="77" t="s">
        <v>305</v>
      </c>
      <c r="F27" s="77" t="s">
        <v>372</v>
      </c>
      <c r="G27" s="77" t="s">
        <v>25</v>
      </c>
      <c r="H27" s="77" t="s">
        <v>113</v>
      </c>
      <c r="I27" s="77" t="s">
        <v>111</v>
      </c>
      <c r="J27" s="77" t="s">
        <v>27</v>
      </c>
      <c r="K27" s="77" t="s">
        <v>112</v>
      </c>
      <c r="L27" s="77">
        <v>2</v>
      </c>
      <c r="M27" s="181"/>
      <c r="N27" s="77">
        <v>1</v>
      </c>
      <c r="O27" s="77">
        <v>0.75</v>
      </c>
      <c r="P27" s="77">
        <v>1</v>
      </c>
      <c r="Q27" s="44">
        <f t="shared" si="0"/>
        <v>0.875</v>
      </c>
      <c r="R27" s="77">
        <v>12.5</v>
      </c>
      <c r="S27" s="77">
        <v>108</v>
      </c>
      <c r="T27" s="16">
        <f t="shared" si="1"/>
        <v>33</v>
      </c>
      <c r="U27" s="77">
        <v>128</v>
      </c>
      <c r="V27" s="16">
        <f t="shared" si="2"/>
        <v>4224</v>
      </c>
      <c r="W27" s="77">
        <v>4</v>
      </c>
      <c r="X27" s="77" t="s">
        <v>35</v>
      </c>
      <c r="Y27" s="77" t="s">
        <v>64</v>
      </c>
      <c r="Z27" s="77" t="s">
        <v>43</v>
      </c>
      <c r="AA27" s="77" t="s">
        <v>36</v>
      </c>
      <c r="AB27" s="77" t="s">
        <v>195</v>
      </c>
      <c r="AP27" s="27" t="s">
        <v>247</v>
      </c>
    </row>
    <row r="28" spans="1:48" x14ac:dyDescent="0.15">
      <c r="A28" s="77" t="s">
        <v>44</v>
      </c>
      <c r="B28" s="77" t="s">
        <v>191</v>
      </c>
      <c r="C28" s="77">
        <v>2020</v>
      </c>
      <c r="D28" s="179" t="s">
        <v>370</v>
      </c>
      <c r="E28" s="77" t="s">
        <v>305</v>
      </c>
      <c r="F28" s="77" t="s">
        <v>372</v>
      </c>
      <c r="G28" s="77" t="s">
        <v>25</v>
      </c>
      <c r="H28" s="77" t="s">
        <v>113</v>
      </c>
      <c r="I28" s="77" t="s">
        <v>111</v>
      </c>
      <c r="J28" s="77" t="s">
        <v>27</v>
      </c>
      <c r="K28" s="77" t="s">
        <v>112</v>
      </c>
      <c r="L28" s="77">
        <v>3</v>
      </c>
      <c r="M28" s="181"/>
      <c r="N28" s="77">
        <v>1</v>
      </c>
      <c r="O28" s="77">
        <v>0.8</v>
      </c>
      <c r="P28" s="77">
        <v>0.8</v>
      </c>
      <c r="Q28" s="44">
        <f t="shared" si="0"/>
        <v>0.8</v>
      </c>
      <c r="R28" s="77">
        <v>13</v>
      </c>
      <c r="S28" s="77">
        <v>106</v>
      </c>
      <c r="T28" s="16">
        <f t="shared" si="1"/>
        <v>33</v>
      </c>
      <c r="U28" s="77">
        <v>128</v>
      </c>
      <c r="V28" s="16">
        <f t="shared" si="2"/>
        <v>4224</v>
      </c>
      <c r="W28" s="77">
        <v>4</v>
      </c>
      <c r="X28" s="77" t="s">
        <v>35</v>
      </c>
      <c r="Y28" s="77" t="s">
        <v>64</v>
      </c>
      <c r="Z28" s="77" t="s">
        <v>43</v>
      </c>
      <c r="AA28" s="77" t="s">
        <v>36</v>
      </c>
      <c r="AB28" s="77" t="s">
        <v>195</v>
      </c>
    </row>
    <row r="29" spans="1:48" x14ac:dyDescent="0.15">
      <c r="A29" s="77" t="s">
        <v>44</v>
      </c>
      <c r="B29" s="77" t="s">
        <v>191</v>
      </c>
      <c r="C29" s="77">
        <v>2020</v>
      </c>
      <c r="D29" s="179" t="s">
        <v>370</v>
      </c>
      <c r="E29" s="77" t="s">
        <v>305</v>
      </c>
      <c r="F29" s="77" t="s">
        <v>372</v>
      </c>
      <c r="G29" s="77" t="s">
        <v>25</v>
      </c>
      <c r="H29" s="77" t="s">
        <v>113</v>
      </c>
      <c r="I29" s="77" t="s">
        <v>111</v>
      </c>
      <c r="J29" s="77" t="s">
        <v>27</v>
      </c>
      <c r="K29" s="77" t="s">
        <v>112</v>
      </c>
      <c r="L29" s="77">
        <v>1</v>
      </c>
      <c r="M29" s="181"/>
      <c r="N29" s="77">
        <v>5</v>
      </c>
      <c r="O29" s="77">
        <v>0.8</v>
      </c>
      <c r="P29" s="77">
        <v>0.8</v>
      </c>
      <c r="Q29" s="44">
        <f t="shared" si="0"/>
        <v>0.8</v>
      </c>
      <c r="R29" s="77">
        <v>13</v>
      </c>
      <c r="S29" s="77">
        <v>88</v>
      </c>
      <c r="T29" s="16">
        <f t="shared" si="1"/>
        <v>36</v>
      </c>
      <c r="U29" s="77">
        <v>298</v>
      </c>
      <c r="V29" s="16">
        <f t="shared" si="2"/>
        <v>2145.6</v>
      </c>
      <c r="W29" s="77">
        <v>2</v>
      </c>
      <c r="X29" s="77" t="s">
        <v>35</v>
      </c>
      <c r="Y29" s="77" t="s">
        <v>64</v>
      </c>
      <c r="Z29" s="77" t="s">
        <v>43</v>
      </c>
      <c r="AA29" s="77" t="s">
        <v>36</v>
      </c>
      <c r="AB29" s="77" t="s">
        <v>195</v>
      </c>
    </row>
    <row r="30" spans="1:48" x14ac:dyDescent="0.15">
      <c r="A30" s="77" t="s">
        <v>44</v>
      </c>
      <c r="B30" s="77" t="s">
        <v>191</v>
      </c>
      <c r="C30" s="77">
        <v>2020</v>
      </c>
      <c r="D30" s="179" t="s">
        <v>370</v>
      </c>
      <c r="E30" s="77" t="s">
        <v>305</v>
      </c>
      <c r="F30" s="77" t="s">
        <v>372</v>
      </c>
      <c r="G30" s="77" t="s">
        <v>25</v>
      </c>
      <c r="H30" s="77" t="s">
        <v>113</v>
      </c>
      <c r="I30" s="77" t="s">
        <v>111</v>
      </c>
      <c r="J30" s="77" t="s">
        <v>27</v>
      </c>
      <c r="K30" s="77" t="s">
        <v>112</v>
      </c>
      <c r="L30" s="77">
        <v>2</v>
      </c>
      <c r="M30" s="181"/>
      <c r="N30" s="77">
        <v>5</v>
      </c>
      <c r="O30" s="77">
        <v>0.85</v>
      </c>
      <c r="P30" s="77">
        <v>0.85</v>
      </c>
      <c r="Q30" s="44">
        <f t="shared" si="0"/>
        <v>0.85</v>
      </c>
      <c r="R30" s="77">
        <v>17.399999999999999</v>
      </c>
      <c r="S30" s="77">
        <v>86</v>
      </c>
      <c r="T30" s="16">
        <f t="shared" si="1"/>
        <v>36</v>
      </c>
      <c r="U30" s="77">
        <v>298</v>
      </c>
      <c r="V30" s="16">
        <f t="shared" si="2"/>
        <v>2145.6</v>
      </c>
      <c r="W30" s="77">
        <v>2</v>
      </c>
      <c r="X30" s="77" t="s">
        <v>35</v>
      </c>
      <c r="Y30" s="77" t="s">
        <v>64</v>
      </c>
      <c r="Z30" s="77" t="s">
        <v>43</v>
      </c>
      <c r="AA30" s="77" t="s">
        <v>36</v>
      </c>
      <c r="AB30" s="77" t="s">
        <v>195</v>
      </c>
    </row>
    <row r="31" spans="1:48" x14ac:dyDescent="0.15">
      <c r="A31" s="77" t="s">
        <v>44</v>
      </c>
      <c r="B31" s="77" t="s">
        <v>191</v>
      </c>
      <c r="C31" s="77">
        <v>2020</v>
      </c>
      <c r="D31" s="179" t="s">
        <v>370</v>
      </c>
      <c r="E31" s="77" t="s">
        <v>305</v>
      </c>
      <c r="F31" s="77" t="s">
        <v>372</v>
      </c>
      <c r="G31" s="77" t="s">
        <v>25</v>
      </c>
      <c r="H31" s="77" t="s">
        <v>113</v>
      </c>
      <c r="I31" s="77" t="s">
        <v>111</v>
      </c>
      <c r="J31" s="77" t="s">
        <v>27</v>
      </c>
      <c r="K31" s="77" t="s">
        <v>112</v>
      </c>
      <c r="L31" s="77">
        <v>3</v>
      </c>
      <c r="M31" s="181"/>
      <c r="N31" s="77">
        <v>5</v>
      </c>
      <c r="O31" s="77">
        <v>0.65</v>
      </c>
      <c r="P31" s="77">
        <v>0.7</v>
      </c>
      <c r="Q31" s="44">
        <f t="shared" si="0"/>
        <v>0.67500000000000004</v>
      </c>
      <c r="R31" s="77">
        <v>13.5</v>
      </c>
      <c r="S31" s="77">
        <v>89</v>
      </c>
      <c r="T31" s="16">
        <f t="shared" si="1"/>
        <v>36</v>
      </c>
      <c r="U31" s="77">
        <v>298</v>
      </c>
      <c r="V31" s="16">
        <f t="shared" si="2"/>
        <v>2145.6</v>
      </c>
      <c r="W31" s="77">
        <v>2</v>
      </c>
      <c r="X31" s="77" t="s">
        <v>35</v>
      </c>
      <c r="Y31" s="77" t="s">
        <v>64</v>
      </c>
      <c r="Z31" s="77" t="s">
        <v>43</v>
      </c>
      <c r="AA31" s="77" t="s">
        <v>36</v>
      </c>
      <c r="AB31" s="77" t="s">
        <v>195</v>
      </c>
    </row>
    <row r="32" spans="1:48" x14ac:dyDescent="0.15">
      <c r="A32" s="77" t="s">
        <v>44</v>
      </c>
      <c r="B32" s="77" t="s">
        <v>191</v>
      </c>
      <c r="C32" s="77">
        <v>2020</v>
      </c>
      <c r="D32" s="179" t="s">
        <v>370</v>
      </c>
      <c r="E32" s="77" t="s">
        <v>305</v>
      </c>
      <c r="F32" s="77" t="s">
        <v>372</v>
      </c>
      <c r="G32" s="77" t="s">
        <v>25</v>
      </c>
      <c r="H32" s="77" t="s">
        <v>164</v>
      </c>
      <c r="I32" s="77" t="s">
        <v>111</v>
      </c>
      <c r="J32" s="77" t="s">
        <v>27</v>
      </c>
      <c r="K32" s="77" t="s">
        <v>112</v>
      </c>
      <c r="L32" s="77">
        <v>1</v>
      </c>
      <c r="M32" s="181"/>
      <c r="N32" s="77">
        <v>1</v>
      </c>
      <c r="O32" s="77">
        <v>0.75</v>
      </c>
      <c r="P32" s="77">
        <v>0.75</v>
      </c>
      <c r="Q32" s="44">
        <f t="shared" si="0"/>
        <v>0.75</v>
      </c>
      <c r="R32" s="77">
        <v>16.600000000000001</v>
      </c>
      <c r="S32" s="77">
        <v>109</v>
      </c>
      <c r="T32" s="16">
        <f t="shared" si="1"/>
        <v>33</v>
      </c>
      <c r="U32" s="77">
        <v>128</v>
      </c>
      <c r="V32" s="16">
        <f t="shared" si="2"/>
        <v>4224</v>
      </c>
      <c r="W32" s="77">
        <v>4</v>
      </c>
      <c r="X32" s="77" t="s">
        <v>35</v>
      </c>
      <c r="Y32" s="77" t="s">
        <v>64</v>
      </c>
      <c r="Z32" s="77" t="s">
        <v>43</v>
      </c>
      <c r="AA32" s="77" t="s">
        <v>36</v>
      </c>
      <c r="AB32" s="77" t="s">
        <v>195</v>
      </c>
    </row>
    <row r="33" spans="1:28" x14ac:dyDescent="0.15">
      <c r="A33" s="77" t="s">
        <v>44</v>
      </c>
      <c r="B33" s="77" t="s">
        <v>191</v>
      </c>
      <c r="C33" s="77">
        <v>2020</v>
      </c>
      <c r="D33" s="179" t="s">
        <v>370</v>
      </c>
      <c r="E33" s="77" t="s">
        <v>305</v>
      </c>
      <c r="F33" s="77" t="s">
        <v>372</v>
      </c>
      <c r="G33" s="77" t="s">
        <v>25</v>
      </c>
      <c r="H33" s="77" t="s">
        <v>164</v>
      </c>
      <c r="I33" s="77" t="s">
        <v>111</v>
      </c>
      <c r="J33" s="77" t="s">
        <v>27</v>
      </c>
      <c r="K33" s="77" t="s">
        <v>112</v>
      </c>
      <c r="L33" s="77">
        <v>2</v>
      </c>
      <c r="M33" s="181"/>
      <c r="N33" s="77">
        <v>1</v>
      </c>
      <c r="O33" s="77">
        <v>0.65</v>
      </c>
      <c r="P33" s="77">
        <v>0.75</v>
      </c>
      <c r="Q33" s="44">
        <f t="shared" si="0"/>
        <v>0.7</v>
      </c>
      <c r="R33" s="77">
        <v>17.399999999999999</v>
      </c>
      <c r="S33" s="77">
        <v>109</v>
      </c>
      <c r="T33" s="16">
        <f t="shared" si="1"/>
        <v>33</v>
      </c>
      <c r="U33" s="77">
        <v>128</v>
      </c>
      <c r="V33" s="16">
        <f t="shared" si="2"/>
        <v>4224</v>
      </c>
      <c r="W33" s="77">
        <v>4</v>
      </c>
      <c r="X33" s="77" t="s">
        <v>35</v>
      </c>
      <c r="Y33" s="77" t="s">
        <v>64</v>
      </c>
      <c r="Z33" s="77" t="s">
        <v>43</v>
      </c>
      <c r="AA33" s="77" t="s">
        <v>36</v>
      </c>
      <c r="AB33" s="77" t="s">
        <v>195</v>
      </c>
    </row>
    <row r="34" spans="1:28" x14ac:dyDescent="0.15">
      <c r="A34" s="77" t="s">
        <v>44</v>
      </c>
      <c r="B34" s="77" t="s">
        <v>191</v>
      </c>
      <c r="C34" s="77">
        <v>2020</v>
      </c>
      <c r="D34" s="179" t="s">
        <v>370</v>
      </c>
      <c r="E34" s="77" t="s">
        <v>305</v>
      </c>
      <c r="F34" s="77" t="s">
        <v>372</v>
      </c>
      <c r="G34" s="77" t="s">
        <v>25</v>
      </c>
      <c r="H34" s="77" t="s">
        <v>164</v>
      </c>
      <c r="I34" s="77" t="s">
        <v>111</v>
      </c>
      <c r="J34" s="77" t="s">
        <v>27</v>
      </c>
      <c r="K34" s="77" t="s">
        <v>112</v>
      </c>
      <c r="L34" s="77">
        <v>3</v>
      </c>
      <c r="M34" s="181"/>
      <c r="N34" s="77">
        <v>1</v>
      </c>
      <c r="O34" s="77">
        <v>0.75</v>
      </c>
      <c r="P34" s="77">
        <v>0.7</v>
      </c>
      <c r="Q34" s="44">
        <f t="shared" si="0"/>
        <v>0.72499999999999998</v>
      </c>
      <c r="R34" s="77">
        <v>15.8</v>
      </c>
      <c r="S34" s="77">
        <v>107</v>
      </c>
      <c r="T34" s="16">
        <f t="shared" si="1"/>
        <v>33</v>
      </c>
      <c r="U34" s="77">
        <v>128</v>
      </c>
      <c r="V34" s="16">
        <f t="shared" si="2"/>
        <v>4224</v>
      </c>
      <c r="W34" s="77">
        <v>4</v>
      </c>
      <c r="X34" s="77" t="s">
        <v>35</v>
      </c>
      <c r="Y34" s="77" t="s">
        <v>64</v>
      </c>
      <c r="Z34" s="77" t="s">
        <v>43</v>
      </c>
      <c r="AA34" s="77" t="s">
        <v>36</v>
      </c>
      <c r="AB34" s="77" t="s">
        <v>195</v>
      </c>
    </row>
    <row r="35" spans="1:28" x14ac:dyDescent="0.15">
      <c r="A35" s="77" t="s">
        <v>44</v>
      </c>
      <c r="B35" s="77" t="s">
        <v>191</v>
      </c>
      <c r="C35" s="77">
        <v>2020</v>
      </c>
      <c r="D35" s="179" t="s">
        <v>370</v>
      </c>
      <c r="E35" s="77" t="s">
        <v>305</v>
      </c>
      <c r="F35" s="77" t="s">
        <v>372</v>
      </c>
      <c r="G35" s="77" t="s">
        <v>25</v>
      </c>
      <c r="H35" s="77" t="s">
        <v>164</v>
      </c>
      <c r="I35" s="77" t="s">
        <v>111</v>
      </c>
      <c r="J35" s="77" t="s">
        <v>27</v>
      </c>
      <c r="K35" s="77" t="s">
        <v>112</v>
      </c>
      <c r="L35" s="77">
        <v>1</v>
      </c>
      <c r="M35" s="181"/>
      <c r="N35" s="77">
        <v>4</v>
      </c>
      <c r="O35" s="77">
        <v>0.75</v>
      </c>
      <c r="P35" s="77">
        <v>0.75</v>
      </c>
      <c r="Q35" s="44">
        <f t="shared" si="0"/>
        <v>0.75</v>
      </c>
      <c r="R35" s="77">
        <v>16.7</v>
      </c>
      <c r="S35" s="77">
        <v>99</v>
      </c>
      <c r="T35" s="16">
        <f t="shared" si="1"/>
        <v>33</v>
      </c>
      <c r="U35" s="77">
        <v>498</v>
      </c>
      <c r="V35" s="16">
        <f t="shared" si="2"/>
        <v>4108.5</v>
      </c>
      <c r="W35" s="77">
        <v>2</v>
      </c>
      <c r="X35" s="77" t="s">
        <v>35</v>
      </c>
      <c r="Y35" s="77" t="s">
        <v>64</v>
      </c>
      <c r="Z35" s="77" t="s">
        <v>43</v>
      </c>
      <c r="AA35" s="77" t="s">
        <v>36</v>
      </c>
      <c r="AB35" s="77" t="s">
        <v>195</v>
      </c>
    </row>
    <row r="36" spans="1:28" x14ac:dyDescent="0.15">
      <c r="A36" s="77" t="s">
        <v>44</v>
      </c>
      <c r="B36" s="77" t="s">
        <v>191</v>
      </c>
      <c r="C36" s="77">
        <v>2020</v>
      </c>
      <c r="D36" s="179" t="s">
        <v>370</v>
      </c>
      <c r="E36" s="77" t="s">
        <v>305</v>
      </c>
      <c r="F36" s="77" t="s">
        <v>372</v>
      </c>
      <c r="G36" s="77" t="s">
        <v>25</v>
      </c>
      <c r="H36" s="77" t="s">
        <v>164</v>
      </c>
      <c r="I36" s="77" t="s">
        <v>111</v>
      </c>
      <c r="J36" s="77" t="s">
        <v>27</v>
      </c>
      <c r="K36" s="77" t="s">
        <v>112</v>
      </c>
      <c r="L36" s="77">
        <v>2</v>
      </c>
      <c r="M36" s="181"/>
      <c r="N36" s="77">
        <v>4</v>
      </c>
      <c r="O36" s="77">
        <v>0.75</v>
      </c>
      <c r="P36" s="77">
        <v>0.65</v>
      </c>
      <c r="Q36" s="44">
        <f t="shared" si="0"/>
        <v>0.7</v>
      </c>
      <c r="R36" s="77">
        <v>17.3</v>
      </c>
      <c r="S36" s="77">
        <v>107</v>
      </c>
      <c r="T36" s="16">
        <f t="shared" si="1"/>
        <v>33</v>
      </c>
      <c r="U36" s="77">
        <v>498</v>
      </c>
      <c r="V36" s="16">
        <f t="shared" si="2"/>
        <v>4108.5</v>
      </c>
      <c r="W36" s="77">
        <v>2</v>
      </c>
      <c r="X36" s="77" t="s">
        <v>35</v>
      </c>
      <c r="Y36" s="77" t="s">
        <v>64</v>
      </c>
      <c r="Z36" s="77" t="s">
        <v>43</v>
      </c>
      <c r="AA36" s="77" t="s">
        <v>36</v>
      </c>
      <c r="AB36" s="77" t="s">
        <v>195</v>
      </c>
    </row>
    <row r="37" spans="1:28" x14ac:dyDescent="0.15">
      <c r="A37" s="77" t="s">
        <v>44</v>
      </c>
      <c r="B37" s="77" t="s">
        <v>191</v>
      </c>
      <c r="C37" s="77">
        <v>2020</v>
      </c>
      <c r="D37" s="179" t="s">
        <v>370</v>
      </c>
      <c r="E37" s="77" t="s">
        <v>305</v>
      </c>
      <c r="F37" s="77" t="s">
        <v>372</v>
      </c>
      <c r="G37" s="77" t="s">
        <v>25</v>
      </c>
      <c r="H37" s="77" t="s">
        <v>164</v>
      </c>
      <c r="I37" s="77" t="s">
        <v>111</v>
      </c>
      <c r="J37" s="77" t="s">
        <v>27</v>
      </c>
      <c r="K37" s="77" t="s">
        <v>112</v>
      </c>
      <c r="L37" s="77">
        <v>3</v>
      </c>
      <c r="M37" s="181"/>
      <c r="N37" s="77">
        <v>4</v>
      </c>
      <c r="O37" s="77">
        <v>0.65</v>
      </c>
      <c r="P37" s="77">
        <v>0.7</v>
      </c>
      <c r="Q37" s="44">
        <f t="shared" si="0"/>
        <v>0.67500000000000004</v>
      </c>
      <c r="R37" s="77">
        <v>17.100000000000001</v>
      </c>
      <c r="S37" s="77">
        <v>103</v>
      </c>
      <c r="T37" s="16">
        <f t="shared" si="1"/>
        <v>33</v>
      </c>
      <c r="U37" s="77">
        <v>498</v>
      </c>
      <c r="V37" s="16">
        <f t="shared" si="2"/>
        <v>4108.5</v>
      </c>
      <c r="W37" s="77">
        <v>2</v>
      </c>
      <c r="X37" s="77" t="s">
        <v>35</v>
      </c>
      <c r="Y37" s="77" t="s">
        <v>64</v>
      </c>
      <c r="Z37" s="77" t="s">
        <v>43</v>
      </c>
      <c r="AA37" s="77" t="s">
        <v>36</v>
      </c>
      <c r="AB37" s="77" t="s">
        <v>195</v>
      </c>
    </row>
    <row r="38" spans="1:28" x14ac:dyDescent="0.15">
      <c r="A38" s="77" t="s">
        <v>44</v>
      </c>
      <c r="B38" s="77" t="s">
        <v>191</v>
      </c>
      <c r="C38" s="77">
        <v>2020</v>
      </c>
      <c r="D38" s="179" t="s">
        <v>370</v>
      </c>
      <c r="E38" s="77" t="s">
        <v>305</v>
      </c>
      <c r="F38" s="77" t="s">
        <v>372</v>
      </c>
      <c r="G38" s="77" t="s">
        <v>25</v>
      </c>
      <c r="H38" s="77" t="s">
        <v>164</v>
      </c>
      <c r="I38" s="77" t="s">
        <v>111</v>
      </c>
      <c r="J38" s="77" t="s">
        <v>27</v>
      </c>
      <c r="K38" s="77" t="s">
        <v>112</v>
      </c>
      <c r="L38" s="77">
        <v>1</v>
      </c>
      <c r="M38" s="181"/>
      <c r="N38" s="77">
        <v>8</v>
      </c>
      <c r="O38" s="77">
        <v>0.8</v>
      </c>
      <c r="P38" s="77">
        <v>0.8</v>
      </c>
      <c r="Q38" s="44">
        <f t="shared" si="0"/>
        <v>0.8</v>
      </c>
      <c r="R38" s="77">
        <v>14.9</v>
      </c>
      <c r="S38" s="77">
        <v>105</v>
      </c>
      <c r="T38" s="16">
        <f t="shared" si="1"/>
        <v>33</v>
      </c>
      <c r="U38" s="77">
        <v>980</v>
      </c>
      <c r="V38" s="16">
        <f t="shared" si="2"/>
        <v>4042.5</v>
      </c>
      <c r="W38" s="77">
        <v>2</v>
      </c>
      <c r="X38" s="77" t="s">
        <v>35</v>
      </c>
      <c r="Y38" s="77" t="s">
        <v>64</v>
      </c>
      <c r="Z38" s="77" t="s">
        <v>43</v>
      </c>
      <c r="AA38" s="77" t="s">
        <v>36</v>
      </c>
      <c r="AB38" s="77" t="s">
        <v>195</v>
      </c>
    </row>
    <row r="39" spans="1:28" x14ac:dyDescent="0.15">
      <c r="A39" s="77" t="s">
        <v>44</v>
      </c>
      <c r="B39" s="77" t="s">
        <v>191</v>
      </c>
      <c r="C39" s="77">
        <v>2020</v>
      </c>
      <c r="D39" s="179" t="s">
        <v>370</v>
      </c>
      <c r="E39" s="77" t="s">
        <v>305</v>
      </c>
      <c r="F39" s="77" t="s">
        <v>372</v>
      </c>
      <c r="G39" s="77" t="s">
        <v>25</v>
      </c>
      <c r="H39" s="77" t="s">
        <v>164</v>
      </c>
      <c r="I39" s="77" t="s">
        <v>111</v>
      </c>
      <c r="J39" s="77" t="s">
        <v>27</v>
      </c>
      <c r="K39" s="77" t="s">
        <v>112</v>
      </c>
      <c r="L39" s="77">
        <v>2</v>
      </c>
      <c r="M39" s="181"/>
      <c r="N39" s="77">
        <v>8</v>
      </c>
      <c r="O39" s="77">
        <v>0.65</v>
      </c>
      <c r="P39" s="77">
        <v>0.65</v>
      </c>
      <c r="Q39" s="44">
        <f t="shared" si="0"/>
        <v>0.65</v>
      </c>
      <c r="R39" s="77">
        <v>15.6</v>
      </c>
      <c r="S39" s="77">
        <v>107</v>
      </c>
      <c r="T39" s="16">
        <f t="shared" si="1"/>
        <v>33</v>
      </c>
      <c r="U39" s="77">
        <v>980</v>
      </c>
      <c r="V39" s="16">
        <f t="shared" si="2"/>
        <v>4042.5</v>
      </c>
      <c r="W39" s="77">
        <v>2</v>
      </c>
      <c r="X39" s="77" t="s">
        <v>35</v>
      </c>
      <c r="Y39" s="77" t="s">
        <v>64</v>
      </c>
      <c r="Z39" s="77" t="s">
        <v>43</v>
      </c>
      <c r="AA39" s="77" t="s">
        <v>36</v>
      </c>
      <c r="AB39" s="77" t="s">
        <v>195</v>
      </c>
    </row>
    <row r="40" spans="1:28" x14ac:dyDescent="0.15">
      <c r="A40" s="77" t="s">
        <v>44</v>
      </c>
      <c r="B40" s="77" t="s">
        <v>191</v>
      </c>
      <c r="C40" s="77">
        <v>2020</v>
      </c>
      <c r="D40" s="179" t="s">
        <v>370</v>
      </c>
      <c r="E40" s="77" t="s">
        <v>305</v>
      </c>
      <c r="F40" s="77" t="s">
        <v>372</v>
      </c>
      <c r="G40" s="77" t="s">
        <v>25</v>
      </c>
      <c r="H40" s="77" t="s">
        <v>164</v>
      </c>
      <c r="I40" s="77" t="s">
        <v>111</v>
      </c>
      <c r="J40" s="77" t="s">
        <v>27</v>
      </c>
      <c r="K40" s="77" t="s">
        <v>112</v>
      </c>
      <c r="L40" s="77">
        <v>3</v>
      </c>
      <c r="M40" s="181"/>
      <c r="N40" s="77">
        <v>8</v>
      </c>
      <c r="O40" s="77">
        <v>0.65</v>
      </c>
      <c r="P40" s="77">
        <v>0.6</v>
      </c>
      <c r="Q40" s="44">
        <f t="shared" si="0"/>
        <v>0.625</v>
      </c>
      <c r="R40" s="77">
        <v>16.2</v>
      </c>
      <c r="S40" s="77">
        <v>107</v>
      </c>
      <c r="T40" s="16">
        <f t="shared" si="1"/>
        <v>33</v>
      </c>
      <c r="U40" s="77">
        <v>980</v>
      </c>
      <c r="V40" s="16">
        <f t="shared" si="2"/>
        <v>4042.5</v>
      </c>
      <c r="W40" s="77">
        <v>2</v>
      </c>
      <c r="X40" s="77" t="s">
        <v>35</v>
      </c>
      <c r="Y40" s="77" t="s">
        <v>64</v>
      </c>
      <c r="Z40" s="77" t="s">
        <v>43</v>
      </c>
      <c r="AA40" s="77" t="s">
        <v>36</v>
      </c>
      <c r="AB40" s="77" t="s">
        <v>195</v>
      </c>
    </row>
    <row r="41" spans="1:28" x14ac:dyDescent="0.15">
      <c r="A41" s="77" t="s">
        <v>44</v>
      </c>
      <c r="B41" s="77" t="s">
        <v>191</v>
      </c>
      <c r="C41" s="77">
        <v>2020</v>
      </c>
      <c r="D41" s="179" t="s">
        <v>370</v>
      </c>
      <c r="E41" s="77" t="s">
        <v>377</v>
      </c>
      <c r="F41" s="77" t="s">
        <v>378</v>
      </c>
      <c r="G41" s="77" t="s">
        <v>25</v>
      </c>
      <c r="H41" s="77" t="s">
        <v>113</v>
      </c>
      <c r="I41" s="77" t="s">
        <v>111</v>
      </c>
      <c r="J41" s="77" t="s">
        <v>27</v>
      </c>
      <c r="K41" s="77" t="s">
        <v>112</v>
      </c>
      <c r="L41" s="77">
        <v>1</v>
      </c>
      <c r="M41" s="181"/>
      <c r="N41" s="77">
        <v>1</v>
      </c>
      <c r="O41" s="77">
        <v>0.85</v>
      </c>
      <c r="P41" s="77">
        <v>0.75</v>
      </c>
      <c r="Q41" s="44">
        <f t="shared" si="0"/>
        <v>0.8</v>
      </c>
      <c r="R41" s="77">
        <v>13.5</v>
      </c>
      <c r="S41" s="77">
        <v>117</v>
      </c>
      <c r="T41" s="16">
        <f t="shared" si="1"/>
        <v>30</v>
      </c>
      <c r="U41" s="77">
        <v>98</v>
      </c>
      <c r="V41" s="16">
        <f t="shared" si="2"/>
        <v>2940</v>
      </c>
      <c r="W41" s="77">
        <v>4</v>
      </c>
      <c r="X41" s="77" t="s">
        <v>35</v>
      </c>
      <c r="Y41" s="77" t="s">
        <v>43</v>
      </c>
      <c r="Z41" s="77" t="s">
        <v>36</v>
      </c>
      <c r="AA41" s="77" t="s">
        <v>72</v>
      </c>
      <c r="AB41" s="77" t="s">
        <v>195</v>
      </c>
    </row>
    <row r="42" spans="1:28" x14ac:dyDescent="0.15">
      <c r="A42" s="77" t="s">
        <v>44</v>
      </c>
      <c r="B42" s="77" t="s">
        <v>191</v>
      </c>
      <c r="C42" s="77">
        <v>2020</v>
      </c>
      <c r="D42" s="179" t="s">
        <v>370</v>
      </c>
      <c r="E42" s="77" t="s">
        <v>377</v>
      </c>
      <c r="F42" s="77" t="s">
        <v>378</v>
      </c>
      <c r="G42" s="77" t="s">
        <v>25</v>
      </c>
      <c r="H42" s="77" t="s">
        <v>113</v>
      </c>
      <c r="I42" s="77" t="s">
        <v>111</v>
      </c>
      <c r="J42" s="77" t="s">
        <v>27</v>
      </c>
      <c r="K42" s="77" t="s">
        <v>112</v>
      </c>
      <c r="L42" s="77">
        <v>2</v>
      </c>
      <c r="M42" s="181"/>
      <c r="N42" s="77">
        <v>1</v>
      </c>
      <c r="O42" s="77">
        <v>1.1000000000000001</v>
      </c>
      <c r="P42" s="77">
        <v>0.9</v>
      </c>
      <c r="Q42" s="44">
        <f t="shared" si="0"/>
        <v>1</v>
      </c>
      <c r="R42" s="77">
        <v>13.9</v>
      </c>
      <c r="S42" s="77">
        <v>120</v>
      </c>
      <c r="T42" s="16">
        <f t="shared" si="1"/>
        <v>30</v>
      </c>
      <c r="U42" s="77">
        <v>98</v>
      </c>
      <c r="V42" s="16">
        <f t="shared" si="2"/>
        <v>2940</v>
      </c>
      <c r="W42" s="77">
        <v>4</v>
      </c>
      <c r="X42" s="77" t="s">
        <v>35</v>
      </c>
      <c r="Y42" s="77" t="s">
        <v>43</v>
      </c>
      <c r="Z42" s="77" t="s">
        <v>36</v>
      </c>
      <c r="AA42" s="77" t="s">
        <v>72</v>
      </c>
      <c r="AB42" s="77" t="s">
        <v>195</v>
      </c>
    </row>
    <row r="43" spans="1:28" x14ac:dyDescent="0.15">
      <c r="A43" s="77" t="s">
        <v>44</v>
      </c>
      <c r="B43" s="77" t="s">
        <v>191</v>
      </c>
      <c r="C43" s="77">
        <v>2020</v>
      </c>
      <c r="D43" s="179" t="s">
        <v>370</v>
      </c>
      <c r="E43" s="77" t="s">
        <v>377</v>
      </c>
      <c r="F43" s="77" t="s">
        <v>378</v>
      </c>
      <c r="G43" s="77" t="s">
        <v>25</v>
      </c>
      <c r="H43" s="77" t="s">
        <v>113</v>
      </c>
      <c r="I43" s="77" t="s">
        <v>111</v>
      </c>
      <c r="J43" s="77" t="s">
        <v>27</v>
      </c>
      <c r="K43" s="77" t="s">
        <v>112</v>
      </c>
      <c r="L43" s="77">
        <v>3</v>
      </c>
      <c r="M43" s="181"/>
      <c r="N43" s="77">
        <v>1</v>
      </c>
      <c r="O43" s="77">
        <v>0.8</v>
      </c>
      <c r="P43" s="77">
        <v>0.7</v>
      </c>
      <c r="Q43" s="44">
        <f t="shared" si="0"/>
        <v>0.75</v>
      </c>
      <c r="R43" s="77">
        <v>14.6</v>
      </c>
      <c r="S43" s="77">
        <v>115</v>
      </c>
      <c r="T43" s="16">
        <f t="shared" si="1"/>
        <v>30</v>
      </c>
      <c r="U43" s="77">
        <v>98</v>
      </c>
      <c r="V43" s="16">
        <f t="shared" si="2"/>
        <v>2940</v>
      </c>
      <c r="W43" s="77">
        <v>4</v>
      </c>
      <c r="X43" s="77" t="s">
        <v>35</v>
      </c>
      <c r="Y43" s="77" t="s">
        <v>43</v>
      </c>
      <c r="Z43" s="77" t="s">
        <v>36</v>
      </c>
      <c r="AA43" s="77" t="s">
        <v>72</v>
      </c>
      <c r="AB43" s="77" t="s">
        <v>195</v>
      </c>
    </row>
    <row r="44" spans="1:28" x14ac:dyDescent="0.15">
      <c r="A44" s="77" t="s">
        <v>44</v>
      </c>
      <c r="B44" s="77" t="s">
        <v>191</v>
      </c>
      <c r="C44" s="77">
        <v>2020</v>
      </c>
      <c r="D44" s="179" t="s">
        <v>370</v>
      </c>
      <c r="E44" s="77" t="s">
        <v>377</v>
      </c>
      <c r="F44" s="77" t="s">
        <v>378</v>
      </c>
      <c r="G44" s="77" t="s">
        <v>25</v>
      </c>
      <c r="H44" s="77" t="s">
        <v>113</v>
      </c>
      <c r="I44" s="77" t="s">
        <v>111</v>
      </c>
      <c r="J44" s="77" t="s">
        <v>27</v>
      </c>
      <c r="K44" s="77" t="s">
        <v>112</v>
      </c>
      <c r="L44" s="77">
        <v>1</v>
      </c>
      <c r="M44" s="181"/>
      <c r="N44" s="77">
        <v>7</v>
      </c>
      <c r="O44" s="77">
        <v>0.9</v>
      </c>
      <c r="P44" s="77">
        <v>1</v>
      </c>
      <c r="Q44" s="44">
        <f t="shared" si="0"/>
        <v>0.95</v>
      </c>
      <c r="R44" s="77">
        <v>14.6</v>
      </c>
      <c r="S44" s="77">
        <v>112</v>
      </c>
      <c r="T44" s="16">
        <f t="shared" si="1"/>
        <v>33</v>
      </c>
      <c r="U44" s="77">
        <v>398</v>
      </c>
      <c r="V44" s="16">
        <f t="shared" si="2"/>
        <v>1876.2857142857142</v>
      </c>
      <c r="W44" s="77">
        <v>4</v>
      </c>
      <c r="X44" s="77" t="s">
        <v>35</v>
      </c>
      <c r="Y44" s="77" t="s">
        <v>43</v>
      </c>
      <c r="Z44" s="77" t="s">
        <v>36</v>
      </c>
      <c r="AA44" s="77" t="s">
        <v>72</v>
      </c>
      <c r="AB44" s="77" t="s">
        <v>195</v>
      </c>
    </row>
    <row r="45" spans="1:28" x14ac:dyDescent="0.15">
      <c r="A45" s="77" t="s">
        <v>44</v>
      </c>
      <c r="B45" s="77" t="s">
        <v>191</v>
      </c>
      <c r="C45" s="77">
        <v>2020</v>
      </c>
      <c r="D45" s="179" t="s">
        <v>370</v>
      </c>
      <c r="E45" s="77" t="s">
        <v>377</v>
      </c>
      <c r="F45" s="77" t="s">
        <v>378</v>
      </c>
      <c r="G45" s="77" t="s">
        <v>25</v>
      </c>
      <c r="H45" s="77" t="s">
        <v>113</v>
      </c>
      <c r="I45" s="77" t="s">
        <v>111</v>
      </c>
      <c r="J45" s="77" t="s">
        <v>27</v>
      </c>
      <c r="K45" s="77" t="s">
        <v>112</v>
      </c>
      <c r="L45" s="77">
        <v>2</v>
      </c>
      <c r="M45" s="181"/>
      <c r="N45" s="77">
        <v>7</v>
      </c>
      <c r="O45" s="77">
        <v>0.8</v>
      </c>
      <c r="P45" s="77">
        <v>0.75</v>
      </c>
      <c r="Q45" s="44">
        <f t="shared" si="0"/>
        <v>0.77500000000000002</v>
      </c>
      <c r="R45" s="77">
        <v>14.6</v>
      </c>
      <c r="S45" s="77">
        <v>109</v>
      </c>
      <c r="T45" s="16">
        <f t="shared" si="1"/>
        <v>33</v>
      </c>
      <c r="U45" s="77">
        <v>398</v>
      </c>
      <c r="V45" s="16">
        <f t="shared" si="2"/>
        <v>1876.2857142857142</v>
      </c>
      <c r="W45" s="77">
        <v>4</v>
      </c>
      <c r="X45" s="77" t="s">
        <v>35</v>
      </c>
      <c r="Y45" s="77" t="s">
        <v>43</v>
      </c>
      <c r="Z45" s="77" t="s">
        <v>36</v>
      </c>
      <c r="AA45" s="77" t="s">
        <v>72</v>
      </c>
      <c r="AB45" s="77" t="s">
        <v>195</v>
      </c>
    </row>
    <row r="46" spans="1:28" x14ac:dyDescent="0.15">
      <c r="A46" s="77" t="s">
        <v>44</v>
      </c>
      <c r="B46" s="77" t="s">
        <v>191</v>
      </c>
      <c r="C46" s="77">
        <v>2020</v>
      </c>
      <c r="D46" s="179" t="s">
        <v>370</v>
      </c>
      <c r="E46" s="77" t="s">
        <v>377</v>
      </c>
      <c r="F46" s="77" t="s">
        <v>378</v>
      </c>
      <c r="G46" s="77" t="s">
        <v>25</v>
      </c>
      <c r="H46" s="77" t="s">
        <v>113</v>
      </c>
      <c r="I46" s="77" t="s">
        <v>111</v>
      </c>
      <c r="J46" s="77" t="s">
        <v>27</v>
      </c>
      <c r="K46" s="77" t="s">
        <v>112</v>
      </c>
      <c r="L46" s="77">
        <v>3</v>
      </c>
      <c r="M46" s="181"/>
      <c r="N46" s="77">
        <v>7</v>
      </c>
      <c r="O46" s="77">
        <v>0.9</v>
      </c>
      <c r="P46" s="77">
        <v>0.8</v>
      </c>
      <c r="Q46" s="44">
        <f t="shared" si="0"/>
        <v>0.85000000000000009</v>
      </c>
      <c r="R46" s="77">
        <v>14.6</v>
      </c>
      <c r="S46" s="77">
        <v>114</v>
      </c>
      <c r="T46" s="16">
        <f t="shared" si="1"/>
        <v>30</v>
      </c>
      <c r="U46" s="77">
        <v>398</v>
      </c>
      <c r="V46" s="16">
        <f t="shared" si="2"/>
        <v>1705.7142857142856</v>
      </c>
      <c r="W46" s="77">
        <v>4</v>
      </c>
      <c r="X46" s="77" t="s">
        <v>35</v>
      </c>
      <c r="Y46" s="77" t="s">
        <v>43</v>
      </c>
      <c r="Z46" s="77" t="s">
        <v>36</v>
      </c>
      <c r="AA46" s="77" t="s">
        <v>72</v>
      </c>
      <c r="AB46" s="77" t="s">
        <v>195</v>
      </c>
    </row>
    <row r="47" spans="1:28" x14ac:dyDescent="0.15">
      <c r="A47" s="77" t="s">
        <v>44</v>
      </c>
      <c r="B47" s="77" t="s">
        <v>191</v>
      </c>
      <c r="C47" s="77">
        <v>2020</v>
      </c>
      <c r="D47" s="179" t="s">
        <v>370</v>
      </c>
      <c r="E47" s="77" t="s">
        <v>377</v>
      </c>
      <c r="F47" s="77" t="s">
        <v>378</v>
      </c>
      <c r="G47" s="77" t="s">
        <v>25</v>
      </c>
      <c r="H47" s="77" t="s">
        <v>164</v>
      </c>
      <c r="I47" s="77" t="s">
        <v>111</v>
      </c>
      <c r="J47" s="77" t="s">
        <v>27</v>
      </c>
      <c r="K47" s="77" t="s">
        <v>112</v>
      </c>
      <c r="L47" s="77">
        <v>1</v>
      </c>
      <c r="M47" s="181"/>
      <c r="N47" s="77">
        <v>1</v>
      </c>
      <c r="O47" s="77">
        <v>0.75</v>
      </c>
      <c r="P47" s="77">
        <v>0.75</v>
      </c>
      <c r="Q47" s="44">
        <f t="shared" si="0"/>
        <v>0.75</v>
      </c>
      <c r="R47" s="77">
        <v>16.899999999999999</v>
      </c>
      <c r="S47" s="77">
        <v>123</v>
      </c>
      <c r="T47" s="16">
        <f t="shared" si="1"/>
        <v>27</v>
      </c>
      <c r="U47" s="77">
        <v>128</v>
      </c>
      <c r="V47" s="16">
        <f t="shared" si="2"/>
        <v>3456</v>
      </c>
      <c r="W47" s="77">
        <v>4</v>
      </c>
      <c r="X47" s="77" t="s">
        <v>35</v>
      </c>
      <c r="Y47" s="77" t="s">
        <v>43</v>
      </c>
      <c r="Z47" s="77" t="s">
        <v>36</v>
      </c>
      <c r="AA47" s="77" t="s">
        <v>72</v>
      </c>
      <c r="AB47" s="77" t="s">
        <v>195</v>
      </c>
    </row>
    <row r="48" spans="1:28" x14ac:dyDescent="0.15">
      <c r="A48" s="77" t="s">
        <v>44</v>
      </c>
      <c r="B48" s="77" t="s">
        <v>191</v>
      </c>
      <c r="C48" s="77">
        <v>2020</v>
      </c>
      <c r="D48" s="179" t="s">
        <v>370</v>
      </c>
      <c r="E48" s="77" t="s">
        <v>377</v>
      </c>
      <c r="F48" s="77" t="s">
        <v>378</v>
      </c>
      <c r="G48" s="77" t="s">
        <v>25</v>
      </c>
      <c r="H48" s="77" t="s">
        <v>164</v>
      </c>
      <c r="I48" s="77" t="s">
        <v>111</v>
      </c>
      <c r="J48" s="77" t="s">
        <v>27</v>
      </c>
      <c r="K48" s="77" t="s">
        <v>112</v>
      </c>
      <c r="L48" s="77">
        <v>2</v>
      </c>
      <c r="M48" s="181"/>
      <c r="N48" s="77">
        <v>1</v>
      </c>
      <c r="O48" s="77">
        <v>0.65</v>
      </c>
      <c r="P48" s="77">
        <v>0.7</v>
      </c>
      <c r="Q48" s="44">
        <f t="shared" si="0"/>
        <v>0.67500000000000004</v>
      </c>
      <c r="R48" s="77">
        <v>18.2</v>
      </c>
      <c r="S48" s="77">
        <v>120</v>
      </c>
      <c r="T48" s="16">
        <f t="shared" si="1"/>
        <v>30</v>
      </c>
      <c r="U48" s="77">
        <v>128</v>
      </c>
      <c r="V48" s="16">
        <f t="shared" si="2"/>
        <v>3840</v>
      </c>
      <c r="W48" s="77">
        <v>4</v>
      </c>
      <c r="X48" s="77" t="s">
        <v>35</v>
      </c>
      <c r="Y48" s="77" t="s">
        <v>43</v>
      </c>
      <c r="Z48" s="77" t="s">
        <v>36</v>
      </c>
      <c r="AA48" s="77" t="s">
        <v>72</v>
      </c>
      <c r="AB48" s="77" t="s">
        <v>195</v>
      </c>
    </row>
    <row r="49" spans="1:28" x14ac:dyDescent="0.15">
      <c r="A49" s="77" t="s">
        <v>44</v>
      </c>
      <c r="B49" s="77" t="s">
        <v>191</v>
      </c>
      <c r="C49" s="77">
        <v>2020</v>
      </c>
      <c r="D49" s="179" t="s">
        <v>370</v>
      </c>
      <c r="E49" s="77" t="s">
        <v>377</v>
      </c>
      <c r="F49" s="77" t="s">
        <v>378</v>
      </c>
      <c r="G49" s="77" t="s">
        <v>25</v>
      </c>
      <c r="H49" s="77" t="s">
        <v>164</v>
      </c>
      <c r="I49" s="77" t="s">
        <v>111</v>
      </c>
      <c r="J49" s="77" t="s">
        <v>27</v>
      </c>
      <c r="K49" s="77" t="s">
        <v>112</v>
      </c>
      <c r="L49" s="77">
        <v>3</v>
      </c>
      <c r="M49" s="181"/>
      <c r="N49" s="77">
        <v>1</v>
      </c>
      <c r="O49" s="77">
        <v>0.6</v>
      </c>
      <c r="P49" s="77">
        <v>0.6</v>
      </c>
      <c r="Q49" s="44">
        <f t="shared" si="0"/>
        <v>0.6</v>
      </c>
      <c r="R49" s="77">
        <v>18.399999999999999</v>
      </c>
      <c r="S49" s="77">
        <v>116</v>
      </c>
      <c r="T49" s="16">
        <f t="shared" si="1"/>
        <v>30</v>
      </c>
      <c r="U49" s="77">
        <v>128</v>
      </c>
      <c r="V49" s="16">
        <f t="shared" si="2"/>
        <v>3840</v>
      </c>
      <c r="W49" s="77">
        <v>4</v>
      </c>
      <c r="X49" s="77" t="s">
        <v>35</v>
      </c>
      <c r="Y49" s="77" t="s">
        <v>43</v>
      </c>
      <c r="Z49" s="77" t="s">
        <v>36</v>
      </c>
      <c r="AA49" s="77" t="s">
        <v>72</v>
      </c>
      <c r="AB49" s="77" t="s">
        <v>195</v>
      </c>
    </row>
    <row r="50" spans="1:28" x14ac:dyDescent="0.15">
      <c r="A50" s="77" t="s">
        <v>44</v>
      </c>
      <c r="B50" s="77" t="s">
        <v>191</v>
      </c>
      <c r="C50" s="77">
        <v>2020</v>
      </c>
      <c r="D50" s="179" t="s">
        <v>370</v>
      </c>
      <c r="E50" s="77" t="s">
        <v>377</v>
      </c>
      <c r="F50" s="77" t="s">
        <v>378</v>
      </c>
      <c r="G50" s="77" t="s">
        <v>25</v>
      </c>
      <c r="H50" s="77" t="s">
        <v>164</v>
      </c>
      <c r="I50" s="77" t="s">
        <v>111</v>
      </c>
      <c r="J50" s="77" t="s">
        <v>27</v>
      </c>
      <c r="K50" s="77" t="s">
        <v>112</v>
      </c>
      <c r="L50" s="77">
        <v>1</v>
      </c>
      <c r="M50" s="181"/>
      <c r="N50" s="77">
        <v>6</v>
      </c>
      <c r="O50" s="77">
        <v>0.55000000000000004</v>
      </c>
      <c r="P50" s="77">
        <v>0.55000000000000004</v>
      </c>
      <c r="Q50" s="44">
        <f t="shared" si="0"/>
        <v>0.55000000000000004</v>
      </c>
      <c r="R50" s="77">
        <v>15.7</v>
      </c>
      <c r="S50" s="77">
        <v>102</v>
      </c>
      <c r="T50" s="16">
        <f t="shared" si="1"/>
        <v>33</v>
      </c>
      <c r="U50" s="77">
        <v>598</v>
      </c>
      <c r="V50" s="16">
        <f t="shared" si="2"/>
        <v>3289</v>
      </c>
      <c r="W50" s="77">
        <v>4</v>
      </c>
      <c r="X50" s="77" t="s">
        <v>35</v>
      </c>
      <c r="Y50" s="77" t="s">
        <v>43</v>
      </c>
      <c r="Z50" s="77" t="s">
        <v>36</v>
      </c>
      <c r="AA50" s="77" t="s">
        <v>72</v>
      </c>
      <c r="AB50" s="77" t="s">
        <v>195</v>
      </c>
    </row>
    <row r="51" spans="1:28" x14ac:dyDescent="0.15">
      <c r="A51" s="77" t="s">
        <v>44</v>
      </c>
      <c r="B51" s="77" t="s">
        <v>191</v>
      </c>
      <c r="C51" s="77">
        <v>2020</v>
      </c>
      <c r="D51" s="179" t="s">
        <v>370</v>
      </c>
      <c r="E51" s="77" t="s">
        <v>377</v>
      </c>
      <c r="F51" s="77" t="s">
        <v>378</v>
      </c>
      <c r="G51" s="77" t="s">
        <v>25</v>
      </c>
      <c r="H51" s="77" t="s">
        <v>164</v>
      </c>
      <c r="I51" s="77" t="s">
        <v>111</v>
      </c>
      <c r="J51" s="77" t="s">
        <v>27</v>
      </c>
      <c r="K51" s="77" t="s">
        <v>112</v>
      </c>
      <c r="L51" s="77">
        <v>2</v>
      </c>
      <c r="M51" s="181"/>
      <c r="N51" s="77">
        <v>6</v>
      </c>
      <c r="O51" s="77">
        <v>0.55000000000000004</v>
      </c>
      <c r="P51" s="77">
        <v>0.55000000000000004</v>
      </c>
      <c r="Q51" s="44">
        <f t="shared" si="0"/>
        <v>0.55000000000000004</v>
      </c>
      <c r="R51" s="77">
        <v>17.3</v>
      </c>
      <c r="S51" s="77">
        <v>98</v>
      </c>
      <c r="T51" s="16">
        <f t="shared" si="1"/>
        <v>36</v>
      </c>
      <c r="U51" s="77">
        <v>598</v>
      </c>
      <c r="V51" s="16">
        <f t="shared" si="2"/>
        <v>3588</v>
      </c>
      <c r="W51" s="77">
        <v>4</v>
      </c>
      <c r="X51" s="77" t="s">
        <v>35</v>
      </c>
      <c r="Y51" s="77" t="s">
        <v>43</v>
      </c>
      <c r="Z51" s="77" t="s">
        <v>36</v>
      </c>
      <c r="AA51" s="77" t="s">
        <v>72</v>
      </c>
      <c r="AB51" s="77" t="s">
        <v>195</v>
      </c>
    </row>
    <row r="52" spans="1:28" x14ac:dyDescent="0.15">
      <c r="A52" s="77" t="s">
        <v>44</v>
      </c>
      <c r="B52" s="77" t="s">
        <v>191</v>
      </c>
      <c r="C52" s="77">
        <v>2020</v>
      </c>
      <c r="D52" s="179" t="s">
        <v>370</v>
      </c>
      <c r="E52" s="77" t="s">
        <v>377</v>
      </c>
      <c r="F52" s="77" t="s">
        <v>378</v>
      </c>
      <c r="G52" s="77" t="s">
        <v>25</v>
      </c>
      <c r="H52" s="77" t="s">
        <v>164</v>
      </c>
      <c r="I52" s="77" t="s">
        <v>111</v>
      </c>
      <c r="J52" s="77" t="s">
        <v>27</v>
      </c>
      <c r="K52" s="77" t="s">
        <v>112</v>
      </c>
      <c r="L52" s="77">
        <v>3</v>
      </c>
      <c r="M52" s="181"/>
      <c r="N52" s="77">
        <v>6</v>
      </c>
      <c r="O52" s="77">
        <v>0.6</v>
      </c>
      <c r="P52" s="77">
        <v>0.6</v>
      </c>
      <c r="Q52" s="44">
        <f t="shared" si="0"/>
        <v>0.6</v>
      </c>
      <c r="R52" s="77">
        <v>16.899999999999999</v>
      </c>
      <c r="S52" s="77">
        <v>105</v>
      </c>
      <c r="T52" s="16">
        <f t="shared" si="1"/>
        <v>33</v>
      </c>
      <c r="U52" s="77">
        <v>598</v>
      </c>
      <c r="V52" s="16">
        <f t="shared" si="2"/>
        <v>3289</v>
      </c>
      <c r="W52" s="77">
        <v>4</v>
      </c>
      <c r="X52" s="77" t="s">
        <v>35</v>
      </c>
      <c r="Y52" s="77" t="s">
        <v>43</v>
      </c>
      <c r="Z52" s="77" t="s">
        <v>36</v>
      </c>
      <c r="AA52" s="77" t="s">
        <v>72</v>
      </c>
      <c r="AB52" s="77" t="s">
        <v>195</v>
      </c>
    </row>
    <row r="53" spans="1:28" x14ac:dyDescent="0.15">
      <c r="A53" s="77" t="s">
        <v>44</v>
      </c>
      <c r="B53" s="77" t="s">
        <v>191</v>
      </c>
      <c r="C53" s="77">
        <v>2020</v>
      </c>
      <c r="D53" s="179" t="s">
        <v>370</v>
      </c>
      <c r="E53" s="77" t="s">
        <v>379</v>
      </c>
      <c r="F53" s="77" t="s">
        <v>372</v>
      </c>
      <c r="G53" s="77" t="s">
        <v>31</v>
      </c>
      <c r="H53" s="77" t="s">
        <v>113</v>
      </c>
      <c r="I53" s="77" t="s">
        <v>111</v>
      </c>
      <c r="J53" s="77" t="s">
        <v>27</v>
      </c>
      <c r="K53" s="77" t="s">
        <v>112</v>
      </c>
      <c r="L53" s="77">
        <v>1</v>
      </c>
      <c r="M53" s="181"/>
      <c r="N53" s="77">
        <v>1</v>
      </c>
      <c r="O53" s="77">
        <v>0.7</v>
      </c>
      <c r="P53" s="77">
        <v>0.85</v>
      </c>
      <c r="Q53" s="44">
        <f t="shared" si="0"/>
        <v>0.77499999999999991</v>
      </c>
      <c r="R53" s="77">
        <v>12.8</v>
      </c>
      <c r="S53" s="77">
        <v>128</v>
      </c>
      <c r="T53" s="16">
        <f t="shared" si="1"/>
        <v>27</v>
      </c>
      <c r="U53" s="77">
        <v>98</v>
      </c>
      <c r="V53" s="16">
        <f t="shared" si="2"/>
        <v>2646</v>
      </c>
      <c r="W53" s="77">
        <v>4</v>
      </c>
      <c r="X53" s="77" t="s">
        <v>28</v>
      </c>
      <c r="Y53" s="77" t="s">
        <v>43</v>
      </c>
      <c r="Z53" s="77" t="s">
        <v>36</v>
      </c>
      <c r="AA53" s="77" t="s">
        <v>64</v>
      </c>
      <c r="AB53" s="77" t="s">
        <v>195</v>
      </c>
    </row>
    <row r="54" spans="1:28" x14ac:dyDescent="0.15">
      <c r="A54" s="77" t="s">
        <v>44</v>
      </c>
      <c r="B54" s="77" t="s">
        <v>191</v>
      </c>
      <c r="C54" s="77">
        <v>2020</v>
      </c>
      <c r="D54" s="179" t="s">
        <v>370</v>
      </c>
      <c r="E54" s="77" t="s">
        <v>379</v>
      </c>
      <c r="F54" s="77" t="s">
        <v>372</v>
      </c>
      <c r="G54" s="77" t="s">
        <v>31</v>
      </c>
      <c r="H54" s="77" t="s">
        <v>113</v>
      </c>
      <c r="I54" s="77" t="s">
        <v>111</v>
      </c>
      <c r="J54" s="77" t="s">
        <v>27</v>
      </c>
      <c r="K54" s="77" t="s">
        <v>112</v>
      </c>
      <c r="L54" s="77">
        <v>2</v>
      </c>
      <c r="M54" s="181"/>
      <c r="N54" s="77">
        <v>1</v>
      </c>
      <c r="O54" s="77">
        <v>0.75</v>
      </c>
      <c r="P54" s="77">
        <v>0.8</v>
      </c>
      <c r="Q54" s="44">
        <f t="shared" si="0"/>
        <v>0.77500000000000002</v>
      </c>
      <c r="R54" s="77">
        <v>13.1</v>
      </c>
      <c r="S54" s="77">
        <v>126</v>
      </c>
      <c r="T54" s="16">
        <f t="shared" si="1"/>
        <v>27</v>
      </c>
      <c r="U54" s="77">
        <v>98</v>
      </c>
      <c r="V54" s="16">
        <f t="shared" si="2"/>
        <v>2646</v>
      </c>
      <c r="W54" s="77">
        <v>4</v>
      </c>
      <c r="X54" s="77" t="s">
        <v>28</v>
      </c>
      <c r="Y54" s="77" t="s">
        <v>43</v>
      </c>
      <c r="Z54" s="77" t="s">
        <v>36</v>
      </c>
      <c r="AA54" s="77" t="s">
        <v>64</v>
      </c>
      <c r="AB54" s="77" t="s">
        <v>195</v>
      </c>
    </row>
    <row r="55" spans="1:28" x14ac:dyDescent="0.15">
      <c r="A55" s="77" t="s">
        <v>44</v>
      </c>
      <c r="B55" s="77" t="s">
        <v>191</v>
      </c>
      <c r="C55" s="77">
        <v>2020</v>
      </c>
      <c r="D55" s="179" t="s">
        <v>370</v>
      </c>
      <c r="E55" s="77" t="s">
        <v>379</v>
      </c>
      <c r="F55" s="77" t="s">
        <v>372</v>
      </c>
      <c r="G55" s="77" t="s">
        <v>31</v>
      </c>
      <c r="H55" s="77" t="s">
        <v>113</v>
      </c>
      <c r="I55" s="77" t="s">
        <v>111</v>
      </c>
      <c r="J55" s="77" t="s">
        <v>27</v>
      </c>
      <c r="K55" s="77" t="s">
        <v>112</v>
      </c>
      <c r="L55" s="77">
        <v>3</v>
      </c>
      <c r="M55" s="181"/>
      <c r="N55" s="77">
        <v>1</v>
      </c>
      <c r="O55" s="77">
        <v>0.7</v>
      </c>
      <c r="P55" s="77">
        <v>0.7</v>
      </c>
      <c r="Q55" s="44">
        <f t="shared" si="0"/>
        <v>0.7</v>
      </c>
      <c r="R55" s="77">
        <v>13.4</v>
      </c>
      <c r="S55" s="77">
        <v>128</v>
      </c>
      <c r="T55" s="16">
        <f t="shared" si="1"/>
        <v>27</v>
      </c>
      <c r="U55" s="77">
        <v>98</v>
      </c>
      <c r="V55" s="16">
        <f t="shared" si="2"/>
        <v>2646</v>
      </c>
      <c r="W55" s="77">
        <v>4</v>
      </c>
      <c r="X55" s="77" t="s">
        <v>28</v>
      </c>
      <c r="Y55" s="77" t="s">
        <v>43</v>
      </c>
      <c r="Z55" s="77" t="s">
        <v>36</v>
      </c>
      <c r="AA55" s="77" t="s">
        <v>64</v>
      </c>
      <c r="AB55" s="77" t="s">
        <v>195</v>
      </c>
    </row>
    <row r="56" spans="1:28" x14ac:dyDescent="0.15">
      <c r="A56" s="77" t="s">
        <v>44</v>
      </c>
      <c r="B56" s="77" t="s">
        <v>191</v>
      </c>
      <c r="C56" s="77">
        <v>2020</v>
      </c>
      <c r="D56" s="179" t="s">
        <v>370</v>
      </c>
      <c r="E56" s="77" t="s">
        <v>379</v>
      </c>
      <c r="F56" s="77" t="s">
        <v>372</v>
      </c>
      <c r="G56" s="77" t="s">
        <v>31</v>
      </c>
      <c r="H56" s="77" t="s">
        <v>113</v>
      </c>
      <c r="I56" s="77" t="s">
        <v>111</v>
      </c>
      <c r="J56" s="77" t="s">
        <v>27</v>
      </c>
      <c r="K56" s="77" t="s">
        <v>112</v>
      </c>
      <c r="L56" s="77">
        <v>1</v>
      </c>
      <c r="M56" s="181"/>
      <c r="N56" s="77">
        <v>4</v>
      </c>
      <c r="O56" s="77">
        <v>0.9</v>
      </c>
      <c r="P56" s="77">
        <v>0.9</v>
      </c>
      <c r="Q56" s="16">
        <f t="shared" si="0"/>
        <v>0.9</v>
      </c>
      <c r="R56" s="77">
        <v>14.3</v>
      </c>
      <c r="S56" s="77">
        <v>102</v>
      </c>
      <c r="T56" s="16">
        <f t="shared" si="1"/>
        <v>33</v>
      </c>
      <c r="U56" s="77">
        <v>297</v>
      </c>
      <c r="V56" s="16">
        <f t="shared" si="2"/>
        <v>2450.25</v>
      </c>
      <c r="W56" s="77">
        <v>2</v>
      </c>
      <c r="X56" s="77" t="s">
        <v>28</v>
      </c>
      <c r="Y56" s="77" t="s">
        <v>43</v>
      </c>
      <c r="Z56" s="77" t="s">
        <v>36</v>
      </c>
      <c r="AA56" s="77" t="s">
        <v>64</v>
      </c>
      <c r="AB56" s="77" t="s">
        <v>195</v>
      </c>
    </row>
    <row r="57" spans="1:28" x14ac:dyDescent="0.15">
      <c r="A57" s="77" t="s">
        <v>44</v>
      </c>
      <c r="B57" s="77" t="s">
        <v>191</v>
      </c>
      <c r="C57" s="77">
        <v>2020</v>
      </c>
      <c r="D57" s="179" t="s">
        <v>370</v>
      </c>
      <c r="E57" s="77" t="s">
        <v>379</v>
      </c>
      <c r="F57" s="77" t="s">
        <v>372</v>
      </c>
      <c r="G57" s="77" t="s">
        <v>31</v>
      </c>
      <c r="H57" s="77" t="s">
        <v>113</v>
      </c>
      <c r="I57" s="77" t="s">
        <v>111</v>
      </c>
      <c r="J57" s="77" t="s">
        <v>27</v>
      </c>
      <c r="K57" s="77" t="s">
        <v>112</v>
      </c>
      <c r="L57" s="77">
        <v>2</v>
      </c>
      <c r="M57" s="181"/>
      <c r="N57" s="77">
        <v>4</v>
      </c>
      <c r="O57" s="77">
        <v>0.85</v>
      </c>
      <c r="P57" s="77">
        <v>0.9</v>
      </c>
      <c r="Q57" s="16">
        <f t="shared" si="0"/>
        <v>0.875</v>
      </c>
      <c r="R57" s="77">
        <v>16.8</v>
      </c>
      <c r="S57" s="77">
        <v>94</v>
      </c>
      <c r="T57" s="16">
        <f t="shared" si="1"/>
        <v>36</v>
      </c>
      <c r="U57" s="77">
        <v>297</v>
      </c>
      <c r="V57" s="16">
        <f t="shared" si="2"/>
        <v>2673</v>
      </c>
      <c r="W57" s="77">
        <v>2</v>
      </c>
      <c r="X57" s="77" t="s">
        <v>28</v>
      </c>
      <c r="Y57" s="77" t="s">
        <v>43</v>
      </c>
      <c r="Z57" s="77" t="s">
        <v>36</v>
      </c>
      <c r="AA57" s="77" t="s">
        <v>64</v>
      </c>
      <c r="AB57" s="77" t="s">
        <v>195</v>
      </c>
    </row>
    <row r="58" spans="1:28" x14ac:dyDescent="0.15">
      <c r="A58" s="77" t="s">
        <v>44</v>
      </c>
      <c r="B58" s="77" t="s">
        <v>191</v>
      </c>
      <c r="C58" s="77">
        <v>2020</v>
      </c>
      <c r="D58" s="179" t="s">
        <v>370</v>
      </c>
      <c r="E58" s="77" t="s">
        <v>379</v>
      </c>
      <c r="F58" s="77" t="s">
        <v>372</v>
      </c>
      <c r="G58" s="77" t="s">
        <v>31</v>
      </c>
      <c r="H58" s="77" t="s">
        <v>113</v>
      </c>
      <c r="I58" s="77" t="s">
        <v>111</v>
      </c>
      <c r="J58" s="77" t="s">
        <v>27</v>
      </c>
      <c r="K58" s="77" t="s">
        <v>112</v>
      </c>
      <c r="L58" s="77">
        <v>3</v>
      </c>
      <c r="M58" s="181"/>
      <c r="N58" s="77">
        <v>4</v>
      </c>
      <c r="O58" s="77">
        <v>0.85</v>
      </c>
      <c r="P58" s="77">
        <v>0.75</v>
      </c>
      <c r="Q58" s="16">
        <f t="shared" si="0"/>
        <v>0.8</v>
      </c>
      <c r="R58" s="77">
        <v>14.6</v>
      </c>
      <c r="S58" s="77">
        <v>95</v>
      </c>
      <c r="T58" s="16">
        <f t="shared" si="1"/>
        <v>36</v>
      </c>
      <c r="U58" s="77">
        <v>297</v>
      </c>
      <c r="V58" s="16">
        <f t="shared" si="2"/>
        <v>2673</v>
      </c>
      <c r="W58" s="77">
        <v>2</v>
      </c>
      <c r="X58" s="77" t="s">
        <v>28</v>
      </c>
      <c r="Y58" s="77" t="s">
        <v>43</v>
      </c>
      <c r="Z58" s="77" t="s">
        <v>36</v>
      </c>
      <c r="AA58" s="77" t="s">
        <v>64</v>
      </c>
      <c r="AB58" s="77" t="s">
        <v>195</v>
      </c>
    </row>
    <row r="59" spans="1:28" x14ac:dyDescent="0.15">
      <c r="A59" s="77" t="s">
        <v>44</v>
      </c>
      <c r="B59" s="77" t="s">
        <v>191</v>
      </c>
      <c r="C59" s="77">
        <v>2020</v>
      </c>
      <c r="D59" s="179" t="s">
        <v>370</v>
      </c>
      <c r="E59" s="77" t="s">
        <v>379</v>
      </c>
      <c r="F59" s="77" t="s">
        <v>372</v>
      </c>
      <c r="G59" s="77" t="s">
        <v>31</v>
      </c>
      <c r="H59" s="77" t="s">
        <v>113</v>
      </c>
      <c r="I59" s="77" t="s">
        <v>111</v>
      </c>
      <c r="J59" s="77" t="s">
        <v>27</v>
      </c>
      <c r="K59" s="77" t="s">
        <v>112</v>
      </c>
      <c r="L59" s="77">
        <v>1</v>
      </c>
      <c r="M59" s="181"/>
      <c r="N59" s="77">
        <v>10</v>
      </c>
      <c r="O59" s="77">
        <v>0.55000000000000004</v>
      </c>
      <c r="P59" s="77">
        <v>0.6</v>
      </c>
      <c r="Q59" s="16">
        <f t="shared" si="0"/>
        <v>0.57499999999999996</v>
      </c>
      <c r="R59" s="77">
        <v>14.5</v>
      </c>
      <c r="S59" s="77">
        <v>75</v>
      </c>
      <c r="T59" s="16">
        <f t="shared" si="1"/>
        <v>42</v>
      </c>
      <c r="U59" s="77">
        <v>497</v>
      </c>
      <c r="V59" s="16">
        <f t="shared" si="2"/>
        <v>2087.4</v>
      </c>
      <c r="W59" s="77">
        <v>4</v>
      </c>
      <c r="X59" s="77" t="s">
        <v>28</v>
      </c>
      <c r="Y59" s="77" t="s">
        <v>43</v>
      </c>
      <c r="Z59" s="77" t="s">
        <v>36</v>
      </c>
      <c r="AA59" s="77" t="s">
        <v>64</v>
      </c>
      <c r="AB59" s="77" t="s">
        <v>195</v>
      </c>
    </row>
    <row r="60" spans="1:28" x14ac:dyDescent="0.15">
      <c r="A60" s="77" t="s">
        <v>44</v>
      </c>
      <c r="B60" s="77" t="s">
        <v>191</v>
      </c>
      <c r="C60" s="77">
        <v>2020</v>
      </c>
      <c r="D60" s="179" t="s">
        <v>370</v>
      </c>
      <c r="E60" s="77" t="s">
        <v>379</v>
      </c>
      <c r="F60" s="77" t="s">
        <v>372</v>
      </c>
      <c r="G60" s="77" t="s">
        <v>31</v>
      </c>
      <c r="H60" s="77" t="s">
        <v>113</v>
      </c>
      <c r="I60" s="77" t="s">
        <v>111</v>
      </c>
      <c r="J60" s="77" t="s">
        <v>27</v>
      </c>
      <c r="K60" s="77" t="s">
        <v>112</v>
      </c>
      <c r="L60" s="77">
        <v>2</v>
      </c>
      <c r="M60" s="181"/>
      <c r="N60" s="77">
        <v>10</v>
      </c>
      <c r="O60" s="77">
        <v>0.6</v>
      </c>
      <c r="P60" s="77">
        <v>0.55000000000000004</v>
      </c>
      <c r="Q60" s="16">
        <f t="shared" si="0"/>
        <v>0.57499999999999996</v>
      </c>
      <c r="R60" s="77">
        <v>13.6</v>
      </c>
      <c r="S60" s="77">
        <v>71</v>
      </c>
      <c r="T60" s="16">
        <f t="shared" si="1"/>
        <v>42</v>
      </c>
      <c r="U60" s="77">
        <v>497</v>
      </c>
      <c r="V60" s="16">
        <f t="shared" si="2"/>
        <v>2087.4</v>
      </c>
      <c r="W60" s="77">
        <v>4</v>
      </c>
      <c r="X60" s="77" t="s">
        <v>28</v>
      </c>
      <c r="Y60" s="77" t="s">
        <v>43</v>
      </c>
      <c r="Z60" s="77" t="s">
        <v>36</v>
      </c>
      <c r="AA60" s="77" t="s">
        <v>64</v>
      </c>
      <c r="AB60" s="77" t="s">
        <v>195</v>
      </c>
    </row>
    <row r="61" spans="1:28" x14ac:dyDescent="0.15">
      <c r="A61" s="77" t="s">
        <v>44</v>
      </c>
      <c r="B61" s="77" t="s">
        <v>191</v>
      </c>
      <c r="C61" s="77">
        <v>2020</v>
      </c>
      <c r="D61" s="179" t="s">
        <v>370</v>
      </c>
      <c r="E61" s="77" t="s">
        <v>379</v>
      </c>
      <c r="F61" s="77" t="s">
        <v>372</v>
      </c>
      <c r="G61" s="77" t="s">
        <v>31</v>
      </c>
      <c r="H61" s="77" t="s">
        <v>113</v>
      </c>
      <c r="I61" s="77" t="s">
        <v>111</v>
      </c>
      <c r="J61" s="77" t="s">
        <v>27</v>
      </c>
      <c r="K61" s="77" t="s">
        <v>112</v>
      </c>
      <c r="L61" s="77">
        <v>3</v>
      </c>
      <c r="M61" s="181"/>
      <c r="N61" s="77">
        <v>10</v>
      </c>
      <c r="O61" s="77">
        <v>0.65</v>
      </c>
      <c r="P61" s="77">
        <v>0.7</v>
      </c>
      <c r="Q61" s="16">
        <f t="shared" si="0"/>
        <v>0.67500000000000004</v>
      </c>
      <c r="R61" s="77">
        <v>14.4</v>
      </c>
      <c r="S61" s="77">
        <v>70</v>
      </c>
      <c r="T61" s="16">
        <f t="shared" si="1"/>
        <v>50</v>
      </c>
      <c r="U61" s="77">
        <v>497</v>
      </c>
      <c r="V61" s="16">
        <f t="shared" si="2"/>
        <v>2485</v>
      </c>
      <c r="W61" s="77">
        <v>4</v>
      </c>
      <c r="X61" s="77" t="s">
        <v>28</v>
      </c>
      <c r="Y61" s="77" t="s">
        <v>43</v>
      </c>
      <c r="Z61" s="77" t="s">
        <v>36</v>
      </c>
      <c r="AA61" s="77" t="s">
        <v>64</v>
      </c>
      <c r="AB61" s="77" t="s">
        <v>195</v>
      </c>
    </row>
    <row r="62" spans="1:28" x14ac:dyDescent="0.15">
      <c r="A62" s="77" t="s">
        <v>44</v>
      </c>
      <c r="B62" s="77" t="s">
        <v>191</v>
      </c>
      <c r="C62" s="77">
        <v>2020</v>
      </c>
      <c r="D62" s="179" t="s">
        <v>370</v>
      </c>
      <c r="E62" s="77" t="s">
        <v>379</v>
      </c>
      <c r="F62" s="77" t="s">
        <v>372</v>
      </c>
      <c r="G62" s="77" t="s">
        <v>31</v>
      </c>
      <c r="H62" s="77" t="s">
        <v>164</v>
      </c>
      <c r="I62" s="77" t="s">
        <v>111</v>
      </c>
      <c r="J62" s="77" t="s">
        <v>27</v>
      </c>
      <c r="K62" s="77" t="s">
        <v>112</v>
      </c>
      <c r="L62" s="77">
        <v>1</v>
      </c>
      <c r="M62" s="181"/>
      <c r="N62" s="77">
        <v>1</v>
      </c>
      <c r="O62" s="77">
        <v>0.8</v>
      </c>
      <c r="P62" s="77">
        <v>0.8</v>
      </c>
      <c r="Q62" s="16">
        <f t="shared" si="0"/>
        <v>0.8</v>
      </c>
      <c r="R62" s="77">
        <v>15.7</v>
      </c>
      <c r="S62" s="77">
        <v>128</v>
      </c>
      <c r="T62" s="16">
        <f t="shared" si="1"/>
        <v>27</v>
      </c>
      <c r="U62" s="77">
        <v>98</v>
      </c>
      <c r="V62" s="16">
        <f t="shared" si="2"/>
        <v>2646</v>
      </c>
      <c r="W62" s="77">
        <v>4</v>
      </c>
      <c r="X62" s="77" t="s">
        <v>28</v>
      </c>
      <c r="Y62" s="77" t="s">
        <v>43</v>
      </c>
      <c r="Z62" s="77" t="s">
        <v>36</v>
      </c>
      <c r="AA62" s="77" t="s">
        <v>64</v>
      </c>
      <c r="AB62" s="77" t="s">
        <v>195</v>
      </c>
    </row>
    <row r="63" spans="1:28" x14ac:dyDescent="0.15">
      <c r="A63" s="77" t="s">
        <v>44</v>
      </c>
      <c r="B63" s="77" t="s">
        <v>191</v>
      </c>
      <c r="C63" s="77">
        <v>2020</v>
      </c>
      <c r="D63" s="179" t="s">
        <v>370</v>
      </c>
      <c r="E63" s="77" t="s">
        <v>379</v>
      </c>
      <c r="F63" s="77" t="s">
        <v>372</v>
      </c>
      <c r="G63" s="77" t="s">
        <v>31</v>
      </c>
      <c r="H63" s="77" t="s">
        <v>164</v>
      </c>
      <c r="I63" s="77" t="s">
        <v>111</v>
      </c>
      <c r="J63" s="77" t="s">
        <v>27</v>
      </c>
      <c r="K63" s="77" t="s">
        <v>112</v>
      </c>
      <c r="L63" s="77">
        <v>2</v>
      </c>
      <c r="M63" s="181"/>
      <c r="N63" s="77">
        <v>1</v>
      </c>
      <c r="O63" s="77">
        <v>0.8</v>
      </c>
      <c r="P63" s="77">
        <v>0.7</v>
      </c>
      <c r="Q63" s="16">
        <f t="shared" si="0"/>
        <v>0.75</v>
      </c>
      <c r="R63" s="77">
        <v>14.6</v>
      </c>
      <c r="S63" s="77">
        <v>125</v>
      </c>
      <c r="T63" s="16">
        <f t="shared" si="1"/>
        <v>27</v>
      </c>
      <c r="U63" s="77">
        <v>98</v>
      </c>
      <c r="V63" s="16">
        <f t="shared" si="2"/>
        <v>2646</v>
      </c>
      <c r="W63" s="77">
        <v>4</v>
      </c>
      <c r="X63" s="77" t="s">
        <v>28</v>
      </c>
      <c r="Y63" s="77" t="s">
        <v>43</v>
      </c>
      <c r="Z63" s="77" t="s">
        <v>36</v>
      </c>
      <c r="AA63" s="77" t="s">
        <v>64</v>
      </c>
      <c r="AB63" s="77" t="s">
        <v>195</v>
      </c>
    </row>
    <row r="64" spans="1:28" x14ac:dyDescent="0.15">
      <c r="A64" s="77" t="s">
        <v>44</v>
      </c>
      <c r="B64" s="77" t="s">
        <v>191</v>
      </c>
      <c r="C64" s="77">
        <v>2020</v>
      </c>
      <c r="D64" s="179" t="s">
        <v>370</v>
      </c>
      <c r="E64" s="77" t="s">
        <v>379</v>
      </c>
      <c r="F64" s="77" t="s">
        <v>372</v>
      </c>
      <c r="G64" s="77" t="s">
        <v>31</v>
      </c>
      <c r="H64" s="77" t="s">
        <v>164</v>
      </c>
      <c r="I64" s="77" t="s">
        <v>111</v>
      </c>
      <c r="J64" s="77" t="s">
        <v>27</v>
      </c>
      <c r="K64" s="77" t="s">
        <v>112</v>
      </c>
      <c r="L64" s="77">
        <v>3</v>
      </c>
      <c r="M64" s="181"/>
      <c r="N64" s="77">
        <v>1</v>
      </c>
      <c r="O64" s="77">
        <v>0.75</v>
      </c>
      <c r="P64" s="77">
        <v>0.75</v>
      </c>
      <c r="Q64" s="16">
        <f t="shared" si="0"/>
        <v>0.75</v>
      </c>
      <c r="R64" s="77">
        <v>15.2</v>
      </c>
      <c r="S64" s="77">
        <v>122</v>
      </c>
      <c r="T64" s="16">
        <f t="shared" si="1"/>
        <v>27</v>
      </c>
      <c r="U64" s="77">
        <v>98</v>
      </c>
      <c r="V64" s="16">
        <f t="shared" si="2"/>
        <v>2646</v>
      </c>
      <c r="W64" s="77">
        <v>4</v>
      </c>
      <c r="X64" s="77" t="s">
        <v>28</v>
      </c>
      <c r="Y64" s="77" t="s">
        <v>43</v>
      </c>
      <c r="Z64" s="77" t="s">
        <v>36</v>
      </c>
      <c r="AA64" s="77" t="s">
        <v>64</v>
      </c>
      <c r="AB64" s="77" t="s">
        <v>195</v>
      </c>
    </row>
    <row r="65" spans="1:28" x14ac:dyDescent="0.15">
      <c r="A65" s="77" t="s">
        <v>44</v>
      </c>
      <c r="B65" s="77" t="s">
        <v>191</v>
      </c>
      <c r="C65" s="77">
        <v>2020</v>
      </c>
      <c r="D65" s="179" t="s">
        <v>370</v>
      </c>
      <c r="E65" s="77" t="s">
        <v>379</v>
      </c>
      <c r="F65" s="77" t="s">
        <v>372</v>
      </c>
      <c r="G65" s="77" t="s">
        <v>31</v>
      </c>
      <c r="H65" s="77" t="s">
        <v>164</v>
      </c>
      <c r="I65" s="77" t="s">
        <v>111</v>
      </c>
      <c r="J65" s="77" t="s">
        <v>27</v>
      </c>
      <c r="K65" s="77" t="s">
        <v>112</v>
      </c>
      <c r="L65" s="77">
        <v>1</v>
      </c>
      <c r="M65" s="181"/>
      <c r="N65" s="77">
        <v>4</v>
      </c>
      <c r="O65" s="77">
        <v>0.75</v>
      </c>
      <c r="P65" s="77">
        <v>0.8</v>
      </c>
      <c r="Q65" s="16">
        <f t="shared" si="0"/>
        <v>0.77500000000000002</v>
      </c>
      <c r="R65" s="77">
        <v>16.2</v>
      </c>
      <c r="S65" s="77">
        <v>103</v>
      </c>
      <c r="T65" s="16">
        <f t="shared" si="1"/>
        <v>33</v>
      </c>
      <c r="U65" s="77">
        <v>297</v>
      </c>
      <c r="V65" s="16">
        <f t="shared" si="2"/>
        <v>2450.25</v>
      </c>
      <c r="W65" s="77">
        <v>4</v>
      </c>
      <c r="X65" s="77" t="s">
        <v>28</v>
      </c>
      <c r="Y65" s="77" t="s">
        <v>43</v>
      </c>
      <c r="Z65" s="77" t="s">
        <v>36</v>
      </c>
      <c r="AA65" s="77" t="s">
        <v>64</v>
      </c>
      <c r="AB65" s="77" t="s">
        <v>195</v>
      </c>
    </row>
    <row r="66" spans="1:28" x14ac:dyDescent="0.15">
      <c r="A66" s="77" t="s">
        <v>44</v>
      </c>
      <c r="B66" s="77" t="s">
        <v>191</v>
      </c>
      <c r="C66" s="77">
        <v>2020</v>
      </c>
      <c r="D66" s="179" t="s">
        <v>370</v>
      </c>
      <c r="E66" s="77" t="s">
        <v>379</v>
      </c>
      <c r="F66" s="77" t="s">
        <v>372</v>
      </c>
      <c r="G66" s="77" t="s">
        <v>31</v>
      </c>
      <c r="H66" s="77" t="s">
        <v>164</v>
      </c>
      <c r="I66" s="77" t="s">
        <v>111</v>
      </c>
      <c r="J66" s="77" t="s">
        <v>27</v>
      </c>
      <c r="K66" s="77" t="s">
        <v>112</v>
      </c>
      <c r="L66" s="77">
        <v>2</v>
      </c>
      <c r="M66" s="181"/>
      <c r="N66" s="77">
        <v>4</v>
      </c>
      <c r="O66" s="77">
        <v>0.7</v>
      </c>
      <c r="P66" s="77">
        <v>0.7</v>
      </c>
      <c r="Q66" s="16">
        <f t="shared" ref="Q66:Q129" si="3">IF(OR(O66="",P66=""),"",AVERAGE(O66,P66))</f>
        <v>0.7</v>
      </c>
      <c r="R66" s="77">
        <v>17.399999999999999</v>
      </c>
      <c r="S66" s="77">
        <v>95</v>
      </c>
      <c r="T66" s="16">
        <f t="shared" ref="T66:T129" si="4">IF(H66="","",IF(OR(H66="GREEN",H66="GK"),IF(S66&gt;=$AX$2,VLOOKUP(S66,$AX$2:$AY$10,2,1),""),IF(S66&gt;=$AZ$2,VLOOKUP(S66,$AZ$2:$BA$10,2,1),"")))</f>
        <v>36</v>
      </c>
      <c r="U66" s="77">
        <v>297</v>
      </c>
      <c r="V66" s="16">
        <f t="shared" ref="V66:V129" si="5">IF(OR(N66="",U66="",T66=""),"",U66/N66*T66)</f>
        <v>2673</v>
      </c>
      <c r="W66" s="77">
        <v>4</v>
      </c>
      <c r="X66" s="77" t="s">
        <v>28</v>
      </c>
      <c r="Y66" s="77" t="s">
        <v>43</v>
      </c>
      <c r="Z66" s="77" t="s">
        <v>36</v>
      </c>
      <c r="AA66" s="77" t="s">
        <v>64</v>
      </c>
      <c r="AB66" s="77" t="s">
        <v>195</v>
      </c>
    </row>
    <row r="67" spans="1:28" x14ac:dyDescent="0.15">
      <c r="A67" s="77" t="s">
        <v>44</v>
      </c>
      <c r="B67" s="77" t="s">
        <v>191</v>
      </c>
      <c r="C67" s="77">
        <v>2020</v>
      </c>
      <c r="D67" s="179" t="s">
        <v>370</v>
      </c>
      <c r="E67" s="77" t="s">
        <v>379</v>
      </c>
      <c r="F67" s="77" t="s">
        <v>372</v>
      </c>
      <c r="G67" s="77" t="s">
        <v>31</v>
      </c>
      <c r="H67" s="77" t="s">
        <v>164</v>
      </c>
      <c r="I67" s="77" t="s">
        <v>111</v>
      </c>
      <c r="J67" s="77" t="s">
        <v>27</v>
      </c>
      <c r="K67" s="77" t="s">
        <v>112</v>
      </c>
      <c r="L67" s="77">
        <v>3</v>
      </c>
      <c r="M67" s="181"/>
      <c r="N67" s="77">
        <v>4</v>
      </c>
      <c r="O67" s="77">
        <v>0.65</v>
      </c>
      <c r="P67" s="77">
        <v>0.65</v>
      </c>
      <c r="Q67" s="16">
        <f t="shared" si="3"/>
        <v>0.65</v>
      </c>
      <c r="R67" s="77">
        <v>17</v>
      </c>
      <c r="S67" s="77">
        <v>93</v>
      </c>
      <c r="T67" s="16">
        <f t="shared" si="4"/>
        <v>36</v>
      </c>
      <c r="U67" s="77">
        <v>297</v>
      </c>
      <c r="V67" s="16">
        <f t="shared" si="5"/>
        <v>2673</v>
      </c>
      <c r="W67" s="77">
        <v>4</v>
      </c>
      <c r="X67" s="77" t="s">
        <v>28</v>
      </c>
      <c r="Y67" s="77" t="s">
        <v>43</v>
      </c>
      <c r="Z67" s="77" t="s">
        <v>36</v>
      </c>
      <c r="AA67" s="77" t="s">
        <v>64</v>
      </c>
      <c r="AB67" s="77" t="s">
        <v>195</v>
      </c>
    </row>
    <row r="68" spans="1:28" x14ac:dyDescent="0.15">
      <c r="A68" s="77" t="s">
        <v>44</v>
      </c>
      <c r="B68" s="77" t="s">
        <v>191</v>
      </c>
      <c r="C68" s="77">
        <v>2020</v>
      </c>
      <c r="D68" s="179" t="s">
        <v>370</v>
      </c>
      <c r="E68" s="77" t="s">
        <v>379</v>
      </c>
      <c r="F68" s="77" t="s">
        <v>372</v>
      </c>
      <c r="G68" s="77" t="s">
        <v>31</v>
      </c>
      <c r="H68" s="77" t="s">
        <v>164</v>
      </c>
      <c r="I68" s="77" t="s">
        <v>111</v>
      </c>
      <c r="J68" s="77" t="s">
        <v>27</v>
      </c>
      <c r="K68" s="77" t="s">
        <v>112</v>
      </c>
      <c r="L68" s="77">
        <v>1</v>
      </c>
      <c r="M68" s="181"/>
      <c r="N68" s="77">
        <v>8</v>
      </c>
      <c r="O68" s="77">
        <v>1.1000000000000001</v>
      </c>
      <c r="P68" s="77">
        <v>1</v>
      </c>
      <c r="Q68" s="16">
        <f t="shared" si="3"/>
        <v>1.05</v>
      </c>
      <c r="R68" s="77">
        <v>15.3</v>
      </c>
      <c r="S68" s="77">
        <v>99</v>
      </c>
      <c r="T68" s="16">
        <f t="shared" si="4"/>
        <v>33</v>
      </c>
      <c r="U68" s="77">
        <v>497</v>
      </c>
      <c r="V68" s="16">
        <f t="shared" si="5"/>
        <v>2050.125</v>
      </c>
      <c r="W68" s="77">
        <v>10</v>
      </c>
      <c r="X68" s="77" t="s">
        <v>28</v>
      </c>
      <c r="Y68" s="77" t="s">
        <v>43</v>
      </c>
      <c r="Z68" s="77" t="s">
        <v>36</v>
      </c>
      <c r="AA68" s="77" t="s">
        <v>64</v>
      </c>
      <c r="AB68" s="77" t="s">
        <v>195</v>
      </c>
    </row>
    <row r="69" spans="1:28" x14ac:dyDescent="0.15">
      <c r="A69" s="77" t="s">
        <v>44</v>
      </c>
      <c r="B69" s="77" t="s">
        <v>191</v>
      </c>
      <c r="C69" s="77">
        <v>2020</v>
      </c>
      <c r="D69" s="179" t="s">
        <v>370</v>
      </c>
      <c r="E69" s="77" t="s">
        <v>379</v>
      </c>
      <c r="F69" s="77" t="s">
        <v>372</v>
      </c>
      <c r="G69" s="77" t="s">
        <v>31</v>
      </c>
      <c r="H69" s="77" t="s">
        <v>164</v>
      </c>
      <c r="I69" s="77" t="s">
        <v>111</v>
      </c>
      <c r="J69" s="77" t="s">
        <v>27</v>
      </c>
      <c r="K69" s="77" t="s">
        <v>112</v>
      </c>
      <c r="L69" s="77">
        <v>2</v>
      </c>
      <c r="M69" s="181"/>
      <c r="N69" s="77">
        <v>8</v>
      </c>
      <c r="O69" s="77">
        <v>1.2</v>
      </c>
      <c r="P69" s="77">
        <v>1.2</v>
      </c>
      <c r="Q69" s="16">
        <f t="shared" si="3"/>
        <v>1.2</v>
      </c>
      <c r="R69" s="77">
        <v>13.1</v>
      </c>
      <c r="S69" s="77">
        <v>103</v>
      </c>
      <c r="T69" s="16">
        <f t="shared" si="4"/>
        <v>33</v>
      </c>
      <c r="U69" s="77">
        <v>497</v>
      </c>
      <c r="V69" s="16">
        <f t="shared" si="5"/>
        <v>2050.125</v>
      </c>
      <c r="W69" s="77">
        <v>10</v>
      </c>
      <c r="X69" s="77" t="s">
        <v>28</v>
      </c>
      <c r="Y69" s="77" t="s">
        <v>43</v>
      </c>
      <c r="Z69" s="77" t="s">
        <v>36</v>
      </c>
      <c r="AA69" s="77" t="s">
        <v>64</v>
      </c>
      <c r="AB69" s="77" t="s">
        <v>195</v>
      </c>
    </row>
    <row r="70" spans="1:28" x14ac:dyDescent="0.15">
      <c r="A70" s="77" t="s">
        <v>44</v>
      </c>
      <c r="B70" s="77" t="s">
        <v>191</v>
      </c>
      <c r="C70" s="77">
        <v>2020</v>
      </c>
      <c r="D70" s="179" t="s">
        <v>370</v>
      </c>
      <c r="E70" s="77" t="s">
        <v>379</v>
      </c>
      <c r="F70" s="77" t="s">
        <v>372</v>
      </c>
      <c r="G70" s="77" t="s">
        <v>31</v>
      </c>
      <c r="H70" s="77" t="s">
        <v>164</v>
      </c>
      <c r="I70" s="77" t="s">
        <v>111</v>
      </c>
      <c r="J70" s="77" t="s">
        <v>27</v>
      </c>
      <c r="K70" s="77" t="s">
        <v>112</v>
      </c>
      <c r="L70" s="77">
        <v>3</v>
      </c>
      <c r="M70" s="181"/>
      <c r="N70" s="77">
        <v>8</v>
      </c>
      <c r="O70" s="77">
        <v>1.05</v>
      </c>
      <c r="P70" s="77">
        <v>0.95</v>
      </c>
      <c r="Q70" s="16">
        <f t="shared" si="3"/>
        <v>1</v>
      </c>
      <c r="R70" s="77">
        <v>14.9</v>
      </c>
      <c r="S70" s="77">
        <v>100</v>
      </c>
      <c r="T70" s="16">
        <f t="shared" si="4"/>
        <v>33</v>
      </c>
      <c r="U70" s="77">
        <v>497</v>
      </c>
      <c r="V70" s="16">
        <f t="shared" si="5"/>
        <v>2050.125</v>
      </c>
      <c r="W70" s="77">
        <v>10</v>
      </c>
      <c r="X70" s="77" t="s">
        <v>28</v>
      </c>
      <c r="Y70" s="77" t="s">
        <v>43</v>
      </c>
      <c r="Z70" s="77" t="s">
        <v>36</v>
      </c>
      <c r="AA70" s="77" t="s">
        <v>64</v>
      </c>
      <c r="AB70" s="77" t="s">
        <v>195</v>
      </c>
    </row>
    <row r="71" spans="1:28" x14ac:dyDescent="0.15">
      <c r="A71" s="77" t="s">
        <v>44</v>
      </c>
      <c r="B71" s="77" t="s">
        <v>191</v>
      </c>
      <c r="C71" s="77">
        <v>2020</v>
      </c>
      <c r="D71" s="179" t="s">
        <v>370</v>
      </c>
      <c r="E71" s="77" t="s">
        <v>305</v>
      </c>
      <c r="F71" s="77" t="s">
        <v>381</v>
      </c>
      <c r="G71" s="77" t="s">
        <v>25</v>
      </c>
      <c r="H71" s="77" t="s">
        <v>113</v>
      </c>
      <c r="I71" s="77" t="s">
        <v>111</v>
      </c>
      <c r="J71" s="77" t="s">
        <v>27</v>
      </c>
      <c r="K71" s="77" t="s">
        <v>112</v>
      </c>
      <c r="L71" s="77">
        <v>1</v>
      </c>
      <c r="M71" s="181"/>
      <c r="N71" s="77">
        <v>1</v>
      </c>
      <c r="O71" s="77">
        <v>0.9</v>
      </c>
      <c r="P71" s="77">
        <v>0.85</v>
      </c>
      <c r="Q71" s="16">
        <f t="shared" si="3"/>
        <v>0.875</v>
      </c>
      <c r="R71" s="77">
        <v>15</v>
      </c>
      <c r="S71" s="77">
        <v>112</v>
      </c>
      <c r="T71" s="16">
        <f t="shared" si="4"/>
        <v>33</v>
      </c>
      <c r="U71" s="77">
        <v>98</v>
      </c>
      <c r="V71" s="16">
        <f t="shared" si="5"/>
        <v>3234</v>
      </c>
      <c r="W71" s="77">
        <v>4</v>
      </c>
      <c r="X71" s="77" t="s">
        <v>35</v>
      </c>
      <c r="Y71" s="77" t="s">
        <v>64</v>
      </c>
      <c r="Z71" s="77" t="s">
        <v>36</v>
      </c>
      <c r="AA71" s="77" t="s">
        <v>43</v>
      </c>
      <c r="AB71" s="77" t="s">
        <v>195</v>
      </c>
    </row>
    <row r="72" spans="1:28" x14ac:dyDescent="0.15">
      <c r="A72" s="77" t="s">
        <v>44</v>
      </c>
      <c r="B72" s="77" t="s">
        <v>191</v>
      </c>
      <c r="C72" s="77">
        <v>2020</v>
      </c>
      <c r="D72" s="179" t="s">
        <v>370</v>
      </c>
      <c r="E72" s="77" t="s">
        <v>305</v>
      </c>
      <c r="F72" s="77" t="s">
        <v>381</v>
      </c>
      <c r="G72" s="77" t="s">
        <v>25</v>
      </c>
      <c r="H72" s="77" t="s">
        <v>113</v>
      </c>
      <c r="I72" s="77" t="s">
        <v>111</v>
      </c>
      <c r="J72" s="77" t="s">
        <v>27</v>
      </c>
      <c r="K72" s="77" t="s">
        <v>112</v>
      </c>
      <c r="L72" s="77">
        <v>2</v>
      </c>
      <c r="M72" s="181"/>
      <c r="N72" s="77">
        <v>1</v>
      </c>
      <c r="O72" s="77">
        <v>0.95</v>
      </c>
      <c r="P72" s="77">
        <v>1.05</v>
      </c>
      <c r="Q72" s="16">
        <f t="shared" si="3"/>
        <v>1</v>
      </c>
      <c r="R72" s="77">
        <v>14</v>
      </c>
      <c r="S72" s="77">
        <v>104</v>
      </c>
      <c r="T72" s="16">
        <f t="shared" si="4"/>
        <v>33</v>
      </c>
      <c r="U72" s="77">
        <v>98</v>
      </c>
      <c r="V72" s="16">
        <f t="shared" si="5"/>
        <v>3234</v>
      </c>
      <c r="W72" s="77">
        <v>4</v>
      </c>
      <c r="X72" s="77" t="s">
        <v>35</v>
      </c>
      <c r="Y72" s="77" t="s">
        <v>64</v>
      </c>
      <c r="Z72" s="77" t="s">
        <v>36</v>
      </c>
      <c r="AA72" s="77" t="s">
        <v>43</v>
      </c>
      <c r="AB72" s="77" t="s">
        <v>195</v>
      </c>
    </row>
    <row r="73" spans="1:28" x14ac:dyDescent="0.15">
      <c r="A73" s="77" t="s">
        <v>44</v>
      </c>
      <c r="B73" s="77" t="s">
        <v>191</v>
      </c>
      <c r="C73" s="77">
        <v>2020</v>
      </c>
      <c r="D73" s="179" t="s">
        <v>370</v>
      </c>
      <c r="E73" s="77" t="s">
        <v>305</v>
      </c>
      <c r="F73" s="77" t="s">
        <v>381</v>
      </c>
      <c r="G73" s="77" t="s">
        <v>25</v>
      </c>
      <c r="H73" s="77" t="s">
        <v>113</v>
      </c>
      <c r="I73" s="77" t="s">
        <v>111</v>
      </c>
      <c r="J73" s="77" t="s">
        <v>27</v>
      </c>
      <c r="K73" s="77" t="s">
        <v>112</v>
      </c>
      <c r="L73" s="77">
        <v>3</v>
      </c>
      <c r="M73" s="181"/>
      <c r="N73" s="77">
        <v>1</v>
      </c>
      <c r="O73" s="77">
        <v>1.1000000000000001</v>
      </c>
      <c r="P73" s="77">
        <v>1.1499999999999999</v>
      </c>
      <c r="Q73" s="16">
        <f t="shared" si="3"/>
        <v>1.125</v>
      </c>
      <c r="R73" s="77">
        <v>14.9</v>
      </c>
      <c r="S73" s="77">
        <v>112</v>
      </c>
      <c r="T73" s="16">
        <f t="shared" si="4"/>
        <v>33</v>
      </c>
      <c r="U73" s="77">
        <v>98</v>
      </c>
      <c r="V73" s="16">
        <f t="shared" si="5"/>
        <v>3234</v>
      </c>
      <c r="W73" s="77">
        <v>4</v>
      </c>
      <c r="X73" s="77" t="s">
        <v>35</v>
      </c>
      <c r="Y73" s="77" t="s">
        <v>64</v>
      </c>
      <c r="Z73" s="77" t="s">
        <v>36</v>
      </c>
      <c r="AA73" s="77" t="s">
        <v>43</v>
      </c>
      <c r="AB73" s="77" t="s">
        <v>195</v>
      </c>
    </row>
    <row r="74" spans="1:28" x14ac:dyDescent="0.15">
      <c r="A74" s="77" t="s">
        <v>44</v>
      </c>
      <c r="B74" s="77" t="s">
        <v>191</v>
      </c>
      <c r="C74" s="77">
        <v>2020</v>
      </c>
      <c r="D74" s="179" t="s">
        <v>370</v>
      </c>
      <c r="E74" s="77" t="s">
        <v>305</v>
      </c>
      <c r="F74" s="77" t="s">
        <v>381</v>
      </c>
      <c r="G74" s="77" t="s">
        <v>25</v>
      </c>
      <c r="H74" s="77" t="s">
        <v>113</v>
      </c>
      <c r="I74" s="77" t="s">
        <v>111</v>
      </c>
      <c r="J74" s="77" t="s">
        <v>27</v>
      </c>
      <c r="K74" s="77" t="s">
        <v>112</v>
      </c>
      <c r="L74" s="77">
        <v>1</v>
      </c>
      <c r="M74" s="181"/>
      <c r="N74" s="77">
        <v>5</v>
      </c>
      <c r="O74" s="77">
        <v>0.5</v>
      </c>
      <c r="P74" s="77">
        <v>0.5</v>
      </c>
      <c r="Q74" s="16">
        <f t="shared" si="3"/>
        <v>0.5</v>
      </c>
      <c r="R74" s="77">
        <v>12.5</v>
      </c>
      <c r="S74" s="77">
        <v>83</v>
      </c>
      <c r="T74" s="16">
        <f t="shared" si="4"/>
        <v>39</v>
      </c>
      <c r="U74" s="77">
        <v>298</v>
      </c>
      <c r="V74" s="16">
        <f t="shared" si="5"/>
        <v>2324.4</v>
      </c>
      <c r="W74" s="77">
        <v>4</v>
      </c>
      <c r="X74" s="77" t="s">
        <v>35</v>
      </c>
      <c r="Y74" s="77" t="s">
        <v>64</v>
      </c>
      <c r="Z74" s="77" t="s">
        <v>36</v>
      </c>
      <c r="AA74" s="77" t="s">
        <v>43</v>
      </c>
      <c r="AB74" s="77" t="s">
        <v>195</v>
      </c>
    </row>
    <row r="75" spans="1:28" x14ac:dyDescent="0.15">
      <c r="A75" s="77" t="s">
        <v>44</v>
      </c>
      <c r="B75" s="77" t="s">
        <v>191</v>
      </c>
      <c r="C75" s="77">
        <v>2020</v>
      </c>
      <c r="D75" s="179" t="s">
        <v>370</v>
      </c>
      <c r="E75" s="77" t="s">
        <v>305</v>
      </c>
      <c r="F75" s="77" t="s">
        <v>381</v>
      </c>
      <c r="G75" s="77" t="s">
        <v>25</v>
      </c>
      <c r="H75" s="77" t="s">
        <v>113</v>
      </c>
      <c r="I75" s="77" t="s">
        <v>111</v>
      </c>
      <c r="J75" s="77" t="s">
        <v>27</v>
      </c>
      <c r="K75" s="77" t="s">
        <v>112</v>
      </c>
      <c r="L75" s="77">
        <v>2</v>
      </c>
      <c r="M75" s="181"/>
      <c r="N75" s="77">
        <v>5</v>
      </c>
      <c r="O75" s="77">
        <v>0.75</v>
      </c>
      <c r="P75" s="77">
        <v>0.75</v>
      </c>
      <c r="Q75" s="16">
        <f t="shared" si="3"/>
        <v>0.75</v>
      </c>
      <c r="R75" s="77">
        <v>12.6</v>
      </c>
      <c r="S75" s="77">
        <v>89</v>
      </c>
      <c r="T75" s="16">
        <f t="shared" si="4"/>
        <v>36</v>
      </c>
      <c r="U75" s="77">
        <v>298</v>
      </c>
      <c r="V75" s="16">
        <f t="shared" si="5"/>
        <v>2145.6</v>
      </c>
      <c r="W75" s="77">
        <v>4</v>
      </c>
      <c r="X75" s="77" t="s">
        <v>35</v>
      </c>
      <c r="Y75" s="77" t="s">
        <v>64</v>
      </c>
      <c r="Z75" s="77" t="s">
        <v>36</v>
      </c>
      <c r="AA75" s="77" t="s">
        <v>43</v>
      </c>
      <c r="AB75" s="77" t="s">
        <v>195</v>
      </c>
    </row>
    <row r="76" spans="1:28" x14ac:dyDescent="0.15">
      <c r="A76" s="77" t="s">
        <v>44</v>
      </c>
      <c r="B76" s="77" t="s">
        <v>191</v>
      </c>
      <c r="C76" s="77">
        <v>2020</v>
      </c>
      <c r="D76" s="179" t="s">
        <v>370</v>
      </c>
      <c r="E76" s="77" t="s">
        <v>305</v>
      </c>
      <c r="F76" s="77" t="s">
        <v>381</v>
      </c>
      <c r="G76" s="77" t="s">
        <v>25</v>
      </c>
      <c r="H76" s="77" t="s">
        <v>113</v>
      </c>
      <c r="I76" s="77" t="s">
        <v>111</v>
      </c>
      <c r="J76" s="77" t="s">
        <v>27</v>
      </c>
      <c r="K76" s="77" t="s">
        <v>112</v>
      </c>
      <c r="L76" s="77">
        <v>3</v>
      </c>
      <c r="M76" s="181"/>
      <c r="N76" s="77">
        <v>5</v>
      </c>
      <c r="O76" s="77">
        <v>0.55000000000000004</v>
      </c>
      <c r="P76" s="77">
        <v>0.55000000000000004</v>
      </c>
      <c r="Q76" s="16">
        <f t="shared" si="3"/>
        <v>0.55000000000000004</v>
      </c>
      <c r="R76" s="77">
        <v>11.7</v>
      </c>
      <c r="S76" s="77">
        <v>81</v>
      </c>
      <c r="T76" s="16">
        <f t="shared" si="4"/>
        <v>39</v>
      </c>
      <c r="U76" s="77">
        <v>298</v>
      </c>
      <c r="V76" s="16">
        <f t="shared" si="5"/>
        <v>2324.4</v>
      </c>
      <c r="W76" s="77">
        <v>4</v>
      </c>
      <c r="X76" s="77" t="s">
        <v>35</v>
      </c>
      <c r="Y76" s="77" t="s">
        <v>64</v>
      </c>
      <c r="Z76" s="77" t="s">
        <v>36</v>
      </c>
      <c r="AA76" s="77" t="s">
        <v>43</v>
      </c>
      <c r="AB76" s="77" t="s">
        <v>195</v>
      </c>
    </row>
    <row r="77" spans="1:28" x14ac:dyDescent="0.15">
      <c r="A77" s="77" t="s">
        <v>44</v>
      </c>
      <c r="B77" s="77" t="s">
        <v>191</v>
      </c>
      <c r="C77" s="77">
        <v>2020</v>
      </c>
      <c r="D77" s="179" t="s">
        <v>370</v>
      </c>
      <c r="E77" s="77" t="s">
        <v>305</v>
      </c>
      <c r="F77" s="77" t="s">
        <v>381</v>
      </c>
      <c r="G77" s="77" t="s">
        <v>25</v>
      </c>
      <c r="H77" s="77" t="s">
        <v>113</v>
      </c>
      <c r="I77" s="77" t="s">
        <v>111</v>
      </c>
      <c r="J77" s="77" t="s">
        <v>27</v>
      </c>
      <c r="K77" s="77" t="s">
        <v>112</v>
      </c>
      <c r="L77" s="77">
        <v>1</v>
      </c>
      <c r="M77" s="181"/>
      <c r="N77" s="77">
        <v>10</v>
      </c>
      <c r="O77" s="77">
        <v>0.5</v>
      </c>
      <c r="P77" s="77">
        <v>0.5</v>
      </c>
      <c r="Q77" s="16">
        <f t="shared" si="3"/>
        <v>0.5</v>
      </c>
      <c r="R77" s="77">
        <v>14.8</v>
      </c>
      <c r="S77" s="77">
        <v>80</v>
      </c>
      <c r="T77" s="16">
        <f t="shared" si="4"/>
        <v>39</v>
      </c>
      <c r="U77" s="77">
        <v>498</v>
      </c>
      <c r="V77" s="16">
        <f t="shared" si="5"/>
        <v>1942.1999999999998</v>
      </c>
      <c r="W77" s="77">
        <v>2</v>
      </c>
      <c r="X77" s="77" t="s">
        <v>35</v>
      </c>
      <c r="Y77" s="77" t="s">
        <v>64</v>
      </c>
      <c r="Z77" s="77" t="s">
        <v>36</v>
      </c>
      <c r="AA77" s="77" t="s">
        <v>43</v>
      </c>
      <c r="AB77" s="77" t="s">
        <v>195</v>
      </c>
    </row>
    <row r="78" spans="1:28" x14ac:dyDescent="0.15">
      <c r="A78" s="77" t="s">
        <v>44</v>
      </c>
      <c r="B78" s="77" t="s">
        <v>191</v>
      </c>
      <c r="C78" s="77">
        <v>2020</v>
      </c>
      <c r="D78" s="179" t="s">
        <v>370</v>
      </c>
      <c r="E78" s="77" t="s">
        <v>305</v>
      </c>
      <c r="F78" s="77" t="s">
        <v>381</v>
      </c>
      <c r="G78" s="77" t="s">
        <v>25</v>
      </c>
      <c r="H78" s="77" t="s">
        <v>113</v>
      </c>
      <c r="I78" s="77" t="s">
        <v>111</v>
      </c>
      <c r="J78" s="77" t="s">
        <v>27</v>
      </c>
      <c r="K78" s="77" t="s">
        <v>112</v>
      </c>
      <c r="L78" s="77">
        <v>2</v>
      </c>
      <c r="M78" s="181"/>
      <c r="N78" s="77">
        <v>10</v>
      </c>
      <c r="O78" s="77">
        <v>0.55000000000000004</v>
      </c>
      <c r="P78" s="77">
        <v>0.6</v>
      </c>
      <c r="Q78" s="16">
        <f t="shared" si="3"/>
        <v>0.57499999999999996</v>
      </c>
      <c r="R78" s="77">
        <v>12.5</v>
      </c>
      <c r="S78" s="77">
        <v>79</v>
      </c>
      <c r="T78" s="16">
        <f t="shared" si="4"/>
        <v>39</v>
      </c>
      <c r="U78" s="77">
        <v>498</v>
      </c>
      <c r="V78" s="16">
        <f t="shared" si="5"/>
        <v>1942.1999999999998</v>
      </c>
      <c r="W78" s="77">
        <v>2</v>
      </c>
      <c r="X78" s="77" t="s">
        <v>35</v>
      </c>
      <c r="Y78" s="77" t="s">
        <v>64</v>
      </c>
      <c r="Z78" s="77" t="s">
        <v>36</v>
      </c>
      <c r="AA78" s="77" t="s">
        <v>43</v>
      </c>
      <c r="AB78" s="77" t="s">
        <v>195</v>
      </c>
    </row>
    <row r="79" spans="1:28" x14ac:dyDescent="0.15">
      <c r="A79" s="77" t="s">
        <v>44</v>
      </c>
      <c r="B79" s="77" t="s">
        <v>191</v>
      </c>
      <c r="C79" s="77">
        <v>2020</v>
      </c>
      <c r="D79" s="179" t="s">
        <v>370</v>
      </c>
      <c r="E79" s="77" t="s">
        <v>305</v>
      </c>
      <c r="F79" s="77" t="s">
        <v>381</v>
      </c>
      <c r="G79" s="77" t="s">
        <v>25</v>
      </c>
      <c r="H79" s="77" t="s">
        <v>113</v>
      </c>
      <c r="I79" s="77" t="s">
        <v>111</v>
      </c>
      <c r="J79" s="77" t="s">
        <v>27</v>
      </c>
      <c r="K79" s="77" t="s">
        <v>112</v>
      </c>
      <c r="L79" s="77">
        <v>3</v>
      </c>
      <c r="M79" s="181"/>
      <c r="N79" s="77">
        <v>10</v>
      </c>
      <c r="O79" s="77">
        <v>0.55000000000000004</v>
      </c>
      <c r="P79" s="77">
        <v>0.55000000000000004</v>
      </c>
      <c r="Q79" s="16">
        <f t="shared" si="3"/>
        <v>0.55000000000000004</v>
      </c>
      <c r="R79" s="77">
        <v>15.5</v>
      </c>
      <c r="S79" s="77">
        <v>78</v>
      </c>
      <c r="T79" s="16">
        <f t="shared" si="4"/>
        <v>39</v>
      </c>
      <c r="U79" s="77">
        <v>498</v>
      </c>
      <c r="V79" s="16">
        <f t="shared" si="5"/>
        <v>1942.1999999999998</v>
      </c>
      <c r="W79" s="77">
        <v>2</v>
      </c>
      <c r="X79" s="77" t="s">
        <v>35</v>
      </c>
      <c r="Y79" s="77" t="s">
        <v>64</v>
      </c>
      <c r="Z79" s="77" t="s">
        <v>36</v>
      </c>
      <c r="AA79" s="77" t="s">
        <v>43</v>
      </c>
      <c r="AB79" s="77" t="s">
        <v>195</v>
      </c>
    </row>
    <row r="80" spans="1:28" x14ac:dyDescent="0.15">
      <c r="A80" s="77" t="s">
        <v>44</v>
      </c>
      <c r="B80" s="77" t="s">
        <v>191</v>
      </c>
      <c r="C80" s="77">
        <v>2020</v>
      </c>
      <c r="D80" s="179" t="s">
        <v>370</v>
      </c>
      <c r="E80" s="77" t="s">
        <v>305</v>
      </c>
      <c r="F80" s="77" t="s">
        <v>381</v>
      </c>
      <c r="G80" s="77" t="s">
        <v>25</v>
      </c>
      <c r="H80" s="77" t="s">
        <v>164</v>
      </c>
      <c r="I80" s="77" t="s">
        <v>111</v>
      </c>
      <c r="J80" s="77" t="s">
        <v>27</v>
      </c>
      <c r="K80" s="77" t="s">
        <v>112</v>
      </c>
      <c r="L80" s="77">
        <v>1</v>
      </c>
      <c r="M80" s="181"/>
      <c r="N80" s="77">
        <v>1</v>
      </c>
      <c r="O80" s="77">
        <v>0.75</v>
      </c>
      <c r="P80" s="77">
        <v>0.75</v>
      </c>
      <c r="Q80" s="16">
        <f t="shared" si="3"/>
        <v>0.75</v>
      </c>
      <c r="R80" s="77">
        <v>16.5</v>
      </c>
      <c r="S80" s="77">
        <v>110</v>
      </c>
      <c r="T80" s="16">
        <f t="shared" si="4"/>
        <v>33</v>
      </c>
      <c r="U80" s="77">
        <v>128</v>
      </c>
      <c r="V80" s="16">
        <f t="shared" si="5"/>
        <v>4224</v>
      </c>
      <c r="W80" s="77">
        <v>4</v>
      </c>
      <c r="X80" s="77" t="s">
        <v>35</v>
      </c>
      <c r="Y80" s="77" t="s">
        <v>64</v>
      </c>
      <c r="Z80" s="77" t="s">
        <v>36</v>
      </c>
      <c r="AA80" s="77" t="s">
        <v>43</v>
      </c>
      <c r="AB80" s="77" t="s">
        <v>195</v>
      </c>
    </row>
    <row r="81" spans="1:28" x14ac:dyDescent="0.15">
      <c r="A81" s="77" t="s">
        <v>44</v>
      </c>
      <c r="B81" s="77" t="s">
        <v>191</v>
      </c>
      <c r="C81" s="77">
        <v>2020</v>
      </c>
      <c r="D81" s="179" t="s">
        <v>370</v>
      </c>
      <c r="E81" s="77" t="s">
        <v>305</v>
      </c>
      <c r="F81" s="77" t="s">
        <v>381</v>
      </c>
      <c r="G81" s="77" t="s">
        <v>25</v>
      </c>
      <c r="H81" s="77" t="s">
        <v>164</v>
      </c>
      <c r="I81" s="77" t="s">
        <v>111</v>
      </c>
      <c r="J81" s="77" t="s">
        <v>27</v>
      </c>
      <c r="K81" s="77" t="s">
        <v>112</v>
      </c>
      <c r="L81" s="77">
        <v>2</v>
      </c>
      <c r="M81" s="181"/>
      <c r="N81" s="77">
        <v>1</v>
      </c>
      <c r="O81" s="77">
        <v>0.75</v>
      </c>
      <c r="P81" s="77">
        <v>0.7</v>
      </c>
      <c r="Q81" s="16">
        <f t="shared" si="3"/>
        <v>0.72499999999999998</v>
      </c>
      <c r="R81" s="77">
        <v>16.3</v>
      </c>
      <c r="S81" s="77">
        <v>105</v>
      </c>
      <c r="T81" s="16">
        <f t="shared" si="4"/>
        <v>33</v>
      </c>
      <c r="U81" s="77">
        <v>128</v>
      </c>
      <c r="V81" s="16">
        <f t="shared" si="5"/>
        <v>4224</v>
      </c>
      <c r="W81" s="77">
        <v>4</v>
      </c>
      <c r="X81" s="77" t="s">
        <v>35</v>
      </c>
      <c r="Y81" s="77" t="s">
        <v>64</v>
      </c>
      <c r="Z81" s="77" t="s">
        <v>36</v>
      </c>
      <c r="AA81" s="77" t="s">
        <v>43</v>
      </c>
      <c r="AB81" s="77" t="s">
        <v>195</v>
      </c>
    </row>
    <row r="82" spans="1:28" x14ac:dyDescent="0.15">
      <c r="A82" s="77" t="s">
        <v>44</v>
      </c>
      <c r="B82" s="77" t="s">
        <v>191</v>
      </c>
      <c r="C82" s="77">
        <v>2020</v>
      </c>
      <c r="D82" s="179" t="s">
        <v>370</v>
      </c>
      <c r="E82" s="77" t="s">
        <v>305</v>
      </c>
      <c r="F82" s="77" t="s">
        <v>381</v>
      </c>
      <c r="G82" s="77" t="s">
        <v>25</v>
      </c>
      <c r="H82" s="77" t="s">
        <v>164</v>
      </c>
      <c r="I82" s="77" t="s">
        <v>111</v>
      </c>
      <c r="J82" s="77" t="s">
        <v>27</v>
      </c>
      <c r="K82" s="77" t="s">
        <v>112</v>
      </c>
      <c r="L82" s="77">
        <v>3</v>
      </c>
      <c r="M82" s="181"/>
      <c r="N82" s="77">
        <v>1</v>
      </c>
      <c r="O82" s="77">
        <v>0.75</v>
      </c>
      <c r="P82" s="77">
        <v>0.75</v>
      </c>
      <c r="Q82" s="16">
        <f t="shared" si="3"/>
        <v>0.75</v>
      </c>
      <c r="R82" s="77">
        <v>17.2</v>
      </c>
      <c r="S82" s="77">
        <v>112</v>
      </c>
      <c r="T82" s="16">
        <f t="shared" si="4"/>
        <v>33</v>
      </c>
      <c r="U82" s="77">
        <v>128</v>
      </c>
      <c r="V82" s="16">
        <f t="shared" si="5"/>
        <v>4224</v>
      </c>
      <c r="W82" s="77">
        <v>4</v>
      </c>
      <c r="X82" s="77" t="s">
        <v>35</v>
      </c>
      <c r="Y82" s="77" t="s">
        <v>64</v>
      </c>
      <c r="Z82" s="77" t="s">
        <v>36</v>
      </c>
      <c r="AA82" s="77" t="s">
        <v>43</v>
      </c>
      <c r="AB82" s="77" t="s">
        <v>195</v>
      </c>
    </row>
    <row r="83" spans="1:28" x14ac:dyDescent="0.15">
      <c r="A83" s="77" t="s">
        <v>44</v>
      </c>
      <c r="B83" s="77" t="s">
        <v>191</v>
      </c>
      <c r="C83" s="77">
        <v>2020</v>
      </c>
      <c r="D83" s="179" t="s">
        <v>370</v>
      </c>
      <c r="E83" s="77" t="s">
        <v>305</v>
      </c>
      <c r="F83" s="77" t="s">
        <v>381</v>
      </c>
      <c r="G83" s="77" t="s">
        <v>25</v>
      </c>
      <c r="H83" s="77" t="s">
        <v>164</v>
      </c>
      <c r="I83" s="77" t="s">
        <v>111</v>
      </c>
      <c r="J83" s="77" t="s">
        <v>27</v>
      </c>
      <c r="K83" s="77" t="s">
        <v>112</v>
      </c>
      <c r="L83" s="77">
        <v>1</v>
      </c>
      <c r="M83" s="181"/>
      <c r="N83" s="77">
        <v>4</v>
      </c>
      <c r="O83" s="77">
        <v>0.8</v>
      </c>
      <c r="P83" s="77">
        <v>0.8</v>
      </c>
      <c r="Q83" s="16">
        <f t="shared" si="3"/>
        <v>0.8</v>
      </c>
      <c r="R83" s="77">
        <v>15.3</v>
      </c>
      <c r="S83" s="77">
        <v>97</v>
      </c>
      <c r="T83" s="16">
        <f t="shared" si="4"/>
        <v>36</v>
      </c>
      <c r="U83" s="77">
        <v>498</v>
      </c>
      <c r="V83" s="16">
        <f t="shared" si="5"/>
        <v>4482</v>
      </c>
      <c r="W83" s="77">
        <v>4</v>
      </c>
      <c r="X83" s="77" t="s">
        <v>35</v>
      </c>
      <c r="Y83" s="77" t="s">
        <v>64</v>
      </c>
      <c r="Z83" s="77" t="s">
        <v>36</v>
      </c>
      <c r="AA83" s="77" t="s">
        <v>43</v>
      </c>
      <c r="AB83" s="77" t="s">
        <v>195</v>
      </c>
    </row>
    <row r="84" spans="1:28" x14ac:dyDescent="0.15">
      <c r="A84" s="77" t="s">
        <v>44</v>
      </c>
      <c r="B84" s="77" t="s">
        <v>191</v>
      </c>
      <c r="C84" s="77">
        <v>2020</v>
      </c>
      <c r="D84" s="179" t="s">
        <v>370</v>
      </c>
      <c r="E84" s="77" t="s">
        <v>305</v>
      </c>
      <c r="F84" s="77" t="s">
        <v>381</v>
      </c>
      <c r="G84" s="77" t="s">
        <v>25</v>
      </c>
      <c r="H84" s="77" t="s">
        <v>164</v>
      </c>
      <c r="I84" s="77" t="s">
        <v>111</v>
      </c>
      <c r="J84" s="77" t="s">
        <v>27</v>
      </c>
      <c r="K84" s="77" t="s">
        <v>112</v>
      </c>
      <c r="L84" s="77">
        <v>2</v>
      </c>
      <c r="M84" s="181"/>
      <c r="N84" s="77">
        <v>4</v>
      </c>
      <c r="O84" s="77">
        <v>0.85</v>
      </c>
      <c r="P84" s="77">
        <v>0.85</v>
      </c>
      <c r="Q84" s="16">
        <f t="shared" si="3"/>
        <v>0.85</v>
      </c>
      <c r="R84" s="77">
        <v>16.399999999999999</v>
      </c>
      <c r="S84" s="77">
        <v>103</v>
      </c>
      <c r="T84" s="16">
        <f t="shared" si="4"/>
        <v>33</v>
      </c>
      <c r="U84" s="77">
        <v>498</v>
      </c>
      <c r="V84" s="16">
        <f t="shared" si="5"/>
        <v>4108.5</v>
      </c>
      <c r="W84" s="77">
        <v>4</v>
      </c>
      <c r="X84" s="77" t="s">
        <v>35</v>
      </c>
      <c r="Y84" s="77" t="s">
        <v>64</v>
      </c>
      <c r="Z84" s="77" t="s">
        <v>36</v>
      </c>
      <c r="AA84" s="77" t="s">
        <v>43</v>
      </c>
      <c r="AB84" s="77" t="s">
        <v>195</v>
      </c>
    </row>
    <row r="85" spans="1:28" x14ac:dyDescent="0.15">
      <c r="A85" s="77" t="s">
        <v>44</v>
      </c>
      <c r="B85" s="77" t="s">
        <v>191</v>
      </c>
      <c r="C85" s="77">
        <v>2020</v>
      </c>
      <c r="D85" s="179" t="s">
        <v>370</v>
      </c>
      <c r="E85" s="77" t="s">
        <v>305</v>
      </c>
      <c r="F85" s="77" t="s">
        <v>381</v>
      </c>
      <c r="G85" s="77" t="s">
        <v>25</v>
      </c>
      <c r="H85" s="77" t="s">
        <v>164</v>
      </c>
      <c r="I85" s="77" t="s">
        <v>111</v>
      </c>
      <c r="J85" s="77" t="s">
        <v>27</v>
      </c>
      <c r="K85" s="77" t="s">
        <v>112</v>
      </c>
      <c r="L85" s="77">
        <v>3</v>
      </c>
      <c r="M85" s="181"/>
      <c r="N85" s="77">
        <v>4</v>
      </c>
      <c r="O85" s="77">
        <v>0.75</v>
      </c>
      <c r="P85" s="77">
        <v>0.8</v>
      </c>
      <c r="Q85" s="16">
        <f t="shared" si="3"/>
        <v>0.77500000000000002</v>
      </c>
      <c r="R85" s="77">
        <v>17.2</v>
      </c>
      <c r="S85" s="77">
        <v>99</v>
      </c>
      <c r="T85" s="16">
        <f t="shared" si="4"/>
        <v>33</v>
      </c>
      <c r="U85" s="77">
        <v>498</v>
      </c>
      <c r="V85" s="16">
        <f t="shared" si="5"/>
        <v>4108.5</v>
      </c>
      <c r="W85" s="77">
        <v>4</v>
      </c>
      <c r="X85" s="77" t="s">
        <v>35</v>
      </c>
      <c r="Y85" s="77" t="s">
        <v>64</v>
      </c>
      <c r="Z85" s="77" t="s">
        <v>36</v>
      </c>
      <c r="AA85" s="77" t="s">
        <v>43</v>
      </c>
      <c r="AB85" s="77" t="s">
        <v>195</v>
      </c>
    </row>
    <row r="86" spans="1:28" x14ac:dyDescent="0.15">
      <c r="A86" s="77" t="s">
        <v>44</v>
      </c>
      <c r="B86" s="77" t="s">
        <v>191</v>
      </c>
      <c r="C86" s="77">
        <v>2020</v>
      </c>
      <c r="D86" s="179" t="s">
        <v>370</v>
      </c>
      <c r="E86" s="77" t="s">
        <v>305</v>
      </c>
      <c r="F86" s="77" t="s">
        <v>381</v>
      </c>
      <c r="G86" s="77" t="s">
        <v>25</v>
      </c>
      <c r="H86" s="77" t="s">
        <v>164</v>
      </c>
      <c r="I86" s="77" t="s">
        <v>111</v>
      </c>
      <c r="J86" s="77" t="s">
        <v>27</v>
      </c>
      <c r="K86" s="77" t="s">
        <v>112</v>
      </c>
      <c r="L86" s="77">
        <v>1</v>
      </c>
      <c r="M86" s="181"/>
      <c r="N86" s="77">
        <v>5</v>
      </c>
      <c r="O86" s="77">
        <v>0.55000000000000004</v>
      </c>
      <c r="P86" s="77">
        <v>0.5</v>
      </c>
      <c r="Q86" s="16">
        <f t="shared" si="3"/>
        <v>0.52500000000000002</v>
      </c>
      <c r="R86" s="77">
        <v>17.2</v>
      </c>
      <c r="S86" s="77">
        <v>174</v>
      </c>
      <c r="T86" s="16">
        <f t="shared" si="4"/>
        <v>22</v>
      </c>
      <c r="U86" s="77">
        <v>498</v>
      </c>
      <c r="V86" s="16">
        <f t="shared" si="5"/>
        <v>2191.1999999999998</v>
      </c>
      <c r="W86" s="77">
        <v>4</v>
      </c>
      <c r="X86" s="77" t="s">
        <v>35</v>
      </c>
      <c r="Y86" s="77" t="s">
        <v>64</v>
      </c>
      <c r="Z86" s="77" t="s">
        <v>36</v>
      </c>
      <c r="AA86" s="77" t="s">
        <v>43</v>
      </c>
      <c r="AB86" s="77" t="s">
        <v>195</v>
      </c>
    </row>
    <row r="87" spans="1:28" x14ac:dyDescent="0.15">
      <c r="A87" s="77" t="s">
        <v>44</v>
      </c>
      <c r="B87" s="77" t="s">
        <v>191</v>
      </c>
      <c r="C87" s="77">
        <v>2020</v>
      </c>
      <c r="D87" s="179" t="s">
        <v>370</v>
      </c>
      <c r="E87" s="77" t="s">
        <v>305</v>
      </c>
      <c r="F87" s="77" t="s">
        <v>381</v>
      </c>
      <c r="G87" s="77" t="s">
        <v>25</v>
      </c>
      <c r="H87" s="77" t="s">
        <v>164</v>
      </c>
      <c r="I87" s="77" t="s">
        <v>111</v>
      </c>
      <c r="J87" s="77" t="s">
        <v>27</v>
      </c>
      <c r="K87" s="77" t="s">
        <v>112</v>
      </c>
      <c r="L87" s="77">
        <v>2</v>
      </c>
      <c r="M87" s="181"/>
      <c r="N87" s="77">
        <v>5</v>
      </c>
      <c r="O87" s="77">
        <v>0.55000000000000004</v>
      </c>
      <c r="P87" s="77">
        <v>0.55000000000000004</v>
      </c>
      <c r="Q87" s="16">
        <f t="shared" si="3"/>
        <v>0.55000000000000004</v>
      </c>
      <c r="R87" s="77">
        <v>17.100000000000001</v>
      </c>
      <c r="S87" s="77">
        <v>148</v>
      </c>
      <c r="T87" s="16">
        <f t="shared" si="4"/>
        <v>22</v>
      </c>
      <c r="U87" s="77">
        <v>498</v>
      </c>
      <c r="V87" s="16">
        <f t="shared" si="5"/>
        <v>2191.1999999999998</v>
      </c>
      <c r="W87" s="77">
        <v>4</v>
      </c>
      <c r="X87" s="77" t="s">
        <v>35</v>
      </c>
      <c r="Y87" s="77" t="s">
        <v>64</v>
      </c>
      <c r="Z87" s="77" t="s">
        <v>36</v>
      </c>
      <c r="AA87" s="77" t="s">
        <v>43</v>
      </c>
      <c r="AB87" s="77" t="s">
        <v>195</v>
      </c>
    </row>
    <row r="88" spans="1:28" x14ac:dyDescent="0.15">
      <c r="A88" s="77" t="s">
        <v>44</v>
      </c>
      <c r="B88" s="77" t="s">
        <v>191</v>
      </c>
      <c r="C88" s="77">
        <v>2020</v>
      </c>
      <c r="D88" s="179" t="s">
        <v>370</v>
      </c>
      <c r="E88" s="77" t="s">
        <v>305</v>
      </c>
      <c r="F88" s="77" t="s">
        <v>381</v>
      </c>
      <c r="G88" s="77" t="s">
        <v>25</v>
      </c>
      <c r="H88" s="77" t="s">
        <v>164</v>
      </c>
      <c r="I88" s="77" t="s">
        <v>111</v>
      </c>
      <c r="J88" s="77" t="s">
        <v>27</v>
      </c>
      <c r="K88" s="77" t="s">
        <v>112</v>
      </c>
      <c r="L88" s="77">
        <v>3</v>
      </c>
      <c r="M88" s="181"/>
      <c r="N88" s="77">
        <v>5</v>
      </c>
      <c r="O88" s="77">
        <v>0.65</v>
      </c>
      <c r="P88" s="77">
        <v>0.6</v>
      </c>
      <c r="Q88" s="16">
        <f t="shared" si="3"/>
        <v>0.625</v>
      </c>
      <c r="R88" s="77">
        <v>17.2</v>
      </c>
      <c r="S88" s="77">
        <v>168</v>
      </c>
      <c r="T88" s="16">
        <f t="shared" si="4"/>
        <v>22</v>
      </c>
      <c r="U88" s="77">
        <v>498</v>
      </c>
      <c r="V88" s="16">
        <f t="shared" si="5"/>
        <v>2191.1999999999998</v>
      </c>
      <c r="W88" s="77">
        <v>4</v>
      </c>
      <c r="X88" s="77" t="s">
        <v>35</v>
      </c>
      <c r="Y88" s="77" t="s">
        <v>64</v>
      </c>
      <c r="Z88" s="77" t="s">
        <v>36</v>
      </c>
      <c r="AA88" s="77" t="s">
        <v>43</v>
      </c>
      <c r="AB88" s="77" t="s">
        <v>195</v>
      </c>
    </row>
    <row r="89" spans="1:28" x14ac:dyDescent="0.15">
      <c r="A89" s="77" t="s">
        <v>44</v>
      </c>
      <c r="B89" s="77" t="s">
        <v>191</v>
      </c>
      <c r="C89" s="77">
        <v>2020</v>
      </c>
      <c r="D89" s="179" t="s">
        <v>370</v>
      </c>
      <c r="E89" s="77" t="s">
        <v>305</v>
      </c>
      <c r="F89" s="77" t="s">
        <v>381</v>
      </c>
      <c r="G89" s="77" t="s">
        <v>25</v>
      </c>
      <c r="H89" s="77" t="s">
        <v>164</v>
      </c>
      <c r="I89" s="77" t="s">
        <v>111</v>
      </c>
      <c r="J89" s="77" t="s">
        <v>27</v>
      </c>
      <c r="K89" s="77" t="s">
        <v>112</v>
      </c>
      <c r="L89" s="77">
        <v>1</v>
      </c>
      <c r="M89" s="181"/>
      <c r="N89" s="77">
        <v>8</v>
      </c>
      <c r="O89" s="77">
        <v>0.8</v>
      </c>
      <c r="P89" s="77">
        <v>0.8</v>
      </c>
      <c r="Q89" s="16">
        <f t="shared" si="3"/>
        <v>0.8</v>
      </c>
      <c r="R89" s="77">
        <v>15.5</v>
      </c>
      <c r="S89" s="77">
        <v>110</v>
      </c>
      <c r="T89" s="16">
        <f t="shared" si="4"/>
        <v>33</v>
      </c>
      <c r="U89" s="77">
        <v>698</v>
      </c>
      <c r="V89" s="16">
        <f t="shared" si="5"/>
        <v>2879.25</v>
      </c>
      <c r="W89" s="77">
        <v>4</v>
      </c>
      <c r="X89" s="77" t="s">
        <v>35</v>
      </c>
      <c r="Y89" s="77" t="s">
        <v>64</v>
      </c>
      <c r="Z89" s="77" t="s">
        <v>36</v>
      </c>
      <c r="AA89" s="77" t="s">
        <v>43</v>
      </c>
      <c r="AB89" s="77" t="s">
        <v>195</v>
      </c>
    </row>
    <row r="90" spans="1:28" x14ac:dyDescent="0.15">
      <c r="A90" s="77" t="s">
        <v>44</v>
      </c>
      <c r="B90" s="77" t="s">
        <v>191</v>
      </c>
      <c r="C90" s="77">
        <v>2020</v>
      </c>
      <c r="D90" s="179" t="s">
        <v>370</v>
      </c>
      <c r="E90" s="77" t="s">
        <v>305</v>
      </c>
      <c r="F90" s="77" t="s">
        <v>381</v>
      </c>
      <c r="G90" s="77" t="s">
        <v>25</v>
      </c>
      <c r="H90" s="77" t="s">
        <v>164</v>
      </c>
      <c r="I90" s="77" t="s">
        <v>111</v>
      </c>
      <c r="J90" s="77" t="s">
        <v>27</v>
      </c>
      <c r="K90" s="77" t="s">
        <v>112</v>
      </c>
      <c r="L90" s="77">
        <v>2</v>
      </c>
      <c r="M90" s="181"/>
      <c r="N90" s="77">
        <v>8</v>
      </c>
      <c r="O90" s="77">
        <v>0.6</v>
      </c>
      <c r="P90" s="77">
        <v>0.65</v>
      </c>
      <c r="Q90" s="16">
        <f t="shared" si="3"/>
        <v>0.625</v>
      </c>
      <c r="R90" s="77">
        <v>16.3</v>
      </c>
      <c r="S90" s="77">
        <v>107</v>
      </c>
      <c r="T90" s="16">
        <f t="shared" si="4"/>
        <v>33</v>
      </c>
      <c r="U90" s="77">
        <v>698</v>
      </c>
      <c r="V90" s="16">
        <f t="shared" si="5"/>
        <v>2879.25</v>
      </c>
      <c r="W90" s="77">
        <v>4</v>
      </c>
      <c r="X90" s="77" t="s">
        <v>35</v>
      </c>
      <c r="Y90" s="77" t="s">
        <v>64</v>
      </c>
      <c r="Z90" s="77" t="s">
        <v>36</v>
      </c>
      <c r="AA90" s="77" t="s">
        <v>43</v>
      </c>
      <c r="AB90" s="77" t="s">
        <v>195</v>
      </c>
    </row>
    <row r="91" spans="1:28" x14ac:dyDescent="0.15">
      <c r="A91" s="77" t="s">
        <v>44</v>
      </c>
      <c r="B91" s="77" t="s">
        <v>191</v>
      </c>
      <c r="C91" s="77">
        <v>2020</v>
      </c>
      <c r="D91" s="179" t="s">
        <v>370</v>
      </c>
      <c r="E91" s="77" t="s">
        <v>305</v>
      </c>
      <c r="F91" s="77" t="s">
        <v>381</v>
      </c>
      <c r="G91" s="77" t="s">
        <v>25</v>
      </c>
      <c r="H91" s="77" t="s">
        <v>164</v>
      </c>
      <c r="I91" s="77" t="s">
        <v>111</v>
      </c>
      <c r="J91" s="77" t="s">
        <v>27</v>
      </c>
      <c r="K91" s="77" t="s">
        <v>112</v>
      </c>
      <c r="L91" s="77">
        <v>3</v>
      </c>
      <c r="M91" s="181"/>
      <c r="N91" s="77">
        <v>8</v>
      </c>
      <c r="O91" s="77">
        <v>0.6</v>
      </c>
      <c r="P91" s="77">
        <v>0.6</v>
      </c>
      <c r="Q91" s="16">
        <f t="shared" si="3"/>
        <v>0.6</v>
      </c>
      <c r="R91" s="77">
        <v>17.600000000000001</v>
      </c>
      <c r="S91" s="77">
        <v>104</v>
      </c>
      <c r="T91" s="16">
        <f t="shared" si="4"/>
        <v>33</v>
      </c>
      <c r="U91" s="77">
        <v>698</v>
      </c>
      <c r="V91" s="16">
        <f t="shared" si="5"/>
        <v>2879.25</v>
      </c>
      <c r="W91" s="77">
        <v>4</v>
      </c>
      <c r="X91" s="77" t="s">
        <v>35</v>
      </c>
      <c r="Y91" s="77" t="s">
        <v>64</v>
      </c>
      <c r="Z91" s="77" t="s">
        <v>36</v>
      </c>
      <c r="AA91" s="77" t="s">
        <v>43</v>
      </c>
      <c r="AB91" s="77" t="s">
        <v>195</v>
      </c>
    </row>
    <row r="92" spans="1:28" x14ac:dyDescent="0.15">
      <c r="A92" s="77" t="s">
        <v>44</v>
      </c>
      <c r="B92" s="77" t="s">
        <v>191</v>
      </c>
      <c r="C92" s="77">
        <v>2020</v>
      </c>
      <c r="D92" s="179" t="s">
        <v>370</v>
      </c>
      <c r="E92" s="77" t="s">
        <v>382</v>
      </c>
      <c r="F92" s="77" t="s">
        <v>381</v>
      </c>
      <c r="G92" s="77" t="s">
        <v>31</v>
      </c>
      <c r="H92" s="77" t="s">
        <v>113</v>
      </c>
      <c r="I92" s="77" t="s">
        <v>111</v>
      </c>
      <c r="J92" s="77" t="s">
        <v>27</v>
      </c>
      <c r="K92" s="77" t="s">
        <v>112</v>
      </c>
      <c r="L92" s="77">
        <v>1</v>
      </c>
      <c r="M92" s="181"/>
      <c r="N92" s="77">
        <v>1</v>
      </c>
      <c r="O92" s="77">
        <v>0.9</v>
      </c>
      <c r="P92" s="77">
        <v>1</v>
      </c>
      <c r="Q92" s="16">
        <f t="shared" si="3"/>
        <v>0.95</v>
      </c>
      <c r="R92" s="77">
        <v>14.7</v>
      </c>
      <c r="S92" s="77">
        <v>134</v>
      </c>
      <c r="T92" s="16">
        <f t="shared" si="4"/>
        <v>25</v>
      </c>
      <c r="U92" s="77">
        <v>146</v>
      </c>
      <c r="V92" s="16">
        <f t="shared" si="5"/>
        <v>3650</v>
      </c>
      <c r="W92" s="77">
        <v>1</v>
      </c>
      <c r="X92" s="77" t="s">
        <v>35</v>
      </c>
      <c r="Y92" s="77" t="s">
        <v>55</v>
      </c>
      <c r="Z92" s="77" t="s">
        <v>36</v>
      </c>
      <c r="AA92" s="77" t="s">
        <v>238</v>
      </c>
      <c r="AB92" s="77" t="s">
        <v>195</v>
      </c>
    </row>
    <row r="93" spans="1:28" x14ac:dyDescent="0.15">
      <c r="A93" s="77" t="s">
        <v>44</v>
      </c>
      <c r="B93" s="77" t="s">
        <v>191</v>
      </c>
      <c r="C93" s="77">
        <v>2020</v>
      </c>
      <c r="D93" s="179" t="s">
        <v>370</v>
      </c>
      <c r="E93" s="77" t="s">
        <v>382</v>
      </c>
      <c r="F93" s="77" t="s">
        <v>381</v>
      </c>
      <c r="G93" s="77" t="s">
        <v>31</v>
      </c>
      <c r="H93" s="77" t="s">
        <v>113</v>
      </c>
      <c r="I93" s="77" t="s">
        <v>111</v>
      </c>
      <c r="J93" s="77" t="s">
        <v>27</v>
      </c>
      <c r="K93" s="77" t="s">
        <v>112</v>
      </c>
      <c r="L93" s="77">
        <v>2</v>
      </c>
      <c r="M93" s="181"/>
      <c r="N93" s="77">
        <v>1</v>
      </c>
      <c r="O93" s="77">
        <v>0.9</v>
      </c>
      <c r="P93" s="77">
        <v>0.95</v>
      </c>
      <c r="Q93" s="16">
        <f t="shared" si="3"/>
        <v>0.92500000000000004</v>
      </c>
      <c r="R93" s="77">
        <v>13</v>
      </c>
      <c r="S93" s="77">
        <v>126</v>
      </c>
      <c r="T93" s="16">
        <f t="shared" si="4"/>
        <v>27</v>
      </c>
      <c r="U93" s="77">
        <v>146</v>
      </c>
      <c r="V93" s="16">
        <f t="shared" si="5"/>
        <v>3942</v>
      </c>
      <c r="W93" s="77">
        <v>1</v>
      </c>
      <c r="X93" s="77" t="s">
        <v>35</v>
      </c>
      <c r="Y93" s="77" t="s">
        <v>55</v>
      </c>
      <c r="Z93" s="77" t="s">
        <v>36</v>
      </c>
      <c r="AA93" s="77" t="s">
        <v>238</v>
      </c>
      <c r="AB93" s="77" t="s">
        <v>195</v>
      </c>
    </row>
    <row r="94" spans="1:28" x14ac:dyDescent="0.15">
      <c r="A94" s="77" t="s">
        <v>44</v>
      </c>
      <c r="B94" s="77" t="s">
        <v>191</v>
      </c>
      <c r="C94" s="77">
        <v>2020</v>
      </c>
      <c r="D94" s="179" t="s">
        <v>370</v>
      </c>
      <c r="E94" s="77" t="s">
        <v>382</v>
      </c>
      <c r="F94" s="77" t="s">
        <v>381</v>
      </c>
      <c r="G94" s="77" t="s">
        <v>31</v>
      </c>
      <c r="H94" s="77" t="s">
        <v>113</v>
      </c>
      <c r="I94" s="77" t="s">
        <v>111</v>
      </c>
      <c r="J94" s="77" t="s">
        <v>27</v>
      </c>
      <c r="K94" s="77" t="s">
        <v>112</v>
      </c>
      <c r="L94" s="77">
        <v>3</v>
      </c>
      <c r="M94" s="181"/>
      <c r="N94" s="77">
        <v>1</v>
      </c>
      <c r="O94" s="77">
        <v>0.75</v>
      </c>
      <c r="P94" s="77">
        <v>0.75</v>
      </c>
      <c r="Q94" s="16">
        <f t="shared" si="3"/>
        <v>0.75</v>
      </c>
      <c r="R94" s="77">
        <v>14.2</v>
      </c>
      <c r="S94" s="77">
        <v>126</v>
      </c>
      <c r="T94" s="16">
        <f t="shared" si="4"/>
        <v>27</v>
      </c>
      <c r="U94" s="77">
        <v>146</v>
      </c>
      <c r="V94" s="16">
        <f t="shared" si="5"/>
        <v>3942</v>
      </c>
      <c r="W94" s="77">
        <v>1</v>
      </c>
      <c r="X94" s="77" t="s">
        <v>35</v>
      </c>
      <c r="Y94" s="77" t="s">
        <v>55</v>
      </c>
      <c r="Z94" s="77" t="s">
        <v>36</v>
      </c>
      <c r="AA94" s="77" t="s">
        <v>238</v>
      </c>
      <c r="AB94" s="77" t="s">
        <v>195</v>
      </c>
    </row>
    <row r="95" spans="1:28" x14ac:dyDescent="0.15">
      <c r="A95" s="77" t="s">
        <v>44</v>
      </c>
      <c r="B95" s="77" t="s">
        <v>191</v>
      </c>
      <c r="C95" s="77">
        <v>2020</v>
      </c>
      <c r="D95" s="179" t="s">
        <v>370</v>
      </c>
      <c r="E95" s="77" t="s">
        <v>382</v>
      </c>
      <c r="F95" s="77" t="s">
        <v>381</v>
      </c>
      <c r="G95" s="77" t="s">
        <v>31</v>
      </c>
      <c r="H95" s="77" t="s">
        <v>113</v>
      </c>
      <c r="I95" s="77" t="s">
        <v>111</v>
      </c>
      <c r="J95" s="77" t="s">
        <v>27</v>
      </c>
      <c r="K95" s="77" t="s">
        <v>112</v>
      </c>
      <c r="L95" s="77">
        <v>1</v>
      </c>
      <c r="M95" s="181"/>
      <c r="N95" s="77">
        <v>3</v>
      </c>
      <c r="O95" s="77">
        <v>1</v>
      </c>
      <c r="P95" s="77">
        <v>1</v>
      </c>
      <c r="Q95" s="16">
        <f t="shared" si="3"/>
        <v>1</v>
      </c>
      <c r="R95" s="77">
        <v>14</v>
      </c>
      <c r="S95" s="77">
        <v>101</v>
      </c>
      <c r="T95" s="16">
        <f t="shared" si="4"/>
        <v>33</v>
      </c>
      <c r="U95" s="77">
        <v>276</v>
      </c>
      <c r="V95" s="16">
        <f t="shared" si="5"/>
        <v>3036</v>
      </c>
      <c r="W95" s="77">
        <v>1</v>
      </c>
      <c r="X95" s="77" t="s">
        <v>35</v>
      </c>
      <c r="Y95" s="77" t="s">
        <v>55</v>
      </c>
      <c r="Z95" s="77" t="s">
        <v>36</v>
      </c>
      <c r="AA95" s="77" t="s">
        <v>238</v>
      </c>
      <c r="AB95" s="77" t="s">
        <v>195</v>
      </c>
    </row>
    <row r="96" spans="1:28" x14ac:dyDescent="0.15">
      <c r="A96" s="77" t="s">
        <v>44</v>
      </c>
      <c r="B96" s="77" t="s">
        <v>191</v>
      </c>
      <c r="C96" s="77">
        <v>2020</v>
      </c>
      <c r="D96" s="179" t="s">
        <v>370</v>
      </c>
      <c r="E96" s="77" t="s">
        <v>382</v>
      </c>
      <c r="F96" s="77" t="s">
        <v>381</v>
      </c>
      <c r="G96" s="77" t="s">
        <v>31</v>
      </c>
      <c r="H96" s="77" t="s">
        <v>113</v>
      </c>
      <c r="I96" s="77" t="s">
        <v>111</v>
      </c>
      <c r="J96" s="77" t="s">
        <v>27</v>
      </c>
      <c r="K96" s="77" t="s">
        <v>112</v>
      </c>
      <c r="L96" s="77">
        <v>2</v>
      </c>
      <c r="M96" s="181"/>
      <c r="N96" s="77">
        <v>3</v>
      </c>
      <c r="O96" s="77">
        <v>1</v>
      </c>
      <c r="P96" s="77">
        <v>0.95</v>
      </c>
      <c r="Q96" s="16">
        <f t="shared" si="3"/>
        <v>0.97499999999999998</v>
      </c>
      <c r="R96" s="77">
        <v>13.9</v>
      </c>
      <c r="S96" s="77">
        <v>103</v>
      </c>
      <c r="T96" s="16">
        <f t="shared" si="4"/>
        <v>33</v>
      </c>
      <c r="U96" s="77">
        <v>276</v>
      </c>
      <c r="V96" s="16">
        <f t="shared" si="5"/>
        <v>3036</v>
      </c>
      <c r="W96" s="77">
        <v>1</v>
      </c>
      <c r="X96" s="77" t="s">
        <v>35</v>
      </c>
      <c r="Y96" s="77" t="s">
        <v>55</v>
      </c>
      <c r="Z96" s="77" t="s">
        <v>36</v>
      </c>
      <c r="AA96" s="77" t="s">
        <v>238</v>
      </c>
      <c r="AB96" s="77" t="s">
        <v>195</v>
      </c>
    </row>
    <row r="97" spans="1:28" x14ac:dyDescent="0.15">
      <c r="A97" s="77" t="s">
        <v>44</v>
      </c>
      <c r="B97" s="77" t="s">
        <v>191</v>
      </c>
      <c r="C97" s="77">
        <v>2020</v>
      </c>
      <c r="D97" s="179" t="s">
        <v>370</v>
      </c>
      <c r="E97" s="77" t="s">
        <v>382</v>
      </c>
      <c r="F97" s="77" t="s">
        <v>381</v>
      </c>
      <c r="G97" s="77" t="s">
        <v>31</v>
      </c>
      <c r="H97" s="77" t="s">
        <v>113</v>
      </c>
      <c r="I97" s="77" t="s">
        <v>111</v>
      </c>
      <c r="J97" s="77" t="s">
        <v>27</v>
      </c>
      <c r="K97" s="77" t="s">
        <v>112</v>
      </c>
      <c r="L97" s="77">
        <v>3</v>
      </c>
      <c r="M97" s="181"/>
      <c r="N97" s="77">
        <v>3</v>
      </c>
      <c r="O97" s="77">
        <v>1.2</v>
      </c>
      <c r="P97" s="77">
        <v>1.3</v>
      </c>
      <c r="Q97" s="16">
        <f t="shared" si="3"/>
        <v>1.25</v>
      </c>
      <c r="R97" s="77">
        <v>14.1</v>
      </c>
      <c r="S97" s="77">
        <v>102</v>
      </c>
      <c r="T97" s="16">
        <f t="shared" si="4"/>
        <v>33</v>
      </c>
      <c r="U97" s="77">
        <v>276</v>
      </c>
      <c r="V97" s="16">
        <f t="shared" si="5"/>
        <v>3036</v>
      </c>
      <c r="W97" s="77">
        <v>1</v>
      </c>
      <c r="X97" s="77" t="s">
        <v>35</v>
      </c>
      <c r="Y97" s="77" t="s">
        <v>55</v>
      </c>
      <c r="Z97" s="77" t="s">
        <v>36</v>
      </c>
      <c r="AA97" s="77" t="s">
        <v>238</v>
      </c>
      <c r="AB97" s="77" t="s">
        <v>195</v>
      </c>
    </row>
    <row r="98" spans="1:28" x14ac:dyDescent="0.15">
      <c r="A98" s="77" t="s">
        <v>44</v>
      </c>
      <c r="B98" s="77" t="s">
        <v>191</v>
      </c>
      <c r="C98" s="77">
        <v>2020</v>
      </c>
      <c r="D98" s="179" t="s">
        <v>370</v>
      </c>
      <c r="E98" s="77" t="s">
        <v>382</v>
      </c>
      <c r="F98" s="77" t="s">
        <v>381</v>
      </c>
      <c r="G98" s="77" t="s">
        <v>31</v>
      </c>
      <c r="H98" s="77" t="s">
        <v>164</v>
      </c>
      <c r="I98" s="77" t="s">
        <v>111</v>
      </c>
      <c r="J98" s="77" t="s">
        <v>27</v>
      </c>
      <c r="K98" s="77" t="s">
        <v>112</v>
      </c>
      <c r="L98" s="77">
        <v>1</v>
      </c>
      <c r="M98" s="181"/>
      <c r="N98" s="77">
        <v>1</v>
      </c>
      <c r="O98" s="77">
        <v>0.75</v>
      </c>
      <c r="P98" s="77">
        <v>0.8</v>
      </c>
      <c r="Q98" s="16">
        <f t="shared" si="3"/>
        <v>0.77500000000000002</v>
      </c>
      <c r="R98" s="77">
        <v>14.5</v>
      </c>
      <c r="S98" s="77">
        <v>120</v>
      </c>
      <c r="T98" s="16">
        <f t="shared" si="4"/>
        <v>30</v>
      </c>
      <c r="U98" s="77">
        <v>146</v>
      </c>
      <c r="V98" s="16">
        <f t="shared" si="5"/>
        <v>4380</v>
      </c>
      <c r="W98" s="77">
        <v>1</v>
      </c>
      <c r="X98" s="77" t="s">
        <v>35</v>
      </c>
      <c r="Y98" s="77" t="s">
        <v>55</v>
      </c>
      <c r="Z98" s="77" t="s">
        <v>36</v>
      </c>
      <c r="AA98" s="77" t="s">
        <v>238</v>
      </c>
      <c r="AB98" s="77" t="s">
        <v>195</v>
      </c>
    </row>
    <row r="99" spans="1:28" x14ac:dyDescent="0.15">
      <c r="A99" s="77" t="s">
        <v>44</v>
      </c>
      <c r="B99" s="77" t="s">
        <v>191</v>
      </c>
      <c r="C99" s="77">
        <v>2020</v>
      </c>
      <c r="D99" s="179" t="s">
        <v>370</v>
      </c>
      <c r="E99" s="77" t="s">
        <v>382</v>
      </c>
      <c r="F99" s="77" t="s">
        <v>381</v>
      </c>
      <c r="G99" s="77" t="s">
        <v>31</v>
      </c>
      <c r="H99" s="77" t="s">
        <v>164</v>
      </c>
      <c r="I99" s="77" t="s">
        <v>111</v>
      </c>
      <c r="J99" s="77" t="s">
        <v>27</v>
      </c>
      <c r="K99" s="77" t="s">
        <v>112</v>
      </c>
      <c r="L99" s="77">
        <v>2</v>
      </c>
      <c r="M99" s="181"/>
      <c r="N99" s="77">
        <v>1</v>
      </c>
      <c r="O99" s="77">
        <v>0.65</v>
      </c>
      <c r="P99" s="77">
        <v>0.65</v>
      </c>
      <c r="Q99" s="16">
        <f t="shared" si="3"/>
        <v>0.65</v>
      </c>
      <c r="R99" s="77">
        <v>15</v>
      </c>
      <c r="S99" s="77">
        <v>116</v>
      </c>
      <c r="T99" s="16">
        <f t="shared" si="4"/>
        <v>30</v>
      </c>
      <c r="U99" s="77">
        <v>146</v>
      </c>
      <c r="V99" s="16">
        <f t="shared" si="5"/>
        <v>4380</v>
      </c>
      <c r="W99" s="77">
        <v>1</v>
      </c>
      <c r="X99" s="77" t="s">
        <v>35</v>
      </c>
      <c r="Y99" s="77" t="s">
        <v>55</v>
      </c>
      <c r="Z99" s="77" t="s">
        <v>36</v>
      </c>
      <c r="AA99" s="77" t="s">
        <v>238</v>
      </c>
      <c r="AB99" s="77" t="s">
        <v>195</v>
      </c>
    </row>
    <row r="100" spans="1:28" x14ac:dyDescent="0.15">
      <c r="A100" s="77" t="s">
        <v>44</v>
      </c>
      <c r="B100" s="77" t="s">
        <v>191</v>
      </c>
      <c r="C100" s="77">
        <v>2020</v>
      </c>
      <c r="D100" s="179" t="s">
        <v>370</v>
      </c>
      <c r="E100" s="77" t="s">
        <v>382</v>
      </c>
      <c r="F100" s="77" t="s">
        <v>381</v>
      </c>
      <c r="G100" s="77" t="s">
        <v>31</v>
      </c>
      <c r="H100" s="77" t="s">
        <v>164</v>
      </c>
      <c r="I100" s="77" t="s">
        <v>111</v>
      </c>
      <c r="J100" s="77" t="s">
        <v>27</v>
      </c>
      <c r="K100" s="77" t="s">
        <v>112</v>
      </c>
      <c r="L100" s="77">
        <v>3</v>
      </c>
      <c r="M100" s="181"/>
      <c r="N100" s="77">
        <v>1</v>
      </c>
      <c r="O100" s="77">
        <v>0.55000000000000004</v>
      </c>
      <c r="P100" s="77">
        <v>0.6</v>
      </c>
      <c r="Q100" s="16">
        <f t="shared" si="3"/>
        <v>0.57499999999999996</v>
      </c>
      <c r="R100" s="77">
        <v>15.5</v>
      </c>
      <c r="S100" s="77">
        <v>115</v>
      </c>
      <c r="T100" s="16">
        <f t="shared" si="4"/>
        <v>30</v>
      </c>
      <c r="U100" s="77">
        <v>146</v>
      </c>
      <c r="V100" s="16">
        <f t="shared" si="5"/>
        <v>4380</v>
      </c>
      <c r="W100" s="77">
        <v>1</v>
      </c>
      <c r="X100" s="77" t="s">
        <v>35</v>
      </c>
      <c r="Y100" s="77" t="s">
        <v>55</v>
      </c>
      <c r="Z100" s="77" t="s">
        <v>36</v>
      </c>
      <c r="AA100" s="77" t="s">
        <v>238</v>
      </c>
      <c r="AB100" s="77" t="s">
        <v>195</v>
      </c>
    </row>
    <row r="101" spans="1:28" x14ac:dyDescent="0.15">
      <c r="A101" s="77" t="s">
        <v>44</v>
      </c>
      <c r="B101" s="77" t="s">
        <v>191</v>
      </c>
      <c r="C101" s="77">
        <v>2020</v>
      </c>
      <c r="D101" s="179" t="s">
        <v>370</v>
      </c>
      <c r="E101" s="77" t="s">
        <v>382</v>
      </c>
      <c r="F101" s="77" t="s">
        <v>381</v>
      </c>
      <c r="G101" s="77" t="s">
        <v>31</v>
      </c>
      <c r="H101" s="77" t="s">
        <v>164</v>
      </c>
      <c r="I101" s="77" t="s">
        <v>111</v>
      </c>
      <c r="J101" s="77" t="s">
        <v>27</v>
      </c>
      <c r="K101" s="77" t="s">
        <v>112</v>
      </c>
      <c r="L101" s="77">
        <v>1</v>
      </c>
      <c r="M101" s="181"/>
      <c r="N101" s="77">
        <v>3</v>
      </c>
      <c r="O101" s="77">
        <v>0.7</v>
      </c>
      <c r="P101" s="77">
        <v>0.75</v>
      </c>
      <c r="Q101" s="16">
        <f t="shared" si="3"/>
        <v>0.72499999999999998</v>
      </c>
      <c r="R101" s="77">
        <v>15</v>
      </c>
      <c r="S101" s="77">
        <v>114</v>
      </c>
      <c r="T101" s="16">
        <f t="shared" si="4"/>
        <v>30</v>
      </c>
      <c r="U101" s="77">
        <v>368</v>
      </c>
      <c r="V101" s="16">
        <f t="shared" si="5"/>
        <v>3680</v>
      </c>
      <c r="W101" s="77">
        <v>1</v>
      </c>
      <c r="X101" s="77" t="s">
        <v>28</v>
      </c>
      <c r="Y101" s="77" t="s">
        <v>55</v>
      </c>
      <c r="Z101" s="77" t="s">
        <v>36</v>
      </c>
      <c r="AA101" s="77" t="s">
        <v>238</v>
      </c>
      <c r="AB101" s="77" t="s">
        <v>195</v>
      </c>
    </row>
    <row r="102" spans="1:28" x14ac:dyDescent="0.15">
      <c r="A102" s="77" t="s">
        <v>44</v>
      </c>
      <c r="B102" s="77" t="s">
        <v>191</v>
      </c>
      <c r="C102" s="77">
        <v>2020</v>
      </c>
      <c r="D102" s="179" t="s">
        <v>370</v>
      </c>
      <c r="E102" s="77" t="s">
        <v>382</v>
      </c>
      <c r="F102" s="77" t="s">
        <v>381</v>
      </c>
      <c r="G102" s="77" t="s">
        <v>31</v>
      </c>
      <c r="H102" s="77" t="s">
        <v>164</v>
      </c>
      <c r="I102" s="77" t="s">
        <v>111</v>
      </c>
      <c r="J102" s="77" t="s">
        <v>27</v>
      </c>
      <c r="K102" s="77" t="s">
        <v>112</v>
      </c>
      <c r="L102" s="77">
        <v>2</v>
      </c>
      <c r="M102" s="181"/>
      <c r="N102" s="77">
        <v>3</v>
      </c>
      <c r="O102" s="77">
        <v>0.65</v>
      </c>
      <c r="P102" s="77">
        <v>0.55000000000000004</v>
      </c>
      <c r="Q102" s="16">
        <f t="shared" si="3"/>
        <v>0.60000000000000009</v>
      </c>
      <c r="R102" s="77">
        <v>13.5</v>
      </c>
      <c r="S102" s="77">
        <v>113</v>
      </c>
      <c r="T102" s="16">
        <f t="shared" si="4"/>
        <v>30</v>
      </c>
      <c r="U102" s="77">
        <v>368</v>
      </c>
      <c r="V102" s="16">
        <f t="shared" si="5"/>
        <v>3680</v>
      </c>
      <c r="W102" s="77">
        <v>1</v>
      </c>
      <c r="X102" s="77" t="s">
        <v>28</v>
      </c>
      <c r="Y102" s="77" t="s">
        <v>55</v>
      </c>
      <c r="Z102" s="77" t="s">
        <v>36</v>
      </c>
      <c r="AA102" s="77" t="s">
        <v>238</v>
      </c>
      <c r="AB102" s="77" t="s">
        <v>195</v>
      </c>
    </row>
    <row r="103" spans="1:28" x14ac:dyDescent="0.15">
      <c r="A103" s="77" t="s">
        <v>44</v>
      </c>
      <c r="B103" s="77" t="s">
        <v>191</v>
      </c>
      <c r="C103" s="77">
        <v>2020</v>
      </c>
      <c r="D103" s="179" t="s">
        <v>370</v>
      </c>
      <c r="E103" s="77" t="s">
        <v>382</v>
      </c>
      <c r="F103" s="77" t="s">
        <v>381</v>
      </c>
      <c r="G103" s="77" t="s">
        <v>31</v>
      </c>
      <c r="H103" s="77" t="s">
        <v>164</v>
      </c>
      <c r="I103" s="77" t="s">
        <v>111</v>
      </c>
      <c r="J103" s="77" t="s">
        <v>27</v>
      </c>
      <c r="K103" s="77" t="s">
        <v>112</v>
      </c>
      <c r="L103" s="77">
        <v>3</v>
      </c>
      <c r="M103" s="181"/>
      <c r="N103" s="77">
        <v>3</v>
      </c>
      <c r="O103" s="77">
        <v>0.7</v>
      </c>
      <c r="P103" s="77">
        <v>0.65</v>
      </c>
      <c r="Q103" s="16">
        <f t="shared" si="3"/>
        <v>0.67500000000000004</v>
      </c>
      <c r="R103" s="77">
        <v>16.5</v>
      </c>
      <c r="S103" s="77">
        <v>109</v>
      </c>
      <c r="T103" s="16">
        <f t="shared" si="4"/>
        <v>33</v>
      </c>
      <c r="U103" s="77">
        <v>368</v>
      </c>
      <c r="V103" s="16">
        <f t="shared" si="5"/>
        <v>4048</v>
      </c>
      <c r="W103" s="77">
        <v>1</v>
      </c>
      <c r="X103" s="77" t="s">
        <v>28</v>
      </c>
      <c r="Y103" s="77" t="s">
        <v>55</v>
      </c>
      <c r="Z103" s="77" t="s">
        <v>36</v>
      </c>
      <c r="AA103" s="77" t="s">
        <v>238</v>
      </c>
      <c r="AB103" s="77" t="s">
        <v>195</v>
      </c>
    </row>
    <row r="104" spans="1:28" x14ac:dyDescent="0.15">
      <c r="A104" s="77" t="s">
        <v>44</v>
      </c>
      <c r="B104" s="77" t="s">
        <v>191</v>
      </c>
      <c r="C104" s="77">
        <v>2020</v>
      </c>
      <c r="D104" s="179" t="s">
        <v>370</v>
      </c>
      <c r="E104" s="77" t="s">
        <v>373</v>
      </c>
      <c r="F104" s="77" t="s">
        <v>374</v>
      </c>
      <c r="G104" s="77" t="s">
        <v>31</v>
      </c>
      <c r="H104" s="77" t="s">
        <v>113</v>
      </c>
      <c r="I104" s="77" t="s">
        <v>111</v>
      </c>
      <c r="J104" s="77" t="s">
        <v>27</v>
      </c>
      <c r="K104" s="77" t="s">
        <v>112</v>
      </c>
      <c r="L104" s="77">
        <v>1</v>
      </c>
      <c r="M104" s="181"/>
      <c r="N104" s="77">
        <v>4</v>
      </c>
      <c r="O104" s="77">
        <v>0.8</v>
      </c>
      <c r="P104" s="77">
        <v>0.8</v>
      </c>
      <c r="Q104" s="16">
        <f t="shared" si="3"/>
        <v>0.8</v>
      </c>
      <c r="R104" s="77">
        <v>13</v>
      </c>
      <c r="S104" s="77">
        <v>98</v>
      </c>
      <c r="T104" s="16">
        <f t="shared" si="4"/>
        <v>36</v>
      </c>
      <c r="U104" s="77">
        <v>357</v>
      </c>
      <c r="V104" s="16">
        <f t="shared" si="5"/>
        <v>3213</v>
      </c>
      <c r="W104" s="77">
        <v>1</v>
      </c>
      <c r="X104" s="77" t="s">
        <v>28</v>
      </c>
      <c r="Y104" s="77" t="s">
        <v>43</v>
      </c>
      <c r="Z104" s="77" t="s">
        <v>82</v>
      </c>
      <c r="AA104" s="77" t="s">
        <v>36</v>
      </c>
      <c r="AB104" s="77" t="s">
        <v>195</v>
      </c>
    </row>
    <row r="105" spans="1:28" x14ac:dyDescent="0.15">
      <c r="A105" s="77" t="s">
        <v>44</v>
      </c>
      <c r="B105" s="77" t="s">
        <v>191</v>
      </c>
      <c r="C105" s="77">
        <v>2020</v>
      </c>
      <c r="D105" s="179" t="s">
        <v>370</v>
      </c>
      <c r="E105" s="77" t="s">
        <v>373</v>
      </c>
      <c r="F105" s="77" t="s">
        <v>374</v>
      </c>
      <c r="G105" s="77" t="s">
        <v>31</v>
      </c>
      <c r="H105" s="77" t="s">
        <v>113</v>
      </c>
      <c r="I105" s="77" t="s">
        <v>111</v>
      </c>
      <c r="J105" s="77" t="s">
        <v>27</v>
      </c>
      <c r="K105" s="77" t="s">
        <v>112</v>
      </c>
      <c r="L105" s="77">
        <v>2</v>
      </c>
      <c r="M105" s="181"/>
      <c r="N105" s="77">
        <v>4</v>
      </c>
      <c r="O105" s="77">
        <v>0.8</v>
      </c>
      <c r="P105" s="77">
        <v>0.9</v>
      </c>
      <c r="Q105" s="16">
        <f t="shared" si="3"/>
        <v>0.85000000000000009</v>
      </c>
      <c r="R105" s="77">
        <v>12.1</v>
      </c>
      <c r="S105" s="77">
        <v>98</v>
      </c>
      <c r="T105" s="16">
        <f t="shared" si="4"/>
        <v>36</v>
      </c>
      <c r="U105" s="77">
        <v>357</v>
      </c>
      <c r="V105" s="16">
        <f t="shared" si="5"/>
        <v>3213</v>
      </c>
      <c r="W105" s="77">
        <v>1</v>
      </c>
      <c r="X105" s="77" t="s">
        <v>28</v>
      </c>
      <c r="Y105" s="77" t="s">
        <v>43</v>
      </c>
      <c r="Z105" s="77" t="s">
        <v>82</v>
      </c>
      <c r="AA105" s="77" t="s">
        <v>36</v>
      </c>
      <c r="AB105" s="77" t="s">
        <v>195</v>
      </c>
    </row>
    <row r="106" spans="1:28" x14ac:dyDescent="0.15">
      <c r="A106" s="77" t="s">
        <v>44</v>
      </c>
      <c r="B106" s="77" t="s">
        <v>191</v>
      </c>
      <c r="C106" s="77">
        <v>2020</v>
      </c>
      <c r="D106" s="179" t="s">
        <v>370</v>
      </c>
      <c r="E106" s="77" t="s">
        <v>373</v>
      </c>
      <c r="F106" s="77" t="s">
        <v>374</v>
      </c>
      <c r="G106" s="77" t="s">
        <v>31</v>
      </c>
      <c r="H106" s="77" t="s">
        <v>113</v>
      </c>
      <c r="I106" s="77" t="s">
        <v>111</v>
      </c>
      <c r="J106" s="77" t="s">
        <v>27</v>
      </c>
      <c r="K106" s="77" t="s">
        <v>112</v>
      </c>
      <c r="L106" s="77">
        <v>3</v>
      </c>
      <c r="M106" s="181"/>
      <c r="N106" s="77">
        <v>4</v>
      </c>
      <c r="O106" s="77">
        <v>0.75</v>
      </c>
      <c r="P106" s="77">
        <v>0.8</v>
      </c>
      <c r="Q106" s="16">
        <f t="shared" si="3"/>
        <v>0.77500000000000002</v>
      </c>
      <c r="R106" s="77">
        <v>12.3</v>
      </c>
      <c r="S106" s="77">
        <v>94</v>
      </c>
      <c r="T106" s="16">
        <f t="shared" si="4"/>
        <v>36</v>
      </c>
      <c r="U106" s="77">
        <v>357</v>
      </c>
      <c r="V106" s="16">
        <f t="shared" si="5"/>
        <v>3213</v>
      </c>
      <c r="W106" s="77">
        <v>1</v>
      </c>
      <c r="X106" s="77" t="s">
        <v>28</v>
      </c>
      <c r="Y106" s="77" t="s">
        <v>43</v>
      </c>
      <c r="Z106" s="77" t="s">
        <v>82</v>
      </c>
      <c r="AA106" s="77" t="s">
        <v>36</v>
      </c>
      <c r="AB106" s="77" t="s">
        <v>195</v>
      </c>
    </row>
    <row r="107" spans="1:28" x14ac:dyDescent="0.15">
      <c r="A107" s="77" t="s">
        <v>44</v>
      </c>
      <c r="B107" s="77" t="s">
        <v>191</v>
      </c>
      <c r="C107" s="77">
        <v>2020</v>
      </c>
      <c r="D107" s="179" t="s">
        <v>370</v>
      </c>
      <c r="E107" s="77" t="s">
        <v>373</v>
      </c>
      <c r="F107" s="77" t="s">
        <v>374</v>
      </c>
      <c r="G107" s="77" t="s">
        <v>31</v>
      </c>
      <c r="H107" s="77" t="s">
        <v>113</v>
      </c>
      <c r="I107" s="77" t="s">
        <v>111</v>
      </c>
      <c r="J107" s="77" t="s">
        <v>27</v>
      </c>
      <c r="K107" s="77" t="s">
        <v>112</v>
      </c>
      <c r="L107" s="77">
        <v>1</v>
      </c>
      <c r="M107" s="181"/>
      <c r="N107" s="77">
        <v>8</v>
      </c>
      <c r="O107" s="77">
        <v>0.6</v>
      </c>
      <c r="P107" s="77">
        <v>0.55000000000000004</v>
      </c>
      <c r="Q107" s="16">
        <f t="shared" si="3"/>
        <v>0.57499999999999996</v>
      </c>
      <c r="R107" s="77">
        <v>16.5</v>
      </c>
      <c r="S107" s="77">
        <v>82</v>
      </c>
      <c r="T107" s="16">
        <f t="shared" si="4"/>
        <v>39</v>
      </c>
      <c r="U107" s="77">
        <v>497</v>
      </c>
      <c r="V107" s="16">
        <f t="shared" si="5"/>
        <v>2422.875</v>
      </c>
      <c r="W107" s="77">
        <v>1</v>
      </c>
      <c r="X107" s="77" t="s">
        <v>28</v>
      </c>
      <c r="Y107" s="77" t="s">
        <v>43</v>
      </c>
      <c r="Z107" s="77" t="s">
        <v>82</v>
      </c>
      <c r="AA107" s="77" t="s">
        <v>36</v>
      </c>
      <c r="AB107" s="77" t="s">
        <v>195</v>
      </c>
    </row>
    <row r="108" spans="1:28" x14ac:dyDescent="0.15">
      <c r="A108" s="77" t="s">
        <v>44</v>
      </c>
      <c r="B108" s="77" t="s">
        <v>191</v>
      </c>
      <c r="C108" s="77">
        <v>2020</v>
      </c>
      <c r="D108" s="179" t="s">
        <v>370</v>
      </c>
      <c r="E108" s="77" t="s">
        <v>373</v>
      </c>
      <c r="F108" s="77" t="s">
        <v>374</v>
      </c>
      <c r="G108" s="77" t="s">
        <v>31</v>
      </c>
      <c r="H108" s="77" t="s">
        <v>113</v>
      </c>
      <c r="I108" s="77" t="s">
        <v>111</v>
      </c>
      <c r="J108" s="77" t="s">
        <v>27</v>
      </c>
      <c r="K108" s="77" t="s">
        <v>112</v>
      </c>
      <c r="L108" s="77">
        <v>2</v>
      </c>
      <c r="M108" s="181"/>
      <c r="N108" s="77">
        <v>8</v>
      </c>
      <c r="O108" s="77">
        <v>0.7</v>
      </c>
      <c r="P108" s="77">
        <v>0.65</v>
      </c>
      <c r="Q108" s="16">
        <f t="shared" si="3"/>
        <v>0.67500000000000004</v>
      </c>
      <c r="R108" s="77">
        <v>16.399999999999999</v>
      </c>
      <c r="S108" s="77">
        <v>87</v>
      </c>
      <c r="T108" s="16">
        <f t="shared" si="4"/>
        <v>36</v>
      </c>
      <c r="U108" s="77">
        <v>497</v>
      </c>
      <c r="V108" s="16">
        <f t="shared" si="5"/>
        <v>2236.5</v>
      </c>
      <c r="W108" s="77">
        <v>1</v>
      </c>
      <c r="X108" s="77" t="s">
        <v>28</v>
      </c>
      <c r="Y108" s="77" t="s">
        <v>43</v>
      </c>
      <c r="Z108" s="77" t="s">
        <v>82</v>
      </c>
      <c r="AA108" s="77" t="s">
        <v>36</v>
      </c>
      <c r="AB108" s="77" t="s">
        <v>195</v>
      </c>
    </row>
    <row r="109" spans="1:28" x14ac:dyDescent="0.15">
      <c r="A109" s="77" t="s">
        <v>44</v>
      </c>
      <c r="B109" s="77" t="s">
        <v>191</v>
      </c>
      <c r="C109" s="77">
        <v>2020</v>
      </c>
      <c r="D109" s="179" t="s">
        <v>370</v>
      </c>
      <c r="E109" s="77" t="s">
        <v>373</v>
      </c>
      <c r="F109" s="77" t="s">
        <v>374</v>
      </c>
      <c r="G109" s="77" t="s">
        <v>31</v>
      </c>
      <c r="H109" s="77" t="s">
        <v>113</v>
      </c>
      <c r="I109" s="77" t="s">
        <v>111</v>
      </c>
      <c r="J109" s="77" t="s">
        <v>27</v>
      </c>
      <c r="K109" s="77" t="s">
        <v>112</v>
      </c>
      <c r="L109" s="77">
        <v>3</v>
      </c>
      <c r="M109" s="181"/>
      <c r="N109" s="77">
        <v>8</v>
      </c>
      <c r="O109" s="77">
        <v>0.6</v>
      </c>
      <c r="P109" s="77">
        <v>0.6</v>
      </c>
      <c r="Q109" s="16">
        <f t="shared" si="3"/>
        <v>0.6</v>
      </c>
      <c r="R109" s="77">
        <v>16.3</v>
      </c>
      <c r="S109" s="77">
        <v>87</v>
      </c>
      <c r="T109" s="16">
        <f t="shared" si="4"/>
        <v>36</v>
      </c>
      <c r="U109" s="77">
        <v>497</v>
      </c>
      <c r="V109" s="16">
        <f t="shared" si="5"/>
        <v>2236.5</v>
      </c>
      <c r="W109" s="77">
        <v>1</v>
      </c>
      <c r="X109" s="77" t="s">
        <v>28</v>
      </c>
      <c r="Y109" s="77" t="s">
        <v>43</v>
      </c>
      <c r="Z109" s="77" t="s">
        <v>82</v>
      </c>
      <c r="AA109" s="77" t="s">
        <v>36</v>
      </c>
      <c r="AB109" s="77" t="s">
        <v>195</v>
      </c>
    </row>
    <row r="110" spans="1:28" x14ac:dyDescent="0.15">
      <c r="A110" s="77" t="s">
        <v>44</v>
      </c>
      <c r="B110" s="77" t="s">
        <v>191</v>
      </c>
      <c r="C110" s="77">
        <v>2020</v>
      </c>
      <c r="D110" s="179" t="s">
        <v>370</v>
      </c>
      <c r="E110" s="77" t="s">
        <v>373</v>
      </c>
      <c r="F110" s="77" t="s">
        <v>374</v>
      </c>
      <c r="G110" s="77" t="s">
        <v>31</v>
      </c>
      <c r="H110" s="77" t="s">
        <v>164</v>
      </c>
      <c r="I110" s="77" t="s">
        <v>111</v>
      </c>
      <c r="J110" s="77" t="s">
        <v>27</v>
      </c>
      <c r="K110" s="77" t="s">
        <v>112</v>
      </c>
      <c r="L110" s="77">
        <v>1</v>
      </c>
      <c r="M110" s="181"/>
      <c r="N110" s="77">
        <v>1</v>
      </c>
      <c r="O110" s="77">
        <v>0.8</v>
      </c>
      <c r="P110" s="77">
        <v>0.8</v>
      </c>
      <c r="Q110" s="16">
        <f t="shared" si="3"/>
        <v>0.8</v>
      </c>
      <c r="R110" s="77">
        <v>15.4</v>
      </c>
      <c r="S110" s="77">
        <v>120</v>
      </c>
      <c r="T110" s="16">
        <f t="shared" si="4"/>
        <v>30</v>
      </c>
      <c r="U110" s="77">
        <v>97</v>
      </c>
      <c r="V110" s="16">
        <f t="shared" si="5"/>
        <v>2910</v>
      </c>
      <c r="W110" s="77">
        <v>1</v>
      </c>
      <c r="X110" s="77" t="s">
        <v>28</v>
      </c>
      <c r="Y110" s="77" t="s">
        <v>43</v>
      </c>
      <c r="Z110" s="77" t="s">
        <v>82</v>
      </c>
      <c r="AA110" s="77" t="s">
        <v>36</v>
      </c>
      <c r="AB110" s="77" t="s">
        <v>195</v>
      </c>
    </row>
    <row r="111" spans="1:28" x14ac:dyDescent="0.15">
      <c r="A111" s="77" t="s">
        <v>44</v>
      </c>
      <c r="B111" s="77" t="s">
        <v>191</v>
      </c>
      <c r="C111" s="77">
        <v>2020</v>
      </c>
      <c r="D111" s="179" t="s">
        <v>370</v>
      </c>
      <c r="E111" s="77" t="s">
        <v>373</v>
      </c>
      <c r="F111" s="77" t="s">
        <v>374</v>
      </c>
      <c r="G111" s="77" t="s">
        <v>31</v>
      </c>
      <c r="H111" s="77" t="s">
        <v>164</v>
      </c>
      <c r="I111" s="77" t="s">
        <v>111</v>
      </c>
      <c r="J111" s="77" t="s">
        <v>27</v>
      </c>
      <c r="K111" s="77" t="s">
        <v>112</v>
      </c>
      <c r="L111" s="77">
        <v>2</v>
      </c>
      <c r="M111" s="181"/>
      <c r="N111" s="77">
        <v>1</v>
      </c>
      <c r="O111" s="77">
        <v>0.75</v>
      </c>
      <c r="P111" s="77">
        <v>0.8</v>
      </c>
      <c r="Q111" s="16">
        <f t="shared" si="3"/>
        <v>0.77500000000000002</v>
      </c>
      <c r="R111" s="77">
        <v>14.4</v>
      </c>
      <c r="S111" s="77">
        <v>119</v>
      </c>
      <c r="T111" s="16">
        <f t="shared" si="4"/>
        <v>30</v>
      </c>
      <c r="U111" s="77">
        <v>97</v>
      </c>
      <c r="V111" s="16">
        <f t="shared" si="5"/>
        <v>2910</v>
      </c>
      <c r="W111" s="77">
        <v>1</v>
      </c>
      <c r="X111" s="77" t="s">
        <v>28</v>
      </c>
      <c r="Y111" s="77" t="s">
        <v>43</v>
      </c>
      <c r="Z111" s="77" t="s">
        <v>82</v>
      </c>
      <c r="AA111" s="77" t="s">
        <v>36</v>
      </c>
      <c r="AB111" s="77" t="s">
        <v>195</v>
      </c>
    </row>
    <row r="112" spans="1:28" x14ac:dyDescent="0.15">
      <c r="A112" s="77" t="s">
        <v>44</v>
      </c>
      <c r="B112" s="77" t="s">
        <v>191</v>
      </c>
      <c r="C112" s="77">
        <v>2020</v>
      </c>
      <c r="D112" s="179" t="s">
        <v>370</v>
      </c>
      <c r="E112" s="77" t="s">
        <v>373</v>
      </c>
      <c r="F112" s="77" t="s">
        <v>374</v>
      </c>
      <c r="G112" s="77" t="s">
        <v>31</v>
      </c>
      <c r="H112" s="77" t="s">
        <v>164</v>
      </c>
      <c r="I112" s="77" t="s">
        <v>111</v>
      </c>
      <c r="J112" s="77" t="s">
        <v>27</v>
      </c>
      <c r="K112" s="77" t="s">
        <v>112</v>
      </c>
      <c r="L112" s="77">
        <v>3</v>
      </c>
      <c r="M112" s="181"/>
      <c r="N112" s="77">
        <v>1</v>
      </c>
      <c r="O112" s="77">
        <v>0.95</v>
      </c>
      <c r="P112" s="77">
        <v>0.9</v>
      </c>
      <c r="Q112" s="16">
        <f t="shared" si="3"/>
        <v>0.92500000000000004</v>
      </c>
      <c r="R112" s="77">
        <v>15</v>
      </c>
      <c r="S112" s="77">
        <v>124</v>
      </c>
      <c r="T112" s="16">
        <f t="shared" si="4"/>
        <v>27</v>
      </c>
      <c r="U112" s="77">
        <v>97</v>
      </c>
      <c r="V112" s="16">
        <f t="shared" si="5"/>
        <v>2619</v>
      </c>
      <c r="W112" s="77">
        <v>1</v>
      </c>
      <c r="X112" s="77" t="s">
        <v>28</v>
      </c>
      <c r="Y112" s="77" t="s">
        <v>43</v>
      </c>
      <c r="Z112" s="77" t="s">
        <v>82</v>
      </c>
      <c r="AA112" s="77" t="s">
        <v>36</v>
      </c>
      <c r="AB112" s="77" t="s">
        <v>195</v>
      </c>
    </row>
    <row r="113" spans="1:28" x14ac:dyDescent="0.15">
      <c r="A113" s="77" t="s">
        <v>44</v>
      </c>
      <c r="B113" s="77" t="s">
        <v>191</v>
      </c>
      <c r="C113" s="77">
        <v>2020</v>
      </c>
      <c r="D113" s="179" t="s">
        <v>370</v>
      </c>
      <c r="E113" s="77" t="s">
        <v>373</v>
      </c>
      <c r="F113" s="77" t="s">
        <v>374</v>
      </c>
      <c r="G113" s="77" t="s">
        <v>31</v>
      </c>
      <c r="H113" s="77" t="s">
        <v>164</v>
      </c>
      <c r="I113" s="77" t="s">
        <v>111</v>
      </c>
      <c r="J113" s="77" t="s">
        <v>27</v>
      </c>
      <c r="K113" s="77" t="s">
        <v>112</v>
      </c>
      <c r="L113" s="77">
        <v>1</v>
      </c>
      <c r="M113" s="181"/>
      <c r="N113" s="77">
        <v>4</v>
      </c>
      <c r="O113" s="77">
        <v>0.75</v>
      </c>
      <c r="P113" s="77">
        <v>0.6</v>
      </c>
      <c r="Q113" s="16">
        <f t="shared" si="3"/>
        <v>0.67500000000000004</v>
      </c>
      <c r="R113" s="77">
        <v>16.600000000000001</v>
      </c>
      <c r="S113" s="77">
        <v>97</v>
      </c>
      <c r="T113" s="16">
        <f t="shared" si="4"/>
        <v>36</v>
      </c>
      <c r="U113" s="77">
        <v>357</v>
      </c>
      <c r="V113" s="16">
        <f t="shared" si="5"/>
        <v>3213</v>
      </c>
      <c r="W113" s="77">
        <v>1</v>
      </c>
      <c r="X113" s="77" t="s">
        <v>28</v>
      </c>
      <c r="Y113" s="77" t="s">
        <v>43</v>
      </c>
      <c r="Z113" s="77" t="s">
        <v>82</v>
      </c>
      <c r="AA113" s="77" t="s">
        <v>36</v>
      </c>
      <c r="AB113" s="77" t="s">
        <v>195</v>
      </c>
    </row>
    <row r="114" spans="1:28" x14ac:dyDescent="0.15">
      <c r="A114" s="77" t="s">
        <v>44</v>
      </c>
      <c r="B114" s="77" t="s">
        <v>191</v>
      </c>
      <c r="C114" s="77">
        <v>2020</v>
      </c>
      <c r="D114" s="179" t="s">
        <v>370</v>
      </c>
      <c r="E114" s="77" t="s">
        <v>373</v>
      </c>
      <c r="F114" s="77" t="s">
        <v>374</v>
      </c>
      <c r="G114" s="77" t="s">
        <v>31</v>
      </c>
      <c r="H114" s="77" t="s">
        <v>164</v>
      </c>
      <c r="I114" s="77" t="s">
        <v>111</v>
      </c>
      <c r="J114" s="77" t="s">
        <v>27</v>
      </c>
      <c r="K114" s="77" t="s">
        <v>112</v>
      </c>
      <c r="L114" s="77">
        <v>2</v>
      </c>
      <c r="M114" s="181"/>
      <c r="N114" s="77">
        <v>4</v>
      </c>
      <c r="O114" s="77">
        <v>0.6</v>
      </c>
      <c r="P114" s="77">
        <v>0.6</v>
      </c>
      <c r="Q114" s="16">
        <f t="shared" si="3"/>
        <v>0.6</v>
      </c>
      <c r="R114" s="77">
        <v>15.2</v>
      </c>
      <c r="S114" s="77">
        <v>92</v>
      </c>
      <c r="T114" s="16">
        <f t="shared" si="4"/>
        <v>36</v>
      </c>
      <c r="U114" s="77">
        <v>357</v>
      </c>
      <c r="V114" s="16">
        <f t="shared" si="5"/>
        <v>3213</v>
      </c>
      <c r="W114" s="77">
        <v>1</v>
      </c>
      <c r="X114" s="77" t="s">
        <v>28</v>
      </c>
      <c r="Y114" s="77" t="s">
        <v>43</v>
      </c>
      <c r="Z114" s="77" t="s">
        <v>82</v>
      </c>
      <c r="AA114" s="77" t="s">
        <v>36</v>
      </c>
      <c r="AB114" s="77" t="s">
        <v>195</v>
      </c>
    </row>
    <row r="115" spans="1:28" x14ac:dyDescent="0.15">
      <c r="A115" s="77" t="s">
        <v>44</v>
      </c>
      <c r="B115" s="77" t="s">
        <v>191</v>
      </c>
      <c r="C115" s="77">
        <v>2020</v>
      </c>
      <c r="D115" s="179" t="s">
        <v>370</v>
      </c>
      <c r="E115" s="77" t="s">
        <v>373</v>
      </c>
      <c r="F115" s="77" t="s">
        <v>374</v>
      </c>
      <c r="G115" s="77" t="s">
        <v>31</v>
      </c>
      <c r="H115" s="77" t="s">
        <v>164</v>
      </c>
      <c r="I115" s="77" t="s">
        <v>111</v>
      </c>
      <c r="J115" s="77" t="s">
        <v>27</v>
      </c>
      <c r="K115" s="77" t="s">
        <v>112</v>
      </c>
      <c r="L115" s="77">
        <v>3</v>
      </c>
      <c r="M115" s="181"/>
      <c r="N115" s="77">
        <v>4</v>
      </c>
      <c r="O115" s="77">
        <v>0.6</v>
      </c>
      <c r="P115" s="77">
        <v>0.6</v>
      </c>
      <c r="Q115" s="16">
        <f t="shared" si="3"/>
        <v>0.6</v>
      </c>
      <c r="R115" s="77">
        <v>15.6</v>
      </c>
      <c r="S115" s="77">
        <v>90</v>
      </c>
      <c r="T115" s="16">
        <f t="shared" si="4"/>
        <v>36</v>
      </c>
      <c r="U115" s="77">
        <v>357</v>
      </c>
      <c r="V115" s="16">
        <f t="shared" si="5"/>
        <v>3213</v>
      </c>
      <c r="W115" s="77">
        <v>1</v>
      </c>
      <c r="X115" s="77" t="s">
        <v>28</v>
      </c>
      <c r="Y115" s="77" t="s">
        <v>43</v>
      </c>
      <c r="Z115" s="77" t="s">
        <v>82</v>
      </c>
      <c r="AA115" s="77" t="s">
        <v>36</v>
      </c>
      <c r="AB115" s="77" t="s">
        <v>195</v>
      </c>
    </row>
    <row r="116" spans="1:28" x14ac:dyDescent="0.15">
      <c r="A116" s="77" t="s">
        <v>44</v>
      </c>
      <c r="B116" s="77" t="s">
        <v>191</v>
      </c>
      <c r="C116" s="77">
        <v>2020</v>
      </c>
      <c r="D116" s="179" t="s">
        <v>370</v>
      </c>
      <c r="E116" s="77" t="s">
        <v>373</v>
      </c>
      <c r="F116" s="77" t="s">
        <v>374</v>
      </c>
      <c r="G116" s="77" t="s">
        <v>31</v>
      </c>
      <c r="H116" s="77" t="s">
        <v>164</v>
      </c>
      <c r="I116" s="77" t="s">
        <v>111</v>
      </c>
      <c r="J116" s="77" t="s">
        <v>27</v>
      </c>
      <c r="K116" s="77" t="s">
        <v>112</v>
      </c>
      <c r="L116" s="77">
        <v>1</v>
      </c>
      <c r="M116" s="181"/>
      <c r="N116" s="77">
        <v>8</v>
      </c>
      <c r="O116" s="77">
        <v>1</v>
      </c>
      <c r="P116" s="77">
        <v>1.05</v>
      </c>
      <c r="Q116" s="16">
        <f t="shared" si="3"/>
        <v>1.0249999999999999</v>
      </c>
      <c r="R116" s="77">
        <v>11.1</v>
      </c>
      <c r="S116" s="77">
        <v>102</v>
      </c>
      <c r="T116" s="16">
        <f t="shared" si="4"/>
        <v>33</v>
      </c>
      <c r="U116" s="77">
        <v>497</v>
      </c>
      <c r="V116" s="16">
        <f t="shared" si="5"/>
        <v>2050.125</v>
      </c>
      <c r="W116" s="77">
        <v>1</v>
      </c>
      <c r="X116" s="77" t="s">
        <v>28</v>
      </c>
      <c r="Y116" s="77" t="s">
        <v>43</v>
      </c>
      <c r="Z116" s="77" t="s">
        <v>82</v>
      </c>
      <c r="AA116" s="77" t="s">
        <v>36</v>
      </c>
      <c r="AB116" s="77" t="s">
        <v>195</v>
      </c>
    </row>
    <row r="117" spans="1:28" x14ac:dyDescent="0.15">
      <c r="A117" s="77" t="s">
        <v>44</v>
      </c>
      <c r="B117" s="77" t="s">
        <v>191</v>
      </c>
      <c r="C117" s="77">
        <v>2020</v>
      </c>
      <c r="D117" s="179" t="s">
        <v>370</v>
      </c>
      <c r="E117" s="77" t="s">
        <v>373</v>
      </c>
      <c r="F117" s="77" t="s">
        <v>374</v>
      </c>
      <c r="G117" s="77" t="s">
        <v>31</v>
      </c>
      <c r="H117" s="77" t="s">
        <v>164</v>
      </c>
      <c r="I117" s="77" t="s">
        <v>111</v>
      </c>
      <c r="J117" s="77" t="s">
        <v>27</v>
      </c>
      <c r="K117" s="77" t="s">
        <v>112</v>
      </c>
      <c r="L117" s="77">
        <v>2</v>
      </c>
      <c r="M117" s="181"/>
      <c r="N117" s="77">
        <v>8</v>
      </c>
      <c r="O117" s="77">
        <v>0.8</v>
      </c>
      <c r="P117" s="77">
        <v>0.85</v>
      </c>
      <c r="Q117" s="16">
        <f t="shared" si="3"/>
        <v>0.82499999999999996</v>
      </c>
      <c r="R117" s="77">
        <v>12.1</v>
      </c>
      <c r="S117" s="77">
        <v>99</v>
      </c>
      <c r="T117" s="16">
        <f t="shared" si="4"/>
        <v>33</v>
      </c>
      <c r="U117" s="77">
        <v>497</v>
      </c>
      <c r="V117" s="16">
        <f t="shared" si="5"/>
        <v>2050.125</v>
      </c>
      <c r="W117" s="77">
        <v>1</v>
      </c>
      <c r="X117" s="77" t="s">
        <v>28</v>
      </c>
      <c r="Y117" s="77" t="s">
        <v>43</v>
      </c>
      <c r="Z117" s="77" t="s">
        <v>82</v>
      </c>
      <c r="AA117" s="77" t="s">
        <v>36</v>
      </c>
      <c r="AB117" s="77" t="s">
        <v>195</v>
      </c>
    </row>
    <row r="118" spans="1:28" x14ac:dyDescent="0.15">
      <c r="A118" s="77" t="s">
        <v>44</v>
      </c>
      <c r="B118" s="77" t="s">
        <v>191</v>
      </c>
      <c r="C118" s="77">
        <v>2020</v>
      </c>
      <c r="D118" s="179" t="s">
        <v>370</v>
      </c>
      <c r="E118" s="77" t="s">
        <v>373</v>
      </c>
      <c r="F118" s="77" t="s">
        <v>374</v>
      </c>
      <c r="G118" s="77" t="s">
        <v>31</v>
      </c>
      <c r="H118" s="77" t="s">
        <v>164</v>
      </c>
      <c r="I118" s="77" t="s">
        <v>111</v>
      </c>
      <c r="J118" s="77" t="s">
        <v>27</v>
      </c>
      <c r="K118" s="77" t="s">
        <v>112</v>
      </c>
      <c r="L118" s="77">
        <v>3</v>
      </c>
      <c r="M118" s="181"/>
      <c r="N118" s="77">
        <v>8</v>
      </c>
      <c r="O118" s="77">
        <v>1</v>
      </c>
      <c r="P118" s="77">
        <v>1</v>
      </c>
      <c r="Q118" s="16">
        <f t="shared" si="3"/>
        <v>1</v>
      </c>
      <c r="R118" s="77">
        <v>15</v>
      </c>
      <c r="S118" s="77">
        <v>104</v>
      </c>
      <c r="T118" s="16">
        <f t="shared" si="4"/>
        <v>33</v>
      </c>
      <c r="U118" s="77">
        <v>497</v>
      </c>
      <c r="V118" s="16">
        <f t="shared" si="5"/>
        <v>2050.125</v>
      </c>
      <c r="W118" s="77">
        <v>1</v>
      </c>
      <c r="X118" s="77" t="s">
        <v>28</v>
      </c>
      <c r="Y118" s="77" t="s">
        <v>43</v>
      </c>
      <c r="Z118" s="77" t="s">
        <v>82</v>
      </c>
      <c r="AA118" s="77" t="s">
        <v>36</v>
      </c>
      <c r="AB118" s="77" t="s">
        <v>195</v>
      </c>
    </row>
    <row r="119" spans="1:28" x14ac:dyDescent="0.15">
      <c r="A119" s="77" t="s">
        <v>44</v>
      </c>
      <c r="B119" s="77" t="s">
        <v>191</v>
      </c>
      <c r="C119" s="77">
        <v>2020</v>
      </c>
      <c r="D119" s="179" t="s">
        <v>370</v>
      </c>
      <c r="E119" s="77" t="s">
        <v>375</v>
      </c>
      <c r="F119" s="77" t="s">
        <v>372</v>
      </c>
      <c r="G119" s="77" t="s">
        <v>25</v>
      </c>
      <c r="H119" s="77" t="s">
        <v>113</v>
      </c>
      <c r="I119" s="77" t="s">
        <v>111</v>
      </c>
      <c r="J119" s="77" t="s">
        <v>27</v>
      </c>
      <c r="K119" s="77" t="s">
        <v>112</v>
      </c>
      <c r="L119" s="77">
        <v>1</v>
      </c>
      <c r="M119" s="181"/>
      <c r="N119" s="77">
        <v>1</v>
      </c>
      <c r="O119" s="77">
        <v>0.6</v>
      </c>
      <c r="P119" s="77">
        <v>0.5</v>
      </c>
      <c r="Q119" s="16">
        <f t="shared" si="3"/>
        <v>0.55000000000000004</v>
      </c>
      <c r="R119" s="77">
        <v>15.7</v>
      </c>
      <c r="S119" s="77">
        <v>132</v>
      </c>
      <c r="T119" s="16">
        <f t="shared" si="4"/>
        <v>25</v>
      </c>
      <c r="U119" s="77">
        <v>138</v>
      </c>
      <c r="V119" s="16">
        <f t="shared" si="5"/>
        <v>3450</v>
      </c>
      <c r="W119" s="77">
        <v>4</v>
      </c>
      <c r="X119" s="77" t="s">
        <v>35</v>
      </c>
      <c r="Y119" s="77" t="s">
        <v>43</v>
      </c>
      <c r="Z119" s="77" t="s">
        <v>72</v>
      </c>
      <c r="AA119" s="77" t="s">
        <v>55</v>
      </c>
      <c r="AB119" s="77" t="s">
        <v>195</v>
      </c>
    </row>
    <row r="120" spans="1:28" x14ac:dyDescent="0.15">
      <c r="A120" s="77" t="s">
        <v>44</v>
      </c>
      <c r="B120" s="77" t="s">
        <v>191</v>
      </c>
      <c r="C120" s="77">
        <v>2020</v>
      </c>
      <c r="D120" s="179" t="s">
        <v>370</v>
      </c>
      <c r="E120" s="77" t="s">
        <v>375</v>
      </c>
      <c r="F120" s="77" t="s">
        <v>372</v>
      </c>
      <c r="G120" s="77" t="s">
        <v>25</v>
      </c>
      <c r="H120" s="77" t="s">
        <v>113</v>
      </c>
      <c r="I120" s="77" t="s">
        <v>111</v>
      </c>
      <c r="J120" s="77" t="s">
        <v>27</v>
      </c>
      <c r="K120" s="77" t="s">
        <v>112</v>
      </c>
      <c r="L120" s="77">
        <v>2</v>
      </c>
      <c r="M120" s="181"/>
      <c r="N120" s="77">
        <v>1</v>
      </c>
      <c r="O120" s="77">
        <v>0.6</v>
      </c>
      <c r="P120" s="77">
        <v>0.6</v>
      </c>
      <c r="Q120" s="16">
        <f t="shared" si="3"/>
        <v>0.6</v>
      </c>
      <c r="R120" s="77">
        <v>14.5</v>
      </c>
      <c r="S120" s="77">
        <v>124</v>
      </c>
      <c r="T120" s="16">
        <f t="shared" si="4"/>
        <v>27</v>
      </c>
      <c r="U120" s="77">
        <v>138</v>
      </c>
      <c r="V120" s="16">
        <f t="shared" si="5"/>
        <v>3726</v>
      </c>
      <c r="W120" s="77">
        <v>4</v>
      </c>
      <c r="X120" s="77" t="s">
        <v>35</v>
      </c>
      <c r="Y120" s="77" t="s">
        <v>43</v>
      </c>
      <c r="Z120" s="77" t="s">
        <v>72</v>
      </c>
      <c r="AA120" s="77" t="s">
        <v>55</v>
      </c>
      <c r="AB120" s="77" t="s">
        <v>195</v>
      </c>
    </row>
    <row r="121" spans="1:28" x14ac:dyDescent="0.15">
      <c r="A121" s="77" t="s">
        <v>44</v>
      </c>
      <c r="B121" s="77" t="s">
        <v>191</v>
      </c>
      <c r="C121" s="77">
        <v>2020</v>
      </c>
      <c r="D121" s="179" t="s">
        <v>370</v>
      </c>
      <c r="E121" s="77" t="s">
        <v>375</v>
      </c>
      <c r="F121" s="77" t="s">
        <v>372</v>
      </c>
      <c r="G121" s="77" t="s">
        <v>25</v>
      </c>
      <c r="H121" s="77" t="s">
        <v>113</v>
      </c>
      <c r="I121" s="77" t="s">
        <v>111</v>
      </c>
      <c r="J121" s="77" t="s">
        <v>27</v>
      </c>
      <c r="K121" s="77" t="s">
        <v>112</v>
      </c>
      <c r="L121" s="77">
        <v>3</v>
      </c>
      <c r="M121" s="181"/>
      <c r="N121" s="77">
        <v>1</v>
      </c>
      <c r="O121" s="77">
        <v>0.65</v>
      </c>
      <c r="P121" s="77">
        <v>0.65</v>
      </c>
      <c r="Q121" s="16">
        <f t="shared" si="3"/>
        <v>0.65</v>
      </c>
      <c r="R121" s="77">
        <v>15.6</v>
      </c>
      <c r="S121" s="77">
        <v>125</v>
      </c>
      <c r="T121" s="16">
        <f t="shared" si="4"/>
        <v>27</v>
      </c>
      <c r="U121" s="77">
        <v>138</v>
      </c>
      <c r="V121" s="16">
        <f t="shared" si="5"/>
        <v>3726</v>
      </c>
      <c r="W121" s="77">
        <v>4</v>
      </c>
      <c r="X121" s="77" t="s">
        <v>35</v>
      </c>
      <c r="Y121" s="77" t="s">
        <v>43</v>
      </c>
      <c r="Z121" s="77" t="s">
        <v>72</v>
      </c>
      <c r="AA121" s="77" t="s">
        <v>55</v>
      </c>
      <c r="AB121" s="77" t="s">
        <v>195</v>
      </c>
    </row>
    <row r="122" spans="1:28" x14ac:dyDescent="0.15">
      <c r="A122" s="77" t="s">
        <v>44</v>
      </c>
      <c r="B122" s="77" t="s">
        <v>191</v>
      </c>
      <c r="C122" s="77">
        <v>2020</v>
      </c>
      <c r="D122" s="179" t="s">
        <v>370</v>
      </c>
      <c r="E122" s="77" t="s">
        <v>375</v>
      </c>
      <c r="F122" s="77" t="s">
        <v>372</v>
      </c>
      <c r="G122" s="77" t="s">
        <v>25</v>
      </c>
      <c r="H122" s="77" t="s">
        <v>113</v>
      </c>
      <c r="I122" s="77" t="s">
        <v>111</v>
      </c>
      <c r="J122" s="77" t="s">
        <v>27</v>
      </c>
      <c r="K122" s="77" t="s">
        <v>112</v>
      </c>
      <c r="L122" s="77">
        <v>1</v>
      </c>
      <c r="M122" s="181"/>
      <c r="N122" s="77">
        <v>7</v>
      </c>
      <c r="O122" s="77">
        <v>0.8</v>
      </c>
      <c r="P122" s="77">
        <v>0.85</v>
      </c>
      <c r="Q122" s="16">
        <f t="shared" si="3"/>
        <v>0.82499999999999996</v>
      </c>
      <c r="R122" s="77">
        <v>15.1</v>
      </c>
      <c r="S122" s="77">
        <v>116</v>
      </c>
      <c r="T122" s="16">
        <f t="shared" si="4"/>
        <v>30</v>
      </c>
      <c r="U122" s="77">
        <v>450</v>
      </c>
      <c r="V122" s="16">
        <f t="shared" si="5"/>
        <v>1928.5714285714287</v>
      </c>
      <c r="W122" s="77">
        <v>4</v>
      </c>
      <c r="X122" s="77" t="s">
        <v>35</v>
      </c>
      <c r="Y122" s="77" t="s">
        <v>43</v>
      </c>
      <c r="Z122" s="77" t="s">
        <v>72</v>
      </c>
      <c r="AA122" s="77" t="s">
        <v>55</v>
      </c>
      <c r="AB122" s="77" t="s">
        <v>195</v>
      </c>
    </row>
    <row r="123" spans="1:28" x14ac:dyDescent="0.15">
      <c r="A123" s="77" t="s">
        <v>44</v>
      </c>
      <c r="B123" s="77" t="s">
        <v>191</v>
      </c>
      <c r="C123" s="77">
        <v>2020</v>
      </c>
      <c r="D123" s="179" t="s">
        <v>370</v>
      </c>
      <c r="E123" s="77" t="s">
        <v>375</v>
      </c>
      <c r="F123" s="77" t="s">
        <v>372</v>
      </c>
      <c r="G123" s="77" t="s">
        <v>25</v>
      </c>
      <c r="H123" s="77" t="s">
        <v>113</v>
      </c>
      <c r="I123" s="77" t="s">
        <v>111</v>
      </c>
      <c r="J123" s="77" t="s">
        <v>27</v>
      </c>
      <c r="K123" s="77" t="s">
        <v>112</v>
      </c>
      <c r="L123" s="77">
        <v>2</v>
      </c>
      <c r="M123" s="181"/>
      <c r="N123" s="77">
        <v>7</v>
      </c>
      <c r="O123" s="77">
        <v>0.9</v>
      </c>
      <c r="P123" s="77">
        <v>0.9</v>
      </c>
      <c r="Q123" s="16">
        <f t="shared" si="3"/>
        <v>0.9</v>
      </c>
      <c r="R123" s="77">
        <v>12.3</v>
      </c>
      <c r="S123" s="77">
        <v>115</v>
      </c>
      <c r="T123" s="16">
        <f t="shared" si="4"/>
        <v>30</v>
      </c>
      <c r="U123" s="77">
        <v>450</v>
      </c>
      <c r="V123" s="16">
        <f t="shared" si="5"/>
        <v>1928.5714285714287</v>
      </c>
      <c r="W123" s="77">
        <v>4</v>
      </c>
      <c r="X123" s="77" t="s">
        <v>35</v>
      </c>
      <c r="Y123" s="77" t="s">
        <v>43</v>
      </c>
      <c r="Z123" s="77" t="s">
        <v>72</v>
      </c>
      <c r="AA123" s="77" t="s">
        <v>55</v>
      </c>
      <c r="AB123" s="77" t="s">
        <v>195</v>
      </c>
    </row>
    <row r="124" spans="1:28" x14ac:dyDescent="0.15">
      <c r="A124" s="77" t="s">
        <v>44</v>
      </c>
      <c r="B124" s="77" t="s">
        <v>191</v>
      </c>
      <c r="C124" s="77">
        <v>2020</v>
      </c>
      <c r="D124" s="179" t="s">
        <v>370</v>
      </c>
      <c r="E124" s="77" t="s">
        <v>375</v>
      </c>
      <c r="F124" s="77" t="s">
        <v>372</v>
      </c>
      <c r="G124" s="77" t="s">
        <v>25</v>
      </c>
      <c r="H124" s="77" t="s">
        <v>113</v>
      </c>
      <c r="I124" s="77" t="s">
        <v>111</v>
      </c>
      <c r="J124" s="77" t="s">
        <v>27</v>
      </c>
      <c r="K124" s="77" t="s">
        <v>112</v>
      </c>
      <c r="L124" s="77">
        <v>3</v>
      </c>
      <c r="M124" s="181"/>
      <c r="N124" s="77">
        <v>7</v>
      </c>
      <c r="O124" s="77">
        <v>0.95</v>
      </c>
      <c r="P124" s="77">
        <v>0.95</v>
      </c>
      <c r="Q124" s="16">
        <f t="shared" si="3"/>
        <v>0.95</v>
      </c>
      <c r="R124" s="77">
        <v>15.1</v>
      </c>
      <c r="S124" s="77">
        <v>112</v>
      </c>
      <c r="T124" s="16">
        <f t="shared" si="4"/>
        <v>33</v>
      </c>
      <c r="U124" s="77">
        <v>450</v>
      </c>
      <c r="V124" s="16">
        <f t="shared" si="5"/>
        <v>2121.4285714285716</v>
      </c>
      <c r="W124" s="77">
        <v>4</v>
      </c>
      <c r="X124" s="77" t="s">
        <v>35</v>
      </c>
      <c r="Y124" s="77" t="s">
        <v>43</v>
      </c>
      <c r="Z124" s="77" t="s">
        <v>72</v>
      </c>
      <c r="AA124" s="77" t="s">
        <v>55</v>
      </c>
      <c r="AB124" s="77" t="s">
        <v>195</v>
      </c>
    </row>
    <row r="125" spans="1:28" x14ac:dyDescent="0.15">
      <c r="A125" s="77" t="s">
        <v>44</v>
      </c>
      <c r="B125" s="77" t="s">
        <v>191</v>
      </c>
      <c r="C125" s="77">
        <v>2020</v>
      </c>
      <c r="D125" s="179" t="s">
        <v>370</v>
      </c>
      <c r="E125" s="77" t="s">
        <v>375</v>
      </c>
      <c r="F125" s="77" t="s">
        <v>372</v>
      </c>
      <c r="G125" s="77" t="s">
        <v>25</v>
      </c>
      <c r="H125" s="77" t="s">
        <v>164</v>
      </c>
      <c r="I125" s="77" t="s">
        <v>111</v>
      </c>
      <c r="J125" s="77" t="s">
        <v>27</v>
      </c>
      <c r="K125" s="77" t="s">
        <v>112</v>
      </c>
      <c r="L125" s="77">
        <v>1</v>
      </c>
      <c r="M125" s="181"/>
      <c r="N125" s="77">
        <v>1</v>
      </c>
      <c r="O125" s="77">
        <v>0.65</v>
      </c>
      <c r="P125" s="77">
        <v>0.7</v>
      </c>
      <c r="Q125" s="16">
        <f t="shared" si="3"/>
        <v>0.67500000000000004</v>
      </c>
      <c r="R125" s="77">
        <v>16.600000000000001</v>
      </c>
      <c r="S125" s="77">
        <v>148</v>
      </c>
      <c r="T125" s="16">
        <f t="shared" si="4"/>
        <v>22</v>
      </c>
      <c r="U125" s="77">
        <v>138</v>
      </c>
      <c r="V125" s="16">
        <f t="shared" si="5"/>
        <v>3036</v>
      </c>
      <c r="W125" s="77">
        <v>8</v>
      </c>
      <c r="X125" s="77" t="s">
        <v>35</v>
      </c>
      <c r="Y125" s="77" t="s">
        <v>43</v>
      </c>
      <c r="Z125" s="77" t="s">
        <v>72</v>
      </c>
      <c r="AA125" s="77" t="s">
        <v>55</v>
      </c>
      <c r="AB125" s="77" t="s">
        <v>195</v>
      </c>
    </row>
    <row r="126" spans="1:28" x14ac:dyDescent="0.15">
      <c r="A126" s="77" t="s">
        <v>44</v>
      </c>
      <c r="B126" s="77" t="s">
        <v>191</v>
      </c>
      <c r="C126" s="77">
        <v>2020</v>
      </c>
      <c r="D126" s="179" t="s">
        <v>370</v>
      </c>
      <c r="E126" s="77" t="s">
        <v>375</v>
      </c>
      <c r="F126" s="77" t="s">
        <v>372</v>
      </c>
      <c r="G126" s="77" t="s">
        <v>25</v>
      </c>
      <c r="H126" s="77" t="s">
        <v>164</v>
      </c>
      <c r="I126" s="77" t="s">
        <v>111</v>
      </c>
      <c r="J126" s="77" t="s">
        <v>27</v>
      </c>
      <c r="K126" s="77" t="s">
        <v>112</v>
      </c>
      <c r="L126" s="77">
        <v>2</v>
      </c>
      <c r="M126" s="181"/>
      <c r="N126" s="77">
        <v>1</v>
      </c>
      <c r="O126" s="77">
        <v>0.65</v>
      </c>
      <c r="P126" s="77">
        <v>0.6</v>
      </c>
      <c r="Q126" s="16">
        <f t="shared" si="3"/>
        <v>0.625</v>
      </c>
      <c r="R126" s="77">
        <v>16.8</v>
      </c>
      <c r="S126" s="77">
        <v>137</v>
      </c>
      <c r="T126" s="16">
        <f t="shared" si="4"/>
        <v>25</v>
      </c>
      <c r="U126" s="77">
        <v>138</v>
      </c>
      <c r="V126" s="16">
        <f t="shared" si="5"/>
        <v>3450</v>
      </c>
      <c r="W126" s="77">
        <v>8</v>
      </c>
      <c r="X126" s="77" t="s">
        <v>35</v>
      </c>
      <c r="Y126" s="77" t="s">
        <v>43</v>
      </c>
      <c r="Z126" s="77" t="s">
        <v>72</v>
      </c>
      <c r="AA126" s="77" t="s">
        <v>55</v>
      </c>
      <c r="AB126" s="77" t="s">
        <v>195</v>
      </c>
    </row>
    <row r="127" spans="1:28" x14ac:dyDescent="0.15">
      <c r="A127" s="77" t="s">
        <v>44</v>
      </c>
      <c r="B127" s="77" t="s">
        <v>191</v>
      </c>
      <c r="C127" s="77">
        <v>2020</v>
      </c>
      <c r="D127" s="179" t="s">
        <v>370</v>
      </c>
      <c r="E127" s="77" t="s">
        <v>375</v>
      </c>
      <c r="F127" s="77" t="s">
        <v>372</v>
      </c>
      <c r="G127" s="77" t="s">
        <v>25</v>
      </c>
      <c r="H127" s="77" t="s">
        <v>164</v>
      </c>
      <c r="I127" s="77" t="s">
        <v>111</v>
      </c>
      <c r="J127" s="77" t="s">
        <v>27</v>
      </c>
      <c r="K127" s="77" t="s">
        <v>112</v>
      </c>
      <c r="L127" s="77">
        <v>3</v>
      </c>
      <c r="M127" s="181"/>
      <c r="N127" s="77">
        <v>1</v>
      </c>
      <c r="O127" s="77">
        <v>0.7</v>
      </c>
      <c r="P127" s="77">
        <v>0.7</v>
      </c>
      <c r="Q127" s="16">
        <f t="shared" si="3"/>
        <v>0.7</v>
      </c>
      <c r="R127" s="77">
        <v>15.9</v>
      </c>
      <c r="S127" s="77">
        <v>143</v>
      </c>
      <c r="T127" s="16">
        <f t="shared" si="4"/>
        <v>22</v>
      </c>
      <c r="U127" s="77">
        <v>138</v>
      </c>
      <c r="V127" s="16">
        <f t="shared" si="5"/>
        <v>3036</v>
      </c>
      <c r="W127" s="77">
        <v>8</v>
      </c>
      <c r="X127" s="77" t="s">
        <v>35</v>
      </c>
      <c r="Y127" s="77" t="s">
        <v>43</v>
      </c>
      <c r="Z127" s="77" t="s">
        <v>72</v>
      </c>
      <c r="AA127" s="77" t="s">
        <v>55</v>
      </c>
      <c r="AB127" s="77" t="s">
        <v>195</v>
      </c>
    </row>
    <row r="128" spans="1:28" x14ac:dyDescent="0.15">
      <c r="A128" s="77" t="s">
        <v>44</v>
      </c>
      <c r="B128" s="77" t="s">
        <v>191</v>
      </c>
      <c r="C128" s="77">
        <v>2020</v>
      </c>
      <c r="D128" s="179" t="s">
        <v>370</v>
      </c>
      <c r="E128" s="77" t="s">
        <v>375</v>
      </c>
      <c r="F128" s="77" t="s">
        <v>372</v>
      </c>
      <c r="G128" s="77" t="s">
        <v>25</v>
      </c>
      <c r="H128" s="77" t="s">
        <v>164</v>
      </c>
      <c r="I128" s="77" t="s">
        <v>111</v>
      </c>
      <c r="J128" s="77" t="s">
        <v>27</v>
      </c>
      <c r="K128" s="77" t="s">
        <v>112</v>
      </c>
      <c r="L128" s="77">
        <v>1</v>
      </c>
      <c r="M128" s="181"/>
      <c r="N128" s="77">
        <v>6</v>
      </c>
      <c r="O128" s="77">
        <v>1</v>
      </c>
      <c r="P128" s="77">
        <v>1</v>
      </c>
      <c r="Q128" s="16">
        <f t="shared" si="3"/>
        <v>1</v>
      </c>
      <c r="R128" s="77">
        <v>16.7</v>
      </c>
      <c r="S128" s="77">
        <v>95</v>
      </c>
      <c r="T128" s="16">
        <f t="shared" si="4"/>
        <v>36</v>
      </c>
      <c r="U128" s="77">
        <v>450</v>
      </c>
      <c r="V128" s="16">
        <f t="shared" si="5"/>
        <v>2700</v>
      </c>
      <c r="W128" s="77">
        <v>4</v>
      </c>
      <c r="X128" s="77" t="s">
        <v>35</v>
      </c>
      <c r="Y128" s="77" t="s">
        <v>43</v>
      </c>
      <c r="Z128" s="77" t="s">
        <v>72</v>
      </c>
      <c r="AA128" s="77" t="s">
        <v>55</v>
      </c>
      <c r="AB128" s="77" t="s">
        <v>195</v>
      </c>
    </row>
    <row r="129" spans="1:28" x14ac:dyDescent="0.15">
      <c r="A129" s="77" t="s">
        <v>44</v>
      </c>
      <c r="B129" s="77" t="s">
        <v>191</v>
      </c>
      <c r="C129" s="77">
        <v>2020</v>
      </c>
      <c r="D129" s="179" t="s">
        <v>370</v>
      </c>
      <c r="E129" s="77" t="s">
        <v>375</v>
      </c>
      <c r="F129" s="77" t="s">
        <v>372</v>
      </c>
      <c r="G129" s="77" t="s">
        <v>25</v>
      </c>
      <c r="H129" s="77" t="s">
        <v>164</v>
      </c>
      <c r="I129" s="77" t="s">
        <v>111</v>
      </c>
      <c r="J129" s="77" t="s">
        <v>27</v>
      </c>
      <c r="K129" s="77" t="s">
        <v>112</v>
      </c>
      <c r="L129" s="77">
        <v>2</v>
      </c>
      <c r="M129" s="181"/>
      <c r="N129" s="77">
        <v>6</v>
      </c>
      <c r="O129" s="77">
        <v>1.05</v>
      </c>
      <c r="P129" s="77">
        <v>1</v>
      </c>
      <c r="Q129" s="16">
        <f t="shared" si="3"/>
        <v>1.0249999999999999</v>
      </c>
      <c r="R129" s="77">
        <v>15.2</v>
      </c>
      <c r="S129" s="77">
        <v>96</v>
      </c>
      <c r="T129" s="16">
        <f t="shared" si="4"/>
        <v>36</v>
      </c>
      <c r="U129" s="77">
        <v>450</v>
      </c>
      <c r="V129" s="16">
        <f t="shared" si="5"/>
        <v>2700</v>
      </c>
      <c r="W129" s="77">
        <v>4</v>
      </c>
      <c r="X129" s="77" t="s">
        <v>35</v>
      </c>
      <c r="Y129" s="77" t="s">
        <v>43</v>
      </c>
      <c r="Z129" s="77" t="s">
        <v>72</v>
      </c>
      <c r="AA129" s="77" t="s">
        <v>55</v>
      </c>
      <c r="AB129" s="77" t="s">
        <v>195</v>
      </c>
    </row>
    <row r="130" spans="1:28" x14ac:dyDescent="0.15">
      <c r="A130" s="77" t="s">
        <v>44</v>
      </c>
      <c r="B130" s="77" t="s">
        <v>191</v>
      </c>
      <c r="C130" s="77">
        <v>2020</v>
      </c>
      <c r="D130" s="179" t="s">
        <v>370</v>
      </c>
      <c r="E130" s="77" t="s">
        <v>375</v>
      </c>
      <c r="F130" s="77" t="s">
        <v>372</v>
      </c>
      <c r="G130" s="77" t="s">
        <v>25</v>
      </c>
      <c r="H130" s="77" t="s">
        <v>164</v>
      </c>
      <c r="I130" s="77" t="s">
        <v>111</v>
      </c>
      <c r="J130" s="77" t="s">
        <v>27</v>
      </c>
      <c r="K130" s="77" t="s">
        <v>112</v>
      </c>
      <c r="L130" s="77">
        <v>3</v>
      </c>
      <c r="M130" s="181"/>
      <c r="N130" s="77">
        <v>6</v>
      </c>
      <c r="O130" s="77">
        <v>0.7</v>
      </c>
      <c r="P130" s="77">
        <v>0.7</v>
      </c>
      <c r="Q130" s="16">
        <f t="shared" ref="Q130:Q142" si="6">IF(OR(O130="",P130=""),"",AVERAGE(O130,P130))</f>
        <v>0.7</v>
      </c>
      <c r="R130" s="77">
        <v>15.3</v>
      </c>
      <c r="S130" s="77">
        <v>98</v>
      </c>
      <c r="T130" s="16">
        <f t="shared" ref="T130:T142" si="7">IF(H130="","",IF(OR(H130="GREEN",H130="GK"),IF(S130&gt;=$AX$2,VLOOKUP(S130,$AX$2:$AY$10,2,1),""),IF(S130&gt;=$AZ$2,VLOOKUP(S130,$AZ$2:$BA$10,2,1),"")))</f>
        <v>36</v>
      </c>
      <c r="U130" s="77">
        <v>450</v>
      </c>
      <c r="V130" s="16">
        <f t="shared" ref="V130:V142" si="8">IF(OR(N130="",U130="",T130=""),"",U130/N130*T130)</f>
        <v>2700</v>
      </c>
      <c r="W130" s="77">
        <v>4</v>
      </c>
      <c r="X130" s="77" t="s">
        <v>35</v>
      </c>
      <c r="Y130" s="77" t="s">
        <v>43</v>
      </c>
      <c r="Z130" s="77" t="s">
        <v>72</v>
      </c>
      <c r="AA130" s="77" t="s">
        <v>55</v>
      </c>
      <c r="AB130" s="77" t="s">
        <v>195</v>
      </c>
    </row>
    <row r="131" spans="1:28" x14ac:dyDescent="0.15">
      <c r="A131" s="77" t="s">
        <v>44</v>
      </c>
      <c r="B131" s="77" t="s">
        <v>191</v>
      </c>
      <c r="C131" s="77">
        <v>2020</v>
      </c>
      <c r="D131" s="179" t="s">
        <v>370</v>
      </c>
      <c r="E131" s="77" t="s">
        <v>380</v>
      </c>
      <c r="F131" s="77" t="s">
        <v>372</v>
      </c>
      <c r="G131" s="77" t="s">
        <v>25</v>
      </c>
      <c r="H131" s="77" t="s">
        <v>113</v>
      </c>
      <c r="I131" s="77" t="s">
        <v>111</v>
      </c>
      <c r="J131" s="77" t="s">
        <v>27</v>
      </c>
      <c r="K131" s="77" t="s">
        <v>112</v>
      </c>
      <c r="L131" s="77">
        <v>1</v>
      </c>
      <c r="M131" s="181"/>
      <c r="N131" s="77">
        <v>1</v>
      </c>
      <c r="O131" s="77">
        <v>0.6</v>
      </c>
      <c r="P131" s="77">
        <v>0.5</v>
      </c>
      <c r="Q131" s="16">
        <f t="shared" si="6"/>
        <v>0.55000000000000004</v>
      </c>
      <c r="R131" s="77">
        <v>12.7</v>
      </c>
      <c r="S131" s="77">
        <v>132</v>
      </c>
      <c r="T131" s="16">
        <f t="shared" si="7"/>
        <v>25</v>
      </c>
      <c r="U131" s="77">
        <v>128</v>
      </c>
      <c r="V131" s="16">
        <f t="shared" si="8"/>
        <v>3200</v>
      </c>
      <c r="W131" s="77">
        <v>2</v>
      </c>
      <c r="X131" s="77" t="s">
        <v>35</v>
      </c>
      <c r="Y131" s="77" t="s">
        <v>43</v>
      </c>
      <c r="Z131" s="77" t="s">
        <v>72</v>
      </c>
      <c r="AA131" s="77" t="s">
        <v>36</v>
      </c>
      <c r="AB131" s="77" t="s">
        <v>195</v>
      </c>
    </row>
    <row r="132" spans="1:28" x14ac:dyDescent="0.15">
      <c r="A132" s="77" t="s">
        <v>44</v>
      </c>
      <c r="B132" s="77" t="s">
        <v>191</v>
      </c>
      <c r="C132" s="77">
        <v>2020</v>
      </c>
      <c r="D132" s="179" t="s">
        <v>370</v>
      </c>
      <c r="E132" s="77" t="s">
        <v>380</v>
      </c>
      <c r="F132" s="77" t="s">
        <v>372</v>
      </c>
      <c r="G132" s="77" t="s">
        <v>25</v>
      </c>
      <c r="H132" s="77" t="s">
        <v>113</v>
      </c>
      <c r="I132" s="77" t="s">
        <v>111</v>
      </c>
      <c r="J132" s="77" t="s">
        <v>27</v>
      </c>
      <c r="K132" s="77" t="s">
        <v>112</v>
      </c>
      <c r="L132" s="77">
        <v>2</v>
      </c>
      <c r="M132" s="181"/>
      <c r="N132" s="77">
        <v>1</v>
      </c>
      <c r="O132" s="77">
        <v>0.6</v>
      </c>
      <c r="P132" s="77">
        <v>0.65</v>
      </c>
      <c r="Q132" s="16">
        <f t="shared" si="6"/>
        <v>0.625</v>
      </c>
      <c r="R132" s="77">
        <v>12.3</v>
      </c>
      <c r="S132" s="77">
        <v>127</v>
      </c>
      <c r="T132" s="16">
        <f t="shared" si="7"/>
        <v>27</v>
      </c>
      <c r="U132" s="77">
        <v>128</v>
      </c>
      <c r="V132" s="16">
        <f t="shared" si="8"/>
        <v>3456</v>
      </c>
      <c r="W132" s="77">
        <v>2</v>
      </c>
      <c r="X132" s="77" t="s">
        <v>35</v>
      </c>
      <c r="Y132" s="77" t="s">
        <v>43</v>
      </c>
      <c r="Z132" s="77" t="s">
        <v>72</v>
      </c>
      <c r="AA132" s="77" t="s">
        <v>36</v>
      </c>
      <c r="AB132" s="77" t="s">
        <v>195</v>
      </c>
    </row>
    <row r="133" spans="1:28" x14ac:dyDescent="0.15">
      <c r="A133" s="77" t="s">
        <v>44</v>
      </c>
      <c r="B133" s="77" t="s">
        <v>191</v>
      </c>
      <c r="C133" s="77">
        <v>2020</v>
      </c>
      <c r="D133" s="179" t="s">
        <v>370</v>
      </c>
      <c r="E133" s="77" t="s">
        <v>380</v>
      </c>
      <c r="F133" s="77" t="s">
        <v>372</v>
      </c>
      <c r="G133" s="77" t="s">
        <v>25</v>
      </c>
      <c r="H133" s="77" t="s">
        <v>113</v>
      </c>
      <c r="I133" s="77" t="s">
        <v>111</v>
      </c>
      <c r="J133" s="77" t="s">
        <v>27</v>
      </c>
      <c r="K133" s="77" t="s">
        <v>112</v>
      </c>
      <c r="L133" s="77">
        <v>3</v>
      </c>
      <c r="M133" s="181"/>
      <c r="N133" s="77">
        <v>1</v>
      </c>
      <c r="O133" s="77">
        <v>0.75</v>
      </c>
      <c r="P133" s="77">
        <v>0.75</v>
      </c>
      <c r="Q133" s="16">
        <f t="shared" si="6"/>
        <v>0.75</v>
      </c>
      <c r="R133" s="77">
        <v>11.4</v>
      </c>
      <c r="S133" s="77">
        <v>122</v>
      </c>
      <c r="T133" s="16">
        <f t="shared" si="7"/>
        <v>27</v>
      </c>
      <c r="U133" s="77">
        <v>128</v>
      </c>
      <c r="V133" s="16">
        <f t="shared" si="8"/>
        <v>3456</v>
      </c>
      <c r="W133" s="77">
        <v>2</v>
      </c>
      <c r="X133" s="77" t="s">
        <v>35</v>
      </c>
      <c r="Y133" s="77" t="s">
        <v>43</v>
      </c>
      <c r="Z133" s="77" t="s">
        <v>72</v>
      </c>
      <c r="AA133" s="77" t="s">
        <v>36</v>
      </c>
      <c r="AB133" s="77" t="s">
        <v>195</v>
      </c>
    </row>
    <row r="134" spans="1:28" x14ac:dyDescent="0.15">
      <c r="A134" s="77" t="s">
        <v>44</v>
      </c>
      <c r="B134" s="77" t="s">
        <v>191</v>
      </c>
      <c r="C134" s="77">
        <v>2020</v>
      </c>
      <c r="D134" s="179" t="s">
        <v>370</v>
      </c>
      <c r="E134" s="77" t="s">
        <v>380</v>
      </c>
      <c r="F134" s="77" t="s">
        <v>372</v>
      </c>
      <c r="G134" s="77" t="s">
        <v>25</v>
      </c>
      <c r="H134" s="77" t="s">
        <v>113</v>
      </c>
      <c r="I134" s="77" t="s">
        <v>111</v>
      </c>
      <c r="J134" s="77" t="s">
        <v>27</v>
      </c>
      <c r="K134" s="77" t="s">
        <v>112</v>
      </c>
      <c r="L134" s="77">
        <v>1</v>
      </c>
      <c r="M134" s="181"/>
      <c r="N134" s="77">
        <v>5</v>
      </c>
      <c r="O134" s="77">
        <v>0.5</v>
      </c>
      <c r="P134" s="77">
        <v>0.55000000000000004</v>
      </c>
      <c r="Q134" s="16">
        <f t="shared" si="6"/>
        <v>0.52500000000000002</v>
      </c>
      <c r="R134" s="77">
        <v>14.6</v>
      </c>
      <c r="S134" s="77">
        <v>98</v>
      </c>
      <c r="T134" s="16">
        <f t="shared" si="7"/>
        <v>36</v>
      </c>
      <c r="U134" s="77">
        <v>398</v>
      </c>
      <c r="V134" s="16">
        <f t="shared" si="8"/>
        <v>2865.6</v>
      </c>
      <c r="W134" s="77">
        <v>12</v>
      </c>
      <c r="X134" s="77" t="s">
        <v>35</v>
      </c>
      <c r="Y134" s="77" t="s">
        <v>43</v>
      </c>
      <c r="Z134" s="77" t="s">
        <v>72</v>
      </c>
      <c r="AA134" s="77" t="s">
        <v>36</v>
      </c>
      <c r="AB134" s="77" t="s">
        <v>195</v>
      </c>
    </row>
    <row r="135" spans="1:28" x14ac:dyDescent="0.15">
      <c r="A135" s="77" t="s">
        <v>44</v>
      </c>
      <c r="B135" s="77" t="s">
        <v>191</v>
      </c>
      <c r="C135" s="77">
        <v>2020</v>
      </c>
      <c r="D135" s="179" t="s">
        <v>370</v>
      </c>
      <c r="E135" s="77" t="s">
        <v>380</v>
      </c>
      <c r="F135" s="77" t="s">
        <v>372</v>
      </c>
      <c r="G135" s="77" t="s">
        <v>25</v>
      </c>
      <c r="H135" s="77" t="s">
        <v>113</v>
      </c>
      <c r="I135" s="77" t="s">
        <v>111</v>
      </c>
      <c r="J135" s="77" t="s">
        <v>27</v>
      </c>
      <c r="K135" s="77" t="s">
        <v>112</v>
      </c>
      <c r="L135" s="77">
        <v>2</v>
      </c>
      <c r="M135" s="181"/>
      <c r="N135" s="77">
        <v>5</v>
      </c>
      <c r="O135" s="77">
        <v>0.65</v>
      </c>
      <c r="P135" s="77">
        <v>0.6</v>
      </c>
      <c r="Q135" s="16">
        <f t="shared" si="6"/>
        <v>0.625</v>
      </c>
      <c r="R135" s="77">
        <v>17.100000000000001</v>
      </c>
      <c r="S135" s="77">
        <v>90</v>
      </c>
      <c r="T135" s="16">
        <f t="shared" si="7"/>
        <v>36</v>
      </c>
      <c r="U135" s="77">
        <v>398</v>
      </c>
      <c r="V135" s="16">
        <f t="shared" si="8"/>
        <v>2865.6</v>
      </c>
      <c r="W135" s="77">
        <v>12</v>
      </c>
      <c r="X135" s="77" t="s">
        <v>35</v>
      </c>
      <c r="Y135" s="77" t="s">
        <v>43</v>
      </c>
      <c r="Z135" s="77" t="s">
        <v>72</v>
      </c>
      <c r="AA135" s="77" t="s">
        <v>36</v>
      </c>
      <c r="AB135" s="77" t="s">
        <v>195</v>
      </c>
    </row>
    <row r="136" spans="1:28" x14ac:dyDescent="0.15">
      <c r="A136" s="77" t="s">
        <v>44</v>
      </c>
      <c r="B136" s="77" t="s">
        <v>191</v>
      </c>
      <c r="C136" s="77">
        <v>2020</v>
      </c>
      <c r="D136" s="179" t="s">
        <v>370</v>
      </c>
      <c r="E136" s="77" t="s">
        <v>380</v>
      </c>
      <c r="F136" s="77" t="s">
        <v>372</v>
      </c>
      <c r="G136" s="77" t="s">
        <v>25</v>
      </c>
      <c r="H136" s="77" t="s">
        <v>113</v>
      </c>
      <c r="I136" s="77" t="s">
        <v>111</v>
      </c>
      <c r="J136" s="77" t="s">
        <v>27</v>
      </c>
      <c r="K136" s="77" t="s">
        <v>112</v>
      </c>
      <c r="L136" s="77">
        <v>3</v>
      </c>
      <c r="M136" s="181"/>
      <c r="N136" s="77">
        <v>5</v>
      </c>
      <c r="O136" s="77">
        <v>0.65</v>
      </c>
      <c r="P136" s="77">
        <v>0.65</v>
      </c>
      <c r="Q136" s="16">
        <f t="shared" si="6"/>
        <v>0.65</v>
      </c>
      <c r="R136" s="77">
        <v>12.7</v>
      </c>
      <c r="S136" s="77">
        <v>88</v>
      </c>
      <c r="T136" s="16">
        <f t="shared" si="7"/>
        <v>36</v>
      </c>
      <c r="U136" s="77">
        <v>398</v>
      </c>
      <c r="V136" s="16">
        <f t="shared" si="8"/>
        <v>2865.6</v>
      </c>
      <c r="W136" s="77">
        <v>12</v>
      </c>
      <c r="X136" s="77" t="s">
        <v>35</v>
      </c>
      <c r="Y136" s="77" t="s">
        <v>43</v>
      </c>
      <c r="Z136" s="77" t="s">
        <v>72</v>
      </c>
      <c r="AA136" s="77" t="s">
        <v>36</v>
      </c>
      <c r="AB136" s="77" t="s">
        <v>195</v>
      </c>
    </row>
    <row r="137" spans="1:28" x14ac:dyDescent="0.15">
      <c r="A137" s="77" t="s">
        <v>44</v>
      </c>
      <c r="B137" s="77" t="s">
        <v>191</v>
      </c>
      <c r="C137" s="77">
        <v>2020</v>
      </c>
      <c r="D137" s="179" t="s">
        <v>370</v>
      </c>
      <c r="E137" s="77" t="s">
        <v>380</v>
      </c>
      <c r="F137" s="77" t="s">
        <v>372</v>
      </c>
      <c r="G137" s="77" t="s">
        <v>25</v>
      </c>
      <c r="H137" s="77" t="s">
        <v>164</v>
      </c>
      <c r="I137" s="77" t="s">
        <v>111</v>
      </c>
      <c r="J137" s="77" t="s">
        <v>27</v>
      </c>
      <c r="K137" s="77" t="s">
        <v>112</v>
      </c>
      <c r="L137" s="77">
        <v>1</v>
      </c>
      <c r="M137" s="181"/>
      <c r="N137" s="77">
        <v>1</v>
      </c>
      <c r="O137" s="77">
        <v>0.75</v>
      </c>
      <c r="P137" s="77">
        <v>0.85</v>
      </c>
      <c r="Q137" s="16">
        <f t="shared" si="6"/>
        <v>0.8</v>
      </c>
      <c r="R137" s="77">
        <v>16.5</v>
      </c>
      <c r="S137" s="77">
        <v>144</v>
      </c>
      <c r="T137" s="16">
        <f t="shared" si="7"/>
        <v>22</v>
      </c>
      <c r="U137" s="77">
        <v>138</v>
      </c>
      <c r="V137" s="16">
        <f t="shared" si="8"/>
        <v>3036</v>
      </c>
      <c r="W137" s="77">
        <v>12</v>
      </c>
      <c r="X137" s="77" t="s">
        <v>35</v>
      </c>
      <c r="Y137" s="77" t="s">
        <v>43</v>
      </c>
      <c r="Z137" s="77" t="s">
        <v>72</v>
      </c>
      <c r="AA137" s="77" t="s">
        <v>36</v>
      </c>
      <c r="AB137" s="77" t="s">
        <v>195</v>
      </c>
    </row>
    <row r="138" spans="1:28" x14ac:dyDescent="0.15">
      <c r="A138" s="77" t="s">
        <v>44</v>
      </c>
      <c r="B138" s="77" t="s">
        <v>191</v>
      </c>
      <c r="C138" s="77">
        <v>2020</v>
      </c>
      <c r="D138" s="179" t="s">
        <v>370</v>
      </c>
      <c r="E138" s="77" t="s">
        <v>380</v>
      </c>
      <c r="F138" s="77" t="s">
        <v>372</v>
      </c>
      <c r="G138" s="77" t="s">
        <v>25</v>
      </c>
      <c r="H138" s="77" t="s">
        <v>164</v>
      </c>
      <c r="I138" s="77" t="s">
        <v>111</v>
      </c>
      <c r="J138" s="77" t="s">
        <v>27</v>
      </c>
      <c r="K138" s="77" t="s">
        <v>112</v>
      </c>
      <c r="L138" s="77">
        <v>2</v>
      </c>
      <c r="M138" s="181"/>
      <c r="N138" s="77">
        <v>1</v>
      </c>
      <c r="O138" s="77">
        <v>0.7</v>
      </c>
      <c r="P138" s="77">
        <v>0.8</v>
      </c>
      <c r="Q138" s="16">
        <f t="shared" si="6"/>
        <v>0.75</v>
      </c>
      <c r="R138" s="77">
        <v>17.399999999999999</v>
      </c>
      <c r="S138" s="77">
        <v>146</v>
      </c>
      <c r="T138" s="16">
        <f t="shared" si="7"/>
        <v>22</v>
      </c>
      <c r="U138" s="77">
        <v>138</v>
      </c>
      <c r="V138" s="16">
        <f t="shared" si="8"/>
        <v>3036</v>
      </c>
      <c r="W138" s="77">
        <v>12</v>
      </c>
      <c r="X138" s="77" t="s">
        <v>35</v>
      </c>
      <c r="Y138" s="77" t="s">
        <v>43</v>
      </c>
      <c r="Z138" s="77" t="s">
        <v>72</v>
      </c>
      <c r="AA138" s="77" t="s">
        <v>36</v>
      </c>
      <c r="AB138" s="77" t="s">
        <v>195</v>
      </c>
    </row>
    <row r="139" spans="1:28" x14ac:dyDescent="0.15">
      <c r="A139" s="77" t="s">
        <v>44</v>
      </c>
      <c r="B139" s="77" t="s">
        <v>191</v>
      </c>
      <c r="C139" s="77">
        <v>2020</v>
      </c>
      <c r="D139" s="179" t="s">
        <v>370</v>
      </c>
      <c r="E139" s="77" t="s">
        <v>380</v>
      </c>
      <c r="F139" s="77" t="s">
        <v>372</v>
      </c>
      <c r="G139" s="77" t="s">
        <v>25</v>
      </c>
      <c r="H139" s="77" t="s">
        <v>164</v>
      </c>
      <c r="I139" s="77" t="s">
        <v>111</v>
      </c>
      <c r="J139" s="77" t="s">
        <v>27</v>
      </c>
      <c r="K139" s="77" t="s">
        <v>112</v>
      </c>
      <c r="L139" s="77">
        <v>3</v>
      </c>
      <c r="M139" s="181"/>
      <c r="N139" s="77">
        <v>1</v>
      </c>
      <c r="O139" s="77">
        <v>0.75</v>
      </c>
      <c r="P139" s="77">
        <v>0.75</v>
      </c>
      <c r="Q139" s="16">
        <f t="shared" si="6"/>
        <v>0.75</v>
      </c>
      <c r="R139" s="77">
        <v>17.100000000000001</v>
      </c>
      <c r="S139" s="77">
        <v>141</v>
      </c>
      <c r="T139" s="16">
        <f t="shared" si="7"/>
        <v>22</v>
      </c>
      <c r="U139" s="77">
        <v>138</v>
      </c>
      <c r="V139" s="16">
        <f t="shared" si="8"/>
        <v>3036</v>
      </c>
      <c r="W139" s="77">
        <v>12</v>
      </c>
      <c r="X139" s="77" t="s">
        <v>35</v>
      </c>
      <c r="Y139" s="77" t="s">
        <v>43</v>
      </c>
      <c r="Z139" s="77" t="s">
        <v>72</v>
      </c>
      <c r="AA139" s="77" t="s">
        <v>36</v>
      </c>
      <c r="AB139" s="77" t="s">
        <v>195</v>
      </c>
    </row>
    <row r="140" spans="1:28" x14ac:dyDescent="0.15">
      <c r="A140" s="77" t="s">
        <v>44</v>
      </c>
      <c r="B140" s="77" t="s">
        <v>191</v>
      </c>
      <c r="C140" s="77">
        <v>2020</v>
      </c>
      <c r="D140" s="179" t="s">
        <v>370</v>
      </c>
      <c r="E140" s="77" t="s">
        <v>380</v>
      </c>
      <c r="F140" s="77" t="s">
        <v>372</v>
      </c>
      <c r="G140" s="77" t="s">
        <v>25</v>
      </c>
      <c r="H140" s="77" t="s">
        <v>164</v>
      </c>
      <c r="I140" s="77" t="s">
        <v>111</v>
      </c>
      <c r="J140" s="77" t="s">
        <v>27</v>
      </c>
      <c r="K140" s="77" t="s">
        <v>112</v>
      </c>
      <c r="L140" s="77">
        <v>1</v>
      </c>
      <c r="M140" s="181"/>
      <c r="N140" s="77">
        <v>5</v>
      </c>
      <c r="O140" s="77">
        <v>0.65</v>
      </c>
      <c r="P140" s="77">
        <v>0.7</v>
      </c>
      <c r="Q140" s="16">
        <f t="shared" si="6"/>
        <v>0.67500000000000004</v>
      </c>
      <c r="R140" s="77">
        <v>15.2</v>
      </c>
      <c r="S140" s="77">
        <v>109</v>
      </c>
      <c r="T140" s="16">
        <f t="shared" si="7"/>
        <v>33</v>
      </c>
      <c r="U140" s="77">
        <v>598</v>
      </c>
      <c r="V140" s="16">
        <f t="shared" si="8"/>
        <v>3946.7999999999997</v>
      </c>
      <c r="W140" s="77">
        <v>19</v>
      </c>
      <c r="X140" s="77" t="s">
        <v>35</v>
      </c>
      <c r="Y140" s="77" t="s">
        <v>43</v>
      </c>
      <c r="Z140" s="77" t="s">
        <v>72</v>
      </c>
      <c r="AA140" s="77" t="s">
        <v>36</v>
      </c>
      <c r="AB140" s="77" t="s">
        <v>195</v>
      </c>
    </row>
    <row r="141" spans="1:28" x14ac:dyDescent="0.15">
      <c r="A141" s="77" t="s">
        <v>44</v>
      </c>
      <c r="B141" s="77" t="s">
        <v>191</v>
      </c>
      <c r="C141" s="77">
        <v>2020</v>
      </c>
      <c r="D141" s="179" t="s">
        <v>370</v>
      </c>
      <c r="E141" s="77" t="s">
        <v>380</v>
      </c>
      <c r="F141" s="77" t="s">
        <v>372</v>
      </c>
      <c r="G141" s="77" t="s">
        <v>25</v>
      </c>
      <c r="H141" s="77" t="s">
        <v>164</v>
      </c>
      <c r="I141" s="77" t="s">
        <v>111</v>
      </c>
      <c r="J141" s="77" t="s">
        <v>27</v>
      </c>
      <c r="K141" s="77" t="s">
        <v>112</v>
      </c>
      <c r="L141" s="77">
        <v>2</v>
      </c>
      <c r="M141" s="181"/>
      <c r="N141" s="77">
        <v>5</v>
      </c>
      <c r="O141" s="77">
        <v>0.7</v>
      </c>
      <c r="P141" s="77">
        <v>0.7</v>
      </c>
      <c r="Q141" s="16">
        <f t="shared" si="6"/>
        <v>0.7</v>
      </c>
      <c r="R141" s="77">
        <v>15.7</v>
      </c>
      <c r="S141" s="77">
        <v>110</v>
      </c>
      <c r="T141" s="16">
        <f t="shared" si="7"/>
        <v>33</v>
      </c>
      <c r="U141" s="77">
        <v>598</v>
      </c>
      <c r="V141" s="16">
        <f t="shared" si="8"/>
        <v>3946.7999999999997</v>
      </c>
      <c r="W141" s="77">
        <v>19</v>
      </c>
      <c r="X141" s="77" t="s">
        <v>35</v>
      </c>
      <c r="Y141" s="77" t="s">
        <v>43</v>
      </c>
      <c r="Z141" s="77" t="s">
        <v>72</v>
      </c>
      <c r="AA141" s="77" t="s">
        <v>36</v>
      </c>
      <c r="AB141" s="77" t="s">
        <v>195</v>
      </c>
    </row>
    <row r="142" spans="1:28" x14ac:dyDescent="0.15">
      <c r="A142" s="77" t="s">
        <v>44</v>
      </c>
      <c r="B142" s="77" t="s">
        <v>191</v>
      </c>
      <c r="C142" s="77">
        <v>2020</v>
      </c>
      <c r="D142" s="179" t="s">
        <v>370</v>
      </c>
      <c r="E142" s="77" t="s">
        <v>380</v>
      </c>
      <c r="F142" s="77" t="s">
        <v>372</v>
      </c>
      <c r="G142" s="77" t="s">
        <v>25</v>
      </c>
      <c r="H142" s="77" t="s">
        <v>164</v>
      </c>
      <c r="I142" s="77" t="s">
        <v>111</v>
      </c>
      <c r="J142" s="77" t="s">
        <v>27</v>
      </c>
      <c r="K142" s="77" t="s">
        <v>112</v>
      </c>
      <c r="L142" s="77">
        <v>3</v>
      </c>
      <c r="M142" s="181"/>
      <c r="N142" s="77">
        <v>5</v>
      </c>
      <c r="O142" s="77">
        <v>0.55000000000000004</v>
      </c>
      <c r="P142" s="77">
        <v>0.6</v>
      </c>
      <c r="Q142" s="16">
        <f t="shared" si="6"/>
        <v>0.57499999999999996</v>
      </c>
      <c r="R142" s="77">
        <v>16.399999999999999</v>
      </c>
      <c r="S142" s="77">
        <v>96</v>
      </c>
      <c r="T142" s="16">
        <f t="shared" si="7"/>
        <v>36</v>
      </c>
      <c r="U142" s="77">
        <v>598</v>
      </c>
      <c r="V142" s="16">
        <f t="shared" si="8"/>
        <v>4305.5999999999995</v>
      </c>
      <c r="W142" s="77">
        <v>19</v>
      </c>
      <c r="X142" s="77" t="s">
        <v>35</v>
      </c>
      <c r="Y142" s="77" t="s">
        <v>43</v>
      </c>
      <c r="Z142" s="77" t="s">
        <v>72</v>
      </c>
      <c r="AA142" s="77" t="s">
        <v>36</v>
      </c>
      <c r="AB142" s="77" t="s">
        <v>195</v>
      </c>
    </row>
    <row r="143" spans="1:28" x14ac:dyDescent="0.15">
      <c r="M143" s="181"/>
    </row>
    <row r="144" spans="1:28" x14ac:dyDescent="0.15">
      <c r="M144" s="181"/>
    </row>
    <row r="145" spans="13:13" x14ac:dyDescent="0.15">
      <c r="M145" s="181"/>
    </row>
    <row r="146" spans="13:13" x14ac:dyDescent="0.15">
      <c r="M146" s="181"/>
    </row>
    <row r="147" spans="13:13" x14ac:dyDescent="0.15">
      <c r="M147" s="181"/>
    </row>
    <row r="148" spans="13:13" x14ac:dyDescent="0.15">
      <c r="M148" s="181"/>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F1FBAAD-4CA7-4882-AA2F-D32A49E09DDB}">
      <formula1>0</formula1>
      <formula2>7</formula2>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EE79571C-23A2-4EFC-B102-A88F80D9D07E}">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92A5C1C0-7A07-42FA-B29A-E4646A5B9A67}">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F17D40AE-831C-4376-965C-9210A47BDBFE}">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315EBAF-6B03-4C48-9380-7C79F91272AF}">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DF5D8059-FCB7-46D7-81A2-AB69F2CF35EE}">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FF769EC7-6B62-4CCB-902A-18257DCEDD22}">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EFD36F53-F5FE-459E-BFB3-18D274AB6EFC}">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1D0F745-D5C7-44CA-97AC-717305C099BE}">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8E1E58E-0041-4190-8736-63695F9E67FA}">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E1A70EF-31BC-4EAD-80A6-E6CD68B618BA}">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C3FC142B-5AC8-45EF-B6C3-26FCA4C0CEFF}"/>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30A29F69-E189-408A-852B-DF0136171EF2}">
      <formula1>$AE$2:$AE$19</formula1>
    </dataValidation>
    <dataValidation type="list" allowBlank="1" showInputMessage="1" showErrorMessage="1" sqref="H2:H1254" xr:uid="{D0376194-F115-4921-8935-BBDAE24F833B}">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68AD228F-C7F7-4617-8488-2894CFC93CCE}">
      <formula1>$AP$2:$AP$27</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9F889337-79A8-4350-B745-B51887CA91AA}">
      <formula1>$AV$2:$AV$21</formula1>
    </dataValidation>
    <dataValidation type="list" allowBlank="1" showInputMessage="1" showErrorMessage="1" sqref="K2:K450" xr:uid="{38BBD59E-B401-4479-9CC6-B7846666E37E}">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659844B0-EE84-4B45-BDB0-8D4AFB4F71A1}">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79F67651-BD75-407E-9169-C94CEC32BA83}">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3904-93B3-48D3-A748-C9A731772C0B}">
  <sheetPr codeName="Sheet1"/>
  <dimension ref="A1:BA166"/>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09"/>
    <col min="4" max="4" width="10.5" style="109" customWidth="1"/>
    <col min="5" max="9" width="9" style="109"/>
    <col min="10" max="11" width="9" style="118"/>
    <col min="12" max="16" width="9" style="109"/>
    <col min="17" max="17" width="9" style="120"/>
    <col min="18" max="18" width="9" style="109"/>
    <col min="19" max="19" width="9.5" style="109" customWidth="1"/>
    <col min="20" max="20" width="9" style="120"/>
    <col min="21" max="21" width="9" style="109"/>
    <col min="22" max="22" width="9" style="120"/>
    <col min="23" max="23" width="10.5" style="109" customWidth="1"/>
    <col min="24" max="32" width="9" style="109"/>
    <col min="33" max="33" width="19.625" style="109" customWidth="1"/>
    <col min="34" max="34" width="9.375" style="109" customWidth="1"/>
    <col min="35" max="259" width="9" style="109"/>
    <col min="260" max="260" width="10.5" style="109" customWidth="1"/>
    <col min="261" max="274" width="9" style="109"/>
    <col min="275" max="275" width="9.5" style="109" customWidth="1"/>
    <col min="276" max="278" width="9" style="109"/>
    <col min="279" max="279" width="10.5" style="109" customWidth="1"/>
    <col min="280" max="515" width="9" style="109"/>
    <col min="516" max="516" width="10.5" style="109" customWidth="1"/>
    <col min="517" max="530" width="9" style="109"/>
    <col min="531" max="531" width="9.5" style="109" customWidth="1"/>
    <col min="532" max="534" width="9" style="109"/>
    <col min="535" max="535" width="10.5" style="109" customWidth="1"/>
    <col min="536" max="771" width="9" style="109"/>
    <col min="772" max="772" width="10.5" style="109" customWidth="1"/>
    <col min="773" max="786" width="9" style="109"/>
    <col min="787" max="787" width="9.5" style="109" customWidth="1"/>
    <col min="788" max="790" width="9" style="109"/>
    <col min="791" max="791" width="10.5" style="109" customWidth="1"/>
    <col min="792" max="1027" width="9" style="109"/>
    <col min="1028" max="1028" width="10.5" style="109" customWidth="1"/>
    <col min="1029" max="1042" width="9" style="109"/>
    <col min="1043" max="1043" width="9.5" style="109" customWidth="1"/>
    <col min="1044" max="1046" width="9" style="109"/>
    <col min="1047" max="1047" width="10.5" style="109" customWidth="1"/>
    <col min="1048" max="1283" width="9" style="109"/>
    <col min="1284" max="1284" width="10.5" style="109" customWidth="1"/>
    <col min="1285" max="1298" width="9" style="109"/>
    <col min="1299" max="1299" width="9.5" style="109" customWidth="1"/>
    <col min="1300" max="1302" width="9" style="109"/>
    <col min="1303" max="1303" width="10.5" style="109" customWidth="1"/>
    <col min="1304" max="1539" width="9" style="109"/>
    <col min="1540" max="1540" width="10.5" style="109" customWidth="1"/>
    <col min="1541" max="1554" width="9" style="109"/>
    <col min="1555" max="1555" width="9.5" style="109" customWidth="1"/>
    <col min="1556" max="1558" width="9" style="109"/>
    <col min="1559" max="1559" width="10.5" style="109" customWidth="1"/>
    <col min="1560" max="1795" width="9" style="109"/>
    <col min="1796" max="1796" width="10.5" style="109" customWidth="1"/>
    <col min="1797" max="1810" width="9" style="109"/>
    <col min="1811" max="1811" width="9.5" style="109" customWidth="1"/>
    <col min="1812" max="1814" width="9" style="109"/>
    <col min="1815" max="1815" width="10.5" style="109" customWidth="1"/>
    <col min="1816" max="2051" width="9" style="109"/>
    <col min="2052" max="2052" width="10.5" style="109" customWidth="1"/>
    <col min="2053" max="2066" width="9" style="109"/>
    <col min="2067" max="2067" width="9.5" style="109" customWidth="1"/>
    <col min="2068" max="2070" width="9" style="109"/>
    <col min="2071" max="2071" width="10.5" style="109" customWidth="1"/>
    <col min="2072" max="2307" width="9" style="109"/>
    <col min="2308" max="2308" width="10.5" style="109" customWidth="1"/>
    <col min="2309" max="2322" width="9" style="109"/>
    <col min="2323" max="2323" width="9.5" style="109" customWidth="1"/>
    <col min="2324" max="2326" width="9" style="109"/>
    <col min="2327" max="2327" width="10.5" style="109" customWidth="1"/>
    <col min="2328" max="2563" width="9" style="109"/>
    <col min="2564" max="2564" width="10.5" style="109" customWidth="1"/>
    <col min="2565" max="2578" width="9" style="109"/>
    <col min="2579" max="2579" width="9.5" style="109" customWidth="1"/>
    <col min="2580" max="2582" width="9" style="109"/>
    <col min="2583" max="2583" width="10.5" style="109" customWidth="1"/>
    <col min="2584" max="2819" width="9" style="109"/>
    <col min="2820" max="2820" width="10.5" style="109" customWidth="1"/>
    <col min="2821" max="2834" width="9" style="109"/>
    <col min="2835" max="2835" width="9.5" style="109" customWidth="1"/>
    <col min="2836" max="2838" width="9" style="109"/>
    <col min="2839" max="2839" width="10.5" style="109" customWidth="1"/>
    <col min="2840" max="3075" width="9" style="109"/>
    <col min="3076" max="3076" width="10.5" style="109" customWidth="1"/>
    <col min="3077" max="3090" width="9" style="109"/>
    <col min="3091" max="3091" width="9.5" style="109" customWidth="1"/>
    <col min="3092" max="3094" width="9" style="109"/>
    <col min="3095" max="3095" width="10.5" style="109" customWidth="1"/>
    <col min="3096" max="3331" width="9" style="109"/>
    <col min="3332" max="3332" width="10.5" style="109" customWidth="1"/>
    <col min="3333" max="3346" width="9" style="109"/>
    <col min="3347" max="3347" width="9.5" style="109" customWidth="1"/>
    <col min="3348" max="3350" width="9" style="109"/>
    <col min="3351" max="3351" width="10.5" style="109" customWidth="1"/>
    <col min="3352" max="3587" width="9" style="109"/>
    <col min="3588" max="3588" width="10.5" style="109" customWidth="1"/>
    <col min="3589" max="3602" width="9" style="109"/>
    <col min="3603" max="3603" width="9.5" style="109" customWidth="1"/>
    <col min="3604" max="3606" width="9" style="109"/>
    <col min="3607" max="3607" width="10.5" style="109" customWidth="1"/>
    <col min="3608" max="3843" width="9" style="109"/>
    <col min="3844" max="3844" width="10.5" style="109" customWidth="1"/>
    <col min="3845" max="3858" width="9" style="109"/>
    <col min="3859" max="3859" width="9.5" style="109" customWidth="1"/>
    <col min="3860" max="3862" width="9" style="109"/>
    <col min="3863" max="3863" width="10.5" style="109" customWidth="1"/>
    <col min="3864" max="4099" width="9" style="109"/>
    <col min="4100" max="4100" width="10.5" style="109" customWidth="1"/>
    <col min="4101" max="4114" width="9" style="109"/>
    <col min="4115" max="4115" width="9.5" style="109" customWidth="1"/>
    <col min="4116" max="4118" width="9" style="109"/>
    <col min="4119" max="4119" width="10.5" style="109" customWidth="1"/>
    <col min="4120" max="4355" width="9" style="109"/>
    <col min="4356" max="4356" width="10.5" style="109" customWidth="1"/>
    <col min="4357" max="4370" width="9" style="109"/>
    <col min="4371" max="4371" width="9.5" style="109" customWidth="1"/>
    <col min="4372" max="4374" width="9" style="109"/>
    <col min="4375" max="4375" width="10.5" style="109" customWidth="1"/>
    <col min="4376" max="4611" width="9" style="109"/>
    <col min="4612" max="4612" width="10.5" style="109" customWidth="1"/>
    <col min="4613" max="4626" width="9" style="109"/>
    <col min="4627" max="4627" width="9.5" style="109" customWidth="1"/>
    <col min="4628" max="4630" width="9" style="109"/>
    <col min="4631" max="4631" width="10.5" style="109" customWidth="1"/>
    <col min="4632" max="4867" width="9" style="109"/>
    <col min="4868" max="4868" width="10.5" style="109" customWidth="1"/>
    <col min="4869" max="4882" width="9" style="109"/>
    <col min="4883" max="4883" width="9.5" style="109" customWidth="1"/>
    <col min="4884" max="4886" width="9" style="109"/>
    <col min="4887" max="4887" width="10.5" style="109" customWidth="1"/>
    <col min="4888" max="5123" width="9" style="109"/>
    <col min="5124" max="5124" width="10.5" style="109" customWidth="1"/>
    <col min="5125" max="5138" width="9" style="109"/>
    <col min="5139" max="5139" width="9.5" style="109" customWidth="1"/>
    <col min="5140" max="5142" width="9" style="109"/>
    <col min="5143" max="5143" width="10.5" style="109" customWidth="1"/>
    <col min="5144" max="5379" width="9" style="109"/>
    <col min="5380" max="5380" width="10.5" style="109" customWidth="1"/>
    <col min="5381" max="5394" width="9" style="109"/>
    <col min="5395" max="5395" width="9.5" style="109" customWidth="1"/>
    <col min="5396" max="5398" width="9" style="109"/>
    <col min="5399" max="5399" width="10.5" style="109" customWidth="1"/>
    <col min="5400" max="5635" width="9" style="109"/>
    <col min="5636" max="5636" width="10.5" style="109" customWidth="1"/>
    <col min="5637" max="5650" width="9" style="109"/>
    <col min="5651" max="5651" width="9.5" style="109" customWidth="1"/>
    <col min="5652" max="5654" width="9" style="109"/>
    <col min="5655" max="5655" width="10.5" style="109" customWidth="1"/>
    <col min="5656" max="5891" width="9" style="109"/>
    <col min="5892" max="5892" width="10.5" style="109" customWidth="1"/>
    <col min="5893" max="5906" width="9" style="109"/>
    <col min="5907" max="5907" width="9.5" style="109" customWidth="1"/>
    <col min="5908" max="5910" width="9" style="109"/>
    <col min="5911" max="5911" width="10.5" style="109" customWidth="1"/>
    <col min="5912" max="6147" width="9" style="109"/>
    <col min="6148" max="6148" width="10.5" style="109" customWidth="1"/>
    <col min="6149" max="6162" width="9" style="109"/>
    <col min="6163" max="6163" width="9.5" style="109" customWidth="1"/>
    <col min="6164" max="6166" width="9" style="109"/>
    <col min="6167" max="6167" width="10.5" style="109" customWidth="1"/>
    <col min="6168" max="6403" width="9" style="109"/>
    <col min="6404" max="6404" width="10.5" style="109" customWidth="1"/>
    <col min="6405" max="6418" width="9" style="109"/>
    <col min="6419" max="6419" width="9.5" style="109" customWidth="1"/>
    <col min="6420" max="6422" width="9" style="109"/>
    <col min="6423" max="6423" width="10.5" style="109" customWidth="1"/>
    <col min="6424" max="6659" width="9" style="109"/>
    <col min="6660" max="6660" width="10.5" style="109" customWidth="1"/>
    <col min="6661" max="6674" width="9" style="109"/>
    <col min="6675" max="6675" width="9.5" style="109" customWidth="1"/>
    <col min="6676" max="6678" width="9" style="109"/>
    <col min="6679" max="6679" width="10.5" style="109" customWidth="1"/>
    <col min="6680" max="6915" width="9" style="109"/>
    <col min="6916" max="6916" width="10.5" style="109" customWidth="1"/>
    <col min="6917" max="6930" width="9" style="109"/>
    <col min="6931" max="6931" width="9.5" style="109" customWidth="1"/>
    <col min="6932" max="6934" width="9" style="109"/>
    <col min="6935" max="6935" width="10.5" style="109" customWidth="1"/>
    <col min="6936" max="7171" width="9" style="109"/>
    <col min="7172" max="7172" width="10.5" style="109" customWidth="1"/>
    <col min="7173" max="7186" width="9" style="109"/>
    <col min="7187" max="7187" width="9.5" style="109" customWidth="1"/>
    <col min="7188" max="7190" width="9" style="109"/>
    <col min="7191" max="7191" width="10.5" style="109" customWidth="1"/>
    <col min="7192" max="7427" width="9" style="109"/>
    <col min="7428" max="7428" width="10.5" style="109" customWidth="1"/>
    <col min="7429" max="7442" width="9" style="109"/>
    <col min="7443" max="7443" width="9.5" style="109" customWidth="1"/>
    <col min="7444" max="7446" width="9" style="109"/>
    <col min="7447" max="7447" width="10.5" style="109" customWidth="1"/>
    <col min="7448" max="7683" width="9" style="109"/>
    <col min="7684" max="7684" width="10.5" style="109" customWidth="1"/>
    <col min="7685" max="7698" width="9" style="109"/>
    <col min="7699" max="7699" width="9.5" style="109" customWidth="1"/>
    <col min="7700" max="7702" width="9" style="109"/>
    <col min="7703" max="7703" width="10.5" style="109" customWidth="1"/>
    <col min="7704" max="7939" width="9" style="109"/>
    <col min="7940" max="7940" width="10.5" style="109" customWidth="1"/>
    <col min="7941" max="7954" width="9" style="109"/>
    <col min="7955" max="7955" width="9.5" style="109" customWidth="1"/>
    <col min="7956" max="7958" width="9" style="109"/>
    <col min="7959" max="7959" width="10.5" style="109" customWidth="1"/>
    <col min="7960" max="8195" width="9" style="109"/>
    <col min="8196" max="8196" width="10.5" style="109" customWidth="1"/>
    <col min="8197" max="8210" width="9" style="109"/>
    <col min="8211" max="8211" width="9.5" style="109" customWidth="1"/>
    <col min="8212" max="8214" width="9" style="109"/>
    <col min="8215" max="8215" width="10.5" style="109" customWidth="1"/>
    <col min="8216" max="8451" width="9" style="109"/>
    <col min="8452" max="8452" width="10.5" style="109" customWidth="1"/>
    <col min="8453" max="8466" width="9" style="109"/>
    <col min="8467" max="8467" width="9.5" style="109" customWidth="1"/>
    <col min="8468" max="8470" width="9" style="109"/>
    <col min="8471" max="8471" width="10.5" style="109" customWidth="1"/>
    <col min="8472" max="8707" width="9" style="109"/>
    <col min="8708" max="8708" width="10.5" style="109" customWidth="1"/>
    <col min="8709" max="8722" width="9" style="109"/>
    <col min="8723" max="8723" width="9.5" style="109" customWidth="1"/>
    <col min="8724" max="8726" width="9" style="109"/>
    <col min="8727" max="8727" width="10.5" style="109" customWidth="1"/>
    <col min="8728" max="8963" width="9" style="109"/>
    <col min="8964" max="8964" width="10.5" style="109" customWidth="1"/>
    <col min="8965" max="8978" width="9" style="109"/>
    <col min="8979" max="8979" width="9.5" style="109" customWidth="1"/>
    <col min="8980" max="8982" width="9" style="109"/>
    <col min="8983" max="8983" width="10.5" style="109" customWidth="1"/>
    <col min="8984" max="9219" width="9" style="109"/>
    <col min="9220" max="9220" width="10.5" style="109" customWidth="1"/>
    <col min="9221" max="9234" width="9" style="109"/>
    <col min="9235" max="9235" width="9.5" style="109" customWidth="1"/>
    <col min="9236" max="9238" width="9" style="109"/>
    <col min="9239" max="9239" width="10.5" style="109" customWidth="1"/>
    <col min="9240" max="9475" width="9" style="109"/>
    <col min="9476" max="9476" width="10.5" style="109" customWidth="1"/>
    <col min="9477" max="9490" width="9" style="109"/>
    <col min="9491" max="9491" width="9.5" style="109" customWidth="1"/>
    <col min="9492" max="9494" width="9" style="109"/>
    <col min="9495" max="9495" width="10.5" style="109" customWidth="1"/>
    <col min="9496" max="9731" width="9" style="109"/>
    <col min="9732" max="9732" width="10.5" style="109" customWidth="1"/>
    <col min="9733" max="9746" width="9" style="109"/>
    <col min="9747" max="9747" width="9.5" style="109" customWidth="1"/>
    <col min="9748" max="9750" width="9" style="109"/>
    <col min="9751" max="9751" width="10.5" style="109" customWidth="1"/>
    <col min="9752" max="9987" width="9" style="109"/>
    <col min="9988" max="9988" width="10.5" style="109" customWidth="1"/>
    <col min="9989" max="10002" width="9" style="109"/>
    <col min="10003" max="10003" width="9.5" style="109" customWidth="1"/>
    <col min="10004" max="10006" width="9" style="109"/>
    <col min="10007" max="10007" width="10.5" style="109" customWidth="1"/>
    <col min="10008" max="10243" width="9" style="109"/>
    <col min="10244" max="10244" width="10.5" style="109" customWidth="1"/>
    <col min="10245" max="10258" width="9" style="109"/>
    <col min="10259" max="10259" width="9.5" style="109" customWidth="1"/>
    <col min="10260" max="10262" width="9" style="109"/>
    <col min="10263" max="10263" width="10.5" style="109" customWidth="1"/>
    <col min="10264" max="10499" width="9" style="109"/>
    <col min="10500" max="10500" width="10.5" style="109" customWidth="1"/>
    <col min="10501" max="10514" width="9" style="109"/>
    <col min="10515" max="10515" width="9.5" style="109" customWidth="1"/>
    <col min="10516" max="10518" width="9" style="109"/>
    <col min="10519" max="10519" width="10.5" style="109" customWidth="1"/>
    <col min="10520" max="10755" width="9" style="109"/>
    <col min="10756" max="10756" width="10.5" style="109" customWidth="1"/>
    <col min="10757" max="10770" width="9" style="109"/>
    <col min="10771" max="10771" width="9.5" style="109" customWidth="1"/>
    <col min="10772" max="10774" width="9" style="109"/>
    <col min="10775" max="10775" width="10.5" style="109" customWidth="1"/>
    <col min="10776" max="11011" width="9" style="109"/>
    <col min="11012" max="11012" width="10.5" style="109" customWidth="1"/>
    <col min="11013" max="11026" width="9" style="109"/>
    <col min="11027" max="11027" width="9.5" style="109" customWidth="1"/>
    <col min="11028" max="11030" width="9" style="109"/>
    <col min="11031" max="11031" width="10.5" style="109" customWidth="1"/>
    <col min="11032" max="11267" width="9" style="109"/>
    <col min="11268" max="11268" width="10.5" style="109" customWidth="1"/>
    <col min="11269" max="11282" width="9" style="109"/>
    <col min="11283" max="11283" width="9.5" style="109" customWidth="1"/>
    <col min="11284" max="11286" width="9" style="109"/>
    <col min="11287" max="11287" width="10.5" style="109" customWidth="1"/>
    <col min="11288" max="11523" width="9" style="109"/>
    <col min="11524" max="11524" width="10.5" style="109" customWidth="1"/>
    <col min="11525" max="11538" width="9" style="109"/>
    <col min="11539" max="11539" width="9.5" style="109" customWidth="1"/>
    <col min="11540" max="11542" width="9" style="109"/>
    <col min="11543" max="11543" width="10.5" style="109" customWidth="1"/>
    <col min="11544" max="11779" width="9" style="109"/>
    <col min="11780" max="11780" width="10.5" style="109" customWidth="1"/>
    <col min="11781" max="11794" width="9" style="109"/>
    <col min="11795" max="11795" width="9.5" style="109" customWidth="1"/>
    <col min="11796" max="11798" width="9" style="109"/>
    <col min="11799" max="11799" width="10.5" style="109" customWidth="1"/>
    <col min="11800" max="12035" width="9" style="109"/>
    <col min="12036" max="12036" width="10.5" style="109" customWidth="1"/>
    <col min="12037" max="12050" width="9" style="109"/>
    <col min="12051" max="12051" width="9.5" style="109" customWidth="1"/>
    <col min="12052" max="12054" width="9" style="109"/>
    <col min="12055" max="12055" width="10.5" style="109" customWidth="1"/>
    <col min="12056" max="12291" width="9" style="109"/>
    <col min="12292" max="12292" width="10.5" style="109" customWidth="1"/>
    <col min="12293" max="12306" width="9" style="109"/>
    <col min="12307" max="12307" width="9.5" style="109" customWidth="1"/>
    <col min="12308" max="12310" width="9" style="109"/>
    <col min="12311" max="12311" width="10.5" style="109" customWidth="1"/>
    <col min="12312" max="12547" width="9" style="109"/>
    <col min="12548" max="12548" width="10.5" style="109" customWidth="1"/>
    <col min="12549" max="12562" width="9" style="109"/>
    <col min="12563" max="12563" width="9.5" style="109" customWidth="1"/>
    <col min="12564" max="12566" width="9" style="109"/>
    <col min="12567" max="12567" width="10.5" style="109" customWidth="1"/>
    <col min="12568" max="12803" width="9" style="109"/>
    <col min="12804" max="12804" width="10.5" style="109" customWidth="1"/>
    <col min="12805" max="12818" width="9" style="109"/>
    <col min="12819" max="12819" width="9.5" style="109" customWidth="1"/>
    <col min="12820" max="12822" width="9" style="109"/>
    <col min="12823" max="12823" width="10.5" style="109" customWidth="1"/>
    <col min="12824" max="13059" width="9" style="109"/>
    <col min="13060" max="13060" width="10.5" style="109" customWidth="1"/>
    <col min="13061" max="13074" width="9" style="109"/>
    <col min="13075" max="13075" width="9.5" style="109" customWidth="1"/>
    <col min="13076" max="13078" width="9" style="109"/>
    <col min="13079" max="13079" width="10.5" style="109" customWidth="1"/>
    <col min="13080" max="13315" width="9" style="109"/>
    <col min="13316" max="13316" width="10.5" style="109" customWidth="1"/>
    <col min="13317" max="13330" width="9" style="109"/>
    <col min="13331" max="13331" width="9.5" style="109" customWidth="1"/>
    <col min="13332" max="13334" width="9" style="109"/>
    <col min="13335" max="13335" width="10.5" style="109" customWidth="1"/>
    <col min="13336" max="13571" width="9" style="109"/>
    <col min="13572" max="13572" width="10.5" style="109" customWidth="1"/>
    <col min="13573" max="13586" width="9" style="109"/>
    <col min="13587" max="13587" width="9.5" style="109" customWidth="1"/>
    <col min="13588" max="13590" width="9" style="109"/>
    <col min="13591" max="13591" width="10.5" style="109" customWidth="1"/>
    <col min="13592" max="13827" width="9" style="109"/>
    <col min="13828" max="13828" width="10.5" style="109" customWidth="1"/>
    <col min="13829" max="13842" width="9" style="109"/>
    <col min="13843" max="13843" width="9.5" style="109" customWidth="1"/>
    <col min="13844" max="13846" width="9" style="109"/>
    <col min="13847" max="13847" width="10.5" style="109" customWidth="1"/>
    <col min="13848" max="14083" width="9" style="109"/>
    <col min="14084" max="14084" width="10.5" style="109" customWidth="1"/>
    <col min="14085" max="14098" width="9" style="109"/>
    <col min="14099" max="14099" width="9.5" style="109" customWidth="1"/>
    <col min="14100" max="14102" width="9" style="109"/>
    <col min="14103" max="14103" width="10.5" style="109" customWidth="1"/>
    <col min="14104" max="14339" width="9" style="109"/>
    <col min="14340" max="14340" width="10.5" style="109" customWidth="1"/>
    <col min="14341" max="14354" width="9" style="109"/>
    <col min="14355" max="14355" width="9.5" style="109" customWidth="1"/>
    <col min="14356" max="14358" width="9" style="109"/>
    <col min="14359" max="14359" width="10.5" style="109" customWidth="1"/>
    <col min="14360" max="14595" width="9" style="109"/>
    <col min="14596" max="14596" width="10.5" style="109" customWidth="1"/>
    <col min="14597" max="14610" width="9" style="109"/>
    <col min="14611" max="14611" width="9.5" style="109" customWidth="1"/>
    <col min="14612" max="14614" width="9" style="109"/>
    <col min="14615" max="14615" width="10.5" style="109" customWidth="1"/>
    <col min="14616" max="14851" width="9" style="109"/>
    <col min="14852" max="14852" width="10.5" style="109" customWidth="1"/>
    <col min="14853" max="14866" width="9" style="109"/>
    <col min="14867" max="14867" width="9.5" style="109" customWidth="1"/>
    <col min="14868" max="14870" width="9" style="109"/>
    <col min="14871" max="14871" width="10.5" style="109" customWidth="1"/>
    <col min="14872" max="15107" width="9" style="109"/>
    <col min="15108" max="15108" width="10.5" style="109" customWidth="1"/>
    <col min="15109" max="15122" width="9" style="109"/>
    <col min="15123" max="15123" width="9.5" style="109" customWidth="1"/>
    <col min="15124" max="15126" width="9" style="109"/>
    <col min="15127" max="15127" width="10.5" style="109" customWidth="1"/>
    <col min="15128" max="15363" width="9" style="109"/>
    <col min="15364" max="15364" width="10.5" style="109" customWidth="1"/>
    <col min="15365" max="15378" width="9" style="109"/>
    <col min="15379" max="15379" width="9.5" style="109" customWidth="1"/>
    <col min="15380" max="15382" width="9" style="109"/>
    <col min="15383" max="15383" width="10.5" style="109" customWidth="1"/>
    <col min="15384" max="15619" width="9" style="109"/>
    <col min="15620" max="15620" width="10.5" style="109" customWidth="1"/>
    <col min="15621" max="15634" width="9" style="109"/>
    <col min="15635" max="15635" width="9.5" style="109" customWidth="1"/>
    <col min="15636" max="15638" width="9" style="109"/>
    <col min="15639" max="15639" width="10.5" style="109" customWidth="1"/>
    <col min="15640" max="15875" width="9" style="109"/>
    <col min="15876" max="15876" width="10.5" style="109" customWidth="1"/>
    <col min="15877" max="15890" width="9" style="109"/>
    <col min="15891" max="15891" width="9.5" style="109" customWidth="1"/>
    <col min="15892" max="15894" width="9" style="109"/>
    <col min="15895" max="15895" width="10.5" style="109" customWidth="1"/>
    <col min="15896" max="16131" width="9" style="109"/>
    <col min="16132" max="16132" width="10.5" style="109" customWidth="1"/>
    <col min="16133" max="16146" width="9" style="109"/>
    <col min="16147" max="16147" width="9.5" style="109" customWidth="1"/>
    <col min="16148" max="16150" width="9" style="109"/>
    <col min="16151" max="16151" width="10.5" style="109" customWidth="1"/>
    <col min="16152" max="16384" width="9" style="109"/>
  </cols>
  <sheetData>
    <row r="1" spans="1:53" ht="45" x14ac:dyDescent="0.15">
      <c r="A1" s="99" t="s">
        <v>0</v>
      </c>
      <c r="B1" s="100" t="s">
        <v>175</v>
      </c>
      <c r="C1" s="100" t="s">
        <v>176</v>
      </c>
      <c r="D1" s="101" t="s">
        <v>2</v>
      </c>
      <c r="E1" s="102" t="s">
        <v>3</v>
      </c>
      <c r="F1" s="102" t="s">
        <v>4</v>
      </c>
      <c r="G1" s="102" t="s">
        <v>5</v>
      </c>
      <c r="H1" s="102" t="s">
        <v>6</v>
      </c>
      <c r="I1" s="102" t="s">
        <v>7</v>
      </c>
      <c r="J1" s="103" t="s">
        <v>8</v>
      </c>
      <c r="K1" s="103" t="s">
        <v>9</v>
      </c>
      <c r="L1" s="101" t="s">
        <v>177</v>
      </c>
      <c r="M1" s="101" t="s">
        <v>178</v>
      </c>
      <c r="N1" s="101" t="s">
        <v>11</v>
      </c>
      <c r="O1" s="101" t="s">
        <v>179</v>
      </c>
      <c r="P1" s="101" t="s">
        <v>180</v>
      </c>
      <c r="Q1" s="104" t="s">
        <v>181</v>
      </c>
      <c r="R1" s="101" t="s">
        <v>182</v>
      </c>
      <c r="S1" s="101" t="s">
        <v>183</v>
      </c>
      <c r="T1" s="104" t="s">
        <v>13</v>
      </c>
      <c r="U1" s="105" t="s">
        <v>92</v>
      </c>
      <c r="V1" s="106" t="s">
        <v>14</v>
      </c>
      <c r="W1" s="101" t="s">
        <v>184</v>
      </c>
      <c r="X1" s="102" t="s">
        <v>16</v>
      </c>
      <c r="Y1" s="102" t="s">
        <v>17</v>
      </c>
      <c r="Z1" s="102" t="s">
        <v>18</v>
      </c>
      <c r="AA1" s="107" t="s">
        <v>19</v>
      </c>
      <c r="AB1" s="108" t="s">
        <v>185</v>
      </c>
      <c r="AE1" s="110" t="s">
        <v>0</v>
      </c>
      <c r="AF1" s="111"/>
      <c r="AG1" s="110" t="s">
        <v>3</v>
      </c>
      <c r="AH1" s="110" t="s">
        <v>4</v>
      </c>
      <c r="AI1" s="111"/>
      <c r="AJ1" s="110" t="s">
        <v>5</v>
      </c>
      <c r="AK1" s="111"/>
      <c r="AL1" s="112" t="s">
        <v>6</v>
      </c>
      <c r="AM1" s="111"/>
      <c r="AN1" s="112" t="s">
        <v>7</v>
      </c>
      <c r="AO1" s="111"/>
      <c r="AP1" s="112" t="s">
        <v>20</v>
      </c>
      <c r="AQ1" s="111"/>
      <c r="AR1" s="112" t="s">
        <v>9</v>
      </c>
      <c r="AS1" s="111"/>
      <c r="AT1" s="113" t="s">
        <v>186</v>
      </c>
      <c r="AU1" s="111"/>
      <c r="AV1" s="112" t="s">
        <v>22</v>
      </c>
      <c r="AX1" s="114" t="s">
        <v>187</v>
      </c>
      <c r="AY1" s="115" t="s">
        <v>188</v>
      </c>
      <c r="AZ1" s="115" t="s">
        <v>189</v>
      </c>
      <c r="BA1" s="116" t="s">
        <v>190</v>
      </c>
    </row>
    <row r="2" spans="1:53" x14ac:dyDescent="0.15">
      <c r="A2" s="109" t="s">
        <v>40</v>
      </c>
      <c r="B2" s="109" t="s">
        <v>191</v>
      </c>
      <c r="C2" s="109">
        <v>2020</v>
      </c>
      <c r="D2" s="117" t="s">
        <v>192</v>
      </c>
      <c r="E2" s="109" t="s">
        <v>193</v>
      </c>
      <c r="F2" s="109" t="s">
        <v>194</v>
      </c>
      <c r="G2" s="109" t="s">
        <v>31</v>
      </c>
      <c r="H2" s="109" t="s">
        <v>113</v>
      </c>
      <c r="I2" s="109" t="s">
        <v>111</v>
      </c>
      <c r="J2" s="118" t="s">
        <v>27</v>
      </c>
      <c r="K2" s="118" t="s">
        <v>112</v>
      </c>
      <c r="L2" s="109">
        <v>1</v>
      </c>
      <c r="N2" s="109">
        <v>1</v>
      </c>
      <c r="O2" s="109">
        <v>1.1000000000000001</v>
      </c>
      <c r="P2" s="109">
        <v>1.1000000000000001</v>
      </c>
      <c r="Q2" s="119">
        <f>IF(OR(O2="",P2=""),"",AVERAGE(O2,P2))</f>
        <v>1.1000000000000001</v>
      </c>
      <c r="R2" s="109">
        <v>14.8</v>
      </c>
      <c r="S2" s="109">
        <v>112</v>
      </c>
      <c r="T2" s="120">
        <f>IF(H2="","",IF(OR(H2="GREEN",H2="GK"),IF(S2&gt;=$AX$2,VLOOKUP(S2,$AX$2:$AY$12,2,1),""),IF(S2&gt;=$AZ$2,VLOOKUP(S2,$AZ$2:$BA$12,2,1),"")))</f>
        <v>33</v>
      </c>
      <c r="U2" s="109">
        <v>78</v>
      </c>
      <c r="V2" s="121">
        <f t="shared" ref="V2:V65" si="0">IF(OR(N2="",U2="",T2=""),"",U2/N2*T2)</f>
        <v>2574</v>
      </c>
      <c r="W2" s="109">
        <v>10</v>
      </c>
      <c r="X2" s="109" t="s">
        <v>35</v>
      </c>
      <c r="Y2" s="109" t="s">
        <v>55</v>
      </c>
      <c r="Z2" s="109" t="s">
        <v>43</v>
      </c>
      <c r="AA2" s="109" t="s">
        <v>76</v>
      </c>
      <c r="AB2" s="109" t="s">
        <v>195</v>
      </c>
      <c r="AE2" s="122" t="s">
        <v>24</v>
      </c>
      <c r="AG2" s="123" t="s">
        <v>196</v>
      </c>
      <c r="AH2" s="123" t="s">
        <v>197</v>
      </c>
      <c r="AJ2" s="123" t="s">
        <v>25</v>
      </c>
      <c r="AL2" s="124" t="s">
        <v>198</v>
      </c>
      <c r="AN2" s="123" t="s">
        <v>26</v>
      </c>
      <c r="AP2" s="123" t="s">
        <v>27</v>
      </c>
      <c r="AR2" s="123" t="s">
        <v>112</v>
      </c>
      <c r="AT2" s="123" t="s">
        <v>28</v>
      </c>
      <c r="AV2" s="123" t="s">
        <v>29</v>
      </c>
      <c r="AX2" s="125">
        <v>1</v>
      </c>
      <c r="AY2" s="126">
        <v>50</v>
      </c>
      <c r="AZ2" s="126">
        <v>1</v>
      </c>
      <c r="BA2" s="127">
        <v>50</v>
      </c>
    </row>
    <row r="3" spans="1:53" x14ac:dyDescent="0.15">
      <c r="A3" s="109" t="s">
        <v>40</v>
      </c>
      <c r="B3" s="109" t="s">
        <v>191</v>
      </c>
      <c r="C3" s="109">
        <v>2020</v>
      </c>
      <c r="D3" s="117" t="s">
        <v>192</v>
      </c>
      <c r="E3" s="109" t="s">
        <v>193</v>
      </c>
      <c r="F3" s="109" t="s">
        <v>194</v>
      </c>
      <c r="G3" s="109" t="s">
        <v>31</v>
      </c>
      <c r="H3" s="109" t="s">
        <v>113</v>
      </c>
      <c r="I3" s="109" t="s">
        <v>111</v>
      </c>
      <c r="J3" s="118" t="s">
        <v>27</v>
      </c>
      <c r="K3" s="118" t="s">
        <v>112</v>
      </c>
      <c r="L3" s="109">
        <v>2</v>
      </c>
      <c r="N3" s="109">
        <v>1</v>
      </c>
      <c r="O3" s="109">
        <v>1.05</v>
      </c>
      <c r="P3" s="109">
        <v>1.1499999999999999</v>
      </c>
      <c r="Q3" s="119">
        <f t="shared" ref="Q3:Q66" si="1">IF(OR(O3="",P3=""),"",AVERAGE(O3,P3))</f>
        <v>1.1000000000000001</v>
      </c>
      <c r="R3" s="109">
        <v>15.3</v>
      </c>
      <c r="S3" s="109">
        <v>116</v>
      </c>
      <c r="T3" s="120">
        <f t="shared" ref="T3:T66" si="2">IF(H3="","",IF(OR(H3="GREEN",H3="GK"),IF(S3&gt;=$AX$2,VLOOKUP(S3,$AX$2:$AY$12,2,1),""),IF(S3&gt;=$AZ$2,VLOOKUP(S3,$AZ$2:$BA$12,2,1),"")))</f>
        <v>30</v>
      </c>
      <c r="U3" s="109">
        <v>78</v>
      </c>
      <c r="V3" s="121">
        <f t="shared" si="0"/>
        <v>2340</v>
      </c>
      <c r="W3" s="109">
        <v>10</v>
      </c>
      <c r="X3" s="109" t="s">
        <v>35</v>
      </c>
      <c r="Y3" s="109" t="s">
        <v>55</v>
      </c>
      <c r="Z3" s="109" t="s">
        <v>43</v>
      </c>
      <c r="AA3" s="109" t="s">
        <v>76</v>
      </c>
      <c r="AB3" s="109" t="s">
        <v>195</v>
      </c>
      <c r="AE3" s="128" t="s">
        <v>30</v>
      </c>
      <c r="AG3" s="123" t="s">
        <v>199</v>
      </c>
      <c r="AH3" s="123" t="s">
        <v>200</v>
      </c>
      <c r="AJ3" s="129" t="s">
        <v>31</v>
      </c>
      <c r="AL3" s="129" t="s">
        <v>201</v>
      </c>
      <c r="AN3" s="129" t="s">
        <v>32</v>
      </c>
      <c r="AP3" s="129" t="s">
        <v>33</v>
      </c>
      <c r="AR3" s="129" t="s">
        <v>34</v>
      </c>
      <c r="AT3" s="129" t="s">
        <v>35</v>
      </c>
      <c r="AV3" s="129" t="s">
        <v>36</v>
      </c>
      <c r="AX3" s="130">
        <v>72</v>
      </c>
      <c r="AY3" s="131">
        <v>46</v>
      </c>
      <c r="AZ3" s="131">
        <v>71</v>
      </c>
      <c r="BA3" s="132">
        <v>42</v>
      </c>
    </row>
    <row r="4" spans="1:53" x14ac:dyDescent="0.15">
      <c r="A4" s="109" t="s">
        <v>40</v>
      </c>
      <c r="B4" s="109" t="s">
        <v>191</v>
      </c>
      <c r="C4" s="109">
        <v>2020</v>
      </c>
      <c r="D4" s="117" t="s">
        <v>192</v>
      </c>
      <c r="E4" s="109" t="s">
        <v>193</v>
      </c>
      <c r="F4" s="109" t="s">
        <v>194</v>
      </c>
      <c r="G4" s="109" t="s">
        <v>31</v>
      </c>
      <c r="H4" s="109" t="s">
        <v>113</v>
      </c>
      <c r="I4" s="109" t="s">
        <v>111</v>
      </c>
      <c r="J4" s="118" t="s">
        <v>27</v>
      </c>
      <c r="K4" s="118" t="s">
        <v>112</v>
      </c>
      <c r="L4" s="109">
        <v>3</v>
      </c>
      <c r="N4" s="109">
        <v>1</v>
      </c>
      <c r="O4" s="109">
        <v>1.1499999999999999</v>
      </c>
      <c r="P4" s="109">
        <v>1.2</v>
      </c>
      <c r="Q4" s="119">
        <f t="shared" si="1"/>
        <v>1.1749999999999998</v>
      </c>
      <c r="R4" s="109">
        <v>14.2</v>
      </c>
      <c r="S4" s="109">
        <v>112</v>
      </c>
      <c r="T4" s="120">
        <f t="shared" si="2"/>
        <v>33</v>
      </c>
      <c r="U4" s="109">
        <v>78</v>
      </c>
      <c r="V4" s="121">
        <f t="shared" si="0"/>
        <v>2574</v>
      </c>
      <c r="W4" s="109">
        <v>10</v>
      </c>
      <c r="X4" s="109" t="s">
        <v>35</v>
      </c>
      <c r="Y4" s="109" t="s">
        <v>55</v>
      </c>
      <c r="Z4" s="109" t="s">
        <v>43</v>
      </c>
      <c r="AA4" s="109" t="s">
        <v>76</v>
      </c>
      <c r="AB4" s="109" t="s">
        <v>195</v>
      </c>
      <c r="AE4" s="128" t="s">
        <v>23</v>
      </c>
      <c r="AG4" s="123" t="s">
        <v>202</v>
      </c>
      <c r="AH4" s="123" t="s">
        <v>203</v>
      </c>
      <c r="AJ4" s="133" t="s">
        <v>37</v>
      </c>
      <c r="AL4" s="129" t="s">
        <v>204</v>
      </c>
      <c r="AN4" s="134" t="s">
        <v>205</v>
      </c>
      <c r="AP4" s="129" t="s">
        <v>206</v>
      </c>
      <c r="AR4" s="129" t="s">
        <v>207</v>
      </c>
      <c r="AT4" s="134"/>
      <c r="AV4" s="129" t="s">
        <v>39</v>
      </c>
      <c r="AX4" s="130">
        <v>75</v>
      </c>
      <c r="AY4" s="131">
        <v>42</v>
      </c>
      <c r="AZ4" s="131">
        <v>76</v>
      </c>
      <c r="BA4" s="132">
        <v>39</v>
      </c>
    </row>
    <row r="5" spans="1:53" x14ac:dyDescent="0.15">
      <c r="A5" s="109" t="s">
        <v>40</v>
      </c>
      <c r="B5" s="109" t="s">
        <v>191</v>
      </c>
      <c r="C5" s="109">
        <v>2020</v>
      </c>
      <c r="D5" s="117" t="s">
        <v>192</v>
      </c>
      <c r="E5" s="109" t="s">
        <v>193</v>
      </c>
      <c r="F5" s="109" t="s">
        <v>194</v>
      </c>
      <c r="G5" s="109" t="s">
        <v>31</v>
      </c>
      <c r="H5" s="109" t="s">
        <v>113</v>
      </c>
      <c r="I5" s="109" t="s">
        <v>111</v>
      </c>
      <c r="J5" s="118" t="s">
        <v>27</v>
      </c>
      <c r="K5" s="118" t="s">
        <v>112</v>
      </c>
      <c r="L5" s="109">
        <v>1</v>
      </c>
      <c r="N5" s="109">
        <v>2</v>
      </c>
      <c r="O5" s="109">
        <v>1.2</v>
      </c>
      <c r="P5" s="109">
        <v>1.05</v>
      </c>
      <c r="Q5" s="119">
        <f t="shared" si="1"/>
        <v>1.125</v>
      </c>
      <c r="R5" s="109">
        <v>15.4</v>
      </c>
      <c r="S5" s="109">
        <v>154</v>
      </c>
      <c r="T5" s="120">
        <f t="shared" si="2"/>
        <v>18</v>
      </c>
      <c r="U5" s="109">
        <v>398</v>
      </c>
      <c r="V5" s="121">
        <f t="shared" si="0"/>
        <v>3582</v>
      </c>
      <c r="W5" s="109">
        <v>10</v>
      </c>
      <c r="X5" s="109" t="s">
        <v>28</v>
      </c>
      <c r="Y5" s="109" t="s">
        <v>55</v>
      </c>
      <c r="Z5" s="109" t="s">
        <v>43</v>
      </c>
      <c r="AA5" s="109" t="s">
        <v>76</v>
      </c>
      <c r="AB5" s="109" t="s">
        <v>195</v>
      </c>
      <c r="AE5" s="128" t="s">
        <v>40</v>
      </c>
      <c r="AG5" s="123" t="s">
        <v>172</v>
      </c>
      <c r="AH5" s="123" t="s">
        <v>208</v>
      </c>
      <c r="AJ5" s="134"/>
      <c r="AL5" s="129" t="s">
        <v>113</v>
      </c>
      <c r="AN5" s="135" t="s">
        <v>111</v>
      </c>
      <c r="AP5" s="129" t="s">
        <v>209</v>
      </c>
      <c r="AR5" s="129" t="s">
        <v>42</v>
      </c>
      <c r="AV5" s="129" t="s">
        <v>43</v>
      </c>
      <c r="AX5" s="130">
        <v>84</v>
      </c>
      <c r="AY5" s="131">
        <v>39</v>
      </c>
      <c r="AZ5" s="131">
        <v>84</v>
      </c>
      <c r="BA5" s="132">
        <v>36</v>
      </c>
    </row>
    <row r="6" spans="1:53" x14ac:dyDescent="0.15">
      <c r="A6" s="109" t="s">
        <v>40</v>
      </c>
      <c r="B6" s="109" t="s">
        <v>191</v>
      </c>
      <c r="C6" s="109">
        <v>2020</v>
      </c>
      <c r="D6" s="117" t="s">
        <v>192</v>
      </c>
      <c r="E6" s="109" t="s">
        <v>193</v>
      </c>
      <c r="F6" s="109" t="s">
        <v>194</v>
      </c>
      <c r="G6" s="109" t="s">
        <v>31</v>
      </c>
      <c r="H6" s="109" t="s">
        <v>113</v>
      </c>
      <c r="I6" s="109" t="s">
        <v>111</v>
      </c>
      <c r="J6" s="118" t="s">
        <v>27</v>
      </c>
      <c r="K6" s="118" t="s">
        <v>112</v>
      </c>
      <c r="L6" s="109">
        <v>2</v>
      </c>
      <c r="N6" s="109">
        <v>2</v>
      </c>
      <c r="O6" s="109">
        <v>1.1000000000000001</v>
      </c>
      <c r="P6" s="109">
        <v>1.25</v>
      </c>
      <c r="Q6" s="119">
        <f t="shared" si="1"/>
        <v>1.175</v>
      </c>
      <c r="R6" s="109">
        <v>14.1</v>
      </c>
      <c r="S6" s="109">
        <v>140</v>
      </c>
      <c r="T6" s="120">
        <f t="shared" si="2"/>
        <v>22</v>
      </c>
      <c r="U6" s="109">
        <v>398</v>
      </c>
      <c r="V6" s="121">
        <f t="shared" si="0"/>
        <v>4378</v>
      </c>
      <c r="W6" s="109">
        <v>10</v>
      </c>
      <c r="X6" s="109" t="s">
        <v>28</v>
      </c>
      <c r="Y6" s="109" t="s">
        <v>55</v>
      </c>
      <c r="Z6" s="109" t="s">
        <v>43</v>
      </c>
      <c r="AA6" s="109" t="s">
        <v>76</v>
      </c>
      <c r="AB6" s="109" t="s">
        <v>195</v>
      </c>
      <c r="AE6" s="128" t="s">
        <v>44</v>
      </c>
      <c r="AG6" s="123" t="s">
        <v>210</v>
      </c>
      <c r="AH6" s="123" t="s">
        <v>211</v>
      </c>
      <c r="AL6" s="129" t="s">
        <v>212</v>
      </c>
      <c r="AN6" s="135" t="s">
        <v>166</v>
      </c>
      <c r="AP6" s="129" t="s">
        <v>41</v>
      </c>
      <c r="AR6" s="129" t="s">
        <v>46</v>
      </c>
      <c r="AV6" s="129" t="s">
        <v>47</v>
      </c>
      <c r="AX6" s="130">
        <v>97</v>
      </c>
      <c r="AY6" s="131">
        <v>36</v>
      </c>
      <c r="AZ6" s="131">
        <v>99</v>
      </c>
      <c r="BA6" s="132">
        <v>33</v>
      </c>
    </row>
    <row r="7" spans="1:53" x14ac:dyDescent="0.15">
      <c r="A7" s="109" t="s">
        <v>40</v>
      </c>
      <c r="B7" s="229" t="s">
        <v>160</v>
      </c>
      <c r="C7" s="109">
        <v>2020</v>
      </c>
      <c r="D7" s="117" t="s">
        <v>192</v>
      </c>
      <c r="E7" s="109" t="s">
        <v>193</v>
      </c>
      <c r="F7" s="109" t="s">
        <v>194</v>
      </c>
      <c r="G7" s="109" t="s">
        <v>31</v>
      </c>
      <c r="H7" s="109" t="s">
        <v>113</v>
      </c>
      <c r="I7" s="109" t="s">
        <v>111</v>
      </c>
      <c r="J7" s="118" t="s">
        <v>27</v>
      </c>
      <c r="K7" s="118" t="s">
        <v>112</v>
      </c>
      <c r="L7" s="109">
        <v>3</v>
      </c>
      <c r="N7" s="109">
        <v>2</v>
      </c>
      <c r="O7" s="109">
        <v>1.1499999999999999</v>
      </c>
      <c r="P7" s="109">
        <v>1.1499999999999999</v>
      </c>
      <c r="Q7" s="119">
        <f t="shared" si="1"/>
        <v>1.1499999999999999</v>
      </c>
      <c r="R7" s="109">
        <v>14.7</v>
      </c>
      <c r="S7" s="109">
        <v>144</v>
      </c>
      <c r="T7" s="120">
        <f t="shared" si="2"/>
        <v>22</v>
      </c>
      <c r="U7" s="109">
        <v>398</v>
      </c>
      <c r="V7" s="121">
        <f t="shared" si="0"/>
        <v>4378</v>
      </c>
      <c r="W7" s="109">
        <v>10</v>
      </c>
      <c r="X7" s="109" t="s">
        <v>28</v>
      </c>
      <c r="Y7" s="109" t="s">
        <v>55</v>
      </c>
      <c r="Z7" s="109" t="s">
        <v>43</v>
      </c>
      <c r="AA7" s="109" t="s">
        <v>76</v>
      </c>
      <c r="AB7" s="109" t="s">
        <v>195</v>
      </c>
      <c r="AE7" s="128" t="s">
        <v>48</v>
      </c>
      <c r="AG7" s="123" t="s">
        <v>213</v>
      </c>
      <c r="AH7" s="123" t="s">
        <v>197</v>
      </c>
      <c r="AL7" s="129" t="s">
        <v>165</v>
      </c>
      <c r="AP7" s="129" t="s">
        <v>45</v>
      </c>
      <c r="AR7" s="129" t="s">
        <v>214</v>
      </c>
      <c r="AV7" s="129" t="s">
        <v>51</v>
      </c>
      <c r="AX7" s="130">
        <v>109</v>
      </c>
      <c r="AY7" s="131">
        <v>33</v>
      </c>
      <c r="AZ7" s="131">
        <v>113</v>
      </c>
      <c r="BA7" s="132">
        <v>30</v>
      </c>
    </row>
    <row r="8" spans="1:53" x14ac:dyDescent="0.15">
      <c r="A8" s="109" t="s">
        <v>40</v>
      </c>
      <c r="B8" s="109" t="s">
        <v>191</v>
      </c>
      <c r="C8" s="109">
        <v>2020</v>
      </c>
      <c r="D8" s="117" t="s">
        <v>192</v>
      </c>
      <c r="E8" s="109" t="s">
        <v>193</v>
      </c>
      <c r="F8" s="109" t="s">
        <v>194</v>
      </c>
      <c r="G8" s="109" t="s">
        <v>31</v>
      </c>
      <c r="H8" s="109" t="s">
        <v>113</v>
      </c>
      <c r="I8" s="109" t="s">
        <v>111</v>
      </c>
      <c r="J8" s="118" t="s">
        <v>27</v>
      </c>
      <c r="K8" s="118" t="s">
        <v>112</v>
      </c>
      <c r="L8" s="109">
        <v>1</v>
      </c>
      <c r="N8" s="109">
        <v>5</v>
      </c>
      <c r="O8" s="109">
        <v>0.8</v>
      </c>
      <c r="P8" s="109">
        <v>0.75</v>
      </c>
      <c r="Q8" s="119">
        <f t="shared" si="1"/>
        <v>0.77500000000000002</v>
      </c>
      <c r="R8" s="109">
        <v>15.3</v>
      </c>
      <c r="S8" s="109">
        <v>90</v>
      </c>
      <c r="T8" s="120">
        <f t="shared" si="2"/>
        <v>36</v>
      </c>
      <c r="U8" s="109">
        <v>358</v>
      </c>
      <c r="V8" s="121">
        <f t="shared" si="0"/>
        <v>2577.6</v>
      </c>
      <c r="W8" s="109">
        <v>10</v>
      </c>
      <c r="X8" s="109" t="s">
        <v>35</v>
      </c>
      <c r="Y8" s="109" t="s">
        <v>55</v>
      </c>
      <c r="Z8" s="109" t="s">
        <v>43</v>
      </c>
      <c r="AA8" s="109" t="s">
        <v>76</v>
      </c>
      <c r="AB8" s="109" t="s">
        <v>195</v>
      </c>
      <c r="AE8" s="128" t="s">
        <v>46</v>
      </c>
      <c r="AG8" s="123" t="s">
        <v>215</v>
      </c>
      <c r="AH8" s="123" t="s">
        <v>216</v>
      </c>
      <c r="AL8" s="129" t="s">
        <v>164</v>
      </c>
      <c r="AP8" s="129" t="s">
        <v>49</v>
      </c>
      <c r="AR8" s="129" t="s">
        <v>67</v>
      </c>
      <c r="AV8" s="129" t="s">
        <v>82</v>
      </c>
      <c r="AX8" s="130">
        <v>119</v>
      </c>
      <c r="AY8" s="131">
        <v>30</v>
      </c>
      <c r="AZ8" s="131">
        <v>121</v>
      </c>
      <c r="BA8" s="132">
        <v>27</v>
      </c>
    </row>
    <row r="9" spans="1:53" x14ac:dyDescent="0.15">
      <c r="A9" s="109" t="s">
        <v>40</v>
      </c>
      <c r="B9" s="109" t="s">
        <v>191</v>
      </c>
      <c r="C9" s="109">
        <v>2020</v>
      </c>
      <c r="D9" s="117" t="s">
        <v>192</v>
      </c>
      <c r="E9" s="109" t="s">
        <v>193</v>
      </c>
      <c r="F9" s="109" t="s">
        <v>194</v>
      </c>
      <c r="G9" s="109" t="s">
        <v>31</v>
      </c>
      <c r="H9" s="109" t="s">
        <v>113</v>
      </c>
      <c r="I9" s="109" t="s">
        <v>111</v>
      </c>
      <c r="J9" s="118" t="s">
        <v>27</v>
      </c>
      <c r="K9" s="118" t="s">
        <v>112</v>
      </c>
      <c r="L9" s="109">
        <v>2</v>
      </c>
      <c r="N9" s="109">
        <v>5</v>
      </c>
      <c r="O9" s="109">
        <v>0.75</v>
      </c>
      <c r="P9" s="109">
        <v>0.9</v>
      </c>
      <c r="Q9" s="119">
        <f t="shared" si="1"/>
        <v>0.82499999999999996</v>
      </c>
      <c r="R9" s="109">
        <v>14.9</v>
      </c>
      <c r="S9" s="109">
        <v>86</v>
      </c>
      <c r="T9" s="120">
        <f t="shared" si="2"/>
        <v>36</v>
      </c>
      <c r="U9" s="109">
        <v>358</v>
      </c>
      <c r="V9" s="121">
        <f t="shared" si="0"/>
        <v>2577.6</v>
      </c>
      <c r="W9" s="109">
        <v>10</v>
      </c>
      <c r="X9" s="109" t="s">
        <v>35</v>
      </c>
      <c r="Y9" s="109" t="s">
        <v>55</v>
      </c>
      <c r="Z9" s="109" t="s">
        <v>43</v>
      </c>
      <c r="AA9" s="109" t="s">
        <v>76</v>
      </c>
      <c r="AB9" s="109" t="s">
        <v>195</v>
      </c>
      <c r="AE9" s="128" t="s">
        <v>217</v>
      </c>
      <c r="AG9" s="123" t="s">
        <v>218</v>
      </c>
      <c r="AH9" s="123" t="s">
        <v>194</v>
      </c>
      <c r="AL9" s="136" t="s">
        <v>219</v>
      </c>
      <c r="AP9" s="129" t="s">
        <v>80</v>
      </c>
      <c r="AR9" s="129" t="s">
        <v>220</v>
      </c>
      <c r="AV9" s="129" t="s">
        <v>86</v>
      </c>
      <c r="AX9" s="130">
        <v>128</v>
      </c>
      <c r="AY9" s="131">
        <v>27</v>
      </c>
      <c r="AZ9" s="131">
        <v>129</v>
      </c>
      <c r="BA9" s="132">
        <v>25</v>
      </c>
    </row>
    <row r="10" spans="1:53" x14ac:dyDescent="0.15">
      <c r="A10" s="109" t="s">
        <v>40</v>
      </c>
      <c r="B10" s="109" t="s">
        <v>191</v>
      </c>
      <c r="C10" s="109">
        <v>2020</v>
      </c>
      <c r="D10" s="117" t="s">
        <v>192</v>
      </c>
      <c r="E10" s="109" t="s">
        <v>193</v>
      </c>
      <c r="F10" s="109" t="s">
        <v>194</v>
      </c>
      <c r="G10" s="109" t="s">
        <v>31</v>
      </c>
      <c r="H10" s="109" t="s">
        <v>113</v>
      </c>
      <c r="I10" s="109" t="s">
        <v>111</v>
      </c>
      <c r="J10" s="118" t="s">
        <v>27</v>
      </c>
      <c r="K10" s="118" t="s">
        <v>112</v>
      </c>
      <c r="L10" s="109">
        <v>3</v>
      </c>
      <c r="N10" s="109">
        <v>5</v>
      </c>
      <c r="O10" s="109">
        <v>0.8</v>
      </c>
      <c r="P10" s="109">
        <v>0.75</v>
      </c>
      <c r="Q10" s="119">
        <f t="shared" si="1"/>
        <v>0.77500000000000002</v>
      </c>
      <c r="R10" s="109">
        <v>15</v>
      </c>
      <c r="S10" s="109">
        <v>87</v>
      </c>
      <c r="T10" s="120">
        <f t="shared" si="2"/>
        <v>36</v>
      </c>
      <c r="U10" s="109">
        <v>358</v>
      </c>
      <c r="V10" s="121">
        <f t="shared" si="0"/>
        <v>2577.6</v>
      </c>
      <c r="W10" s="109">
        <v>10</v>
      </c>
      <c r="X10" s="109" t="s">
        <v>35</v>
      </c>
      <c r="Y10" s="109" t="s">
        <v>55</v>
      </c>
      <c r="Z10" s="109" t="s">
        <v>43</v>
      </c>
      <c r="AA10" s="109" t="s">
        <v>76</v>
      </c>
      <c r="AB10" s="109" t="s">
        <v>195</v>
      </c>
      <c r="AE10" s="128" t="s">
        <v>221</v>
      </c>
      <c r="AG10" s="123" t="s">
        <v>193</v>
      </c>
      <c r="AH10" s="129" t="s">
        <v>194</v>
      </c>
      <c r="AP10" s="129" t="s">
        <v>84</v>
      </c>
      <c r="AR10" s="129" t="s">
        <v>222</v>
      </c>
      <c r="AV10" s="129" t="s">
        <v>90</v>
      </c>
      <c r="AX10" s="130">
        <v>138</v>
      </c>
      <c r="AY10" s="131">
        <v>25</v>
      </c>
      <c r="AZ10" s="131">
        <v>138</v>
      </c>
      <c r="BA10" s="132">
        <v>22</v>
      </c>
    </row>
    <row r="11" spans="1:53" x14ac:dyDescent="0.15">
      <c r="A11" s="109" t="s">
        <v>40</v>
      </c>
      <c r="B11" s="109" t="s">
        <v>191</v>
      </c>
      <c r="C11" s="109">
        <v>2020</v>
      </c>
      <c r="D11" s="117" t="s">
        <v>192</v>
      </c>
      <c r="E11" s="109" t="s">
        <v>193</v>
      </c>
      <c r="F11" s="109" t="s">
        <v>194</v>
      </c>
      <c r="G11" s="109" t="s">
        <v>31</v>
      </c>
      <c r="H11" s="109" t="s">
        <v>164</v>
      </c>
      <c r="I11" s="109" t="s">
        <v>111</v>
      </c>
      <c r="J11" s="118" t="s">
        <v>27</v>
      </c>
      <c r="K11" s="118" t="s">
        <v>112</v>
      </c>
      <c r="L11" s="109">
        <v>1</v>
      </c>
      <c r="N11" s="109">
        <v>1</v>
      </c>
      <c r="O11" s="109">
        <v>0.6</v>
      </c>
      <c r="P11" s="109">
        <v>0.7</v>
      </c>
      <c r="Q11" s="119">
        <f t="shared" si="1"/>
        <v>0.64999999999999991</v>
      </c>
      <c r="R11" s="109">
        <v>7.9</v>
      </c>
      <c r="S11" s="109">
        <v>136</v>
      </c>
      <c r="T11" s="120">
        <f t="shared" si="2"/>
        <v>25</v>
      </c>
      <c r="U11" s="109">
        <v>98</v>
      </c>
      <c r="V11" s="121">
        <f t="shared" si="0"/>
        <v>2450</v>
      </c>
      <c r="W11" s="109">
        <v>10</v>
      </c>
      <c r="X11" s="109" t="s">
        <v>35</v>
      </c>
      <c r="Y11" s="109" t="s">
        <v>55</v>
      </c>
      <c r="Z11" s="109" t="s">
        <v>43</v>
      </c>
      <c r="AA11" s="109" t="s">
        <v>76</v>
      </c>
      <c r="AB11" s="109" t="s">
        <v>195</v>
      </c>
      <c r="AE11" s="128" t="s">
        <v>54</v>
      </c>
      <c r="AG11" s="123" t="s">
        <v>223</v>
      </c>
      <c r="AH11" s="129" t="s">
        <v>224</v>
      </c>
      <c r="AP11" s="129" t="s">
        <v>88</v>
      </c>
      <c r="AR11" s="129" t="s">
        <v>225</v>
      </c>
      <c r="AV11" s="129" t="s">
        <v>55</v>
      </c>
      <c r="AX11" s="130">
        <v>151</v>
      </c>
      <c r="AY11" s="131">
        <v>22</v>
      </c>
      <c r="AZ11" s="131">
        <v>152</v>
      </c>
      <c r="BA11" s="132">
        <v>18</v>
      </c>
    </row>
    <row r="12" spans="1:53" x14ac:dyDescent="0.15">
      <c r="A12" s="109" t="s">
        <v>40</v>
      </c>
      <c r="B12" s="109" t="s">
        <v>191</v>
      </c>
      <c r="C12" s="109">
        <v>2020</v>
      </c>
      <c r="D12" s="117" t="s">
        <v>192</v>
      </c>
      <c r="E12" s="109" t="s">
        <v>193</v>
      </c>
      <c r="F12" s="109" t="s">
        <v>194</v>
      </c>
      <c r="G12" s="109" t="s">
        <v>31</v>
      </c>
      <c r="H12" s="109" t="s">
        <v>164</v>
      </c>
      <c r="I12" s="109" t="s">
        <v>111</v>
      </c>
      <c r="J12" s="118" t="s">
        <v>27</v>
      </c>
      <c r="K12" s="118" t="s">
        <v>112</v>
      </c>
      <c r="L12" s="109">
        <v>2</v>
      </c>
      <c r="N12" s="109">
        <v>1</v>
      </c>
      <c r="O12" s="109">
        <v>0.65</v>
      </c>
      <c r="P12" s="109">
        <v>0.55000000000000004</v>
      </c>
      <c r="Q12" s="119">
        <f t="shared" si="1"/>
        <v>0.60000000000000009</v>
      </c>
      <c r="R12" s="109">
        <v>17.600000000000001</v>
      </c>
      <c r="S12" s="109">
        <v>136</v>
      </c>
      <c r="T12" s="120">
        <f t="shared" si="2"/>
        <v>25</v>
      </c>
      <c r="U12" s="109">
        <v>98</v>
      </c>
      <c r="V12" s="121">
        <f t="shared" si="0"/>
        <v>2450</v>
      </c>
      <c r="W12" s="109">
        <v>10</v>
      </c>
      <c r="X12" s="109" t="s">
        <v>35</v>
      </c>
      <c r="Y12" s="109" t="s">
        <v>55</v>
      </c>
      <c r="Z12" s="109" t="s">
        <v>43</v>
      </c>
      <c r="AA12" s="109" t="s">
        <v>76</v>
      </c>
      <c r="AB12" s="109" t="s">
        <v>195</v>
      </c>
      <c r="AE12" s="128" t="s">
        <v>226</v>
      </c>
      <c r="AG12" s="129"/>
      <c r="AH12" s="129"/>
      <c r="AP12" s="129" t="s">
        <v>53</v>
      </c>
      <c r="AR12" s="129" t="s">
        <v>227</v>
      </c>
      <c r="AV12" s="129" t="s">
        <v>58</v>
      </c>
      <c r="AX12" s="137">
        <v>180</v>
      </c>
      <c r="AY12" s="138">
        <v>18</v>
      </c>
      <c r="AZ12" s="138">
        <v>181</v>
      </c>
      <c r="BA12" s="139">
        <v>16</v>
      </c>
    </row>
    <row r="13" spans="1:53" x14ac:dyDescent="0.15">
      <c r="A13" s="109" t="s">
        <v>40</v>
      </c>
      <c r="B13" s="109" t="s">
        <v>191</v>
      </c>
      <c r="C13" s="109">
        <v>2020</v>
      </c>
      <c r="D13" s="117" t="s">
        <v>192</v>
      </c>
      <c r="E13" s="109" t="s">
        <v>193</v>
      </c>
      <c r="F13" s="109" t="s">
        <v>194</v>
      </c>
      <c r="G13" s="109" t="s">
        <v>31</v>
      </c>
      <c r="H13" s="109" t="s">
        <v>164</v>
      </c>
      <c r="I13" s="109" t="s">
        <v>111</v>
      </c>
      <c r="J13" s="118" t="s">
        <v>27</v>
      </c>
      <c r="K13" s="118" t="s">
        <v>112</v>
      </c>
      <c r="L13" s="109">
        <v>3</v>
      </c>
      <c r="N13" s="109">
        <v>1</v>
      </c>
      <c r="O13" s="109">
        <v>0.7</v>
      </c>
      <c r="P13" s="109">
        <v>0.7</v>
      </c>
      <c r="Q13" s="119">
        <f t="shared" si="1"/>
        <v>0.7</v>
      </c>
      <c r="R13" s="109">
        <v>17.3</v>
      </c>
      <c r="S13" s="109">
        <v>134</v>
      </c>
      <c r="T13" s="120">
        <f t="shared" si="2"/>
        <v>25</v>
      </c>
      <c r="U13" s="109">
        <v>98</v>
      </c>
      <c r="V13" s="121">
        <f t="shared" si="0"/>
        <v>2450</v>
      </c>
      <c r="W13" s="109">
        <v>10</v>
      </c>
      <c r="X13" s="109" t="s">
        <v>35</v>
      </c>
      <c r="Y13" s="109" t="s">
        <v>55</v>
      </c>
      <c r="Z13" s="109" t="s">
        <v>43</v>
      </c>
      <c r="AA13" s="109" t="s">
        <v>76</v>
      </c>
      <c r="AB13" s="109" t="s">
        <v>195</v>
      </c>
      <c r="AE13" s="128" t="s">
        <v>228</v>
      </c>
      <c r="AG13" s="129"/>
      <c r="AH13" s="129"/>
      <c r="AP13" s="129" t="s">
        <v>57</v>
      </c>
      <c r="AR13" s="129" t="s">
        <v>221</v>
      </c>
      <c r="AV13" s="129" t="s">
        <v>61</v>
      </c>
    </row>
    <row r="14" spans="1:53" x14ac:dyDescent="0.15">
      <c r="A14" s="109" t="s">
        <v>40</v>
      </c>
      <c r="B14" s="109" t="s">
        <v>191</v>
      </c>
      <c r="C14" s="109">
        <v>2020</v>
      </c>
      <c r="D14" s="117" t="s">
        <v>192</v>
      </c>
      <c r="E14" s="109" t="s">
        <v>193</v>
      </c>
      <c r="F14" s="109" t="s">
        <v>194</v>
      </c>
      <c r="G14" s="109" t="s">
        <v>31</v>
      </c>
      <c r="H14" s="109" t="s">
        <v>164</v>
      </c>
      <c r="I14" s="109" t="s">
        <v>111</v>
      </c>
      <c r="J14" s="118" t="s">
        <v>27</v>
      </c>
      <c r="K14" s="118" t="s">
        <v>112</v>
      </c>
      <c r="L14" s="109">
        <v>1</v>
      </c>
      <c r="N14" s="109">
        <v>4</v>
      </c>
      <c r="O14" s="109">
        <v>0.65</v>
      </c>
      <c r="P14" s="109">
        <v>0.7</v>
      </c>
      <c r="Q14" s="119">
        <f t="shared" si="1"/>
        <v>0.67500000000000004</v>
      </c>
      <c r="R14" s="109">
        <v>15.5</v>
      </c>
      <c r="S14" s="109">
        <v>104</v>
      </c>
      <c r="T14" s="120">
        <f t="shared" si="2"/>
        <v>33</v>
      </c>
      <c r="U14" s="109">
        <v>498</v>
      </c>
      <c r="V14" s="121">
        <f t="shared" si="0"/>
        <v>4108.5</v>
      </c>
      <c r="W14" s="109">
        <v>10</v>
      </c>
      <c r="X14" s="109" t="s">
        <v>28</v>
      </c>
      <c r="Y14" s="109" t="s">
        <v>55</v>
      </c>
      <c r="Z14" s="109" t="s">
        <v>43</v>
      </c>
      <c r="AA14" s="109" t="s">
        <v>76</v>
      </c>
      <c r="AB14" s="109" t="s">
        <v>195</v>
      </c>
      <c r="AE14" s="128" t="s">
        <v>81</v>
      </c>
      <c r="AG14" s="129"/>
      <c r="AH14" s="129"/>
      <c r="AP14" s="129" t="s">
        <v>60</v>
      </c>
      <c r="AR14" s="129" t="s">
        <v>229</v>
      </c>
      <c r="AV14" s="129" t="s">
        <v>64</v>
      </c>
    </row>
    <row r="15" spans="1:53" x14ac:dyDescent="0.15">
      <c r="A15" s="109" t="s">
        <v>40</v>
      </c>
      <c r="B15" s="109" t="s">
        <v>191</v>
      </c>
      <c r="C15" s="109">
        <v>2020</v>
      </c>
      <c r="D15" s="117" t="s">
        <v>192</v>
      </c>
      <c r="E15" s="109" t="s">
        <v>193</v>
      </c>
      <c r="F15" s="109" t="s">
        <v>194</v>
      </c>
      <c r="G15" s="109" t="s">
        <v>31</v>
      </c>
      <c r="H15" s="109" t="s">
        <v>164</v>
      </c>
      <c r="I15" s="109" t="s">
        <v>111</v>
      </c>
      <c r="J15" s="118" t="s">
        <v>27</v>
      </c>
      <c r="K15" s="118" t="s">
        <v>112</v>
      </c>
      <c r="L15" s="109">
        <v>2</v>
      </c>
      <c r="N15" s="109">
        <v>4</v>
      </c>
      <c r="O15" s="109">
        <v>0.6</v>
      </c>
      <c r="P15" s="109">
        <v>0.8</v>
      </c>
      <c r="Q15" s="119">
        <f t="shared" si="1"/>
        <v>0.7</v>
      </c>
      <c r="R15" s="109">
        <v>15.1</v>
      </c>
      <c r="S15" s="109">
        <v>104</v>
      </c>
      <c r="T15" s="120">
        <f t="shared" si="2"/>
        <v>33</v>
      </c>
      <c r="U15" s="109">
        <v>498</v>
      </c>
      <c r="V15" s="121">
        <f t="shared" si="0"/>
        <v>4108.5</v>
      </c>
      <c r="W15" s="109">
        <v>10</v>
      </c>
      <c r="X15" s="109" t="s">
        <v>28</v>
      </c>
      <c r="Y15" s="109" t="s">
        <v>55</v>
      </c>
      <c r="Z15" s="109" t="s">
        <v>43</v>
      </c>
      <c r="AA15" s="109" t="s">
        <v>76</v>
      </c>
      <c r="AB15" s="109" t="s">
        <v>195</v>
      </c>
      <c r="AE15" s="128" t="s">
        <v>230</v>
      </c>
      <c r="AG15" s="129"/>
      <c r="AH15" s="129"/>
      <c r="AP15" s="129" t="s">
        <v>63</v>
      </c>
      <c r="AR15" s="129" t="s">
        <v>66</v>
      </c>
      <c r="AV15" s="129" t="s">
        <v>91</v>
      </c>
    </row>
    <row r="16" spans="1:53" x14ac:dyDescent="0.15">
      <c r="A16" s="109" t="s">
        <v>40</v>
      </c>
      <c r="B16" s="109" t="s">
        <v>191</v>
      </c>
      <c r="C16" s="109">
        <v>2020</v>
      </c>
      <c r="D16" s="117" t="s">
        <v>192</v>
      </c>
      <c r="E16" s="109" t="s">
        <v>193</v>
      </c>
      <c r="F16" s="109" t="s">
        <v>194</v>
      </c>
      <c r="G16" s="109" t="s">
        <v>31</v>
      </c>
      <c r="H16" s="109" t="s">
        <v>164</v>
      </c>
      <c r="I16" s="109" t="s">
        <v>111</v>
      </c>
      <c r="J16" s="118" t="s">
        <v>27</v>
      </c>
      <c r="K16" s="118" t="s">
        <v>112</v>
      </c>
      <c r="L16" s="109">
        <v>3</v>
      </c>
      <c r="N16" s="109">
        <v>4</v>
      </c>
      <c r="O16" s="109">
        <v>0.7</v>
      </c>
      <c r="P16" s="109">
        <v>0.6</v>
      </c>
      <c r="Q16" s="119">
        <f t="shared" si="1"/>
        <v>0.64999999999999991</v>
      </c>
      <c r="R16" s="109">
        <v>16</v>
      </c>
      <c r="S16" s="109">
        <v>104</v>
      </c>
      <c r="T16" s="120">
        <f t="shared" si="2"/>
        <v>33</v>
      </c>
      <c r="U16" s="109">
        <v>498</v>
      </c>
      <c r="V16" s="121">
        <f t="shared" si="0"/>
        <v>4108.5</v>
      </c>
      <c r="W16" s="109">
        <v>10</v>
      </c>
      <c r="X16" s="109" t="s">
        <v>28</v>
      </c>
      <c r="Y16" s="109" t="s">
        <v>55</v>
      </c>
      <c r="Z16" s="109" t="s">
        <v>43</v>
      </c>
      <c r="AA16" s="109" t="s">
        <v>76</v>
      </c>
      <c r="AB16" s="109" t="s">
        <v>195</v>
      </c>
      <c r="AE16" s="128" t="s">
        <v>231</v>
      </c>
      <c r="AG16" s="134"/>
      <c r="AH16" s="134"/>
      <c r="AP16" s="129" t="s">
        <v>66</v>
      </c>
      <c r="AR16" s="129" t="s">
        <v>50</v>
      </c>
      <c r="AV16" s="129" t="s">
        <v>70</v>
      </c>
    </row>
    <row r="17" spans="1:48" x14ac:dyDescent="0.15">
      <c r="A17" s="109" t="s">
        <v>40</v>
      </c>
      <c r="B17" s="109" t="s">
        <v>191</v>
      </c>
      <c r="C17" s="109">
        <v>2020</v>
      </c>
      <c r="D17" s="117" t="s">
        <v>192</v>
      </c>
      <c r="E17" s="109" t="s">
        <v>223</v>
      </c>
      <c r="F17" s="109" t="s">
        <v>224</v>
      </c>
      <c r="G17" s="109" t="s">
        <v>25</v>
      </c>
      <c r="H17" s="109" t="s">
        <v>113</v>
      </c>
      <c r="I17" s="109" t="s">
        <v>111</v>
      </c>
      <c r="J17" s="118" t="s">
        <v>27</v>
      </c>
      <c r="K17" s="118" t="s">
        <v>112</v>
      </c>
      <c r="L17" s="109">
        <v>1</v>
      </c>
      <c r="N17" s="109">
        <v>1</v>
      </c>
      <c r="O17" s="109">
        <v>0.85</v>
      </c>
      <c r="P17" s="109">
        <v>0.95</v>
      </c>
      <c r="Q17" s="119">
        <f t="shared" si="1"/>
        <v>0.89999999999999991</v>
      </c>
      <c r="R17" s="109">
        <v>15.4</v>
      </c>
      <c r="S17" s="109">
        <v>120</v>
      </c>
      <c r="T17" s="120">
        <f t="shared" si="2"/>
        <v>30</v>
      </c>
      <c r="U17" s="109">
        <v>65</v>
      </c>
      <c r="V17" s="121">
        <f t="shared" si="0"/>
        <v>1950</v>
      </c>
      <c r="W17" s="109">
        <v>56</v>
      </c>
      <c r="X17" s="109" t="s">
        <v>35</v>
      </c>
      <c r="Y17" s="109" t="s">
        <v>43</v>
      </c>
      <c r="Z17" s="109" t="s">
        <v>55</v>
      </c>
      <c r="AA17" s="109" t="s">
        <v>76</v>
      </c>
      <c r="AB17" s="109" t="s">
        <v>195</v>
      </c>
      <c r="AE17" s="128" t="s">
        <v>232</v>
      </c>
      <c r="AP17" s="133" t="s">
        <v>233</v>
      </c>
      <c r="AR17" s="129" t="s">
        <v>81</v>
      </c>
      <c r="AV17" s="129" t="s">
        <v>72</v>
      </c>
    </row>
    <row r="18" spans="1:48" x14ac:dyDescent="0.15">
      <c r="A18" s="109" t="s">
        <v>40</v>
      </c>
      <c r="B18" s="109" t="s">
        <v>191</v>
      </c>
      <c r="C18" s="109">
        <v>2020</v>
      </c>
      <c r="D18" s="117" t="s">
        <v>192</v>
      </c>
      <c r="E18" s="109" t="s">
        <v>223</v>
      </c>
      <c r="F18" s="109" t="s">
        <v>224</v>
      </c>
      <c r="G18" s="109" t="s">
        <v>25</v>
      </c>
      <c r="H18" s="109" t="s">
        <v>113</v>
      </c>
      <c r="I18" s="109" t="s">
        <v>111</v>
      </c>
      <c r="J18" s="118" t="s">
        <v>27</v>
      </c>
      <c r="K18" s="118" t="s">
        <v>112</v>
      </c>
      <c r="L18" s="109">
        <v>2</v>
      </c>
      <c r="N18" s="109">
        <v>1</v>
      </c>
      <c r="O18" s="109">
        <v>0.95</v>
      </c>
      <c r="P18" s="109">
        <v>1.1000000000000001</v>
      </c>
      <c r="Q18" s="119">
        <f t="shared" si="1"/>
        <v>1.0249999999999999</v>
      </c>
      <c r="R18" s="109">
        <v>14.6</v>
      </c>
      <c r="S18" s="109">
        <v>112</v>
      </c>
      <c r="T18" s="120">
        <f t="shared" si="2"/>
        <v>33</v>
      </c>
      <c r="U18" s="109">
        <v>65</v>
      </c>
      <c r="V18" s="121">
        <f t="shared" si="0"/>
        <v>2145</v>
      </c>
      <c r="W18" s="109">
        <v>56</v>
      </c>
      <c r="X18" s="109" t="s">
        <v>35</v>
      </c>
      <c r="Y18" s="109" t="s">
        <v>43</v>
      </c>
      <c r="Z18" s="109" t="s">
        <v>55</v>
      </c>
      <c r="AA18" s="109" t="s">
        <v>76</v>
      </c>
      <c r="AB18" s="109" t="s">
        <v>195</v>
      </c>
      <c r="AE18" s="128" t="s">
        <v>225</v>
      </c>
      <c r="AP18" s="133" t="s">
        <v>234</v>
      </c>
      <c r="AR18" s="129" t="s">
        <v>85</v>
      </c>
      <c r="AV18" s="129" t="s">
        <v>74</v>
      </c>
    </row>
    <row r="19" spans="1:48" x14ac:dyDescent="0.15">
      <c r="A19" s="109" t="s">
        <v>40</v>
      </c>
      <c r="B19" s="109" t="s">
        <v>191</v>
      </c>
      <c r="C19" s="109">
        <v>2020</v>
      </c>
      <c r="D19" s="117" t="s">
        <v>192</v>
      </c>
      <c r="E19" s="109" t="s">
        <v>223</v>
      </c>
      <c r="F19" s="109" t="s">
        <v>224</v>
      </c>
      <c r="G19" s="109" t="s">
        <v>25</v>
      </c>
      <c r="H19" s="109" t="s">
        <v>113</v>
      </c>
      <c r="I19" s="109" t="s">
        <v>111</v>
      </c>
      <c r="J19" s="118" t="s">
        <v>27</v>
      </c>
      <c r="K19" s="118" t="s">
        <v>112</v>
      </c>
      <c r="L19" s="109">
        <v>3</v>
      </c>
      <c r="N19" s="109">
        <v>1</v>
      </c>
      <c r="O19" s="109">
        <v>1</v>
      </c>
      <c r="P19" s="109">
        <v>1.5</v>
      </c>
      <c r="Q19" s="119">
        <f t="shared" si="1"/>
        <v>1.25</v>
      </c>
      <c r="R19" s="109">
        <v>14.2</v>
      </c>
      <c r="S19" s="109">
        <v>110</v>
      </c>
      <c r="T19" s="120">
        <f t="shared" si="2"/>
        <v>33</v>
      </c>
      <c r="U19" s="109">
        <v>65</v>
      </c>
      <c r="V19" s="121">
        <f t="shared" si="0"/>
        <v>2145</v>
      </c>
      <c r="W19" s="109">
        <v>56</v>
      </c>
      <c r="X19" s="109" t="s">
        <v>35</v>
      </c>
      <c r="Y19" s="109" t="s">
        <v>43</v>
      </c>
      <c r="Z19" s="109" t="s">
        <v>55</v>
      </c>
      <c r="AA19" s="109" t="s">
        <v>76</v>
      </c>
      <c r="AB19" s="109" t="s">
        <v>195</v>
      </c>
      <c r="AE19" s="140" t="s">
        <v>220</v>
      </c>
      <c r="AP19" s="133" t="s">
        <v>235</v>
      </c>
      <c r="AR19" s="129" t="s">
        <v>236</v>
      </c>
      <c r="AV19" s="129" t="s">
        <v>76</v>
      </c>
    </row>
    <row r="20" spans="1:48" x14ac:dyDescent="0.15">
      <c r="A20" s="109" t="s">
        <v>40</v>
      </c>
      <c r="B20" s="109" t="s">
        <v>191</v>
      </c>
      <c r="C20" s="109">
        <v>2020</v>
      </c>
      <c r="D20" s="117" t="s">
        <v>192</v>
      </c>
      <c r="E20" s="109" t="s">
        <v>223</v>
      </c>
      <c r="F20" s="109" t="s">
        <v>224</v>
      </c>
      <c r="G20" s="109" t="s">
        <v>25</v>
      </c>
      <c r="H20" s="109" t="s">
        <v>113</v>
      </c>
      <c r="I20" s="109" t="s">
        <v>111</v>
      </c>
      <c r="J20" s="118" t="s">
        <v>27</v>
      </c>
      <c r="K20" s="118" t="s">
        <v>112</v>
      </c>
      <c r="L20" s="109">
        <v>1</v>
      </c>
      <c r="N20" s="109">
        <v>8</v>
      </c>
      <c r="O20" s="109">
        <v>0.8</v>
      </c>
      <c r="P20" s="109">
        <v>0.9</v>
      </c>
      <c r="Q20" s="119">
        <f t="shared" si="1"/>
        <v>0.85000000000000009</v>
      </c>
      <c r="R20" s="109">
        <v>16.3</v>
      </c>
      <c r="S20" s="109">
        <v>76</v>
      </c>
      <c r="T20" s="120">
        <f t="shared" si="2"/>
        <v>39</v>
      </c>
      <c r="U20" s="109">
        <v>390</v>
      </c>
      <c r="V20" s="121">
        <f t="shared" si="0"/>
        <v>1901.25</v>
      </c>
      <c r="W20" s="109">
        <v>56</v>
      </c>
      <c r="X20" s="109" t="s">
        <v>35</v>
      </c>
      <c r="Y20" s="109" t="s">
        <v>43</v>
      </c>
      <c r="Z20" s="109" t="s">
        <v>55</v>
      </c>
      <c r="AA20" s="109" t="s">
        <v>76</v>
      </c>
      <c r="AB20" s="109" t="s">
        <v>195</v>
      </c>
      <c r="AE20" s="140"/>
      <c r="AP20" s="133" t="s">
        <v>237</v>
      </c>
      <c r="AR20" s="129" t="s">
        <v>89</v>
      </c>
      <c r="AV20" s="133" t="s">
        <v>238</v>
      </c>
    </row>
    <row r="21" spans="1:48" x14ac:dyDescent="0.15">
      <c r="A21" s="109" t="s">
        <v>40</v>
      </c>
      <c r="B21" s="109" t="s">
        <v>191</v>
      </c>
      <c r="C21" s="109">
        <v>2020</v>
      </c>
      <c r="D21" s="117" t="s">
        <v>192</v>
      </c>
      <c r="E21" s="109" t="s">
        <v>223</v>
      </c>
      <c r="F21" s="109" t="s">
        <v>224</v>
      </c>
      <c r="G21" s="109" t="s">
        <v>25</v>
      </c>
      <c r="H21" s="109" t="s">
        <v>113</v>
      </c>
      <c r="I21" s="109" t="s">
        <v>111</v>
      </c>
      <c r="J21" s="118" t="s">
        <v>27</v>
      </c>
      <c r="K21" s="118" t="s">
        <v>112</v>
      </c>
      <c r="L21" s="109">
        <v>2</v>
      </c>
      <c r="N21" s="109">
        <v>8</v>
      </c>
      <c r="O21" s="109">
        <v>0.85</v>
      </c>
      <c r="P21" s="109">
        <v>0.75</v>
      </c>
      <c r="Q21" s="119">
        <f t="shared" si="1"/>
        <v>0.8</v>
      </c>
      <c r="R21" s="109">
        <v>16.100000000000001</v>
      </c>
      <c r="S21" s="109">
        <v>75</v>
      </c>
      <c r="T21" s="120">
        <f t="shared" si="2"/>
        <v>42</v>
      </c>
      <c r="U21" s="109">
        <v>390</v>
      </c>
      <c r="V21" s="121">
        <f t="shared" si="0"/>
        <v>2047.5</v>
      </c>
      <c r="W21" s="109">
        <v>56</v>
      </c>
      <c r="X21" s="109" t="s">
        <v>35</v>
      </c>
      <c r="Y21" s="109" t="s">
        <v>43</v>
      </c>
      <c r="Z21" s="109" t="s">
        <v>55</v>
      </c>
      <c r="AA21" s="109" t="s">
        <v>76</v>
      </c>
      <c r="AB21" s="109" t="s">
        <v>195</v>
      </c>
      <c r="AE21" s="134"/>
      <c r="AP21" s="133" t="s">
        <v>239</v>
      </c>
      <c r="AR21" s="129" t="s">
        <v>54</v>
      </c>
      <c r="AV21" s="133" t="s">
        <v>240</v>
      </c>
    </row>
    <row r="22" spans="1:48" x14ac:dyDescent="0.15">
      <c r="A22" s="109" t="s">
        <v>40</v>
      </c>
      <c r="B22" s="109" t="s">
        <v>191</v>
      </c>
      <c r="C22" s="109">
        <v>2020</v>
      </c>
      <c r="D22" s="117" t="s">
        <v>192</v>
      </c>
      <c r="E22" s="109" t="s">
        <v>223</v>
      </c>
      <c r="F22" s="109" t="s">
        <v>224</v>
      </c>
      <c r="G22" s="109" t="s">
        <v>25</v>
      </c>
      <c r="H22" s="109" t="s">
        <v>113</v>
      </c>
      <c r="I22" s="109" t="s">
        <v>111</v>
      </c>
      <c r="J22" s="118" t="s">
        <v>27</v>
      </c>
      <c r="K22" s="118" t="s">
        <v>112</v>
      </c>
      <c r="L22" s="109">
        <v>3</v>
      </c>
      <c r="N22" s="109">
        <v>8</v>
      </c>
      <c r="O22" s="109">
        <v>0.8</v>
      </c>
      <c r="P22" s="109">
        <v>0.85</v>
      </c>
      <c r="Q22" s="119">
        <f t="shared" si="1"/>
        <v>0.82499999999999996</v>
      </c>
      <c r="R22" s="109">
        <v>15.7</v>
      </c>
      <c r="S22" s="109">
        <v>75</v>
      </c>
      <c r="T22" s="120">
        <f t="shared" si="2"/>
        <v>42</v>
      </c>
      <c r="U22" s="109">
        <v>390</v>
      </c>
      <c r="V22" s="121">
        <f t="shared" si="0"/>
        <v>2047.5</v>
      </c>
      <c r="W22" s="109">
        <v>56</v>
      </c>
      <c r="X22" s="109" t="s">
        <v>35</v>
      </c>
      <c r="Y22" s="109" t="s">
        <v>43</v>
      </c>
      <c r="Z22" s="109" t="s">
        <v>55</v>
      </c>
      <c r="AA22" s="109" t="s">
        <v>76</v>
      </c>
      <c r="AB22" s="109" t="s">
        <v>195</v>
      </c>
      <c r="AP22" s="133" t="s">
        <v>241</v>
      </c>
      <c r="AR22" s="129" t="s">
        <v>69</v>
      </c>
      <c r="AV22" s="133"/>
    </row>
    <row r="23" spans="1:48" x14ac:dyDescent="0.15">
      <c r="A23" s="109" t="s">
        <v>40</v>
      </c>
      <c r="B23" s="109" t="s">
        <v>191</v>
      </c>
      <c r="C23" s="109">
        <v>2020</v>
      </c>
      <c r="D23" s="117" t="s">
        <v>192</v>
      </c>
      <c r="E23" s="109" t="s">
        <v>223</v>
      </c>
      <c r="F23" s="109" t="s">
        <v>224</v>
      </c>
      <c r="G23" s="109" t="s">
        <v>25</v>
      </c>
      <c r="H23" s="109" t="s">
        <v>113</v>
      </c>
      <c r="I23" s="109" t="s">
        <v>111</v>
      </c>
      <c r="J23" s="118" t="s">
        <v>27</v>
      </c>
      <c r="K23" s="118" t="s">
        <v>112</v>
      </c>
      <c r="L23" s="109">
        <v>1</v>
      </c>
      <c r="N23" s="109">
        <v>10</v>
      </c>
      <c r="O23" s="109">
        <v>1.2</v>
      </c>
      <c r="P23" s="109">
        <v>1.3</v>
      </c>
      <c r="Q23" s="119">
        <f t="shared" si="1"/>
        <v>1.25</v>
      </c>
      <c r="R23" s="109">
        <v>14.8</v>
      </c>
      <c r="S23" s="109">
        <v>112</v>
      </c>
      <c r="T23" s="120">
        <f t="shared" si="2"/>
        <v>33</v>
      </c>
      <c r="U23" s="109">
        <v>598</v>
      </c>
      <c r="V23" s="121">
        <f t="shared" si="0"/>
        <v>1973.3999999999999</v>
      </c>
      <c r="W23" s="109">
        <v>56</v>
      </c>
      <c r="X23" s="109" t="s">
        <v>35</v>
      </c>
      <c r="Y23" s="109" t="s">
        <v>43</v>
      </c>
      <c r="Z23" s="109" t="s">
        <v>55</v>
      </c>
      <c r="AA23" s="109" t="s">
        <v>76</v>
      </c>
      <c r="AB23" s="109" t="s">
        <v>195</v>
      </c>
      <c r="AP23" s="133" t="s">
        <v>242</v>
      </c>
      <c r="AR23" s="129" t="s">
        <v>48</v>
      </c>
    </row>
    <row r="24" spans="1:48" x14ac:dyDescent="0.15">
      <c r="A24" s="109" t="s">
        <v>40</v>
      </c>
      <c r="B24" s="109" t="s">
        <v>191</v>
      </c>
      <c r="C24" s="109">
        <v>2020</v>
      </c>
      <c r="D24" s="117" t="s">
        <v>192</v>
      </c>
      <c r="E24" s="109" t="s">
        <v>223</v>
      </c>
      <c r="F24" s="109" t="s">
        <v>224</v>
      </c>
      <c r="G24" s="109" t="s">
        <v>25</v>
      </c>
      <c r="H24" s="109" t="s">
        <v>113</v>
      </c>
      <c r="I24" s="109" t="s">
        <v>111</v>
      </c>
      <c r="J24" s="118" t="s">
        <v>27</v>
      </c>
      <c r="K24" s="118" t="s">
        <v>112</v>
      </c>
      <c r="L24" s="109">
        <v>2</v>
      </c>
      <c r="N24" s="109">
        <v>10</v>
      </c>
      <c r="O24" s="109">
        <v>1.3</v>
      </c>
      <c r="P24" s="109">
        <v>1.1000000000000001</v>
      </c>
      <c r="Q24" s="119">
        <f t="shared" si="1"/>
        <v>1.2000000000000002</v>
      </c>
      <c r="R24" s="109">
        <v>15.2</v>
      </c>
      <c r="S24" s="109">
        <v>114</v>
      </c>
      <c r="T24" s="120">
        <f t="shared" si="2"/>
        <v>30</v>
      </c>
      <c r="U24" s="109">
        <v>598</v>
      </c>
      <c r="V24" s="121">
        <f t="shared" si="0"/>
        <v>1794</v>
      </c>
      <c r="W24" s="109">
        <v>56</v>
      </c>
      <c r="X24" s="109" t="s">
        <v>35</v>
      </c>
      <c r="Y24" s="109" t="s">
        <v>43</v>
      </c>
      <c r="Z24" s="109" t="s">
        <v>55</v>
      </c>
      <c r="AA24" s="109" t="s">
        <v>76</v>
      </c>
      <c r="AB24" s="109" t="s">
        <v>195</v>
      </c>
      <c r="AP24" s="133" t="s">
        <v>243</v>
      </c>
      <c r="AR24" s="129" t="s">
        <v>77</v>
      </c>
    </row>
    <row r="25" spans="1:48" x14ac:dyDescent="0.15">
      <c r="A25" s="109" t="s">
        <v>40</v>
      </c>
      <c r="B25" s="109" t="s">
        <v>191</v>
      </c>
      <c r="C25" s="109">
        <v>2020</v>
      </c>
      <c r="D25" s="117" t="s">
        <v>192</v>
      </c>
      <c r="E25" s="109" t="s">
        <v>223</v>
      </c>
      <c r="F25" s="109" t="s">
        <v>224</v>
      </c>
      <c r="G25" s="109" t="s">
        <v>25</v>
      </c>
      <c r="H25" s="109" t="s">
        <v>113</v>
      </c>
      <c r="I25" s="109" t="s">
        <v>111</v>
      </c>
      <c r="J25" s="118" t="s">
        <v>27</v>
      </c>
      <c r="K25" s="118" t="s">
        <v>112</v>
      </c>
      <c r="L25" s="109">
        <v>3</v>
      </c>
      <c r="N25" s="109">
        <v>10</v>
      </c>
      <c r="O25" s="109">
        <v>1.05</v>
      </c>
      <c r="P25" s="109">
        <v>1.1499999999999999</v>
      </c>
      <c r="Q25" s="119">
        <f t="shared" si="1"/>
        <v>1.1000000000000001</v>
      </c>
      <c r="R25" s="109">
        <v>15.5</v>
      </c>
      <c r="S25" s="109">
        <v>116</v>
      </c>
      <c r="T25" s="120">
        <f t="shared" si="2"/>
        <v>30</v>
      </c>
      <c r="U25" s="109">
        <v>598</v>
      </c>
      <c r="V25" s="121">
        <f t="shared" si="0"/>
        <v>1794</v>
      </c>
      <c r="W25" s="109">
        <v>56</v>
      </c>
      <c r="X25" s="109" t="s">
        <v>35</v>
      </c>
      <c r="Y25" s="109" t="s">
        <v>43</v>
      </c>
      <c r="Z25" s="109" t="s">
        <v>55</v>
      </c>
      <c r="AA25" s="109" t="s">
        <v>76</v>
      </c>
      <c r="AB25" s="109" t="s">
        <v>195</v>
      </c>
      <c r="AP25" s="133" t="s">
        <v>244</v>
      </c>
      <c r="AR25" s="133" t="s">
        <v>40</v>
      </c>
    </row>
    <row r="26" spans="1:48" x14ac:dyDescent="0.15">
      <c r="A26" s="109" t="s">
        <v>40</v>
      </c>
      <c r="B26" s="109" t="s">
        <v>191</v>
      </c>
      <c r="C26" s="109">
        <v>2020</v>
      </c>
      <c r="D26" s="117" t="s">
        <v>192</v>
      </c>
      <c r="E26" s="109" t="s">
        <v>223</v>
      </c>
      <c r="F26" s="109" t="s">
        <v>224</v>
      </c>
      <c r="G26" s="109" t="s">
        <v>25</v>
      </c>
      <c r="H26" s="109" t="s">
        <v>164</v>
      </c>
      <c r="I26" s="109" t="s">
        <v>111</v>
      </c>
      <c r="J26" s="118" t="s">
        <v>27</v>
      </c>
      <c r="K26" s="118" t="s">
        <v>112</v>
      </c>
      <c r="L26" s="109">
        <v>1</v>
      </c>
      <c r="N26" s="109">
        <v>1</v>
      </c>
      <c r="O26" s="109">
        <v>0.7</v>
      </c>
      <c r="P26" s="109">
        <v>0.8</v>
      </c>
      <c r="Q26" s="119">
        <f t="shared" si="1"/>
        <v>0.75</v>
      </c>
      <c r="R26" s="109">
        <v>16.7</v>
      </c>
      <c r="S26" s="109">
        <v>100</v>
      </c>
      <c r="T26" s="120">
        <f t="shared" si="2"/>
        <v>33</v>
      </c>
      <c r="U26" s="109">
        <v>65</v>
      </c>
      <c r="V26" s="121">
        <f t="shared" si="0"/>
        <v>2145</v>
      </c>
      <c r="W26" s="109">
        <v>56</v>
      </c>
      <c r="X26" s="109" t="s">
        <v>35</v>
      </c>
      <c r="Y26" s="109" t="s">
        <v>43</v>
      </c>
      <c r="Z26" s="109" t="s">
        <v>55</v>
      </c>
      <c r="AA26" s="109" t="s">
        <v>76</v>
      </c>
      <c r="AB26" s="109" t="s">
        <v>195</v>
      </c>
      <c r="AP26" s="133" t="s">
        <v>245</v>
      </c>
      <c r="AR26" s="109" t="s">
        <v>246</v>
      </c>
    </row>
    <row r="27" spans="1:48" x14ac:dyDescent="0.15">
      <c r="A27" s="109" t="s">
        <v>40</v>
      </c>
      <c r="B27" s="109" t="s">
        <v>191</v>
      </c>
      <c r="C27" s="109">
        <v>2020</v>
      </c>
      <c r="D27" s="117" t="s">
        <v>192</v>
      </c>
      <c r="E27" s="109" t="s">
        <v>223</v>
      </c>
      <c r="F27" s="109" t="s">
        <v>224</v>
      </c>
      <c r="G27" s="109" t="s">
        <v>25</v>
      </c>
      <c r="H27" s="109" t="s">
        <v>164</v>
      </c>
      <c r="I27" s="109" t="s">
        <v>111</v>
      </c>
      <c r="J27" s="118" t="s">
        <v>27</v>
      </c>
      <c r="K27" s="118" t="s">
        <v>112</v>
      </c>
      <c r="L27" s="109">
        <v>2</v>
      </c>
      <c r="N27" s="109">
        <v>1</v>
      </c>
      <c r="O27" s="109">
        <v>0.7</v>
      </c>
      <c r="P27" s="109">
        <v>0.7</v>
      </c>
      <c r="Q27" s="119">
        <f t="shared" si="1"/>
        <v>0.7</v>
      </c>
      <c r="R27" s="109">
        <v>17.3</v>
      </c>
      <c r="S27" s="109">
        <v>106</v>
      </c>
      <c r="T27" s="120">
        <f t="shared" si="2"/>
        <v>33</v>
      </c>
      <c r="U27" s="109">
        <v>65</v>
      </c>
      <c r="V27" s="121">
        <f t="shared" si="0"/>
        <v>2145</v>
      </c>
      <c r="W27" s="109">
        <v>56</v>
      </c>
      <c r="X27" s="109" t="s">
        <v>35</v>
      </c>
      <c r="Y27" s="109" t="s">
        <v>43</v>
      </c>
      <c r="Z27" s="109" t="s">
        <v>55</v>
      </c>
      <c r="AA27" s="109" t="s">
        <v>76</v>
      </c>
      <c r="AB27" s="109" t="s">
        <v>195</v>
      </c>
      <c r="AP27" s="141" t="s">
        <v>247</v>
      </c>
      <c r="AQ27" s="118"/>
      <c r="AR27" s="136" t="s">
        <v>248</v>
      </c>
    </row>
    <row r="28" spans="1:48" x14ac:dyDescent="0.15">
      <c r="A28" s="109" t="s">
        <v>40</v>
      </c>
      <c r="B28" s="109" t="s">
        <v>191</v>
      </c>
      <c r="C28" s="109">
        <v>2020</v>
      </c>
      <c r="D28" s="117" t="s">
        <v>192</v>
      </c>
      <c r="E28" s="109" t="s">
        <v>223</v>
      </c>
      <c r="F28" s="109" t="s">
        <v>224</v>
      </c>
      <c r="G28" s="109" t="s">
        <v>25</v>
      </c>
      <c r="H28" s="109" t="s">
        <v>164</v>
      </c>
      <c r="I28" s="109" t="s">
        <v>111</v>
      </c>
      <c r="J28" s="118" t="s">
        <v>27</v>
      </c>
      <c r="K28" s="118" t="s">
        <v>112</v>
      </c>
      <c r="L28" s="109">
        <v>3</v>
      </c>
      <c r="N28" s="109">
        <v>1</v>
      </c>
      <c r="O28" s="109">
        <v>0.75</v>
      </c>
      <c r="P28" s="109">
        <v>0.7</v>
      </c>
      <c r="Q28" s="119">
        <f t="shared" si="1"/>
        <v>0.72499999999999998</v>
      </c>
      <c r="R28" s="109">
        <v>17.5</v>
      </c>
      <c r="S28" s="109">
        <v>106</v>
      </c>
      <c r="T28" s="120">
        <f t="shared" si="2"/>
        <v>33</v>
      </c>
      <c r="U28" s="109">
        <v>65</v>
      </c>
      <c r="V28" s="121">
        <f t="shared" si="0"/>
        <v>2145</v>
      </c>
      <c r="W28" s="109">
        <v>56</v>
      </c>
      <c r="X28" s="109" t="s">
        <v>35</v>
      </c>
      <c r="Y28" s="109" t="s">
        <v>43</v>
      </c>
      <c r="Z28" s="109" t="s">
        <v>55</v>
      </c>
      <c r="AA28" s="109" t="s">
        <v>76</v>
      </c>
      <c r="AB28" s="109" t="s">
        <v>195</v>
      </c>
      <c r="AP28" s="141" t="s">
        <v>249</v>
      </c>
      <c r="AQ28" s="118"/>
      <c r="AR28" s="136" t="s">
        <v>250</v>
      </c>
    </row>
    <row r="29" spans="1:48" x14ac:dyDescent="0.15">
      <c r="A29" s="109" t="s">
        <v>40</v>
      </c>
      <c r="B29" s="109" t="s">
        <v>191</v>
      </c>
      <c r="C29" s="109">
        <v>2020</v>
      </c>
      <c r="D29" s="117" t="s">
        <v>192</v>
      </c>
      <c r="E29" s="109" t="s">
        <v>223</v>
      </c>
      <c r="F29" s="109" t="s">
        <v>224</v>
      </c>
      <c r="G29" s="109" t="s">
        <v>25</v>
      </c>
      <c r="H29" s="109" t="s">
        <v>164</v>
      </c>
      <c r="I29" s="109" t="s">
        <v>111</v>
      </c>
      <c r="J29" s="118" t="s">
        <v>27</v>
      </c>
      <c r="K29" s="118" t="s">
        <v>112</v>
      </c>
      <c r="L29" s="109">
        <v>1</v>
      </c>
      <c r="N29" s="109">
        <v>2</v>
      </c>
      <c r="O29" s="109">
        <v>0.8</v>
      </c>
      <c r="P29" s="109">
        <v>0.8</v>
      </c>
      <c r="Q29" s="119">
        <f t="shared" si="1"/>
        <v>0.8</v>
      </c>
      <c r="R29" s="109">
        <v>18</v>
      </c>
      <c r="S29" s="109">
        <v>152</v>
      </c>
      <c r="T29" s="120">
        <f t="shared" si="2"/>
        <v>18</v>
      </c>
      <c r="U29" s="109">
        <v>398</v>
      </c>
      <c r="V29" s="121">
        <f t="shared" si="0"/>
        <v>3582</v>
      </c>
      <c r="W29" s="109">
        <v>56</v>
      </c>
      <c r="X29" s="109" t="s">
        <v>35</v>
      </c>
      <c r="Y29" s="109" t="s">
        <v>43</v>
      </c>
      <c r="Z29" s="109" t="s">
        <v>55</v>
      </c>
      <c r="AA29" s="109" t="s">
        <v>76</v>
      </c>
      <c r="AB29" s="109" t="s">
        <v>195</v>
      </c>
      <c r="AP29" s="141" t="s">
        <v>251</v>
      </c>
      <c r="AQ29" s="118"/>
      <c r="AR29" s="142"/>
    </row>
    <row r="30" spans="1:48" x14ac:dyDescent="0.15">
      <c r="A30" s="109" t="s">
        <v>40</v>
      </c>
      <c r="B30" s="109" t="s">
        <v>191</v>
      </c>
      <c r="C30" s="109">
        <v>2020</v>
      </c>
      <c r="D30" s="117" t="s">
        <v>192</v>
      </c>
      <c r="E30" s="109" t="s">
        <v>223</v>
      </c>
      <c r="F30" s="109" t="s">
        <v>224</v>
      </c>
      <c r="G30" s="109" t="s">
        <v>25</v>
      </c>
      <c r="H30" s="109" t="s">
        <v>164</v>
      </c>
      <c r="I30" s="109" t="s">
        <v>111</v>
      </c>
      <c r="J30" s="118" t="s">
        <v>27</v>
      </c>
      <c r="K30" s="118" t="s">
        <v>112</v>
      </c>
      <c r="L30" s="109">
        <v>2</v>
      </c>
      <c r="N30" s="109">
        <v>2</v>
      </c>
      <c r="O30" s="109">
        <v>0.75</v>
      </c>
      <c r="P30" s="109">
        <v>0.8</v>
      </c>
      <c r="Q30" s="119">
        <f t="shared" si="1"/>
        <v>0.77500000000000002</v>
      </c>
      <c r="R30" s="109">
        <v>19.2</v>
      </c>
      <c r="S30" s="109">
        <v>164</v>
      </c>
      <c r="T30" s="120">
        <f t="shared" si="2"/>
        <v>18</v>
      </c>
      <c r="U30" s="109">
        <v>398</v>
      </c>
      <c r="V30" s="121">
        <f t="shared" si="0"/>
        <v>3582</v>
      </c>
      <c r="W30" s="109">
        <v>56</v>
      </c>
      <c r="X30" s="109" t="s">
        <v>35</v>
      </c>
      <c r="Y30" s="109" t="s">
        <v>43</v>
      </c>
      <c r="Z30" s="109" t="s">
        <v>55</v>
      </c>
      <c r="AA30" s="109" t="s">
        <v>76</v>
      </c>
      <c r="AB30" s="109" t="s">
        <v>195</v>
      </c>
    </row>
    <row r="31" spans="1:48" x14ac:dyDescent="0.15">
      <c r="A31" s="109" t="s">
        <v>40</v>
      </c>
      <c r="B31" s="109" t="s">
        <v>191</v>
      </c>
      <c r="C31" s="109">
        <v>2020</v>
      </c>
      <c r="D31" s="117" t="s">
        <v>192</v>
      </c>
      <c r="E31" s="109" t="s">
        <v>223</v>
      </c>
      <c r="F31" s="109" t="s">
        <v>224</v>
      </c>
      <c r="G31" s="109" t="s">
        <v>25</v>
      </c>
      <c r="H31" s="109" t="s">
        <v>164</v>
      </c>
      <c r="I31" s="109" t="s">
        <v>111</v>
      </c>
      <c r="J31" s="118" t="s">
        <v>27</v>
      </c>
      <c r="K31" s="118" t="s">
        <v>112</v>
      </c>
      <c r="L31" s="109">
        <v>3</v>
      </c>
      <c r="N31" s="109">
        <v>2</v>
      </c>
      <c r="O31" s="109">
        <v>0.85</v>
      </c>
      <c r="P31" s="109">
        <v>0.7</v>
      </c>
      <c r="Q31" s="119">
        <f t="shared" si="1"/>
        <v>0.77499999999999991</v>
      </c>
      <c r="R31" s="109">
        <v>18.600000000000001</v>
      </c>
      <c r="S31" s="109">
        <v>160</v>
      </c>
      <c r="T31" s="120">
        <f t="shared" si="2"/>
        <v>18</v>
      </c>
      <c r="U31" s="109">
        <v>398</v>
      </c>
      <c r="V31" s="121">
        <f t="shared" si="0"/>
        <v>3582</v>
      </c>
      <c r="W31" s="109">
        <v>56</v>
      </c>
      <c r="X31" s="109" t="s">
        <v>35</v>
      </c>
      <c r="Y31" s="109" t="s">
        <v>43</v>
      </c>
      <c r="Z31" s="109" t="s">
        <v>55</v>
      </c>
      <c r="AA31" s="109" t="s">
        <v>76</v>
      </c>
      <c r="AB31" s="109" t="s">
        <v>195</v>
      </c>
    </row>
    <row r="32" spans="1:48" x14ac:dyDescent="0.15">
      <c r="A32" s="109" t="s">
        <v>40</v>
      </c>
      <c r="B32" s="109" t="s">
        <v>191</v>
      </c>
      <c r="C32" s="109">
        <v>2020</v>
      </c>
      <c r="D32" s="117" t="s">
        <v>192</v>
      </c>
      <c r="E32" s="109" t="s">
        <v>223</v>
      </c>
      <c r="F32" s="109" t="s">
        <v>224</v>
      </c>
      <c r="G32" s="109" t="s">
        <v>25</v>
      </c>
      <c r="H32" s="109" t="s">
        <v>113</v>
      </c>
      <c r="I32" s="109" t="s">
        <v>111</v>
      </c>
      <c r="J32" s="118" t="s">
        <v>27</v>
      </c>
      <c r="K32" s="118" t="s">
        <v>112</v>
      </c>
      <c r="L32" s="109">
        <v>1</v>
      </c>
      <c r="N32" s="109">
        <v>6</v>
      </c>
      <c r="O32" s="109">
        <v>0.8</v>
      </c>
      <c r="P32" s="109">
        <v>0.8</v>
      </c>
      <c r="Q32" s="119">
        <f t="shared" si="1"/>
        <v>0.8</v>
      </c>
      <c r="R32" s="109">
        <v>17.899999999999999</v>
      </c>
      <c r="S32" s="109">
        <v>158</v>
      </c>
      <c r="T32" s="120">
        <f t="shared" si="2"/>
        <v>18</v>
      </c>
      <c r="U32" s="109">
        <v>1000</v>
      </c>
      <c r="V32" s="121">
        <f t="shared" si="0"/>
        <v>3000</v>
      </c>
      <c r="W32" s="109">
        <v>56</v>
      </c>
      <c r="X32" s="109" t="s">
        <v>35</v>
      </c>
      <c r="Y32" s="109" t="s">
        <v>43</v>
      </c>
      <c r="Z32" s="109" t="s">
        <v>55</v>
      </c>
      <c r="AA32" s="109" t="s">
        <v>76</v>
      </c>
      <c r="AB32" s="109" t="s">
        <v>195</v>
      </c>
    </row>
    <row r="33" spans="1:28" x14ac:dyDescent="0.15">
      <c r="A33" s="109" t="s">
        <v>40</v>
      </c>
      <c r="B33" s="109" t="s">
        <v>191</v>
      </c>
      <c r="C33" s="109">
        <v>2020</v>
      </c>
      <c r="D33" s="117" t="s">
        <v>192</v>
      </c>
      <c r="E33" s="109" t="s">
        <v>223</v>
      </c>
      <c r="F33" s="109" t="s">
        <v>224</v>
      </c>
      <c r="G33" s="109" t="s">
        <v>25</v>
      </c>
      <c r="H33" s="109" t="s">
        <v>113</v>
      </c>
      <c r="I33" s="109" t="s">
        <v>111</v>
      </c>
      <c r="J33" s="118" t="s">
        <v>27</v>
      </c>
      <c r="K33" s="118" t="s">
        <v>112</v>
      </c>
      <c r="L33" s="109">
        <v>2</v>
      </c>
      <c r="N33" s="109">
        <v>6</v>
      </c>
      <c r="O33" s="109">
        <v>0.85</v>
      </c>
      <c r="P33" s="109">
        <v>0.75</v>
      </c>
      <c r="Q33" s="119">
        <f t="shared" si="1"/>
        <v>0.8</v>
      </c>
      <c r="R33" s="109">
        <v>17.7</v>
      </c>
      <c r="S33" s="109">
        <v>154</v>
      </c>
      <c r="T33" s="120">
        <f t="shared" si="2"/>
        <v>18</v>
      </c>
      <c r="U33" s="109">
        <v>1000</v>
      </c>
      <c r="V33" s="121">
        <f t="shared" si="0"/>
        <v>3000</v>
      </c>
      <c r="W33" s="109">
        <v>56</v>
      </c>
      <c r="X33" s="109" t="s">
        <v>35</v>
      </c>
      <c r="Y33" s="109" t="s">
        <v>43</v>
      </c>
      <c r="Z33" s="109" t="s">
        <v>55</v>
      </c>
      <c r="AA33" s="109" t="s">
        <v>76</v>
      </c>
      <c r="AB33" s="109" t="s">
        <v>195</v>
      </c>
    </row>
    <row r="34" spans="1:28" x14ac:dyDescent="0.15">
      <c r="A34" s="109" t="s">
        <v>40</v>
      </c>
      <c r="B34" s="109" t="s">
        <v>191</v>
      </c>
      <c r="C34" s="109">
        <v>2020</v>
      </c>
      <c r="D34" s="117" t="s">
        <v>192</v>
      </c>
      <c r="E34" s="109" t="s">
        <v>223</v>
      </c>
      <c r="F34" s="109" t="s">
        <v>224</v>
      </c>
      <c r="G34" s="109" t="s">
        <v>25</v>
      </c>
      <c r="H34" s="109" t="s">
        <v>113</v>
      </c>
      <c r="I34" s="109" t="s">
        <v>111</v>
      </c>
      <c r="J34" s="118" t="s">
        <v>27</v>
      </c>
      <c r="K34" s="118" t="s">
        <v>112</v>
      </c>
      <c r="L34" s="109">
        <v>3</v>
      </c>
      <c r="N34" s="109">
        <v>6</v>
      </c>
      <c r="O34" s="109">
        <v>0.8</v>
      </c>
      <c r="P34" s="109">
        <v>0.75</v>
      </c>
      <c r="Q34" s="119">
        <f t="shared" si="1"/>
        <v>0.77500000000000002</v>
      </c>
      <c r="R34" s="109">
        <v>18.399999999999999</v>
      </c>
      <c r="S34" s="109">
        <v>160</v>
      </c>
      <c r="T34" s="120">
        <f t="shared" si="2"/>
        <v>18</v>
      </c>
      <c r="U34" s="109">
        <v>1000</v>
      </c>
      <c r="V34" s="121">
        <f t="shared" si="0"/>
        <v>3000</v>
      </c>
      <c r="W34" s="109">
        <v>56</v>
      </c>
      <c r="X34" s="109" t="s">
        <v>35</v>
      </c>
      <c r="Y34" s="109" t="s">
        <v>43</v>
      </c>
      <c r="Z34" s="109" t="s">
        <v>55</v>
      </c>
      <c r="AA34" s="109" t="s">
        <v>76</v>
      </c>
      <c r="AB34" s="109" t="s">
        <v>195</v>
      </c>
    </row>
    <row r="35" spans="1:28" x14ac:dyDescent="0.15">
      <c r="A35" s="109" t="s">
        <v>40</v>
      </c>
      <c r="B35" s="109" t="s">
        <v>191</v>
      </c>
      <c r="C35" s="109">
        <v>2020</v>
      </c>
      <c r="D35" s="117" t="s">
        <v>192</v>
      </c>
      <c r="E35" s="109" t="s">
        <v>172</v>
      </c>
      <c r="F35" s="109" t="s">
        <v>208</v>
      </c>
      <c r="G35" s="109" t="s">
        <v>25</v>
      </c>
      <c r="H35" s="109" t="s">
        <v>113</v>
      </c>
      <c r="I35" s="109" t="s">
        <v>111</v>
      </c>
      <c r="J35" s="118" t="s">
        <v>27</v>
      </c>
      <c r="K35" s="118" t="s">
        <v>112</v>
      </c>
      <c r="L35" s="109">
        <v>1</v>
      </c>
      <c r="N35" s="109">
        <v>1</v>
      </c>
      <c r="O35" s="109">
        <v>0.7</v>
      </c>
      <c r="P35" s="109">
        <v>0.85</v>
      </c>
      <c r="Q35" s="119">
        <f t="shared" si="1"/>
        <v>0.77499999999999991</v>
      </c>
      <c r="R35" s="109">
        <v>14.4</v>
      </c>
      <c r="S35" s="109">
        <v>126</v>
      </c>
      <c r="T35" s="120">
        <f t="shared" si="2"/>
        <v>27</v>
      </c>
      <c r="U35" s="109">
        <v>128</v>
      </c>
      <c r="V35" s="121">
        <f t="shared" si="0"/>
        <v>3456</v>
      </c>
      <c r="W35" s="109">
        <v>22</v>
      </c>
      <c r="X35" s="109" t="s">
        <v>35</v>
      </c>
      <c r="Y35" s="109" t="s">
        <v>43</v>
      </c>
      <c r="Z35" s="109" t="s">
        <v>55</v>
      </c>
      <c r="AA35" s="109" t="s">
        <v>82</v>
      </c>
      <c r="AB35" s="109" t="s">
        <v>195</v>
      </c>
    </row>
    <row r="36" spans="1:28" x14ac:dyDescent="0.15">
      <c r="A36" s="109" t="s">
        <v>40</v>
      </c>
      <c r="B36" s="109" t="s">
        <v>191</v>
      </c>
      <c r="C36" s="109">
        <v>2020</v>
      </c>
      <c r="D36" s="117" t="s">
        <v>192</v>
      </c>
      <c r="E36" s="109" t="s">
        <v>172</v>
      </c>
      <c r="F36" s="109" t="s">
        <v>208</v>
      </c>
      <c r="G36" s="109" t="s">
        <v>25</v>
      </c>
      <c r="H36" s="109" t="s">
        <v>113</v>
      </c>
      <c r="I36" s="109" t="s">
        <v>111</v>
      </c>
      <c r="J36" s="118" t="s">
        <v>27</v>
      </c>
      <c r="K36" s="118" t="s">
        <v>112</v>
      </c>
      <c r="L36" s="109">
        <v>2</v>
      </c>
      <c r="N36" s="109">
        <v>1</v>
      </c>
      <c r="O36" s="109">
        <v>0.75</v>
      </c>
      <c r="P36" s="109">
        <v>0.75</v>
      </c>
      <c r="Q36" s="119">
        <f t="shared" si="1"/>
        <v>0.75</v>
      </c>
      <c r="R36" s="109">
        <v>14.6</v>
      </c>
      <c r="S36" s="109">
        <v>126</v>
      </c>
      <c r="T36" s="120">
        <f t="shared" si="2"/>
        <v>27</v>
      </c>
      <c r="U36" s="109">
        <v>128</v>
      </c>
      <c r="V36" s="121">
        <f t="shared" si="0"/>
        <v>3456</v>
      </c>
      <c r="W36" s="109">
        <v>22</v>
      </c>
      <c r="X36" s="109" t="s">
        <v>35</v>
      </c>
      <c r="Y36" s="109" t="s">
        <v>43</v>
      </c>
      <c r="Z36" s="109" t="s">
        <v>55</v>
      </c>
      <c r="AA36" s="109" t="s">
        <v>82</v>
      </c>
      <c r="AB36" s="109" t="s">
        <v>195</v>
      </c>
    </row>
    <row r="37" spans="1:28" x14ac:dyDescent="0.15">
      <c r="A37" s="109" t="s">
        <v>40</v>
      </c>
      <c r="B37" s="109" t="s">
        <v>191</v>
      </c>
      <c r="C37" s="109">
        <v>2020</v>
      </c>
      <c r="D37" s="117" t="s">
        <v>192</v>
      </c>
      <c r="E37" s="109" t="s">
        <v>172</v>
      </c>
      <c r="F37" s="109" t="s">
        <v>208</v>
      </c>
      <c r="G37" s="109" t="s">
        <v>25</v>
      </c>
      <c r="H37" s="109" t="s">
        <v>113</v>
      </c>
      <c r="I37" s="109" t="s">
        <v>111</v>
      </c>
      <c r="J37" s="118" t="s">
        <v>27</v>
      </c>
      <c r="K37" s="118" t="s">
        <v>112</v>
      </c>
      <c r="L37" s="109">
        <v>3</v>
      </c>
      <c r="N37" s="109">
        <v>1</v>
      </c>
      <c r="O37" s="109">
        <v>0.8</v>
      </c>
      <c r="P37" s="109">
        <v>0.8</v>
      </c>
      <c r="Q37" s="119">
        <f t="shared" si="1"/>
        <v>0.8</v>
      </c>
      <c r="R37" s="109">
        <v>15</v>
      </c>
      <c r="S37" s="109">
        <v>128</v>
      </c>
      <c r="T37" s="120">
        <f t="shared" si="2"/>
        <v>27</v>
      </c>
      <c r="U37" s="109">
        <v>128</v>
      </c>
      <c r="V37" s="121">
        <f t="shared" si="0"/>
        <v>3456</v>
      </c>
      <c r="W37" s="109">
        <v>22</v>
      </c>
      <c r="X37" s="109" t="s">
        <v>35</v>
      </c>
      <c r="Y37" s="109" t="s">
        <v>43</v>
      </c>
      <c r="Z37" s="109" t="s">
        <v>55</v>
      </c>
      <c r="AA37" s="109" t="s">
        <v>82</v>
      </c>
      <c r="AB37" s="109" t="s">
        <v>195</v>
      </c>
    </row>
    <row r="38" spans="1:28" x14ac:dyDescent="0.15">
      <c r="A38" s="109" t="s">
        <v>40</v>
      </c>
      <c r="B38" s="109" t="s">
        <v>191</v>
      </c>
      <c r="C38" s="109">
        <v>2020</v>
      </c>
      <c r="D38" s="117" t="s">
        <v>192</v>
      </c>
      <c r="E38" s="109" t="s">
        <v>172</v>
      </c>
      <c r="F38" s="109" t="s">
        <v>208</v>
      </c>
      <c r="G38" s="109" t="s">
        <v>25</v>
      </c>
      <c r="H38" s="109" t="s">
        <v>113</v>
      </c>
      <c r="I38" s="109" t="s">
        <v>111</v>
      </c>
      <c r="J38" s="118" t="s">
        <v>27</v>
      </c>
      <c r="K38" s="118" t="s">
        <v>112</v>
      </c>
      <c r="L38" s="109">
        <v>1</v>
      </c>
      <c r="N38" s="109">
        <v>5</v>
      </c>
      <c r="O38" s="109">
        <v>1.1499999999999999</v>
      </c>
      <c r="P38" s="109">
        <v>1</v>
      </c>
      <c r="Q38" s="119">
        <f t="shared" si="1"/>
        <v>1.075</v>
      </c>
      <c r="R38" s="109">
        <v>13.9</v>
      </c>
      <c r="S38" s="109">
        <v>89</v>
      </c>
      <c r="T38" s="120">
        <f t="shared" si="2"/>
        <v>36</v>
      </c>
      <c r="U38" s="109">
        <v>398</v>
      </c>
      <c r="V38" s="121">
        <f t="shared" si="0"/>
        <v>2865.6</v>
      </c>
      <c r="W38" s="109">
        <v>22</v>
      </c>
      <c r="X38" s="109" t="s">
        <v>35</v>
      </c>
      <c r="Y38" s="109" t="s">
        <v>43</v>
      </c>
      <c r="Z38" s="109" t="s">
        <v>55</v>
      </c>
      <c r="AA38" s="109" t="s">
        <v>82</v>
      </c>
      <c r="AB38" s="109" t="s">
        <v>195</v>
      </c>
    </row>
    <row r="39" spans="1:28" x14ac:dyDescent="0.15">
      <c r="A39" s="109" t="s">
        <v>40</v>
      </c>
      <c r="B39" s="109" t="s">
        <v>191</v>
      </c>
      <c r="C39" s="109">
        <v>2020</v>
      </c>
      <c r="D39" s="117" t="s">
        <v>192</v>
      </c>
      <c r="E39" s="109" t="s">
        <v>172</v>
      </c>
      <c r="F39" s="109" t="s">
        <v>208</v>
      </c>
      <c r="G39" s="109" t="s">
        <v>25</v>
      </c>
      <c r="H39" s="109" t="s">
        <v>113</v>
      </c>
      <c r="I39" s="109" t="s">
        <v>111</v>
      </c>
      <c r="J39" s="118" t="s">
        <v>27</v>
      </c>
      <c r="K39" s="118" t="s">
        <v>112</v>
      </c>
      <c r="L39" s="109">
        <v>2</v>
      </c>
      <c r="N39" s="109">
        <v>5</v>
      </c>
      <c r="O39" s="109">
        <v>0.95</v>
      </c>
      <c r="P39" s="109">
        <v>1.1499999999999999</v>
      </c>
      <c r="Q39" s="119">
        <f t="shared" si="1"/>
        <v>1.0499999999999998</v>
      </c>
      <c r="R39" s="109">
        <v>14</v>
      </c>
      <c r="S39" s="109">
        <v>90</v>
      </c>
      <c r="T39" s="120">
        <f t="shared" si="2"/>
        <v>36</v>
      </c>
      <c r="U39" s="109">
        <v>398</v>
      </c>
      <c r="V39" s="121">
        <f t="shared" si="0"/>
        <v>2865.6</v>
      </c>
      <c r="W39" s="109">
        <v>22</v>
      </c>
      <c r="X39" s="109" t="s">
        <v>35</v>
      </c>
      <c r="Y39" s="109" t="s">
        <v>43</v>
      </c>
      <c r="Z39" s="109" t="s">
        <v>55</v>
      </c>
      <c r="AA39" s="109" t="s">
        <v>82</v>
      </c>
      <c r="AB39" s="109" t="s">
        <v>195</v>
      </c>
    </row>
    <row r="40" spans="1:28" x14ac:dyDescent="0.15">
      <c r="A40" s="109" t="s">
        <v>40</v>
      </c>
      <c r="B40" s="109" t="s">
        <v>191</v>
      </c>
      <c r="C40" s="109">
        <v>2020</v>
      </c>
      <c r="D40" s="117" t="s">
        <v>192</v>
      </c>
      <c r="E40" s="109" t="s">
        <v>172</v>
      </c>
      <c r="F40" s="109" t="s">
        <v>208</v>
      </c>
      <c r="G40" s="109" t="s">
        <v>25</v>
      </c>
      <c r="H40" s="109" t="s">
        <v>113</v>
      </c>
      <c r="I40" s="109" t="s">
        <v>111</v>
      </c>
      <c r="J40" s="118" t="s">
        <v>27</v>
      </c>
      <c r="K40" s="118" t="s">
        <v>112</v>
      </c>
      <c r="L40" s="109">
        <v>3</v>
      </c>
      <c r="N40" s="109">
        <v>5</v>
      </c>
      <c r="O40" s="109">
        <v>1.1000000000000001</v>
      </c>
      <c r="P40" s="109">
        <v>1.05</v>
      </c>
      <c r="Q40" s="119">
        <f t="shared" si="1"/>
        <v>1.0750000000000002</v>
      </c>
      <c r="R40" s="109">
        <v>14.2</v>
      </c>
      <c r="S40" s="109">
        <v>89</v>
      </c>
      <c r="T40" s="120">
        <f t="shared" si="2"/>
        <v>36</v>
      </c>
      <c r="U40" s="109">
        <v>398</v>
      </c>
      <c r="V40" s="121">
        <f t="shared" si="0"/>
        <v>2865.6</v>
      </c>
      <c r="W40" s="109">
        <v>22</v>
      </c>
      <c r="X40" s="109" t="s">
        <v>35</v>
      </c>
      <c r="Y40" s="109" t="s">
        <v>43</v>
      </c>
      <c r="Z40" s="109" t="s">
        <v>55</v>
      </c>
      <c r="AA40" s="109" t="s">
        <v>82</v>
      </c>
      <c r="AB40" s="109" t="s">
        <v>195</v>
      </c>
    </row>
    <row r="41" spans="1:28" x14ac:dyDescent="0.15">
      <c r="A41" s="109" t="s">
        <v>40</v>
      </c>
      <c r="B41" s="109" t="s">
        <v>191</v>
      </c>
      <c r="C41" s="109">
        <v>2020</v>
      </c>
      <c r="D41" s="117" t="s">
        <v>192</v>
      </c>
      <c r="E41" s="109" t="s">
        <v>172</v>
      </c>
      <c r="F41" s="109" t="s">
        <v>208</v>
      </c>
      <c r="G41" s="109" t="s">
        <v>25</v>
      </c>
      <c r="H41" s="109" t="s">
        <v>198</v>
      </c>
      <c r="I41" s="109" t="s">
        <v>111</v>
      </c>
      <c r="J41" s="118" t="s">
        <v>242</v>
      </c>
      <c r="K41" s="118" t="s">
        <v>46</v>
      </c>
      <c r="L41" s="109">
        <v>1</v>
      </c>
      <c r="N41" s="109">
        <v>4</v>
      </c>
      <c r="O41" s="109">
        <v>0.8</v>
      </c>
      <c r="P41" s="109">
        <v>0.85</v>
      </c>
      <c r="Q41" s="119">
        <f t="shared" si="1"/>
        <v>0.82499999999999996</v>
      </c>
      <c r="R41" s="109">
        <v>16.100000000000001</v>
      </c>
      <c r="S41" s="109">
        <v>106</v>
      </c>
      <c r="T41" s="120">
        <f t="shared" si="2"/>
        <v>33</v>
      </c>
      <c r="U41" s="109">
        <v>398</v>
      </c>
      <c r="V41" s="121">
        <f t="shared" si="0"/>
        <v>3283.5</v>
      </c>
      <c r="W41" s="109">
        <v>22</v>
      </c>
      <c r="X41" s="109" t="s">
        <v>35</v>
      </c>
      <c r="Y41" s="109" t="s">
        <v>43</v>
      </c>
      <c r="Z41" s="109" t="s">
        <v>55</v>
      </c>
      <c r="AA41" s="109" t="s">
        <v>82</v>
      </c>
      <c r="AB41" s="109" t="s">
        <v>195</v>
      </c>
    </row>
    <row r="42" spans="1:28" x14ac:dyDescent="0.15">
      <c r="A42" s="109" t="s">
        <v>40</v>
      </c>
      <c r="B42" s="109" t="s">
        <v>191</v>
      </c>
      <c r="C42" s="109">
        <v>2020</v>
      </c>
      <c r="D42" s="117" t="s">
        <v>192</v>
      </c>
      <c r="E42" s="109" t="s">
        <v>172</v>
      </c>
      <c r="F42" s="109" t="s">
        <v>208</v>
      </c>
      <c r="G42" s="109" t="s">
        <v>25</v>
      </c>
      <c r="H42" s="109" t="s">
        <v>198</v>
      </c>
      <c r="I42" s="109" t="s">
        <v>111</v>
      </c>
      <c r="J42" s="118" t="s">
        <v>242</v>
      </c>
      <c r="K42" s="118" t="s">
        <v>46</v>
      </c>
      <c r="L42" s="109">
        <v>2</v>
      </c>
      <c r="N42" s="109">
        <v>4</v>
      </c>
      <c r="O42" s="109">
        <v>0.25</v>
      </c>
      <c r="P42" s="109">
        <v>0.25</v>
      </c>
      <c r="Q42" s="119">
        <f t="shared" si="1"/>
        <v>0.25</v>
      </c>
      <c r="R42" s="109">
        <v>16.100000000000001</v>
      </c>
      <c r="S42" s="109">
        <v>114</v>
      </c>
      <c r="T42" s="120">
        <f t="shared" si="2"/>
        <v>30</v>
      </c>
      <c r="U42" s="109">
        <v>398</v>
      </c>
      <c r="V42" s="121">
        <f t="shared" si="0"/>
        <v>2985</v>
      </c>
      <c r="W42" s="109">
        <v>22</v>
      </c>
      <c r="X42" s="109" t="s">
        <v>35</v>
      </c>
      <c r="Y42" s="109" t="s">
        <v>43</v>
      </c>
      <c r="Z42" s="109" t="s">
        <v>55</v>
      </c>
      <c r="AA42" s="109" t="s">
        <v>82</v>
      </c>
      <c r="AB42" s="109" t="s">
        <v>195</v>
      </c>
    </row>
    <row r="43" spans="1:28" x14ac:dyDescent="0.15">
      <c r="A43" s="109" t="s">
        <v>40</v>
      </c>
      <c r="B43" s="109" t="s">
        <v>191</v>
      </c>
      <c r="C43" s="109">
        <v>2020</v>
      </c>
      <c r="D43" s="117" t="s">
        <v>192</v>
      </c>
      <c r="E43" s="109" t="s">
        <v>172</v>
      </c>
      <c r="F43" s="109" t="s">
        <v>208</v>
      </c>
      <c r="G43" s="109" t="s">
        <v>25</v>
      </c>
      <c r="H43" s="109" t="s">
        <v>198</v>
      </c>
      <c r="I43" s="109" t="s">
        <v>111</v>
      </c>
      <c r="J43" s="118" t="s">
        <v>242</v>
      </c>
      <c r="K43" s="118" t="s">
        <v>46</v>
      </c>
      <c r="L43" s="109">
        <v>3</v>
      </c>
      <c r="N43" s="109">
        <v>4</v>
      </c>
      <c r="O43" s="109">
        <v>0.7</v>
      </c>
      <c r="P43" s="109">
        <v>0.65</v>
      </c>
      <c r="Q43" s="119">
        <f t="shared" si="1"/>
        <v>0.67500000000000004</v>
      </c>
      <c r="R43" s="109">
        <v>13.6</v>
      </c>
      <c r="S43" s="109">
        <v>112</v>
      </c>
      <c r="T43" s="120">
        <f t="shared" si="2"/>
        <v>33</v>
      </c>
      <c r="U43" s="109">
        <v>398</v>
      </c>
      <c r="V43" s="121">
        <f t="shared" si="0"/>
        <v>3283.5</v>
      </c>
      <c r="W43" s="109">
        <v>22</v>
      </c>
      <c r="X43" s="109" t="s">
        <v>35</v>
      </c>
      <c r="Y43" s="109" t="s">
        <v>43</v>
      </c>
      <c r="Z43" s="109" t="s">
        <v>55</v>
      </c>
      <c r="AA43" s="109" t="s">
        <v>82</v>
      </c>
      <c r="AB43" s="109" t="s">
        <v>195</v>
      </c>
    </row>
    <row r="44" spans="1:28" x14ac:dyDescent="0.15">
      <c r="A44" s="109" t="s">
        <v>40</v>
      </c>
      <c r="B44" s="109" t="s">
        <v>191</v>
      </c>
      <c r="C44" s="109">
        <v>2020</v>
      </c>
      <c r="D44" s="117" t="s">
        <v>192</v>
      </c>
      <c r="E44" s="109" t="s">
        <v>172</v>
      </c>
      <c r="F44" s="109" t="s">
        <v>208</v>
      </c>
      <c r="G44" s="109" t="s">
        <v>25</v>
      </c>
      <c r="H44" s="109" t="s">
        <v>164</v>
      </c>
      <c r="I44" s="109" t="s">
        <v>111</v>
      </c>
      <c r="J44" s="118" t="s">
        <v>27</v>
      </c>
      <c r="K44" s="118" t="s">
        <v>112</v>
      </c>
      <c r="L44" s="109">
        <v>1</v>
      </c>
      <c r="N44" s="109">
        <v>1</v>
      </c>
      <c r="O44" s="109">
        <v>0.7</v>
      </c>
      <c r="P44" s="109">
        <v>0.6</v>
      </c>
      <c r="Q44" s="119">
        <f t="shared" si="1"/>
        <v>0.64999999999999991</v>
      </c>
      <c r="R44" s="109">
        <v>17.7</v>
      </c>
      <c r="S44" s="109">
        <v>122</v>
      </c>
      <c r="T44" s="120">
        <f t="shared" si="2"/>
        <v>27</v>
      </c>
      <c r="U44" s="109">
        <v>128</v>
      </c>
      <c r="V44" s="121">
        <f t="shared" si="0"/>
        <v>3456</v>
      </c>
      <c r="W44" s="109">
        <v>22</v>
      </c>
      <c r="X44" s="109" t="s">
        <v>35</v>
      </c>
      <c r="Y44" s="109" t="s">
        <v>43</v>
      </c>
      <c r="Z44" s="109" t="s">
        <v>55</v>
      </c>
      <c r="AA44" s="109" t="s">
        <v>82</v>
      </c>
      <c r="AB44" s="109" t="s">
        <v>195</v>
      </c>
    </row>
    <row r="45" spans="1:28" x14ac:dyDescent="0.15">
      <c r="A45" s="109" t="s">
        <v>40</v>
      </c>
      <c r="B45" s="109" t="s">
        <v>191</v>
      </c>
      <c r="C45" s="109">
        <v>2020</v>
      </c>
      <c r="D45" s="117" t="s">
        <v>192</v>
      </c>
      <c r="E45" s="109" t="s">
        <v>172</v>
      </c>
      <c r="F45" s="109" t="s">
        <v>208</v>
      </c>
      <c r="G45" s="109" t="s">
        <v>25</v>
      </c>
      <c r="H45" s="109" t="s">
        <v>164</v>
      </c>
      <c r="I45" s="109" t="s">
        <v>111</v>
      </c>
      <c r="J45" s="118" t="s">
        <v>27</v>
      </c>
      <c r="K45" s="118" t="s">
        <v>112</v>
      </c>
      <c r="L45" s="109">
        <v>2</v>
      </c>
      <c r="N45" s="109">
        <v>1</v>
      </c>
      <c r="O45" s="109">
        <v>0.75</v>
      </c>
      <c r="P45" s="109">
        <v>0.75</v>
      </c>
      <c r="Q45" s="119">
        <f t="shared" si="1"/>
        <v>0.75</v>
      </c>
      <c r="R45" s="109">
        <v>17.899999999999999</v>
      </c>
      <c r="S45" s="109">
        <v>126</v>
      </c>
      <c r="T45" s="120">
        <f t="shared" si="2"/>
        <v>27</v>
      </c>
      <c r="U45" s="109">
        <v>128</v>
      </c>
      <c r="V45" s="121">
        <f t="shared" si="0"/>
        <v>3456</v>
      </c>
      <c r="W45" s="109">
        <v>22</v>
      </c>
      <c r="X45" s="109" t="s">
        <v>35</v>
      </c>
      <c r="Y45" s="109" t="s">
        <v>43</v>
      </c>
      <c r="Z45" s="109" t="s">
        <v>55</v>
      </c>
      <c r="AA45" s="109" t="s">
        <v>82</v>
      </c>
      <c r="AB45" s="109" t="s">
        <v>195</v>
      </c>
    </row>
    <row r="46" spans="1:28" x14ac:dyDescent="0.15">
      <c r="A46" s="109" t="s">
        <v>40</v>
      </c>
      <c r="B46" s="109" t="s">
        <v>191</v>
      </c>
      <c r="C46" s="109">
        <v>2020</v>
      </c>
      <c r="D46" s="117" t="s">
        <v>192</v>
      </c>
      <c r="E46" s="109" t="s">
        <v>172</v>
      </c>
      <c r="F46" s="109" t="s">
        <v>208</v>
      </c>
      <c r="G46" s="109" t="s">
        <v>25</v>
      </c>
      <c r="H46" s="109" t="s">
        <v>164</v>
      </c>
      <c r="I46" s="109" t="s">
        <v>111</v>
      </c>
      <c r="J46" s="118" t="s">
        <v>27</v>
      </c>
      <c r="K46" s="118" t="s">
        <v>112</v>
      </c>
      <c r="L46" s="109">
        <v>3</v>
      </c>
      <c r="N46" s="109">
        <v>1</v>
      </c>
      <c r="O46" s="109">
        <v>0.8</v>
      </c>
      <c r="P46" s="109">
        <v>0.6</v>
      </c>
      <c r="Q46" s="119">
        <f t="shared" si="1"/>
        <v>0.7</v>
      </c>
      <c r="R46" s="109">
        <v>18.5</v>
      </c>
      <c r="S46" s="109">
        <v>128</v>
      </c>
      <c r="T46" s="120">
        <f t="shared" si="2"/>
        <v>27</v>
      </c>
      <c r="U46" s="109">
        <v>128</v>
      </c>
      <c r="V46" s="121">
        <f t="shared" si="0"/>
        <v>3456</v>
      </c>
      <c r="W46" s="109">
        <v>22</v>
      </c>
      <c r="X46" s="109" t="s">
        <v>35</v>
      </c>
      <c r="Y46" s="109" t="s">
        <v>43</v>
      </c>
      <c r="Z46" s="109" t="s">
        <v>55</v>
      </c>
      <c r="AA46" s="109" t="s">
        <v>82</v>
      </c>
      <c r="AB46" s="109" t="s">
        <v>195</v>
      </c>
    </row>
    <row r="47" spans="1:28" x14ac:dyDescent="0.15">
      <c r="A47" s="109" t="s">
        <v>40</v>
      </c>
      <c r="B47" s="109" t="s">
        <v>191</v>
      </c>
      <c r="C47" s="109">
        <v>2020</v>
      </c>
      <c r="D47" s="117" t="s">
        <v>192</v>
      </c>
      <c r="E47" s="109" t="s">
        <v>172</v>
      </c>
      <c r="F47" s="109" t="s">
        <v>208</v>
      </c>
      <c r="G47" s="109" t="s">
        <v>25</v>
      </c>
      <c r="H47" s="109" t="s">
        <v>164</v>
      </c>
      <c r="I47" s="109" t="s">
        <v>111</v>
      </c>
      <c r="J47" s="118" t="s">
        <v>27</v>
      </c>
      <c r="K47" s="118" t="s">
        <v>112</v>
      </c>
      <c r="L47" s="109">
        <v>1</v>
      </c>
      <c r="N47" s="109">
        <v>5</v>
      </c>
      <c r="O47" s="109">
        <v>0.7</v>
      </c>
      <c r="P47" s="109">
        <v>0.7</v>
      </c>
      <c r="Q47" s="119">
        <f t="shared" si="1"/>
        <v>0.7</v>
      </c>
      <c r="R47" s="109">
        <v>16.399999999999999</v>
      </c>
      <c r="S47" s="109">
        <v>92</v>
      </c>
      <c r="T47" s="120">
        <f t="shared" si="2"/>
        <v>36</v>
      </c>
      <c r="U47" s="109">
        <v>398</v>
      </c>
      <c r="V47" s="121">
        <f t="shared" si="0"/>
        <v>2865.6</v>
      </c>
      <c r="W47" s="109">
        <v>22</v>
      </c>
      <c r="X47" s="109" t="s">
        <v>35</v>
      </c>
      <c r="Y47" s="109" t="s">
        <v>43</v>
      </c>
      <c r="Z47" s="109" t="s">
        <v>55</v>
      </c>
      <c r="AA47" s="109" t="s">
        <v>82</v>
      </c>
      <c r="AB47" s="109" t="s">
        <v>195</v>
      </c>
    </row>
    <row r="48" spans="1:28" x14ac:dyDescent="0.15">
      <c r="A48" s="109" t="s">
        <v>40</v>
      </c>
      <c r="B48" s="109" t="s">
        <v>191</v>
      </c>
      <c r="C48" s="109">
        <v>2020</v>
      </c>
      <c r="D48" s="117" t="s">
        <v>192</v>
      </c>
      <c r="E48" s="109" t="s">
        <v>172</v>
      </c>
      <c r="F48" s="109" t="s">
        <v>208</v>
      </c>
      <c r="G48" s="109" t="s">
        <v>25</v>
      </c>
      <c r="H48" s="109" t="s">
        <v>164</v>
      </c>
      <c r="I48" s="109" t="s">
        <v>111</v>
      </c>
      <c r="J48" s="118" t="s">
        <v>27</v>
      </c>
      <c r="K48" s="118" t="s">
        <v>112</v>
      </c>
      <c r="L48" s="109">
        <v>2</v>
      </c>
      <c r="N48" s="109">
        <v>5</v>
      </c>
      <c r="O48" s="109">
        <v>0.75</v>
      </c>
      <c r="P48" s="109">
        <v>0.75</v>
      </c>
      <c r="Q48" s="119">
        <f t="shared" si="1"/>
        <v>0.75</v>
      </c>
      <c r="R48" s="109">
        <v>16</v>
      </c>
      <c r="S48" s="109">
        <v>89</v>
      </c>
      <c r="T48" s="120">
        <f t="shared" si="2"/>
        <v>36</v>
      </c>
      <c r="U48" s="109">
        <v>398</v>
      </c>
      <c r="V48" s="121">
        <f t="shared" si="0"/>
        <v>2865.6</v>
      </c>
      <c r="W48" s="109">
        <v>22</v>
      </c>
      <c r="X48" s="109" t="s">
        <v>35</v>
      </c>
      <c r="Y48" s="109" t="s">
        <v>43</v>
      </c>
      <c r="Z48" s="109" t="s">
        <v>55</v>
      </c>
      <c r="AA48" s="109" t="s">
        <v>82</v>
      </c>
      <c r="AB48" s="109" t="s">
        <v>195</v>
      </c>
    </row>
    <row r="49" spans="1:28" x14ac:dyDescent="0.15">
      <c r="A49" s="109" t="s">
        <v>40</v>
      </c>
      <c r="B49" s="109" t="s">
        <v>191</v>
      </c>
      <c r="C49" s="109">
        <v>2020</v>
      </c>
      <c r="D49" s="117" t="s">
        <v>192</v>
      </c>
      <c r="E49" s="109" t="s">
        <v>172</v>
      </c>
      <c r="F49" s="109" t="s">
        <v>208</v>
      </c>
      <c r="G49" s="109" t="s">
        <v>25</v>
      </c>
      <c r="H49" s="109" t="s">
        <v>164</v>
      </c>
      <c r="I49" s="109" t="s">
        <v>111</v>
      </c>
      <c r="J49" s="118" t="s">
        <v>27</v>
      </c>
      <c r="K49" s="118" t="s">
        <v>112</v>
      </c>
      <c r="L49" s="109">
        <v>3</v>
      </c>
      <c r="N49" s="109">
        <v>5</v>
      </c>
      <c r="O49" s="109">
        <v>0.7</v>
      </c>
      <c r="P49" s="109">
        <v>0.75</v>
      </c>
      <c r="Q49" s="119">
        <f t="shared" si="1"/>
        <v>0.72499999999999998</v>
      </c>
      <c r="R49" s="109">
        <v>15.9</v>
      </c>
      <c r="S49" s="109">
        <v>84</v>
      </c>
      <c r="T49" s="120">
        <f t="shared" si="2"/>
        <v>36</v>
      </c>
      <c r="U49" s="109">
        <v>398</v>
      </c>
      <c r="V49" s="121">
        <f t="shared" si="0"/>
        <v>2865.6</v>
      </c>
      <c r="W49" s="109">
        <v>22</v>
      </c>
      <c r="X49" s="109" t="s">
        <v>35</v>
      </c>
      <c r="Y49" s="109" t="s">
        <v>43</v>
      </c>
      <c r="Z49" s="109" t="s">
        <v>55</v>
      </c>
      <c r="AA49" s="109" t="s">
        <v>82</v>
      </c>
      <c r="AB49" s="109" t="s">
        <v>195</v>
      </c>
    </row>
    <row r="50" spans="1:28" x14ac:dyDescent="0.15">
      <c r="A50" s="109" t="s">
        <v>40</v>
      </c>
      <c r="B50" s="109" t="s">
        <v>191</v>
      </c>
      <c r="C50" s="109">
        <v>2020</v>
      </c>
      <c r="D50" s="117" t="s">
        <v>192</v>
      </c>
      <c r="E50" s="109" t="s">
        <v>172</v>
      </c>
      <c r="F50" s="109" t="s">
        <v>208</v>
      </c>
      <c r="G50" s="109" t="s">
        <v>25</v>
      </c>
      <c r="H50" s="109" t="s">
        <v>164</v>
      </c>
      <c r="I50" s="109" t="s">
        <v>111</v>
      </c>
      <c r="J50" s="118" t="s">
        <v>27</v>
      </c>
      <c r="K50" s="118" t="s">
        <v>112</v>
      </c>
      <c r="L50" s="109">
        <v>1</v>
      </c>
      <c r="N50" s="109">
        <v>8</v>
      </c>
      <c r="O50" s="109">
        <v>0.95</v>
      </c>
      <c r="P50" s="109">
        <v>0.95</v>
      </c>
      <c r="Q50" s="119">
        <f t="shared" si="1"/>
        <v>0.95</v>
      </c>
      <c r="R50" s="109">
        <v>16</v>
      </c>
      <c r="S50" s="109">
        <v>96</v>
      </c>
      <c r="T50" s="120">
        <f t="shared" si="2"/>
        <v>36</v>
      </c>
      <c r="U50" s="109">
        <v>698</v>
      </c>
      <c r="V50" s="121">
        <f t="shared" si="0"/>
        <v>3141</v>
      </c>
      <c r="W50" s="109">
        <v>22</v>
      </c>
      <c r="X50" s="109" t="s">
        <v>35</v>
      </c>
      <c r="Y50" s="109" t="s">
        <v>43</v>
      </c>
      <c r="Z50" s="109" t="s">
        <v>55</v>
      </c>
      <c r="AA50" s="109" t="s">
        <v>82</v>
      </c>
      <c r="AB50" s="109" t="s">
        <v>195</v>
      </c>
    </row>
    <row r="51" spans="1:28" x14ac:dyDescent="0.15">
      <c r="A51" s="109" t="s">
        <v>40</v>
      </c>
      <c r="B51" s="109" t="s">
        <v>191</v>
      </c>
      <c r="C51" s="109">
        <v>2020</v>
      </c>
      <c r="D51" s="117" t="s">
        <v>192</v>
      </c>
      <c r="E51" s="109" t="s">
        <v>172</v>
      </c>
      <c r="F51" s="109" t="s">
        <v>208</v>
      </c>
      <c r="G51" s="109" t="s">
        <v>25</v>
      </c>
      <c r="H51" s="109" t="s">
        <v>164</v>
      </c>
      <c r="I51" s="109" t="s">
        <v>111</v>
      </c>
      <c r="J51" s="118" t="s">
        <v>27</v>
      </c>
      <c r="K51" s="118" t="s">
        <v>112</v>
      </c>
      <c r="L51" s="109">
        <v>2</v>
      </c>
      <c r="N51" s="109">
        <v>8</v>
      </c>
      <c r="O51" s="109">
        <v>0.9</v>
      </c>
      <c r="P51" s="109">
        <v>0.85</v>
      </c>
      <c r="Q51" s="119">
        <f t="shared" si="1"/>
        <v>0.875</v>
      </c>
      <c r="R51" s="109">
        <v>16.3</v>
      </c>
      <c r="S51" s="109">
        <v>104</v>
      </c>
      <c r="T51" s="120">
        <f t="shared" si="2"/>
        <v>33</v>
      </c>
      <c r="U51" s="109">
        <v>698</v>
      </c>
      <c r="V51" s="121">
        <f t="shared" si="0"/>
        <v>2879.25</v>
      </c>
      <c r="W51" s="109">
        <v>22</v>
      </c>
      <c r="X51" s="109" t="s">
        <v>35</v>
      </c>
      <c r="Y51" s="109" t="s">
        <v>43</v>
      </c>
      <c r="Z51" s="109" t="s">
        <v>55</v>
      </c>
      <c r="AA51" s="109" t="s">
        <v>82</v>
      </c>
      <c r="AB51" s="109" t="s">
        <v>195</v>
      </c>
    </row>
    <row r="52" spans="1:28" x14ac:dyDescent="0.15">
      <c r="A52" s="109" t="s">
        <v>40</v>
      </c>
      <c r="B52" s="109" t="s">
        <v>191</v>
      </c>
      <c r="C52" s="109">
        <v>2020</v>
      </c>
      <c r="D52" s="117" t="s">
        <v>192</v>
      </c>
      <c r="E52" s="109" t="s">
        <v>172</v>
      </c>
      <c r="F52" s="109" t="s">
        <v>208</v>
      </c>
      <c r="G52" s="109" t="s">
        <v>25</v>
      </c>
      <c r="H52" s="109" t="s">
        <v>164</v>
      </c>
      <c r="I52" s="109" t="s">
        <v>111</v>
      </c>
      <c r="J52" s="118" t="s">
        <v>27</v>
      </c>
      <c r="K52" s="118" t="s">
        <v>112</v>
      </c>
      <c r="L52" s="109">
        <v>3</v>
      </c>
      <c r="N52" s="109">
        <v>8</v>
      </c>
      <c r="O52" s="109">
        <v>0.85</v>
      </c>
      <c r="P52" s="109">
        <v>0.95</v>
      </c>
      <c r="Q52" s="119">
        <f t="shared" si="1"/>
        <v>0.89999999999999991</v>
      </c>
      <c r="R52" s="109">
        <v>16.600000000000001</v>
      </c>
      <c r="S52" s="109">
        <v>104</v>
      </c>
      <c r="T52" s="120">
        <f t="shared" si="2"/>
        <v>33</v>
      </c>
      <c r="U52" s="109">
        <v>698</v>
      </c>
      <c r="V52" s="121">
        <f t="shared" si="0"/>
        <v>2879.25</v>
      </c>
      <c r="W52" s="109">
        <v>22</v>
      </c>
      <c r="X52" s="109" t="s">
        <v>35</v>
      </c>
      <c r="Y52" s="109" t="s">
        <v>43</v>
      </c>
      <c r="Z52" s="109" t="s">
        <v>55</v>
      </c>
      <c r="AA52" s="109" t="s">
        <v>82</v>
      </c>
      <c r="AB52" s="109" t="s">
        <v>195</v>
      </c>
    </row>
    <row r="53" spans="1:28" x14ac:dyDescent="0.15">
      <c r="A53" s="109" t="s">
        <v>40</v>
      </c>
      <c r="B53" s="109" t="s">
        <v>191</v>
      </c>
      <c r="C53" s="109">
        <v>2020</v>
      </c>
      <c r="D53" s="117" t="s">
        <v>192</v>
      </c>
      <c r="E53" s="109" t="s">
        <v>172</v>
      </c>
      <c r="F53" s="109" t="s">
        <v>208</v>
      </c>
      <c r="G53" s="109" t="s">
        <v>25</v>
      </c>
      <c r="H53" s="109" t="s">
        <v>164</v>
      </c>
      <c r="I53" s="109" t="s">
        <v>166</v>
      </c>
      <c r="J53" s="118" t="s">
        <v>27</v>
      </c>
      <c r="K53" s="118" t="s">
        <v>112</v>
      </c>
      <c r="L53" s="109">
        <v>1</v>
      </c>
      <c r="N53" s="109">
        <v>2</v>
      </c>
      <c r="O53" s="109">
        <v>0.8</v>
      </c>
      <c r="P53" s="109">
        <v>0.7</v>
      </c>
      <c r="Q53" s="119">
        <f t="shared" si="1"/>
        <v>0.75</v>
      </c>
      <c r="R53" s="109">
        <v>17.5</v>
      </c>
      <c r="S53" s="109">
        <v>146</v>
      </c>
      <c r="T53" s="120">
        <f t="shared" si="2"/>
        <v>22</v>
      </c>
      <c r="U53" s="109">
        <v>398</v>
      </c>
      <c r="V53" s="121">
        <f t="shared" si="0"/>
        <v>4378</v>
      </c>
      <c r="W53" s="109">
        <v>22</v>
      </c>
      <c r="X53" s="109" t="s">
        <v>35</v>
      </c>
      <c r="Y53" s="109" t="s">
        <v>43</v>
      </c>
      <c r="Z53" s="109" t="s">
        <v>55</v>
      </c>
      <c r="AA53" s="109" t="s">
        <v>82</v>
      </c>
      <c r="AB53" s="109" t="s">
        <v>195</v>
      </c>
    </row>
    <row r="54" spans="1:28" x14ac:dyDescent="0.15">
      <c r="A54" s="109" t="s">
        <v>40</v>
      </c>
      <c r="B54" s="109" t="s">
        <v>191</v>
      </c>
      <c r="C54" s="109">
        <v>2020</v>
      </c>
      <c r="D54" s="117" t="s">
        <v>192</v>
      </c>
      <c r="E54" s="109" t="s">
        <v>172</v>
      </c>
      <c r="F54" s="109" t="s">
        <v>208</v>
      </c>
      <c r="G54" s="109" t="s">
        <v>25</v>
      </c>
      <c r="H54" s="109" t="s">
        <v>164</v>
      </c>
      <c r="I54" s="109" t="s">
        <v>166</v>
      </c>
      <c r="J54" s="118" t="s">
        <v>27</v>
      </c>
      <c r="K54" s="118" t="s">
        <v>112</v>
      </c>
      <c r="L54" s="109">
        <v>2</v>
      </c>
      <c r="N54" s="109">
        <v>2</v>
      </c>
      <c r="O54" s="109">
        <v>0.85</v>
      </c>
      <c r="P54" s="109">
        <v>0.8</v>
      </c>
      <c r="Q54" s="119">
        <f t="shared" si="1"/>
        <v>0.82499999999999996</v>
      </c>
      <c r="R54" s="109">
        <v>16</v>
      </c>
      <c r="S54" s="109">
        <v>140</v>
      </c>
      <c r="T54" s="120">
        <f t="shared" si="2"/>
        <v>22</v>
      </c>
      <c r="U54" s="109">
        <v>398</v>
      </c>
      <c r="V54" s="121">
        <f t="shared" si="0"/>
        <v>4378</v>
      </c>
      <c r="W54" s="109">
        <v>22</v>
      </c>
      <c r="X54" s="109" t="s">
        <v>35</v>
      </c>
      <c r="Y54" s="109" t="s">
        <v>43</v>
      </c>
      <c r="Z54" s="109" t="s">
        <v>55</v>
      </c>
      <c r="AA54" s="109" t="s">
        <v>82</v>
      </c>
      <c r="AB54" s="109" t="s">
        <v>195</v>
      </c>
    </row>
    <row r="55" spans="1:28" x14ac:dyDescent="0.15">
      <c r="A55" s="109" t="s">
        <v>40</v>
      </c>
      <c r="B55" s="109" t="s">
        <v>191</v>
      </c>
      <c r="C55" s="109">
        <v>2020</v>
      </c>
      <c r="D55" s="117" t="s">
        <v>192</v>
      </c>
      <c r="E55" s="109" t="s">
        <v>172</v>
      </c>
      <c r="F55" s="109" t="s">
        <v>208</v>
      </c>
      <c r="G55" s="109" t="s">
        <v>25</v>
      </c>
      <c r="H55" s="109" t="s">
        <v>164</v>
      </c>
      <c r="I55" s="109" t="s">
        <v>166</v>
      </c>
      <c r="J55" s="118" t="s">
        <v>27</v>
      </c>
      <c r="K55" s="118" t="s">
        <v>112</v>
      </c>
      <c r="L55" s="109">
        <v>3</v>
      </c>
      <c r="N55" s="109">
        <v>2</v>
      </c>
      <c r="O55" s="109">
        <v>0.75</v>
      </c>
      <c r="P55" s="109">
        <v>0.8</v>
      </c>
      <c r="Q55" s="119">
        <f t="shared" si="1"/>
        <v>0.77500000000000002</v>
      </c>
      <c r="R55" s="109">
        <v>16.399999999999999</v>
      </c>
      <c r="S55" s="109">
        <v>140</v>
      </c>
      <c r="T55" s="120">
        <f t="shared" si="2"/>
        <v>22</v>
      </c>
      <c r="U55" s="109">
        <v>398</v>
      </c>
      <c r="V55" s="121">
        <f t="shared" si="0"/>
        <v>4378</v>
      </c>
      <c r="W55" s="109">
        <v>22</v>
      </c>
      <c r="X55" s="109" t="s">
        <v>35</v>
      </c>
      <c r="Y55" s="109" t="s">
        <v>43</v>
      </c>
      <c r="Z55" s="109" t="s">
        <v>55</v>
      </c>
      <c r="AA55" s="109" t="s">
        <v>82</v>
      </c>
      <c r="AB55" s="109" t="s">
        <v>195</v>
      </c>
    </row>
    <row r="56" spans="1:28" x14ac:dyDescent="0.15">
      <c r="A56" s="109" t="s">
        <v>40</v>
      </c>
      <c r="B56" s="109" t="s">
        <v>191</v>
      </c>
      <c r="C56" s="109">
        <v>2020</v>
      </c>
      <c r="D56" s="117" t="s">
        <v>192</v>
      </c>
      <c r="E56" s="109" t="s">
        <v>210</v>
      </c>
      <c r="F56" s="109" t="s">
        <v>211</v>
      </c>
      <c r="G56" s="109" t="s">
        <v>25</v>
      </c>
      <c r="H56" s="109" t="s">
        <v>113</v>
      </c>
      <c r="I56" s="109" t="s">
        <v>111</v>
      </c>
      <c r="J56" s="118" t="s">
        <v>27</v>
      </c>
      <c r="K56" s="118" t="s">
        <v>112</v>
      </c>
      <c r="L56" s="109">
        <v>1</v>
      </c>
      <c r="N56" s="109">
        <v>1</v>
      </c>
      <c r="O56" s="109">
        <v>1</v>
      </c>
      <c r="P56" s="109">
        <v>1</v>
      </c>
      <c r="Q56" s="119">
        <f t="shared" si="1"/>
        <v>1</v>
      </c>
      <c r="R56" s="109">
        <v>16.5</v>
      </c>
      <c r="S56" s="109">
        <v>136</v>
      </c>
      <c r="T56" s="120">
        <f t="shared" si="2"/>
        <v>25</v>
      </c>
      <c r="U56" s="109">
        <v>98</v>
      </c>
      <c r="V56" s="121">
        <f t="shared" si="0"/>
        <v>2450</v>
      </c>
      <c r="W56" s="109">
        <v>13</v>
      </c>
      <c r="X56" s="109" t="s">
        <v>35</v>
      </c>
      <c r="Y56" s="109" t="s">
        <v>43</v>
      </c>
      <c r="Z56" s="109" t="s">
        <v>55</v>
      </c>
      <c r="AA56" s="109" t="s">
        <v>76</v>
      </c>
      <c r="AB56" s="109" t="s">
        <v>195</v>
      </c>
    </row>
    <row r="57" spans="1:28" x14ac:dyDescent="0.15">
      <c r="A57" s="109" t="s">
        <v>40</v>
      </c>
      <c r="B57" s="109" t="s">
        <v>191</v>
      </c>
      <c r="C57" s="109">
        <v>2020</v>
      </c>
      <c r="D57" s="117" t="s">
        <v>192</v>
      </c>
      <c r="E57" s="109" t="s">
        <v>210</v>
      </c>
      <c r="F57" s="109" t="s">
        <v>211</v>
      </c>
      <c r="G57" s="109" t="s">
        <v>25</v>
      </c>
      <c r="H57" s="109" t="s">
        <v>113</v>
      </c>
      <c r="I57" s="109" t="s">
        <v>111</v>
      </c>
      <c r="J57" s="118" t="s">
        <v>27</v>
      </c>
      <c r="K57" s="118" t="s">
        <v>112</v>
      </c>
      <c r="L57" s="109">
        <v>2</v>
      </c>
      <c r="N57" s="109">
        <v>1</v>
      </c>
      <c r="O57" s="109">
        <v>0.95</v>
      </c>
      <c r="P57" s="109">
        <v>1</v>
      </c>
      <c r="Q57" s="119">
        <f t="shared" si="1"/>
        <v>0.97499999999999998</v>
      </c>
      <c r="R57" s="109">
        <v>16.2</v>
      </c>
      <c r="S57" s="109">
        <v>134</v>
      </c>
      <c r="T57" s="120">
        <f t="shared" si="2"/>
        <v>25</v>
      </c>
      <c r="U57" s="109">
        <v>98</v>
      </c>
      <c r="V57" s="121">
        <f t="shared" si="0"/>
        <v>2450</v>
      </c>
      <c r="W57" s="109">
        <v>13</v>
      </c>
      <c r="X57" s="109" t="s">
        <v>35</v>
      </c>
      <c r="Y57" s="109" t="s">
        <v>43</v>
      </c>
      <c r="Z57" s="109" t="s">
        <v>55</v>
      </c>
      <c r="AA57" s="109" t="s">
        <v>76</v>
      </c>
      <c r="AB57" s="109" t="s">
        <v>195</v>
      </c>
    </row>
    <row r="58" spans="1:28" ht="14.1" customHeight="1" x14ac:dyDescent="0.15">
      <c r="A58" s="109" t="s">
        <v>40</v>
      </c>
      <c r="B58" s="109" t="s">
        <v>191</v>
      </c>
      <c r="C58" s="109">
        <v>2020</v>
      </c>
      <c r="D58" s="117" t="s">
        <v>192</v>
      </c>
      <c r="E58" s="109" t="s">
        <v>210</v>
      </c>
      <c r="F58" s="109" t="s">
        <v>211</v>
      </c>
      <c r="G58" s="109" t="s">
        <v>25</v>
      </c>
      <c r="H58" s="109" t="s">
        <v>113</v>
      </c>
      <c r="I58" s="109" t="s">
        <v>111</v>
      </c>
      <c r="J58" s="118" t="s">
        <v>27</v>
      </c>
      <c r="K58" s="118" t="s">
        <v>112</v>
      </c>
      <c r="L58" s="109">
        <v>3</v>
      </c>
      <c r="N58" s="109">
        <v>1</v>
      </c>
      <c r="O58" s="109">
        <v>0.9</v>
      </c>
      <c r="P58" s="109">
        <v>1.05</v>
      </c>
      <c r="Q58" s="119">
        <f t="shared" si="1"/>
        <v>0.97500000000000009</v>
      </c>
      <c r="R58" s="109">
        <v>16.7</v>
      </c>
      <c r="S58" s="109">
        <v>136</v>
      </c>
      <c r="T58" s="120">
        <f t="shared" si="2"/>
        <v>25</v>
      </c>
      <c r="U58" s="109">
        <v>98</v>
      </c>
      <c r="V58" s="121">
        <f t="shared" si="0"/>
        <v>2450</v>
      </c>
      <c r="W58" s="109">
        <v>13</v>
      </c>
      <c r="X58" s="109" t="s">
        <v>35</v>
      </c>
      <c r="Y58" s="109" t="s">
        <v>43</v>
      </c>
      <c r="Z58" s="109" t="s">
        <v>55</v>
      </c>
      <c r="AA58" s="109" t="s">
        <v>76</v>
      </c>
      <c r="AB58" s="109" t="s">
        <v>195</v>
      </c>
    </row>
    <row r="59" spans="1:28" x14ac:dyDescent="0.15">
      <c r="A59" s="109" t="s">
        <v>40</v>
      </c>
      <c r="B59" s="109" t="s">
        <v>191</v>
      </c>
      <c r="C59" s="109">
        <v>2020</v>
      </c>
      <c r="D59" s="117" t="s">
        <v>192</v>
      </c>
      <c r="E59" s="109" t="s">
        <v>210</v>
      </c>
      <c r="F59" s="109" t="s">
        <v>211</v>
      </c>
      <c r="G59" s="109" t="s">
        <v>25</v>
      </c>
      <c r="H59" s="109" t="s">
        <v>164</v>
      </c>
      <c r="I59" s="109" t="s">
        <v>111</v>
      </c>
      <c r="J59" s="118" t="s">
        <v>27</v>
      </c>
      <c r="K59" s="118" t="s">
        <v>112</v>
      </c>
      <c r="L59" s="109">
        <v>1</v>
      </c>
      <c r="N59" s="109">
        <v>1</v>
      </c>
      <c r="O59" s="109">
        <v>0.75</v>
      </c>
      <c r="P59" s="109">
        <v>0.85</v>
      </c>
      <c r="Q59" s="119">
        <f t="shared" si="1"/>
        <v>0.8</v>
      </c>
      <c r="R59" s="109">
        <v>16.8</v>
      </c>
      <c r="S59" s="109">
        <v>130</v>
      </c>
      <c r="T59" s="120">
        <f t="shared" si="2"/>
        <v>25</v>
      </c>
      <c r="U59" s="109">
        <v>98</v>
      </c>
      <c r="V59" s="121">
        <f t="shared" si="0"/>
        <v>2450</v>
      </c>
      <c r="W59" s="109">
        <v>13</v>
      </c>
      <c r="X59" s="109" t="s">
        <v>35</v>
      </c>
      <c r="Y59" s="109" t="s">
        <v>43</v>
      </c>
      <c r="Z59" s="109" t="s">
        <v>55</v>
      </c>
      <c r="AA59" s="109" t="s">
        <v>76</v>
      </c>
      <c r="AB59" s="109" t="s">
        <v>195</v>
      </c>
    </row>
    <row r="60" spans="1:28" x14ac:dyDescent="0.15">
      <c r="A60" s="109" t="s">
        <v>40</v>
      </c>
      <c r="B60" s="109" t="s">
        <v>191</v>
      </c>
      <c r="C60" s="109">
        <v>2020</v>
      </c>
      <c r="D60" s="117" t="s">
        <v>192</v>
      </c>
      <c r="E60" s="109" t="s">
        <v>210</v>
      </c>
      <c r="F60" s="109" t="s">
        <v>211</v>
      </c>
      <c r="G60" s="109" t="s">
        <v>25</v>
      </c>
      <c r="H60" s="109" t="s">
        <v>164</v>
      </c>
      <c r="I60" s="109" t="s">
        <v>111</v>
      </c>
      <c r="J60" s="118" t="s">
        <v>27</v>
      </c>
      <c r="K60" s="118" t="s">
        <v>112</v>
      </c>
      <c r="L60" s="109">
        <v>2</v>
      </c>
      <c r="N60" s="109">
        <v>1</v>
      </c>
      <c r="O60" s="109">
        <v>0.7</v>
      </c>
      <c r="P60" s="109">
        <v>0.8</v>
      </c>
      <c r="Q60" s="119">
        <f t="shared" si="1"/>
        <v>0.75</v>
      </c>
      <c r="R60" s="109">
        <v>17.100000000000001</v>
      </c>
      <c r="S60" s="109">
        <v>132</v>
      </c>
      <c r="T60" s="120">
        <f t="shared" si="2"/>
        <v>25</v>
      </c>
      <c r="U60" s="109">
        <v>98</v>
      </c>
      <c r="V60" s="121">
        <f t="shared" si="0"/>
        <v>2450</v>
      </c>
      <c r="W60" s="109">
        <v>13</v>
      </c>
      <c r="X60" s="109" t="s">
        <v>35</v>
      </c>
      <c r="Y60" s="109" t="s">
        <v>43</v>
      </c>
      <c r="Z60" s="109" t="s">
        <v>55</v>
      </c>
      <c r="AA60" s="109" t="s">
        <v>76</v>
      </c>
      <c r="AB60" s="109" t="s">
        <v>195</v>
      </c>
    </row>
    <row r="61" spans="1:28" x14ac:dyDescent="0.15">
      <c r="A61" s="109" t="s">
        <v>40</v>
      </c>
      <c r="B61" s="109" t="s">
        <v>191</v>
      </c>
      <c r="C61" s="109">
        <v>2020</v>
      </c>
      <c r="D61" s="117" t="s">
        <v>192</v>
      </c>
      <c r="E61" s="109" t="s">
        <v>210</v>
      </c>
      <c r="F61" s="109" t="s">
        <v>211</v>
      </c>
      <c r="G61" s="109" t="s">
        <v>25</v>
      </c>
      <c r="H61" s="109" t="s">
        <v>164</v>
      </c>
      <c r="I61" s="109" t="s">
        <v>111</v>
      </c>
      <c r="J61" s="118" t="s">
        <v>27</v>
      </c>
      <c r="K61" s="118" t="s">
        <v>112</v>
      </c>
      <c r="L61" s="109">
        <v>3</v>
      </c>
      <c r="N61" s="109">
        <v>1</v>
      </c>
      <c r="O61" s="109">
        <v>0.7</v>
      </c>
      <c r="P61" s="109">
        <v>0.7</v>
      </c>
      <c r="Q61" s="119">
        <f t="shared" si="1"/>
        <v>0.7</v>
      </c>
      <c r="R61" s="109">
        <v>17.600000000000001</v>
      </c>
      <c r="S61" s="109">
        <v>134</v>
      </c>
      <c r="T61" s="120">
        <f t="shared" si="2"/>
        <v>25</v>
      </c>
      <c r="U61" s="109">
        <v>98</v>
      </c>
      <c r="V61" s="121">
        <f t="shared" si="0"/>
        <v>2450</v>
      </c>
      <c r="W61" s="109">
        <v>13</v>
      </c>
      <c r="X61" s="109" t="s">
        <v>35</v>
      </c>
      <c r="Y61" s="109" t="s">
        <v>43</v>
      </c>
      <c r="Z61" s="109" t="s">
        <v>55</v>
      </c>
      <c r="AA61" s="109" t="s">
        <v>76</v>
      </c>
      <c r="AB61" s="109" t="s">
        <v>195</v>
      </c>
    </row>
    <row r="62" spans="1:28" x14ac:dyDescent="0.15">
      <c r="A62" s="109" t="s">
        <v>40</v>
      </c>
      <c r="B62" s="109" t="s">
        <v>191</v>
      </c>
      <c r="C62" s="109">
        <v>2020</v>
      </c>
      <c r="D62" s="117" t="s">
        <v>192</v>
      </c>
      <c r="E62" s="109" t="s">
        <v>210</v>
      </c>
      <c r="F62" s="109" t="s">
        <v>211</v>
      </c>
      <c r="G62" s="109" t="s">
        <v>25</v>
      </c>
      <c r="H62" s="109" t="s">
        <v>164</v>
      </c>
      <c r="I62" s="109" t="s">
        <v>111</v>
      </c>
      <c r="J62" s="118" t="s">
        <v>27</v>
      </c>
      <c r="K62" s="118" t="s">
        <v>112</v>
      </c>
      <c r="L62" s="109">
        <v>1</v>
      </c>
      <c r="N62" s="109">
        <v>2</v>
      </c>
      <c r="O62" s="109">
        <v>0.5</v>
      </c>
      <c r="P62" s="109">
        <v>0.55000000000000004</v>
      </c>
      <c r="Q62" s="119">
        <f t="shared" si="1"/>
        <v>0.52500000000000002</v>
      </c>
      <c r="R62" s="109">
        <v>18.5</v>
      </c>
      <c r="S62" s="109">
        <v>158</v>
      </c>
      <c r="T62" s="120">
        <f t="shared" si="2"/>
        <v>18</v>
      </c>
      <c r="U62" s="109">
        <v>498</v>
      </c>
      <c r="V62" s="120">
        <f t="shared" si="0"/>
        <v>4482</v>
      </c>
      <c r="W62" s="109">
        <v>13</v>
      </c>
      <c r="X62" s="109" t="s">
        <v>35</v>
      </c>
      <c r="Y62" s="109" t="s">
        <v>43</v>
      </c>
      <c r="Z62" s="109" t="s">
        <v>55</v>
      </c>
      <c r="AA62" s="109" t="s">
        <v>76</v>
      </c>
      <c r="AB62" s="109" t="s">
        <v>195</v>
      </c>
    </row>
    <row r="63" spans="1:28" x14ac:dyDescent="0.15">
      <c r="A63" s="109" t="s">
        <v>40</v>
      </c>
      <c r="B63" s="109" t="s">
        <v>191</v>
      </c>
      <c r="C63" s="109">
        <v>2020</v>
      </c>
      <c r="D63" s="117" t="s">
        <v>192</v>
      </c>
      <c r="E63" s="109" t="s">
        <v>210</v>
      </c>
      <c r="F63" s="109" t="s">
        <v>211</v>
      </c>
      <c r="G63" s="109" t="s">
        <v>25</v>
      </c>
      <c r="H63" s="109" t="s">
        <v>164</v>
      </c>
      <c r="I63" s="109" t="s">
        <v>111</v>
      </c>
      <c r="J63" s="118" t="s">
        <v>27</v>
      </c>
      <c r="K63" s="118" t="s">
        <v>112</v>
      </c>
      <c r="L63" s="109">
        <v>2</v>
      </c>
      <c r="N63" s="109">
        <v>2</v>
      </c>
      <c r="O63" s="109">
        <v>0.6</v>
      </c>
      <c r="P63" s="109">
        <v>0.55000000000000004</v>
      </c>
      <c r="Q63" s="119">
        <f t="shared" si="1"/>
        <v>0.57499999999999996</v>
      </c>
      <c r="R63" s="109">
        <v>19.2</v>
      </c>
      <c r="S63" s="109">
        <v>174</v>
      </c>
      <c r="T63" s="120">
        <f t="shared" si="2"/>
        <v>18</v>
      </c>
      <c r="U63" s="109">
        <v>498</v>
      </c>
      <c r="V63" s="120">
        <f t="shared" si="0"/>
        <v>4482</v>
      </c>
      <c r="W63" s="109">
        <v>13</v>
      </c>
      <c r="X63" s="109" t="s">
        <v>35</v>
      </c>
      <c r="Y63" s="109" t="s">
        <v>43</v>
      </c>
      <c r="Z63" s="109" t="s">
        <v>55</v>
      </c>
      <c r="AA63" s="109" t="s">
        <v>76</v>
      </c>
      <c r="AB63" s="109" t="s">
        <v>195</v>
      </c>
    </row>
    <row r="64" spans="1:28" x14ac:dyDescent="0.15">
      <c r="A64" s="109" t="s">
        <v>40</v>
      </c>
      <c r="B64" s="109" t="s">
        <v>191</v>
      </c>
      <c r="C64" s="109">
        <v>2020</v>
      </c>
      <c r="D64" s="117" t="s">
        <v>192</v>
      </c>
      <c r="E64" s="109" t="s">
        <v>210</v>
      </c>
      <c r="F64" s="109" t="s">
        <v>211</v>
      </c>
      <c r="G64" s="109" t="s">
        <v>25</v>
      </c>
      <c r="H64" s="109" t="s">
        <v>164</v>
      </c>
      <c r="I64" s="109" t="s">
        <v>111</v>
      </c>
      <c r="J64" s="118" t="s">
        <v>27</v>
      </c>
      <c r="K64" s="118" t="s">
        <v>112</v>
      </c>
      <c r="L64" s="109">
        <v>3</v>
      </c>
      <c r="N64" s="109">
        <v>2</v>
      </c>
      <c r="O64" s="109">
        <v>0.65</v>
      </c>
      <c r="P64" s="109">
        <v>0.6</v>
      </c>
      <c r="Q64" s="119">
        <f t="shared" si="1"/>
        <v>0.625</v>
      </c>
      <c r="R64" s="109">
        <v>18.3</v>
      </c>
      <c r="S64" s="109">
        <v>160</v>
      </c>
      <c r="T64" s="120">
        <f t="shared" si="2"/>
        <v>18</v>
      </c>
      <c r="U64" s="109">
        <v>498</v>
      </c>
      <c r="V64" s="120">
        <f t="shared" si="0"/>
        <v>4482</v>
      </c>
      <c r="W64" s="109">
        <v>13</v>
      </c>
      <c r="X64" s="109" t="s">
        <v>35</v>
      </c>
      <c r="Y64" s="109" t="s">
        <v>43</v>
      </c>
      <c r="Z64" s="109" t="s">
        <v>55</v>
      </c>
      <c r="AA64" s="109" t="s">
        <v>76</v>
      </c>
      <c r="AB64" s="109" t="s">
        <v>195</v>
      </c>
    </row>
    <row r="65" spans="1:28" x14ac:dyDescent="0.15">
      <c r="A65" s="109" t="s">
        <v>40</v>
      </c>
      <c r="B65" s="109" t="s">
        <v>191</v>
      </c>
      <c r="C65" s="109">
        <v>2020</v>
      </c>
      <c r="D65" s="117" t="s">
        <v>192</v>
      </c>
      <c r="E65" s="109" t="s">
        <v>210</v>
      </c>
      <c r="F65" s="109" t="s">
        <v>211</v>
      </c>
      <c r="G65" s="109" t="s">
        <v>25</v>
      </c>
      <c r="H65" s="109" t="s">
        <v>164</v>
      </c>
      <c r="I65" s="109" t="s">
        <v>111</v>
      </c>
      <c r="J65" s="118" t="s">
        <v>27</v>
      </c>
      <c r="K65" s="118" t="s">
        <v>112</v>
      </c>
      <c r="L65" s="109">
        <v>1</v>
      </c>
      <c r="N65" s="109">
        <v>4</v>
      </c>
      <c r="O65" s="109">
        <v>0.25</v>
      </c>
      <c r="P65" s="109">
        <v>0.5</v>
      </c>
      <c r="Q65" s="119">
        <f t="shared" si="1"/>
        <v>0.375</v>
      </c>
      <c r="R65" s="109">
        <v>17.100000000000001</v>
      </c>
      <c r="S65" s="109">
        <v>85</v>
      </c>
      <c r="T65" s="120">
        <f t="shared" si="2"/>
        <v>36</v>
      </c>
      <c r="U65" s="109">
        <v>498</v>
      </c>
      <c r="V65" s="120">
        <f t="shared" si="0"/>
        <v>4482</v>
      </c>
      <c r="W65" s="109">
        <v>13</v>
      </c>
      <c r="X65" s="109" t="s">
        <v>35</v>
      </c>
      <c r="Y65" s="109" t="s">
        <v>43</v>
      </c>
      <c r="Z65" s="109" t="s">
        <v>55</v>
      </c>
      <c r="AA65" s="109" t="s">
        <v>76</v>
      </c>
      <c r="AB65" s="109" t="s">
        <v>195</v>
      </c>
    </row>
    <row r="66" spans="1:28" x14ac:dyDescent="0.15">
      <c r="A66" s="109" t="s">
        <v>40</v>
      </c>
      <c r="B66" s="109" t="s">
        <v>191</v>
      </c>
      <c r="C66" s="109">
        <v>2020</v>
      </c>
      <c r="D66" s="117" t="s">
        <v>192</v>
      </c>
      <c r="E66" s="109" t="s">
        <v>210</v>
      </c>
      <c r="F66" s="109" t="s">
        <v>211</v>
      </c>
      <c r="G66" s="109" t="s">
        <v>25</v>
      </c>
      <c r="H66" s="109" t="s">
        <v>164</v>
      </c>
      <c r="I66" s="109" t="s">
        <v>111</v>
      </c>
      <c r="J66" s="118" t="s">
        <v>27</v>
      </c>
      <c r="K66" s="118" t="s">
        <v>112</v>
      </c>
      <c r="L66" s="109">
        <v>2</v>
      </c>
      <c r="N66" s="109">
        <v>4</v>
      </c>
      <c r="O66" s="109">
        <v>0.55000000000000004</v>
      </c>
      <c r="P66" s="109">
        <v>0.55000000000000004</v>
      </c>
      <c r="Q66" s="119">
        <f t="shared" si="1"/>
        <v>0.55000000000000004</v>
      </c>
      <c r="R66" s="109">
        <v>17.2</v>
      </c>
      <c r="S66" s="109">
        <v>97</v>
      </c>
      <c r="T66" s="120">
        <f t="shared" si="2"/>
        <v>36</v>
      </c>
      <c r="U66" s="109">
        <v>498</v>
      </c>
      <c r="V66" s="120">
        <f t="shared" ref="V66:V129" si="3">IF(OR(N66="",U66="",T66=""),"",U66/N66*T66)</f>
        <v>4482</v>
      </c>
      <c r="W66" s="109">
        <v>13</v>
      </c>
      <c r="X66" s="109" t="s">
        <v>35</v>
      </c>
      <c r="Y66" s="109" t="s">
        <v>43</v>
      </c>
      <c r="Z66" s="109" t="s">
        <v>55</v>
      </c>
      <c r="AA66" s="109" t="s">
        <v>76</v>
      </c>
      <c r="AB66" s="109" t="s">
        <v>195</v>
      </c>
    </row>
    <row r="67" spans="1:28" x14ac:dyDescent="0.15">
      <c r="A67" s="109" t="s">
        <v>40</v>
      </c>
      <c r="B67" s="109" t="s">
        <v>191</v>
      </c>
      <c r="C67" s="109">
        <v>2020</v>
      </c>
      <c r="D67" s="117" t="s">
        <v>192</v>
      </c>
      <c r="E67" s="109" t="s">
        <v>210</v>
      </c>
      <c r="F67" s="109" t="s">
        <v>211</v>
      </c>
      <c r="G67" s="109" t="s">
        <v>25</v>
      </c>
      <c r="H67" s="109" t="s">
        <v>164</v>
      </c>
      <c r="I67" s="109" t="s">
        <v>111</v>
      </c>
      <c r="J67" s="118" t="s">
        <v>27</v>
      </c>
      <c r="K67" s="118" t="s">
        <v>112</v>
      </c>
      <c r="L67" s="109">
        <v>3</v>
      </c>
      <c r="N67" s="109">
        <v>4</v>
      </c>
      <c r="O67" s="109">
        <v>0.6</v>
      </c>
      <c r="P67" s="109">
        <v>0.5</v>
      </c>
      <c r="Q67" s="119">
        <f t="shared" ref="Q67:Q130" si="4">IF(OR(O67="",P67=""),"",AVERAGE(O67,P67))</f>
        <v>0.55000000000000004</v>
      </c>
      <c r="R67" s="109">
        <v>17.399999999999999</v>
      </c>
      <c r="S67" s="109">
        <v>98</v>
      </c>
      <c r="T67" s="120">
        <f t="shared" ref="T67:T130" si="5">IF(H67="","",IF(OR(H67="GREEN",H67="GK"),IF(S67&gt;=$AX$2,VLOOKUP(S67,$AX$2:$AY$12,2,1),""),IF(S67&gt;=$AZ$2,VLOOKUP(S67,$AZ$2:$BA$12,2,1),"")))</f>
        <v>36</v>
      </c>
      <c r="U67" s="109">
        <v>498</v>
      </c>
      <c r="V67" s="120">
        <f t="shared" si="3"/>
        <v>4482</v>
      </c>
      <c r="W67" s="109">
        <v>13</v>
      </c>
      <c r="X67" s="109" t="s">
        <v>35</v>
      </c>
      <c r="Y67" s="109" t="s">
        <v>43</v>
      </c>
      <c r="Z67" s="109" t="s">
        <v>55</v>
      </c>
      <c r="AA67" s="109" t="s">
        <v>76</v>
      </c>
      <c r="AB67" s="109" t="s">
        <v>195</v>
      </c>
    </row>
    <row r="68" spans="1:28" x14ac:dyDescent="0.15">
      <c r="A68" s="109" t="s">
        <v>40</v>
      </c>
      <c r="B68" s="109" t="s">
        <v>191</v>
      </c>
      <c r="C68" s="109">
        <v>2020</v>
      </c>
      <c r="D68" s="117" t="s">
        <v>192</v>
      </c>
      <c r="E68" s="109" t="s">
        <v>196</v>
      </c>
      <c r="F68" s="109" t="s">
        <v>197</v>
      </c>
      <c r="G68" s="109" t="s">
        <v>25</v>
      </c>
      <c r="H68" s="109" t="s">
        <v>113</v>
      </c>
      <c r="I68" s="109" t="s">
        <v>111</v>
      </c>
      <c r="J68" s="118" t="s">
        <v>27</v>
      </c>
      <c r="K68" s="118" t="s">
        <v>112</v>
      </c>
      <c r="L68" s="109">
        <v>1</v>
      </c>
      <c r="N68" s="109">
        <v>1</v>
      </c>
      <c r="O68" s="109">
        <v>0.8</v>
      </c>
      <c r="P68" s="109">
        <v>0.9</v>
      </c>
      <c r="Q68" s="119">
        <f t="shared" si="4"/>
        <v>0.85000000000000009</v>
      </c>
      <c r="R68" s="109">
        <v>16.600000000000001</v>
      </c>
      <c r="S68" s="109">
        <v>114</v>
      </c>
      <c r="T68" s="120">
        <f t="shared" si="5"/>
        <v>30</v>
      </c>
      <c r="U68" s="109">
        <v>117</v>
      </c>
      <c r="V68" s="120">
        <f t="shared" si="3"/>
        <v>3510</v>
      </c>
      <c r="W68" s="109">
        <v>11</v>
      </c>
      <c r="X68" s="109" t="s">
        <v>35</v>
      </c>
      <c r="Y68" s="109" t="s">
        <v>76</v>
      </c>
      <c r="Z68" s="109" t="s">
        <v>29</v>
      </c>
      <c r="AA68" s="109" t="s">
        <v>55</v>
      </c>
      <c r="AB68" s="109" t="s">
        <v>195</v>
      </c>
    </row>
    <row r="69" spans="1:28" x14ac:dyDescent="0.15">
      <c r="A69" s="109" t="s">
        <v>40</v>
      </c>
      <c r="B69" s="109" t="s">
        <v>191</v>
      </c>
      <c r="C69" s="109">
        <v>2020</v>
      </c>
      <c r="D69" s="117" t="s">
        <v>192</v>
      </c>
      <c r="E69" s="109" t="s">
        <v>196</v>
      </c>
      <c r="F69" s="109" t="s">
        <v>197</v>
      </c>
      <c r="G69" s="109" t="s">
        <v>25</v>
      </c>
      <c r="H69" s="109" t="s">
        <v>113</v>
      </c>
      <c r="I69" s="109" t="s">
        <v>111</v>
      </c>
      <c r="J69" s="118" t="s">
        <v>27</v>
      </c>
      <c r="K69" s="118" t="s">
        <v>112</v>
      </c>
      <c r="L69" s="109">
        <v>2</v>
      </c>
      <c r="N69" s="109">
        <v>1</v>
      </c>
      <c r="O69" s="109">
        <v>0.75</v>
      </c>
      <c r="P69" s="109">
        <v>0.7</v>
      </c>
      <c r="Q69" s="119">
        <f t="shared" si="4"/>
        <v>0.72499999999999998</v>
      </c>
      <c r="R69" s="109">
        <v>16.899999999999999</v>
      </c>
      <c r="S69" s="109">
        <v>118</v>
      </c>
      <c r="T69" s="120">
        <f t="shared" si="5"/>
        <v>30</v>
      </c>
      <c r="U69" s="109">
        <v>117</v>
      </c>
      <c r="V69" s="120">
        <f t="shared" si="3"/>
        <v>3510</v>
      </c>
      <c r="W69" s="109">
        <v>11</v>
      </c>
      <c r="X69" s="109" t="s">
        <v>35</v>
      </c>
      <c r="Y69" s="109" t="s">
        <v>76</v>
      </c>
      <c r="Z69" s="109" t="s">
        <v>29</v>
      </c>
      <c r="AA69" s="109" t="s">
        <v>55</v>
      </c>
      <c r="AB69" s="109" t="s">
        <v>195</v>
      </c>
    </row>
    <row r="70" spans="1:28" x14ac:dyDescent="0.15">
      <c r="A70" s="109" t="s">
        <v>40</v>
      </c>
      <c r="B70" s="109" t="s">
        <v>191</v>
      </c>
      <c r="C70" s="109">
        <v>2020</v>
      </c>
      <c r="D70" s="117" t="s">
        <v>192</v>
      </c>
      <c r="E70" s="109" t="s">
        <v>196</v>
      </c>
      <c r="F70" s="109" t="s">
        <v>197</v>
      </c>
      <c r="G70" s="109" t="s">
        <v>25</v>
      </c>
      <c r="H70" s="109" t="s">
        <v>113</v>
      </c>
      <c r="I70" s="109" t="s">
        <v>111</v>
      </c>
      <c r="J70" s="118" t="s">
        <v>27</v>
      </c>
      <c r="K70" s="118" t="s">
        <v>112</v>
      </c>
      <c r="L70" s="109">
        <v>3</v>
      </c>
      <c r="N70" s="109">
        <v>1</v>
      </c>
      <c r="O70" s="109">
        <v>0.85</v>
      </c>
      <c r="P70" s="109">
        <v>0.85</v>
      </c>
      <c r="Q70" s="119">
        <f t="shared" si="4"/>
        <v>0.85</v>
      </c>
      <c r="R70" s="109">
        <v>16.399999999999999</v>
      </c>
      <c r="S70" s="109">
        <v>112</v>
      </c>
      <c r="T70" s="120">
        <f t="shared" si="5"/>
        <v>33</v>
      </c>
      <c r="U70" s="109">
        <v>117</v>
      </c>
      <c r="V70" s="120">
        <f t="shared" si="3"/>
        <v>3861</v>
      </c>
      <c r="W70" s="109">
        <v>11</v>
      </c>
      <c r="X70" s="109" t="s">
        <v>35</v>
      </c>
      <c r="Y70" s="109" t="s">
        <v>76</v>
      </c>
      <c r="Z70" s="109" t="s">
        <v>29</v>
      </c>
      <c r="AA70" s="109" t="s">
        <v>55</v>
      </c>
      <c r="AB70" s="109" t="s">
        <v>195</v>
      </c>
    </row>
    <row r="71" spans="1:28" x14ac:dyDescent="0.15">
      <c r="A71" s="109" t="s">
        <v>40</v>
      </c>
      <c r="B71" s="109" t="s">
        <v>191</v>
      </c>
      <c r="C71" s="109">
        <v>2020</v>
      </c>
      <c r="D71" s="117" t="s">
        <v>192</v>
      </c>
      <c r="E71" s="109" t="s">
        <v>196</v>
      </c>
      <c r="F71" s="109" t="s">
        <v>197</v>
      </c>
      <c r="G71" s="109" t="s">
        <v>25</v>
      </c>
      <c r="H71" s="109" t="s">
        <v>113</v>
      </c>
      <c r="I71" s="109" t="s">
        <v>111</v>
      </c>
      <c r="J71" s="118" t="s">
        <v>27</v>
      </c>
      <c r="K71" s="118" t="s">
        <v>112</v>
      </c>
      <c r="L71" s="109">
        <v>1</v>
      </c>
      <c r="N71" s="109">
        <v>8</v>
      </c>
      <c r="O71" s="109">
        <v>0.6</v>
      </c>
      <c r="P71" s="109">
        <v>0.55000000000000004</v>
      </c>
      <c r="Q71" s="119">
        <f t="shared" si="4"/>
        <v>0.57499999999999996</v>
      </c>
      <c r="R71" s="109">
        <v>13.2</v>
      </c>
      <c r="S71" s="109">
        <v>76</v>
      </c>
      <c r="T71" s="120">
        <f t="shared" si="5"/>
        <v>39</v>
      </c>
      <c r="U71" s="109">
        <v>447</v>
      </c>
      <c r="V71" s="120">
        <f t="shared" si="3"/>
        <v>2179.125</v>
      </c>
      <c r="W71" s="109">
        <v>11</v>
      </c>
      <c r="X71" s="109" t="s">
        <v>35</v>
      </c>
      <c r="Y71" s="109" t="s">
        <v>76</v>
      </c>
      <c r="Z71" s="109" t="s">
        <v>29</v>
      </c>
      <c r="AA71" s="109" t="s">
        <v>55</v>
      </c>
      <c r="AB71" s="109" t="s">
        <v>195</v>
      </c>
    </row>
    <row r="72" spans="1:28" x14ac:dyDescent="0.15">
      <c r="A72" s="109" t="s">
        <v>40</v>
      </c>
      <c r="B72" s="109" t="s">
        <v>191</v>
      </c>
      <c r="C72" s="109">
        <v>2020</v>
      </c>
      <c r="D72" s="117" t="s">
        <v>192</v>
      </c>
      <c r="E72" s="109" t="s">
        <v>196</v>
      </c>
      <c r="F72" s="109" t="s">
        <v>197</v>
      </c>
      <c r="G72" s="109" t="s">
        <v>25</v>
      </c>
      <c r="H72" s="109" t="s">
        <v>113</v>
      </c>
      <c r="I72" s="109" t="s">
        <v>111</v>
      </c>
      <c r="J72" s="118" t="s">
        <v>27</v>
      </c>
      <c r="K72" s="118" t="s">
        <v>112</v>
      </c>
      <c r="L72" s="109">
        <v>2</v>
      </c>
      <c r="N72" s="109">
        <v>8</v>
      </c>
      <c r="O72" s="109">
        <v>0.55000000000000004</v>
      </c>
      <c r="P72" s="109">
        <v>0.55000000000000004</v>
      </c>
      <c r="Q72" s="119">
        <f t="shared" si="4"/>
        <v>0.55000000000000004</v>
      </c>
      <c r="R72" s="109">
        <v>13.5</v>
      </c>
      <c r="S72" s="109">
        <v>82</v>
      </c>
      <c r="T72" s="120">
        <f t="shared" si="5"/>
        <v>39</v>
      </c>
      <c r="U72" s="109">
        <v>447</v>
      </c>
      <c r="V72" s="120">
        <f t="shared" si="3"/>
        <v>2179.125</v>
      </c>
      <c r="W72" s="109">
        <v>11</v>
      </c>
      <c r="X72" s="109" t="s">
        <v>35</v>
      </c>
      <c r="Y72" s="109" t="s">
        <v>76</v>
      </c>
      <c r="Z72" s="109" t="s">
        <v>29</v>
      </c>
      <c r="AA72" s="109" t="s">
        <v>55</v>
      </c>
      <c r="AB72" s="109" t="s">
        <v>195</v>
      </c>
    </row>
    <row r="73" spans="1:28" x14ac:dyDescent="0.15">
      <c r="A73" s="109" t="s">
        <v>40</v>
      </c>
      <c r="B73" s="109" t="s">
        <v>191</v>
      </c>
      <c r="C73" s="109">
        <v>2020</v>
      </c>
      <c r="D73" s="117" t="s">
        <v>192</v>
      </c>
      <c r="E73" s="109" t="s">
        <v>196</v>
      </c>
      <c r="F73" s="109" t="s">
        <v>197</v>
      </c>
      <c r="G73" s="109" t="s">
        <v>25</v>
      </c>
      <c r="H73" s="109" t="s">
        <v>113</v>
      </c>
      <c r="I73" s="109" t="s">
        <v>111</v>
      </c>
      <c r="J73" s="118" t="s">
        <v>27</v>
      </c>
      <c r="K73" s="118" t="s">
        <v>112</v>
      </c>
      <c r="L73" s="109">
        <v>3</v>
      </c>
      <c r="N73" s="109">
        <v>8</v>
      </c>
      <c r="O73" s="109">
        <v>0.25</v>
      </c>
      <c r="P73" s="109">
        <v>0.65</v>
      </c>
      <c r="Q73" s="119">
        <f t="shared" si="4"/>
        <v>0.45</v>
      </c>
      <c r="R73" s="109">
        <v>12.2</v>
      </c>
      <c r="S73" s="109">
        <v>73</v>
      </c>
      <c r="T73" s="120">
        <f t="shared" si="5"/>
        <v>42</v>
      </c>
      <c r="U73" s="109">
        <v>447</v>
      </c>
      <c r="V73" s="120">
        <f t="shared" si="3"/>
        <v>2346.75</v>
      </c>
      <c r="W73" s="109">
        <v>11</v>
      </c>
      <c r="X73" s="109" t="s">
        <v>35</v>
      </c>
      <c r="Y73" s="109" t="s">
        <v>76</v>
      </c>
      <c r="Z73" s="109" t="s">
        <v>29</v>
      </c>
      <c r="AA73" s="109" t="s">
        <v>55</v>
      </c>
      <c r="AB73" s="109" t="s">
        <v>195</v>
      </c>
    </row>
    <row r="74" spans="1:28" x14ac:dyDescent="0.15">
      <c r="A74" s="109" t="s">
        <v>40</v>
      </c>
      <c r="B74" s="109" t="s">
        <v>191</v>
      </c>
      <c r="C74" s="109">
        <v>2020</v>
      </c>
      <c r="D74" s="117" t="s">
        <v>192</v>
      </c>
      <c r="E74" s="109" t="s">
        <v>196</v>
      </c>
      <c r="F74" s="109" t="s">
        <v>197</v>
      </c>
      <c r="G74" s="109" t="s">
        <v>25</v>
      </c>
      <c r="H74" s="109" t="s">
        <v>164</v>
      </c>
      <c r="I74" s="109" t="s">
        <v>111</v>
      </c>
      <c r="J74" s="118" t="s">
        <v>27</v>
      </c>
      <c r="K74" s="118" t="s">
        <v>112</v>
      </c>
      <c r="L74" s="109">
        <v>1</v>
      </c>
      <c r="N74" s="109">
        <v>1</v>
      </c>
      <c r="O74" s="109">
        <v>0.9</v>
      </c>
      <c r="P74" s="109">
        <v>0.95</v>
      </c>
      <c r="Q74" s="119">
        <f t="shared" si="4"/>
        <v>0.92500000000000004</v>
      </c>
      <c r="R74" s="109">
        <v>15.5</v>
      </c>
      <c r="S74" s="109">
        <v>130</v>
      </c>
      <c r="T74" s="120">
        <f t="shared" si="5"/>
        <v>25</v>
      </c>
      <c r="U74" s="109">
        <v>117</v>
      </c>
      <c r="V74" s="120">
        <f t="shared" si="3"/>
        <v>2925</v>
      </c>
      <c r="W74" s="109">
        <v>11</v>
      </c>
      <c r="X74" s="109" t="s">
        <v>35</v>
      </c>
      <c r="Y74" s="109" t="s">
        <v>76</v>
      </c>
      <c r="Z74" s="109" t="s">
        <v>29</v>
      </c>
      <c r="AA74" s="109" t="s">
        <v>55</v>
      </c>
      <c r="AB74" s="109" t="s">
        <v>195</v>
      </c>
    </row>
    <row r="75" spans="1:28" x14ac:dyDescent="0.15">
      <c r="A75" s="109" t="s">
        <v>40</v>
      </c>
      <c r="B75" s="109" t="s">
        <v>191</v>
      </c>
      <c r="C75" s="109">
        <v>2020</v>
      </c>
      <c r="D75" s="117" t="s">
        <v>192</v>
      </c>
      <c r="E75" s="109" t="s">
        <v>196</v>
      </c>
      <c r="F75" s="109" t="s">
        <v>197</v>
      </c>
      <c r="G75" s="109" t="s">
        <v>25</v>
      </c>
      <c r="H75" s="109" t="s">
        <v>164</v>
      </c>
      <c r="I75" s="109" t="s">
        <v>111</v>
      </c>
      <c r="J75" s="118" t="s">
        <v>27</v>
      </c>
      <c r="K75" s="118" t="s">
        <v>112</v>
      </c>
      <c r="L75" s="109">
        <v>2</v>
      </c>
      <c r="N75" s="109">
        <v>1</v>
      </c>
      <c r="O75" s="109">
        <v>0.8</v>
      </c>
      <c r="P75" s="109">
        <v>0.75</v>
      </c>
      <c r="Q75" s="119">
        <f t="shared" si="4"/>
        <v>0.77500000000000002</v>
      </c>
      <c r="R75" s="109">
        <v>16.7</v>
      </c>
      <c r="S75" s="109">
        <v>138</v>
      </c>
      <c r="T75" s="120">
        <f t="shared" si="5"/>
        <v>22</v>
      </c>
      <c r="U75" s="109">
        <v>117</v>
      </c>
      <c r="V75" s="120">
        <f t="shared" si="3"/>
        <v>2574</v>
      </c>
      <c r="W75" s="109">
        <v>11</v>
      </c>
      <c r="X75" s="109" t="s">
        <v>35</v>
      </c>
      <c r="Y75" s="109" t="s">
        <v>76</v>
      </c>
      <c r="Z75" s="109" t="s">
        <v>29</v>
      </c>
      <c r="AA75" s="109" t="s">
        <v>55</v>
      </c>
      <c r="AB75" s="109" t="s">
        <v>195</v>
      </c>
    </row>
    <row r="76" spans="1:28" x14ac:dyDescent="0.15">
      <c r="A76" s="109" t="s">
        <v>40</v>
      </c>
      <c r="B76" s="109" t="s">
        <v>191</v>
      </c>
      <c r="C76" s="109">
        <v>2020</v>
      </c>
      <c r="D76" s="117" t="s">
        <v>192</v>
      </c>
      <c r="E76" s="109" t="s">
        <v>196</v>
      </c>
      <c r="F76" s="109" t="s">
        <v>197</v>
      </c>
      <c r="G76" s="109" t="s">
        <v>25</v>
      </c>
      <c r="H76" s="109" t="s">
        <v>164</v>
      </c>
      <c r="I76" s="109" t="s">
        <v>111</v>
      </c>
      <c r="J76" s="118" t="s">
        <v>27</v>
      </c>
      <c r="K76" s="118" t="s">
        <v>112</v>
      </c>
      <c r="L76" s="109">
        <v>3</v>
      </c>
      <c r="N76" s="109">
        <v>1</v>
      </c>
      <c r="O76" s="109">
        <v>0.85</v>
      </c>
      <c r="P76" s="109">
        <v>0.8</v>
      </c>
      <c r="Q76" s="119">
        <f t="shared" si="4"/>
        <v>0.82499999999999996</v>
      </c>
      <c r="R76" s="109">
        <v>16.3</v>
      </c>
      <c r="S76" s="109">
        <v>136</v>
      </c>
      <c r="T76" s="120">
        <f t="shared" si="5"/>
        <v>25</v>
      </c>
      <c r="U76" s="109">
        <v>117</v>
      </c>
      <c r="V76" s="120">
        <f t="shared" si="3"/>
        <v>2925</v>
      </c>
      <c r="W76" s="109">
        <v>11</v>
      </c>
      <c r="X76" s="109" t="s">
        <v>35</v>
      </c>
      <c r="Y76" s="109" t="s">
        <v>76</v>
      </c>
      <c r="Z76" s="109" t="s">
        <v>29</v>
      </c>
      <c r="AA76" s="109" t="s">
        <v>55</v>
      </c>
      <c r="AB76" s="109" t="s">
        <v>195</v>
      </c>
    </row>
    <row r="77" spans="1:28" x14ac:dyDescent="0.15">
      <c r="A77" s="109" t="s">
        <v>40</v>
      </c>
      <c r="B77" s="109" t="s">
        <v>191</v>
      </c>
      <c r="C77" s="109">
        <v>2020</v>
      </c>
      <c r="D77" s="117" t="s">
        <v>192</v>
      </c>
      <c r="E77" s="109" t="s">
        <v>196</v>
      </c>
      <c r="F77" s="109" t="s">
        <v>197</v>
      </c>
      <c r="G77" s="109" t="s">
        <v>25</v>
      </c>
      <c r="H77" s="109" t="s">
        <v>164</v>
      </c>
      <c r="I77" s="109" t="s">
        <v>111</v>
      </c>
      <c r="J77" s="118" t="s">
        <v>27</v>
      </c>
      <c r="K77" s="118" t="s">
        <v>112</v>
      </c>
      <c r="L77" s="109">
        <v>1</v>
      </c>
      <c r="N77" s="109">
        <v>4</v>
      </c>
      <c r="O77" s="109">
        <v>0.8</v>
      </c>
      <c r="P77" s="109">
        <v>0.75</v>
      </c>
      <c r="Q77" s="119">
        <f t="shared" si="4"/>
        <v>0.77500000000000002</v>
      </c>
      <c r="R77" s="109">
        <v>15.2</v>
      </c>
      <c r="S77" s="109">
        <v>91</v>
      </c>
      <c r="T77" s="120">
        <f t="shared" si="5"/>
        <v>36</v>
      </c>
      <c r="U77" s="109">
        <v>397</v>
      </c>
      <c r="V77" s="120">
        <f t="shared" si="3"/>
        <v>3573</v>
      </c>
      <c r="W77" s="109">
        <v>11</v>
      </c>
      <c r="X77" s="109" t="s">
        <v>35</v>
      </c>
      <c r="Y77" s="109" t="s">
        <v>76</v>
      </c>
      <c r="Z77" s="109" t="s">
        <v>29</v>
      </c>
      <c r="AA77" s="109" t="s">
        <v>55</v>
      </c>
      <c r="AB77" s="109" t="s">
        <v>195</v>
      </c>
    </row>
    <row r="78" spans="1:28" x14ac:dyDescent="0.15">
      <c r="A78" s="109" t="s">
        <v>40</v>
      </c>
      <c r="B78" s="109" t="s">
        <v>191</v>
      </c>
      <c r="C78" s="109">
        <v>2020</v>
      </c>
      <c r="D78" s="117" t="s">
        <v>192</v>
      </c>
      <c r="E78" s="109" t="s">
        <v>196</v>
      </c>
      <c r="F78" s="109" t="s">
        <v>197</v>
      </c>
      <c r="G78" s="109" t="s">
        <v>25</v>
      </c>
      <c r="H78" s="109" t="s">
        <v>164</v>
      </c>
      <c r="I78" s="109" t="s">
        <v>111</v>
      </c>
      <c r="J78" s="118" t="s">
        <v>27</v>
      </c>
      <c r="K78" s="118" t="s">
        <v>112</v>
      </c>
      <c r="L78" s="109">
        <v>2</v>
      </c>
      <c r="N78" s="109">
        <v>4</v>
      </c>
      <c r="O78" s="109">
        <v>0.9</v>
      </c>
      <c r="P78" s="109">
        <v>0.85</v>
      </c>
      <c r="Q78" s="119">
        <f t="shared" si="4"/>
        <v>0.875</v>
      </c>
      <c r="R78" s="109">
        <v>14.1</v>
      </c>
      <c r="S78" s="109">
        <v>89</v>
      </c>
      <c r="T78" s="120">
        <f t="shared" si="5"/>
        <v>36</v>
      </c>
      <c r="U78" s="109">
        <v>397</v>
      </c>
      <c r="V78" s="120">
        <f t="shared" si="3"/>
        <v>3573</v>
      </c>
      <c r="W78" s="109">
        <v>11</v>
      </c>
      <c r="X78" s="109" t="s">
        <v>35</v>
      </c>
      <c r="Y78" s="109" t="s">
        <v>76</v>
      </c>
      <c r="Z78" s="109" t="s">
        <v>29</v>
      </c>
      <c r="AA78" s="109" t="s">
        <v>55</v>
      </c>
      <c r="AB78" s="109" t="s">
        <v>195</v>
      </c>
    </row>
    <row r="79" spans="1:28" x14ac:dyDescent="0.15">
      <c r="A79" s="109" t="s">
        <v>40</v>
      </c>
      <c r="B79" s="109" t="s">
        <v>191</v>
      </c>
      <c r="C79" s="109">
        <v>2020</v>
      </c>
      <c r="D79" s="117" t="s">
        <v>192</v>
      </c>
      <c r="E79" s="109" t="s">
        <v>196</v>
      </c>
      <c r="F79" s="109" t="s">
        <v>197</v>
      </c>
      <c r="G79" s="109" t="s">
        <v>25</v>
      </c>
      <c r="H79" s="109" t="s">
        <v>164</v>
      </c>
      <c r="I79" s="109" t="s">
        <v>111</v>
      </c>
      <c r="J79" s="118" t="s">
        <v>27</v>
      </c>
      <c r="K79" s="118" t="s">
        <v>112</v>
      </c>
      <c r="L79" s="109">
        <v>3</v>
      </c>
      <c r="N79" s="109">
        <v>4</v>
      </c>
      <c r="O79" s="109">
        <v>0.85</v>
      </c>
      <c r="P79" s="109">
        <v>0.85</v>
      </c>
      <c r="Q79" s="119">
        <f t="shared" si="4"/>
        <v>0.85</v>
      </c>
      <c r="R79" s="109">
        <v>14.3</v>
      </c>
      <c r="S79" s="109">
        <v>89</v>
      </c>
      <c r="T79" s="120">
        <f t="shared" si="5"/>
        <v>36</v>
      </c>
      <c r="U79" s="109">
        <v>397</v>
      </c>
      <c r="V79" s="120">
        <f t="shared" si="3"/>
        <v>3573</v>
      </c>
      <c r="W79" s="109">
        <v>11</v>
      </c>
      <c r="X79" s="109" t="s">
        <v>35</v>
      </c>
      <c r="Y79" s="109" t="s">
        <v>76</v>
      </c>
      <c r="Z79" s="109" t="s">
        <v>29</v>
      </c>
      <c r="AA79" s="109" t="s">
        <v>55</v>
      </c>
      <c r="AB79" s="109" t="s">
        <v>195</v>
      </c>
    </row>
    <row r="80" spans="1:28" x14ac:dyDescent="0.15">
      <c r="A80" s="109" t="s">
        <v>40</v>
      </c>
      <c r="B80" s="109" t="s">
        <v>191</v>
      </c>
      <c r="C80" s="109">
        <v>2020</v>
      </c>
      <c r="D80" s="117" t="s">
        <v>192</v>
      </c>
      <c r="E80" s="109" t="s">
        <v>213</v>
      </c>
      <c r="F80" s="109" t="s">
        <v>197</v>
      </c>
      <c r="G80" s="109" t="s">
        <v>25</v>
      </c>
      <c r="H80" s="109" t="s">
        <v>113</v>
      </c>
      <c r="I80" s="109" t="s">
        <v>111</v>
      </c>
      <c r="J80" s="118" t="s">
        <v>27</v>
      </c>
      <c r="K80" s="118" t="s">
        <v>112</v>
      </c>
      <c r="L80" s="109">
        <v>1</v>
      </c>
      <c r="N80" s="109">
        <v>1</v>
      </c>
      <c r="O80" s="109">
        <v>0.95</v>
      </c>
      <c r="P80" s="109">
        <v>0.9</v>
      </c>
      <c r="Q80" s="119">
        <f t="shared" si="4"/>
        <v>0.92500000000000004</v>
      </c>
      <c r="R80" s="109">
        <v>17.5</v>
      </c>
      <c r="S80" s="109">
        <v>142</v>
      </c>
      <c r="T80" s="120">
        <f t="shared" si="5"/>
        <v>22</v>
      </c>
      <c r="U80" s="109">
        <v>128</v>
      </c>
      <c r="V80" s="120">
        <f t="shared" si="3"/>
        <v>2816</v>
      </c>
      <c r="W80" s="109">
        <v>20</v>
      </c>
      <c r="X80" s="109" t="s">
        <v>35</v>
      </c>
      <c r="Y80" s="109" t="s">
        <v>55</v>
      </c>
      <c r="Z80" s="109" t="s">
        <v>43</v>
      </c>
      <c r="AA80" s="109" t="s">
        <v>82</v>
      </c>
      <c r="AB80" s="109" t="s">
        <v>195</v>
      </c>
    </row>
    <row r="81" spans="1:28" x14ac:dyDescent="0.15">
      <c r="A81" s="109" t="s">
        <v>40</v>
      </c>
      <c r="B81" s="109" t="s">
        <v>191</v>
      </c>
      <c r="C81" s="109">
        <v>2020</v>
      </c>
      <c r="D81" s="117" t="s">
        <v>192</v>
      </c>
      <c r="E81" s="109" t="s">
        <v>213</v>
      </c>
      <c r="F81" s="109" t="s">
        <v>197</v>
      </c>
      <c r="G81" s="109" t="s">
        <v>25</v>
      </c>
      <c r="H81" s="109" t="s">
        <v>113</v>
      </c>
      <c r="I81" s="109" t="s">
        <v>111</v>
      </c>
      <c r="J81" s="118" t="s">
        <v>27</v>
      </c>
      <c r="K81" s="118" t="s">
        <v>112</v>
      </c>
      <c r="L81" s="109">
        <v>2</v>
      </c>
      <c r="N81" s="109">
        <v>1</v>
      </c>
      <c r="O81" s="109">
        <v>1</v>
      </c>
      <c r="P81" s="109">
        <v>1</v>
      </c>
      <c r="Q81" s="119">
        <f t="shared" si="4"/>
        <v>1</v>
      </c>
      <c r="R81" s="109">
        <v>16.8</v>
      </c>
      <c r="S81" s="109">
        <v>136</v>
      </c>
      <c r="T81" s="120">
        <f t="shared" si="5"/>
        <v>25</v>
      </c>
      <c r="U81" s="109">
        <v>128</v>
      </c>
      <c r="V81" s="120">
        <f t="shared" si="3"/>
        <v>3200</v>
      </c>
      <c r="W81" s="109">
        <v>20</v>
      </c>
      <c r="X81" s="109" t="s">
        <v>35</v>
      </c>
      <c r="Y81" s="109" t="s">
        <v>55</v>
      </c>
      <c r="Z81" s="109" t="s">
        <v>43</v>
      </c>
      <c r="AA81" s="109" t="s">
        <v>82</v>
      </c>
      <c r="AB81" s="109" t="s">
        <v>195</v>
      </c>
    </row>
    <row r="82" spans="1:28" x14ac:dyDescent="0.15">
      <c r="A82" s="109" t="s">
        <v>40</v>
      </c>
      <c r="B82" s="109" t="s">
        <v>191</v>
      </c>
      <c r="C82" s="109">
        <v>2020</v>
      </c>
      <c r="D82" s="117" t="s">
        <v>192</v>
      </c>
      <c r="E82" s="109" t="s">
        <v>213</v>
      </c>
      <c r="F82" s="109" t="s">
        <v>197</v>
      </c>
      <c r="G82" s="109" t="s">
        <v>25</v>
      </c>
      <c r="H82" s="109" t="s">
        <v>113</v>
      </c>
      <c r="I82" s="109" t="s">
        <v>111</v>
      </c>
      <c r="J82" s="118" t="s">
        <v>27</v>
      </c>
      <c r="K82" s="118" t="s">
        <v>112</v>
      </c>
      <c r="L82" s="109">
        <v>3</v>
      </c>
      <c r="N82" s="109">
        <v>1</v>
      </c>
      <c r="O82" s="109">
        <v>0.9</v>
      </c>
      <c r="P82" s="109">
        <v>0.9</v>
      </c>
      <c r="Q82" s="119">
        <f t="shared" si="4"/>
        <v>0.9</v>
      </c>
      <c r="R82" s="109">
        <v>17.3</v>
      </c>
      <c r="S82" s="109">
        <v>142</v>
      </c>
      <c r="T82" s="120">
        <f t="shared" si="5"/>
        <v>22</v>
      </c>
      <c r="U82" s="109">
        <v>128</v>
      </c>
      <c r="V82" s="120">
        <f t="shared" si="3"/>
        <v>2816</v>
      </c>
      <c r="W82" s="109">
        <v>20</v>
      </c>
      <c r="X82" s="109" t="s">
        <v>35</v>
      </c>
      <c r="Y82" s="109" t="s">
        <v>55</v>
      </c>
      <c r="Z82" s="109" t="s">
        <v>43</v>
      </c>
      <c r="AA82" s="109" t="s">
        <v>82</v>
      </c>
      <c r="AB82" s="109" t="s">
        <v>195</v>
      </c>
    </row>
    <row r="83" spans="1:28" x14ac:dyDescent="0.15">
      <c r="A83" s="109" t="s">
        <v>40</v>
      </c>
      <c r="B83" s="109" t="s">
        <v>191</v>
      </c>
      <c r="C83" s="109">
        <v>2020</v>
      </c>
      <c r="D83" s="117" t="s">
        <v>192</v>
      </c>
      <c r="E83" s="109" t="s">
        <v>213</v>
      </c>
      <c r="F83" s="109" t="s">
        <v>197</v>
      </c>
      <c r="G83" s="109" t="s">
        <v>25</v>
      </c>
      <c r="H83" s="109" t="s">
        <v>113</v>
      </c>
      <c r="I83" s="109" t="s">
        <v>111</v>
      </c>
      <c r="J83" s="118" t="s">
        <v>27</v>
      </c>
      <c r="K83" s="118" t="s">
        <v>112</v>
      </c>
      <c r="L83" s="109">
        <v>1</v>
      </c>
      <c r="N83" s="109">
        <v>4</v>
      </c>
      <c r="O83" s="109">
        <v>0.65</v>
      </c>
      <c r="P83" s="109">
        <v>0.5</v>
      </c>
      <c r="Q83" s="119">
        <f t="shared" si="4"/>
        <v>0.57499999999999996</v>
      </c>
      <c r="R83" s="109">
        <v>14.5</v>
      </c>
      <c r="S83" s="109">
        <v>100</v>
      </c>
      <c r="T83" s="120">
        <f t="shared" si="5"/>
        <v>33</v>
      </c>
      <c r="U83" s="109">
        <v>398</v>
      </c>
      <c r="V83" s="120">
        <f t="shared" si="3"/>
        <v>3283.5</v>
      </c>
      <c r="W83" s="109">
        <v>20</v>
      </c>
      <c r="X83" s="109" t="s">
        <v>35</v>
      </c>
      <c r="Y83" s="109" t="s">
        <v>55</v>
      </c>
      <c r="Z83" s="109" t="s">
        <v>43</v>
      </c>
      <c r="AA83" s="109" t="s">
        <v>82</v>
      </c>
      <c r="AB83" s="109" t="s">
        <v>195</v>
      </c>
    </row>
    <row r="84" spans="1:28" x14ac:dyDescent="0.15">
      <c r="A84" s="109" t="s">
        <v>40</v>
      </c>
      <c r="B84" s="109" t="s">
        <v>191</v>
      </c>
      <c r="C84" s="109">
        <v>2020</v>
      </c>
      <c r="D84" s="117" t="s">
        <v>192</v>
      </c>
      <c r="E84" s="109" t="s">
        <v>213</v>
      </c>
      <c r="F84" s="109" t="s">
        <v>197</v>
      </c>
      <c r="G84" s="109" t="s">
        <v>25</v>
      </c>
      <c r="H84" s="109" t="s">
        <v>113</v>
      </c>
      <c r="I84" s="109" t="s">
        <v>111</v>
      </c>
      <c r="J84" s="118" t="s">
        <v>27</v>
      </c>
      <c r="K84" s="118" t="s">
        <v>112</v>
      </c>
      <c r="L84" s="109">
        <v>2</v>
      </c>
      <c r="N84" s="109">
        <v>4</v>
      </c>
      <c r="O84" s="109">
        <v>0.25</v>
      </c>
      <c r="P84" s="109">
        <v>0.25</v>
      </c>
      <c r="Q84" s="119">
        <f t="shared" si="4"/>
        <v>0.25</v>
      </c>
      <c r="R84" s="109">
        <v>13.4</v>
      </c>
      <c r="S84" s="109">
        <v>99</v>
      </c>
      <c r="T84" s="120">
        <f t="shared" si="5"/>
        <v>33</v>
      </c>
      <c r="U84" s="109">
        <v>398</v>
      </c>
      <c r="V84" s="120">
        <f t="shared" si="3"/>
        <v>3283.5</v>
      </c>
      <c r="W84" s="109">
        <v>20</v>
      </c>
      <c r="X84" s="109" t="s">
        <v>35</v>
      </c>
      <c r="Y84" s="109" t="s">
        <v>55</v>
      </c>
      <c r="Z84" s="109" t="s">
        <v>43</v>
      </c>
      <c r="AA84" s="109" t="s">
        <v>82</v>
      </c>
      <c r="AB84" s="109" t="s">
        <v>195</v>
      </c>
    </row>
    <row r="85" spans="1:28" x14ac:dyDescent="0.15">
      <c r="A85" s="109" t="s">
        <v>40</v>
      </c>
      <c r="B85" s="109" t="s">
        <v>191</v>
      </c>
      <c r="C85" s="109">
        <v>2020</v>
      </c>
      <c r="D85" s="117" t="s">
        <v>192</v>
      </c>
      <c r="E85" s="109" t="s">
        <v>213</v>
      </c>
      <c r="F85" s="109" t="s">
        <v>197</v>
      </c>
      <c r="G85" s="109" t="s">
        <v>25</v>
      </c>
      <c r="H85" s="109" t="s">
        <v>113</v>
      </c>
      <c r="I85" s="109" t="s">
        <v>111</v>
      </c>
      <c r="J85" s="118" t="s">
        <v>27</v>
      </c>
      <c r="K85" s="118" t="s">
        <v>112</v>
      </c>
      <c r="L85" s="109">
        <v>3</v>
      </c>
      <c r="N85" s="109">
        <v>4</v>
      </c>
      <c r="O85" s="109">
        <v>0.5</v>
      </c>
      <c r="P85" s="109">
        <v>0.25</v>
      </c>
      <c r="Q85" s="119">
        <f t="shared" si="4"/>
        <v>0.375</v>
      </c>
      <c r="R85" s="109">
        <v>15.2</v>
      </c>
      <c r="S85" s="109">
        <v>108</v>
      </c>
      <c r="T85" s="120">
        <f t="shared" si="5"/>
        <v>33</v>
      </c>
      <c r="U85" s="109">
        <v>398</v>
      </c>
      <c r="V85" s="120">
        <f t="shared" si="3"/>
        <v>3283.5</v>
      </c>
      <c r="W85" s="109">
        <v>20</v>
      </c>
      <c r="X85" s="109" t="s">
        <v>35</v>
      </c>
      <c r="Y85" s="109" t="s">
        <v>55</v>
      </c>
      <c r="Z85" s="109" t="s">
        <v>43</v>
      </c>
      <c r="AA85" s="109" t="s">
        <v>82</v>
      </c>
      <c r="AB85" s="109" t="s">
        <v>195</v>
      </c>
    </row>
    <row r="86" spans="1:28" x14ac:dyDescent="0.15">
      <c r="A86" s="109" t="s">
        <v>40</v>
      </c>
      <c r="B86" s="109" t="s">
        <v>191</v>
      </c>
      <c r="C86" s="109">
        <v>2020</v>
      </c>
      <c r="D86" s="117" t="s">
        <v>192</v>
      </c>
      <c r="E86" s="109" t="s">
        <v>213</v>
      </c>
      <c r="F86" s="109" t="s">
        <v>197</v>
      </c>
      <c r="G86" s="109" t="s">
        <v>25</v>
      </c>
      <c r="H86" s="109" t="s">
        <v>113</v>
      </c>
      <c r="I86" s="109" t="s">
        <v>111</v>
      </c>
      <c r="J86" s="118" t="s">
        <v>27</v>
      </c>
      <c r="K86" s="118" t="s">
        <v>112</v>
      </c>
      <c r="L86" s="109">
        <v>1</v>
      </c>
      <c r="N86" s="109">
        <v>10</v>
      </c>
      <c r="O86" s="109">
        <v>0.75</v>
      </c>
      <c r="P86" s="109">
        <v>0.7</v>
      </c>
      <c r="Q86" s="119">
        <f t="shared" si="4"/>
        <v>0.72499999999999998</v>
      </c>
      <c r="R86" s="109">
        <v>15.3</v>
      </c>
      <c r="S86" s="109">
        <v>80</v>
      </c>
      <c r="T86" s="120">
        <f t="shared" si="5"/>
        <v>39</v>
      </c>
      <c r="U86" s="109">
        <v>398</v>
      </c>
      <c r="V86" s="120">
        <f t="shared" si="3"/>
        <v>1552.1999999999998</v>
      </c>
      <c r="W86" s="109">
        <v>20</v>
      </c>
      <c r="X86" s="109" t="s">
        <v>35</v>
      </c>
      <c r="Y86" s="109" t="s">
        <v>55</v>
      </c>
      <c r="Z86" s="109" t="s">
        <v>43</v>
      </c>
      <c r="AA86" s="109" t="s">
        <v>82</v>
      </c>
      <c r="AB86" s="109" t="s">
        <v>195</v>
      </c>
    </row>
    <row r="87" spans="1:28" x14ac:dyDescent="0.15">
      <c r="A87" s="109" t="s">
        <v>40</v>
      </c>
      <c r="B87" s="109" t="s">
        <v>191</v>
      </c>
      <c r="C87" s="109">
        <v>2020</v>
      </c>
      <c r="D87" s="117" t="s">
        <v>192</v>
      </c>
      <c r="E87" s="109" t="s">
        <v>213</v>
      </c>
      <c r="F87" s="109" t="s">
        <v>197</v>
      </c>
      <c r="G87" s="109" t="s">
        <v>25</v>
      </c>
      <c r="H87" s="109" t="s">
        <v>113</v>
      </c>
      <c r="I87" s="109" t="s">
        <v>111</v>
      </c>
      <c r="J87" s="118" t="s">
        <v>27</v>
      </c>
      <c r="K87" s="118" t="s">
        <v>112</v>
      </c>
      <c r="L87" s="109">
        <v>2</v>
      </c>
      <c r="N87" s="109">
        <v>10</v>
      </c>
      <c r="O87" s="109">
        <v>0.8</v>
      </c>
      <c r="P87" s="109">
        <v>0.65</v>
      </c>
      <c r="Q87" s="119">
        <f t="shared" si="4"/>
        <v>0.72500000000000009</v>
      </c>
      <c r="R87" s="109">
        <v>15.5</v>
      </c>
      <c r="S87" s="109">
        <v>81</v>
      </c>
      <c r="T87" s="120">
        <f t="shared" si="5"/>
        <v>39</v>
      </c>
      <c r="U87" s="109">
        <v>398</v>
      </c>
      <c r="V87" s="120">
        <f t="shared" si="3"/>
        <v>1552.1999999999998</v>
      </c>
      <c r="W87" s="109">
        <v>20</v>
      </c>
      <c r="X87" s="109" t="s">
        <v>35</v>
      </c>
      <c r="Y87" s="109" t="s">
        <v>55</v>
      </c>
      <c r="Z87" s="109" t="s">
        <v>43</v>
      </c>
      <c r="AA87" s="109" t="s">
        <v>82</v>
      </c>
      <c r="AB87" s="109" t="s">
        <v>195</v>
      </c>
    </row>
    <row r="88" spans="1:28" x14ac:dyDescent="0.15">
      <c r="A88" s="109" t="s">
        <v>40</v>
      </c>
      <c r="B88" s="109" t="s">
        <v>191</v>
      </c>
      <c r="C88" s="109">
        <v>2020</v>
      </c>
      <c r="D88" s="117" t="s">
        <v>192</v>
      </c>
      <c r="E88" s="109" t="s">
        <v>213</v>
      </c>
      <c r="F88" s="109" t="s">
        <v>197</v>
      </c>
      <c r="G88" s="109" t="s">
        <v>25</v>
      </c>
      <c r="H88" s="109" t="s">
        <v>113</v>
      </c>
      <c r="I88" s="109" t="s">
        <v>111</v>
      </c>
      <c r="J88" s="118" t="s">
        <v>27</v>
      </c>
      <c r="K88" s="118" t="s">
        <v>112</v>
      </c>
      <c r="L88" s="109">
        <v>3</v>
      </c>
      <c r="N88" s="109">
        <v>10</v>
      </c>
      <c r="O88" s="109">
        <v>0.75</v>
      </c>
      <c r="P88" s="109">
        <v>0.8</v>
      </c>
      <c r="Q88" s="119">
        <f t="shared" si="4"/>
        <v>0.77500000000000002</v>
      </c>
      <c r="R88" s="109">
        <v>14.8</v>
      </c>
      <c r="S88" s="109">
        <v>77</v>
      </c>
      <c r="T88" s="120">
        <f t="shared" si="5"/>
        <v>39</v>
      </c>
      <c r="U88" s="109">
        <v>398</v>
      </c>
      <c r="V88" s="120">
        <f t="shared" si="3"/>
        <v>1552.1999999999998</v>
      </c>
      <c r="W88" s="109">
        <v>20</v>
      </c>
      <c r="X88" s="109" t="s">
        <v>35</v>
      </c>
      <c r="Y88" s="109" t="s">
        <v>55</v>
      </c>
      <c r="Z88" s="109" t="s">
        <v>43</v>
      </c>
      <c r="AA88" s="109" t="s">
        <v>82</v>
      </c>
      <c r="AB88" s="109" t="s">
        <v>195</v>
      </c>
    </row>
    <row r="89" spans="1:28" x14ac:dyDescent="0.15">
      <c r="A89" s="109" t="s">
        <v>40</v>
      </c>
      <c r="B89" s="109" t="s">
        <v>191</v>
      </c>
      <c r="C89" s="109">
        <v>2020</v>
      </c>
      <c r="D89" s="117" t="s">
        <v>192</v>
      </c>
      <c r="E89" s="109" t="s">
        <v>213</v>
      </c>
      <c r="F89" s="109" t="s">
        <v>197</v>
      </c>
      <c r="G89" s="109" t="s">
        <v>25</v>
      </c>
      <c r="H89" s="109" t="s">
        <v>113</v>
      </c>
      <c r="I89" s="109" t="s">
        <v>166</v>
      </c>
      <c r="J89" s="118" t="s">
        <v>27</v>
      </c>
      <c r="K89" s="118" t="s">
        <v>112</v>
      </c>
      <c r="L89" s="109">
        <v>1</v>
      </c>
      <c r="N89" s="109">
        <v>4</v>
      </c>
      <c r="O89" s="109">
        <v>0.7</v>
      </c>
      <c r="P89" s="109">
        <v>0.65</v>
      </c>
      <c r="Q89" s="119">
        <f t="shared" si="4"/>
        <v>0.67500000000000004</v>
      </c>
      <c r="R89" s="109">
        <v>16.8</v>
      </c>
      <c r="S89" s="109">
        <v>104</v>
      </c>
      <c r="T89" s="120">
        <f t="shared" si="5"/>
        <v>33</v>
      </c>
      <c r="U89" s="109">
        <v>498</v>
      </c>
      <c r="V89" s="120">
        <f t="shared" si="3"/>
        <v>4108.5</v>
      </c>
      <c r="W89" s="109">
        <v>20</v>
      </c>
      <c r="X89" s="109" t="s">
        <v>35</v>
      </c>
      <c r="Y89" s="109" t="s">
        <v>55</v>
      </c>
      <c r="Z89" s="109" t="s">
        <v>43</v>
      </c>
      <c r="AA89" s="109" t="s">
        <v>82</v>
      </c>
      <c r="AB89" s="109" t="s">
        <v>195</v>
      </c>
    </row>
    <row r="90" spans="1:28" x14ac:dyDescent="0.15">
      <c r="A90" s="109" t="s">
        <v>40</v>
      </c>
      <c r="B90" s="109" t="s">
        <v>191</v>
      </c>
      <c r="C90" s="109">
        <v>2020</v>
      </c>
      <c r="D90" s="117" t="s">
        <v>192</v>
      </c>
      <c r="E90" s="109" t="s">
        <v>213</v>
      </c>
      <c r="F90" s="109" t="s">
        <v>197</v>
      </c>
      <c r="G90" s="109" t="s">
        <v>25</v>
      </c>
      <c r="H90" s="109" t="s">
        <v>113</v>
      </c>
      <c r="I90" s="109" t="s">
        <v>166</v>
      </c>
      <c r="J90" s="118" t="s">
        <v>27</v>
      </c>
      <c r="K90" s="118" t="s">
        <v>112</v>
      </c>
      <c r="L90" s="109">
        <v>2</v>
      </c>
      <c r="N90" s="109">
        <v>4</v>
      </c>
      <c r="O90" s="109">
        <v>0.7</v>
      </c>
      <c r="P90" s="109">
        <v>0.7</v>
      </c>
      <c r="Q90" s="119">
        <f t="shared" si="4"/>
        <v>0.7</v>
      </c>
      <c r="R90" s="109">
        <v>16.600000000000001</v>
      </c>
      <c r="S90" s="109">
        <v>102</v>
      </c>
      <c r="T90" s="120">
        <f t="shared" si="5"/>
        <v>33</v>
      </c>
      <c r="U90" s="109">
        <v>498</v>
      </c>
      <c r="V90" s="120">
        <f t="shared" si="3"/>
        <v>4108.5</v>
      </c>
      <c r="W90" s="109">
        <v>20</v>
      </c>
      <c r="X90" s="109" t="s">
        <v>35</v>
      </c>
      <c r="Y90" s="109" t="s">
        <v>55</v>
      </c>
      <c r="Z90" s="109" t="s">
        <v>43</v>
      </c>
      <c r="AA90" s="109" t="s">
        <v>82</v>
      </c>
      <c r="AB90" s="109" t="s">
        <v>195</v>
      </c>
    </row>
    <row r="91" spans="1:28" x14ac:dyDescent="0.15">
      <c r="A91" s="109" t="s">
        <v>40</v>
      </c>
      <c r="B91" s="109" t="s">
        <v>191</v>
      </c>
      <c r="C91" s="109">
        <v>2020</v>
      </c>
      <c r="D91" s="117" t="s">
        <v>192</v>
      </c>
      <c r="E91" s="109" t="s">
        <v>213</v>
      </c>
      <c r="F91" s="109" t="s">
        <v>197</v>
      </c>
      <c r="G91" s="109" t="s">
        <v>25</v>
      </c>
      <c r="H91" s="109" t="s">
        <v>113</v>
      </c>
      <c r="I91" s="109" t="s">
        <v>166</v>
      </c>
      <c r="J91" s="118" t="s">
        <v>27</v>
      </c>
      <c r="K91" s="118" t="s">
        <v>112</v>
      </c>
      <c r="L91" s="109">
        <v>3</v>
      </c>
      <c r="N91" s="109">
        <v>4</v>
      </c>
      <c r="O91" s="109">
        <v>0.65</v>
      </c>
      <c r="P91" s="109">
        <v>0.75</v>
      </c>
      <c r="Q91" s="119">
        <f t="shared" si="4"/>
        <v>0.7</v>
      </c>
      <c r="R91" s="109">
        <v>16.399999999999999</v>
      </c>
      <c r="S91" s="109">
        <v>99</v>
      </c>
      <c r="T91" s="120">
        <f t="shared" si="5"/>
        <v>33</v>
      </c>
      <c r="U91" s="109">
        <v>498</v>
      </c>
      <c r="V91" s="120">
        <f t="shared" si="3"/>
        <v>4108.5</v>
      </c>
      <c r="W91" s="109">
        <v>20</v>
      </c>
      <c r="X91" s="109" t="s">
        <v>35</v>
      </c>
      <c r="Y91" s="109" t="s">
        <v>55</v>
      </c>
      <c r="Z91" s="109" t="s">
        <v>43</v>
      </c>
      <c r="AA91" s="109" t="s">
        <v>82</v>
      </c>
      <c r="AB91" s="109" t="s">
        <v>195</v>
      </c>
    </row>
    <row r="92" spans="1:28" x14ac:dyDescent="0.15">
      <c r="A92" s="109" t="s">
        <v>40</v>
      </c>
      <c r="B92" s="109" t="s">
        <v>191</v>
      </c>
      <c r="C92" s="109">
        <v>2020</v>
      </c>
      <c r="D92" s="117" t="s">
        <v>192</v>
      </c>
      <c r="E92" s="109" t="s">
        <v>213</v>
      </c>
      <c r="F92" s="109" t="s">
        <v>197</v>
      </c>
      <c r="G92" s="109" t="s">
        <v>25</v>
      </c>
      <c r="H92" s="109" t="s">
        <v>165</v>
      </c>
      <c r="I92" s="109" t="s">
        <v>111</v>
      </c>
      <c r="J92" s="118" t="s">
        <v>27</v>
      </c>
      <c r="K92" s="118" t="s">
        <v>112</v>
      </c>
      <c r="L92" s="109">
        <v>1</v>
      </c>
      <c r="N92" s="109">
        <v>5</v>
      </c>
      <c r="O92" s="109">
        <v>0.95</v>
      </c>
      <c r="P92" s="109">
        <v>0.85</v>
      </c>
      <c r="Q92" s="119">
        <f t="shared" si="4"/>
        <v>0.89999999999999991</v>
      </c>
      <c r="R92" s="109">
        <v>18.100000000000001</v>
      </c>
      <c r="S92" s="109">
        <v>92</v>
      </c>
      <c r="T92" s="120">
        <f t="shared" si="5"/>
        <v>36</v>
      </c>
      <c r="U92" s="109">
        <v>398</v>
      </c>
      <c r="V92" s="120">
        <f t="shared" si="3"/>
        <v>2865.6</v>
      </c>
      <c r="W92" s="109">
        <v>20</v>
      </c>
      <c r="X92" s="109" t="s">
        <v>35</v>
      </c>
      <c r="Y92" s="109" t="s">
        <v>55</v>
      </c>
      <c r="Z92" s="109" t="s">
        <v>43</v>
      </c>
      <c r="AA92" s="109" t="s">
        <v>82</v>
      </c>
      <c r="AB92" s="109" t="s">
        <v>195</v>
      </c>
    </row>
    <row r="93" spans="1:28" x14ac:dyDescent="0.15">
      <c r="A93" s="109" t="s">
        <v>40</v>
      </c>
      <c r="B93" s="109" t="s">
        <v>191</v>
      </c>
      <c r="C93" s="109">
        <v>2020</v>
      </c>
      <c r="D93" s="117" t="s">
        <v>192</v>
      </c>
      <c r="E93" s="109" t="s">
        <v>213</v>
      </c>
      <c r="F93" s="109" t="s">
        <v>197</v>
      </c>
      <c r="G93" s="109" t="s">
        <v>25</v>
      </c>
      <c r="H93" s="109" t="s">
        <v>165</v>
      </c>
      <c r="I93" s="109" t="s">
        <v>111</v>
      </c>
      <c r="J93" s="118" t="s">
        <v>27</v>
      </c>
      <c r="K93" s="118" t="s">
        <v>112</v>
      </c>
      <c r="L93" s="109">
        <v>2</v>
      </c>
      <c r="N93" s="109">
        <v>5</v>
      </c>
      <c r="O93" s="109">
        <v>1</v>
      </c>
      <c r="P93" s="109">
        <v>0.9</v>
      </c>
      <c r="Q93" s="119">
        <f t="shared" si="4"/>
        <v>0.95</v>
      </c>
      <c r="R93" s="109">
        <v>17.8</v>
      </c>
      <c r="S93" s="109">
        <v>87</v>
      </c>
      <c r="T93" s="120">
        <f t="shared" si="5"/>
        <v>36</v>
      </c>
      <c r="U93" s="109">
        <v>398</v>
      </c>
      <c r="V93" s="120">
        <f t="shared" si="3"/>
        <v>2865.6</v>
      </c>
      <c r="W93" s="109">
        <v>20</v>
      </c>
      <c r="X93" s="109" t="s">
        <v>35</v>
      </c>
      <c r="Y93" s="109" t="s">
        <v>55</v>
      </c>
      <c r="Z93" s="109" t="s">
        <v>43</v>
      </c>
      <c r="AA93" s="109" t="s">
        <v>82</v>
      </c>
      <c r="AB93" s="109" t="s">
        <v>195</v>
      </c>
    </row>
    <row r="94" spans="1:28" x14ac:dyDescent="0.15">
      <c r="A94" s="109" t="s">
        <v>40</v>
      </c>
      <c r="B94" s="109" t="s">
        <v>191</v>
      </c>
      <c r="C94" s="109">
        <v>2020</v>
      </c>
      <c r="D94" s="117" t="s">
        <v>192</v>
      </c>
      <c r="E94" s="109" t="s">
        <v>213</v>
      </c>
      <c r="F94" s="109" t="s">
        <v>197</v>
      </c>
      <c r="G94" s="109" t="s">
        <v>25</v>
      </c>
      <c r="H94" s="109" t="s">
        <v>165</v>
      </c>
      <c r="I94" s="109" t="s">
        <v>111</v>
      </c>
      <c r="J94" s="118" t="s">
        <v>27</v>
      </c>
      <c r="K94" s="118" t="s">
        <v>112</v>
      </c>
      <c r="L94" s="109">
        <v>3</v>
      </c>
      <c r="N94" s="109">
        <v>5</v>
      </c>
      <c r="O94" s="109">
        <v>0.95</v>
      </c>
      <c r="P94" s="109">
        <v>1.05</v>
      </c>
      <c r="Q94" s="119">
        <f t="shared" si="4"/>
        <v>1</v>
      </c>
      <c r="R94" s="109">
        <v>17.5</v>
      </c>
      <c r="S94" s="109">
        <v>85</v>
      </c>
      <c r="T94" s="120">
        <f t="shared" si="5"/>
        <v>36</v>
      </c>
      <c r="U94" s="109">
        <v>398</v>
      </c>
      <c r="V94" s="120">
        <f t="shared" si="3"/>
        <v>2865.6</v>
      </c>
      <c r="W94" s="109">
        <v>20</v>
      </c>
      <c r="X94" s="109" t="s">
        <v>35</v>
      </c>
      <c r="Y94" s="109" t="s">
        <v>55</v>
      </c>
      <c r="Z94" s="109" t="s">
        <v>43</v>
      </c>
      <c r="AA94" s="109" t="s">
        <v>82</v>
      </c>
      <c r="AB94" s="109" t="s">
        <v>195</v>
      </c>
    </row>
    <row r="95" spans="1:28" x14ac:dyDescent="0.15">
      <c r="A95" s="109" t="s">
        <v>40</v>
      </c>
      <c r="B95" s="109" t="s">
        <v>191</v>
      </c>
      <c r="C95" s="109">
        <v>2020</v>
      </c>
      <c r="D95" s="117" t="s">
        <v>192</v>
      </c>
      <c r="E95" s="109" t="s">
        <v>213</v>
      </c>
      <c r="F95" s="109" t="s">
        <v>197</v>
      </c>
      <c r="G95" s="109" t="s">
        <v>25</v>
      </c>
      <c r="H95" s="109" t="s">
        <v>164</v>
      </c>
      <c r="I95" s="109" t="s">
        <v>111</v>
      </c>
      <c r="J95" s="118" t="s">
        <v>27</v>
      </c>
      <c r="K95" s="118" t="s">
        <v>112</v>
      </c>
      <c r="L95" s="109">
        <v>1</v>
      </c>
      <c r="N95" s="109">
        <v>4</v>
      </c>
      <c r="O95" s="109">
        <v>0.7</v>
      </c>
      <c r="P95" s="109">
        <v>0.8</v>
      </c>
      <c r="Q95" s="119">
        <f t="shared" si="4"/>
        <v>0.75</v>
      </c>
      <c r="R95" s="109">
        <v>16.899999999999999</v>
      </c>
      <c r="S95" s="109">
        <v>104</v>
      </c>
      <c r="T95" s="120">
        <f t="shared" si="5"/>
        <v>33</v>
      </c>
      <c r="U95" s="109">
        <v>398</v>
      </c>
      <c r="V95" s="120">
        <f t="shared" si="3"/>
        <v>3283.5</v>
      </c>
      <c r="W95" s="109">
        <v>20</v>
      </c>
      <c r="X95" s="109" t="s">
        <v>35</v>
      </c>
      <c r="Y95" s="109" t="s">
        <v>55</v>
      </c>
      <c r="Z95" s="109" t="s">
        <v>43</v>
      </c>
      <c r="AA95" s="109" t="s">
        <v>82</v>
      </c>
      <c r="AB95" s="109" t="s">
        <v>195</v>
      </c>
    </row>
    <row r="96" spans="1:28" x14ac:dyDescent="0.15">
      <c r="A96" s="109" t="s">
        <v>40</v>
      </c>
      <c r="B96" s="109" t="s">
        <v>191</v>
      </c>
      <c r="C96" s="109">
        <v>2020</v>
      </c>
      <c r="D96" s="117" t="s">
        <v>192</v>
      </c>
      <c r="E96" s="109" t="s">
        <v>213</v>
      </c>
      <c r="F96" s="109" t="s">
        <v>197</v>
      </c>
      <c r="G96" s="109" t="s">
        <v>25</v>
      </c>
      <c r="H96" s="109" t="s">
        <v>164</v>
      </c>
      <c r="I96" s="109" t="s">
        <v>111</v>
      </c>
      <c r="J96" s="118" t="s">
        <v>27</v>
      </c>
      <c r="K96" s="118" t="s">
        <v>112</v>
      </c>
      <c r="L96" s="109">
        <v>2</v>
      </c>
      <c r="N96" s="109">
        <v>4</v>
      </c>
      <c r="O96" s="109">
        <v>0.8</v>
      </c>
      <c r="P96" s="109">
        <v>0.8</v>
      </c>
      <c r="Q96" s="119">
        <f t="shared" si="4"/>
        <v>0.8</v>
      </c>
      <c r="R96" s="109">
        <v>17.5</v>
      </c>
      <c r="S96" s="109">
        <v>104</v>
      </c>
      <c r="T96" s="120">
        <f t="shared" si="5"/>
        <v>33</v>
      </c>
      <c r="U96" s="109">
        <v>398</v>
      </c>
      <c r="V96" s="120">
        <f t="shared" si="3"/>
        <v>3283.5</v>
      </c>
      <c r="W96" s="109">
        <v>20</v>
      </c>
      <c r="X96" s="109" t="s">
        <v>35</v>
      </c>
      <c r="Y96" s="109" t="s">
        <v>55</v>
      </c>
      <c r="Z96" s="109" t="s">
        <v>43</v>
      </c>
      <c r="AA96" s="109" t="s">
        <v>82</v>
      </c>
      <c r="AB96" s="109" t="s">
        <v>195</v>
      </c>
    </row>
    <row r="97" spans="1:28" x14ac:dyDescent="0.15">
      <c r="A97" s="109" t="s">
        <v>40</v>
      </c>
      <c r="B97" s="109" t="s">
        <v>191</v>
      </c>
      <c r="C97" s="109">
        <v>2020</v>
      </c>
      <c r="D97" s="117" t="s">
        <v>192</v>
      </c>
      <c r="E97" s="109" t="s">
        <v>213</v>
      </c>
      <c r="F97" s="109" t="s">
        <v>197</v>
      </c>
      <c r="G97" s="109" t="s">
        <v>25</v>
      </c>
      <c r="H97" s="109" t="s">
        <v>164</v>
      </c>
      <c r="I97" s="109" t="s">
        <v>111</v>
      </c>
      <c r="J97" s="118" t="s">
        <v>27</v>
      </c>
      <c r="K97" s="118" t="s">
        <v>112</v>
      </c>
      <c r="L97" s="109">
        <v>3</v>
      </c>
      <c r="N97" s="109">
        <v>4</v>
      </c>
      <c r="O97" s="109">
        <v>0.75</v>
      </c>
      <c r="P97" s="109">
        <v>0.85</v>
      </c>
      <c r="Q97" s="119">
        <f t="shared" si="4"/>
        <v>0.8</v>
      </c>
      <c r="R97" s="109">
        <v>17.2</v>
      </c>
      <c r="S97" s="109">
        <v>97</v>
      </c>
      <c r="T97" s="120">
        <f t="shared" si="5"/>
        <v>36</v>
      </c>
      <c r="U97" s="109">
        <v>398</v>
      </c>
      <c r="V97" s="120">
        <f t="shared" si="3"/>
        <v>3582</v>
      </c>
      <c r="W97" s="109">
        <v>20</v>
      </c>
      <c r="X97" s="109" t="s">
        <v>35</v>
      </c>
      <c r="Y97" s="109" t="s">
        <v>55</v>
      </c>
      <c r="Z97" s="109" t="s">
        <v>43</v>
      </c>
      <c r="AA97" s="109" t="s">
        <v>82</v>
      </c>
      <c r="AB97" s="109" t="s">
        <v>195</v>
      </c>
    </row>
    <row r="98" spans="1:28" x14ac:dyDescent="0.15">
      <c r="A98" s="109" t="s">
        <v>40</v>
      </c>
      <c r="B98" s="109" t="s">
        <v>191</v>
      </c>
      <c r="C98" s="109">
        <v>2020</v>
      </c>
      <c r="D98" s="117" t="s">
        <v>192</v>
      </c>
      <c r="E98" s="109" t="s">
        <v>213</v>
      </c>
      <c r="F98" s="109" t="s">
        <v>197</v>
      </c>
      <c r="G98" s="109" t="s">
        <v>25</v>
      </c>
      <c r="H98" s="109" t="s">
        <v>164</v>
      </c>
      <c r="I98" s="109" t="s">
        <v>111</v>
      </c>
      <c r="J98" s="118" t="s">
        <v>27</v>
      </c>
      <c r="K98" s="118" t="s">
        <v>112</v>
      </c>
      <c r="L98" s="109">
        <v>1</v>
      </c>
      <c r="N98" s="109">
        <v>3</v>
      </c>
      <c r="O98" s="109">
        <v>0.85</v>
      </c>
      <c r="P98" s="109">
        <v>0.9</v>
      </c>
      <c r="Q98" s="119">
        <f t="shared" si="4"/>
        <v>0.875</v>
      </c>
      <c r="R98" s="109">
        <v>17</v>
      </c>
      <c r="S98" s="109">
        <v>122</v>
      </c>
      <c r="T98" s="120">
        <f t="shared" si="5"/>
        <v>27</v>
      </c>
      <c r="U98" s="109">
        <v>358</v>
      </c>
      <c r="V98" s="120">
        <f t="shared" si="3"/>
        <v>3222</v>
      </c>
      <c r="W98" s="109">
        <v>20</v>
      </c>
      <c r="X98" s="109" t="s">
        <v>35</v>
      </c>
      <c r="Y98" s="109" t="s">
        <v>55</v>
      </c>
      <c r="Z98" s="109" t="s">
        <v>43</v>
      </c>
      <c r="AA98" s="109" t="s">
        <v>82</v>
      </c>
      <c r="AB98" s="109" t="s">
        <v>195</v>
      </c>
    </row>
    <row r="99" spans="1:28" x14ac:dyDescent="0.15">
      <c r="A99" s="109" t="s">
        <v>40</v>
      </c>
      <c r="B99" s="109" t="s">
        <v>191</v>
      </c>
      <c r="C99" s="109">
        <v>2020</v>
      </c>
      <c r="D99" s="117" t="s">
        <v>192</v>
      </c>
      <c r="E99" s="109" t="s">
        <v>213</v>
      </c>
      <c r="F99" s="109" t="s">
        <v>197</v>
      </c>
      <c r="G99" s="109" t="s">
        <v>25</v>
      </c>
      <c r="H99" s="109" t="s">
        <v>164</v>
      </c>
      <c r="I99" s="109" t="s">
        <v>111</v>
      </c>
      <c r="J99" s="118" t="s">
        <v>27</v>
      </c>
      <c r="K99" s="118" t="s">
        <v>112</v>
      </c>
      <c r="L99" s="109">
        <v>2</v>
      </c>
      <c r="N99" s="109">
        <v>3</v>
      </c>
      <c r="O99" s="109">
        <v>0.8</v>
      </c>
      <c r="P99" s="109">
        <v>0.85</v>
      </c>
      <c r="Q99" s="119">
        <f t="shared" si="4"/>
        <v>0.82499999999999996</v>
      </c>
      <c r="R99" s="109">
        <v>16.5</v>
      </c>
      <c r="S99" s="109">
        <v>118</v>
      </c>
      <c r="T99" s="120">
        <f t="shared" si="5"/>
        <v>30</v>
      </c>
      <c r="U99" s="109">
        <v>358</v>
      </c>
      <c r="V99" s="120">
        <f t="shared" si="3"/>
        <v>3580</v>
      </c>
      <c r="W99" s="109">
        <v>20</v>
      </c>
      <c r="X99" s="109" t="s">
        <v>35</v>
      </c>
      <c r="Y99" s="109" t="s">
        <v>55</v>
      </c>
      <c r="Z99" s="109" t="s">
        <v>43</v>
      </c>
      <c r="AA99" s="109" t="s">
        <v>82</v>
      </c>
      <c r="AB99" s="109" t="s">
        <v>195</v>
      </c>
    </row>
    <row r="100" spans="1:28" x14ac:dyDescent="0.15">
      <c r="A100" s="109" t="s">
        <v>40</v>
      </c>
      <c r="B100" s="109" t="s">
        <v>191</v>
      </c>
      <c r="C100" s="109">
        <v>2020</v>
      </c>
      <c r="D100" s="117" t="s">
        <v>192</v>
      </c>
      <c r="E100" s="109" t="s">
        <v>213</v>
      </c>
      <c r="F100" s="109" t="s">
        <v>197</v>
      </c>
      <c r="G100" s="109" t="s">
        <v>25</v>
      </c>
      <c r="H100" s="109" t="s">
        <v>164</v>
      </c>
      <c r="I100" s="109" t="s">
        <v>111</v>
      </c>
      <c r="J100" s="118" t="s">
        <v>27</v>
      </c>
      <c r="K100" s="118" t="s">
        <v>112</v>
      </c>
      <c r="L100" s="109">
        <v>3</v>
      </c>
      <c r="N100" s="109">
        <v>3</v>
      </c>
      <c r="O100" s="109">
        <v>0.75</v>
      </c>
      <c r="P100" s="109">
        <v>0.8</v>
      </c>
      <c r="Q100" s="119">
        <f t="shared" si="4"/>
        <v>0.77500000000000002</v>
      </c>
      <c r="R100" s="109">
        <v>17.2</v>
      </c>
      <c r="S100" s="109">
        <v>124</v>
      </c>
      <c r="T100" s="120">
        <f t="shared" si="5"/>
        <v>27</v>
      </c>
      <c r="U100" s="109">
        <v>358</v>
      </c>
      <c r="V100" s="120">
        <f t="shared" si="3"/>
        <v>3222</v>
      </c>
      <c r="W100" s="109">
        <v>20</v>
      </c>
      <c r="X100" s="109" t="s">
        <v>35</v>
      </c>
      <c r="Y100" s="109" t="s">
        <v>55</v>
      </c>
      <c r="Z100" s="109" t="s">
        <v>43</v>
      </c>
      <c r="AA100" s="109" t="s">
        <v>82</v>
      </c>
      <c r="AB100" s="109" t="s">
        <v>195</v>
      </c>
    </row>
    <row r="101" spans="1:28" x14ac:dyDescent="0.15">
      <c r="A101" s="109" t="s">
        <v>40</v>
      </c>
      <c r="B101" s="109" t="s">
        <v>191</v>
      </c>
      <c r="C101" s="109">
        <v>2020</v>
      </c>
      <c r="D101" s="117" t="s">
        <v>192</v>
      </c>
      <c r="E101" s="109" t="s">
        <v>213</v>
      </c>
      <c r="F101" s="109" t="s">
        <v>197</v>
      </c>
      <c r="G101" s="109" t="s">
        <v>25</v>
      </c>
      <c r="H101" s="109" t="s">
        <v>164</v>
      </c>
      <c r="I101" s="109" t="s">
        <v>111</v>
      </c>
      <c r="J101" s="118" t="s">
        <v>27</v>
      </c>
      <c r="K101" s="118" t="s">
        <v>112</v>
      </c>
      <c r="L101" s="109">
        <v>1</v>
      </c>
      <c r="N101" s="109">
        <v>8</v>
      </c>
      <c r="O101" s="109">
        <v>0.6</v>
      </c>
      <c r="P101" s="109">
        <v>0.65</v>
      </c>
      <c r="Q101" s="119">
        <f t="shared" si="4"/>
        <v>0.625</v>
      </c>
      <c r="R101" s="109">
        <v>16.8</v>
      </c>
      <c r="S101" s="109">
        <v>100</v>
      </c>
      <c r="T101" s="120">
        <f t="shared" si="5"/>
        <v>33</v>
      </c>
      <c r="U101" s="109">
        <v>780</v>
      </c>
      <c r="V101" s="120">
        <f t="shared" si="3"/>
        <v>3217.5</v>
      </c>
      <c r="W101" s="109">
        <v>20</v>
      </c>
      <c r="X101" s="109" t="s">
        <v>35</v>
      </c>
      <c r="Y101" s="109" t="s">
        <v>55</v>
      </c>
      <c r="Z101" s="109" t="s">
        <v>43</v>
      </c>
      <c r="AA101" s="109" t="s">
        <v>82</v>
      </c>
      <c r="AB101" s="109" t="s">
        <v>195</v>
      </c>
    </row>
    <row r="102" spans="1:28" x14ac:dyDescent="0.15">
      <c r="A102" s="109" t="s">
        <v>40</v>
      </c>
      <c r="B102" s="109" t="s">
        <v>191</v>
      </c>
      <c r="C102" s="109">
        <v>2020</v>
      </c>
      <c r="D102" s="117" t="s">
        <v>192</v>
      </c>
      <c r="E102" s="109" t="s">
        <v>213</v>
      </c>
      <c r="F102" s="109" t="s">
        <v>197</v>
      </c>
      <c r="G102" s="109" t="s">
        <v>25</v>
      </c>
      <c r="H102" s="109" t="s">
        <v>164</v>
      </c>
      <c r="I102" s="109" t="s">
        <v>111</v>
      </c>
      <c r="J102" s="118" t="s">
        <v>27</v>
      </c>
      <c r="K102" s="118" t="s">
        <v>112</v>
      </c>
      <c r="L102" s="109">
        <v>2</v>
      </c>
      <c r="N102" s="109">
        <v>8</v>
      </c>
      <c r="O102" s="109">
        <v>0.55000000000000004</v>
      </c>
      <c r="P102" s="109">
        <v>0.55000000000000004</v>
      </c>
      <c r="Q102" s="119">
        <f t="shared" si="4"/>
        <v>0.55000000000000004</v>
      </c>
      <c r="R102" s="109">
        <v>16.600000000000001</v>
      </c>
      <c r="S102" s="109">
        <v>100</v>
      </c>
      <c r="T102" s="120">
        <f t="shared" si="5"/>
        <v>33</v>
      </c>
      <c r="U102" s="109">
        <v>780</v>
      </c>
      <c r="V102" s="120">
        <f t="shared" si="3"/>
        <v>3217.5</v>
      </c>
      <c r="W102" s="109">
        <v>20</v>
      </c>
      <c r="X102" s="109" t="s">
        <v>35</v>
      </c>
      <c r="Y102" s="109" t="s">
        <v>55</v>
      </c>
      <c r="Z102" s="109" t="s">
        <v>43</v>
      </c>
      <c r="AA102" s="109" t="s">
        <v>82</v>
      </c>
      <c r="AB102" s="109" t="s">
        <v>195</v>
      </c>
    </row>
    <row r="103" spans="1:28" x14ac:dyDescent="0.15">
      <c r="A103" s="109" t="s">
        <v>40</v>
      </c>
      <c r="B103" s="109" t="s">
        <v>191</v>
      </c>
      <c r="C103" s="109">
        <v>2020</v>
      </c>
      <c r="D103" s="117" t="s">
        <v>192</v>
      </c>
      <c r="E103" s="109" t="s">
        <v>213</v>
      </c>
      <c r="F103" s="109" t="s">
        <v>197</v>
      </c>
      <c r="G103" s="109" t="s">
        <v>25</v>
      </c>
      <c r="H103" s="109" t="s">
        <v>164</v>
      </c>
      <c r="I103" s="109" t="s">
        <v>111</v>
      </c>
      <c r="J103" s="118" t="s">
        <v>27</v>
      </c>
      <c r="K103" s="118" t="s">
        <v>112</v>
      </c>
      <c r="L103" s="109">
        <v>3</v>
      </c>
      <c r="N103" s="109">
        <v>8</v>
      </c>
      <c r="O103" s="109">
        <v>0.6</v>
      </c>
      <c r="P103" s="109">
        <v>0.6</v>
      </c>
      <c r="Q103" s="119">
        <f t="shared" si="4"/>
        <v>0.6</v>
      </c>
      <c r="R103" s="109">
        <v>17.3</v>
      </c>
      <c r="S103" s="109">
        <v>108</v>
      </c>
      <c r="T103" s="120">
        <f t="shared" si="5"/>
        <v>33</v>
      </c>
      <c r="U103" s="109">
        <v>780</v>
      </c>
      <c r="V103" s="120">
        <f t="shared" si="3"/>
        <v>3217.5</v>
      </c>
      <c r="W103" s="109">
        <v>20</v>
      </c>
      <c r="X103" s="109" t="s">
        <v>35</v>
      </c>
      <c r="Y103" s="109" t="s">
        <v>55</v>
      </c>
      <c r="Z103" s="109" t="s">
        <v>43</v>
      </c>
      <c r="AA103" s="109" t="s">
        <v>82</v>
      </c>
      <c r="AB103" s="109" t="s">
        <v>195</v>
      </c>
    </row>
    <row r="104" spans="1:28" x14ac:dyDescent="0.15">
      <c r="A104" s="109" t="s">
        <v>40</v>
      </c>
      <c r="B104" s="109" t="s">
        <v>191</v>
      </c>
      <c r="C104" s="109">
        <v>2020</v>
      </c>
      <c r="D104" s="117" t="s">
        <v>192</v>
      </c>
      <c r="E104" s="109" t="s">
        <v>213</v>
      </c>
      <c r="F104" s="109" t="s">
        <v>197</v>
      </c>
      <c r="G104" s="109" t="s">
        <v>25</v>
      </c>
      <c r="H104" s="109" t="s">
        <v>164</v>
      </c>
      <c r="I104" s="109" t="s">
        <v>166</v>
      </c>
      <c r="J104" s="118" t="s">
        <v>27</v>
      </c>
      <c r="K104" s="118" t="s">
        <v>112</v>
      </c>
      <c r="L104" s="109">
        <v>1</v>
      </c>
      <c r="N104" s="109">
        <v>4</v>
      </c>
      <c r="O104" s="109">
        <v>0.8</v>
      </c>
      <c r="P104" s="109">
        <v>0.9</v>
      </c>
      <c r="Q104" s="119">
        <f t="shared" si="4"/>
        <v>0.85000000000000009</v>
      </c>
      <c r="R104" s="109">
        <v>16.8</v>
      </c>
      <c r="S104" s="109">
        <v>100</v>
      </c>
      <c r="T104" s="120">
        <f t="shared" si="5"/>
        <v>33</v>
      </c>
      <c r="U104" s="109">
        <v>498</v>
      </c>
      <c r="V104" s="120">
        <f t="shared" si="3"/>
        <v>4108.5</v>
      </c>
      <c r="W104" s="109">
        <v>20</v>
      </c>
      <c r="X104" s="109" t="s">
        <v>35</v>
      </c>
      <c r="Y104" s="109" t="s">
        <v>55</v>
      </c>
      <c r="Z104" s="109" t="s">
        <v>43</v>
      </c>
      <c r="AA104" s="109" t="s">
        <v>82</v>
      </c>
      <c r="AB104" s="109" t="s">
        <v>195</v>
      </c>
    </row>
    <row r="105" spans="1:28" x14ac:dyDescent="0.15">
      <c r="A105" s="109" t="s">
        <v>40</v>
      </c>
      <c r="B105" s="109" t="s">
        <v>191</v>
      </c>
      <c r="C105" s="109">
        <v>2020</v>
      </c>
      <c r="D105" s="117" t="s">
        <v>192</v>
      </c>
      <c r="E105" s="109" t="s">
        <v>213</v>
      </c>
      <c r="F105" s="109" t="s">
        <v>197</v>
      </c>
      <c r="G105" s="109" t="s">
        <v>25</v>
      </c>
      <c r="H105" s="109" t="s">
        <v>164</v>
      </c>
      <c r="I105" s="109" t="s">
        <v>166</v>
      </c>
      <c r="J105" s="118" t="s">
        <v>27</v>
      </c>
      <c r="K105" s="118" t="s">
        <v>112</v>
      </c>
      <c r="L105" s="109">
        <v>2</v>
      </c>
      <c r="N105" s="109">
        <v>4</v>
      </c>
      <c r="O105" s="109">
        <v>0.85</v>
      </c>
      <c r="P105" s="109">
        <v>0.85</v>
      </c>
      <c r="Q105" s="119">
        <f t="shared" si="4"/>
        <v>0.85</v>
      </c>
      <c r="R105" s="109">
        <v>16.399999999999999</v>
      </c>
      <c r="S105" s="109">
        <v>94</v>
      </c>
      <c r="T105" s="120">
        <f t="shared" si="5"/>
        <v>36</v>
      </c>
      <c r="U105" s="109">
        <v>498</v>
      </c>
      <c r="V105" s="120">
        <f t="shared" si="3"/>
        <v>4482</v>
      </c>
      <c r="W105" s="109">
        <v>20</v>
      </c>
      <c r="X105" s="109" t="s">
        <v>35</v>
      </c>
      <c r="Y105" s="109" t="s">
        <v>55</v>
      </c>
      <c r="Z105" s="109" t="s">
        <v>43</v>
      </c>
      <c r="AA105" s="109" t="s">
        <v>82</v>
      </c>
      <c r="AB105" s="109" t="s">
        <v>195</v>
      </c>
    </row>
    <row r="106" spans="1:28" x14ac:dyDescent="0.15">
      <c r="A106" s="109" t="s">
        <v>40</v>
      </c>
      <c r="B106" s="109" t="s">
        <v>191</v>
      </c>
      <c r="C106" s="109">
        <v>2020</v>
      </c>
      <c r="D106" s="117" t="s">
        <v>192</v>
      </c>
      <c r="E106" s="109" t="s">
        <v>213</v>
      </c>
      <c r="F106" s="109" t="s">
        <v>197</v>
      </c>
      <c r="G106" s="109" t="s">
        <v>25</v>
      </c>
      <c r="H106" s="109" t="s">
        <v>164</v>
      </c>
      <c r="I106" s="109" t="s">
        <v>166</v>
      </c>
      <c r="J106" s="118" t="s">
        <v>27</v>
      </c>
      <c r="K106" s="118" t="s">
        <v>112</v>
      </c>
      <c r="L106" s="109">
        <v>3</v>
      </c>
      <c r="N106" s="109">
        <v>4</v>
      </c>
      <c r="O106" s="109">
        <v>0.9</v>
      </c>
      <c r="P106" s="109">
        <v>0.86</v>
      </c>
      <c r="Q106" s="119">
        <f t="shared" si="4"/>
        <v>0.88</v>
      </c>
      <c r="R106" s="109">
        <v>17.3</v>
      </c>
      <c r="S106" s="109">
        <v>104</v>
      </c>
      <c r="T106" s="120">
        <f t="shared" si="5"/>
        <v>33</v>
      </c>
      <c r="U106" s="109">
        <v>498</v>
      </c>
      <c r="V106" s="120">
        <f t="shared" si="3"/>
        <v>4108.5</v>
      </c>
      <c r="W106" s="109">
        <v>20</v>
      </c>
      <c r="X106" s="109" t="s">
        <v>35</v>
      </c>
      <c r="Y106" s="109" t="s">
        <v>55</v>
      </c>
      <c r="Z106" s="109" t="s">
        <v>43</v>
      </c>
      <c r="AA106" s="109" t="s">
        <v>82</v>
      </c>
      <c r="AB106" s="109" t="s">
        <v>195</v>
      </c>
    </row>
    <row r="107" spans="1:28" x14ac:dyDescent="0.15">
      <c r="A107" s="109" t="s">
        <v>40</v>
      </c>
      <c r="B107" s="109" t="s">
        <v>191</v>
      </c>
      <c r="C107" s="109">
        <v>2020</v>
      </c>
      <c r="D107" s="117" t="s">
        <v>192</v>
      </c>
      <c r="E107" s="109" t="s">
        <v>202</v>
      </c>
      <c r="F107" s="109" t="s">
        <v>203</v>
      </c>
      <c r="G107" s="109" t="s">
        <v>31</v>
      </c>
      <c r="H107" s="109" t="s">
        <v>113</v>
      </c>
      <c r="I107" s="109" t="s">
        <v>111</v>
      </c>
      <c r="J107" s="118" t="s">
        <v>27</v>
      </c>
      <c r="K107" s="118" t="s">
        <v>112</v>
      </c>
      <c r="L107" s="109">
        <v>1</v>
      </c>
      <c r="N107" s="109">
        <v>1</v>
      </c>
      <c r="O107" s="109">
        <v>0.75</v>
      </c>
      <c r="P107" s="109">
        <v>0.75</v>
      </c>
      <c r="Q107" s="119">
        <f t="shared" si="4"/>
        <v>0.75</v>
      </c>
      <c r="R107" s="109">
        <v>14.2</v>
      </c>
      <c r="S107" s="109">
        <v>130</v>
      </c>
      <c r="T107" s="120">
        <f t="shared" si="5"/>
        <v>25</v>
      </c>
      <c r="U107" s="109">
        <v>128</v>
      </c>
      <c r="V107" s="120">
        <f t="shared" si="3"/>
        <v>3200</v>
      </c>
      <c r="W107" s="109">
        <v>12</v>
      </c>
      <c r="X107" s="109" t="s">
        <v>35</v>
      </c>
      <c r="Y107" s="109" t="s">
        <v>55</v>
      </c>
      <c r="Z107" s="109" t="s">
        <v>43</v>
      </c>
      <c r="AA107" s="109" t="s">
        <v>82</v>
      </c>
      <c r="AB107" s="109" t="s">
        <v>195</v>
      </c>
    </row>
    <row r="108" spans="1:28" x14ac:dyDescent="0.15">
      <c r="A108" s="109" t="s">
        <v>40</v>
      </c>
      <c r="B108" s="109" t="s">
        <v>191</v>
      </c>
      <c r="C108" s="109">
        <v>2020</v>
      </c>
      <c r="D108" s="117" t="s">
        <v>192</v>
      </c>
      <c r="E108" s="109" t="s">
        <v>202</v>
      </c>
      <c r="F108" s="109" t="s">
        <v>203</v>
      </c>
      <c r="G108" s="109" t="s">
        <v>31</v>
      </c>
      <c r="H108" s="109" t="s">
        <v>113</v>
      </c>
      <c r="I108" s="109" t="s">
        <v>111</v>
      </c>
      <c r="J108" s="118" t="s">
        <v>27</v>
      </c>
      <c r="K108" s="118" t="s">
        <v>112</v>
      </c>
      <c r="L108" s="109">
        <v>2</v>
      </c>
      <c r="N108" s="109">
        <v>1</v>
      </c>
      <c r="O108" s="109">
        <v>0.8</v>
      </c>
      <c r="P108" s="109">
        <v>0.6</v>
      </c>
      <c r="Q108" s="119">
        <f t="shared" si="4"/>
        <v>0.7</v>
      </c>
      <c r="R108" s="109">
        <v>14.8</v>
      </c>
      <c r="S108" s="109">
        <v>130</v>
      </c>
      <c r="T108" s="120">
        <f t="shared" si="5"/>
        <v>25</v>
      </c>
      <c r="U108" s="109">
        <v>128</v>
      </c>
      <c r="V108" s="120">
        <f t="shared" si="3"/>
        <v>3200</v>
      </c>
      <c r="W108" s="109">
        <v>12</v>
      </c>
      <c r="X108" s="109" t="s">
        <v>35</v>
      </c>
      <c r="Y108" s="109" t="s">
        <v>55</v>
      </c>
      <c r="Z108" s="109" t="s">
        <v>43</v>
      </c>
      <c r="AA108" s="109" t="s">
        <v>82</v>
      </c>
      <c r="AB108" s="109" t="s">
        <v>195</v>
      </c>
    </row>
    <row r="109" spans="1:28" x14ac:dyDescent="0.15">
      <c r="A109" s="109" t="s">
        <v>40</v>
      </c>
      <c r="B109" s="109" t="s">
        <v>191</v>
      </c>
      <c r="C109" s="109">
        <v>2020</v>
      </c>
      <c r="D109" s="117" t="s">
        <v>192</v>
      </c>
      <c r="E109" s="109" t="s">
        <v>202</v>
      </c>
      <c r="F109" s="109" t="s">
        <v>203</v>
      </c>
      <c r="G109" s="109" t="s">
        <v>31</v>
      </c>
      <c r="H109" s="109" t="s">
        <v>113</v>
      </c>
      <c r="I109" s="109" t="s">
        <v>111</v>
      </c>
      <c r="J109" s="118" t="s">
        <v>27</v>
      </c>
      <c r="K109" s="118" t="s">
        <v>112</v>
      </c>
      <c r="L109" s="109">
        <v>3</v>
      </c>
      <c r="N109" s="109">
        <v>1</v>
      </c>
      <c r="O109" s="109">
        <v>0.7</v>
      </c>
      <c r="P109" s="109">
        <v>0.7</v>
      </c>
      <c r="Q109" s="119">
        <f t="shared" si="4"/>
        <v>0.7</v>
      </c>
      <c r="R109" s="109">
        <v>14.4</v>
      </c>
      <c r="S109" s="109">
        <v>134</v>
      </c>
      <c r="T109" s="120">
        <f t="shared" si="5"/>
        <v>25</v>
      </c>
      <c r="U109" s="109">
        <v>128</v>
      </c>
      <c r="V109" s="120">
        <f t="shared" si="3"/>
        <v>3200</v>
      </c>
      <c r="W109" s="109">
        <v>12</v>
      </c>
      <c r="X109" s="109" t="s">
        <v>35</v>
      </c>
      <c r="Y109" s="109" t="s">
        <v>55</v>
      </c>
      <c r="Z109" s="109" t="s">
        <v>43</v>
      </c>
      <c r="AA109" s="109" t="s">
        <v>82</v>
      </c>
      <c r="AB109" s="109" t="s">
        <v>195</v>
      </c>
    </row>
    <row r="110" spans="1:28" x14ac:dyDescent="0.15">
      <c r="A110" s="109" t="s">
        <v>40</v>
      </c>
      <c r="B110" s="109" t="s">
        <v>191</v>
      </c>
      <c r="C110" s="109">
        <v>2020</v>
      </c>
      <c r="D110" s="117" t="s">
        <v>192</v>
      </c>
      <c r="E110" s="109" t="s">
        <v>202</v>
      </c>
      <c r="F110" s="109" t="s">
        <v>203</v>
      </c>
      <c r="G110" s="109" t="s">
        <v>31</v>
      </c>
      <c r="H110" s="109" t="s">
        <v>113</v>
      </c>
      <c r="I110" s="109" t="s">
        <v>111</v>
      </c>
      <c r="J110" s="118" t="s">
        <v>27</v>
      </c>
      <c r="K110" s="118" t="s">
        <v>112</v>
      </c>
      <c r="L110" s="109">
        <v>1</v>
      </c>
      <c r="N110" s="109">
        <v>4</v>
      </c>
      <c r="O110" s="109">
        <v>1.1000000000000001</v>
      </c>
      <c r="P110" s="109">
        <v>1.05</v>
      </c>
      <c r="Q110" s="119">
        <f t="shared" si="4"/>
        <v>1.0750000000000002</v>
      </c>
      <c r="R110" s="109">
        <v>13.6</v>
      </c>
      <c r="S110" s="109">
        <v>108</v>
      </c>
      <c r="T110" s="120">
        <f t="shared" si="5"/>
        <v>33</v>
      </c>
      <c r="U110" s="109">
        <v>398</v>
      </c>
      <c r="V110" s="120">
        <f t="shared" si="3"/>
        <v>3283.5</v>
      </c>
      <c r="W110" s="109">
        <v>12</v>
      </c>
      <c r="X110" s="109" t="s">
        <v>35</v>
      </c>
      <c r="Y110" s="109" t="s">
        <v>55</v>
      </c>
      <c r="Z110" s="109" t="s">
        <v>43</v>
      </c>
      <c r="AA110" s="109" t="s">
        <v>82</v>
      </c>
      <c r="AB110" s="109" t="s">
        <v>195</v>
      </c>
    </row>
    <row r="111" spans="1:28" x14ac:dyDescent="0.15">
      <c r="A111" s="109" t="s">
        <v>40</v>
      </c>
      <c r="B111" s="109" t="s">
        <v>191</v>
      </c>
      <c r="C111" s="109">
        <v>2020</v>
      </c>
      <c r="D111" s="117" t="s">
        <v>192</v>
      </c>
      <c r="E111" s="109" t="s">
        <v>202</v>
      </c>
      <c r="F111" s="109" t="s">
        <v>203</v>
      </c>
      <c r="G111" s="109" t="s">
        <v>31</v>
      </c>
      <c r="H111" s="109" t="s">
        <v>113</v>
      </c>
      <c r="I111" s="109" t="s">
        <v>111</v>
      </c>
      <c r="J111" s="118" t="s">
        <v>27</v>
      </c>
      <c r="K111" s="118" t="s">
        <v>112</v>
      </c>
      <c r="L111" s="109">
        <v>2</v>
      </c>
      <c r="N111" s="109">
        <v>4</v>
      </c>
      <c r="O111" s="109">
        <v>1.25</v>
      </c>
      <c r="P111" s="109">
        <v>1.1000000000000001</v>
      </c>
      <c r="Q111" s="119">
        <f t="shared" si="4"/>
        <v>1.175</v>
      </c>
      <c r="R111" s="109">
        <v>12.7</v>
      </c>
      <c r="S111" s="109">
        <v>98</v>
      </c>
      <c r="T111" s="120">
        <f t="shared" si="5"/>
        <v>36</v>
      </c>
      <c r="U111" s="109">
        <v>398</v>
      </c>
      <c r="V111" s="120">
        <f t="shared" si="3"/>
        <v>3582</v>
      </c>
      <c r="W111" s="109">
        <v>12</v>
      </c>
      <c r="X111" s="109" t="s">
        <v>35</v>
      </c>
      <c r="Y111" s="109" t="s">
        <v>55</v>
      </c>
      <c r="Z111" s="109" t="s">
        <v>43</v>
      </c>
      <c r="AA111" s="109" t="s">
        <v>82</v>
      </c>
      <c r="AB111" s="109" t="s">
        <v>195</v>
      </c>
    </row>
    <row r="112" spans="1:28" x14ac:dyDescent="0.15">
      <c r="A112" s="109" t="s">
        <v>40</v>
      </c>
      <c r="B112" s="109" t="s">
        <v>191</v>
      </c>
      <c r="C112" s="109">
        <v>2020</v>
      </c>
      <c r="D112" s="117" t="s">
        <v>192</v>
      </c>
      <c r="E112" s="109" t="s">
        <v>202</v>
      </c>
      <c r="F112" s="109" t="s">
        <v>203</v>
      </c>
      <c r="G112" s="109" t="s">
        <v>31</v>
      </c>
      <c r="H112" s="109" t="s">
        <v>113</v>
      </c>
      <c r="I112" s="109" t="s">
        <v>111</v>
      </c>
      <c r="J112" s="118" t="s">
        <v>27</v>
      </c>
      <c r="K112" s="118" t="s">
        <v>112</v>
      </c>
      <c r="L112" s="109">
        <v>3</v>
      </c>
      <c r="N112" s="109">
        <v>4</v>
      </c>
      <c r="O112" s="109">
        <v>1.1499999999999999</v>
      </c>
      <c r="P112" s="109">
        <v>1.2</v>
      </c>
      <c r="Q112" s="119">
        <f t="shared" si="4"/>
        <v>1.1749999999999998</v>
      </c>
      <c r="R112" s="109">
        <v>13.3</v>
      </c>
      <c r="S112" s="109">
        <v>108</v>
      </c>
      <c r="T112" s="120">
        <f t="shared" si="5"/>
        <v>33</v>
      </c>
      <c r="U112" s="109">
        <v>398</v>
      </c>
      <c r="V112" s="120">
        <f t="shared" si="3"/>
        <v>3283.5</v>
      </c>
      <c r="W112" s="109">
        <v>12</v>
      </c>
      <c r="X112" s="109" t="s">
        <v>35</v>
      </c>
      <c r="Y112" s="109" t="s">
        <v>55</v>
      </c>
      <c r="Z112" s="109" t="s">
        <v>43</v>
      </c>
      <c r="AA112" s="109" t="s">
        <v>82</v>
      </c>
      <c r="AB112" s="109" t="s">
        <v>195</v>
      </c>
    </row>
    <row r="113" spans="1:28" x14ac:dyDescent="0.15">
      <c r="A113" s="109" t="s">
        <v>40</v>
      </c>
      <c r="B113" s="109" t="s">
        <v>191</v>
      </c>
      <c r="C113" s="109">
        <v>2020</v>
      </c>
      <c r="D113" s="117" t="s">
        <v>192</v>
      </c>
      <c r="E113" s="109" t="s">
        <v>202</v>
      </c>
      <c r="F113" s="109" t="s">
        <v>203</v>
      </c>
      <c r="G113" s="109" t="s">
        <v>31</v>
      </c>
      <c r="H113" s="109" t="s">
        <v>164</v>
      </c>
      <c r="I113" s="109" t="s">
        <v>111</v>
      </c>
      <c r="J113" s="118" t="s">
        <v>27</v>
      </c>
      <c r="K113" s="118" t="s">
        <v>112</v>
      </c>
      <c r="L113" s="109">
        <v>1</v>
      </c>
      <c r="N113" s="109">
        <v>1</v>
      </c>
      <c r="O113" s="109">
        <v>0.65</v>
      </c>
      <c r="P113" s="109">
        <v>0.7</v>
      </c>
      <c r="Q113" s="119">
        <f t="shared" si="4"/>
        <v>0.67500000000000004</v>
      </c>
      <c r="R113" s="109">
        <v>17.7</v>
      </c>
      <c r="S113" s="109">
        <v>99</v>
      </c>
      <c r="T113" s="120">
        <f t="shared" si="5"/>
        <v>33</v>
      </c>
      <c r="U113" s="109">
        <v>128</v>
      </c>
      <c r="V113" s="120">
        <f t="shared" si="3"/>
        <v>4224</v>
      </c>
      <c r="W113" s="109">
        <v>12</v>
      </c>
      <c r="X113" s="109" t="s">
        <v>35</v>
      </c>
      <c r="Y113" s="109" t="s">
        <v>55</v>
      </c>
      <c r="Z113" s="109" t="s">
        <v>43</v>
      </c>
      <c r="AA113" s="109" t="s">
        <v>82</v>
      </c>
      <c r="AB113" s="109" t="s">
        <v>195</v>
      </c>
    </row>
    <row r="114" spans="1:28" x14ac:dyDescent="0.15">
      <c r="A114" s="109" t="s">
        <v>40</v>
      </c>
      <c r="B114" s="109" t="s">
        <v>191</v>
      </c>
      <c r="C114" s="109">
        <v>2020</v>
      </c>
      <c r="D114" s="117" t="s">
        <v>192</v>
      </c>
      <c r="E114" s="109" t="s">
        <v>202</v>
      </c>
      <c r="F114" s="109" t="s">
        <v>203</v>
      </c>
      <c r="G114" s="109" t="s">
        <v>31</v>
      </c>
      <c r="H114" s="109" t="s">
        <v>164</v>
      </c>
      <c r="I114" s="109" t="s">
        <v>111</v>
      </c>
      <c r="J114" s="118" t="s">
        <v>27</v>
      </c>
      <c r="K114" s="118" t="s">
        <v>112</v>
      </c>
      <c r="L114" s="109">
        <v>2</v>
      </c>
      <c r="N114" s="109">
        <v>1</v>
      </c>
      <c r="O114" s="109">
        <v>0.6</v>
      </c>
      <c r="P114" s="109">
        <v>0.65</v>
      </c>
      <c r="Q114" s="119">
        <f t="shared" si="4"/>
        <v>0.625</v>
      </c>
      <c r="R114" s="109">
        <v>17.899999999999999</v>
      </c>
      <c r="S114" s="109">
        <v>100</v>
      </c>
      <c r="T114" s="120">
        <f t="shared" si="5"/>
        <v>33</v>
      </c>
      <c r="U114" s="109">
        <v>128</v>
      </c>
      <c r="V114" s="120">
        <f t="shared" si="3"/>
        <v>4224</v>
      </c>
      <c r="W114" s="109">
        <v>12</v>
      </c>
      <c r="X114" s="109" t="s">
        <v>35</v>
      </c>
      <c r="Y114" s="109" t="s">
        <v>55</v>
      </c>
      <c r="Z114" s="109" t="s">
        <v>43</v>
      </c>
      <c r="AA114" s="109" t="s">
        <v>82</v>
      </c>
      <c r="AB114" s="109" t="s">
        <v>195</v>
      </c>
    </row>
    <row r="115" spans="1:28" x14ac:dyDescent="0.15">
      <c r="A115" s="109" t="s">
        <v>40</v>
      </c>
      <c r="B115" s="109" t="s">
        <v>191</v>
      </c>
      <c r="C115" s="109">
        <v>2020</v>
      </c>
      <c r="D115" s="117" t="s">
        <v>192</v>
      </c>
      <c r="E115" s="109" t="s">
        <v>202</v>
      </c>
      <c r="F115" s="109" t="s">
        <v>203</v>
      </c>
      <c r="G115" s="109" t="s">
        <v>31</v>
      </c>
      <c r="H115" s="109" t="s">
        <v>164</v>
      </c>
      <c r="I115" s="109" t="s">
        <v>111</v>
      </c>
      <c r="J115" s="118" t="s">
        <v>27</v>
      </c>
      <c r="K115" s="118" t="s">
        <v>112</v>
      </c>
      <c r="L115" s="109">
        <v>3</v>
      </c>
      <c r="N115" s="109">
        <v>1</v>
      </c>
      <c r="O115" s="109">
        <v>0.75</v>
      </c>
      <c r="P115" s="109">
        <v>0.65</v>
      </c>
      <c r="Q115" s="119">
        <f t="shared" si="4"/>
        <v>0.7</v>
      </c>
      <c r="R115" s="109">
        <v>18.100000000000001</v>
      </c>
      <c r="S115" s="109">
        <v>97</v>
      </c>
      <c r="T115" s="120">
        <f t="shared" si="5"/>
        <v>36</v>
      </c>
      <c r="U115" s="109">
        <v>128</v>
      </c>
      <c r="V115" s="120">
        <f t="shared" si="3"/>
        <v>4608</v>
      </c>
      <c r="W115" s="109">
        <v>12</v>
      </c>
      <c r="X115" s="109" t="s">
        <v>35</v>
      </c>
      <c r="Y115" s="109" t="s">
        <v>55</v>
      </c>
      <c r="Z115" s="109" t="s">
        <v>43</v>
      </c>
      <c r="AA115" s="109" t="s">
        <v>82</v>
      </c>
      <c r="AB115" s="109" t="s">
        <v>195</v>
      </c>
    </row>
    <row r="116" spans="1:28" x14ac:dyDescent="0.15">
      <c r="A116" s="109" t="s">
        <v>40</v>
      </c>
      <c r="B116" s="109" t="s">
        <v>191</v>
      </c>
      <c r="C116" s="109">
        <v>2020</v>
      </c>
      <c r="D116" s="117" t="s">
        <v>192</v>
      </c>
      <c r="E116" s="109" t="s">
        <v>202</v>
      </c>
      <c r="F116" s="109" t="s">
        <v>203</v>
      </c>
      <c r="G116" s="109" t="s">
        <v>31</v>
      </c>
      <c r="H116" s="109" t="s">
        <v>164</v>
      </c>
      <c r="I116" s="109" t="s">
        <v>111</v>
      </c>
      <c r="J116" s="118" t="s">
        <v>27</v>
      </c>
      <c r="K116" s="118" t="s">
        <v>112</v>
      </c>
      <c r="L116" s="109">
        <v>1</v>
      </c>
      <c r="N116" s="109">
        <v>4</v>
      </c>
      <c r="O116" s="109">
        <v>0.65</v>
      </c>
      <c r="P116" s="109">
        <v>0.7</v>
      </c>
      <c r="Q116" s="119">
        <f t="shared" si="4"/>
        <v>0.67500000000000004</v>
      </c>
      <c r="R116" s="109">
        <v>17.7</v>
      </c>
      <c r="S116" s="109">
        <v>108</v>
      </c>
      <c r="T116" s="120">
        <f t="shared" si="5"/>
        <v>33</v>
      </c>
      <c r="U116" s="109">
        <v>380</v>
      </c>
      <c r="V116" s="120">
        <f t="shared" si="3"/>
        <v>3135</v>
      </c>
      <c r="W116" s="109">
        <v>12</v>
      </c>
      <c r="X116" s="109" t="s">
        <v>35</v>
      </c>
      <c r="Y116" s="109" t="s">
        <v>55</v>
      </c>
      <c r="Z116" s="109" t="s">
        <v>43</v>
      </c>
      <c r="AA116" s="109" t="s">
        <v>82</v>
      </c>
      <c r="AB116" s="109" t="s">
        <v>195</v>
      </c>
    </row>
    <row r="117" spans="1:28" x14ac:dyDescent="0.15">
      <c r="A117" s="109" t="s">
        <v>40</v>
      </c>
      <c r="B117" s="109" t="s">
        <v>191</v>
      </c>
      <c r="C117" s="109">
        <v>2020</v>
      </c>
      <c r="D117" s="117" t="s">
        <v>192</v>
      </c>
      <c r="E117" s="109" t="s">
        <v>202</v>
      </c>
      <c r="F117" s="109" t="s">
        <v>203</v>
      </c>
      <c r="G117" s="109" t="s">
        <v>31</v>
      </c>
      <c r="H117" s="109" t="s">
        <v>164</v>
      </c>
      <c r="I117" s="109" t="s">
        <v>111</v>
      </c>
      <c r="J117" s="118" t="s">
        <v>27</v>
      </c>
      <c r="K117" s="118" t="s">
        <v>112</v>
      </c>
      <c r="L117" s="109">
        <v>2</v>
      </c>
      <c r="N117" s="109">
        <v>4</v>
      </c>
      <c r="O117" s="109">
        <v>0.65</v>
      </c>
      <c r="P117" s="109">
        <v>0.5</v>
      </c>
      <c r="Q117" s="119">
        <f t="shared" si="4"/>
        <v>0.57499999999999996</v>
      </c>
      <c r="R117" s="109">
        <v>18.2</v>
      </c>
      <c r="S117" s="109">
        <v>93</v>
      </c>
      <c r="T117" s="120">
        <f t="shared" si="5"/>
        <v>36</v>
      </c>
      <c r="U117" s="109">
        <v>380</v>
      </c>
      <c r="V117" s="120">
        <f t="shared" si="3"/>
        <v>3420</v>
      </c>
      <c r="W117" s="109">
        <v>12</v>
      </c>
      <c r="X117" s="109" t="s">
        <v>35</v>
      </c>
      <c r="Y117" s="109" t="s">
        <v>55</v>
      </c>
      <c r="Z117" s="109" t="s">
        <v>43</v>
      </c>
      <c r="AA117" s="109" t="s">
        <v>82</v>
      </c>
      <c r="AB117" s="109" t="s">
        <v>195</v>
      </c>
    </row>
    <row r="118" spans="1:28" x14ac:dyDescent="0.15">
      <c r="A118" s="109" t="s">
        <v>40</v>
      </c>
      <c r="B118" s="109" t="s">
        <v>191</v>
      </c>
      <c r="C118" s="109">
        <v>2020</v>
      </c>
      <c r="D118" s="117" t="s">
        <v>192</v>
      </c>
      <c r="E118" s="109" t="s">
        <v>202</v>
      </c>
      <c r="F118" s="109" t="s">
        <v>203</v>
      </c>
      <c r="G118" s="109" t="s">
        <v>31</v>
      </c>
      <c r="H118" s="109" t="s">
        <v>164</v>
      </c>
      <c r="I118" s="109" t="s">
        <v>111</v>
      </c>
      <c r="J118" s="118" t="s">
        <v>27</v>
      </c>
      <c r="K118" s="118" t="s">
        <v>112</v>
      </c>
      <c r="L118" s="109">
        <v>3</v>
      </c>
      <c r="N118" s="109">
        <v>4</v>
      </c>
      <c r="O118" s="109">
        <v>0.6</v>
      </c>
      <c r="P118" s="109">
        <v>0.6</v>
      </c>
      <c r="Q118" s="119">
        <f t="shared" si="4"/>
        <v>0.6</v>
      </c>
      <c r="R118" s="109">
        <v>17.899999999999999</v>
      </c>
      <c r="S118" s="109">
        <v>102</v>
      </c>
      <c r="T118" s="120">
        <f t="shared" si="5"/>
        <v>33</v>
      </c>
      <c r="U118" s="109">
        <v>380</v>
      </c>
      <c r="V118" s="120">
        <f t="shared" si="3"/>
        <v>3135</v>
      </c>
      <c r="W118" s="109">
        <v>12</v>
      </c>
      <c r="X118" s="109" t="s">
        <v>35</v>
      </c>
      <c r="Y118" s="109" t="s">
        <v>55</v>
      </c>
      <c r="Z118" s="109" t="s">
        <v>43</v>
      </c>
      <c r="AA118" s="109" t="s">
        <v>82</v>
      </c>
      <c r="AB118" s="109" t="s">
        <v>195</v>
      </c>
    </row>
    <row r="119" spans="1:28" x14ac:dyDescent="0.15">
      <c r="A119" s="109" t="s">
        <v>40</v>
      </c>
      <c r="B119" s="109" t="s">
        <v>191</v>
      </c>
      <c r="C119" s="109">
        <v>2020</v>
      </c>
      <c r="D119" s="117" t="s">
        <v>192</v>
      </c>
      <c r="E119" s="109" t="s">
        <v>215</v>
      </c>
      <c r="F119" s="109" t="s">
        <v>216</v>
      </c>
      <c r="G119" s="109" t="s">
        <v>25</v>
      </c>
      <c r="H119" s="109" t="s">
        <v>113</v>
      </c>
      <c r="I119" s="109" t="s">
        <v>111</v>
      </c>
      <c r="J119" s="118" t="s">
        <v>27</v>
      </c>
      <c r="K119" s="118" t="s">
        <v>112</v>
      </c>
      <c r="L119" s="109">
        <v>1</v>
      </c>
      <c r="N119" s="109">
        <v>1</v>
      </c>
      <c r="O119" s="109">
        <v>1.4</v>
      </c>
      <c r="P119" s="109">
        <v>1.4</v>
      </c>
      <c r="Q119" s="119">
        <f t="shared" si="4"/>
        <v>1.4</v>
      </c>
      <c r="R119" s="109">
        <v>15.3</v>
      </c>
      <c r="S119" s="109">
        <v>138</v>
      </c>
      <c r="T119" s="120">
        <f t="shared" si="5"/>
        <v>22</v>
      </c>
      <c r="U119" s="109">
        <v>128</v>
      </c>
      <c r="V119" s="120">
        <f t="shared" si="3"/>
        <v>2816</v>
      </c>
      <c r="W119" s="109">
        <v>10</v>
      </c>
      <c r="X119" s="109" t="s">
        <v>35</v>
      </c>
      <c r="Y119" s="109" t="s">
        <v>43</v>
      </c>
      <c r="Z119" s="109" t="s">
        <v>82</v>
      </c>
      <c r="AA119" s="109" t="s">
        <v>55</v>
      </c>
      <c r="AB119" s="109" t="s">
        <v>195</v>
      </c>
    </row>
    <row r="120" spans="1:28" x14ac:dyDescent="0.15">
      <c r="A120" s="109" t="s">
        <v>40</v>
      </c>
      <c r="B120" s="109" t="s">
        <v>191</v>
      </c>
      <c r="C120" s="109">
        <v>2020</v>
      </c>
      <c r="D120" s="117" t="s">
        <v>192</v>
      </c>
      <c r="E120" s="109" t="s">
        <v>215</v>
      </c>
      <c r="F120" s="109" t="s">
        <v>216</v>
      </c>
      <c r="G120" s="109" t="s">
        <v>25</v>
      </c>
      <c r="H120" s="109" t="s">
        <v>113</v>
      </c>
      <c r="I120" s="109" t="s">
        <v>111</v>
      </c>
      <c r="J120" s="118" t="s">
        <v>27</v>
      </c>
      <c r="K120" s="118" t="s">
        <v>112</v>
      </c>
      <c r="L120" s="109">
        <v>2</v>
      </c>
      <c r="N120" s="109">
        <v>1</v>
      </c>
      <c r="O120" s="109">
        <v>1.35</v>
      </c>
      <c r="P120" s="109">
        <v>1.3</v>
      </c>
      <c r="Q120" s="119">
        <f t="shared" si="4"/>
        <v>1.3250000000000002</v>
      </c>
      <c r="R120" s="109">
        <v>15.5</v>
      </c>
      <c r="S120" s="109">
        <v>138</v>
      </c>
      <c r="T120" s="120">
        <f t="shared" si="5"/>
        <v>22</v>
      </c>
      <c r="U120" s="109">
        <v>128</v>
      </c>
      <c r="V120" s="120">
        <f t="shared" si="3"/>
        <v>2816</v>
      </c>
      <c r="W120" s="109">
        <v>10</v>
      </c>
      <c r="X120" s="109" t="s">
        <v>35</v>
      </c>
      <c r="Y120" s="109" t="s">
        <v>43</v>
      </c>
      <c r="Z120" s="109" t="s">
        <v>82</v>
      </c>
      <c r="AA120" s="109" t="s">
        <v>55</v>
      </c>
      <c r="AB120" s="109" t="s">
        <v>195</v>
      </c>
    </row>
    <row r="121" spans="1:28" x14ac:dyDescent="0.15">
      <c r="A121" s="109" t="s">
        <v>40</v>
      </c>
      <c r="B121" s="109" t="s">
        <v>191</v>
      </c>
      <c r="C121" s="109">
        <v>2020</v>
      </c>
      <c r="D121" s="117" t="s">
        <v>192</v>
      </c>
      <c r="E121" s="109" t="s">
        <v>215</v>
      </c>
      <c r="F121" s="109" t="s">
        <v>216</v>
      </c>
      <c r="G121" s="109" t="s">
        <v>25</v>
      </c>
      <c r="H121" s="109" t="s">
        <v>113</v>
      </c>
      <c r="I121" s="109" t="s">
        <v>111</v>
      </c>
      <c r="J121" s="118" t="s">
        <v>27</v>
      </c>
      <c r="K121" s="118" t="s">
        <v>112</v>
      </c>
      <c r="L121" s="109">
        <v>3</v>
      </c>
      <c r="N121" s="109">
        <v>1</v>
      </c>
      <c r="O121" s="109">
        <v>1.25</v>
      </c>
      <c r="P121" s="109">
        <v>1.3</v>
      </c>
      <c r="Q121" s="119">
        <f t="shared" si="4"/>
        <v>1.2749999999999999</v>
      </c>
      <c r="R121" s="109">
        <v>15.7</v>
      </c>
      <c r="S121" s="109">
        <v>142</v>
      </c>
      <c r="T121" s="120">
        <f t="shared" si="5"/>
        <v>22</v>
      </c>
      <c r="U121" s="109">
        <v>128</v>
      </c>
      <c r="V121" s="120">
        <f t="shared" si="3"/>
        <v>2816</v>
      </c>
      <c r="W121" s="109">
        <v>10</v>
      </c>
      <c r="X121" s="109" t="s">
        <v>35</v>
      </c>
      <c r="Y121" s="109" t="s">
        <v>43</v>
      </c>
      <c r="Z121" s="109" t="s">
        <v>82</v>
      </c>
      <c r="AA121" s="109" t="s">
        <v>55</v>
      </c>
      <c r="AB121" s="109" t="s">
        <v>195</v>
      </c>
    </row>
    <row r="122" spans="1:28" x14ac:dyDescent="0.15">
      <c r="A122" s="109" t="s">
        <v>40</v>
      </c>
      <c r="B122" s="109" t="s">
        <v>191</v>
      </c>
      <c r="C122" s="109">
        <v>2020</v>
      </c>
      <c r="D122" s="117" t="s">
        <v>192</v>
      </c>
      <c r="E122" s="109" t="s">
        <v>215</v>
      </c>
      <c r="F122" s="109" t="s">
        <v>216</v>
      </c>
      <c r="G122" s="109" t="s">
        <v>25</v>
      </c>
      <c r="H122" s="109" t="s">
        <v>113</v>
      </c>
      <c r="I122" s="109" t="s">
        <v>111</v>
      </c>
      <c r="J122" s="118" t="s">
        <v>27</v>
      </c>
      <c r="K122" s="118" t="s">
        <v>112</v>
      </c>
      <c r="L122" s="109">
        <v>1</v>
      </c>
      <c r="N122" s="109">
        <v>4</v>
      </c>
      <c r="O122" s="109">
        <v>1.4</v>
      </c>
      <c r="P122" s="109">
        <v>1.35</v>
      </c>
      <c r="Q122" s="119">
        <f t="shared" si="4"/>
        <v>1.375</v>
      </c>
      <c r="R122" s="109">
        <v>18.600000000000001</v>
      </c>
      <c r="S122" s="109">
        <v>97</v>
      </c>
      <c r="T122" s="120">
        <f t="shared" si="5"/>
        <v>36</v>
      </c>
      <c r="U122" s="109">
        <v>398</v>
      </c>
      <c r="V122" s="120">
        <f t="shared" si="3"/>
        <v>3582</v>
      </c>
      <c r="W122" s="109">
        <v>10</v>
      </c>
      <c r="X122" s="109" t="s">
        <v>35</v>
      </c>
      <c r="Y122" s="109" t="s">
        <v>43</v>
      </c>
      <c r="Z122" s="109" t="s">
        <v>82</v>
      </c>
      <c r="AA122" s="109" t="s">
        <v>55</v>
      </c>
      <c r="AB122" s="109" t="s">
        <v>195</v>
      </c>
    </row>
    <row r="123" spans="1:28" x14ac:dyDescent="0.15">
      <c r="A123" s="109" t="s">
        <v>40</v>
      </c>
      <c r="B123" s="109" t="s">
        <v>191</v>
      </c>
      <c r="C123" s="109">
        <v>2020</v>
      </c>
      <c r="D123" s="117" t="s">
        <v>192</v>
      </c>
      <c r="E123" s="109" t="s">
        <v>215</v>
      </c>
      <c r="F123" s="109" t="s">
        <v>216</v>
      </c>
      <c r="G123" s="109" t="s">
        <v>25</v>
      </c>
      <c r="H123" s="109" t="s">
        <v>113</v>
      </c>
      <c r="I123" s="109" t="s">
        <v>111</v>
      </c>
      <c r="J123" s="118" t="s">
        <v>27</v>
      </c>
      <c r="K123" s="118" t="s">
        <v>112</v>
      </c>
      <c r="L123" s="109">
        <v>2</v>
      </c>
      <c r="N123" s="109">
        <v>4</v>
      </c>
      <c r="O123" s="109">
        <v>1.3</v>
      </c>
      <c r="P123" s="109">
        <v>1.25</v>
      </c>
      <c r="Q123" s="119">
        <f t="shared" si="4"/>
        <v>1.2749999999999999</v>
      </c>
      <c r="R123" s="109">
        <v>17.2</v>
      </c>
      <c r="S123" s="109">
        <v>108</v>
      </c>
      <c r="T123" s="120">
        <f t="shared" si="5"/>
        <v>33</v>
      </c>
      <c r="U123" s="109">
        <v>398</v>
      </c>
      <c r="V123" s="120">
        <f t="shared" si="3"/>
        <v>3283.5</v>
      </c>
      <c r="W123" s="109">
        <v>10</v>
      </c>
      <c r="X123" s="109" t="s">
        <v>35</v>
      </c>
      <c r="Y123" s="109" t="s">
        <v>43</v>
      </c>
      <c r="Z123" s="109" t="s">
        <v>82</v>
      </c>
      <c r="AA123" s="109" t="s">
        <v>55</v>
      </c>
      <c r="AB123" s="109" t="s">
        <v>195</v>
      </c>
    </row>
    <row r="124" spans="1:28" x14ac:dyDescent="0.15">
      <c r="A124" s="109" t="s">
        <v>40</v>
      </c>
      <c r="B124" s="109" t="s">
        <v>191</v>
      </c>
      <c r="C124" s="109">
        <v>2020</v>
      </c>
      <c r="D124" s="117" t="s">
        <v>192</v>
      </c>
      <c r="E124" s="109" t="s">
        <v>215</v>
      </c>
      <c r="F124" s="109" t="s">
        <v>216</v>
      </c>
      <c r="G124" s="109" t="s">
        <v>25</v>
      </c>
      <c r="H124" s="109" t="s">
        <v>113</v>
      </c>
      <c r="I124" s="109" t="s">
        <v>111</v>
      </c>
      <c r="J124" s="118" t="s">
        <v>27</v>
      </c>
      <c r="K124" s="118" t="s">
        <v>112</v>
      </c>
      <c r="L124" s="109">
        <v>3</v>
      </c>
      <c r="N124" s="109">
        <v>4</v>
      </c>
      <c r="O124" s="109">
        <v>1.1499999999999999</v>
      </c>
      <c r="P124" s="109">
        <v>1.3</v>
      </c>
      <c r="Q124" s="119">
        <f t="shared" si="4"/>
        <v>1.2250000000000001</v>
      </c>
      <c r="R124" s="109">
        <v>16.8</v>
      </c>
      <c r="S124" s="109">
        <v>102</v>
      </c>
      <c r="T124" s="120">
        <f t="shared" si="5"/>
        <v>33</v>
      </c>
      <c r="U124" s="109">
        <v>398</v>
      </c>
      <c r="V124" s="120">
        <f t="shared" si="3"/>
        <v>3283.5</v>
      </c>
      <c r="W124" s="109">
        <v>10</v>
      </c>
      <c r="X124" s="109" t="s">
        <v>35</v>
      </c>
      <c r="Y124" s="109" t="s">
        <v>43</v>
      </c>
      <c r="Z124" s="109" t="s">
        <v>82</v>
      </c>
      <c r="AA124" s="109" t="s">
        <v>55</v>
      </c>
      <c r="AB124" s="109" t="s">
        <v>195</v>
      </c>
    </row>
    <row r="125" spans="1:28" x14ac:dyDescent="0.15">
      <c r="A125" s="109" t="s">
        <v>40</v>
      </c>
      <c r="B125" s="109" t="s">
        <v>191</v>
      </c>
      <c r="C125" s="109">
        <v>2020</v>
      </c>
      <c r="D125" s="117" t="s">
        <v>192</v>
      </c>
      <c r="E125" s="109" t="s">
        <v>215</v>
      </c>
      <c r="F125" s="109" t="s">
        <v>216</v>
      </c>
      <c r="G125" s="109" t="s">
        <v>25</v>
      </c>
      <c r="H125" s="109" t="s">
        <v>113</v>
      </c>
      <c r="I125" s="109" t="s">
        <v>111</v>
      </c>
      <c r="J125" s="118" t="s">
        <v>27</v>
      </c>
      <c r="K125" s="118" t="s">
        <v>112</v>
      </c>
      <c r="L125" s="109">
        <v>1</v>
      </c>
      <c r="N125" s="109">
        <v>8</v>
      </c>
      <c r="O125" s="109">
        <v>1.1000000000000001</v>
      </c>
      <c r="P125" s="109">
        <v>0.95</v>
      </c>
      <c r="Q125" s="119">
        <f t="shared" si="4"/>
        <v>1.0249999999999999</v>
      </c>
      <c r="R125" s="109">
        <v>17.3</v>
      </c>
      <c r="S125" s="109">
        <v>104</v>
      </c>
      <c r="T125" s="120">
        <f t="shared" si="5"/>
        <v>33</v>
      </c>
      <c r="U125" s="109">
        <v>498</v>
      </c>
      <c r="V125" s="120">
        <f t="shared" si="3"/>
        <v>2054.25</v>
      </c>
      <c r="W125" s="109">
        <v>10</v>
      </c>
      <c r="X125" s="109" t="s">
        <v>35</v>
      </c>
      <c r="Y125" s="109" t="s">
        <v>43</v>
      </c>
      <c r="Z125" s="109" t="s">
        <v>82</v>
      </c>
      <c r="AA125" s="109" t="s">
        <v>55</v>
      </c>
      <c r="AB125" s="109" t="s">
        <v>195</v>
      </c>
    </row>
    <row r="126" spans="1:28" x14ac:dyDescent="0.15">
      <c r="A126" s="109" t="s">
        <v>40</v>
      </c>
      <c r="B126" s="109" t="s">
        <v>191</v>
      </c>
      <c r="C126" s="109">
        <v>2020</v>
      </c>
      <c r="D126" s="117" t="s">
        <v>192</v>
      </c>
      <c r="E126" s="109" t="s">
        <v>215</v>
      </c>
      <c r="F126" s="109" t="s">
        <v>216</v>
      </c>
      <c r="G126" s="109" t="s">
        <v>25</v>
      </c>
      <c r="H126" s="109" t="s">
        <v>113</v>
      </c>
      <c r="I126" s="109" t="s">
        <v>111</v>
      </c>
      <c r="J126" s="118" t="s">
        <v>27</v>
      </c>
      <c r="K126" s="118" t="s">
        <v>112</v>
      </c>
      <c r="L126" s="109">
        <v>2</v>
      </c>
      <c r="N126" s="109">
        <v>8</v>
      </c>
      <c r="O126" s="109">
        <v>1</v>
      </c>
      <c r="P126" s="109">
        <v>1</v>
      </c>
      <c r="Q126" s="119">
        <f t="shared" si="4"/>
        <v>1</v>
      </c>
      <c r="R126" s="109">
        <v>16.8</v>
      </c>
      <c r="S126" s="109">
        <v>104</v>
      </c>
      <c r="T126" s="120">
        <f t="shared" si="5"/>
        <v>33</v>
      </c>
      <c r="U126" s="109">
        <v>498</v>
      </c>
      <c r="V126" s="120">
        <f t="shared" si="3"/>
        <v>2054.25</v>
      </c>
      <c r="W126" s="109">
        <v>10</v>
      </c>
      <c r="X126" s="109" t="s">
        <v>35</v>
      </c>
      <c r="Y126" s="109" t="s">
        <v>43</v>
      </c>
      <c r="Z126" s="109" t="s">
        <v>82</v>
      </c>
      <c r="AA126" s="109" t="s">
        <v>55</v>
      </c>
      <c r="AB126" s="109" t="s">
        <v>195</v>
      </c>
    </row>
    <row r="127" spans="1:28" x14ac:dyDescent="0.15">
      <c r="A127" s="109" t="s">
        <v>40</v>
      </c>
      <c r="B127" s="109" t="s">
        <v>191</v>
      </c>
      <c r="C127" s="109">
        <v>2020</v>
      </c>
      <c r="D127" s="117" t="s">
        <v>192</v>
      </c>
      <c r="E127" s="109" t="s">
        <v>215</v>
      </c>
      <c r="F127" s="109" t="s">
        <v>216</v>
      </c>
      <c r="G127" s="109" t="s">
        <v>25</v>
      </c>
      <c r="H127" s="109" t="s">
        <v>113</v>
      </c>
      <c r="I127" s="109" t="s">
        <v>111</v>
      </c>
      <c r="J127" s="118" t="s">
        <v>27</v>
      </c>
      <c r="K127" s="118" t="s">
        <v>112</v>
      </c>
      <c r="L127" s="109">
        <v>3</v>
      </c>
      <c r="N127" s="109">
        <v>8</v>
      </c>
      <c r="O127" s="109">
        <v>0.9</v>
      </c>
      <c r="P127" s="109">
        <v>0.95</v>
      </c>
      <c r="Q127" s="119">
        <f t="shared" si="4"/>
        <v>0.92500000000000004</v>
      </c>
      <c r="R127" s="109">
        <v>16.5</v>
      </c>
      <c r="S127" s="109">
        <v>104</v>
      </c>
      <c r="T127" s="120">
        <f t="shared" si="5"/>
        <v>33</v>
      </c>
      <c r="U127" s="109">
        <v>498</v>
      </c>
      <c r="V127" s="120">
        <f t="shared" si="3"/>
        <v>2054.25</v>
      </c>
      <c r="W127" s="109">
        <v>10</v>
      </c>
      <c r="X127" s="109" t="s">
        <v>35</v>
      </c>
      <c r="Y127" s="109" t="s">
        <v>43</v>
      </c>
      <c r="Z127" s="109" t="s">
        <v>82</v>
      </c>
      <c r="AA127" s="109" t="s">
        <v>55</v>
      </c>
      <c r="AB127" s="109" t="s">
        <v>195</v>
      </c>
    </row>
    <row r="128" spans="1:28" x14ac:dyDescent="0.15">
      <c r="A128" s="109" t="s">
        <v>40</v>
      </c>
      <c r="B128" s="109" t="s">
        <v>191</v>
      </c>
      <c r="C128" s="109">
        <v>2020</v>
      </c>
      <c r="D128" s="117" t="s">
        <v>192</v>
      </c>
      <c r="E128" s="109" t="s">
        <v>215</v>
      </c>
      <c r="F128" s="109" t="s">
        <v>216</v>
      </c>
      <c r="G128" s="109" t="s">
        <v>25</v>
      </c>
      <c r="H128" s="109" t="s">
        <v>164</v>
      </c>
      <c r="I128" s="109" t="s">
        <v>111</v>
      </c>
      <c r="J128" s="118" t="s">
        <v>27</v>
      </c>
      <c r="K128" s="118" t="s">
        <v>112</v>
      </c>
      <c r="L128" s="109">
        <v>1</v>
      </c>
      <c r="N128" s="109">
        <v>1</v>
      </c>
      <c r="O128" s="109">
        <v>0.75</v>
      </c>
      <c r="P128" s="109">
        <v>0.85</v>
      </c>
      <c r="Q128" s="119">
        <f t="shared" si="4"/>
        <v>0.8</v>
      </c>
      <c r="R128" s="109">
        <v>17.600000000000001</v>
      </c>
      <c r="S128" s="109">
        <v>192</v>
      </c>
      <c r="T128" s="120">
        <f t="shared" si="5"/>
        <v>16</v>
      </c>
      <c r="U128" s="109">
        <v>128</v>
      </c>
      <c r="V128" s="120">
        <f t="shared" si="3"/>
        <v>2048</v>
      </c>
      <c r="W128" s="109">
        <v>10</v>
      </c>
      <c r="X128" s="109" t="s">
        <v>35</v>
      </c>
      <c r="Y128" s="109" t="s">
        <v>43</v>
      </c>
      <c r="Z128" s="109" t="s">
        <v>82</v>
      </c>
      <c r="AA128" s="109" t="s">
        <v>55</v>
      </c>
      <c r="AB128" s="109" t="s">
        <v>195</v>
      </c>
    </row>
    <row r="129" spans="1:28" x14ac:dyDescent="0.15">
      <c r="A129" s="109" t="s">
        <v>40</v>
      </c>
      <c r="B129" s="109" t="s">
        <v>191</v>
      </c>
      <c r="C129" s="109">
        <v>2020</v>
      </c>
      <c r="D129" s="117" t="s">
        <v>192</v>
      </c>
      <c r="E129" s="109" t="s">
        <v>215</v>
      </c>
      <c r="F129" s="109" t="s">
        <v>216</v>
      </c>
      <c r="G129" s="109" t="s">
        <v>25</v>
      </c>
      <c r="H129" s="109" t="s">
        <v>164</v>
      </c>
      <c r="I129" s="109" t="s">
        <v>111</v>
      </c>
      <c r="J129" s="118" t="s">
        <v>27</v>
      </c>
      <c r="K129" s="118" t="s">
        <v>112</v>
      </c>
      <c r="L129" s="109">
        <v>2</v>
      </c>
      <c r="N129" s="109">
        <v>1</v>
      </c>
      <c r="O129" s="109">
        <v>0.85</v>
      </c>
      <c r="P129" s="109">
        <v>0.8</v>
      </c>
      <c r="Q129" s="119">
        <f t="shared" si="4"/>
        <v>0.82499999999999996</v>
      </c>
      <c r="R129" s="109">
        <v>17.899999999999999</v>
      </c>
      <c r="S129" s="109">
        <v>194</v>
      </c>
      <c r="T129" s="120">
        <f t="shared" si="5"/>
        <v>16</v>
      </c>
      <c r="U129" s="109">
        <v>128</v>
      </c>
      <c r="V129" s="120">
        <f t="shared" si="3"/>
        <v>2048</v>
      </c>
      <c r="W129" s="109">
        <v>10</v>
      </c>
      <c r="X129" s="109" t="s">
        <v>35</v>
      </c>
      <c r="Y129" s="109" t="s">
        <v>43</v>
      </c>
      <c r="Z129" s="109" t="s">
        <v>82</v>
      </c>
      <c r="AA129" s="109" t="s">
        <v>55</v>
      </c>
      <c r="AB129" s="109" t="s">
        <v>195</v>
      </c>
    </row>
    <row r="130" spans="1:28" x14ac:dyDescent="0.15">
      <c r="A130" s="109" t="s">
        <v>40</v>
      </c>
      <c r="B130" s="109" t="s">
        <v>191</v>
      </c>
      <c r="C130" s="109">
        <v>2020</v>
      </c>
      <c r="D130" s="117" t="s">
        <v>192</v>
      </c>
      <c r="E130" s="109" t="s">
        <v>215</v>
      </c>
      <c r="F130" s="109" t="s">
        <v>216</v>
      </c>
      <c r="G130" s="109" t="s">
        <v>25</v>
      </c>
      <c r="H130" s="109" t="s">
        <v>164</v>
      </c>
      <c r="I130" s="109" t="s">
        <v>111</v>
      </c>
      <c r="J130" s="118" t="s">
        <v>27</v>
      </c>
      <c r="K130" s="118" t="s">
        <v>112</v>
      </c>
      <c r="L130" s="109">
        <v>3</v>
      </c>
      <c r="N130" s="109">
        <v>1</v>
      </c>
      <c r="O130" s="109">
        <v>0.75</v>
      </c>
      <c r="P130" s="109">
        <v>0.8</v>
      </c>
      <c r="Q130" s="119">
        <f t="shared" si="4"/>
        <v>0.77500000000000002</v>
      </c>
      <c r="R130" s="109">
        <v>18.399999999999999</v>
      </c>
      <c r="S130" s="109">
        <v>200</v>
      </c>
      <c r="T130" s="120">
        <f t="shared" si="5"/>
        <v>16</v>
      </c>
      <c r="U130" s="109">
        <v>128</v>
      </c>
      <c r="V130" s="120">
        <f t="shared" ref="V130:V166" si="6">IF(OR(N130="",U130="",T130=""),"",U130/N130*T130)</f>
        <v>2048</v>
      </c>
      <c r="W130" s="109">
        <v>10</v>
      </c>
      <c r="X130" s="109" t="s">
        <v>35</v>
      </c>
      <c r="Y130" s="109" t="s">
        <v>43</v>
      </c>
      <c r="Z130" s="109" t="s">
        <v>82</v>
      </c>
      <c r="AA130" s="109" t="s">
        <v>55</v>
      </c>
      <c r="AB130" s="109" t="s">
        <v>195</v>
      </c>
    </row>
    <row r="131" spans="1:28" x14ac:dyDescent="0.15">
      <c r="A131" s="109" t="s">
        <v>40</v>
      </c>
      <c r="B131" s="109" t="s">
        <v>191</v>
      </c>
      <c r="C131" s="109">
        <v>2020</v>
      </c>
      <c r="D131" s="117" t="s">
        <v>192</v>
      </c>
      <c r="E131" s="109" t="s">
        <v>215</v>
      </c>
      <c r="F131" s="109" t="s">
        <v>216</v>
      </c>
      <c r="G131" s="109" t="s">
        <v>25</v>
      </c>
      <c r="H131" s="109" t="s">
        <v>164</v>
      </c>
      <c r="I131" s="109" t="s">
        <v>111</v>
      </c>
      <c r="J131" s="118" t="s">
        <v>27</v>
      </c>
      <c r="K131" s="118" t="s">
        <v>112</v>
      </c>
      <c r="L131" s="109">
        <v>1</v>
      </c>
      <c r="N131" s="109">
        <v>4</v>
      </c>
      <c r="O131" s="109">
        <v>1.2</v>
      </c>
      <c r="P131" s="109">
        <v>1.2</v>
      </c>
      <c r="Q131" s="119">
        <f t="shared" ref="Q131:Q166" si="7">IF(OR(O131="",P131=""),"",AVERAGE(O131,P131))</f>
        <v>1.2</v>
      </c>
      <c r="R131" s="109">
        <v>16.8</v>
      </c>
      <c r="S131" s="109">
        <v>110</v>
      </c>
      <c r="T131" s="120">
        <f t="shared" ref="T131:T166" si="8">IF(H131="","",IF(OR(H131="GREEN",H131="GK"),IF(S131&gt;=$AX$2,VLOOKUP(S131,$AX$2:$AY$12,2,1),""),IF(S131&gt;=$AZ$2,VLOOKUP(S131,$AZ$2:$BA$12,2,1),"")))</f>
        <v>33</v>
      </c>
      <c r="U131" s="109">
        <v>498</v>
      </c>
      <c r="V131" s="120">
        <f t="shared" si="6"/>
        <v>4108.5</v>
      </c>
      <c r="W131" s="109">
        <v>10</v>
      </c>
      <c r="X131" s="109" t="s">
        <v>35</v>
      </c>
      <c r="Y131" s="109" t="s">
        <v>43</v>
      </c>
      <c r="Z131" s="109" t="s">
        <v>82</v>
      </c>
      <c r="AA131" s="109" t="s">
        <v>55</v>
      </c>
      <c r="AB131" s="109" t="s">
        <v>195</v>
      </c>
    </row>
    <row r="132" spans="1:28" x14ac:dyDescent="0.15">
      <c r="A132" s="109" t="s">
        <v>40</v>
      </c>
      <c r="B132" s="109" t="s">
        <v>191</v>
      </c>
      <c r="C132" s="109">
        <v>2020</v>
      </c>
      <c r="D132" s="117" t="s">
        <v>192</v>
      </c>
      <c r="E132" s="109" t="s">
        <v>215</v>
      </c>
      <c r="F132" s="109" t="s">
        <v>216</v>
      </c>
      <c r="G132" s="109" t="s">
        <v>25</v>
      </c>
      <c r="H132" s="109" t="s">
        <v>164</v>
      </c>
      <c r="I132" s="109" t="s">
        <v>111</v>
      </c>
      <c r="J132" s="118" t="s">
        <v>27</v>
      </c>
      <c r="K132" s="118" t="s">
        <v>112</v>
      </c>
      <c r="L132" s="109">
        <v>2</v>
      </c>
      <c r="N132" s="109">
        <v>4</v>
      </c>
      <c r="O132" s="109">
        <v>1.1499999999999999</v>
      </c>
      <c r="P132" s="109">
        <v>1.1000000000000001</v>
      </c>
      <c r="Q132" s="119">
        <f t="shared" si="7"/>
        <v>1.125</v>
      </c>
      <c r="R132" s="109">
        <v>17.100000000000001</v>
      </c>
      <c r="S132" s="109">
        <v>118</v>
      </c>
      <c r="T132" s="120">
        <f t="shared" si="8"/>
        <v>30</v>
      </c>
      <c r="U132" s="109">
        <v>498</v>
      </c>
      <c r="V132" s="120">
        <f t="shared" si="6"/>
        <v>3735</v>
      </c>
      <c r="W132" s="109">
        <v>10</v>
      </c>
      <c r="X132" s="109" t="s">
        <v>35</v>
      </c>
      <c r="Y132" s="109" t="s">
        <v>43</v>
      </c>
      <c r="Z132" s="109" t="s">
        <v>82</v>
      </c>
      <c r="AA132" s="109" t="s">
        <v>55</v>
      </c>
      <c r="AB132" s="109" t="s">
        <v>195</v>
      </c>
    </row>
    <row r="133" spans="1:28" x14ac:dyDescent="0.15">
      <c r="A133" s="109" t="s">
        <v>40</v>
      </c>
      <c r="B133" s="109" t="s">
        <v>191</v>
      </c>
      <c r="C133" s="109">
        <v>2020</v>
      </c>
      <c r="D133" s="117" t="s">
        <v>192</v>
      </c>
      <c r="E133" s="109" t="s">
        <v>215</v>
      </c>
      <c r="F133" s="109" t="s">
        <v>216</v>
      </c>
      <c r="G133" s="109" t="s">
        <v>25</v>
      </c>
      <c r="H133" s="109" t="s">
        <v>164</v>
      </c>
      <c r="I133" s="109" t="s">
        <v>111</v>
      </c>
      <c r="J133" s="118" t="s">
        <v>27</v>
      </c>
      <c r="K133" s="118" t="s">
        <v>112</v>
      </c>
      <c r="L133" s="109">
        <v>3</v>
      </c>
      <c r="N133" s="109">
        <v>4</v>
      </c>
      <c r="O133" s="109">
        <v>1.2</v>
      </c>
      <c r="P133" s="109">
        <v>1.25</v>
      </c>
      <c r="Q133" s="119">
        <f t="shared" si="7"/>
        <v>1.2250000000000001</v>
      </c>
      <c r="R133" s="109">
        <v>16.3</v>
      </c>
      <c r="S133" s="109">
        <v>114</v>
      </c>
      <c r="T133" s="120">
        <f t="shared" si="8"/>
        <v>30</v>
      </c>
      <c r="U133" s="109">
        <v>498</v>
      </c>
      <c r="V133" s="120">
        <f t="shared" si="6"/>
        <v>3735</v>
      </c>
      <c r="W133" s="109">
        <v>10</v>
      </c>
      <c r="X133" s="109" t="s">
        <v>35</v>
      </c>
      <c r="Y133" s="109" t="s">
        <v>43</v>
      </c>
      <c r="Z133" s="109" t="s">
        <v>82</v>
      </c>
      <c r="AA133" s="109" t="s">
        <v>55</v>
      </c>
      <c r="AB133" s="109" t="s">
        <v>195</v>
      </c>
    </row>
    <row r="134" spans="1:28" x14ac:dyDescent="0.15">
      <c r="A134" s="109" t="s">
        <v>40</v>
      </c>
      <c r="B134" s="109" t="s">
        <v>191</v>
      </c>
      <c r="C134" s="109">
        <v>2020</v>
      </c>
      <c r="D134" s="117" t="s">
        <v>192</v>
      </c>
      <c r="E134" s="109" t="s">
        <v>215</v>
      </c>
      <c r="F134" s="109" t="s">
        <v>216</v>
      </c>
      <c r="G134" s="109" t="s">
        <v>25</v>
      </c>
      <c r="H134" s="109" t="s">
        <v>164</v>
      </c>
      <c r="I134" s="109" t="s">
        <v>111</v>
      </c>
      <c r="J134" s="118" t="s">
        <v>27</v>
      </c>
      <c r="K134" s="118" t="s">
        <v>112</v>
      </c>
      <c r="L134" s="109">
        <v>1</v>
      </c>
      <c r="N134" s="109">
        <v>8</v>
      </c>
      <c r="O134" s="109">
        <v>0.9</v>
      </c>
      <c r="P134" s="109">
        <v>0.8</v>
      </c>
      <c r="Q134" s="119">
        <f t="shared" si="7"/>
        <v>0.85000000000000009</v>
      </c>
      <c r="R134" s="109">
        <v>16.899999999999999</v>
      </c>
      <c r="S134" s="109">
        <v>106</v>
      </c>
      <c r="T134" s="120">
        <f t="shared" si="8"/>
        <v>33</v>
      </c>
      <c r="U134" s="109">
        <v>780</v>
      </c>
      <c r="V134" s="120">
        <f t="shared" si="6"/>
        <v>3217.5</v>
      </c>
      <c r="W134" s="109">
        <v>10</v>
      </c>
      <c r="X134" s="109" t="s">
        <v>35</v>
      </c>
      <c r="Y134" s="109" t="s">
        <v>43</v>
      </c>
      <c r="Z134" s="109" t="s">
        <v>82</v>
      </c>
      <c r="AA134" s="109" t="s">
        <v>55</v>
      </c>
      <c r="AB134" s="109" t="s">
        <v>195</v>
      </c>
    </row>
    <row r="135" spans="1:28" x14ac:dyDescent="0.15">
      <c r="A135" s="109" t="s">
        <v>40</v>
      </c>
      <c r="B135" s="109" t="s">
        <v>191</v>
      </c>
      <c r="C135" s="109">
        <v>2020</v>
      </c>
      <c r="D135" s="117" t="s">
        <v>192</v>
      </c>
      <c r="E135" s="109" t="s">
        <v>215</v>
      </c>
      <c r="F135" s="109" t="s">
        <v>216</v>
      </c>
      <c r="G135" s="109" t="s">
        <v>25</v>
      </c>
      <c r="H135" s="109" t="s">
        <v>164</v>
      </c>
      <c r="I135" s="109" t="s">
        <v>111</v>
      </c>
      <c r="J135" s="118" t="s">
        <v>27</v>
      </c>
      <c r="K135" s="118" t="s">
        <v>112</v>
      </c>
      <c r="L135" s="109">
        <v>2</v>
      </c>
      <c r="N135" s="109">
        <v>8</v>
      </c>
      <c r="O135" s="109">
        <v>0.9</v>
      </c>
      <c r="P135" s="109">
        <v>0.85</v>
      </c>
      <c r="Q135" s="119">
        <f t="shared" si="7"/>
        <v>0.875</v>
      </c>
      <c r="R135" s="109">
        <v>16.3</v>
      </c>
      <c r="S135" s="109">
        <v>94</v>
      </c>
      <c r="T135" s="120">
        <f t="shared" si="8"/>
        <v>36</v>
      </c>
      <c r="U135" s="109">
        <v>780</v>
      </c>
      <c r="V135" s="120">
        <f t="shared" si="6"/>
        <v>3510</v>
      </c>
      <c r="W135" s="109">
        <v>10</v>
      </c>
      <c r="X135" s="109" t="s">
        <v>35</v>
      </c>
      <c r="Y135" s="109" t="s">
        <v>43</v>
      </c>
      <c r="Z135" s="109" t="s">
        <v>82</v>
      </c>
      <c r="AA135" s="109" t="s">
        <v>55</v>
      </c>
      <c r="AB135" s="109" t="s">
        <v>195</v>
      </c>
    </row>
    <row r="136" spans="1:28" x14ac:dyDescent="0.15">
      <c r="A136" s="109" t="s">
        <v>40</v>
      </c>
      <c r="B136" s="109" t="s">
        <v>191</v>
      </c>
      <c r="C136" s="109">
        <v>2020</v>
      </c>
      <c r="D136" s="117" t="s">
        <v>192</v>
      </c>
      <c r="E136" s="109" t="s">
        <v>215</v>
      </c>
      <c r="F136" s="109" t="s">
        <v>216</v>
      </c>
      <c r="G136" s="109" t="s">
        <v>25</v>
      </c>
      <c r="H136" s="109" t="s">
        <v>164</v>
      </c>
      <c r="I136" s="109" t="s">
        <v>111</v>
      </c>
      <c r="J136" s="118" t="s">
        <v>27</v>
      </c>
      <c r="K136" s="118" t="s">
        <v>112</v>
      </c>
      <c r="L136" s="109">
        <v>3</v>
      </c>
      <c r="N136" s="109">
        <v>8</v>
      </c>
      <c r="O136" s="109">
        <v>0.8</v>
      </c>
      <c r="P136" s="109">
        <v>0.85</v>
      </c>
      <c r="Q136" s="119">
        <f t="shared" si="7"/>
        <v>0.82499999999999996</v>
      </c>
      <c r="R136" s="109">
        <v>16.600000000000001</v>
      </c>
      <c r="S136" s="109">
        <v>97</v>
      </c>
      <c r="T136" s="120">
        <f t="shared" si="8"/>
        <v>36</v>
      </c>
      <c r="U136" s="109">
        <v>780</v>
      </c>
      <c r="V136" s="120">
        <f t="shared" si="6"/>
        <v>3510</v>
      </c>
      <c r="W136" s="109">
        <v>10</v>
      </c>
      <c r="X136" s="109" t="s">
        <v>35</v>
      </c>
      <c r="Y136" s="109" t="s">
        <v>43</v>
      </c>
      <c r="Z136" s="109" t="s">
        <v>82</v>
      </c>
      <c r="AA136" s="109" t="s">
        <v>55</v>
      </c>
      <c r="AB136" s="109" t="s">
        <v>195</v>
      </c>
    </row>
    <row r="137" spans="1:28" x14ac:dyDescent="0.15">
      <c r="A137" s="109" t="s">
        <v>40</v>
      </c>
      <c r="B137" s="109" t="s">
        <v>191</v>
      </c>
      <c r="C137" s="109">
        <v>2020</v>
      </c>
      <c r="D137" s="117" t="s">
        <v>192</v>
      </c>
      <c r="E137" s="109" t="s">
        <v>218</v>
      </c>
      <c r="F137" s="109" t="s">
        <v>194</v>
      </c>
      <c r="G137" s="109" t="s">
        <v>25</v>
      </c>
      <c r="H137" s="109" t="s">
        <v>113</v>
      </c>
      <c r="I137" s="109" t="s">
        <v>111</v>
      </c>
      <c r="J137" s="118" t="s">
        <v>27</v>
      </c>
      <c r="K137" s="118" t="s">
        <v>112</v>
      </c>
      <c r="L137" s="109">
        <v>1</v>
      </c>
      <c r="N137" s="109">
        <v>1</v>
      </c>
      <c r="O137" s="109">
        <v>0.75</v>
      </c>
      <c r="P137" s="109">
        <v>0.85</v>
      </c>
      <c r="Q137" s="119">
        <f t="shared" si="7"/>
        <v>0.8</v>
      </c>
      <c r="R137" s="109">
        <v>14.9</v>
      </c>
      <c r="S137" s="109">
        <v>106</v>
      </c>
      <c r="T137" s="120">
        <f t="shared" si="8"/>
        <v>33</v>
      </c>
      <c r="U137" s="109">
        <v>78</v>
      </c>
      <c r="V137" s="120">
        <f t="shared" si="6"/>
        <v>2574</v>
      </c>
      <c r="W137" s="109">
        <v>10</v>
      </c>
      <c r="X137" s="109" t="s">
        <v>35</v>
      </c>
      <c r="Y137" s="109" t="s">
        <v>43</v>
      </c>
      <c r="Z137" s="109" t="s">
        <v>55</v>
      </c>
      <c r="AA137" s="109" t="s">
        <v>36</v>
      </c>
      <c r="AB137" s="109" t="s">
        <v>195</v>
      </c>
    </row>
    <row r="138" spans="1:28" x14ac:dyDescent="0.15">
      <c r="A138" s="109" t="s">
        <v>40</v>
      </c>
      <c r="B138" s="109" t="s">
        <v>191</v>
      </c>
      <c r="C138" s="109">
        <v>2020</v>
      </c>
      <c r="D138" s="117" t="s">
        <v>192</v>
      </c>
      <c r="E138" s="109" t="s">
        <v>218</v>
      </c>
      <c r="F138" s="109" t="s">
        <v>194</v>
      </c>
      <c r="G138" s="109" t="s">
        <v>25</v>
      </c>
      <c r="H138" s="109" t="s">
        <v>113</v>
      </c>
      <c r="I138" s="109" t="s">
        <v>111</v>
      </c>
      <c r="J138" s="118" t="s">
        <v>27</v>
      </c>
      <c r="K138" s="118" t="s">
        <v>112</v>
      </c>
      <c r="L138" s="109">
        <v>2</v>
      </c>
      <c r="N138" s="109">
        <v>1</v>
      </c>
      <c r="O138" s="109">
        <v>0.8</v>
      </c>
      <c r="P138" s="109">
        <v>0.7</v>
      </c>
      <c r="Q138" s="119">
        <f t="shared" si="7"/>
        <v>0.75</v>
      </c>
      <c r="R138" s="109">
        <v>15</v>
      </c>
      <c r="S138" s="109">
        <v>112</v>
      </c>
      <c r="T138" s="120">
        <f t="shared" si="8"/>
        <v>33</v>
      </c>
      <c r="U138" s="109">
        <v>78</v>
      </c>
      <c r="V138" s="120">
        <f t="shared" si="6"/>
        <v>2574</v>
      </c>
      <c r="W138" s="109">
        <v>10</v>
      </c>
      <c r="X138" s="109" t="s">
        <v>35</v>
      </c>
      <c r="Y138" s="109" t="s">
        <v>43</v>
      </c>
      <c r="Z138" s="109" t="s">
        <v>55</v>
      </c>
      <c r="AA138" s="109" t="s">
        <v>36</v>
      </c>
      <c r="AB138" s="109" t="s">
        <v>195</v>
      </c>
    </row>
    <row r="139" spans="1:28" x14ac:dyDescent="0.15">
      <c r="A139" s="109" t="s">
        <v>40</v>
      </c>
      <c r="B139" s="109" t="s">
        <v>191</v>
      </c>
      <c r="C139" s="109">
        <v>2020</v>
      </c>
      <c r="D139" s="117" t="s">
        <v>192</v>
      </c>
      <c r="E139" s="109" t="s">
        <v>218</v>
      </c>
      <c r="F139" s="109" t="s">
        <v>194</v>
      </c>
      <c r="G139" s="109" t="s">
        <v>25</v>
      </c>
      <c r="H139" s="109" t="s">
        <v>113</v>
      </c>
      <c r="I139" s="109" t="s">
        <v>111</v>
      </c>
      <c r="J139" s="118" t="s">
        <v>27</v>
      </c>
      <c r="K139" s="118" t="s">
        <v>112</v>
      </c>
      <c r="L139" s="109">
        <v>3</v>
      </c>
      <c r="N139" s="109">
        <v>1</v>
      </c>
      <c r="O139" s="109">
        <v>0.8</v>
      </c>
      <c r="P139" s="109">
        <v>0.75</v>
      </c>
      <c r="Q139" s="119">
        <f t="shared" si="7"/>
        <v>0.77500000000000002</v>
      </c>
      <c r="R139" s="109">
        <v>15.2</v>
      </c>
      <c r="S139" s="109">
        <v>114</v>
      </c>
      <c r="T139" s="120">
        <f t="shared" si="8"/>
        <v>30</v>
      </c>
      <c r="U139" s="109">
        <v>78</v>
      </c>
      <c r="V139" s="120">
        <f t="shared" si="6"/>
        <v>2340</v>
      </c>
      <c r="W139" s="109">
        <v>10</v>
      </c>
      <c r="X139" s="109" t="s">
        <v>35</v>
      </c>
      <c r="Y139" s="109" t="s">
        <v>43</v>
      </c>
      <c r="Z139" s="109" t="s">
        <v>55</v>
      </c>
      <c r="AA139" s="109" t="s">
        <v>36</v>
      </c>
      <c r="AB139" s="109" t="s">
        <v>195</v>
      </c>
    </row>
    <row r="140" spans="1:28" x14ac:dyDescent="0.15">
      <c r="A140" s="109" t="s">
        <v>40</v>
      </c>
      <c r="B140" s="109" t="s">
        <v>191</v>
      </c>
      <c r="C140" s="109">
        <v>2020</v>
      </c>
      <c r="D140" s="117" t="s">
        <v>192</v>
      </c>
      <c r="E140" s="109" t="s">
        <v>218</v>
      </c>
      <c r="F140" s="109" t="s">
        <v>194</v>
      </c>
      <c r="G140" s="109" t="s">
        <v>25</v>
      </c>
      <c r="H140" s="109" t="s">
        <v>113</v>
      </c>
      <c r="I140" s="109" t="s">
        <v>111</v>
      </c>
      <c r="J140" s="118" t="s">
        <v>27</v>
      </c>
      <c r="K140" s="118" t="s">
        <v>112</v>
      </c>
      <c r="L140" s="109">
        <v>1</v>
      </c>
      <c r="N140" s="109">
        <v>8</v>
      </c>
      <c r="O140" s="109">
        <v>1</v>
      </c>
      <c r="P140" s="109">
        <v>0.95</v>
      </c>
      <c r="Q140" s="119">
        <f t="shared" si="7"/>
        <v>0.97499999999999998</v>
      </c>
      <c r="R140" s="109">
        <v>14.7</v>
      </c>
      <c r="S140" s="109">
        <v>81</v>
      </c>
      <c r="T140" s="120">
        <f t="shared" si="8"/>
        <v>39</v>
      </c>
      <c r="U140" s="109">
        <v>698</v>
      </c>
      <c r="V140" s="120">
        <f t="shared" si="6"/>
        <v>3402.75</v>
      </c>
      <c r="W140" s="109">
        <v>10</v>
      </c>
      <c r="X140" s="109" t="s">
        <v>35</v>
      </c>
      <c r="Y140" s="109" t="s">
        <v>43</v>
      </c>
      <c r="Z140" s="109" t="s">
        <v>55</v>
      </c>
      <c r="AA140" s="109" t="s">
        <v>36</v>
      </c>
      <c r="AB140" s="109" t="s">
        <v>195</v>
      </c>
    </row>
    <row r="141" spans="1:28" x14ac:dyDescent="0.15">
      <c r="A141" s="109" t="s">
        <v>40</v>
      </c>
      <c r="B141" s="109" t="s">
        <v>191</v>
      </c>
      <c r="C141" s="109">
        <v>2020</v>
      </c>
      <c r="D141" s="117" t="s">
        <v>192</v>
      </c>
      <c r="E141" s="109" t="s">
        <v>218</v>
      </c>
      <c r="F141" s="109" t="s">
        <v>194</v>
      </c>
      <c r="G141" s="109" t="s">
        <v>25</v>
      </c>
      <c r="H141" s="109" t="s">
        <v>113</v>
      </c>
      <c r="I141" s="109" t="s">
        <v>111</v>
      </c>
      <c r="J141" s="118" t="s">
        <v>27</v>
      </c>
      <c r="K141" s="118" t="s">
        <v>112</v>
      </c>
      <c r="L141" s="109">
        <v>2</v>
      </c>
      <c r="N141" s="109">
        <v>8</v>
      </c>
      <c r="O141" s="109">
        <v>1.05</v>
      </c>
      <c r="P141" s="109">
        <v>1</v>
      </c>
      <c r="Q141" s="119">
        <f t="shared" si="7"/>
        <v>1.0249999999999999</v>
      </c>
      <c r="R141" s="109">
        <v>15.2</v>
      </c>
      <c r="S141" s="109">
        <v>88</v>
      </c>
      <c r="T141" s="120">
        <f t="shared" si="8"/>
        <v>36</v>
      </c>
      <c r="U141" s="109">
        <v>698</v>
      </c>
      <c r="V141" s="120">
        <f t="shared" si="6"/>
        <v>3141</v>
      </c>
      <c r="W141" s="109">
        <v>10</v>
      </c>
      <c r="X141" s="109" t="s">
        <v>35</v>
      </c>
      <c r="Y141" s="109" t="s">
        <v>43</v>
      </c>
      <c r="Z141" s="109" t="s">
        <v>55</v>
      </c>
      <c r="AA141" s="109" t="s">
        <v>36</v>
      </c>
      <c r="AB141" s="109" t="s">
        <v>195</v>
      </c>
    </row>
    <row r="142" spans="1:28" x14ac:dyDescent="0.15">
      <c r="A142" s="109" t="s">
        <v>40</v>
      </c>
      <c r="B142" s="109" t="s">
        <v>191</v>
      </c>
      <c r="C142" s="109">
        <v>2020</v>
      </c>
      <c r="D142" s="117" t="s">
        <v>192</v>
      </c>
      <c r="E142" s="109" t="s">
        <v>218</v>
      </c>
      <c r="F142" s="109" t="s">
        <v>194</v>
      </c>
      <c r="G142" s="109" t="s">
        <v>25</v>
      </c>
      <c r="H142" s="109" t="s">
        <v>113</v>
      </c>
      <c r="I142" s="109" t="s">
        <v>111</v>
      </c>
      <c r="J142" s="118" t="s">
        <v>27</v>
      </c>
      <c r="K142" s="118" t="s">
        <v>112</v>
      </c>
      <c r="L142" s="109">
        <v>3</v>
      </c>
      <c r="N142" s="109">
        <v>8</v>
      </c>
      <c r="O142" s="109">
        <v>0.95</v>
      </c>
      <c r="P142" s="109">
        <v>1.05</v>
      </c>
      <c r="Q142" s="119">
        <f t="shared" si="7"/>
        <v>1</v>
      </c>
      <c r="R142" s="109">
        <v>15.1</v>
      </c>
      <c r="S142" s="109">
        <v>86</v>
      </c>
      <c r="T142" s="120">
        <f t="shared" si="8"/>
        <v>36</v>
      </c>
      <c r="U142" s="109">
        <v>698</v>
      </c>
      <c r="V142" s="120">
        <f t="shared" si="6"/>
        <v>3141</v>
      </c>
      <c r="W142" s="109">
        <v>10</v>
      </c>
      <c r="X142" s="109" t="s">
        <v>35</v>
      </c>
      <c r="Y142" s="109" t="s">
        <v>43</v>
      </c>
      <c r="Z142" s="109" t="s">
        <v>55</v>
      </c>
      <c r="AA142" s="109" t="s">
        <v>36</v>
      </c>
      <c r="AB142" s="109" t="s">
        <v>195</v>
      </c>
    </row>
    <row r="143" spans="1:28" x14ac:dyDescent="0.15">
      <c r="A143" s="109" t="s">
        <v>40</v>
      </c>
      <c r="B143" s="109" t="s">
        <v>191</v>
      </c>
      <c r="C143" s="109">
        <v>2020</v>
      </c>
      <c r="D143" s="117" t="s">
        <v>192</v>
      </c>
      <c r="E143" s="109" t="s">
        <v>218</v>
      </c>
      <c r="F143" s="109" t="s">
        <v>194</v>
      </c>
      <c r="G143" s="109" t="s">
        <v>25</v>
      </c>
      <c r="H143" s="109" t="s">
        <v>165</v>
      </c>
      <c r="I143" s="109" t="s">
        <v>111</v>
      </c>
      <c r="J143" s="118" t="s">
        <v>27</v>
      </c>
      <c r="K143" s="118" t="s">
        <v>112</v>
      </c>
      <c r="L143" s="109">
        <v>1</v>
      </c>
      <c r="N143" s="109">
        <v>5</v>
      </c>
      <c r="O143" s="109">
        <v>1</v>
      </c>
      <c r="P143" s="109">
        <v>0.95</v>
      </c>
      <c r="Q143" s="119">
        <f t="shared" si="7"/>
        <v>0.97499999999999998</v>
      </c>
      <c r="R143" s="109">
        <v>15.7</v>
      </c>
      <c r="S143" s="109">
        <v>82</v>
      </c>
      <c r="T143" s="120">
        <f t="shared" si="8"/>
        <v>39</v>
      </c>
      <c r="U143" s="109">
        <v>398</v>
      </c>
      <c r="V143" s="120">
        <f t="shared" si="6"/>
        <v>3104.3999999999996</v>
      </c>
      <c r="W143" s="109">
        <v>10</v>
      </c>
      <c r="X143" s="109" t="s">
        <v>35</v>
      </c>
      <c r="Y143" s="109" t="s">
        <v>43</v>
      </c>
      <c r="Z143" s="109" t="s">
        <v>55</v>
      </c>
      <c r="AA143" s="109" t="s">
        <v>36</v>
      </c>
      <c r="AB143" s="109" t="s">
        <v>195</v>
      </c>
    </row>
    <row r="144" spans="1:28" x14ac:dyDescent="0.15">
      <c r="A144" s="109" t="s">
        <v>40</v>
      </c>
      <c r="B144" s="109" t="s">
        <v>191</v>
      </c>
      <c r="C144" s="109">
        <v>2020</v>
      </c>
      <c r="D144" s="117" t="s">
        <v>192</v>
      </c>
      <c r="E144" s="109" t="s">
        <v>218</v>
      </c>
      <c r="F144" s="109" t="s">
        <v>194</v>
      </c>
      <c r="G144" s="109" t="s">
        <v>25</v>
      </c>
      <c r="H144" s="109" t="s">
        <v>165</v>
      </c>
      <c r="I144" s="109" t="s">
        <v>111</v>
      </c>
      <c r="J144" s="118" t="s">
        <v>27</v>
      </c>
      <c r="K144" s="118" t="s">
        <v>112</v>
      </c>
      <c r="L144" s="109">
        <v>2</v>
      </c>
      <c r="N144" s="109">
        <v>5</v>
      </c>
      <c r="O144" s="109">
        <v>0.85</v>
      </c>
      <c r="P144" s="109">
        <v>0.95</v>
      </c>
      <c r="Q144" s="119">
        <f t="shared" si="7"/>
        <v>0.89999999999999991</v>
      </c>
      <c r="R144" s="109">
        <v>16.3</v>
      </c>
      <c r="S144" s="109">
        <v>87</v>
      </c>
      <c r="T144" s="120">
        <f t="shared" si="8"/>
        <v>36</v>
      </c>
      <c r="U144" s="109">
        <v>398</v>
      </c>
      <c r="V144" s="120">
        <f t="shared" si="6"/>
        <v>2865.6</v>
      </c>
      <c r="W144" s="109">
        <v>10</v>
      </c>
      <c r="X144" s="109" t="s">
        <v>35</v>
      </c>
      <c r="Y144" s="109" t="s">
        <v>43</v>
      </c>
      <c r="Z144" s="109" t="s">
        <v>55</v>
      </c>
      <c r="AA144" s="109" t="s">
        <v>36</v>
      </c>
      <c r="AB144" s="109" t="s">
        <v>195</v>
      </c>
    </row>
    <row r="145" spans="1:28" x14ac:dyDescent="0.15">
      <c r="A145" s="109" t="s">
        <v>40</v>
      </c>
      <c r="B145" s="109" t="s">
        <v>191</v>
      </c>
      <c r="C145" s="109">
        <v>2020</v>
      </c>
      <c r="D145" s="117" t="s">
        <v>192</v>
      </c>
      <c r="E145" s="109" t="s">
        <v>218</v>
      </c>
      <c r="F145" s="109" t="s">
        <v>194</v>
      </c>
      <c r="G145" s="109" t="s">
        <v>25</v>
      </c>
      <c r="H145" s="109" t="s">
        <v>165</v>
      </c>
      <c r="I145" s="109" t="s">
        <v>111</v>
      </c>
      <c r="J145" s="118" t="s">
        <v>27</v>
      </c>
      <c r="K145" s="118" t="s">
        <v>112</v>
      </c>
      <c r="L145" s="109">
        <v>3</v>
      </c>
      <c r="N145" s="109">
        <v>5</v>
      </c>
      <c r="O145" s="109">
        <v>0.9</v>
      </c>
      <c r="P145" s="109">
        <v>0.9</v>
      </c>
      <c r="Q145" s="119">
        <f t="shared" si="7"/>
        <v>0.9</v>
      </c>
      <c r="R145" s="109">
        <v>16.5</v>
      </c>
      <c r="S145" s="109">
        <v>90</v>
      </c>
      <c r="T145" s="120">
        <f t="shared" si="8"/>
        <v>36</v>
      </c>
      <c r="U145" s="109">
        <v>398</v>
      </c>
      <c r="V145" s="120">
        <f t="shared" si="6"/>
        <v>2865.6</v>
      </c>
      <c r="W145" s="109">
        <v>10</v>
      </c>
      <c r="X145" s="109" t="s">
        <v>35</v>
      </c>
      <c r="Y145" s="109" t="s">
        <v>43</v>
      </c>
      <c r="Z145" s="109" t="s">
        <v>55</v>
      </c>
      <c r="AA145" s="109" t="s">
        <v>36</v>
      </c>
      <c r="AB145" s="109" t="s">
        <v>195</v>
      </c>
    </row>
    <row r="146" spans="1:28" x14ac:dyDescent="0.15">
      <c r="A146" s="109" t="s">
        <v>40</v>
      </c>
      <c r="B146" s="109" t="s">
        <v>191</v>
      </c>
      <c r="C146" s="109">
        <v>2020</v>
      </c>
      <c r="D146" s="117" t="s">
        <v>192</v>
      </c>
      <c r="E146" s="109" t="s">
        <v>218</v>
      </c>
      <c r="F146" s="109" t="s">
        <v>194</v>
      </c>
      <c r="G146" s="109" t="s">
        <v>25</v>
      </c>
      <c r="H146" s="109" t="s">
        <v>164</v>
      </c>
      <c r="I146" s="109" t="s">
        <v>111</v>
      </c>
      <c r="J146" s="118" t="s">
        <v>27</v>
      </c>
      <c r="K146" s="118" t="s">
        <v>112</v>
      </c>
      <c r="L146" s="109">
        <v>1</v>
      </c>
      <c r="N146" s="109">
        <v>1</v>
      </c>
      <c r="O146" s="109">
        <v>1.7</v>
      </c>
      <c r="P146" s="109">
        <v>1.8</v>
      </c>
      <c r="Q146" s="119">
        <f t="shared" si="7"/>
        <v>1.75</v>
      </c>
      <c r="R146" s="109">
        <v>16</v>
      </c>
      <c r="S146" s="109">
        <v>144</v>
      </c>
      <c r="T146" s="120">
        <f t="shared" si="8"/>
        <v>22</v>
      </c>
      <c r="U146" s="109">
        <v>98</v>
      </c>
      <c r="V146" s="120">
        <f t="shared" si="6"/>
        <v>2156</v>
      </c>
      <c r="W146" s="109">
        <v>10</v>
      </c>
      <c r="X146" s="109" t="s">
        <v>35</v>
      </c>
      <c r="Y146" s="109" t="s">
        <v>43</v>
      </c>
      <c r="Z146" s="109" t="s">
        <v>55</v>
      </c>
      <c r="AA146" s="109" t="s">
        <v>36</v>
      </c>
      <c r="AB146" s="109" t="s">
        <v>195</v>
      </c>
    </row>
    <row r="147" spans="1:28" x14ac:dyDescent="0.15">
      <c r="A147" s="109" t="s">
        <v>40</v>
      </c>
      <c r="B147" s="109" t="s">
        <v>191</v>
      </c>
      <c r="C147" s="109">
        <v>2020</v>
      </c>
      <c r="D147" s="117" t="s">
        <v>192</v>
      </c>
      <c r="E147" s="109" t="s">
        <v>218</v>
      </c>
      <c r="F147" s="109" t="s">
        <v>194</v>
      </c>
      <c r="G147" s="109" t="s">
        <v>25</v>
      </c>
      <c r="H147" s="109" t="s">
        <v>164</v>
      </c>
      <c r="I147" s="109" t="s">
        <v>111</v>
      </c>
      <c r="J147" s="118" t="s">
        <v>27</v>
      </c>
      <c r="K147" s="118" t="s">
        <v>112</v>
      </c>
      <c r="L147" s="109">
        <v>2</v>
      </c>
      <c r="N147" s="109">
        <v>1</v>
      </c>
      <c r="O147" s="109">
        <v>1.45</v>
      </c>
      <c r="P147" s="109">
        <v>1.55</v>
      </c>
      <c r="Q147" s="119">
        <f t="shared" si="7"/>
        <v>1.5</v>
      </c>
      <c r="R147" s="109">
        <v>16.600000000000001</v>
      </c>
      <c r="S147" s="109">
        <v>146</v>
      </c>
      <c r="T147" s="120">
        <f t="shared" si="8"/>
        <v>22</v>
      </c>
      <c r="U147" s="109">
        <v>98</v>
      </c>
      <c r="V147" s="120">
        <f t="shared" si="6"/>
        <v>2156</v>
      </c>
      <c r="W147" s="109">
        <v>10</v>
      </c>
      <c r="X147" s="109" t="s">
        <v>35</v>
      </c>
      <c r="Y147" s="109" t="s">
        <v>43</v>
      </c>
      <c r="Z147" s="109" t="s">
        <v>55</v>
      </c>
      <c r="AA147" s="109" t="s">
        <v>36</v>
      </c>
      <c r="AB147" s="109" t="s">
        <v>195</v>
      </c>
    </row>
    <row r="148" spans="1:28" x14ac:dyDescent="0.15">
      <c r="A148" s="109" t="s">
        <v>40</v>
      </c>
      <c r="B148" s="109" t="s">
        <v>191</v>
      </c>
      <c r="C148" s="109">
        <v>2020</v>
      </c>
      <c r="D148" s="117" t="s">
        <v>192</v>
      </c>
      <c r="E148" s="109" t="s">
        <v>218</v>
      </c>
      <c r="F148" s="109" t="s">
        <v>194</v>
      </c>
      <c r="G148" s="109" t="s">
        <v>25</v>
      </c>
      <c r="H148" s="109" t="s">
        <v>164</v>
      </c>
      <c r="I148" s="109" t="s">
        <v>111</v>
      </c>
      <c r="J148" s="118" t="s">
        <v>27</v>
      </c>
      <c r="K148" s="118" t="s">
        <v>112</v>
      </c>
      <c r="L148" s="109">
        <v>3</v>
      </c>
      <c r="N148" s="109">
        <v>1</v>
      </c>
      <c r="O148" s="109">
        <v>1.6</v>
      </c>
      <c r="P148" s="109">
        <v>1.7</v>
      </c>
      <c r="Q148" s="119">
        <f t="shared" si="7"/>
        <v>1.65</v>
      </c>
      <c r="R148" s="109">
        <v>16.8</v>
      </c>
      <c r="S148" s="109">
        <v>146</v>
      </c>
      <c r="T148" s="120">
        <f t="shared" si="8"/>
        <v>22</v>
      </c>
      <c r="U148" s="109">
        <v>98</v>
      </c>
      <c r="V148" s="120">
        <f t="shared" si="6"/>
        <v>2156</v>
      </c>
      <c r="W148" s="109">
        <v>10</v>
      </c>
      <c r="X148" s="109" t="s">
        <v>35</v>
      </c>
      <c r="Y148" s="109" t="s">
        <v>43</v>
      </c>
      <c r="Z148" s="109" t="s">
        <v>55</v>
      </c>
      <c r="AA148" s="109" t="s">
        <v>36</v>
      </c>
      <c r="AB148" s="109" t="s">
        <v>195</v>
      </c>
    </row>
    <row r="149" spans="1:28" x14ac:dyDescent="0.15">
      <c r="A149" s="109" t="s">
        <v>40</v>
      </c>
      <c r="B149" s="109" t="s">
        <v>191</v>
      </c>
      <c r="C149" s="109">
        <v>2020</v>
      </c>
      <c r="D149" s="117" t="s">
        <v>192</v>
      </c>
      <c r="E149" s="109" t="s">
        <v>218</v>
      </c>
      <c r="F149" s="109" t="s">
        <v>194</v>
      </c>
      <c r="G149" s="109" t="s">
        <v>25</v>
      </c>
      <c r="H149" s="109" t="s">
        <v>164</v>
      </c>
      <c r="I149" s="109" t="s">
        <v>111</v>
      </c>
      <c r="J149" s="118" t="s">
        <v>27</v>
      </c>
      <c r="K149" s="118" t="s">
        <v>112</v>
      </c>
      <c r="L149" s="109">
        <v>1</v>
      </c>
      <c r="N149" s="109">
        <v>4</v>
      </c>
      <c r="O149" s="109">
        <v>0.75</v>
      </c>
      <c r="P149" s="109">
        <v>0.95</v>
      </c>
      <c r="Q149" s="119">
        <f t="shared" si="7"/>
        <v>0.85</v>
      </c>
      <c r="R149" s="109">
        <v>16.2</v>
      </c>
      <c r="S149" s="109">
        <v>96</v>
      </c>
      <c r="T149" s="120">
        <f t="shared" si="8"/>
        <v>36</v>
      </c>
      <c r="U149" s="109">
        <v>398</v>
      </c>
      <c r="V149" s="120">
        <f t="shared" si="6"/>
        <v>3582</v>
      </c>
      <c r="W149" s="109">
        <v>10</v>
      </c>
      <c r="X149" s="109" t="s">
        <v>35</v>
      </c>
      <c r="Y149" s="109" t="s">
        <v>43</v>
      </c>
      <c r="Z149" s="109" t="s">
        <v>55</v>
      </c>
      <c r="AA149" s="109" t="s">
        <v>36</v>
      </c>
      <c r="AB149" s="109" t="s">
        <v>195</v>
      </c>
    </row>
    <row r="150" spans="1:28" x14ac:dyDescent="0.15">
      <c r="A150" s="109" t="s">
        <v>40</v>
      </c>
      <c r="B150" s="109" t="s">
        <v>191</v>
      </c>
      <c r="C150" s="109">
        <v>2020</v>
      </c>
      <c r="D150" s="117" t="s">
        <v>192</v>
      </c>
      <c r="E150" s="109" t="s">
        <v>218</v>
      </c>
      <c r="F150" s="109" t="s">
        <v>194</v>
      </c>
      <c r="G150" s="109" t="s">
        <v>25</v>
      </c>
      <c r="H150" s="109" t="s">
        <v>164</v>
      </c>
      <c r="I150" s="109" t="s">
        <v>111</v>
      </c>
      <c r="J150" s="118" t="s">
        <v>27</v>
      </c>
      <c r="K150" s="118" t="s">
        <v>112</v>
      </c>
      <c r="L150" s="109">
        <v>2</v>
      </c>
      <c r="N150" s="109">
        <v>4</v>
      </c>
      <c r="O150" s="109">
        <v>0.8</v>
      </c>
      <c r="P150" s="109">
        <v>0.85</v>
      </c>
      <c r="Q150" s="119">
        <f t="shared" si="7"/>
        <v>0.82499999999999996</v>
      </c>
      <c r="R150" s="109">
        <v>16.5</v>
      </c>
      <c r="S150" s="109">
        <v>96</v>
      </c>
      <c r="T150" s="120">
        <f t="shared" si="8"/>
        <v>36</v>
      </c>
      <c r="U150" s="109">
        <v>398</v>
      </c>
      <c r="V150" s="120">
        <f t="shared" si="6"/>
        <v>3582</v>
      </c>
      <c r="W150" s="109">
        <v>10</v>
      </c>
      <c r="X150" s="109" t="s">
        <v>35</v>
      </c>
      <c r="Y150" s="109" t="s">
        <v>43</v>
      </c>
      <c r="Z150" s="109" t="s">
        <v>55</v>
      </c>
      <c r="AA150" s="109" t="s">
        <v>36</v>
      </c>
      <c r="AB150" s="109" t="s">
        <v>195</v>
      </c>
    </row>
    <row r="151" spans="1:28" x14ac:dyDescent="0.15">
      <c r="A151" s="109" t="s">
        <v>40</v>
      </c>
      <c r="B151" s="109" t="s">
        <v>191</v>
      </c>
      <c r="C151" s="109">
        <v>2020</v>
      </c>
      <c r="D151" s="117" t="s">
        <v>192</v>
      </c>
      <c r="E151" s="109" t="s">
        <v>218</v>
      </c>
      <c r="F151" s="109" t="s">
        <v>194</v>
      </c>
      <c r="G151" s="109" t="s">
        <v>25</v>
      </c>
      <c r="H151" s="109" t="s">
        <v>164</v>
      </c>
      <c r="I151" s="109" t="s">
        <v>111</v>
      </c>
      <c r="J151" s="118" t="s">
        <v>27</v>
      </c>
      <c r="K151" s="118" t="s">
        <v>112</v>
      </c>
      <c r="L151" s="109">
        <v>3</v>
      </c>
      <c r="N151" s="109">
        <v>4</v>
      </c>
      <c r="O151" s="109">
        <v>0.85</v>
      </c>
      <c r="P151" s="109">
        <v>0.7</v>
      </c>
      <c r="Q151" s="119">
        <f t="shared" si="7"/>
        <v>0.77499999999999991</v>
      </c>
      <c r="R151" s="109">
        <v>17.100000000000001</v>
      </c>
      <c r="S151" s="109">
        <v>102</v>
      </c>
      <c r="T151" s="120">
        <f t="shared" si="8"/>
        <v>33</v>
      </c>
      <c r="U151" s="109">
        <v>398</v>
      </c>
      <c r="V151" s="120">
        <f t="shared" si="6"/>
        <v>3283.5</v>
      </c>
      <c r="W151" s="109">
        <v>10</v>
      </c>
      <c r="X151" s="109" t="s">
        <v>35</v>
      </c>
      <c r="Y151" s="109" t="s">
        <v>43</v>
      </c>
      <c r="Z151" s="109" t="s">
        <v>55</v>
      </c>
      <c r="AA151" s="109" t="s">
        <v>36</v>
      </c>
      <c r="AB151" s="109" t="s">
        <v>195</v>
      </c>
    </row>
    <row r="152" spans="1:28" x14ac:dyDescent="0.15">
      <c r="A152" s="109" t="s">
        <v>40</v>
      </c>
      <c r="B152" s="109" t="s">
        <v>191</v>
      </c>
      <c r="C152" s="109">
        <v>2020</v>
      </c>
      <c r="D152" s="117" t="s">
        <v>192</v>
      </c>
      <c r="E152" s="109" t="s">
        <v>218</v>
      </c>
      <c r="F152" s="109" t="s">
        <v>194</v>
      </c>
      <c r="G152" s="109" t="s">
        <v>25</v>
      </c>
      <c r="H152" s="109" t="s">
        <v>164</v>
      </c>
      <c r="I152" s="109" t="s">
        <v>111</v>
      </c>
      <c r="J152" s="118" t="s">
        <v>27</v>
      </c>
      <c r="K152" s="118" t="s">
        <v>112</v>
      </c>
      <c r="L152" s="109">
        <v>1</v>
      </c>
      <c r="N152" s="109">
        <v>8</v>
      </c>
      <c r="O152" s="109">
        <v>0.9</v>
      </c>
      <c r="P152" s="109">
        <v>0.8</v>
      </c>
      <c r="Q152" s="119">
        <f t="shared" si="7"/>
        <v>0.85000000000000009</v>
      </c>
      <c r="R152" s="109">
        <v>17.600000000000001</v>
      </c>
      <c r="S152" s="109">
        <v>98</v>
      </c>
      <c r="T152" s="120">
        <f t="shared" si="8"/>
        <v>36</v>
      </c>
      <c r="U152" s="109">
        <v>698</v>
      </c>
      <c r="V152" s="120">
        <f t="shared" si="6"/>
        <v>3141</v>
      </c>
      <c r="W152" s="109">
        <v>10</v>
      </c>
      <c r="X152" s="109" t="s">
        <v>35</v>
      </c>
      <c r="Y152" s="109" t="s">
        <v>43</v>
      </c>
      <c r="Z152" s="109" t="s">
        <v>55</v>
      </c>
      <c r="AA152" s="109" t="s">
        <v>36</v>
      </c>
      <c r="AB152" s="109" t="s">
        <v>195</v>
      </c>
    </row>
    <row r="153" spans="1:28" x14ac:dyDescent="0.15">
      <c r="A153" s="109" t="s">
        <v>40</v>
      </c>
      <c r="B153" s="109" t="s">
        <v>191</v>
      </c>
      <c r="C153" s="109">
        <v>2020</v>
      </c>
      <c r="D153" s="117" t="s">
        <v>192</v>
      </c>
      <c r="E153" s="109" t="s">
        <v>218</v>
      </c>
      <c r="F153" s="109" t="s">
        <v>194</v>
      </c>
      <c r="G153" s="109" t="s">
        <v>25</v>
      </c>
      <c r="H153" s="109" t="s">
        <v>164</v>
      </c>
      <c r="I153" s="109" t="s">
        <v>111</v>
      </c>
      <c r="J153" s="118" t="s">
        <v>27</v>
      </c>
      <c r="K153" s="118" t="s">
        <v>112</v>
      </c>
      <c r="L153" s="109">
        <v>2</v>
      </c>
      <c r="N153" s="109">
        <v>8</v>
      </c>
      <c r="O153" s="109">
        <v>0.95</v>
      </c>
      <c r="P153" s="109">
        <v>0.85</v>
      </c>
      <c r="Q153" s="119">
        <f t="shared" si="7"/>
        <v>0.89999999999999991</v>
      </c>
      <c r="R153" s="109">
        <v>16.899999999999999</v>
      </c>
      <c r="S153" s="109">
        <v>100</v>
      </c>
      <c r="T153" s="120">
        <f t="shared" si="8"/>
        <v>33</v>
      </c>
      <c r="U153" s="109">
        <v>698</v>
      </c>
      <c r="V153" s="120">
        <f t="shared" si="6"/>
        <v>2879.25</v>
      </c>
      <c r="W153" s="109">
        <v>10</v>
      </c>
      <c r="X153" s="109" t="s">
        <v>35</v>
      </c>
      <c r="Y153" s="109" t="s">
        <v>43</v>
      </c>
      <c r="Z153" s="109" t="s">
        <v>55</v>
      </c>
      <c r="AA153" s="109" t="s">
        <v>36</v>
      </c>
      <c r="AB153" s="109" t="s">
        <v>195</v>
      </c>
    </row>
    <row r="154" spans="1:28" x14ac:dyDescent="0.15">
      <c r="A154" s="109" t="s">
        <v>40</v>
      </c>
      <c r="B154" s="109" t="s">
        <v>191</v>
      </c>
      <c r="C154" s="109">
        <v>2020</v>
      </c>
      <c r="D154" s="117" t="s">
        <v>192</v>
      </c>
      <c r="E154" s="109" t="s">
        <v>218</v>
      </c>
      <c r="F154" s="109" t="s">
        <v>194</v>
      </c>
      <c r="G154" s="109" t="s">
        <v>25</v>
      </c>
      <c r="H154" s="109" t="s">
        <v>164</v>
      </c>
      <c r="I154" s="109" t="s">
        <v>111</v>
      </c>
      <c r="J154" s="118" t="s">
        <v>27</v>
      </c>
      <c r="K154" s="118" t="s">
        <v>112</v>
      </c>
      <c r="L154" s="109">
        <v>3</v>
      </c>
      <c r="N154" s="109">
        <v>8</v>
      </c>
      <c r="O154" s="109">
        <v>0.9</v>
      </c>
      <c r="P154" s="109">
        <v>0.85</v>
      </c>
      <c r="Q154" s="119">
        <f t="shared" si="7"/>
        <v>0.875</v>
      </c>
      <c r="R154" s="109">
        <v>17.3</v>
      </c>
      <c r="S154" s="109">
        <v>94</v>
      </c>
      <c r="T154" s="120">
        <f t="shared" si="8"/>
        <v>36</v>
      </c>
      <c r="U154" s="109">
        <v>698</v>
      </c>
      <c r="V154" s="120">
        <f t="shared" si="6"/>
        <v>3141</v>
      </c>
      <c r="W154" s="109">
        <v>10</v>
      </c>
      <c r="X154" s="109" t="s">
        <v>35</v>
      </c>
      <c r="Y154" s="109" t="s">
        <v>43</v>
      </c>
      <c r="Z154" s="109" t="s">
        <v>55</v>
      </c>
      <c r="AA154" s="109" t="s">
        <v>36</v>
      </c>
      <c r="AB154" s="109" t="s">
        <v>195</v>
      </c>
    </row>
    <row r="155" spans="1:28" x14ac:dyDescent="0.15">
      <c r="A155" s="109" t="s">
        <v>40</v>
      </c>
      <c r="B155" s="109" t="s">
        <v>191</v>
      </c>
      <c r="C155" s="109">
        <v>2020</v>
      </c>
      <c r="D155" s="117" t="s">
        <v>192</v>
      </c>
      <c r="E155" s="109" t="s">
        <v>199</v>
      </c>
      <c r="F155" s="109" t="s">
        <v>200</v>
      </c>
      <c r="G155" s="109" t="s">
        <v>25</v>
      </c>
      <c r="H155" s="109" t="s">
        <v>113</v>
      </c>
      <c r="I155" s="109" t="s">
        <v>111</v>
      </c>
      <c r="J155" s="118" t="s">
        <v>27</v>
      </c>
      <c r="K155" s="118" t="s">
        <v>112</v>
      </c>
      <c r="L155" s="109">
        <v>1</v>
      </c>
      <c r="N155" s="109">
        <v>1</v>
      </c>
      <c r="O155" s="109">
        <v>0.75</v>
      </c>
      <c r="P155" s="109">
        <v>0.65</v>
      </c>
      <c r="Q155" s="119">
        <f t="shared" si="7"/>
        <v>0.7</v>
      </c>
      <c r="R155" s="109">
        <v>18.399999999999999</v>
      </c>
      <c r="S155" s="109">
        <v>146</v>
      </c>
      <c r="T155" s="120">
        <f t="shared" si="8"/>
        <v>22</v>
      </c>
      <c r="U155" s="109">
        <v>138</v>
      </c>
      <c r="V155" s="120">
        <f t="shared" si="6"/>
        <v>3036</v>
      </c>
      <c r="W155" s="109">
        <v>8</v>
      </c>
      <c r="X155" s="109" t="s">
        <v>35</v>
      </c>
      <c r="Y155" s="109" t="s">
        <v>43</v>
      </c>
      <c r="Z155" s="109" t="s">
        <v>55</v>
      </c>
      <c r="AA155" s="109" t="s">
        <v>36</v>
      </c>
      <c r="AB155" s="109" t="s">
        <v>195</v>
      </c>
    </row>
    <row r="156" spans="1:28" x14ac:dyDescent="0.15">
      <c r="A156" s="109" t="s">
        <v>40</v>
      </c>
      <c r="B156" s="109" t="s">
        <v>191</v>
      </c>
      <c r="C156" s="109">
        <v>2020</v>
      </c>
      <c r="D156" s="117" t="s">
        <v>192</v>
      </c>
      <c r="E156" s="109" t="s">
        <v>199</v>
      </c>
      <c r="F156" s="109" t="s">
        <v>200</v>
      </c>
      <c r="G156" s="109" t="s">
        <v>25</v>
      </c>
      <c r="H156" s="109" t="s">
        <v>113</v>
      </c>
      <c r="I156" s="109" t="s">
        <v>111</v>
      </c>
      <c r="J156" s="118" t="s">
        <v>27</v>
      </c>
      <c r="K156" s="118" t="s">
        <v>112</v>
      </c>
      <c r="L156" s="109">
        <v>2</v>
      </c>
      <c r="N156" s="109">
        <v>1</v>
      </c>
      <c r="O156" s="109">
        <v>0.7</v>
      </c>
      <c r="P156" s="109">
        <v>0.75</v>
      </c>
      <c r="Q156" s="119">
        <f t="shared" si="7"/>
        <v>0.72499999999999998</v>
      </c>
      <c r="R156" s="109">
        <v>17.7</v>
      </c>
      <c r="S156" s="109">
        <v>140</v>
      </c>
      <c r="T156" s="120">
        <f t="shared" si="8"/>
        <v>22</v>
      </c>
      <c r="U156" s="109">
        <v>138</v>
      </c>
      <c r="V156" s="120">
        <f t="shared" si="6"/>
        <v>3036</v>
      </c>
      <c r="W156" s="109">
        <v>8</v>
      </c>
      <c r="X156" s="109" t="s">
        <v>35</v>
      </c>
      <c r="Y156" s="109" t="s">
        <v>43</v>
      </c>
      <c r="Z156" s="109" t="s">
        <v>55</v>
      </c>
      <c r="AA156" s="109" t="s">
        <v>36</v>
      </c>
      <c r="AB156" s="109" t="s">
        <v>195</v>
      </c>
    </row>
    <row r="157" spans="1:28" x14ac:dyDescent="0.15">
      <c r="A157" s="109" t="s">
        <v>40</v>
      </c>
      <c r="B157" s="109" t="s">
        <v>191</v>
      </c>
      <c r="C157" s="109">
        <v>2020</v>
      </c>
      <c r="D157" s="117" t="s">
        <v>192</v>
      </c>
      <c r="E157" s="109" t="s">
        <v>199</v>
      </c>
      <c r="F157" s="109" t="s">
        <v>200</v>
      </c>
      <c r="G157" s="109" t="s">
        <v>25</v>
      </c>
      <c r="H157" s="109" t="s">
        <v>113</v>
      </c>
      <c r="I157" s="109" t="s">
        <v>111</v>
      </c>
      <c r="J157" s="118" t="s">
        <v>27</v>
      </c>
      <c r="K157" s="118" t="s">
        <v>112</v>
      </c>
      <c r="L157" s="109">
        <v>3</v>
      </c>
      <c r="N157" s="109">
        <v>1</v>
      </c>
      <c r="O157" s="109">
        <v>0.8</v>
      </c>
      <c r="P157" s="109">
        <v>0.8</v>
      </c>
      <c r="Q157" s="119">
        <f t="shared" si="7"/>
        <v>0.8</v>
      </c>
      <c r="R157" s="109">
        <v>17.3</v>
      </c>
      <c r="S157" s="109">
        <v>140</v>
      </c>
      <c r="T157" s="120">
        <f t="shared" si="8"/>
        <v>22</v>
      </c>
      <c r="U157" s="109">
        <v>138</v>
      </c>
      <c r="V157" s="120">
        <f t="shared" si="6"/>
        <v>3036</v>
      </c>
      <c r="W157" s="109">
        <v>8</v>
      </c>
      <c r="X157" s="109" t="s">
        <v>35</v>
      </c>
      <c r="Y157" s="109" t="s">
        <v>43</v>
      </c>
      <c r="Z157" s="109" t="s">
        <v>55</v>
      </c>
      <c r="AA157" s="109" t="s">
        <v>36</v>
      </c>
      <c r="AB157" s="109" t="s">
        <v>195</v>
      </c>
    </row>
    <row r="158" spans="1:28" x14ac:dyDescent="0.15">
      <c r="A158" s="109" t="s">
        <v>40</v>
      </c>
      <c r="B158" s="109" t="s">
        <v>191</v>
      </c>
      <c r="C158" s="109">
        <v>2020</v>
      </c>
      <c r="D158" s="117" t="s">
        <v>192</v>
      </c>
      <c r="E158" s="109" t="s">
        <v>199</v>
      </c>
      <c r="F158" s="109" t="s">
        <v>200</v>
      </c>
      <c r="G158" s="109" t="s">
        <v>25</v>
      </c>
      <c r="H158" s="109" t="s">
        <v>113</v>
      </c>
      <c r="I158" s="109" t="s">
        <v>111</v>
      </c>
      <c r="J158" s="118" t="s">
        <v>27</v>
      </c>
      <c r="K158" s="118" t="s">
        <v>112</v>
      </c>
      <c r="L158" s="109">
        <v>1</v>
      </c>
      <c r="N158" s="109">
        <v>4</v>
      </c>
      <c r="O158" s="109">
        <v>1.25</v>
      </c>
      <c r="P158" s="109">
        <v>1.5</v>
      </c>
      <c r="Q158" s="119">
        <f t="shared" si="7"/>
        <v>1.375</v>
      </c>
      <c r="R158" s="109">
        <v>13.1</v>
      </c>
      <c r="S158" s="109">
        <v>93</v>
      </c>
      <c r="T158" s="120">
        <f t="shared" si="8"/>
        <v>36</v>
      </c>
      <c r="U158" s="109">
        <v>498</v>
      </c>
      <c r="V158" s="120">
        <f t="shared" si="6"/>
        <v>4482</v>
      </c>
      <c r="W158" s="109">
        <v>8</v>
      </c>
      <c r="X158" s="109" t="s">
        <v>35</v>
      </c>
      <c r="Y158" s="109" t="s">
        <v>43</v>
      </c>
      <c r="Z158" s="109" t="s">
        <v>55</v>
      </c>
      <c r="AA158" s="109" t="s">
        <v>36</v>
      </c>
      <c r="AB158" s="109" t="s">
        <v>195</v>
      </c>
    </row>
    <row r="159" spans="1:28" x14ac:dyDescent="0.15">
      <c r="A159" s="109" t="s">
        <v>40</v>
      </c>
      <c r="B159" s="109" t="s">
        <v>191</v>
      </c>
      <c r="C159" s="109">
        <v>2020</v>
      </c>
      <c r="D159" s="117" t="s">
        <v>192</v>
      </c>
      <c r="E159" s="109" t="s">
        <v>199</v>
      </c>
      <c r="F159" s="109" t="s">
        <v>200</v>
      </c>
      <c r="G159" s="109" t="s">
        <v>25</v>
      </c>
      <c r="H159" s="109" t="s">
        <v>113</v>
      </c>
      <c r="I159" s="109" t="s">
        <v>111</v>
      </c>
      <c r="J159" s="118" t="s">
        <v>27</v>
      </c>
      <c r="K159" s="118" t="s">
        <v>112</v>
      </c>
      <c r="L159" s="109">
        <v>2</v>
      </c>
      <c r="N159" s="109">
        <v>4</v>
      </c>
      <c r="O159" s="109">
        <v>1.4</v>
      </c>
      <c r="P159" s="109">
        <v>1.2</v>
      </c>
      <c r="Q159" s="119">
        <f t="shared" si="7"/>
        <v>1.2999999999999998</v>
      </c>
      <c r="R159" s="109">
        <v>13.8</v>
      </c>
      <c r="S159" s="109">
        <v>104</v>
      </c>
      <c r="T159" s="120">
        <f t="shared" si="8"/>
        <v>33</v>
      </c>
      <c r="U159" s="109">
        <v>498</v>
      </c>
      <c r="V159" s="120">
        <f t="shared" si="6"/>
        <v>4108.5</v>
      </c>
      <c r="W159" s="109">
        <v>8</v>
      </c>
      <c r="X159" s="109" t="s">
        <v>35</v>
      </c>
      <c r="Y159" s="109" t="s">
        <v>43</v>
      </c>
      <c r="Z159" s="109" t="s">
        <v>55</v>
      </c>
      <c r="AA159" s="109" t="s">
        <v>36</v>
      </c>
      <c r="AB159" s="109" t="s">
        <v>195</v>
      </c>
    </row>
    <row r="160" spans="1:28" x14ac:dyDescent="0.15">
      <c r="A160" s="109" t="s">
        <v>40</v>
      </c>
      <c r="B160" s="109" t="s">
        <v>191</v>
      </c>
      <c r="C160" s="109">
        <v>2020</v>
      </c>
      <c r="D160" s="117" t="s">
        <v>192</v>
      </c>
      <c r="E160" s="109" t="s">
        <v>199</v>
      </c>
      <c r="F160" s="109" t="s">
        <v>200</v>
      </c>
      <c r="G160" s="109" t="s">
        <v>25</v>
      </c>
      <c r="H160" s="109" t="s">
        <v>113</v>
      </c>
      <c r="I160" s="109" t="s">
        <v>111</v>
      </c>
      <c r="J160" s="118" t="s">
        <v>27</v>
      </c>
      <c r="K160" s="118" t="s">
        <v>112</v>
      </c>
      <c r="L160" s="109">
        <v>3</v>
      </c>
      <c r="N160" s="109">
        <v>4</v>
      </c>
      <c r="O160" s="109">
        <v>1.35</v>
      </c>
      <c r="P160" s="109">
        <v>1.45</v>
      </c>
      <c r="Q160" s="119">
        <f t="shared" si="7"/>
        <v>1.4</v>
      </c>
      <c r="R160" s="109">
        <v>13.5</v>
      </c>
      <c r="S160" s="109">
        <v>98</v>
      </c>
      <c r="T160" s="120">
        <f t="shared" si="8"/>
        <v>36</v>
      </c>
      <c r="U160" s="109">
        <v>498</v>
      </c>
      <c r="V160" s="120">
        <f t="shared" si="6"/>
        <v>4482</v>
      </c>
      <c r="W160" s="109">
        <v>8</v>
      </c>
      <c r="X160" s="109" t="s">
        <v>35</v>
      </c>
      <c r="Y160" s="109" t="s">
        <v>43</v>
      </c>
      <c r="Z160" s="109" t="s">
        <v>55</v>
      </c>
      <c r="AA160" s="109" t="s">
        <v>36</v>
      </c>
      <c r="AB160" s="109" t="s">
        <v>195</v>
      </c>
    </row>
    <row r="161" spans="1:28" x14ac:dyDescent="0.15">
      <c r="A161" s="109" t="s">
        <v>40</v>
      </c>
      <c r="B161" s="109" t="s">
        <v>191</v>
      </c>
      <c r="C161" s="109">
        <v>2020</v>
      </c>
      <c r="D161" s="117" t="s">
        <v>192</v>
      </c>
      <c r="E161" s="109" t="s">
        <v>199</v>
      </c>
      <c r="F161" s="109" t="s">
        <v>200</v>
      </c>
      <c r="G161" s="109" t="s">
        <v>25</v>
      </c>
      <c r="H161" s="109" t="s">
        <v>164</v>
      </c>
      <c r="I161" s="109" t="s">
        <v>111</v>
      </c>
      <c r="J161" s="118" t="s">
        <v>27</v>
      </c>
      <c r="K161" s="118" t="s">
        <v>112</v>
      </c>
      <c r="L161" s="109">
        <v>1</v>
      </c>
      <c r="N161" s="109">
        <v>1</v>
      </c>
      <c r="O161" s="109">
        <v>0.8</v>
      </c>
      <c r="P161" s="109">
        <v>0.7</v>
      </c>
      <c r="Q161" s="119">
        <f t="shared" si="7"/>
        <v>0.75</v>
      </c>
      <c r="R161" s="109">
        <v>18.2</v>
      </c>
      <c r="S161" s="109">
        <v>160</v>
      </c>
      <c r="T161" s="120">
        <f t="shared" si="8"/>
        <v>18</v>
      </c>
      <c r="U161" s="109">
        <v>138</v>
      </c>
      <c r="V161" s="120">
        <f t="shared" si="6"/>
        <v>2484</v>
      </c>
      <c r="W161" s="109">
        <v>8</v>
      </c>
      <c r="X161" s="109" t="s">
        <v>35</v>
      </c>
      <c r="Y161" s="109" t="s">
        <v>43</v>
      </c>
      <c r="Z161" s="109" t="s">
        <v>55</v>
      </c>
      <c r="AA161" s="109" t="s">
        <v>36</v>
      </c>
      <c r="AB161" s="109" t="s">
        <v>195</v>
      </c>
    </row>
    <row r="162" spans="1:28" x14ac:dyDescent="0.15">
      <c r="A162" s="109" t="s">
        <v>40</v>
      </c>
      <c r="B162" s="109" t="s">
        <v>191</v>
      </c>
      <c r="C162" s="109">
        <v>2020</v>
      </c>
      <c r="D162" s="117" t="s">
        <v>192</v>
      </c>
      <c r="E162" s="109" t="s">
        <v>199</v>
      </c>
      <c r="F162" s="109" t="s">
        <v>200</v>
      </c>
      <c r="G162" s="109" t="s">
        <v>25</v>
      </c>
      <c r="H162" s="109" t="s">
        <v>164</v>
      </c>
      <c r="I162" s="109" t="s">
        <v>111</v>
      </c>
      <c r="J162" s="118" t="s">
        <v>27</v>
      </c>
      <c r="K162" s="118" t="s">
        <v>112</v>
      </c>
      <c r="L162" s="109">
        <v>2</v>
      </c>
      <c r="N162" s="109">
        <v>1</v>
      </c>
      <c r="O162" s="109">
        <v>0.8</v>
      </c>
      <c r="P162" s="109">
        <v>0.8</v>
      </c>
      <c r="Q162" s="119">
        <f t="shared" si="7"/>
        <v>0.8</v>
      </c>
      <c r="R162" s="109">
        <v>18.600000000000001</v>
      </c>
      <c r="S162" s="109">
        <v>168</v>
      </c>
      <c r="T162" s="120">
        <f t="shared" si="8"/>
        <v>18</v>
      </c>
      <c r="U162" s="109">
        <v>138</v>
      </c>
      <c r="V162" s="120">
        <f t="shared" si="6"/>
        <v>2484</v>
      </c>
      <c r="W162" s="109">
        <v>8</v>
      </c>
      <c r="X162" s="109" t="s">
        <v>35</v>
      </c>
      <c r="Y162" s="109" t="s">
        <v>43</v>
      </c>
      <c r="Z162" s="109" t="s">
        <v>55</v>
      </c>
      <c r="AA162" s="109" t="s">
        <v>36</v>
      </c>
      <c r="AB162" s="109" t="s">
        <v>195</v>
      </c>
    </row>
    <row r="163" spans="1:28" x14ac:dyDescent="0.15">
      <c r="A163" s="109" t="s">
        <v>40</v>
      </c>
      <c r="B163" s="109" t="s">
        <v>191</v>
      </c>
      <c r="C163" s="109">
        <v>2020</v>
      </c>
      <c r="D163" s="117" t="s">
        <v>192</v>
      </c>
      <c r="E163" s="109" t="s">
        <v>199</v>
      </c>
      <c r="F163" s="109" t="s">
        <v>200</v>
      </c>
      <c r="G163" s="109" t="s">
        <v>25</v>
      </c>
      <c r="H163" s="109" t="s">
        <v>164</v>
      </c>
      <c r="I163" s="109" t="s">
        <v>111</v>
      </c>
      <c r="J163" s="118" t="s">
        <v>27</v>
      </c>
      <c r="K163" s="118" t="s">
        <v>112</v>
      </c>
      <c r="L163" s="109">
        <v>3</v>
      </c>
      <c r="N163" s="109">
        <v>1</v>
      </c>
      <c r="O163" s="109">
        <v>0.75</v>
      </c>
      <c r="P163" s="109">
        <v>0.85</v>
      </c>
      <c r="Q163" s="119">
        <f t="shared" si="7"/>
        <v>0.8</v>
      </c>
      <c r="R163" s="109">
        <v>17.899999999999999</v>
      </c>
      <c r="S163" s="109">
        <v>162</v>
      </c>
      <c r="T163" s="120">
        <f t="shared" si="8"/>
        <v>18</v>
      </c>
      <c r="U163" s="109">
        <v>138</v>
      </c>
      <c r="V163" s="120">
        <f t="shared" si="6"/>
        <v>2484</v>
      </c>
      <c r="W163" s="109">
        <v>8</v>
      </c>
      <c r="X163" s="109" t="s">
        <v>35</v>
      </c>
      <c r="Y163" s="109" t="s">
        <v>43</v>
      </c>
      <c r="Z163" s="109" t="s">
        <v>55</v>
      </c>
      <c r="AA163" s="109" t="s">
        <v>36</v>
      </c>
      <c r="AB163" s="109" t="s">
        <v>195</v>
      </c>
    </row>
    <row r="164" spans="1:28" x14ac:dyDescent="0.15">
      <c r="A164" s="109" t="s">
        <v>40</v>
      </c>
      <c r="B164" s="109" t="s">
        <v>191</v>
      </c>
      <c r="C164" s="109">
        <v>2020</v>
      </c>
      <c r="D164" s="117" t="s">
        <v>192</v>
      </c>
      <c r="E164" s="109" t="s">
        <v>199</v>
      </c>
      <c r="F164" s="109" t="s">
        <v>200</v>
      </c>
      <c r="G164" s="109" t="s">
        <v>25</v>
      </c>
      <c r="H164" s="109" t="s">
        <v>164</v>
      </c>
      <c r="I164" s="109" t="s">
        <v>111</v>
      </c>
      <c r="J164" s="118" t="s">
        <v>27</v>
      </c>
      <c r="K164" s="118" t="s">
        <v>112</v>
      </c>
      <c r="L164" s="109">
        <v>1</v>
      </c>
      <c r="N164" s="109">
        <v>4</v>
      </c>
      <c r="O164" s="109">
        <v>0.85</v>
      </c>
      <c r="P164" s="109">
        <v>0.75</v>
      </c>
      <c r="Q164" s="119">
        <f t="shared" si="7"/>
        <v>0.8</v>
      </c>
      <c r="R164" s="109">
        <v>17.5</v>
      </c>
      <c r="S164" s="109">
        <v>108</v>
      </c>
      <c r="T164" s="120">
        <f t="shared" si="8"/>
        <v>33</v>
      </c>
      <c r="U164" s="109">
        <v>498</v>
      </c>
      <c r="V164" s="120">
        <f t="shared" si="6"/>
        <v>4108.5</v>
      </c>
      <c r="W164" s="109">
        <v>8</v>
      </c>
      <c r="X164" s="109" t="s">
        <v>35</v>
      </c>
      <c r="Y164" s="109" t="s">
        <v>43</v>
      </c>
      <c r="Z164" s="109" t="s">
        <v>55</v>
      </c>
      <c r="AA164" s="109" t="s">
        <v>36</v>
      </c>
      <c r="AB164" s="109" t="s">
        <v>195</v>
      </c>
    </row>
    <row r="165" spans="1:28" x14ac:dyDescent="0.15">
      <c r="A165" s="109" t="s">
        <v>40</v>
      </c>
      <c r="B165" s="109" t="s">
        <v>191</v>
      </c>
      <c r="C165" s="109">
        <v>2020</v>
      </c>
      <c r="D165" s="117" t="s">
        <v>192</v>
      </c>
      <c r="E165" s="109" t="s">
        <v>199</v>
      </c>
      <c r="F165" s="109" t="s">
        <v>200</v>
      </c>
      <c r="G165" s="109" t="s">
        <v>25</v>
      </c>
      <c r="H165" s="109" t="s">
        <v>164</v>
      </c>
      <c r="I165" s="109" t="s">
        <v>111</v>
      </c>
      <c r="J165" s="118" t="s">
        <v>27</v>
      </c>
      <c r="K165" s="118" t="s">
        <v>112</v>
      </c>
      <c r="L165" s="109">
        <v>2</v>
      </c>
      <c r="N165" s="109">
        <v>4</v>
      </c>
      <c r="O165" s="109">
        <v>0.9</v>
      </c>
      <c r="P165" s="109">
        <v>0.85</v>
      </c>
      <c r="Q165" s="119">
        <f t="shared" si="7"/>
        <v>0.875</v>
      </c>
      <c r="R165" s="109">
        <v>18.3</v>
      </c>
      <c r="S165" s="109">
        <v>110</v>
      </c>
      <c r="T165" s="120">
        <f t="shared" si="8"/>
        <v>33</v>
      </c>
      <c r="U165" s="109">
        <v>498</v>
      </c>
      <c r="V165" s="120">
        <f t="shared" si="6"/>
        <v>4108.5</v>
      </c>
      <c r="W165" s="109">
        <v>8</v>
      </c>
      <c r="X165" s="109" t="s">
        <v>35</v>
      </c>
      <c r="Y165" s="109" t="s">
        <v>43</v>
      </c>
      <c r="Z165" s="109" t="s">
        <v>55</v>
      </c>
      <c r="AA165" s="109" t="s">
        <v>36</v>
      </c>
      <c r="AB165" s="109" t="s">
        <v>195</v>
      </c>
    </row>
    <row r="166" spans="1:28" x14ac:dyDescent="0.15">
      <c r="A166" s="109" t="s">
        <v>40</v>
      </c>
      <c r="B166" s="109" t="s">
        <v>191</v>
      </c>
      <c r="C166" s="109">
        <v>2020</v>
      </c>
      <c r="D166" s="117" t="s">
        <v>192</v>
      </c>
      <c r="E166" s="109" t="s">
        <v>199</v>
      </c>
      <c r="F166" s="109" t="s">
        <v>200</v>
      </c>
      <c r="G166" s="109" t="s">
        <v>25</v>
      </c>
      <c r="H166" s="109" t="s">
        <v>164</v>
      </c>
      <c r="I166" s="109" t="s">
        <v>111</v>
      </c>
      <c r="J166" s="118" t="s">
        <v>27</v>
      </c>
      <c r="K166" s="118" t="s">
        <v>112</v>
      </c>
      <c r="L166" s="109">
        <v>3</v>
      </c>
      <c r="N166" s="109">
        <v>4</v>
      </c>
      <c r="O166" s="109">
        <v>0.8</v>
      </c>
      <c r="P166" s="109">
        <v>0.8</v>
      </c>
      <c r="Q166" s="119">
        <f t="shared" si="7"/>
        <v>0.8</v>
      </c>
      <c r="R166" s="109">
        <v>17.7</v>
      </c>
      <c r="S166" s="109">
        <v>108</v>
      </c>
      <c r="T166" s="120">
        <f t="shared" si="8"/>
        <v>33</v>
      </c>
      <c r="U166" s="109">
        <v>498</v>
      </c>
      <c r="V166" s="120">
        <f t="shared" si="6"/>
        <v>4108.5</v>
      </c>
      <c r="W166" s="109">
        <v>8</v>
      </c>
      <c r="X166" s="109" t="s">
        <v>35</v>
      </c>
      <c r="Y166" s="109" t="s">
        <v>43</v>
      </c>
      <c r="Z166" s="109" t="s">
        <v>55</v>
      </c>
      <c r="AA166" s="109" t="s">
        <v>36</v>
      </c>
      <c r="AB166" s="109" t="s">
        <v>195</v>
      </c>
    </row>
  </sheetData>
  <autoFilter ref="A1:BA166" xr:uid="{00000000-0009-0000-0000-000000000000}"/>
  <phoneticPr fontId="3"/>
  <dataValidations count="18">
    <dataValidation type="decimal" allowBlank="1" showInputMessage="1" showErrorMessage="1" error="硬度を正しく入力して下さい。" sqref="O2:P497" xr:uid="{100AD363-A7E5-4752-A925-A01DE34A80E6}">
      <formula1>0</formula1>
      <formula2>7</formula2>
    </dataValidation>
    <dataValidation type="list" allowBlank="1" showInputMessage="1" showErrorMessage="1" sqref="JU2:JW76 ANI2:ANK76 BQW2:BQY76 CUK2:CUM76 DXY2:DYA76 FBM2:FBO76 GFA2:GFC76 HIO2:HIQ76 IMC2:IME76 JPQ2:JPS76 KTE2:KTG76 LWS2:LWU76 NAG2:NAI76 ODU2:ODW76 PHI2:PHK76 QKW2:QKY76 ROK2:ROM76 SRY2:SSA76 TVM2:TVO76 UZA2:UZC76 WCO2:WCQ76 TQ2:TS76 AXE2:AXG76 CAS2:CAU76 DEG2:DEI76 EHU2:EHW76 FLI2:FLK76 GOW2:GOY76 HSK2:HSM76 IVY2:IWA76 JZM2:JZO76 LDA2:LDC76 MGO2:MGQ76 NKC2:NKE76 ONQ2:ONS76 PRE2:PRG76 QUS2:QUU76 RYG2:RYI76 TBU2:TBW76 UFI2:UFK76 VIW2:VIY76 WMK2:WMM76 ADM2:ADO76 BHA2:BHC76 CKO2:CKQ76 DOC2:DOE76 ERQ2:ERS76 FVE2:FVG76 GYS2:GYU76 ICG2:ICI76 JFU2:JFW76 KJI2:KJK76 LMW2:LMY76 MQK2:MQM76 NTY2:NUA76 OXM2:OXO76 QBA2:QBC76 REO2:REQ76 SIC2:SIE76 TLQ2:TLS76 UPE2:UPG76 VSS2:VSU76 WWG2:WWI76 Y983039:AA983116 ADM983039:ADO983116 BHA983039:BHC983116 CKO983039:CKQ983116 DOC983039:DOE983116 ERQ983039:ERS983116 FVE983039:FVG983116 GYS983039:GYU983116 ICG983039:ICI983116 JFU983039:JFW983116 KJI983039:KJK983116 LMW983039:LMY983116 MQK983039:MQM983116 NTY983039:NUA983116 OXM983039:OXO983116 QBA983039:QBC983116 REO983039:REQ983116 SIC983039:SIE983116 TLQ983039:TLS983116 UPE983039:UPG983116 VSS983039:VSU983116 WWG983039:WWI983116 Y65535:AA65612 ADM65535:ADO65612 BHA65535:BHC65612 CKO65535:CKQ65612 DOC65535:DOE65612 ERQ65535:ERS65612 FVE65535:FVG65612 GYS65535:GYU65612 ICG65535:ICI65612 JFU65535:JFW65612 KJI65535:KJK65612 LMW65535:LMY65612 MQK65535:MQM65612 NTY65535:NUA65612 OXM65535:OXO65612 QBA65535:QBC65612 REO65535:REQ65612 SIC65535:SIE65612 TLQ65535:TLS65612 UPE65535:UPG65612 VSS65535:VSU65612 WWG65535:WWI65612 JU65535:JW65612 ANI65535:ANK65612 BQW65535:BQY65612 CUK65535:CUM65612 DXY65535:DYA65612 FBM65535:FBO65612 GFA65535:GFC65612 HIO65535:HIQ65612 IMC65535:IME65612 JPQ65535:JPS65612 KTE65535:KTG65612 LWS65535:LWU65612 NAG65535:NAI65612 ODU65535:ODW65612 PHI65535:PHK65612 QKW65535:QKY65612 ROK65535:ROM65612 SRY65535:SSA65612 TVM65535:TVO65612 UZA65535:UZC65612 WCO65535:WCQ65612 TQ65535:TS65612 AXE65535:AXG65612 CAS65535:CAU65612 DEG65535:DEI65612 EHU65535:EHW65612 FLI65535:FLK65612 GOW65535:GOY65612 HSK65535:HSM65612 IVY65535:IWA65612 JZM65535:JZO65612 LDA65535:LDC65612 MGO65535:MGQ65612 NKC65535:NKE65612 ONQ65535:ONS65612 PRE65535:PRG65612 QUS65535:QUU65612 RYG65535:RYI65612 TBU65535:TBW65612 UFI65535:UFK65612 VIW65535:VIY65612 WMK65535:WMM65612 Y131071:AA131148 ADM131071:ADO131148 BHA131071:BHC131148 CKO131071:CKQ131148 DOC131071:DOE131148 ERQ131071:ERS131148 FVE131071:FVG131148 GYS131071:GYU131148 ICG131071:ICI131148 JFU131071:JFW131148 KJI131071:KJK131148 LMW131071:LMY131148 MQK131071:MQM131148 NTY131071:NUA131148 OXM131071:OXO131148 QBA131071:QBC131148 REO131071:REQ131148 SIC131071:SIE131148 TLQ131071:TLS131148 UPE131071:UPG131148 VSS131071:VSU131148 WWG131071:WWI131148 JU131071:JW131148 ANI131071:ANK131148 BQW131071:BQY131148 CUK131071:CUM131148 DXY131071:DYA131148 FBM131071:FBO131148 GFA131071:GFC131148 HIO131071:HIQ131148 IMC131071:IME131148 JPQ131071:JPS131148 KTE131071:KTG131148 LWS131071:LWU131148 NAG131071:NAI131148 ODU131071:ODW131148 PHI131071:PHK131148 QKW131071:QKY131148 ROK131071:ROM131148 SRY131071:SSA131148 TVM131071:TVO131148 UZA131071:UZC131148 WCO131071:WCQ131148 TQ131071:TS131148 AXE131071:AXG131148 CAS131071:CAU131148 DEG131071:DEI131148 EHU131071:EHW131148 FLI131071:FLK131148 GOW131071:GOY131148 HSK131071:HSM131148 IVY131071:IWA131148 JZM131071:JZO131148 LDA131071:LDC131148 MGO131071:MGQ131148 NKC131071:NKE131148 ONQ131071:ONS131148 PRE131071:PRG131148 QUS131071:QUU131148 RYG131071:RYI131148 TBU131071:TBW131148 UFI131071:UFK131148 VIW131071:VIY131148 WMK131071:WMM131148 Y196607:AA196684 ADM196607:ADO196684 BHA196607:BHC196684 CKO196607:CKQ196684 DOC196607:DOE196684 ERQ196607:ERS196684 FVE196607:FVG196684 GYS196607:GYU196684 ICG196607:ICI196684 JFU196607:JFW196684 KJI196607:KJK196684 LMW196607:LMY196684 MQK196607:MQM196684 NTY196607:NUA196684 OXM196607:OXO196684 QBA196607:QBC196684 REO196607:REQ196684 SIC196607:SIE196684 TLQ196607:TLS196684 UPE196607:UPG196684 VSS196607:VSU196684 WWG196607:WWI196684 JU196607:JW196684 ANI196607:ANK196684 BQW196607:BQY196684 CUK196607:CUM196684 DXY196607:DYA196684 FBM196607:FBO196684 GFA196607:GFC196684 HIO196607:HIQ196684 IMC196607:IME196684 JPQ196607:JPS196684 KTE196607:KTG196684 LWS196607:LWU196684 NAG196607:NAI196684 ODU196607:ODW196684 PHI196607:PHK196684 QKW196607:QKY196684 ROK196607:ROM196684 SRY196607:SSA196684 TVM196607:TVO196684 UZA196607:UZC196684 WCO196607:WCQ196684 TQ196607:TS196684 AXE196607:AXG196684 CAS196607:CAU196684 DEG196607:DEI196684 EHU196607:EHW196684 FLI196607:FLK196684 GOW196607:GOY196684 HSK196607:HSM196684 IVY196607:IWA196684 JZM196607:JZO196684 LDA196607:LDC196684 MGO196607:MGQ196684 NKC196607:NKE196684 ONQ196607:ONS196684 PRE196607:PRG196684 QUS196607:QUU196684 RYG196607:RYI196684 TBU196607:TBW196684 UFI196607:UFK196684 VIW196607:VIY196684 WMK196607:WMM196684 Y262143:AA262220 ADM262143:ADO262220 BHA262143:BHC262220 CKO262143:CKQ262220 DOC262143:DOE262220 ERQ262143:ERS262220 FVE262143:FVG262220 GYS262143:GYU262220 ICG262143:ICI262220 JFU262143:JFW262220 KJI262143:KJK262220 LMW262143:LMY262220 MQK262143:MQM262220 NTY262143:NUA262220 OXM262143:OXO262220 QBA262143:QBC262220 REO262143:REQ262220 SIC262143:SIE262220 TLQ262143:TLS262220 UPE262143:UPG262220 VSS262143:VSU262220 WWG262143:WWI262220 JU262143:JW262220 ANI262143:ANK262220 BQW262143:BQY262220 CUK262143:CUM262220 DXY262143:DYA262220 FBM262143:FBO262220 GFA262143:GFC262220 HIO262143:HIQ262220 IMC262143:IME262220 JPQ262143:JPS262220 KTE262143:KTG262220 LWS262143:LWU262220 NAG262143:NAI262220 ODU262143:ODW262220 PHI262143:PHK262220 QKW262143:QKY262220 ROK262143:ROM262220 SRY262143:SSA262220 TVM262143:TVO262220 UZA262143:UZC262220 WCO262143:WCQ262220 TQ262143:TS262220 AXE262143:AXG262220 CAS262143:CAU262220 DEG262143:DEI262220 EHU262143:EHW262220 FLI262143:FLK262220 GOW262143:GOY262220 HSK262143:HSM262220 IVY262143:IWA262220 JZM262143:JZO262220 LDA262143:LDC262220 MGO262143:MGQ262220 NKC262143:NKE262220 ONQ262143:ONS262220 PRE262143:PRG262220 QUS262143:QUU262220 RYG262143:RYI262220 TBU262143:TBW262220 UFI262143:UFK262220 VIW262143:VIY262220 WMK262143:WMM262220 Y327679:AA327756 ADM327679:ADO327756 BHA327679:BHC327756 CKO327679:CKQ327756 DOC327679:DOE327756 ERQ327679:ERS327756 FVE327679:FVG327756 GYS327679:GYU327756 ICG327679:ICI327756 JFU327679:JFW327756 KJI327679:KJK327756 LMW327679:LMY327756 MQK327679:MQM327756 NTY327679:NUA327756 OXM327679:OXO327756 QBA327679:QBC327756 REO327679:REQ327756 SIC327679:SIE327756 TLQ327679:TLS327756 UPE327679:UPG327756 VSS327679:VSU327756 WWG327679:WWI327756 JU327679:JW327756 ANI327679:ANK327756 BQW327679:BQY327756 CUK327679:CUM327756 DXY327679:DYA327756 FBM327679:FBO327756 GFA327679:GFC327756 HIO327679:HIQ327756 IMC327679:IME327756 JPQ327679:JPS327756 KTE327679:KTG327756 LWS327679:LWU327756 NAG327679:NAI327756 ODU327679:ODW327756 PHI327679:PHK327756 QKW327679:QKY327756 ROK327679:ROM327756 SRY327679:SSA327756 TVM327679:TVO327756 UZA327679:UZC327756 WCO327679:WCQ327756 TQ327679:TS327756 AXE327679:AXG327756 CAS327679:CAU327756 DEG327679:DEI327756 EHU327679:EHW327756 FLI327679:FLK327756 GOW327679:GOY327756 HSK327679:HSM327756 IVY327679:IWA327756 JZM327679:JZO327756 LDA327679:LDC327756 MGO327679:MGQ327756 NKC327679:NKE327756 ONQ327679:ONS327756 PRE327679:PRG327756 QUS327679:QUU327756 RYG327679:RYI327756 TBU327679:TBW327756 UFI327679:UFK327756 VIW327679:VIY327756 WMK327679:WMM327756 Y393215:AA393292 ADM393215:ADO393292 BHA393215:BHC393292 CKO393215:CKQ393292 DOC393215:DOE393292 ERQ393215:ERS393292 FVE393215:FVG393292 GYS393215:GYU393292 ICG393215:ICI393292 JFU393215:JFW393292 KJI393215:KJK393292 LMW393215:LMY393292 MQK393215:MQM393292 NTY393215:NUA393292 OXM393215:OXO393292 QBA393215:QBC393292 REO393215:REQ393292 SIC393215:SIE393292 TLQ393215:TLS393292 UPE393215:UPG393292 VSS393215:VSU393292 WWG393215:WWI393292 JU393215:JW393292 ANI393215:ANK393292 BQW393215:BQY393292 CUK393215:CUM393292 DXY393215:DYA393292 FBM393215:FBO393292 GFA393215:GFC393292 HIO393215:HIQ393292 IMC393215:IME393292 JPQ393215:JPS393292 KTE393215:KTG393292 LWS393215:LWU393292 NAG393215:NAI393292 ODU393215:ODW393292 PHI393215:PHK393292 QKW393215:QKY393292 ROK393215:ROM393292 SRY393215:SSA393292 TVM393215:TVO393292 UZA393215:UZC393292 WCO393215:WCQ393292 TQ393215:TS393292 AXE393215:AXG393292 CAS393215:CAU393292 DEG393215:DEI393292 EHU393215:EHW393292 FLI393215:FLK393292 GOW393215:GOY393292 HSK393215:HSM393292 IVY393215:IWA393292 JZM393215:JZO393292 LDA393215:LDC393292 MGO393215:MGQ393292 NKC393215:NKE393292 ONQ393215:ONS393292 PRE393215:PRG393292 QUS393215:QUU393292 RYG393215:RYI393292 TBU393215:TBW393292 UFI393215:UFK393292 VIW393215:VIY393292 WMK393215:WMM393292 Y458751:AA458828 ADM458751:ADO458828 BHA458751:BHC458828 CKO458751:CKQ458828 DOC458751:DOE458828 ERQ458751:ERS458828 FVE458751:FVG458828 GYS458751:GYU458828 ICG458751:ICI458828 JFU458751:JFW458828 KJI458751:KJK458828 LMW458751:LMY458828 MQK458751:MQM458828 NTY458751:NUA458828 OXM458751:OXO458828 QBA458751:QBC458828 REO458751:REQ458828 SIC458751:SIE458828 TLQ458751:TLS458828 UPE458751:UPG458828 VSS458751:VSU458828 WWG458751:WWI458828 JU458751:JW458828 ANI458751:ANK458828 BQW458751:BQY458828 CUK458751:CUM458828 DXY458751:DYA458828 FBM458751:FBO458828 GFA458751:GFC458828 HIO458751:HIQ458828 IMC458751:IME458828 JPQ458751:JPS458828 KTE458751:KTG458828 LWS458751:LWU458828 NAG458751:NAI458828 ODU458751:ODW458828 PHI458751:PHK458828 QKW458751:QKY458828 ROK458751:ROM458828 SRY458751:SSA458828 TVM458751:TVO458828 UZA458751:UZC458828 WCO458751:WCQ458828 TQ458751:TS458828 AXE458751:AXG458828 CAS458751:CAU458828 DEG458751:DEI458828 EHU458751:EHW458828 FLI458751:FLK458828 GOW458751:GOY458828 HSK458751:HSM458828 IVY458751:IWA458828 JZM458751:JZO458828 LDA458751:LDC458828 MGO458751:MGQ458828 NKC458751:NKE458828 ONQ458751:ONS458828 PRE458751:PRG458828 QUS458751:QUU458828 RYG458751:RYI458828 TBU458751:TBW458828 UFI458751:UFK458828 VIW458751:VIY458828 WMK458751:WMM458828 Y524287:AA524364 ADM524287:ADO524364 BHA524287:BHC524364 CKO524287:CKQ524364 DOC524287:DOE524364 ERQ524287:ERS524364 FVE524287:FVG524364 GYS524287:GYU524364 ICG524287:ICI524364 JFU524287:JFW524364 KJI524287:KJK524364 LMW524287:LMY524364 MQK524287:MQM524364 NTY524287:NUA524364 OXM524287:OXO524364 QBA524287:QBC524364 REO524287:REQ524364 SIC524287:SIE524364 TLQ524287:TLS524364 UPE524287:UPG524364 VSS524287:VSU524364 WWG524287:WWI524364 JU524287:JW524364 ANI524287:ANK524364 BQW524287:BQY524364 CUK524287:CUM524364 DXY524287:DYA524364 FBM524287:FBO524364 GFA524287:GFC524364 HIO524287:HIQ524364 IMC524287:IME524364 JPQ524287:JPS524364 KTE524287:KTG524364 LWS524287:LWU524364 NAG524287:NAI524364 ODU524287:ODW524364 PHI524287:PHK524364 QKW524287:QKY524364 ROK524287:ROM524364 SRY524287:SSA524364 TVM524287:TVO524364 UZA524287:UZC524364 WCO524287:WCQ524364 TQ524287:TS524364 AXE524287:AXG524364 CAS524287:CAU524364 DEG524287:DEI524364 EHU524287:EHW524364 FLI524287:FLK524364 GOW524287:GOY524364 HSK524287:HSM524364 IVY524287:IWA524364 JZM524287:JZO524364 LDA524287:LDC524364 MGO524287:MGQ524364 NKC524287:NKE524364 ONQ524287:ONS524364 PRE524287:PRG524364 QUS524287:QUU524364 RYG524287:RYI524364 TBU524287:TBW524364 UFI524287:UFK524364 VIW524287:VIY524364 WMK524287:WMM524364 Y589823:AA589900 ADM589823:ADO589900 BHA589823:BHC589900 CKO589823:CKQ589900 DOC589823:DOE589900 ERQ589823:ERS589900 FVE589823:FVG589900 GYS589823:GYU589900 ICG589823:ICI589900 JFU589823:JFW589900 KJI589823:KJK589900 LMW589823:LMY589900 MQK589823:MQM589900 NTY589823:NUA589900 OXM589823:OXO589900 QBA589823:QBC589900 REO589823:REQ589900 SIC589823:SIE589900 TLQ589823:TLS589900 UPE589823:UPG589900 VSS589823:VSU589900 WWG589823:WWI589900 JU589823:JW589900 ANI589823:ANK589900 BQW589823:BQY589900 CUK589823:CUM589900 DXY589823:DYA589900 FBM589823:FBO589900 GFA589823:GFC589900 HIO589823:HIQ589900 IMC589823:IME589900 JPQ589823:JPS589900 KTE589823:KTG589900 LWS589823:LWU589900 NAG589823:NAI589900 ODU589823:ODW589900 PHI589823:PHK589900 QKW589823:QKY589900 ROK589823:ROM589900 SRY589823:SSA589900 TVM589823:TVO589900 UZA589823:UZC589900 WCO589823:WCQ589900 TQ589823:TS589900 AXE589823:AXG589900 CAS589823:CAU589900 DEG589823:DEI589900 EHU589823:EHW589900 FLI589823:FLK589900 GOW589823:GOY589900 HSK589823:HSM589900 IVY589823:IWA589900 JZM589823:JZO589900 LDA589823:LDC589900 MGO589823:MGQ589900 NKC589823:NKE589900 ONQ589823:ONS589900 PRE589823:PRG589900 QUS589823:QUU589900 RYG589823:RYI589900 TBU589823:TBW589900 UFI589823:UFK589900 VIW589823:VIY589900 WMK589823:WMM589900 Y655359:AA655436 ADM655359:ADO655436 BHA655359:BHC655436 CKO655359:CKQ655436 DOC655359:DOE655436 ERQ655359:ERS655436 FVE655359:FVG655436 GYS655359:GYU655436 ICG655359:ICI655436 JFU655359:JFW655436 KJI655359:KJK655436 LMW655359:LMY655436 MQK655359:MQM655436 NTY655359:NUA655436 OXM655359:OXO655436 QBA655359:QBC655436 REO655359:REQ655436 SIC655359:SIE655436 TLQ655359:TLS655436 UPE655359:UPG655436 VSS655359:VSU655436 WWG655359:WWI655436 JU655359:JW655436 ANI655359:ANK655436 BQW655359:BQY655436 CUK655359:CUM655436 DXY655359:DYA655436 FBM655359:FBO655436 GFA655359:GFC655436 HIO655359:HIQ655436 IMC655359:IME655436 JPQ655359:JPS655436 KTE655359:KTG655436 LWS655359:LWU655436 NAG655359:NAI655436 ODU655359:ODW655436 PHI655359:PHK655436 QKW655359:QKY655436 ROK655359:ROM655436 SRY655359:SSA655436 TVM655359:TVO655436 UZA655359:UZC655436 WCO655359:WCQ655436 TQ655359:TS655436 AXE655359:AXG655436 CAS655359:CAU655436 DEG655359:DEI655436 EHU655359:EHW655436 FLI655359:FLK655436 GOW655359:GOY655436 HSK655359:HSM655436 IVY655359:IWA655436 JZM655359:JZO655436 LDA655359:LDC655436 MGO655359:MGQ655436 NKC655359:NKE655436 ONQ655359:ONS655436 PRE655359:PRG655436 QUS655359:QUU655436 RYG655359:RYI655436 TBU655359:TBW655436 UFI655359:UFK655436 VIW655359:VIY655436 WMK655359:WMM655436 Y720895:AA720972 ADM720895:ADO720972 BHA720895:BHC720972 CKO720895:CKQ720972 DOC720895:DOE720972 ERQ720895:ERS720972 FVE720895:FVG720972 GYS720895:GYU720972 ICG720895:ICI720972 JFU720895:JFW720972 KJI720895:KJK720972 LMW720895:LMY720972 MQK720895:MQM720972 NTY720895:NUA720972 OXM720895:OXO720972 QBA720895:QBC720972 REO720895:REQ720972 SIC720895:SIE720972 TLQ720895:TLS720972 UPE720895:UPG720972 VSS720895:VSU720972 WWG720895:WWI720972 JU720895:JW720972 ANI720895:ANK720972 BQW720895:BQY720972 CUK720895:CUM720972 DXY720895:DYA720972 FBM720895:FBO720972 GFA720895:GFC720972 HIO720895:HIQ720972 IMC720895:IME720972 JPQ720895:JPS720972 KTE720895:KTG720972 LWS720895:LWU720972 NAG720895:NAI720972 ODU720895:ODW720972 PHI720895:PHK720972 QKW720895:QKY720972 ROK720895:ROM720972 SRY720895:SSA720972 TVM720895:TVO720972 UZA720895:UZC720972 WCO720895:WCQ720972 TQ720895:TS720972 AXE720895:AXG720972 CAS720895:CAU720972 DEG720895:DEI720972 EHU720895:EHW720972 FLI720895:FLK720972 GOW720895:GOY720972 HSK720895:HSM720972 IVY720895:IWA720972 JZM720895:JZO720972 LDA720895:LDC720972 MGO720895:MGQ720972 NKC720895:NKE720972 ONQ720895:ONS720972 PRE720895:PRG720972 QUS720895:QUU720972 RYG720895:RYI720972 TBU720895:TBW720972 UFI720895:UFK720972 VIW720895:VIY720972 WMK720895:WMM720972 Y786431:AA786508 ADM786431:ADO786508 BHA786431:BHC786508 CKO786431:CKQ786508 DOC786431:DOE786508 ERQ786431:ERS786508 FVE786431:FVG786508 GYS786431:GYU786508 ICG786431:ICI786508 JFU786431:JFW786508 KJI786431:KJK786508 LMW786431:LMY786508 MQK786431:MQM786508 NTY786431:NUA786508 OXM786431:OXO786508 QBA786431:QBC786508 REO786431:REQ786508 SIC786431:SIE786508 TLQ786431:TLS786508 UPE786431:UPG786508 VSS786431:VSU786508 WWG786431:WWI786508 JU786431:JW786508 ANI786431:ANK786508 BQW786431:BQY786508 CUK786431:CUM786508 DXY786431:DYA786508 FBM786431:FBO786508 GFA786431:GFC786508 HIO786431:HIQ786508 IMC786431:IME786508 JPQ786431:JPS786508 KTE786431:KTG786508 LWS786431:LWU786508 NAG786431:NAI786508 ODU786431:ODW786508 PHI786431:PHK786508 QKW786431:QKY786508 ROK786431:ROM786508 SRY786431:SSA786508 TVM786431:TVO786508 UZA786431:UZC786508 WCO786431:WCQ786508 TQ786431:TS786508 AXE786431:AXG786508 CAS786431:CAU786508 DEG786431:DEI786508 EHU786431:EHW786508 FLI786431:FLK786508 GOW786431:GOY786508 HSK786431:HSM786508 IVY786431:IWA786508 JZM786431:JZO786508 LDA786431:LDC786508 MGO786431:MGQ786508 NKC786431:NKE786508 ONQ786431:ONS786508 PRE786431:PRG786508 QUS786431:QUU786508 RYG786431:RYI786508 TBU786431:TBW786508 UFI786431:UFK786508 VIW786431:VIY786508 WMK786431:WMM786508 Y851967:AA852044 ADM851967:ADO852044 BHA851967:BHC852044 CKO851967:CKQ852044 DOC851967:DOE852044 ERQ851967:ERS852044 FVE851967:FVG852044 GYS851967:GYU852044 ICG851967:ICI852044 JFU851967:JFW852044 KJI851967:KJK852044 LMW851967:LMY852044 MQK851967:MQM852044 NTY851967:NUA852044 OXM851967:OXO852044 QBA851967:QBC852044 REO851967:REQ852044 SIC851967:SIE852044 TLQ851967:TLS852044 UPE851967:UPG852044 VSS851967:VSU852044 WWG851967:WWI852044 JU851967:JW852044 ANI851967:ANK852044 BQW851967:BQY852044 CUK851967:CUM852044 DXY851967:DYA852044 FBM851967:FBO852044 GFA851967:GFC852044 HIO851967:HIQ852044 IMC851967:IME852044 JPQ851967:JPS852044 KTE851967:KTG852044 LWS851967:LWU852044 NAG851967:NAI852044 ODU851967:ODW852044 PHI851967:PHK852044 QKW851967:QKY852044 ROK851967:ROM852044 SRY851967:SSA852044 TVM851967:TVO852044 UZA851967:UZC852044 WCO851967:WCQ852044 TQ851967:TS852044 AXE851967:AXG852044 CAS851967:CAU852044 DEG851967:DEI852044 EHU851967:EHW852044 FLI851967:FLK852044 GOW851967:GOY852044 HSK851967:HSM852044 IVY851967:IWA852044 JZM851967:JZO852044 LDA851967:LDC852044 MGO851967:MGQ852044 NKC851967:NKE852044 ONQ851967:ONS852044 PRE851967:PRG852044 QUS851967:QUU852044 RYG851967:RYI852044 TBU851967:TBW852044 UFI851967:UFK852044 VIW851967:VIY852044 WMK851967:WMM852044 Y917503:AA917580 ADM917503:ADO917580 BHA917503:BHC917580 CKO917503:CKQ917580 DOC917503:DOE917580 ERQ917503:ERS917580 FVE917503:FVG917580 GYS917503:GYU917580 ICG917503:ICI917580 JFU917503:JFW917580 KJI917503:KJK917580 LMW917503:LMY917580 MQK917503:MQM917580 NTY917503:NUA917580 OXM917503:OXO917580 QBA917503:QBC917580 REO917503:REQ917580 SIC917503:SIE917580 TLQ917503:TLS917580 UPE917503:UPG917580 VSS917503:VSU917580 WWG917503:WWI917580 JU917503:JW917580 ANI917503:ANK917580 BQW917503:BQY917580 CUK917503:CUM917580 DXY917503:DYA917580 FBM917503:FBO917580 GFA917503:GFC917580 HIO917503:HIQ917580 IMC917503:IME917580 JPQ917503:JPS917580 KTE917503:KTG917580 LWS917503:LWU917580 NAG917503:NAI917580 ODU917503:ODW917580 PHI917503:PHK917580 QKW917503:QKY917580 ROK917503:ROM917580 SRY917503:SSA917580 TVM917503:TVO917580 UZA917503:UZC917580 WCO917503:WCQ917580 TQ917503:TS917580 AXE917503:AXG917580 CAS917503:CAU917580 DEG917503:DEI917580 EHU917503:EHW917580 FLI917503:FLK917580 GOW917503:GOY917580 HSK917503:HSM917580 IVY917503:IWA917580 JZM917503:JZO917580 LDA917503:LDC917580 MGO917503:MGQ917580 NKC917503:NKE917580 ONQ917503:ONS917580 PRE917503:PRG917580 QUS917503:QUU917580 RYG917503:RYI917580 TBU917503:TBW917580 UFI917503:UFK917580 VIW917503:VIY917580 WMK917503:WMM917580 JU983039:JW983116 ANI983039:ANK983116 BQW983039:BQY983116 CUK983039:CUM983116 DXY983039:DYA983116 FBM983039:FBO983116 GFA983039:GFC983116 HIO983039:HIQ983116 IMC983039:IME983116 JPQ983039:JPS983116 KTE983039:KTG983116 LWS983039:LWU983116 NAG983039:NAI983116 ODU983039:ODW983116 PHI983039:PHK983116 QKW983039:QKY983116 ROK983039:ROM983116 SRY983039:SSA983116 TVM983039:TVO983116 UZA983039:UZC983116 WCO983039:WCQ983116 TQ983039:TS983116 AXE983039:AXG983116 CAS983039:CAU983116 DEG983039:DEI983116 EHU983039:EHW983116 FLI983039:FLK983116 GOW983039:GOY983116 HSK983039:HSM983116 IVY983039:IWA983116 JZM983039:JZO983116 LDA983039:LDC983116 MGO983039:MGQ983116 NKC983039:NKE983116 ONQ983039:ONS983116 PRE983039:PRG983116 QUS983039:QUU983116 RYG983039:RYI983116 TBU983039:TBW983116 UFI983039:UFK983116 VIW983039:VIY983116 WMK983039:WMM983116" xr:uid="{2A0A634B-0E50-4CD3-8D75-F048EF40772E}">
      <formula1>$AV$2:$AV$20</formula1>
    </dataValidation>
    <dataValidation type="list" allowBlank="1" showInputMessage="1" showErrorMessage="1" sqref="JG2:JG76 JG65535:JG65612 JG131071:JG131148 JG196607:JG196684 JG262143:JG262220 JG327679:JG327756 JG393215:JG393292 JG458751:JG458828 JG524287:JG524364 JG589823:JG589900 JG655359:JG655436 JG720895:JG720972 JG786431:JG786508 JG851967:JG852044 JG917503:JG917580 JG983039:JG983116 TC2:TC76 TC65535:TC65612 TC131071:TC131148 TC196607:TC196684 TC262143:TC262220 TC327679:TC327756 TC393215:TC393292 TC458751:TC458828 TC524287:TC524364 TC589823:TC589900 TC655359:TC655436 TC720895:TC720972 TC786431:TC786508 TC851967:TC852044 TC917503:TC917580 TC983039:TC983116 ACY2:ACY76 ACY65535:ACY65612 ACY131071:ACY131148 ACY196607:ACY196684 ACY262143:ACY262220 ACY327679:ACY327756 ACY393215:ACY393292 ACY458751:ACY458828 ACY524287:ACY524364 ACY589823:ACY589900 ACY655359:ACY655436 ACY720895:ACY720972 ACY786431:ACY786508 ACY851967:ACY852044 ACY917503:ACY917580 ACY983039:ACY983116 AMU2:AMU76 AMU65535:AMU65612 AMU131071:AMU131148 AMU196607:AMU196684 AMU262143:AMU262220 AMU327679:AMU327756 AMU393215:AMU393292 AMU458751:AMU458828 AMU524287:AMU524364 AMU589823:AMU589900 AMU655359:AMU655436 AMU720895:AMU720972 AMU786431:AMU786508 AMU851967:AMU852044 AMU917503:AMU917580 AMU983039:AMU983116 AWQ2:AWQ76 AWQ65535:AWQ65612 AWQ131071:AWQ131148 AWQ196607:AWQ196684 AWQ262143:AWQ262220 AWQ327679:AWQ327756 AWQ393215:AWQ393292 AWQ458751:AWQ458828 AWQ524287:AWQ524364 AWQ589823:AWQ589900 AWQ655359:AWQ655436 AWQ720895:AWQ720972 AWQ786431:AWQ786508 AWQ851967:AWQ852044 AWQ917503:AWQ917580 AWQ983039:AWQ983116 BGM2:BGM76 BGM65535:BGM65612 BGM131071:BGM131148 BGM196607:BGM196684 BGM262143:BGM262220 BGM327679:BGM327756 BGM393215:BGM393292 BGM458751:BGM458828 BGM524287:BGM524364 BGM589823:BGM589900 BGM655359:BGM655436 BGM720895:BGM720972 BGM786431:BGM786508 BGM851967:BGM852044 BGM917503:BGM917580 BGM983039:BGM983116 BQI2:BQI76 BQI65535:BQI65612 BQI131071:BQI131148 BQI196607:BQI196684 BQI262143:BQI262220 BQI327679:BQI327756 BQI393215:BQI393292 BQI458751:BQI458828 BQI524287:BQI524364 BQI589823:BQI589900 BQI655359:BQI655436 BQI720895:BQI720972 BQI786431:BQI786508 BQI851967:BQI852044 BQI917503:BQI917580 BQI983039:BQI983116 CAE2:CAE76 CAE65535:CAE65612 CAE131071:CAE131148 CAE196607:CAE196684 CAE262143:CAE262220 CAE327679:CAE327756 CAE393215:CAE393292 CAE458751:CAE458828 CAE524287:CAE524364 CAE589823:CAE589900 CAE655359:CAE655436 CAE720895:CAE720972 CAE786431:CAE786508 CAE851967:CAE852044 CAE917503:CAE917580 CAE983039:CAE983116 CKA2:CKA76 CKA65535:CKA65612 CKA131071:CKA131148 CKA196607:CKA196684 CKA262143:CKA262220 CKA327679:CKA327756 CKA393215:CKA393292 CKA458751:CKA458828 CKA524287:CKA524364 CKA589823:CKA589900 CKA655359:CKA655436 CKA720895:CKA720972 CKA786431:CKA786508 CKA851967:CKA852044 CKA917503:CKA917580 CKA983039:CKA983116 CTW2:CTW76 CTW65535:CTW65612 CTW131071:CTW131148 CTW196607:CTW196684 CTW262143:CTW262220 CTW327679:CTW327756 CTW393215:CTW393292 CTW458751:CTW458828 CTW524287:CTW524364 CTW589823:CTW589900 CTW655359:CTW655436 CTW720895:CTW720972 CTW786431:CTW786508 CTW851967:CTW852044 CTW917503:CTW917580 CTW983039:CTW983116 DDS2:DDS76 DDS65535:DDS65612 DDS131071:DDS131148 DDS196607:DDS196684 DDS262143:DDS262220 DDS327679:DDS327756 DDS393215:DDS393292 DDS458751:DDS458828 DDS524287:DDS524364 DDS589823:DDS589900 DDS655359:DDS655436 DDS720895:DDS720972 DDS786431:DDS786508 DDS851967:DDS852044 DDS917503:DDS917580 DDS983039:DDS983116 DNO2:DNO76 DNO65535:DNO65612 DNO131071:DNO131148 DNO196607:DNO196684 DNO262143:DNO262220 DNO327679:DNO327756 DNO393215:DNO393292 DNO458751:DNO458828 DNO524287:DNO524364 DNO589823:DNO589900 DNO655359:DNO655436 DNO720895:DNO720972 DNO786431:DNO786508 DNO851967:DNO852044 DNO917503:DNO917580 DNO983039:DNO983116 DXK2:DXK76 DXK65535:DXK65612 DXK131071:DXK131148 DXK196607:DXK196684 DXK262143:DXK262220 DXK327679:DXK327756 DXK393215:DXK393292 DXK458751:DXK458828 DXK524287:DXK524364 DXK589823:DXK589900 DXK655359:DXK655436 DXK720895:DXK720972 DXK786431:DXK786508 DXK851967:DXK852044 DXK917503:DXK917580 DXK983039:DXK983116 EHG2:EHG76 EHG65535:EHG65612 EHG131071:EHG131148 EHG196607:EHG196684 EHG262143:EHG262220 EHG327679:EHG327756 EHG393215:EHG393292 EHG458751:EHG458828 EHG524287:EHG524364 EHG589823:EHG589900 EHG655359:EHG655436 EHG720895:EHG720972 EHG786431:EHG786508 EHG851967:EHG852044 EHG917503:EHG917580 EHG983039:EHG983116 ERC2:ERC76 ERC65535:ERC65612 ERC131071:ERC131148 ERC196607:ERC196684 ERC262143:ERC262220 ERC327679:ERC327756 ERC393215:ERC393292 ERC458751:ERC458828 ERC524287:ERC524364 ERC589823:ERC589900 ERC655359:ERC655436 ERC720895:ERC720972 ERC786431:ERC786508 ERC851967:ERC852044 ERC917503:ERC917580 ERC983039:ERC983116 FAY2:FAY76 FAY65535:FAY65612 FAY131071:FAY131148 FAY196607:FAY196684 FAY262143:FAY262220 FAY327679:FAY327756 FAY393215:FAY393292 FAY458751:FAY458828 FAY524287:FAY524364 FAY589823:FAY589900 FAY655359:FAY655436 FAY720895:FAY720972 FAY786431:FAY786508 FAY851967:FAY852044 FAY917503:FAY917580 FAY983039:FAY983116 FKU2:FKU76 FKU65535:FKU65612 FKU131071:FKU131148 FKU196607:FKU196684 FKU262143:FKU262220 FKU327679:FKU327756 FKU393215:FKU393292 FKU458751:FKU458828 FKU524287:FKU524364 FKU589823:FKU589900 FKU655359:FKU655436 FKU720895:FKU720972 FKU786431:FKU786508 FKU851967:FKU852044 FKU917503:FKU917580 FKU983039:FKU983116 FUQ2:FUQ76 FUQ65535:FUQ65612 FUQ131071:FUQ131148 FUQ196607:FUQ196684 FUQ262143:FUQ262220 FUQ327679:FUQ327756 FUQ393215:FUQ393292 FUQ458751:FUQ458828 FUQ524287:FUQ524364 FUQ589823:FUQ589900 FUQ655359:FUQ655436 FUQ720895:FUQ720972 FUQ786431:FUQ786508 FUQ851967:FUQ852044 FUQ917503:FUQ917580 FUQ983039:FUQ983116 GEM2:GEM76 GEM65535:GEM65612 GEM131071:GEM131148 GEM196607:GEM196684 GEM262143:GEM262220 GEM327679:GEM327756 GEM393215:GEM393292 GEM458751:GEM458828 GEM524287:GEM524364 GEM589823:GEM589900 GEM655359:GEM655436 GEM720895:GEM720972 GEM786431:GEM786508 GEM851967:GEM852044 GEM917503:GEM917580 GEM983039:GEM983116 GOI2:GOI76 GOI65535:GOI65612 GOI131071:GOI131148 GOI196607:GOI196684 GOI262143:GOI262220 GOI327679:GOI327756 GOI393215:GOI393292 GOI458751:GOI458828 GOI524287:GOI524364 GOI589823:GOI589900 GOI655359:GOI655436 GOI720895:GOI720972 GOI786431:GOI786508 GOI851967:GOI852044 GOI917503:GOI917580 GOI983039:GOI983116 GYE2:GYE76 GYE65535:GYE65612 GYE131071:GYE131148 GYE196607:GYE196684 GYE262143:GYE262220 GYE327679:GYE327756 GYE393215:GYE393292 GYE458751:GYE458828 GYE524287:GYE524364 GYE589823:GYE589900 GYE655359:GYE655436 GYE720895:GYE720972 GYE786431:GYE786508 GYE851967:GYE852044 GYE917503:GYE917580 GYE983039:GYE983116 HIA2:HIA76 HIA65535:HIA65612 HIA131071:HIA131148 HIA196607:HIA196684 HIA262143:HIA262220 HIA327679:HIA327756 HIA393215:HIA393292 HIA458751:HIA458828 HIA524287:HIA524364 HIA589823:HIA589900 HIA655359:HIA655436 HIA720895:HIA720972 HIA786431:HIA786508 HIA851967:HIA852044 HIA917503:HIA917580 HIA983039:HIA983116 HRW2:HRW76 HRW65535:HRW65612 HRW131071:HRW131148 HRW196607:HRW196684 HRW262143:HRW262220 HRW327679:HRW327756 HRW393215:HRW393292 HRW458751:HRW458828 HRW524287:HRW524364 HRW589823:HRW589900 HRW655359:HRW655436 HRW720895:HRW720972 HRW786431:HRW786508 HRW851967:HRW852044 HRW917503:HRW917580 HRW983039:HRW983116 IBS2:IBS76 IBS65535:IBS65612 IBS131071:IBS131148 IBS196607:IBS196684 IBS262143:IBS262220 IBS327679:IBS327756 IBS393215:IBS393292 IBS458751:IBS458828 IBS524287:IBS524364 IBS589823:IBS589900 IBS655359:IBS655436 IBS720895:IBS720972 IBS786431:IBS786508 IBS851967:IBS852044 IBS917503:IBS917580 IBS983039:IBS983116 ILO2:ILO76 ILO65535:ILO65612 ILO131071:ILO131148 ILO196607:ILO196684 ILO262143:ILO262220 ILO327679:ILO327756 ILO393215:ILO393292 ILO458751:ILO458828 ILO524287:ILO524364 ILO589823:ILO589900 ILO655359:ILO655436 ILO720895:ILO720972 ILO786431:ILO786508 ILO851967:ILO852044 ILO917503:ILO917580 ILO983039:ILO983116 IVK2:IVK76 IVK65535:IVK65612 IVK131071:IVK131148 IVK196607:IVK196684 IVK262143:IVK262220 IVK327679:IVK327756 IVK393215:IVK393292 IVK458751:IVK458828 IVK524287:IVK524364 IVK589823:IVK589900 IVK655359:IVK655436 IVK720895:IVK720972 IVK786431:IVK786508 IVK851967:IVK852044 IVK917503:IVK917580 IVK983039:IVK983116 JFG2:JFG76 JFG65535:JFG65612 JFG131071:JFG131148 JFG196607:JFG196684 JFG262143:JFG262220 JFG327679:JFG327756 JFG393215:JFG393292 JFG458751:JFG458828 JFG524287:JFG524364 JFG589823:JFG589900 JFG655359:JFG655436 JFG720895:JFG720972 JFG786431:JFG786508 JFG851967:JFG852044 JFG917503:JFG917580 JFG983039:JFG983116 JPC2:JPC76 JPC65535:JPC65612 JPC131071:JPC131148 JPC196607:JPC196684 JPC262143:JPC262220 JPC327679:JPC327756 JPC393215:JPC393292 JPC458751:JPC458828 JPC524287:JPC524364 JPC589823:JPC589900 JPC655359:JPC655436 JPC720895:JPC720972 JPC786431:JPC786508 JPC851967:JPC852044 JPC917503:JPC917580 JPC983039:JPC983116 JYY2:JYY76 JYY65535:JYY65612 JYY131071:JYY131148 JYY196607:JYY196684 JYY262143:JYY262220 JYY327679:JYY327756 JYY393215:JYY393292 JYY458751:JYY458828 JYY524287:JYY524364 JYY589823:JYY589900 JYY655359:JYY655436 JYY720895:JYY720972 JYY786431:JYY786508 JYY851967:JYY852044 JYY917503:JYY917580 JYY983039:JYY983116 KIU2:KIU76 KIU65535:KIU65612 KIU131071:KIU131148 KIU196607:KIU196684 KIU262143:KIU262220 KIU327679:KIU327756 KIU393215:KIU393292 KIU458751:KIU458828 KIU524287:KIU524364 KIU589823:KIU589900 KIU655359:KIU655436 KIU720895:KIU720972 KIU786431:KIU786508 KIU851967:KIU852044 KIU917503:KIU917580 KIU983039:KIU983116 KSQ2:KSQ76 KSQ65535:KSQ65612 KSQ131071:KSQ131148 KSQ196607:KSQ196684 KSQ262143:KSQ262220 KSQ327679:KSQ327756 KSQ393215:KSQ393292 KSQ458751:KSQ458828 KSQ524287:KSQ524364 KSQ589823:KSQ589900 KSQ655359:KSQ655436 KSQ720895:KSQ720972 KSQ786431:KSQ786508 KSQ851967:KSQ852044 KSQ917503:KSQ917580 KSQ983039:KSQ983116 LCM2:LCM76 LCM65535:LCM65612 LCM131071:LCM131148 LCM196607:LCM196684 LCM262143:LCM262220 LCM327679:LCM327756 LCM393215:LCM393292 LCM458751:LCM458828 LCM524287:LCM524364 LCM589823:LCM589900 LCM655359:LCM655436 LCM720895:LCM720972 LCM786431:LCM786508 LCM851967:LCM852044 LCM917503:LCM917580 LCM983039:LCM983116 LMI2:LMI76 LMI65535:LMI65612 LMI131071:LMI131148 LMI196607:LMI196684 LMI262143:LMI262220 LMI327679:LMI327756 LMI393215:LMI393292 LMI458751:LMI458828 LMI524287:LMI524364 LMI589823:LMI589900 LMI655359:LMI655436 LMI720895:LMI720972 LMI786431:LMI786508 LMI851967:LMI852044 LMI917503:LMI917580 LMI983039:LMI983116 LWE2:LWE76 LWE65535:LWE65612 LWE131071:LWE131148 LWE196607:LWE196684 LWE262143:LWE262220 LWE327679:LWE327756 LWE393215:LWE393292 LWE458751:LWE458828 LWE524287:LWE524364 LWE589823:LWE589900 LWE655359:LWE655436 LWE720895:LWE720972 LWE786431:LWE786508 LWE851967:LWE852044 LWE917503:LWE917580 LWE983039:LWE983116 MGA2:MGA76 MGA65535:MGA65612 MGA131071:MGA131148 MGA196607:MGA196684 MGA262143:MGA262220 MGA327679:MGA327756 MGA393215:MGA393292 MGA458751:MGA458828 MGA524287:MGA524364 MGA589823:MGA589900 MGA655359:MGA655436 MGA720895:MGA720972 MGA786431:MGA786508 MGA851967:MGA852044 MGA917503:MGA917580 MGA983039:MGA983116 MPW2:MPW76 MPW65535:MPW65612 MPW131071:MPW131148 MPW196607:MPW196684 MPW262143:MPW262220 MPW327679:MPW327756 MPW393215:MPW393292 MPW458751:MPW458828 MPW524287:MPW524364 MPW589823:MPW589900 MPW655359:MPW655436 MPW720895:MPW720972 MPW786431:MPW786508 MPW851967:MPW852044 MPW917503:MPW917580 MPW983039:MPW983116 MZS2:MZS76 MZS65535:MZS65612 MZS131071:MZS131148 MZS196607:MZS196684 MZS262143:MZS262220 MZS327679:MZS327756 MZS393215:MZS393292 MZS458751:MZS458828 MZS524287:MZS524364 MZS589823:MZS589900 MZS655359:MZS655436 MZS720895:MZS720972 MZS786431:MZS786508 MZS851967:MZS852044 MZS917503:MZS917580 MZS983039:MZS983116 NJO2:NJO76 NJO65535:NJO65612 NJO131071:NJO131148 NJO196607:NJO196684 NJO262143:NJO262220 NJO327679:NJO327756 NJO393215:NJO393292 NJO458751:NJO458828 NJO524287:NJO524364 NJO589823:NJO589900 NJO655359:NJO655436 NJO720895:NJO720972 NJO786431:NJO786508 NJO851967:NJO852044 NJO917503:NJO917580 NJO983039:NJO983116 NTK2:NTK76 NTK65535:NTK65612 NTK131071:NTK131148 NTK196607:NTK196684 NTK262143:NTK262220 NTK327679:NTK327756 NTK393215:NTK393292 NTK458751:NTK458828 NTK524287:NTK524364 NTK589823:NTK589900 NTK655359:NTK655436 NTK720895:NTK720972 NTK786431:NTK786508 NTK851967:NTK852044 NTK917503:NTK917580 NTK983039:NTK983116 ODG2:ODG76 ODG65535:ODG65612 ODG131071:ODG131148 ODG196607:ODG196684 ODG262143:ODG262220 ODG327679:ODG327756 ODG393215:ODG393292 ODG458751:ODG458828 ODG524287:ODG524364 ODG589823:ODG589900 ODG655359:ODG655436 ODG720895:ODG720972 ODG786431:ODG786508 ODG851967:ODG852044 ODG917503:ODG917580 ODG983039:ODG983116 ONC2:ONC76 ONC65535:ONC65612 ONC131071:ONC131148 ONC196607:ONC196684 ONC262143:ONC262220 ONC327679:ONC327756 ONC393215:ONC393292 ONC458751:ONC458828 ONC524287:ONC524364 ONC589823:ONC589900 ONC655359:ONC655436 ONC720895:ONC720972 ONC786431:ONC786508 ONC851967:ONC852044 ONC917503:ONC917580 ONC983039:ONC983116 OWY2:OWY76 OWY65535:OWY65612 OWY131071:OWY131148 OWY196607:OWY196684 OWY262143:OWY262220 OWY327679:OWY327756 OWY393215:OWY393292 OWY458751:OWY458828 OWY524287:OWY524364 OWY589823:OWY589900 OWY655359:OWY655436 OWY720895:OWY720972 OWY786431:OWY786508 OWY851967:OWY852044 OWY917503:OWY917580 OWY983039:OWY983116 PGU2:PGU76 PGU65535:PGU65612 PGU131071:PGU131148 PGU196607:PGU196684 PGU262143:PGU262220 PGU327679:PGU327756 PGU393215:PGU393292 PGU458751:PGU458828 PGU524287:PGU524364 PGU589823:PGU589900 PGU655359:PGU655436 PGU720895:PGU720972 PGU786431:PGU786508 PGU851967:PGU852044 PGU917503:PGU917580 PGU983039:PGU983116 PQQ2:PQQ76 PQQ65535:PQQ65612 PQQ131071:PQQ131148 PQQ196607:PQQ196684 PQQ262143:PQQ262220 PQQ327679:PQQ327756 PQQ393215:PQQ393292 PQQ458751:PQQ458828 PQQ524287:PQQ524364 PQQ589823:PQQ589900 PQQ655359:PQQ655436 PQQ720895:PQQ720972 PQQ786431:PQQ786508 PQQ851967:PQQ852044 PQQ917503:PQQ917580 PQQ983039:PQQ983116 QAM2:QAM76 QAM65535:QAM65612 QAM131071:QAM131148 QAM196607:QAM196684 QAM262143:QAM262220 QAM327679:QAM327756 QAM393215:QAM393292 QAM458751:QAM458828 QAM524287:QAM524364 QAM589823:QAM589900 QAM655359:QAM655436 QAM720895:QAM720972 QAM786431:QAM786508 QAM851967:QAM852044 QAM917503:QAM917580 QAM983039:QAM983116 QKI2:QKI76 QKI65535:QKI65612 QKI131071:QKI131148 QKI196607:QKI196684 QKI262143:QKI262220 QKI327679:QKI327756 QKI393215:QKI393292 QKI458751:QKI458828 QKI524287:QKI524364 QKI589823:QKI589900 QKI655359:QKI655436 QKI720895:QKI720972 QKI786431:QKI786508 QKI851967:QKI852044 QKI917503:QKI917580 QKI983039:QKI983116 QUE2:QUE76 QUE65535:QUE65612 QUE131071:QUE131148 QUE196607:QUE196684 QUE262143:QUE262220 QUE327679:QUE327756 QUE393215:QUE393292 QUE458751:QUE458828 QUE524287:QUE524364 QUE589823:QUE589900 QUE655359:QUE655436 QUE720895:QUE720972 QUE786431:QUE786508 QUE851967:QUE852044 QUE917503:QUE917580 QUE983039:QUE983116 REA2:REA76 REA65535:REA65612 REA131071:REA131148 REA196607:REA196684 REA262143:REA262220 REA327679:REA327756 REA393215:REA393292 REA458751:REA458828 REA524287:REA524364 REA589823:REA589900 REA655359:REA655436 REA720895:REA720972 REA786431:REA786508 REA851967:REA852044 REA917503:REA917580 REA983039:REA983116 RNW2:RNW76 RNW65535:RNW65612 RNW131071:RNW131148 RNW196607:RNW196684 RNW262143:RNW262220 RNW327679:RNW327756 RNW393215:RNW393292 RNW458751:RNW458828 RNW524287:RNW524364 RNW589823:RNW589900 RNW655359:RNW655436 RNW720895:RNW720972 RNW786431:RNW786508 RNW851967:RNW852044 RNW917503:RNW917580 RNW983039:RNW983116 RXS2:RXS76 RXS65535:RXS65612 RXS131071:RXS131148 RXS196607:RXS196684 RXS262143:RXS262220 RXS327679:RXS327756 RXS393215:RXS393292 RXS458751:RXS458828 RXS524287:RXS524364 RXS589823:RXS589900 RXS655359:RXS655436 RXS720895:RXS720972 RXS786431:RXS786508 RXS851967:RXS852044 RXS917503:RXS917580 RXS983039:RXS983116 SHO2:SHO76 SHO65535:SHO65612 SHO131071:SHO131148 SHO196607:SHO196684 SHO262143:SHO262220 SHO327679:SHO327756 SHO393215:SHO393292 SHO458751:SHO458828 SHO524287:SHO524364 SHO589823:SHO589900 SHO655359:SHO655436 SHO720895:SHO720972 SHO786431:SHO786508 SHO851967:SHO852044 SHO917503:SHO917580 SHO983039:SHO983116 SRK2:SRK76 SRK65535:SRK65612 SRK131071:SRK131148 SRK196607:SRK196684 SRK262143:SRK262220 SRK327679:SRK327756 SRK393215:SRK393292 SRK458751:SRK458828 SRK524287:SRK524364 SRK589823:SRK589900 SRK655359:SRK655436 SRK720895:SRK720972 SRK786431:SRK786508 SRK851967:SRK852044 SRK917503:SRK917580 SRK983039:SRK983116 TBG2:TBG76 TBG65535:TBG65612 TBG131071:TBG131148 TBG196607:TBG196684 TBG262143:TBG262220 TBG327679:TBG327756 TBG393215:TBG393292 TBG458751:TBG458828 TBG524287:TBG524364 TBG589823:TBG589900 TBG655359:TBG655436 TBG720895:TBG720972 TBG786431:TBG786508 TBG851967:TBG852044 TBG917503:TBG917580 TBG983039:TBG983116 TLC2:TLC76 TLC65535:TLC65612 TLC131071:TLC131148 TLC196607:TLC196684 TLC262143:TLC262220 TLC327679:TLC327756 TLC393215:TLC393292 TLC458751:TLC458828 TLC524287:TLC524364 TLC589823:TLC589900 TLC655359:TLC655436 TLC720895:TLC720972 TLC786431:TLC786508 TLC851967:TLC852044 TLC917503:TLC917580 TLC983039:TLC983116 TUY2:TUY76 TUY65535:TUY65612 TUY131071:TUY131148 TUY196607:TUY196684 TUY262143:TUY262220 TUY327679:TUY327756 TUY393215:TUY393292 TUY458751:TUY458828 TUY524287:TUY524364 TUY589823:TUY589900 TUY655359:TUY655436 TUY720895:TUY720972 TUY786431:TUY786508 TUY851967:TUY852044 TUY917503:TUY917580 TUY983039:TUY983116 UEU2:UEU76 UEU65535:UEU65612 UEU131071:UEU131148 UEU196607:UEU196684 UEU262143:UEU262220 UEU327679:UEU327756 UEU393215:UEU393292 UEU458751:UEU458828 UEU524287:UEU524364 UEU589823:UEU589900 UEU655359:UEU655436 UEU720895:UEU720972 UEU786431:UEU786508 UEU851967:UEU852044 UEU917503:UEU917580 UEU983039:UEU983116 UOQ2:UOQ76 UOQ65535:UOQ65612 UOQ131071:UOQ131148 UOQ196607:UOQ196684 UOQ262143:UOQ262220 UOQ327679:UOQ327756 UOQ393215:UOQ393292 UOQ458751:UOQ458828 UOQ524287:UOQ524364 UOQ589823:UOQ589900 UOQ655359:UOQ655436 UOQ720895:UOQ720972 UOQ786431:UOQ786508 UOQ851967:UOQ852044 UOQ917503:UOQ917580 UOQ983039:UOQ983116 UYM2:UYM76 UYM65535:UYM65612 UYM131071:UYM131148 UYM196607:UYM196684 UYM262143:UYM262220 UYM327679:UYM327756 UYM393215:UYM393292 UYM458751:UYM458828 UYM524287:UYM524364 UYM589823:UYM589900 UYM655359:UYM655436 UYM720895:UYM720972 UYM786431:UYM786508 UYM851967:UYM852044 UYM917503:UYM917580 UYM983039:UYM983116 VII2:VII76 VII65535:VII65612 VII131071:VII131148 VII196607:VII196684 VII262143:VII262220 VII327679:VII327756 VII393215:VII393292 VII458751:VII458828 VII524287:VII524364 VII589823:VII589900 VII655359:VII655436 VII720895:VII720972 VII786431:VII786508 VII851967:VII852044 VII917503:VII917580 VII983039:VII983116 VSE2:VSE76 VSE65535:VSE65612 VSE131071:VSE131148 VSE196607:VSE196684 VSE262143:VSE262220 VSE327679:VSE327756 VSE393215:VSE393292 VSE458751:VSE458828 VSE524287:VSE524364 VSE589823:VSE589900 VSE655359:VSE655436 VSE720895:VSE720972 VSE786431:VSE786508 VSE851967:VSE852044 VSE917503:VSE917580 VSE983039:VSE983116 WCA2:WCA76 WCA65535:WCA65612 WCA131071:WCA131148 WCA196607:WCA196684 WCA262143:WCA262220 WCA327679:WCA327756 WCA393215:WCA393292 WCA458751:WCA458828 WCA524287:WCA524364 WCA589823:WCA589900 WCA655359:WCA655436 WCA720895:WCA720972 WCA786431:WCA786508 WCA851967:WCA852044 WCA917503:WCA917580 WCA983039:WCA983116 WLW2:WLW76 WLW65535:WLW65612 WLW131071:WLW131148 WLW196607:WLW196684 WLW262143:WLW262220 WLW327679:WLW327756 WLW393215:WLW393292 WLW458751:WLW458828 WLW524287:WLW524364 WLW589823:WLW589900 WLW655359:WLW655436 WLW720895:WLW720972 WLW786431:WLW786508 WLW851967:WLW852044 WLW917503:WLW917580 WLW983039:WLW983116 WVS2:WVS76 WVS65535:WVS65612 WVS131071:WVS131148 WVS196607:WVS196684 WVS262143:WVS262220 WVS327679:WVS327756 WVS393215:WVS393292 WVS458751:WVS458828 WVS524287:WVS524364 WVS589823:WVS589900 WVS655359:WVS655436 WVS720895:WVS720972 WVS786431:WVS786508 WVS851967:WVS852044 WVS917503:WVS917580 WVS983039:WVS983116" xr:uid="{43609F2B-98DF-466B-8F8B-53C5842025D9}">
      <formula1>$AR$2:$AR$25</formula1>
    </dataValidation>
    <dataValidation type="list" allowBlank="1" showInputMessage="1" showErrorMessage="1" sqref="JF2:JF76 JF65535:JF65612 JF131071:JF131148 JF196607:JF196684 JF262143:JF262220 JF327679:JF327756 JF393215:JF393292 JF458751:JF458828 JF524287:JF524364 JF589823:JF589900 JF655359:JF655436 JF720895:JF720972 JF786431:JF786508 JF851967:JF852044 JF917503:JF917580 JF983039:JF983116 TB2:TB76 TB65535:TB65612 TB131071:TB131148 TB196607:TB196684 TB262143:TB262220 TB327679:TB327756 TB393215:TB393292 TB458751:TB458828 TB524287:TB524364 TB589823:TB589900 TB655359:TB655436 TB720895:TB720972 TB786431:TB786508 TB851967:TB852044 TB917503:TB917580 TB983039:TB983116 ACX2:ACX76 ACX65535:ACX65612 ACX131071:ACX131148 ACX196607:ACX196684 ACX262143:ACX262220 ACX327679:ACX327756 ACX393215:ACX393292 ACX458751:ACX458828 ACX524287:ACX524364 ACX589823:ACX589900 ACX655359:ACX655436 ACX720895:ACX720972 ACX786431:ACX786508 ACX851967:ACX852044 ACX917503:ACX917580 ACX983039:ACX983116 AMT2:AMT76 AMT65535:AMT65612 AMT131071:AMT131148 AMT196607:AMT196684 AMT262143:AMT262220 AMT327679:AMT327756 AMT393215:AMT393292 AMT458751:AMT458828 AMT524287:AMT524364 AMT589823:AMT589900 AMT655359:AMT655436 AMT720895:AMT720972 AMT786431:AMT786508 AMT851967:AMT852044 AMT917503:AMT917580 AMT983039:AMT983116 AWP2:AWP76 AWP65535:AWP65612 AWP131071:AWP131148 AWP196607:AWP196684 AWP262143:AWP262220 AWP327679:AWP327756 AWP393215:AWP393292 AWP458751:AWP458828 AWP524287:AWP524364 AWP589823:AWP589900 AWP655359:AWP655436 AWP720895:AWP720972 AWP786431:AWP786508 AWP851967:AWP852044 AWP917503:AWP917580 AWP983039:AWP983116 BGL2:BGL76 BGL65535:BGL65612 BGL131071:BGL131148 BGL196607:BGL196684 BGL262143:BGL262220 BGL327679:BGL327756 BGL393215:BGL393292 BGL458751:BGL458828 BGL524287:BGL524364 BGL589823:BGL589900 BGL655359:BGL655436 BGL720895:BGL720972 BGL786431:BGL786508 BGL851967:BGL852044 BGL917503:BGL917580 BGL983039:BGL983116 BQH2:BQH76 BQH65535:BQH65612 BQH131071:BQH131148 BQH196607:BQH196684 BQH262143:BQH262220 BQH327679:BQH327756 BQH393215:BQH393292 BQH458751:BQH458828 BQH524287:BQH524364 BQH589823:BQH589900 BQH655359:BQH655436 BQH720895:BQH720972 BQH786431:BQH786508 BQH851967:BQH852044 BQH917503:BQH917580 BQH983039:BQH983116 CAD2:CAD76 CAD65535:CAD65612 CAD131071:CAD131148 CAD196607:CAD196684 CAD262143:CAD262220 CAD327679:CAD327756 CAD393215:CAD393292 CAD458751:CAD458828 CAD524287:CAD524364 CAD589823:CAD589900 CAD655359:CAD655436 CAD720895:CAD720972 CAD786431:CAD786508 CAD851967:CAD852044 CAD917503:CAD917580 CAD983039:CAD983116 CJZ2:CJZ76 CJZ65535:CJZ65612 CJZ131071:CJZ131148 CJZ196607:CJZ196684 CJZ262143:CJZ262220 CJZ327679:CJZ327756 CJZ393215:CJZ393292 CJZ458751:CJZ458828 CJZ524287:CJZ524364 CJZ589823:CJZ589900 CJZ655359:CJZ655436 CJZ720895:CJZ720972 CJZ786431:CJZ786508 CJZ851967:CJZ852044 CJZ917503:CJZ917580 CJZ983039:CJZ983116 CTV2:CTV76 CTV65535:CTV65612 CTV131071:CTV131148 CTV196607:CTV196684 CTV262143:CTV262220 CTV327679:CTV327756 CTV393215:CTV393292 CTV458751:CTV458828 CTV524287:CTV524364 CTV589823:CTV589900 CTV655359:CTV655436 CTV720895:CTV720972 CTV786431:CTV786508 CTV851967:CTV852044 CTV917503:CTV917580 CTV983039:CTV983116 DDR2:DDR76 DDR65535:DDR65612 DDR131071:DDR131148 DDR196607:DDR196684 DDR262143:DDR262220 DDR327679:DDR327756 DDR393215:DDR393292 DDR458751:DDR458828 DDR524287:DDR524364 DDR589823:DDR589900 DDR655359:DDR655436 DDR720895:DDR720972 DDR786431:DDR786508 DDR851967:DDR852044 DDR917503:DDR917580 DDR983039:DDR983116 DNN2:DNN76 DNN65535:DNN65612 DNN131071:DNN131148 DNN196607:DNN196684 DNN262143:DNN262220 DNN327679:DNN327756 DNN393215:DNN393292 DNN458751:DNN458828 DNN524287:DNN524364 DNN589823:DNN589900 DNN655359:DNN655436 DNN720895:DNN720972 DNN786431:DNN786508 DNN851967:DNN852044 DNN917503:DNN917580 DNN983039:DNN983116 DXJ2:DXJ76 DXJ65535:DXJ65612 DXJ131071:DXJ131148 DXJ196607:DXJ196684 DXJ262143:DXJ262220 DXJ327679:DXJ327756 DXJ393215:DXJ393292 DXJ458751:DXJ458828 DXJ524287:DXJ524364 DXJ589823:DXJ589900 DXJ655359:DXJ655436 DXJ720895:DXJ720972 DXJ786431:DXJ786508 DXJ851967:DXJ852044 DXJ917503:DXJ917580 DXJ983039:DXJ983116 EHF2:EHF76 EHF65535:EHF65612 EHF131071:EHF131148 EHF196607:EHF196684 EHF262143:EHF262220 EHF327679:EHF327756 EHF393215:EHF393292 EHF458751:EHF458828 EHF524287:EHF524364 EHF589823:EHF589900 EHF655359:EHF655436 EHF720895:EHF720972 EHF786431:EHF786508 EHF851967:EHF852044 EHF917503:EHF917580 EHF983039:EHF983116 ERB2:ERB76 ERB65535:ERB65612 ERB131071:ERB131148 ERB196607:ERB196684 ERB262143:ERB262220 ERB327679:ERB327756 ERB393215:ERB393292 ERB458751:ERB458828 ERB524287:ERB524364 ERB589823:ERB589900 ERB655359:ERB655436 ERB720895:ERB720972 ERB786431:ERB786508 ERB851967:ERB852044 ERB917503:ERB917580 ERB983039:ERB983116 FAX2:FAX76 FAX65535:FAX65612 FAX131071:FAX131148 FAX196607:FAX196684 FAX262143:FAX262220 FAX327679:FAX327756 FAX393215:FAX393292 FAX458751:FAX458828 FAX524287:FAX524364 FAX589823:FAX589900 FAX655359:FAX655436 FAX720895:FAX720972 FAX786431:FAX786508 FAX851967:FAX852044 FAX917503:FAX917580 FAX983039:FAX983116 FKT2:FKT76 FKT65535:FKT65612 FKT131071:FKT131148 FKT196607:FKT196684 FKT262143:FKT262220 FKT327679:FKT327756 FKT393215:FKT393292 FKT458751:FKT458828 FKT524287:FKT524364 FKT589823:FKT589900 FKT655359:FKT655436 FKT720895:FKT720972 FKT786431:FKT786508 FKT851967:FKT852044 FKT917503:FKT917580 FKT983039:FKT983116 FUP2:FUP76 FUP65535:FUP65612 FUP131071:FUP131148 FUP196607:FUP196684 FUP262143:FUP262220 FUP327679:FUP327756 FUP393215:FUP393292 FUP458751:FUP458828 FUP524287:FUP524364 FUP589823:FUP589900 FUP655359:FUP655436 FUP720895:FUP720972 FUP786431:FUP786508 FUP851967:FUP852044 FUP917503:FUP917580 FUP983039:FUP983116 GEL2:GEL76 GEL65535:GEL65612 GEL131071:GEL131148 GEL196607:GEL196684 GEL262143:GEL262220 GEL327679:GEL327756 GEL393215:GEL393292 GEL458751:GEL458828 GEL524287:GEL524364 GEL589823:GEL589900 GEL655359:GEL655436 GEL720895:GEL720972 GEL786431:GEL786508 GEL851967:GEL852044 GEL917503:GEL917580 GEL983039:GEL983116 GOH2:GOH76 GOH65535:GOH65612 GOH131071:GOH131148 GOH196607:GOH196684 GOH262143:GOH262220 GOH327679:GOH327756 GOH393215:GOH393292 GOH458751:GOH458828 GOH524287:GOH524364 GOH589823:GOH589900 GOH655359:GOH655436 GOH720895:GOH720972 GOH786431:GOH786508 GOH851967:GOH852044 GOH917503:GOH917580 GOH983039:GOH983116 GYD2:GYD76 GYD65535:GYD65612 GYD131071:GYD131148 GYD196607:GYD196684 GYD262143:GYD262220 GYD327679:GYD327756 GYD393215:GYD393292 GYD458751:GYD458828 GYD524287:GYD524364 GYD589823:GYD589900 GYD655359:GYD655436 GYD720895:GYD720972 GYD786431:GYD786508 GYD851967:GYD852044 GYD917503:GYD917580 GYD983039:GYD983116 HHZ2:HHZ76 HHZ65535:HHZ65612 HHZ131071:HHZ131148 HHZ196607:HHZ196684 HHZ262143:HHZ262220 HHZ327679:HHZ327756 HHZ393215:HHZ393292 HHZ458751:HHZ458828 HHZ524287:HHZ524364 HHZ589823:HHZ589900 HHZ655359:HHZ655436 HHZ720895:HHZ720972 HHZ786431:HHZ786508 HHZ851967:HHZ852044 HHZ917503:HHZ917580 HHZ983039:HHZ983116 HRV2:HRV76 HRV65535:HRV65612 HRV131071:HRV131148 HRV196607:HRV196684 HRV262143:HRV262220 HRV327679:HRV327756 HRV393215:HRV393292 HRV458751:HRV458828 HRV524287:HRV524364 HRV589823:HRV589900 HRV655359:HRV655436 HRV720895:HRV720972 HRV786431:HRV786508 HRV851967:HRV852044 HRV917503:HRV917580 HRV983039:HRV983116 IBR2:IBR76 IBR65535:IBR65612 IBR131071:IBR131148 IBR196607:IBR196684 IBR262143:IBR262220 IBR327679:IBR327756 IBR393215:IBR393292 IBR458751:IBR458828 IBR524287:IBR524364 IBR589823:IBR589900 IBR655359:IBR655436 IBR720895:IBR720972 IBR786431:IBR786508 IBR851967:IBR852044 IBR917503:IBR917580 IBR983039:IBR983116 ILN2:ILN76 ILN65535:ILN65612 ILN131071:ILN131148 ILN196607:ILN196684 ILN262143:ILN262220 ILN327679:ILN327756 ILN393215:ILN393292 ILN458751:ILN458828 ILN524287:ILN524364 ILN589823:ILN589900 ILN655359:ILN655436 ILN720895:ILN720972 ILN786431:ILN786508 ILN851967:ILN852044 ILN917503:ILN917580 ILN983039:ILN983116 IVJ2:IVJ76 IVJ65535:IVJ65612 IVJ131071:IVJ131148 IVJ196607:IVJ196684 IVJ262143:IVJ262220 IVJ327679:IVJ327756 IVJ393215:IVJ393292 IVJ458751:IVJ458828 IVJ524287:IVJ524364 IVJ589823:IVJ589900 IVJ655359:IVJ655436 IVJ720895:IVJ720972 IVJ786431:IVJ786508 IVJ851967:IVJ852044 IVJ917503:IVJ917580 IVJ983039:IVJ983116 JFF2:JFF76 JFF65535:JFF65612 JFF131071:JFF131148 JFF196607:JFF196684 JFF262143:JFF262220 JFF327679:JFF327756 JFF393215:JFF393292 JFF458751:JFF458828 JFF524287:JFF524364 JFF589823:JFF589900 JFF655359:JFF655436 JFF720895:JFF720972 JFF786431:JFF786508 JFF851967:JFF852044 JFF917503:JFF917580 JFF983039:JFF983116 JPB2:JPB76 JPB65535:JPB65612 JPB131071:JPB131148 JPB196607:JPB196684 JPB262143:JPB262220 JPB327679:JPB327756 JPB393215:JPB393292 JPB458751:JPB458828 JPB524287:JPB524364 JPB589823:JPB589900 JPB655359:JPB655436 JPB720895:JPB720972 JPB786431:JPB786508 JPB851967:JPB852044 JPB917503:JPB917580 JPB983039:JPB983116 JYX2:JYX76 JYX65535:JYX65612 JYX131071:JYX131148 JYX196607:JYX196684 JYX262143:JYX262220 JYX327679:JYX327756 JYX393215:JYX393292 JYX458751:JYX458828 JYX524287:JYX524364 JYX589823:JYX589900 JYX655359:JYX655436 JYX720895:JYX720972 JYX786431:JYX786508 JYX851967:JYX852044 JYX917503:JYX917580 JYX983039:JYX983116 KIT2:KIT76 KIT65535:KIT65612 KIT131071:KIT131148 KIT196607:KIT196684 KIT262143:KIT262220 KIT327679:KIT327756 KIT393215:KIT393292 KIT458751:KIT458828 KIT524287:KIT524364 KIT589823:KIT589900 KIT655359:KIT655436 KIT720895:KIT720972 KIT786431:KIT786508 KIT851967:KIT852044 KIT917503:KIT917580 KIT983039:KIT983116 KSP2:KSP76 KSP65535:KSP65612 KSP131071:KSP131148 KSP196607:KSP196684 KSP262143:KSP262220 KSP327679:KSP327756 KSP393215:KSP393292 KSP458751:KSP458828 KSP524287:KSP524364 KSP589823:KSP589900 KSP655359:KSP655436 KSP720895:KSP720972 KSP786431:KSP786508 KSP851967:KSP852044 KSP917503:KSP917580 KSP983039:KSP983116 LCL2:LCL76 LCL65535:LCL65612 LCL131071:LCL131148 LCL196607:LCL196684 LCL262143:LCL262220 LCL327679:LCL327756 LCL393215:LCL393292 LCL458751:LCL458828 LCL524287:LCL524364 LCL589823:LCL589900 LCL655359:LCL655436 LCL720895:LCL720972 LCL786431:LCL786508 LCL851967:LCL852044 LCL917503:LCL917580 LCL983039:LCL983116 LMH2:LMH76 LMH65535:LMH65612 LMH131071:LMH131148 LMH196607:LMH196684 LMH262143:LMH262220 LMH327679:LMH327756 LMH393215:LMH393292 LMH458751:LMH458828 LMH524287:LMH524364 LMH589823:LMH589900 LMH655359:LMH655436 LMH720895:LMH720972 LMH786431:LMH786508 LMH851967:LMH852044 LMH917503:LMH917580 LMH983039:LMH983116 LWD2:LWD76 LWD65535:LWD65612 LWD131071:LWD131148 LWD196607:LWD196684 LWD262143:LWD262220 LWD327679:LWD327756 LWD393215:LWD393292 LWD458751:LWD458828 LWD524287:LWD524364 LWD589823:LWD589900 LWD655359:LWD655436 LWD720895:LWD720972 LWD786431:LWD786508 LWD851967:LWD852044 LWD917503:LWD917580 LWD983039:LWD983116 MFZ2:MFZ76 MFZ65535:MFZ65612 MFZ131071:MFZ131148 MFZ196607:MFZ196684 MFZ262143:MFZ262220 MFZ327679:MFZ327756 MFZ393215:MFZ393292 MFZ458751:MFZ458828 MFZ524287:MFZ524364 MFZ589823:MFZ589900 MFZ655359:MFZ655436 MFZ720895:MFZ720972 MFZ786431:MFZ786508 MFZ851967:MFZ852044 MFZ917503:MFZ917580 MFZ983039:MFZ983116 MPV2:MPV76 MPV65535:MPV65612 MPV131071:MPV131148 MPV196607:MPV196684 MPV262143:MPV262220 MPV327679:MPV327756 MPV393215:MPV393292 MPV458751:MPV458828 MPV524287:MPV524364 MPV589823:MPV589900 MPV655359:MPV655436 MPV720895:MPV720972 MPV786431:MPV786508 MPV851967:MPV852044 MPV917503:MPV917580 MPV983039:MPV983116 MZR2:MZR76 MZR65535:MZR65612 MZR131071:MZR131148 MZR196607:MZR196684 MZR262143:MZR262220 MZR327679:MZR327756 MZR393215:MZR393292 MZR458751:MZR458828 MZR524287:MZR524364 MZR589823:MZR589900 MZR655359:MZR655436 MZR720895:MZR720972 MZR786431:MZR786508 MZR851967:MZR852044 MZR917503:MZR917580 MZR983039:MZR983116 NJN2:NJN76 NJN65535:NJN65612 NJN131071:NJN131148 NJN196607:NJN196684 NJN262143:NJN262220 NJN327679:NJN327756 NJN393215:NJN393292 NJN458751:NJN458828 NJN524287:NJN524364 NJN589823:NJN589900 NJN655359:NJN655436 NJN720895:NJN720972 NJN786431:NJN786508 NJN851967:NJN852044 NJN917503:NJN917580 NJN983039:NJN983116 NTJ2:NTJ76 NTJ65535:NTJ65612 NTJ131071:NTJ131148 NTJ196607:NTJ196684 NTJ262143:NTJ262220 NTJ327679:NTJ327756 NTJ393215:NTJ393292 NTJ458751:NTJ458828 NTJ524287:NTJ524364 NTJ589823:NTJ589900 NTJ655359:NTJ655436 NTJ720895:NTJ720972 NTJ786431:NTJ786508 NTJ851967:NTJ852044 NTJ917503:NTJ917580 NTJ983039:NTJ983116 ODF2:ODF76 ODF65535:ODF65612 ODF131071:ODF131148 ODF196607:ODF196684 ODF262143:ODF262220 ODF327679:ODF327756 ODF393215:ODF393292 ODF458751:ODF458828 ODF524287:ODF524364 ODF589823:ODF589900 ODF655359:ODF655436 ODF720895:ODF720972 ODF786431:ODF786508 ODF851967:ODF852044 ODF917503:ODF917580 ODF983039:ODF983116 ONB2:ONB76 ONB65535:ONB65612 ONB131071:ONB131148 ONB196607:ONB196684 ONB262143:ONB262220 ONB327679:ONB327756 ONB393215:ONB393292 ONB458751:ONB458828 ONB524287:ONB524364 ONB589823:ONB589900 ONB655359:ONB655436 ONB720895:ONB720972 ONB786431:ONB786508 ONB851967:ONB852044 ONB917503:ONB917580 ONB983039:ONB983116 OWX2:OWX76 OWX65535:OWX65612 OWX131071:OWX131148 OWX196607:OWX196684 OWX262143:OWX262220 OWX327679:OWX327756 OWX393215:OWX393292 OWX458751:OWX458828 OWX524287:OWX524364 OWX589823:OWX589900 OWX655359:OWX655436 OWX720895:OWX720972 OWX786431:OWX786508 OWX851967:OWX852044 OWX917503:OWX917580 OWX983039:OWX983116 PGT2:PGT76 PGT65535:PGT65612 PGT131071:PGT131148 PGT196607:PGT196684 PGT262143:PGT262220 PGT327679:PGT327756 PGT393215:PGT393292 PGT458751:PGT458828 PGT524287:PGT524364 PGT589823:PGT589900 PGT655359:PGT655436 PGT720895:PGT720972 PGT786431:PGT786508 PGT851967:PGT852044 PGT917503:PGT917580 PGT983039:PGT983116 PQP2:PQP76 PQP65535:PQP65612 PQP131071:PQP131148 PQP196607:PQP196684 PQP262143:PQP262220 PQP327679:PQP327756 PQP393215:PQP393292 PQP458751:PQP458828 PQP524287:PQP524364 PQP589823:PQP589900 PQP655359:PQP655436 PQP720895:PQP720972 PQP786431:PQP786508 PQP851967:PQP852044 PQP917503:PQP917580 PQP983039:PQP983116 QAL2:QAL76 QAL65535:QAL65612 QAL131071:QAL131148 QAL196607:QAL196684 QAL262143:QAL262220 QAL327679:QAL327756 QAL393215:QAL393292 QAL458751:QAL458828 QAL524287:QAL524364 QAL589823:QAL589900 QAL655359:QAL655436 QAL720895:QAL720972 QAL786431:QAL786508 QAL851967:QAL852044 QAL917503:QAL917580 QAL983039:QAL983116 QKH2:QKH76 QKH65535:QKH65612 QKH131071:QKH131148 QKH196607:QKH196684 QKH262143:QKH262220 QKH327679:QKH327756 QKH393215:QKH393292 QKH458751:QKH458828 QKH524287:QKH524364 QKH589823:QKH589900 QKH655359:QKH655436 QKH720895:QKH720972 QKH786431:QKH786508 QKH851967:QKH852044 QKH917503:QKH917580 QKH983039:QKH983116 QUD2:QUD76 QUD65535:QUD65612 QUD131071:QUD131148 QUD196607:QUD196684 QUD262143:QUD262220 QUD327679:QUD327756 QUD393215:QUD393292 QUD458751:QUD458828 QUD524287:QUD524364 QUD589823:QUD589900 QUD655359:QUD655436 QUD720895:QUD720972 QUD786431:QUD786508 QUD851967:QUD852044 QUD917503:QUD917580 QUD983039:QUD983116 RDZ2:RDZ76 RDZ65535:RDZ65612 RDZ131071:RDZ131148 RDZ196607:RDZ196684 RDZ262143:RDZ262220 RDZ327679:RDZ327756 RDZ393215:RDZ393292 RDZ458751:RDZ458828 RDZ524287:RDZ524364 RDZ589823:RDZ589900 RDZ655359:RDZ655436 RDZ720895:RDZ720972 RDZ786431:RDZ786508 RDZ851967:RDZ852044 RDZ917503:RDZ917580 RDZ983039:RDZ983116 RNV2:RNV76 RNV65535:RNV65612 RNV131071:RNV131148 RNV196607:RNV196684 RNV262143:RNV262220 RNV327679:RNV327756 RNV393215:RNV393292 RNV458751:RNV458828 RNV524287:RNV524364 RNV589823:RNV589900 RNV655359:RNV655436 RNV720895:RNV720972 RNV786431:RNV786508 RNV851967:RNV852044 RNV917503:RNV917580 RNV983039:RNV983116 RXR2:RXR76 RXR65535:RXR65612 RXR131071:RXR131148 RXR196607:RXR196684 RXR262143:RXR262220 RXR327679:RXR327756 RXR393215:RXR393292 RXR458751:RXR458828 RXR524287:RXR524364 RXR589823:RXR589900 RXR655359:RXR655436 RXR720895:RXR720972 RXR786431:RXR786508 RXR851967:RXR852044 RXR917503:RXR917580 RXR983039:RXR983116 SHN2:SHN76 SHN65535:SHN65612 SHN131071:SHN131148 SHN196607:SHN196684 SHN262143:SHN262220 SHN327679:SHN327756 SHN393215:SHN393292 SHN458751:SHN458828 SHN524287:SHN524364 SHN589823:SHN589900 SHN655359:SHN655436 SHN720895:SHN720972 SHN786431:SHN786508 SHN851967:SHN852044 SHN917503:SHN917580 SHN983039:SHN983116 SRJ2:SRJ76 SRJ65535:SRJ65612 SRJ131071:SRJ131148 SRJ196607:SRJ196684 SRJ262143:SRJ262220 SRJ327679:SRJ327756 SRJ393215:SRJ393292 SRJ458751:SRJ458828 SRJ524287:SRJ524364 SRJ589823:SRJ589900 SRJ655359:SRJ655436 SRJ720895:SRJ720972 SRJ786431:SRJ786508 SRJ851967:SRJ852044 SRJ917503:SRJ917580 SRJ983039:SRJ983116 TBF2:TBF76 TBF65535:TBF65612 TBF131071:TBF131148 TBF196607:TBF196684 TBF262143:TBF262220 TBF327679:TBF327756 TBF393215:TBF393292 TBF458751:TBF458828 TBF524287:TBF524364 TBF589823:TBF589900 TBF655359:TBF655436 TBF720895:TBF720972 TBF786431:TBF786508 TBF851967:TBF852044 TBF917503:TBF917580 TBF983039:TBF983116 TLB2:TLB76 TLB65535:TLB65612 TLB131071:TLB131148 TLB196607:TLB196684 TLB262143:TLB262220 TLB327679:TLB327756 TLB393215:TLB393292 TLB458751:TLB458828 TLB524287:TLB524364 TLB589823:TLB589900 TLB655359:TLB655436 TLB720895:TLB720972 TLB786431:TLB786508 TLB851967:TLB852044 TLB917503:TLB917580 TLB983039:TLB983116 TUX2:TUX76 TUX65535:TUX65612 TUX131071:TUX131148 TUX196607:TUX196684 TUX262143:TUX262220 TUX327679:TUX327756 TUX393215:TUX393292 TUX458751:TUX458828 TUX524287:TUX524364 TUX589823:TUX589900 TUX655359:TUX655436 TUX720895:TUX720972 TUX786431:TUX786508 TUX851967:TUX852044 TUX917503:TUX917580 TUX983039:TUX983116 UET2:UET76 UET65535:UET65612 UET131071:UET131148 UET196607:UET196684 UET262143:UET262220 UET327679:UET327756 UET393215:UET393292 UET458751:UET458828 UET524287:UET524364 UET589823:UET589900 UET655359:UET655436 UET720895:UET720972 UET786431:UET786508 UET851967:UET852044 UET917503:UET917580 UET983039:UET983116 UOP2:UOP76 UOP65535:UOP65612 UOP131071:UOP131148 UOP196607:UOP196684 UOP262143:UOP262220 UOP327679:UOP327756 UOP393215:UOP393292 UOP458751:UOP458828 UOP524287:UOP524364 UOP589823:UOP589900 UOP655359:UOP655436 UOP720895:UOP720972 UOP786431:UOP786508 UOP851967:UOP852044 UOP917503:UOP917580 UOP983039:UOP983116 UYL2:UYL76 UYL65535:UYL65612 UYL131071:UYL131148 UYL196607:UYL196684 UYL262143:UYL262220 UYL327679:UYL327756 UYL393215:UYL393292 UYL458751:UYL458828 UYL524287:UYL524364 UYL589823:UYL589900 UYL655359:UYL655436 UYL720895:UYL720972 UYL786431:UYL786508 UYL851967:UYL852044 UYL917503:UYL917580 UYL983039:UYL983116 VIH2:VIH76 VIH65535:VIH65612 VIH131071:VIH131148 VIH196607:VIH196684 VIH262143:VIH262220 VIH327679:VIH327756 VIH393215:VIH393292 VIH458751:VIH458828 VIH524287:VIH524364 VIH589823:VIH589900 VIH655359:VIH655436 VIH720895:VIH720972 VIH786431:VIH786508 VIH851967:VIH852044 VIH917503:VIH917580 VIH983039:VIH983116 VSD2:VSD76 VSD65535:VSD65612 VSD131071:VSD131148 VSD196607:VSD196684 VSD262143:VSD262220 VSD327679:VSD327756 VSD393215:VSD393292 VSD458751:VSD458828 VSD524287:VSD524364 VSD589823:VSD589900 VSD655359:VSD655436 VSD720895:VSD720972 VSD786431:VSD786508 VSD851967:VSD852044 VSD917503:VSD917580 VSD983039:VSD983116 WBZ2:WBZ76 WBZ65535:WBZ65612 WBZ131071:WBZ131148 WBZ196607:WBZ196684 WBZ262143:WBZ262220 WBZ327679:WBZ327756 WBZ393215:WBZ393292 WBZ458751:WBZ458828 WBZ524287:WBZ524364 WBZ589823:WBZ589900 WBZ655359:WBZ655436 WBZ720895:WBZ720972 WBZ786431:WBZ786508 WBZ851967:WBZ852044 WBZ917503:WBZ917580 WBZ983039:WBZ983116 WLV2:WLV76 WLV65535:WLV65612 WLV131071:WLV131148 WLV196607:WLV196684 WLV262143:WLV262220 WLV327679:WLV327756 WLV393215:WLV393292 WLV458751:WLV458828 WLV524287:WLV524364 WLV589823:WLV589900 WLV655359:WLV655436 WLV720895:WLV720972 WLV786431:WLV786508 WLV851967:WLV852044 WLV917503:WLV917580 WLV983039:WLV983116 WVR2:WVR76 WVR65535:WVR65612 WVR131071:WVR131148 WVR196607:WVR196684 WVR262143:WVR262220 WVR327679:WVR327756 WVR393215:WVR393292 WVR458751:WVR458828 WVR524287:WVR524364 WVR589823:WVR589900 WVR655359:WVR655436 WVR720895:WVR720972 WVR786431:WVR786508 WVR851967:WVR852044 WVR917503:WVR917580 WVR983039:WVR983116" xr:uid="{C80B7E5A-3259-49A3-940F-C5904A33EA99}">
      <formula1>$AP$2:$AP$27</formula1>
    </dataValidation>
    <dataValidation type="list" allowBlank="1" showInputMessage="1" showErrorMessage="1" sqref="Y2:AA497" xr:uid="{BA0CB6B6-49C1-4C02-A75B-492D226A7B8C}">
      <formula1>$AV$2:$AV$21</formula1>
    </dataValidation>
    <dataValidation type="list" allowBlank="1" showInputMessage="1" showErrorMessage="1" sqref="X2:X497 X65535:X65612 X131071:X131148 X196607:X196684 X262143:X262220 X327679:X327756 X393215:X393292 X458751:X458828 X524287:X524364 X589823:X589900 X655359:X655436 X720895:X720972 X786431:X786508 X851967:X852044 X917503:X917580 X983039:X983116 JT2:JT76 JT65535:JT65612 JT131071:JT131148 JT196607:JT196684 JT262143:JT262220 JT327679:JT327756 JT393215:JT393292 JT458751:JT458828 JT524287:JT524364 JT589823:JT589900 JT655359:JT655436 JT720895:JT720972 JT786431:JT786508 JT851967:JT852044 JT917503:JT917580 JT983039:JT983116 TP2:TP76 TP65535:TP65612 TP131071:TP131148 TP196607:TP196684 TP262143:TP262220 TP327679:TP327756 TP393215:TP393292 TP458751:TP458828 TP524287:TP524364 TP589823:TP589900 TP655359:TP655436 TP720895:TP720972 TP786431:TP786508 TP851967:TP852044 TP917503:TP917580 TP983039:TP983116 ADL2:ADL76 ADL65535:ADL65612 ADL131071:ADL131148 ADL196607:ADL196684 ADL262143:ADL262220 ADL327679:ADL327756 ADL393215:ADL393292 ADL458751:ADL458828 ADL524287:ADL524364 ADL589823:ADL589900 ADL655359:ADL655436 ADL720895:ADL720972 ADL786431:ADL786508 ADL851967:ADL852044 ADL917503:ADL917580 ADL983039:ADL983116 ANH2:ANH76 ANH65535:ANH65612 ANH131071:ANH131148 ANH196607:ANH196684 ANH262143:ANH262220 ANH327679:ANH327756 ANH393215:ANH393292 ANH458751:ANH458828 ANH524287:ANH524364 ANH589823:ANH589900 ANH655359:ANH655436 ANH720895:ANH720972 ANH786431:ANH786508 ANH851967:ANH852044 ANH917503:ANH917580 ANH983039:ANH983116 AXD2:AXD76 AXD65535:AXD65612 AXD131071:AXD131148 AXD196607:AXD196684 AXD262143:AXD262220 AXD327679:AXD327756 AXD393215:AXD393292 AXD458751:AXD458828 AXD524287:AXD524364 AXD589823:AXD589900 AXD655359:AXD655436 AXD720895:AXD720972 AXD786431:AXD786508 AXD851967:AXD852044 AXD917503:AXD917580 AXD983039:AXD983116 BGZ2:BGZ76 BGZ65535:BGZ65612 BGZ131071:BGZ131148 BGZ196607:BGZ196684 BGZ262143:BGZ262220 BGZ327679:BGZ327756 BGZ393215:BGZ393292 BGZ458751:BGZ458828 BGZ524287:BGZ524364 BGZ589823:BGZ589900 BGZ655359:BGZ655436 BGZ720895:BGZ720972 BGZ786431:BGZ786508 BGZ851967:BGZ852044 BGZ917503:BGZ917580 BGZ983039:BGZ983116 BQV2:BQV76 BQV65535:BQV65612 BQV131071:BQV131148 BQV196607:BQV196684 BQV262143:BQV262220 BQV327679:BQV327756 BQV393215:BQV393292 BQV458751:BQV458828 BQV524287:BQV524364 BQV589823:BQV589900 BQV655359:BQV655436 BQV720895:BQV720972 BQV786431:BQV786508 BQV851967:BQV852044 BQV917503:BQV917580 BQV983039:BQV983116 CAR2:CAR76 CAR65535:CAR65612 CAR131071:CAR131148 CAR196607:CAR196684 CAR262143:CAR262220 CAR327679:CAR327756 CAR393215:CAR393292 CAR458751:CAR458828 CAR524287:CAR524364 CAR589823:CAR589900 CAR655359:CAR655436 CAR720895:CAR720972 CAR786431:CAR786508 CAR851967:CAR852044 CAR917503:CAR917580 CAR983039:CAR983116 CKN2:CKN76 CKN65535:CKN65612 CKN131071:CKN131148 CKN196607:CKN196684 CKN262143:CKN262220 CKN327679:CKN327756 CKN393215:CKN393292 CKN458751:CKN458828 CKN524287:CKN524364 CKN589823:CKN589900 CKN655359:CKN655436 CKN720895:CKN720972 CKN786431:CKN786508 CKN851967:CKN852044 CKN917503:CKN917580 CKN983039:CKN983116 CUJ2:CUJ76 CUJ65535:CUJ65612 CUJ131071:CUJ131148 CUJ196607:CUJ196684 CUJ262143:CUJ262220 CUJ327679:CUJ327756 CUJ393215:CUJ393292 CUJ458751:CUJ458828 CUJ524287:CUJ524364 CUJ589823:CUJ589900 CUJ655359:CUJ655436 CUJ720895:CUJ720972 CUJ786431:CUJ786508 CUJ851967:CUJ852044 CUJ917503:CUJ917580 CUJ983039:CUJ983116 DEF2:DEF76 DEF65535:DEF65612 DEF131071:DEF131148 DEF196607:DEF196684 DEF262143:DEF262220 DEF327679:DEF327756 DEF393215:DEF393292 DEF458751:DEF458828 DEF524287:DEF524364 DEF589823:DEF589900 DEF655359:DEF655436 DEF720895:DEF720972 DEF786431:DEF786508 DEF851967:DEF852044 DEF917503:DEF917580 DEF983039:DEF983116 DOB2:DOB76 DOB65535:DOB65612 DOB131071:DOB131148 DOB196607:DOB196684 DOB262143:DOB262220 DOB327679:DOB327756 DOB393215:DOB393292 DOB458751:DOB458828 DOB524287:DOB524364 DOB589823:DOB589900 DOB655359:DOB655436 DOB720895:DOB720972 DOB786431:DOB786508 DOB851967:DOB852044 DOB917503:DOB917580 DOB983039:DOB983116 DXX2:DXX76 DXX65535:DXX65612 DXX131071:DXX131148 DXX196607:DXX196684 DXX262143:DXX262220 DXX327679:DXX327756 DXX393215:DXX393292 DXX458751:DXX458828 DXX524287:DXX524364 DXX589823:DXX589900 DXX655359:DXX655436 DXX720895:DXX720972 DXX786431:DXX786508 DXX851967:DXX852044 DXX917503:DXX917580 DXX983039:DXX983116 EHT2:EHT76 EHT65535:EHT65612 EHT131071:EHT131148 EHT196607:EHT196684 EHT262143:EHT262220 EHT327679:EHT327756 EHT393215:EHT393292 EHT458751:EHT458828 EHT524287:EHT524364 EHT589823:EHT589900 EHT655359:EHT655436 EHT720895:EHT720972 EHT786431:EHT786508 EHT851967:EHT852044 EHT917503:EHT917580 EHT983039:EHT983116 ERP2:ERP76 ERP65535:ERP65612 ERP131071:ERP131148 ERP196607:ERP196684 ERP262143:ERP262220 ERP327679:ERP327756 ERP393215:ERP393292 ERP458751:ERP458828 ERP524287:ERP524364 ERP589823:ERP589900 ERP655359:ERP655436 ERP720895:ERP720972 ERP786431:ERP786508 ERP851967:ERP852044 ERP917503:ERP917580 ERP983039:ERP983116 FBL2:FBL76 FBL65535:FBL65612 FBL131071:FBL131148 FBL196607:FBL196684 FBL262143:FBL262220 FBL327679:FBL327756 FBL393215:FBL393292 FBL458751:FBL458828 FBL524287:FBL524364 FBL589823:FBL589900 FBL655359:FBL655436 FBL720895:FBL720972 FBL786431:FBL786508 FBL851967:FBL852044 FBL917503:FBL917580 FBL983039:FBL983116 FLH2:FLH76 FLH65535:FLH65612 FLH131071:FLH131148 FLH196607:FLH196684 FLH262143:FLH262220 FLH327679:FLH327756 FLH393215:FLH393292 FLH458751:FLH458828 FLH524287:FLH524364 FLH589823:FLH589900 FLH655359:FLH655436 FLH720895:FLH720972 FLH786431:FLH786508 FLH851967:FLH852044 FLH917503:FLH917580 FLH983039:FLH983116 FVD2:FVD76 FVD65535:FVD65612 FVD131071:FVD131148 FVD196607:FVD196684 FVD262143:FVD262220 FVD327679:FVD327756 FVD393215:FVD393292 FVD458751:FVD458828 FVD524287:FVD524364 FVD589823:FVD589900 FVD655359:FVD655436 FVD720895:FVD720972 FVD786431:FVD786508 FVD851967:FVD852044 FVD917503:FVD917580 FVD983039:FVD983116 GEZ2:GEZ76 GEZ65535:GEZ65612 GEZ131071:GEZ131148 GEZ196607:GEZ196684 GEZ262143:GEZ262220 GEZ327679:GEZ327756 GEZ393215:GEZ393292 GEZ458751:GEZ458828 GEZ524287:GEZ524364 GEZ589823:GEZ589900 GEZ655359:GEZ655436 GEZ720895:GEZ720972 GEZ786431:GEZ786508 GEZ851967:GEZ852044 GEZ917503:GEZ917580 GEZ983039:GEZ983116 GOV2:GOV76 GOV65535:GOV65612 GOV131071:GOV131148 GOV196607:GOV196684 GOV262143:GOV262220 GOV327679:GOV327756 GOV393215:GOV393292 GOV458751:GOV458828 GOV524287:GOV524364 GOV589823:GOV589900 GOV655359:GOV655436 GOV720895:GOV720972 GOV786431:GOV786508 GOV851967:GOV852044 GOV917503:GOV917580 GOV983039:GOV983116 GYR2:GYR76 GYR65535:GYR65612 GYR131071:GYR131148 GYR196607:GYR196684 GYR262143:GYR262220 GYR327679:GYR327756 GYR393215:GYR393292 GYR458751:GYR458828 GYR524287:GYR524364 GYR589823:GYR589900 GYR655359:GYR655436 GYR720895:GYR720972 GYR786431:GYR786508 GYR851967:GYR852044 GYR917503:GYR917580 GYR983039:GYR983116 HIN2:HIN76 HIN65535:HIN65612 HIN131071:HIN131148 HIN196607:HIN196684 HIN262143:HIN262220 HIN327679:HIN327756 HIN393215:HIN393292 HIN458751:HIN458828 HIN524287:HIN524364 HIN589823:HIN589900 HIN655359:HIN655436 HIN720895:HIN720972 HIN786431:HIN786508 HIN851967:HIN852044 HIN917503:HIN917580 HIN983039:HIN983116 HSJ2:HSJ76 HSJ65535:HSJ65612 HSJ131071:HSJ131148 HSJ196607:HSJ196684 HSJ262143:HSJ262220 HSJ327679:HSJ327756 HSJ393215:HSJ393292 HSJ458751:HSJ458828 HSJ524287:HSJ524364 HSJ589823:HSJ589900 HSJ655359:HSJ655436 HSJ720895:HSJ720972 HSJ786431:HSJ786508 HSJ851967:HSJ852044 HSJ917503:HSJ917580 HSJ983039:HSJ983116 ICF2:ICF76 ICF65535:ICF65612 ICF131071:ICF131148 ICF196607:ICF196684 ICF262143:ICF262220 ICF327679:ICF327756 ICF393215:ICF393292 ICF458751:ICF458828 ICF524287:ICF524364 ICF589823:ICF589900 ICF655359:ICF655436 ICF720895:ICF720972 ICF786431:ICF786508 ICF851967:ICF852044 ICF917503:ICF917580 ICF983039:ICF983116 IMB2:IMB76 IMB65535:IMB65612 IMB131071:IMB131148 IMB196607:IMB196684 IMB262143:IMB262220 IMB327679:IMB327756 IMB393215:IMB393292 IMB458751:IMB458828 IMB524287:IMB524364 IMB589823:IMB589900 IMB655359:IMB655436 IMB720895:IMB720972 IMB786431:IMB786508 IMB851967:IMB852044 IMB917503:IMB917580 IMB983039:IMB983116 IVX2:IVX76 IVX65535:IVX65612 IVX131071:IVX131148 IVX196607:IVX196684 IVX262143:IVX262220 IVX327679:IVX327756 IVX393215:IVX393292 IVX458751:IVX458828 IVX524287:IVX524364 IVX589823:IVX589900 IVX655359:IVX655436 IVX720895:IVX720972 IVX786431:IVX786508 IVX851967:IVX852044 IVX917503:IVX917580 IVX983039:IVX983116 JFT2:JFT76 JFT65535:JFT65612 JFT131071:JFT131148 JFT196607:JFT196684 JFT262143:JFT262220 JFT327679:JFT327756 JFT393215:JFT393292 JFT458751:JFT458828 JFT524287:JFT524364 JFT589823:JFT589900 JFT655359:JFT655436 JFT720895:JFT720972 JFT786431:JFT786508 JFT851967:JFT852044 JFT917503:JFT917580 JFT983039:JFT983116 JPP2:JPP76 JPP65535:JPP65612 JPP131071:JPP131148 JPP196607:JPP196684 JPP262143:JPP262220 JPP327679:JPP327756 JPP393215:JPP393292 JPP458751:JPP458828 JPP524287:JPP524364 JPP589823:JPP589900 JPP655359:JPP655436 JPP720895:JPP720972 JPP786431:JPP786508 JPP851967:JPP852044 JPP917503:JPP917580 JPP983039:JPP983116 JZL2:JZL76 JZL65535:JZL65612 JZL131071:JZL131148 JZL196607:JZL196684 JZL262143:JZL262220 JZL327679:JZL327756 JZL393215:JZL393292 JZL458751:JZL458828 JZL524287:JZL524364 JZL589823:JZL589900 JZL655359:JZL655436 JZL720895:JZL720972 JZL786431:JZL786508 JZL851967:JZL852044 JZL917503:JZL917580 JZL983039:JZL983116 KJH2:KJH76 KJH65535:KJH65612 KJH131071:KJH131148 KJH196607:KJH196684 KJH262143:KJH262220 KJH327679:KJH327756 KJH393215:KJH393292 KJH458751:KJH458828 KJH524287:KJH524364 KJH589823:KJH589900 KJH655359:KJH655436 KJH720895:KJH720972 KJH786431:KJH786508 KJH851967:KJH852044 KJH917503:KJH917580 KJH983039:KJH983116 KTD2:KTD76 KTD65535:KTD65612 KTD131071:KTD131148 KTD196607:KTD196684 KTD262143:KTD262220 KTD327679:KTD327756 KTD393215:KTD393292 KTD458751:KTD458828 KTD524287:KTD524364 KTD589823:KTD589900 KTD655359:KTD655436 KTD720895:KTD720972 KTD786431:KTD786508 KTD851967:KTD852044 KTD917503:KTD917580 KTD983039:KTD983116 LCZ2:LCZ76 LCZ65535:LCZ65612 LCZ131071:LCZ131148 LCZ196607:LCZ196684 LCZ262143:LCZ262220 LCZ327679:LCZ327756 LCZ393215:LCZ393292 LCZ458751:LCZ458828 LCZ524287:LCZ524364 LCZ589823:LCZ589900 LCZ655359:LCZ655436 LCZ720895:LCZ720972 LCZ786431:LCZ786508 LCZ851967:LCZ852044 LCZ917503:LCZ917580 LCZ983039:LCZ983116 LMV2:LMV76 LMV65535:LMV65612 LMV131071:LMV131148 LMV196607:LMV196684 LMV262143:LMV262220 LMV327679:LMV327756 LMV393215:LMV393292 LMV458751:LMV458828 LMV524287:LMV524364 LMV589823:LMV589900 LMV655359:LMV655436 LMV720895:LMV720972 LMV786431:LMV786508 LMV851967:LMV852044 LMV917503:LMV917580 LMV983039:LMV983116 LWR2:LWR76 LWR65535:LWR65612 LWR131071:LWR131148 LWR196607:LWR196684 LWR262143:LWR262220 LWR327679:LWR327756 LWR393215:LWR393292 LWR458751:LWR458828 LWR524287:LWR524364 LWR589823:LWR589900 LWR655359:LWR655436 LWR720895:LWR720972 LWR786431:LWR786508 LWR851967:LWR852044 LWR917503:LWR917580 LWR983039:LWR983116 MGN2:MGN76 MGN65535:MGN65612 MGN131071:MGN131148 MGN196607:MGN196684 MGN262143:MGN262220 MGN327679:MGN327756 MGN393215:MGN393292 MGN458751:MGN458828 MGN524287:MGN524364 MGN589823:MGN589900 MGN655359:MGN655436 MGN720895:MGN720972 MGN786431:MGN786508 MGN851967:MGN852044 MGN917503:MGN917580 MGN983039:MGN983116 MQJ2:MQJ76 MQJ65535:MQJ65612 MQJ131071:MQJ131148 MQJ196607:MQJ196684 MQJ262143:MQJ262220 MQJ327679:MQJ327756 MQJ393215:MQJ393292 MQJ458751:MQJ458828 MQJ524287:MQJ524364 MQJ589823:MQJ589900 MQJ655359:MQJ655436 MQJ720895:MQJ720972 MQJ786431:MQJ786508 MQJ851967:MQJ852044 MQJ917503:MQJ917580 MQJ983039:MQJ983116 NAF2:NAF76 NAF65535:NAF65612 NAF131071:NAF131148 NAF196607:NAF196684 NAF262143:NAF262220 NAF327679:NAF327756 NAF393215:NAF393292 NAF458751:NAF458828 NAF524287:NAF524364 NAF589823:NAF589900 NAF655359:NAF655436 NAF720895:NAF720972 NAF786431:NAF786508 NAF851967:NAF852044 NAF917503:NAF917580 NAF983039:NAF983116 NKB2:NKB76 NKB65535:NKB65612 NKB131071:NKB131148 NKB196607:NKB196684 NKB262143:NKB262220 NKB327679:NKB327756 NKB393215:NKB393292 NKB458751:NKB458828 NKB524287:NKB524364 NKB589823:NKB589900 NKB655359:NKB655436 NKB720895:NKB720972 NKB786431:NKB786508 NKB851967:NKB852044 NKB917503:NKB917580 NKB983039:NKB983116 NTX2:NTX76 NTX65535:NTX65612 NTX131071:NTX131148 NTX196607:NTX196684 NTX262143:NTX262220 NTX327679:NTX327756 NTX393215:NTX393292 NTX458751:NTX458828 NTX524287:NTX524364 NTX589823:NTX589900 NTX655359:NTX655436 NTX720895:NTX720972 NTX786431:NTX786508 NTX851967:NTX852044 NTX917503:NTX917580 NTX983039:NTX983116 ODT2:ODT76 ODT65535:ODT65612 ODT131071:ODT131148 ODT196607:ODT196684 ODT262143:ODT262220 ODT327679:ODT327756 ODT393215:ODT393292 ODT458751:ODT458828 ODT524287:ODT524364 ODT589823:ODT589900 ODT655359:ODT655436 ODT720895:ODT720972 ODT786431:ODT786508 ODT851967:ODT852044 ODT917503:ODT917580 ODT983039:ODT983116 ONP2:ONP76 ONP65535:ONP65612 ONP131071:ONP131148 ONP196607:ONP196684 ONP262143:ONP262220 ONP327679:ONP327756 ONP393215:ONP393292 ONP458751:ONP458828 ONP524287:ONP524364 ONP589823:ONP589900 ONP655359:ONP655436 ONP720895:ONP720972 ONP786431:ONP786508 ONP851967:ONP852044 ONP917503:ONP917580 ONP983039:ONP983116 OXL2:OXL76 OXL65535:OXL65612 OXL131071:OXL131148 OXL196607:OXL196684 OXL262143:OXL262220 OXL327679:OXL327756 OXL393215:OXL393292 OXL458751:OXL458828 OXL524287:OXL524364 OXL589823:OXL589900 OXL655359:OXL655436 OXL720895:OXL720972 OXL786431:OXL786508 OXL851967:OXL852044 OXL917503:OXL917580 OXL983039:OXL983116 PHH2:PHH76 PHH65535:PHH65612 PHH131071:PHH131148 PHH196607:PHH196684 PHH262143:PHH262220 PHH327679:PHH327756 PHH393215:PHH393292 PHH458751:PHH458828 PHH524287:PHH524364 PHH589823:PHH589900 PHH655359:PHH655436 PHH720895:PHH720972 PHH786431:PHH786508 PHH851967:PHH852044 PHH917503:PHH917580 PHH983039:PHH983116 PRD2:PRD76 PRD65535:PRD65612 PRD131071:PRD131148 PRD196607:PRD196684 PRD262143:PRD262220 PRD327679:PRD327756 PRD393215:PRD393292 PRD458751:PRD458828 PRD524287:PRD524364 PRD589823:PRD589900 PRD655359:PRD655436 PRD720895:PRD720972 PRD786431:PRD786508 PRD851967:PRD852044 PRD917503:PRD917580 PRD983039:PRD983116 QAZ2:QAZ76 QAZ65535:QAZ65612 QAZ131071:QAZ131148 QAZ196607:QAZ196684 QAZ262143:QAZ262220 QAZ327679:QAZ327756 QAZ393215:QAZ393292 QAZ458751:QAZ458828 QAZ524287:QAZ524364 QAZ589823:QAZ589900 QAZ655359:QAZ655436 QAZ720895:QAZ720972 QAZ786431:QAZ786508 QAZ851967:QAZ852044 QAZ917503:QAZ917580 QAZ983039:QAZ983116 QKV2:QKV76 QKV65535:QKV65612 QKV131071:QKV131148 QKV196607:QKV196684 QKV262143:QKV262220 QKV327679:QKV327756 QKV393215:QKV393292 QKV458751:QKV458828 QKV524287:QKV524364 QKV589823:QKV589900 QKV655359:QKV655436 QKV720895:QKV720972 QKV786431:QKV786508 QKV851967:QKV852044 QKV917503:QKV917580 QKV983039:QKV983116 QUR2:QUR76 QUR65535:QUR65612 QUR131071:QUR131148 QUR196607:QUR196684 QUR262143:QUR262220 QUR327679:QUR327756 QUR393215:QUR393292 QUR458751:QUR458828 QUR524287:QUR524364 QUR589823:QUR589900 QUR655359:QUR655436 QUR720895:QUR720972 QUR786431:QUR786508 QUR851967:QUR852044 QUR917503:QUR917580 QUR983039:QUR983116 REN2:REN76 REN65535:REN65612 REN131071:REN131148 REN196607:REN196684 REN262143:REN262220 REN327679:REN327756 REN393215:REN393292 REN458751:REN458828 REN524287:REN524364 REN589823:REN589900 REN655359:REN655436 REN720895:REN720972 REN786431:REN786508 REN851967:REN852044 REN917503:REN917580 REN983039:REN983116 ROJ2:ROJ76 ROJ65535:ROJ65612 ROJ131071:ROJ131148 ROJ196607:ROJ196684 ROJ262143:ROJ262220 ROJ327679:ROJ327756 ROJ393215:ROJ393292 ROJ458751:ROJ458828 ROJ524287:ROJ524364 ROJ589823:ROJ589900 ROJ655359:ROJ655436 ROJ720895:ROJ720972 ROJ786431:ROJ786508 ROJ851967:ROJ852044 ROJ917503:ROJ917580 ROJ983039:ROJ983116 RYF2:RYF76 RYF65535:RYF65612 RYF131071:RYF131148 RYF196607:RYF196684 RYF262143:RYF262220 RYF327679:RYF327756 RYF393215:RYF393292 RYF458751:RYF458828 RYF524287:RYF524364 RYF589823:RYF589900 RYF655359:RYF655436 RYF720895:RYF720972 RYF786431:RYF786508 RYF851967:RYF852044 RYF917503:RYF917580 RYF983039:RYF983116 SIB2:SIB76 SIB65535:SIB65612 SIB131071:SIB131148 SIB196607:SIB196684 SIB262143:SIB262220 SIB327679:SIB327756 SIB393215:SIB393292 SIB458751:SIB458828 SIB524287:SIB524364 SIB589823:SIB589900 SIB655359:SIB655436 SIB720895:SIB720972 SIB786431:SIB786508 SIB851967:SIB852044 SIB917503:SIB917580 SIB983039:SIB983116 SRX2:SRX76 SRX65535:SRX65612 SRX131071:SRX131148 SRX196607:SRX196684 SRX262143:SRX262220 SRX327679:SRX327756 SRX393215:SRX393292 SRX458751:SRX458828 SRX524287:SRX524364 SRX589823:SRX589900 SRX655359:SRX655436 SRX720895:SRX720972 SRX786431:SRX786508 SRX851967:SRX852044 SRX917503:SRX917580 SRX983039:SRX983116 TBT2:TBT76 TBT65535:TBT65612 TBT131071:TBT131148 TBT196607:TBT196684 TBT262143:TBT262220 TBT327679:TBT327756 TBT393215:TBT393292 TBT458751:TBT458828 TBT524287:TBT524364 TBT589823:TBT589900 TBT655359:TBT655436 TBT720895:TBT720972 TBT786431:TBT786508 TBT851967:TBT852044 TBT917503:TBT917580 TBT983039:TBT983116 TLP2:TLP76 TLP65535:TLP65612 TLP131071:TLP131148 TLP196607:TLP196684 TLP262143:TLP262220 TLP327679:TLP327756 TLP393215:TLP393292 TLP458751:TLP458828 TLP524287:TLP524364 TLP589823:TLP589900 TLP655359:TLP655436 TLP720895:TLP720972 TLP786431:TLP786508 TLP851967:TLP852044 TLP917503:TLP917580 TLP983039:TLP983116 TVL2:TVL76 TVL65535:TVL65612 TVL131071:TVL131148 TVL196607:TVL196684 TVL262143:TVL262220 TVL327679:TVL327756 TVL393215:TVL393292 TVL458751:TVL458828 TVL524287:TVL524364 TVL589823:TVL589900 TVL655359:TVL655436 TVL720895:TVL720972 TVL786431:TVL786508 TVL851967:TVL852044 TVL917503:TVL917580 TVL983039:TVL983116 UFH2:UFH76 UFH65535:UFH65612 UFH131071:UFH131148 UFH196607:UFH196684 UFH262143:UFH262220 UFH327679:UFH327756 UFH393215:UFH393292 UFH458751:UFH458828 UFH524287:UFH524364 UFH589823:UFH589900 UFH655359:UFH655436 UFH720895:UFH720972 UFH786431:UFH786508 UFH851967:UFH852044 UFH917503:UFH917580 UFH983039:UFH983116 UPD2:UPD76 UPD65535:UPD65612 UPD131071:UPD131148 UPD196607:UPD196684 UPD262143:UPD262220 UPD327679:UPD327756 UPD393215:UPD393292 UPD458751:UPD458828 UPD524287:UPD524364 UPD589823:UPD589900 UPD655359:UPD655436 UPD720895:UPD720972 UPD786431:UPD786508 UPD851967:UPD852044 UPD917503:UPD917580 UPD983039:UPD983116 UYZ2:UYZ76 UYZ65535:UYZ65612 UYZ131071:UYZ131148 UYZ196607:UYZ196684 UYZ262143:UYZ262220 UYZ327679:UYZ327756 UYZ393215:UYZ393292 UYZ458751:UYZ458828 UYZ524287:UYZ524364 UYZ589823:UYZ589900 UYZ655359:UYZ655436 UYZ720895:UYZ720972 UYZ786431:UYZ786508 UYZ851967:UYZ852044 UYZ917503:UYZ917580 UYZ983039:UYZ983116 VIV2:VIV76 VIV65535:VIV65612 VIV131071:VIV131148 VIV196607:VIV196684 VIV262143:VIV262220 VIV327679:VIV327756 VIV393215:VIV393292 VIV458751:VIV458828 VIV524287:VIV524364 VIV589823:VIV589900 VIV655359:VIV655436 VIV720895:VIV720972 VIV786431:VIV786508 VIV851967:VIV852044 VIV917503:VIV917580 VIV983039:VIV983116 VSR2:VSR76 VSR65535:VSR65612 VSR131071:VSR131148 VSR196607:VSR196684 VSR262143:VSR262220 VSR327679:VSR327756 VSR393215:VSR393292 VSR458751:VSR458828 VSR524287:VSR524364 VSR589823:VSR589900 VSR655359:VSR655436 VSR720895:VSR720972 VSR786431:VSR786508 VSR851967:VSR852044 VSR917503:VSR917580 VSR983039:VSR983116 WCN2:WCN76 WCN65535:WCN65612 WCN131071:WCN131148 WCN196607:WCN196684 WCN262143:WCN262220 WCN327679:WCN327756 WCN393215:WCN393292 WCN458751:WCN458828 WCN524287:WCN524364 WCN589823:WCN589900 WCN655359:WCN655436 WCN720895:WCN720972 WCN786431:WCN786508 WCN851967:WCN852044 WCN917503:WCN917580 WCN983039:WCN983116 WMJ2:WMJ76 WMJ65535:WMJ65612 WMJ131071:WMJ131148 WMJ196607:WMJ196684 WMJ262143:WMJ262220 WMJ327679:WMJ327756 WMJ393215:WMJ393292 WMJ458751:WMJ458828 WMJ524287:WMJ524364 WMJ589823:WMJ589900 WMJ655359:WMJ655436 WMJ720895:WMJ720972 WMJ786431:WMJ786508 WMJ851967:WMJ852044 WMJ917503:WMJ917580 WMJ983039:WMJ983116 WWF2:WWF76 WWF65535:WWF65612 WWF131071:WWF131148 WWF196607:WWF196684 WWF262143:WWF262220 WWF327679:WWF327756 WWF393215:WWF393292 WWF458751:WWF458828 WWF524287:WWF524364 WWF589823:WWF589900 WWF655359:WWF655436 WWF720895:WWF720972 WWF786431:WWF786508 WWF851967:WWF852044 WWF917503:WWF917580 WWF983039:WWF983116" xr:uid="{F5ADFCA8-BEA4-459A-B129-2AE591A3D3B1}">
      <formula1>$AT$2:$AT$3</formula1>
    </dataValidation>
    <dataValidation type="list" allowBlank="1" showInputMessage="1" showErrorMessage="1" sqref="K65532:K65610 K131068:K131146 K196604:K196682 K262140:K262218 K327676:K327754 K393212:K393290 K458748:K458826 K524284:K524362 K589820:K589898 K655356:K655434 K720892:K720970 K786428:K786506 K851964:K852042 K917500:K917578 K983036:K983114" xr:uid="{949DECCF-496E-428E-A268-D90BB5D7CB9F}">
      <formula1>$AR$2:$AR$30</formula1>
    </dataValidation>
    <dataValidation type="list" allowBlank="1" showInputMessage="1" showErrorMessage="1" sqref="J65532:J65610 J131068:J131146 J196604:J196682 J262140:J262218 J327676:J327754 J393212:J393290 J458748:J458826 J524284:J524362 J589820:J589898 J655356:J655434 J720892:J720970 J786428:J786506 J851964:J852042 J917500:J917578 J983036:J983114" xr:uid="{E48A0102-19B3-47CD-A0CB-96CE552624ED}">
      <formula1>$AP$2:$AP$15</formula1>
    </dataValidation>
    <dataValidation type="list" allowBlank="1" showInputMessage="1" showErrorMessage="1" sqref="H65535:H65612 H131071:H131148 H196607:H196684 H262143:H262220 H327679:H327756 H393215:H393292 H458751:H458828 H524287:H524364 H589823:H589900 H655359:H655436 H720895:H720972 H786431:H786508 H851967:H852044 H917503:H917580 H983039:H983116 JD2:JD76 JD65535:JD65612 JD131071:JD131148 JD196607:JD196684 JD262143:JD262220 JD327679:JD327756 JD393215:JD393292 JD458751:JD458828 JD524287:JD524364 JD589823:JD589900 JD655359:JD655436 JD720895:JD720972 JD786431:JD786508 JD851967:JD852044 JD917503:JD917580 JD983039:JD983116 SZ2:SZ76 SZ65535:SZ65612 SZ131071:SZ131148 SZ196607:SZ196684 SZ262143:SZ262220 SZ327679:SZ327756 SZ393215:SZ393292 SZ458751:SZ458828 SZ524287:SZ524364 SZ589823:SZ589900 SZ655359:SZ655436 SZ720895:SZ720972 SZ786431:SZ786508 SZ851967:SZ852044 SZ917503:SZ917580 SZ983039:SZ983116 ACV2:ACV76 ACV65535:ACV65612 ACV131071:ACV131148 ACV196607:ACV196684 ACV262143:ACV262220 ACV327679:ACV327756 ACV393215:ACV393292 ACV458751:ACV458828 ACV524287:ACV524364 ACV589823:ACV589900 ACV655359:ACV655436 ACV720895:ACV720972 ACV786431:ACV786508 ACV851967:ACV852044 ACV917503:ACV917580 ACV983039:ACV983116 AMR2:AMR76 AMR65535:AMR65612 AMR131071:AMR131148 AMR196607:AMR196684 AMR262143:AMR262220 AMR327679:AMR327756 AMR393215:AMR393292 AMR458751:AMR458828 AMR524287:AMR524364 AMR589823:AMR589900 AMR655359:AMR655436 AMR720895:AMR720972 AMR786431:AMR786508 AMR851967:AMR852044 AMR917503:AMR917580 AMR983039:AMR983116 AWN2:AWN76 AWN65535:AWN65612 AWN131071:AWN131148 AWN196607:AWN196684 AWN262143:AWN262220 AWN327679:AWN327756 AWN393215:AWN393292 AWN458751:AWN458828 AWN524287:AWN524364 AWN589823:AWN589900 AWN655359:AWN655436 AWN720895:AWN720972 AWN786431:AWN786508 AWN851967:AWN852044 AWN917503:AWN917580 AWN983039:AWN983116 BGJ2:BGJ76 BGJ65535:BGJ65612 BGJ131071:BGJ131148 BGJ196607:BGJ196684 BGJ262143:BGJ262220 BGJ327679:BGJ327756 BGJ393215:BGJ393292 BGJ458751:BGJ458828 BGJ524287:BGJ524364 BGJ589823:BGJ589900 BGJ655359:BGJ655436 BGJ720895:BGJ720972 BGJ786431:BGJ786508 BGJ851967:BGJ852044 BGJ917503:BGJ917580 BGJ983039:BGJ983116 BQF2:BQF76 BQF65535:BQF65612 BQF131071:BQF131148 BQF196607:BQF196684 BQF262143:BQF262220 BQF327679:BQF327756 BQF393215:BQF393292 BQF458751:BQF458828 BQF524287:BQF524364 BQF589823:BQF589900 BQF655359:BQF655436 BQF720895:BQF720972 BQF786431:BQF786508 BQF851967:BQF852044 BQF917503:BQF917580 BQF983039:BQF983116 CAB2:CAB76 CAB65535:CAB65612 CAB131071:CAB131148 CAB196607:CAB196684 CAB262143:CAB262220 CAB327679:CAB327756 CAB393215:CAB393292 CAB458751:CAB458828 CAB524287:CAB524364 CAB589823:CAB589900 CAB655359:CAB655436 CAB720895:CAB720972 CAB786431:CAB786508 CAB851967:CAB852044 CAB917503:CAB917580 CAB983039:CAB983116 CJX2:CJX76 CJX65535:CJX65612 CJX131071:CJX131148 CJX196607:CJX196684 CJX262143:CJX262220 CJX327679:CJX327756 CJX393215:CJX393292 CJX458751:CJX458828 CJX524287:CJX524364 CJX589823:CJX589900 CJX655359:CJX655436 CJX720895:CJX720972 CJX786431:CJX786508 CJX851967:CJX852044 CJX917503:CJX917580 CJX983039:CJX983116 CTT2:CTT76 CTT65535:CTT65612 CTT131071:CTT131148 CTT196607:CTT196684 CTT262143:CTT262220 CTT327679:CTT327756 CTT393215:CTT393292 CTT458751:CTT458828 CTT524287:CTT524364 CTT589823:CTT589900 CTT655359:CTT655436 CTT720895:CTT720972 CTT786431:CTT786508 CTT851967:CTT852044 CTT917503:CTT917580 CTT983039:CTT983116 DDP2:DDP76 DDP65535:DDP65612 DDP131071:DDP131148 DDP196607:DDP196684 DDP262143:DDP262220 DDP327679:DDP327756 DDP393215:DDP393292 DDP458751:DDP458828 DDP524287:DDP524364 DDP589823:DDP589900 DDP655359:DDP655436 DDP720895:DDP720972 DDP786431:DDP786508 DDP851967:DDP852044 DDP917503:DDP917580 DDP983039:DDP983116 DNL2:DNL76 DNL65535:DNL65612 DNL131071:DNL131148 DNL196607:DNL196684 DNL262143:DNL262220 DNL327679:DNL327756 DNL393215:DNL393292 DNL458751:DNL458828 DNL524287:DNL524364 DNL589823:DNL589900 DNL655359:DNL655436 DNL720895:DNL720972 DNL786431:DNL786508 DNL851967:DNL852044 DNL917503:DNL917580 DNL983039:DNL983116 DXH2:DXH76 DXH65535:DXH65612 DXH131071:DXH131148 DXH196607:DXH196684 DXH262143:DXH262220 DXH327679:DXH327756 DXH393215:DXH393292 DXH458751:DXH458828 DXH524287:DXH524364 DXH589823:DXH589900 DXH655359:DXH655436 DXH720895:DXH720972 DXH786431:DXH786508 DXH851967:DXH852044 DXH917503:DXH917580 DXH983039:DXH983116 EHD2:EHD76 EHD65535:EHD65612 EHD131071:EHD131148 EHD196607:EHD196684 EHD262143:EHD262220 EHD327679:EHD327756 EHD393215:EHD393292 EHD458751:EHD458828 EHD524287:EHD524364 EHD589823:EHD589900 EHD655359:EHD655436 EHD720895:EHD720972 EHD786431:EHD786508 EHD851967:EHD852044 EHD917503:EHD917580 EHD983039:EHD983116 EQZ2:EQZ76 EQZ65535:EQZ65612 EQZ131071:EQZ131148 EQZ196607:EQZ196684 EQZ262143:EQZ262220 EQZ327679:EQZ327756 EQZ393215:EQZ393292 EQZ458751:EQZ458828 EQZ524287:EQZ524364 EQZ589823:EQZ589900 EQZ655359:EQZ655436 EQZ720895:EQZ720972 EQZ786431:EQZ786508 EQZ851967:EQZ852044 EQZ917503:EQZ917580 EQZ983039:EQZ983116 FAV2:FAV76 FAV65535:FAV65612 FAV131071:FAV131148 FAV196607:FAV196684 FAV262143:FAV262220 FAV327679:FAV327756 FAV393215:FAV393292 FAV458751:FAV458828 FAV524287:FAV524364 FAV589823:FAV589900 FAV655359:FAV655436 FAV720895:FAV720972 FAV786431:FAV786508 FAV851967:FAV852044 FAV917503:FAV917580 FAV983039:FAV983116 FKR2:FKR76 FKR65535:FKR65612 FKR131071:FKR131148 FKR196607:FKR196684 FKR262143:FKR262220 FKR327679:FKR327756 FKR393215:FKR393292 FKR458751:FKR458828 FKR524287:FKR524364 FKR589823:FKR589900 FKR655359:FKR655436 FKR720895:FKR720972 FKR786431:FKR786508 FKR851967:FKR852044 FKR917503:FKR917580 FKR983039:FKR983116 FUN2:FUN76 FUN65535:FUN65612 FUN131071:FUN131148 FUN196607:FUN196684 FUN262143:FUN262220 FUN327679:FUN327756 FUN393215:FUN393292 FUN458751:FUN458828 FUN524287:FUN524364 FUN589823:FUN589900 FUN655359:FUN655436 FUN720895:FUN720972 FUN786431:FUN786508 FUN851967:FUN852044 FUN917503:FUN917580 FUN983039:FUN983116 GEJ2:GEJ76 GEJ65535:GEJ65612 GEJ131071:GEJ131148 GEJ196607:GEJ196684 GEJ262143:GEJ262220 GEJ327679:GEJ327756 GEJ393215:GEJ393292 GEJ458751:GEJ458828 GEJ524287:GEJ524364 GEJ589823:GEJ589900 GEJ655359:GEJ655436 GEJ720895:GEJ720972 GEJ786431:GEJ786508 GEJ851967:GEJ852044 GEJ917503:GEJ917580 GEJ983039:GEJ983116 GOF2:GOF76 GOF65535:GOF65612 GOF131071:GOF131148 GOF196607:GOF196684 GOF262143:GOF262220 GOF327679:GOF327756 GOF393215:GOF393292 GOF458751:GOF458828 GOF524287:GOF524364 GOF589823:GOF589900 GOF655359:GOF655436 GOF720895:GOF720972 GOF786431:GOF786508 GOF851967:GOF852044 GOF917503:GOF917580 GOF983039:GOF983116 GYB2:GYB76 GYB65535:GYB65612 GYB131071:GYB131148 GYB196607:GYB196684 GYB262143:GYB262220 GYB327679:GYB327756 GYB393215:GYB393292 GYB458751:GYB458828 GYB524287:GYB524364 GYB589823:GYB589900 GYB655359:GYB655436 GYB720895:GYB720972 GYB786431:GYB786508 GYB851967:GYB852044 GYB917503:GYB917580 GYB983039:GYB983116 HHX2:HHX76 HHX65535:HHX65612 HHX131071:HHX131148 HHX196607:HHX196684 HHX262143:HHX262220 HHX327679:HHX327756 HHX393215:HHX393292 HHX458751:HHX458828 HHX524287:HHX524364 HHX589823:HHX589900 HHX655359:HHX655436 HHX720895:HHX720972 HHX786431:HHX786508 HHX851967:HHX852044 HHX917503:HHX917580 HHX983039:HHX983116 HRT2:HRT76 HRT65535:HRT65612 HRT131071:HRT131148 HRT196607:HRT196684 HRT262143:HRT262220 HRT327679:HRT327756 HRT393215:HRT393292 HRT458751:HRT458828 HRT524287:HRT524364 HRT589823:HRT589900 HRT655359:HRT655436 HRT720895:HRT720972 HRT786431:HRT786508 HRT851967:HRT852044 HRT917503:HRT917580 HRT983039:HRT983116 IBP2:IBP76 IBP65535:IBP65612 IBP131071:IBP131148 IBP196607:IBP196684 IBP262143:IBP262220 IBP327679:IBP327756 IBP393215:IBP393292 IBP458751:IBP458828 IBP524287:IBP524364 IBP589823:IBP589900 IBP655359:IBP655436 IBP720895:IBP720972 IBP786431:IBP786508 IBP851967:IBP852044 IBP917503:IBP917580 IBP983039:IBP983116 ILL2:ILL76 ILL65535:ILL65612 ILL131071:ILL131148 ILL196607:ILL196684 ILL262143:ILL262220 ILL327679:ILL327756 ILL393215:ILL393292 ILL458751:ILL458828 ILL524287:ILL524364 ILL589823:ILL589900 ILL655359:ILL655436 ILL720895:ILL720972 ILL786431:ILL786508 ILL851967:ILL852044 ILL917503:ILL917580 ILL983039:ILL983116 IVH2:IVH76 IVH65535:IVH65612 IVH131071:IVH131148 IVH196607:IVH196684 IVH262143:IVH262220 IVH327679:IVH327756 IVH393215:IVH393292 IVH458751:IVH458828 IVH524287:IVH524364 IVH589823:IVH589900 IVH655359:IVH655436 IVH720895:IVH720972 IVH786431:IVH786508 IVH851967:IVH852044 IVH917503:IVH917580 IVH983039:IVH983116 JFD2:JFD76 JFD65535:JFD65612 JFD131071:JFD131148 JFD196607:JFD196684 JFD262143:JFD262220 JFD327679:JFD327756 JFD393215:JFD393292 JFD458751:JFD458828 JFD524287:JFD524364 JFD589823:JFD589900 JFD655359:JFD655436 JFD720895:JFD720972 JFD786431:JFD786508 JFD851967:JFD852044 JFD917503:JFD917580 JFD983039:JFD983116 JOZ2:JOZ76 JOZ65535:JOZ65612 JOZ131071:JOZ131148 JOZ196607:JOZ196684 JOZ262143:JOZ262220 JOZ327679:JOZ327756 JOZ393215:JOZ393292 JOZ458751:JOZ458828 JOZ524287:JOZ524364 JOZ589823:JOZ589900 JOZ655359:JOZ655436 JOZ720895:JOZ720972 JOZ786431:JOZ786508 JOZ851967:JOZ852044 JOZ917503:JOZ917580 JOZ983039:JOZ983116 JYV2:JYV76 JYV65535:JYV65612 JYV131071:JYV131148 JYV196607:JYV196684 JYV262143:JYV262220 JYV327679:JYV327756 JYV393215:JYV393292 JYV458751:JYV458828 JYV524287:JYV524364 JYV589823:JYV589900 JYV655359:JYV655436 JYV720895:JYV720972 JYV786431:JYV786508 JYV851967:JYV852044 JYV917503:JYV917580 JYV983039:JYV983116 KIR2:KIR76 KIR65535:KIR65612 KIR131071:KIR131148 KIR196607:KIR196684 KIR262143:KIR262220 KIR327679:KIR327756 KIR393215:KIR393292 KIR458751:KIR458828 KIR524287:KIR524364 KIR589823:KIR589900 KIR655359:KIR655436 KIR720895:KIR720972 KIR786431:KIR786508 KIR851967:KIR852044 KIR917503:KIR917580 KIR983039:KIR983116 KSN2:KSN76 KSN65535:KSN65612 KSN131071:KSN131148 KSN196607:KSN196684 KSN262143:KSN262220 KSN327679:KSN327756 KSN393215:KSN393292 KSN458751:KSN458828 KSN524287:KSN524364 KSN589823:KSN589900 KSN655359:KSN655436 KSN720895:KSN720972 KSN786431:KSN786508 KSN851967:KSN852044 KSN917503:KSN917580 KSN983039:KSN983116 LCJ2:LCJ76 LCJ65535:LCJ65612 LCJ131071:LCJ131148 LCJ196607:LCJ196684 LCJ262143:LCJ262220 LCJ327679:LCJ327756 LCJ393215:LCJ393292 LCJ458751:LCJ458828 LCJ524287:LCJ524364 LCJ589823:LCJ589900 LCJ655359:LCJ655436 LCJ720895:LCJ720972 LCJ786431:LCJ786508 LCJ851967:LCJ852044 LCJ917503:LCJ917580 LCJ983039:LCJ983116 LMF2:LMF76 LMF65535:LMF65612 LMF131071:LMF131148 LMF196607:LMF196684 LMF262143:LMF262220 LMF327679:LMF327756 LMF393215:LMF393292 LMF458751:LMF458828 LMF524287:LMF524364 LMF589823:LMF589900 LMF655359:LMF655436 LMF720895:LMF720972 LMF786431:LMF786508 LMF851967:LMF852044 LMF917503:LMF917580 LMF983039:LMF983116 LWB2:LWB76 LWB65535:LWB65612 LWB131071:LWB131148 LWB196607:LWB196684 LWB262143:LWB262220 LWB327679:LWB327756 LWB393215:LWB393292 LWB458751:LWB458828 LWB524287:LWB524364 LWB589823:LWB589900 LWB655359:LWB655436 LWB720895:LWB720972 LWB786431:LWB786508 LWB851967:LWB852044 LWB917503:LWB917580 LWB983039:LWB983116 MFX2:MFX76 MFX65535:MFX65612 MFX131071:MFX131148 MFX196607:MFX196684 MFX262143:MFX262220 MFX327679:MFX327756 MFX393215:MFX393292 MFX458751:MFX458828 MFX524287:MFX524364 MFX589823:MFX589900 MFX655359:MFX655436 MFX720895:MFX720972 MFX786431:MFX786508 MFX851967:MFX852044 MFX917503:MFX917580 MFX983039:MFX983116 MPT2:MPT76 MPT65535:MPT65612 MPT131071:MPT131148 MPT196607:MPT196684 MPT262143:MPT262220 MPT327679:MPT327756 MPT393215:MPT393292 MPT458751:MPT458828 MPT524287:MPT524364 MPT589823:MPT589900 MPT655359:MPT655436 MPT720895:MPT720972 MPT786431:MPT786508 MPT851967:MPT852044 MPT917503:MPT917580 MPT983039:MPT983116 MZP2:MZP76 MZP65535:MZP65612 MZP131071:MZP131148 MZP196607:MZP196684 MZP262143:MZP262220 MZP327679:MZP327756 MZP393215:MZP393292 MZP458751:MZP458828 MZP524287:MZP524364 MZP589823:MZP589900 MZP655359:MZP655436 MZP720895:MZP720972 MZP786431:MZP786508 MZP851967:MZP852044 MZP917503:MZP917580 MZP983039:MZP983116 NJL2:NJL76 NJL65535:NJL65612 NJL131071:NJL131148 NJL196607:NJL196684 NJL262143:NJL262220 NJL327679:NJL327756 NJL393215:NJL393292 NJL458751:NJL458828 NJL524287:NJL524364 NJL589823:NJL589900 NJL655359:NJL655436 NJL720895:NJL720972 NJL786431:NJL786508 NJL851967:NJL852044 NJL917503:NJL917580 NJL983039:NJL983116 NTH2:NTH76 NTH65535:NTH65612 NTH131071:NTH131148 NTH196607:NTH196684 NTH262143:NTH262220 NTH327679:NTH327756 NTH393215:NTH393292 NTH458751:NTH458828 NTH524287:NTH524364 NTH589823:NTH589900 NTH655359:NTH655436 NTH720895:NTH720972 NTH786431:NTH786508 NTH851967:NTH852044 NTH917503:NTH917580 NTH983039:NTH983116 ODD2:ODD76 ODD65535:ODD65612 ODD131071:ODD131148 ODD196607:ODD196684 ODD262143:ODD262220 ODD327679:ODD327756 ODD393215:ODD393292 ODD458751:ODD458828 ODD524287:ODD524364 ODD589823:ODD589900 ODD655359:ODD655436 ODD720895:ODD720972 ODD786431:ODD786508 ODD851967:ODD852044 ODD917503:ODD917580 ODD983039:ODD983116 OMZ2:OMZ76 OMZ65535:OMZ65612 OMZ131071:OMZ131148 OMZ196607:OMZ196684 OMZ262143:OMZ262220 OMZ327679:OMZ327756 OMZ393215:OMZ393292 OMZ458751:OMZ458828 OMZ524287:OMZ524364 OMZ589823:OMZ589900 OMZ655359:OMZ655436 OMZ720895:OMZ720972 OMZ786431:OMZ786508 OMZ851967:OMZ852044 OMZ917503:OMZ917580 OMZ983039:OMZ983116 OWV2:OWV76 OWV65535:OWV65612 OWV131071:OWV131148 OWV196607:OWV196684 OWV262143:OWV262220 OWV327679:OWV327756 OWV393215:OWV393292 OWV458751:OWV458828 OWV524287:OWV524364 OWV589823:OWV589900 OWV655359:OWV655436 OWV720895:OWV720972 OWV786431:OWV786508 OWV851967:OWV852044 OWV917503:OWV917580 OWV983039:OWV983116 PGR2:PGR76 PGR65535:PGR65612 PGR131071:PGR131148 PGR196607:PGR196684 PGR262143:PGR262220 PGR327679:PGR327756 PGR393215:PGR393292 PGR458751:PGR458828 PGR524287:PGR524364 PGR589823:PGR589900 PGR655359:PGR655436 PGR720895:PGR720972 PGR786431:PGR786508 PGR851967:PGR852044 PGR917503:PGR917580 PGR983039:PGR983116 PQN2:PQN76 PQN65535:PQN65612 PQN131071:PQN131148 PQN196607:PQN196684 PQN262143:PQN262220 PQN327679:PQN327756 PQN393215:PQN393292 PQN458751:PQN458828 PQN524287:PQN524364 PQN589823:PQN589900 PQN655359:PQN655436 PQN720895:PQN720972 PQN786431:PQN786508 PQN851967:PQN852044 PQN917503:PQN917580 PQN983039:PQN983116 QAJ2:QAJ76 QAJ65535:QAJ65612 QAJ131071:QAJ131148 QAJ196607:QAJ196684 QAJ262143:QAJ262220 QAJ327679:QAJ327756 QAJ393215:QAJ393292 QAJ458751:QAJ458828 QAJ524287:QAJ524364 QAJ589823:QAJ589900 QAJ655359:QAJ655436 QAJ720895:QAJ720972 QAJ786431:QAJ786508 QAJ851967:QAJ852044 QAJ917503:QAJ917580 QAJ983039:QAJ983116 QKF2:QKF76 QKF65535:QKF65612 QKF131071:QKF131148 QKF196607:QKF196684 QKF262143:QKF262220 QKF327679:QKF327756 QKF393215:QKF393292 QKF458751:QKF458828 QKF524287:QKF524364 QKF589823:QKF589900 QKF655359:QKF655436 QKF720895:QKF720972 QKF786431:QKF786508 QKF851967:QKF852044 QKF917503:QKF917580 QKF983039:QKF983116 QUB2:QUB76 QUB65535:QUB65612 QUB131071:QUB131148 QUB196607:QUB196684 QUB262143:QUB262220 QUB327679:QUB327756 QUB393215:QUB393292 QUB458751:QUB458828 QUB524287:QUB524364 QUB589823:QUB589900 QUB655359:QUB655436 QUB720895:QUB720972 QUB786431:QUB786508 QUB851967:QUB852044 QUB917503:QUB917580 QUB983039:QUB983116 RDX2:RDX76 RDX65535:RDX65612 RDX131071:RDX131148 RDX196607:RDX196684 RDX262143:RDX262220 RDX327679:RDX327756 RDX393215:RDX393292 RDX458751:RDX458828 RDX524287:RDX524364 RDX589823:RDX589900 RDX655359:RDX655436 RDX720895:RDX720972 RDX786431:RDX786508 RDX851967:RDX852044 RDX917503:RDX917580 RDX983039:RDX983116 RNT2:RNT76 RNT65535:RNT65612 RNT131071:RNT131148 RNT196607:RNT196684 RNT262143:RNT262220 RNT327679:RNT327756 RNT393215:RNT393292 RNT458751:RNT458828 RNT524287:RNT524364 RNT589823:RNT589900 RNT655359:RNT655436 RNT720895:RNT720972 RNT786431:RNT786508 RNT851967:RNT852044 RNT917503:RNT917580 RNT983039:RNT983116 RXP2:RXP76 RXP65535:RXP65612 RXP131071:RXP131148 RXP196607:RXP196684 RXP262143:RXP262220 RXP327679:RXP327756 RXP393215:RXP393292 RXP458751:RXP458828 RXP524287:RXP524364 RXP589823:RXP589900 RXP655359:RXP655436 RXP720895:RXP720972 RXP786431:RXP786508 RXP851967:RXP852044 RXP917503:RXP917580 RXP983039:RXP983116 SHL2:SHL76 SHL65535:SHL65612 SHL131071:SHL131148 SHL196607:SHL196684 SHL262143:SHL262220 SHL327679:SHL327756 SHL393215:SHL393292 SHL458751:SHL458828 SHL524287:SHL524364 SHL589823:SHL589900 SHL655359:SHL655436 SHL720895:SHL720972 SHL786431:SHL786508 SHL851967:SHL852044 SHL917503:SHL917580 SHL983039:SHL983116 SRH2:SRH76 SRH65535:SRH65612 SRH131071:SRH131148 SRH196607:SRH196684 SRH262143:SRH262220 SRH327679:SRH327756 SRH393215:SRH393292 SRH458751:SRH458828 SRH524287:SRH524364 SRH589823:SRH589900 SRH655359:SRH655436 SRH720895:SRH720972 SRH786431:SRH786508 SRH851967:SRH852044 SRH917503:SRH917580 SRH983039:SRH983116 TBD2:TBD76 TBD65535:TBD65612 TBD131071:TBD131148 TBD196607:TBD196684 TBD262143:TBD262220 TBD327679:TBD327756 TBD393215:TBD393292 TBD458751:TBD458828 TBD524287:TBD524364 TBD589823:TBD589900 TBD655359:TBD655436 TBD720895:TBD720972 TBD786431:TBD786508 TBD851967:TBD852044 TBD917503:TBD917580 TBD983039:TBD983116 TKZ2:TKZ76 TKZ65535:TKZ65612 TKZ131071:TKZ131148 TKZ196607:TKZ196684 TKZ262143:TKZ262220 TKZ327679:TKZ327756 TKZ393215:TKZ393292 TKZ458751:TKZ458828 TKZ524287:TKZ524364 TKZ589823:TKZ589900 TKZ655359:TKZ655436 TKZ720895:TKZ720972 TKZ786431:TKZ786508 TKZ851967:TKZ852044 TKZ917503:TKZ917580 TKZ983039:TKZ983116 TUV2:TUV76 TUV65535:TUV65612 TUV131071:TUV131148 TUV196607:TUV196684 TUV262143:TUV262220 TUV327679:TUV327756 TUV393215:TUV393292 TUV458751:TUV458828 TUV524287:TUV524364 TUV589823:TUV589900 TUV655359:TUV655436 TUV720895:TUV720972 TUV786431:TUV786508 TUV851967:TUV852044 TUV917503:TUV917580 TUV983039:TUV983116 UER2:UER76 UER65535:UER65612 UER131071:UER131148 UER196607:UER196684 UER262143:UER262220 UER327679:UER327756 UER393215:UER393292 UER458751:UER458828 UER524287:UER524364 UER589823:UER589900 UER655359:UER655436 UER720895:UER720972 UER786431:UER786508 UER851967:UER852044 UER917503:UER917580 UER983039:UER983116 UON2:UON76 UON65535:UON65612 UON131071:UON131148 UON196607:UON196684 UON262143:UON262220 UON327679:UON327756 UON393215:UON393292 UON458751:UON458828 UON524287:UON524364 UON589823:UON589900 UON655359:UON655436 UON720895:UON720972 UON786431:UON786508 UON851967:UON852044 UON917503:UON917580 UON983039:UON983116 UYJ2:UYJ76 UYJ65535:UYJ65612 UYJ131071:UYJ131148 UYJ196607:UYJ196684 UYJ262143:UYJ262220 UYJ327679:UYJ327756 UYJ393215:UYJ393292 UYJ458751:UYJ458828 UYJ524287:UYJ524364 UYJ589823:UYJ589900 UYJ655359:UYJ655436 UYJ720895:UYJ720972 UYJ786431:UYJ786508 UYJ851967:UYJ852044 UYJ917503:UYJ917580 UYJ983039:UYJ983116 VIF2:VIF76 VIF65535:VIF65612 VIF131071:VIF131148 VIF196607:VIF196684 VIF262143:VIF262220 VIF327679:VIF327756 VIF393215:VIF393292 VIF458751:VIF458828 VIF524287:VIF524364 VIF589823:VIF589900 VIF655359:VIF655436 VIF720895:VIF720972 VIF786431:VIF786508 VIF851967:VIF852044 VIF917503:VIF917580 VIF983039:VIF983116 VSB2:VSB76 VSB65535:VSB65612 VSB131071:VSB131148 VSB196607:VSB196684 VSB262143:VSB262220 VSB327679:VSB327756 VSB393215:VSB393292 VSB458751:VSB458828 VSB524287:VSB524364 VSB589823:VSB589900 VSB655359:VSB655436 VSB720895:VSB720972 VSB786431:VSB786508 VSB851967:VSB852044 VSB917503:VSB917580 VSB983039:VSB983116 WBX2:WBX76 WBX65535:WBX65612 WBX131071:WBX131148 WBX196607:WBX196684 WBX262143:WBX262220 WBX327679:WBX327756 WBX393215:WBX393292 WBX458751:WBX458828 WBX524287:WBX524364 WBX589823:WBX589900 WBX655359:WBX655436 WBX720895:WBX720972 WBX786431:WBX786508 WBX851967:WBX852044 WBX917503:WBX917580 WBX983039:WBX983116 WLT2:WLT76 WLT65535:WLT65612 WLT131071:WLT131148 WLT196607:WLT196684 WLT262143:WLT262220 WLT327679:WLT327756 WLT393215:WLT393292 WLT458751:WLT458828 WLT524287:WLT524364 WLT589823:WLT589900 WLT655359:WLT655436 WLT720895:WLT720972 WLT786431:WLT786508 WLT851967:WLT852044 WLT917503:WLT917580 WLT983039:WLT983116 WVP2:WVP76 WVP65535:WVP65612 WVP131071:WVP131148 WVP196607:WVP196684 WVP262143:WVP262220 WVP327679:WVP327756 WVP393215:WVP393292 WVP458751:WVP458828 WVP524287:WVP524364 WVP589823:WVP589900 WVP655359:WVP655436 WVP720895:WVP720972 WVP786431:WVP786508 WVP851967:WVP852044 WVP917503:WVP917580 WVP983039:WVP983116" xr:uid="{9BF995B7-A5B5-4394-B453-16908CF8C9B1}">
      <formula1>$AL$4:$AL$12</formula1>
    </dataValidation>
    <dataValidation type="list" allowBlank="1" showInputMessage="1" showErrorMessage="1" sqref="F2:F728 F65535:F65612 F131071:F131148 F196607:F196684 F262143:F262220 F327679:F327756 F393215:F393292 F458751:F458828 F524287:F524364 F589823:F589900 F655359:F655436 F720895:F720972 F786431:F786508 F851967:F852044 F917503:F917580 F983039:F983116 JB2:JB76 JB65535:JB65612 JB131071:JB131148 JB196607:JB196684 JB262143:JB262220 JB327679:JB327756 JB393215:JB393292 JB458751:JB458828 JB524287:JB524364 JB589823:JB589900 JB655359:JB655436 JB720895:JB720972 JB786431:JB786508 JB851967:JB852044 JB917503:JB917580 JB983039:JB983116 SX2:SX76 SX65535:SX65612 SX131071:SX131148 SX196607:SX196684 SX262143:SX262220 SX327679:SX327756 SX393215:SX393292 SX458751:SX458828 SX524287:SX524364 SX589823:SX589900 SX655359:SX655436 SX720895:SX720972 SX786431:SX786508 SX851967:SX852044 SX917503:SX917580 SX983039:SX983116 ACT2:ACT76 ACT65535:ACT65612 ACT131071:ACT131148 ACT196607:ACT196684 ACT262143:ACT262220 ACT327679:ACT327756 ACT393215:ACT393292 ACT458751:ACT458828 ACT524287:ACT524364 ACT589823:ACT589900 ACT655359:ACT655436 ACT720895:ACT720972 ACT786431:ACT786508 ACT851967:ACT852044 ACT917503:ACT917580 ACT983039:ACT983116 AMP2:AMP76 AMP65535:AMP65612 AMP131071:AMP131148 AMP196607:AMP196684 AMP262143:AMP262220 AMP327679:AMP327756 AMP393215:AMP393292 AMP458751:AMP458828 AMP524287:AMP524364 AMP589823:AMP589900 AMP655359:AMP655436 AMP720895:AMP720972 AMP786431:AMP786508 AMP851967:AMP852044 AMP917503:AMP917580 AMP983039:AMP983116 AWL2:AWL76 AWL65535:AWL65612 AWL131071:AWL131148 AWL196607:AWL196684 AWL262143:AWL262220 AWL327679:AWL327756 AWL393215:AWL393292 AWL458751:AWL458828 AWL524287:AWL524364 AWL589823:AWL589900 AWL655359:AWL655436 AWL720895:AWL720972 AWL786431:AWL786508 AWL851967:AWL852044 AWL917503:AWL917580 AWL983039:AWL983116 BGH2:BGH76 BGH65535:BGH65612 BGH131071:BGH131148 BGH196607:BGH196684 BGH262143:BGH262220 BGH327679:BGH327756 BGH393215:BGH393292 BGH458751:BGH458828 BGH524287:BGH524364 BGH589823:BGH589900 BGH655359:BGH655436 BGH720895:BGH720972 BGH786431:BGH786508 BGH851967:BGH852044 BGH917503:BGH917580 BGH983039:BGH983116 BQD2:BQD76 BQD65535:BQD65612 BQD131071:BQD131148 BQD196607:BQD196684 BQD262143:BQD262220 BQD327679:BQD327756 BQD393215:BQD393292 BQD458751:BQD458828 BQD524287:BQD524364 BQD589823:BQD589900 BQD655359:BQD655436 BQD720895:BQD720972 BQD786431:BQD786508 BQD851967:BQD852044 BQD917503:BQD917580 BQD983039:BQD983116 BZZ2:BZZ76 BZZ65535:BZZ65612 BZZ131071:BZZ131148 BZZ196607:BZZ196684 BZZ262143:BZZ262220 BZZ327679:BZZ327756 BZZ393215:BZZ393292 BZZ458751:BZZ458828 BZZ524287:BZZ524364 BZZ589823:BZZ589900 BZZ655359:BZZ655436 BZZ720895:BZZ720972 BZZ786431:BZZ786508 BZZ851967:BZZ852044 BZZ917503:BZZ917580 BZZ983039:BZZ983116 CJV2:CJV76 CJV65535:CJV65612 CJV131071:CJV131148 CJV196607:CJV196684 CJV262143:CJV262220 CJV327679:CJV327756 CJV393215:CJV393292 CJV458751:CJV458828 CJV524287:CJV524364 CJV589823:CJV589900 CJV655359:CJV655436 CJV720895:CJV720972 CJV786431:CJV786508 CJV851967:CJV852044 CJV917503:CJV917580 CJV983039:CJV983116 CTR2:CTR76 CTR65535:CTR65612 CTR131071:CTR131148 CTR196607:CTR196684 CTR262143:CTR262220 CTR327679:CTR327756 CTR393215:CTR393292 CTR458751:CTR458828 CTR524287:CTR524364 CTR589823:CTR589900 CTR655359:CTR655436 CTR720895:CTR720972 CTR786431:CTR786508 CTR851967:CTR852044 CTR917503:CTR917580 CTR983039:CTR983116 DDN2:DDN76 DDN65535:DDN65612 DDN131071:DDN131148 DDN196607:DDN196684 DDN262143:DDN262220 DDN327679:DDN327756 DDN393215:DDN393292 DDN458751:DDN458828 DDN524287:DDN524364 DDN589823:DDN589900 DDN655359:DDN655436 DDN720895:DDN720972 DDN786431:DDN786508 DDN851967:DDN852044 DDN917503:DDN917580 DDN983039:DDN983116 DNJ2:DNJ76 DNJ65535:DNJ65612 DNJ131071:DNJ131148 DNJ196607:DNJ196684 DNJ262143:DNJ262220 DNJ327679:DNJ327756 DNJ393215:DNJ393292 DNJ458751:DNJ458828 DNJ524287:DNJ524364 DNJ589823:DNJ589900 DNJ655359:DNJ655436 DNJ720895:DNJ720972 DNJ786431:DNJ786508 DNJ851967:DNJ852044 DNJ917503:DNJ917580 DNJ983039:DNJ983116 DXF2:DXF76 DXF65535:DXF65612 DXF131071:DXF131148 DXF196607:DXF196684 DXF262143:DXF262220 DXF327679:DXF327756 DXF393215:DXF393292 DXF458751:DXF458828 DXF524287:DXF524364 DXF589823:DXF589900 DXF655359:DXF655436 DXF720895:DXF720972 DXF786431:DXF786508 DXF851967:DXF852044 DXF917503:DXF917580 DXF983039:DXF983116 EHB2:EHB76 EHB65535:EHB65612 EHB131071:EHB131148 EHB196607:EHB196684 EHB262143:EHB262220 EHB327679:EHB327756 EHB393215:EHB393292 EHB458751:EHB458828 EHB524287:EHB524364 EHB589823:EHB589900 EHB655359:EHB655436 EHB720895:EHB720972 EHB786431:EHB786508 EHB851967:EHB852044 EHB917503:EHB917580 EHB983039:EHB983116 EQX2:EQX76 EQX65535:EQX65612 EQX131071:EQX131148 EQX196607:EQX196684 EQX262143:EQX262220 EQX327679:EQX327756 EQX393215:EQX393292 EQX458751:EQX458828 EQX524287:EQX524364 EQX589823:EQX589900 EQX655359:EQX655436 EQX720895:EQX720972 EQX786431:EQX786508 EQX851967:EQX852044 EQX917503:EQX917580 EQX983039:EQX983116 FAT2:FAT76 FAT65535:FAT65612 FAT131071:FAT131148 FAT196607:FAT196684 FAT262143:FAT262220 FAT327679:FAT327756 FAT393215:FAT393292 FAT458751:FAT458828 FAT524287:FAT524364 FAT589823:FAT589900 FAT655359:FAT655436 FAT720895:FAT720972 FAT786431:FAT786508 FAT851967:FAT852044 FAT917503:FAT917580 FAT983039:FAT983116 FKP2:FKP76 FKP65535:FKP65612 FKP131071:FKP131148 FKP196607:FKP196684 FKP262143:FKP262220 FKP327679:FKP327756 FKP393215:FKP393292 FKP458751:FKP458828 FKP524287:FKP524364 FKP589823:FKP589900 FKP655359:FKP655436 FKP720895:FKP720972 FKP786431:FKP786508 FKP851967:FKP852044 FKP917503:FKP917580 FKP983039:FKP983116 FUL2:FUL76 FUL65535:FUL65612 FUL131071:FUL131148 FUL196607:FUL196684 FUL262143:FUL262220 FUL327679:FUL327756 FUL393215:FUL393292 FUL458751:FUL458828 FUL524287:FUL524364 FUL589823:FUL589900 FUL655359:FUL655436 FUL720895:FUL720972 FUL786431:FUL786508 FUL851967:FUL852044 FUL917503:FUL917580 FUL983039:FUL983116 GEH2:GEH76 GEH65535:GEH65612 GEH131071:GEH131148 GEH196607:GEH196684 GEH262143:GEH262220 GEH327679:GEH327756 GEH393215:GEH393292 GEH458751:GEH458828 GEH524287:GEH524364 GEH589823:GEH589900 GEH655359:GEH655436 GEH720895:GEH720972 GEH786431:GEH786508 GEH851967:GEH852044 GEH917503:GEH917580 GEH983039:GEH983116 GOD2:GOD76 GOD65535:GOD65612 GOD131071:GOD131148 GOD196607:GOD196684 GOD262143:GOD262220 GOD327679:GOD327756 GOD393215:GOD393292 GOD458751:GOD458828 GOD524287:GOD524364 GOD589823:GOD589900 GOD655359:GOD655436 GOD720895:GOD720972 GOD786431:GOD786508 GOD851967:GOD852044 GOD917503:GOD917580 GOD983039:GOD983116 GXZ2:GXZ76 GXZ65535:GXZ65612 GXZ131071:GXZ131148 GXZ196607:GXZ196684 GXZ262143:GXZ262220 GXZ327679:GXZ327756 GXZ393215:GXZ393292 GXZ458751:GXZ458828 GXZ524287:GXZ524364 GXZ589823:GXZ589900 GXZ655359:GXZ655436 GXZ720895:GXZ720972 GXZ786431:GXZ786508 GXZ851967:GXZ852044 GXZ917503:GXZ917580 GXZ983039:GXZ983116 HHV2:HHV76 HHV65535:HHV65612 HHV131071:HHV131148 HHV196607:HHV196684 HHV262143:HHV262220 HHV327679:HHV327756 HHV393215:HHV393292 HHV458751:HHV458828 HHV524287:HHV524364 HHV589823:HHV589900 HHV655359:HHV655436 HHV720895:HHV720972 HHV786431:HHV786508 HHV851967:HHV852044 HHV917503:HHV917580 HHV983039:HHV983116 HRR2:HRR76 HRR65535:HRR65612 HRR131071:HRR131148 HRR196607:HRR196684 HRR262143:HRR262220 HRR327679:HRR327756 HRR393215:HRR393292 HRR458751:HRR458828 HRR524287:HRR524364 HRR589823:HRR589900 HRR655359:HRR655436 HRR720895:HRR720972 HRR786431:HRR786508 HRR851967:HRR852044 HRR917503:HRR917580 HRR983039:HRR983116 IBN2:IBN76 IBN65535:IBN65612 IBN131071:IBN131148 IBN196607:IBN196684 IBN262143:IBN262220 IBN327679:IBN327756 IBN393215:IBN393292 IBN458751:IBN458828 IBN524287:IBN524364 IBN589823:IBN589900 IBN655359:IBN655436 IBN720895:IBN720972 IBN786431:IBN786508 IBN851967:IBN852044 IBN917503:IBN917580 IBN983039:IBN983116 ILJ2:ILJ76 ILJ65535:ILJ65612 ILJ131071:ILJ131148 ILJ196607:ILJ196684 ILJ262143:ILJ262220 ILJ327679:ILJ327756 ILJ393215:ILJ393292 ILJ458751:ILJ458828 ILJ524287:ILJ524364 ILJ589823:ILJ589900 ILJ655359:ILJ655436 ILJ720895:ILJ720972 ILJ786431:ILJ786508 ILJ851967:ILJ852044 ILJ917503:ILJ917580 ILJ983039:ILJ983116 IVF2:IVF76 IVF65535:IVF65612 IVF131071:IVF131148 IVF196607:IVF196684 IVF262143:IVF262220 IVF327679:IVF327756 IVF393215:IVF393292 IVF458751:IVF458828 IVF524287:IVF524364 IVF589823:IVF589900 IVF655359:IVF655436 IVF720895:IVF720972 IVF786431:IVF786508 IVF851967:IVF852044 IVF917503:IVF917580 IVF983039:IVF983116 JFB2:JFB76 JFB65535:JFB65612 JFB131071:JFB131148 JFB196607:JFB196684 JFB262143:JFB262220 JFB327679:JFB327756 JFB393215:JFB393292 JFB458751:JFB458828 JFB524287:JFB524364 JFB589823:JFB589900 JFB655359:JFB655436 JFB720895:JFB720972 JFB786431:JFB786508 JFB851967:JFB852044 JFB917503:JFB917580 JFB983039:JFB983116 JOX2:JOX76 JOX65535:JOX65612 JOX131071:JOX131148 JOX196607:JOX196684 JOX262143:JOX262220 JOX327679:JOX327756 JOX393215:JOX393292 JOX458751:JOX458828 JOX524287:JOX524364 JOX589823:JOX589900 JOX655359:JOX655436 JOX720895:JOX720972 JOX786431:JOX786508 JOX851967:JOX852044 JOX917503:JOX917580 JOX983039:JOX983116 JYT2:JYT76 JYT65535:JYT65612 JYT131071:JYT131148 JYT196607:JYT196684 JYT262143:JYT262220 JYT327679:JYT327756 JYT393215:JYT393292 JYT458751:JYT458828 JYT524287:JYT524364 JYT589823:JYT589900 JYT655359:JYT655436 JYT720895:JYT720972 JYT786431:JYT786508 JYT851967:JYT852044 JYT917503:JYT917580 JYT983039:JYT983116 KIP2:KIP76 KIP65535:KIP65612 KIP131071:KIP131148 KIP196607:KIP196684 KIP262143:KIP262220 KIP327679:KIP327756 KIP393215:KIP393292 KIP458751:KIP458828 KIP524287:KIP524364 KIP589823:KIP589900 KIP655359:KIP655436 KIP720895:KIP720972 KIP786431:KIP786508 KIP851967:KIP852044 KIP917503:KIP917580 KIP983039:KIP983116 KSL2:KSL76 KSL65535:KSL65612 KSL131071:KSL131148 KSL196607:KSL196684 KSL262143:KSL262220 KSL327679:KSL327756 KSL393215:KSL393292 KSL458751:KSL458828 KSL524287:KSL524364 KSL589823:KSL589900 KSL655359:KSL655436 KSL720895:KSL720972 KSL786431:KSL786508 KSL851967:KSL852044 KSL917503:KSL917580 KSL983039:KSL983116 LCH2:LCH76 LCH65535:LCH65612 LCH131071:LCH131148 LCH196607:LCH196684 LCH262143:LCH262220 LCH327679:LCH327756 LCH393215:LCH393292 LCH458751:LCH458828 LCH524287:LCH524364 LCH589823:LCH589900 LCH655359:LCH655436 LCH720895:LCH720972 LCH786431:LCH786508 LCH851967:LCH852044 LCH917503:LCH917580 LCH983039:LCH983116 LMD2:LMD76 LMD65535:LMD65612 LMD131071:LMD131148 LMD196607:LMD196684 LMD262143:LMD262220 LMD327679:LMD327756 LMD393215:LMD393292 LMD458751:LMD458828 LMD524287:LMD524364 LMD589823:LMD589900 LMD655359:LMD655436 LMD720895:LMD720972 LMD786431:LMD786508 LMD851967:LMD852044 LMD917503:LMD917580 LMD983039:LMD983116 LVZ2:LVZ76 LVZ65535:LVZ65612 LVZ131071:LVZ131148 LVZ196607:LVZ196684 LVZ262143:LVZ262220 LVZ327679:LVZ327756 LVZ393215:LVZ393292 LVZ458751:LVZ458828 LVZ524287:LVZ524364 LVZ589823:LVZ589900 LVZ655359:LVZ655436 LVZ720895:LVZ720972 LVZ786431:LVZ786508 LVZ851967:LVZ852044 LVZ917503:LVZ917580 LVZ983039:LVZ983116 MFV2:MFV76 MFV65535:MFV65612 MFV131071:MFV131148 MFV196607:MFV196684 MFV262143:MFV262220 MFV327679:MFV327756 MFV393215:MFV393292 MFV458751:MFV458828 MFV524287:MFV524364 MFV589823:MFV589900 MFV655359:MFV655436 MFV720895:MFV720972 MFV786431:MFV786508 MFV851967:MFV852044 MFV917503:MFV917580 MFV983039:MFV983116 MPR2:MPR76 MPR65535:MPR65612 MPR131071:MPR131148 MPR196607:MPR196684 MPR262143:MPR262220 MPR327679:MPR327756 MPR393215:MPR393292 MPR458751:MPR458828 MPR524287:MPR524364 MPR589823:MPR589900 MPR655359:MPR655436 MPR720895:MPR720972 MPR786431:MPR786508 MPR851967:MPR852044 MPR917503:MPR917580 MPR983039:MPR983116 MZN2:MZN76 MZN65535:MZN65612 MZN131071:MZN131148 MZN196607:MZN196684 MZN262143:MZN262220 MZN327679:MZN327756 MZN393215:MZN393292 MZN458751:MZN458828 MZN524287:MZN524364 MZN589823:MZN589900 MZN655359:MZN655436 MZN720895:MZN720972 MZN786431:MZN786508 MZN851967:MZN852044 MZN917503:MZN917580 MZN983039:MZN983116 NJJ2:NJJ76 NJJ65535:NJJ65612 NJJ131071:NJJ131148 NJJ196607:NJJ196684 NJJ262143:NJJ262220 NJJ327679:NJJ327756 NJJ393215:NJJ393292 NJJ458751:NJJ458828 NJJ524287:NJJ524364 NJJ589823:NJJ589900 NJJ655359:NJJ655436 NJJ720895:NJJ720972 NJJ786431:NJJ786508 NJJ851967:NJJ852044 NJJ917503:NJJ917580 NJJ983039:NJJ983116 NTF2:NTF76 NTF65535:NTF65612 NTF131071:NTF131148 NTF196607:NTF196684 NTF262143:NTF262220 NTF327679:NTF327756 NTF393215:NTF393292 NTF458751:NTF458828 NTF524287:NTF524364 NTF589823:NTF589900 NTF655359:NTF655436 NTF720895:NTF720972 NTF786431:NTF786508 NTF851967:NTF852044 NTF917503:NTF917580 NTF983039:NTF983116 ODB2:ODB76 ODB65535:ODB65612 ODB131071:ODB131148 ODB196607:ODB196684 ODB262143:ODB262220 ODB327679:ODB327756 ODB393215:ODB393292 ODB458751:ODB458828 ODB524287:ODB524364 ODB589823:ODB589900 ODB655359:ODB655436 ODB720895:ODB720972 ODB786431:ODB786508 ODB851967:ODB852044 ODB917503:ODB917580 ODB983039:ODB983116 OMX2:OMX76 OMX65535:OMX65612 OMX131071:OMX131148 OMX196607:OMX196684 OMX262143:OMX262220 OMX327679:OMX327756 OMX393215:OMX393292 OMX458751:OMX458828 OMX524287:OMX524364 OMX589823:OMX589900 OMX655359:OMX655436 OMX720895:OMX720972 OMX786431:OMX786508 OMX851967:OMX852044 OMX917503:OMX917580 OMX983039:OMX983116 OWT2:OWT76 OWT65535:OWT65612 OWT131071:OWT131148 OWT196607:OWT196684 OWT262143:OWT262220 OWT327679:OWT327756 OWT393215:OWT393292 OWT458751:OWT458828 OWT524287:OWT524364 OWT589823:OWT589900 OWT655359:OWT655436 OWT720895:OWT720972 OWT786431:OWT786508 OWT851967:OWT852044 OWT917503:OWT917580 OWT983039:OWT983116 PGP2:PGP76 PGP65535:PGP65612 PGP131071:PGP131148 PGP196607:PGP196684 PGP262143:PGP262220 PGP327679:PGP327756 PGP393215:PGP393292 PGP458751:PGP458828 PGP524287:PGP524364 PGP589823:PGP589900 PGP655359:PGP655436 PGP720895:PGP720972 PGP786431:PGP786508 PGP851967:PGP852044 PGP917503:PGP917580 PGP983039:PGP983116 PQL2:PQL76 PQL65535:PQL65612 PQL131071:PQL131148 PQL196607:PQL196684 PQL262143:PQL262220 PQL327679:PQL327756 PQL393215:PQL393292 PQL458751:PQL458828 PQL524287:PQL524364 PQL589823:PQL589900 PQL655359:PQL655436 PQL720895:PQL720972 PQL786431:PQL786508 PQL851967:PQL852044 PQL917503:PQL917580 PQL983039:PQL983116 QAH2:QAH76 QAH65535:QAH65612 QAH131071:QAH131148 QAH196607:QAH196684 QAH262143:QAH262220 QAH327679:QAH327756 QAH393215:QAH393292 QAH458751:QAH458828 QAH524287:QAH524364 QAH589823:QAH589900 QAH655359:QAH655436 QAH720895:QAH720972 QAH786431:QAH786508 QAH851967:QAH852044 QAH917503:QAH917580 QAH983039:QAH983116 QKD2:QKD76 QKD65535:QKD65612 QKD131071:QKD131148 QKD196607:QKD196684 QKD262143:QKD262220 QKD327679:QKD327756 QKD393215:QKD393292 QKD458751:QKD458828 QKD524287:QKD524364 QKD589823:QKD589900 QKD655359:QKD655436 QKD720895:QKD720972 QKD786431:QKD786508 QKD851967:QKD852044 QKD917503:QKD917580 QKD983039:QKD983116 QTZ2:QTZ76 QTZ65535:QTZ65612 QTZ131071:QTZ131148 QTZ196607:QTZ196684 QTZ262143:QTZ262220 QTZ327679:QTZ327756 QTZ393215:QTZ393292 QTZ458751:QTZ458828 QTZ524287:QTZ524364 QTZ589823:QTZ589900 QTZ655359:QTZ655436 QTZ720895:QTZ720972 QTZ786431:QTZ786508 QTZ851967:QTZ852044 QTZ917503:QTZ917580 QTZ983039:QTZ983116 RDV2:RDV76 RDV65535:RDV65612 RDV131071:RDV131148 RDV196607:RDV196684 RDV262143:RDV262220 RDV327679:RDV327756 RDV393215:RDV393292 RDV458751:RDV458828 RDV524287:RDV524364 RDV589823:RDV589900 RDV655359:RDV655436 RDV720895:RDV720972 RDV786431:RDV786508 RDV851967:RDV852044 RDV917503:RDV917580 RDV983039:RDV983116 RNR2:RNR76 RNR65535:RNR65612 RNR131071:RNR131148 RNR196607:RNR196684 RNR262143:RNR262220 RNR327679:RNR327756 RNR393215:RNR393292 RNR458751:RNR458828 RNR524287:RNR524364 RNR589823:RNR589900 RNR655359:RNR655436 RNR720895:RNR720972 RNR786431:RNR786508 RNR851967:RNR852044 RNR917503:RNR917580 RNR983039:RNR983116 RXN2:RXN76 RXN65535:RXN65612 RXN131071:RXN131148 RXN196607:RXN196684 RXN262143:RXN262220 RXN327679:RXN327756 RXN393215:RXN393292 RXN458751:RXN458828 RXN524287:RXN524364 RXN589823:RXN589900 RXN655359:RXN655436 RXN720895:RXN720972 RXN786431:RXN786508 RXN851967:RXN852044 RXN917503:RXN917580 RXN983039:RXN983116 SHJ2:SHJ76 SHJ65535:SHJ65612 SHJ131071:SHJ131148 SHJ196607:SHJ196684 SHJ262143:SHJ262220 SHJ327679:SHJ327756 SHJ393215:SHJ393292 SHJ458751:SHJ458828 SHJ524287:SHJ524364 SHJ589823:SHJ589900 SHJ655359:SHJ655436 SHJ720895:SHJ720972 SHJ786431:SHJ786508 SHJ851967:SHJ852044 SHJ917503:SHJ917580 SHJ983039:SHJ983116 SRF2:SRF76 SRF65535:SRF65612 SRF131071:SRF131148 SRF196607:SRF196684 SRF262143:SRF262220 SRF327679:SRF327756 SRF393215:SRF393292 SRF458751:SRF458828 SRF524287:SRF524364 SRF589823:SRF589900 SRF655359:SRF655436 SRF720895:SRF720972 SRF786431:SRF786508 SRF851967:SRF852044 SRF917503:SRF917580 SRF983039:SRF983116 TBB2:TBB76 TBB65535:TBB65612 TBB131071:TBB131148 TBB196607:TBB196684 TBB262143:TBB262220 TBB327679:TBB327756 TBB393215:TBB393292 TBB458751:TBB458828 TBB524287:TBB524364 TBB589823:TBB589900 TBB655359:TBB655436 TBB720895:TBB720972 TBB786431:TBB786508 TBB851967:TBB852044 TBB917503:TBB917580 TBB983039:TBB983116 TKX2:TKX76 TKX65535:TKX65612 TKX131071:TKX131148 TKX196607:TKX196684 TKX262143:TKX262220 TKX327679:TKX327756 TKX393215:TKX393292 TKX458751:TKX458828 TKX524287:TKX524364 TKX589823:TKX589900 TKX655359:TKX655436 TKX720895:TKX720972 TKX786431:TKX786508 TKX851967:TKX852044 TKX917503:TKX917580 TKX983039:TKX983116 TUT2:TUT76 TUT65535:TUT65612 TUT131071:TUT131148 TUT196607:TUT196684 TUT262143:TUT262220 TUT327679:TUT327756 TUT393215:TUT393292 TUT458751:TUT458828 TUT524287:TUT524364 TUT589823:TUT589900 TUT655359:TUT655436 TUT720895:TUT720972 TUT786431:TUT786508 TUT851967:TUT852044 TUT917503:TUT917580 TUT983039:TUT983116 UEP2:UEP76 UEP65535:UEP65612 UEP131071:UEP131148 UEP196607:UEP196684 UEP262143:UEP262220 UEP327679:UEP327756 UEP393215:UEP393292 UEP458751:UEP458828 UEP524287:UEP524364 UEP589823:UEP589900 UEP655359:UEP655436 UEP720895:UEP720972 UEP786431:UEP786508 UEP851967:UEP852044 UEP917503:UEP917580 UEP983039:UEP983116 UOL2:UOL76 UOL65535:UOL65612 UOL131071:UOL131148 UOL196607:UOL196684 UOL262143:UOL262220 UOL327679:UOL327756 UOL393215:UOL393292 UOL458751:UOL458828 UOL524287:UOL524364 UOL589823:UOL589900 UOL655359:UOL655436 UOL720895:UOL720972 UOL786431:UOL786508 UOL851967:UOL852044 UOL917503:UOL917580 UOL983039:UOL983116 UYH2:UYH76 UYH65535:UYH65612 UYH131071:UYH131148 UYH196607:UYH196684 UYH262143:UYH262220 UYH327679:UYH327756 UYH393215:UYH393292 UYH458751:UYH458828 UYH524287:UYH524364 UYH589823:UYH589900 UYH655359:UYH655436 UYH720895:UYH720972 UYH786431:UYH786508 UYH851967:UYH852044 UYH917503:UYH917580 UYH983039:UYH983116 VID2:VID76 VID65535:VID65612 VID131071:VID131148 VID196607:VID196684 VID262143:VID262220 VID327679:VID327756 VID393215:VID393292 VID458751:VID458828 VID524287:VID524364 VID589823:VID589900 VID655359:VID655436 VID720895:VID720972 VID786431:VID786508 VID851967:VID852044 VID917503:VID917580 VID983039:VID983116 VRZ2:VRZ76 VRZ65535:VRZ65612 VRZ131071:VRZ131148 VRZ196607:VRZ196684 VRZ262143:VRZ262220 VRZ327679:VRZ327756 VRZ393215:VRZ393292 VRZ458751:VRZ458828 VRZ524287:VRZ524364 VRZ589823:VRZ589900 VRZ655359:VRZ655436 VRZ720895:VRZ720972 VRZ786431:VRZ786508 VRZ851967:VRZ852044 VRZ917503:VRZ917580 VRZ983039:VRZ983116 WBV2:WBV76 WBV65535:WBV65612 WBV131071:WBV131148 WBV196607:WBV196684 WBV262143:WBV262220 WBV327679:WBV327756 WBV393215:WBV393292 WBV458751:WBV458828 WBV524287:WBV524364 WBV589823:WBV589900 WBV655359:WBV655436 WBV720895:WBV720972 WBV786431:WBV786508 WBV851967:WBV852044 WBV917503:WBV917580 WBV983039:WBV983116 WLR2:WLR76 WLR65535:WLR65612 WLR131071:WLR131148 WLR196607:WLR196684 WLR262143:WLR262220 WLR327679:WLR327756 WLR393215:WLR393292 WLR458751:WLR458828 WLR524287:WLR524364 WLR589823:WLR589900 WLR655359:WLR655436 WLR720895:WLR720972 WLR786431:WLR786508 WLR851967:WLR852044 WLR917503:WLR917580 WLR983039:WLR983116 WVN2:WVN76 WVN65535:WVN65612 WVN131071:WVN131148 WVN196607:WVN196684 WVN262143:WVN262220 WVN327679:WVN327756 WVN393215:WVN393292 WVN458751:WVN458828 WVN524287:WVN524364 WVN589823:WVN589900 WVN655359:WVN655436 WVN720895:WVN720972 WVN786431:WVN786508 WVN851967:WVN852044 WVN917503:WVN917580 WVN983039:WVN983116" xr:uid="{B9A7A12E-FDB4-4510-B06A-A6C4DB98C759}">
      <formula1>$AH$2:$AH$11</formula1>
    </dataValidation>
    <dataValidation type="list" allowBlank="1" showInputMessage="1" showErrorMessage="1" sqref="I2:I497 I65535:I65612 I131071:I131148 I196607:I196684 I262143:I262220 I327679:I327756 I393215:I393292 I458751:I458828 I524287:I524364 I589823:I589900 I655359:I655436 I720895:I720972 I786431:I786508 I851967:I852044 I917503:I917580 I983039:I983116 JE2:JE76 JE65535:JE65612 JE131071:JE131148 JE196607:JE196684 JE262143:JE262220 JE327679:JE327756 JE393215:JE393292 JE458751:JE458828 JE524287:JE524364 JE589823:JE589900 JE655359:JE655436 JE720895:JE720972 JE786431:JE786508 JE851967:JE852044 JE917503:JE917580 JE983039:JE983116 TA2:TA76 TA65535:TA65612 TA131071:TA131148 TA196607:TA196684 TA262143:TA262220 TA327679:TA327756 TA393215:TA393292 TA458751:TA458828 TA524287:TA524364 TA589823:TA589900 TA655359:TA655436 TA720895:TA720972 TA786431:TA786508 TA851967:TA852044 TA917503:TA917580 TA983039:TA983116 ACW2:ACW76 ACW65535:ACW65612 ACW131071:ACW131148 ACW196607:ACW196684 ACW262143:ACW262220 ACW327679:ACW327756 ACW393215:ACW393292 ACW458751:ACW458828 ACW524287:ACW524364 ACW589823:ACW589900 ACW655359:ACW655436 ACW720895:ACW720972 ACW786431:ACW786508 ACW851967:ACW852044 ACW917503:ACW917580 ACW983039:ACW983116 AMS2:AMS76 AMS65535:AMS65612 AMS131071:AMS131148 AMS196607:AMS196684 AMS262143:AMS262220 AMS327679:AMS327756 AMS393215:AMS393292 AMS458751:AMS458828 AMS524287:AMS524364 AMS589823:AMS589900 AMS655359:AMS655436 AMS720895:AMS720972 AMS786431:AMS786508 AMS851967:AMS852044 AMS917503:AMS917580 AMS983039:AMS983116 AWO2:AWO76 AWO65535:AWO65612 AWO131071:AWO131148 AWO196607:AWO196684 AWO262143:AWO262220 AWO327679:AWO327756 AWO393215:AWO393292 AWO458751:AWO458828 AWO524287:AWO524364 AWO589823:AWO589900 AWO655359:AWO655436 AWO720895:AWO720972 AWO786431:AWO786508 AWO851967:AWO852044 AWO917503:AWO917580 AWO983039:AWO983116 BGK2:BGK76 BGK65535:BGK65612 BGK131071:BGK131148 BGK196607:BGK196684 BGK262143:BGK262220 BGK327679:BGK327756 BGK393215:BGK393292 BGK458751:BGK458828 BGK524287:BGK524364 BGK589823:BGK589900 BGK655359:BGK655436 BGK720895:BGK720972 BGK786431:BGK786508 BGK851967:BGK852044 BGK917503:BGK917580 BGK983039:BGK983116 BQG2:BQG76 BQG65535:BQG65612 BQG131071:BQG131148 BQG196607:BQG196684 BQG262143:BQG262220 BQG327679:BQG327756 BQG393215:BQG393292 BQG458751:BQG458828 BQG524287:BQG524364 BQG589823:BQG589900 BQG655359:BQG655436 BQG720895:BQG720972 BQG786431:BQG786508 BQG851967:BQG852044 BQG917503:BQG917580 BQG983039:BQG983116 CAC2:CAC76 CAC65535:CAC65612 CAC131071:CAC131148 CAC196607:CAC196684 CAC262143:CAC262220 CAC327679:CAC327756 CAC393215:CAC393292 CAC458751:CAC458828 CAC524287:CAC524364 CAC589823:CAC589900 CAC655359:CAC655436 CAC720895:CAC720972 CAC786431:CAC786508 CAC851967:CAC852044 CAC917503:CAC917580 CAC983039:CAC983116 CJY2:CJY76 CJY65535:CJY65612 CJY131071:CJY131148 CJY196607:CJY196684 CJY262143:CJY262220 CJY327679:CJY327756 CJY393215:CJY393292 CJY458751:CJY458828 CJY524287:CJY524364 CJY589823:CJY589900 CJY655359:CJY655436 CJY720895:CJY720972 CJY786431:CJY786508 CJY851967:CJY852044 CJY917503:CJY917580 CJY983039:CJY983116 CTU2:CTU76 CTU65535:CTU65612 CTU131071:CTU131148 CTU196607:CTU196684 CTU262143:CTU262220 CTU327679:CTU327756 CTU393215:CTU393292 CTU458751:CTU458828 CTU524287:CTU524364 CTU589823:CTU589900 CTU655359:CTU655436 CTU720895:CTU720972 CTU786431:CTU786508 CTU851967:CTU852044 CTU917503:CTU917580 CTU983039:CTU983116 DDQ2:DDQ76 DDQ65535:DDQ65612 DDQ131071:DDQ131148 DDQ196607:DDQ196684 DDQ262143:DDQ262220 DDQ327679:DDQ327756 DDQ393215:DDQ393292 DDQ458751:DDQ458828 DDQ524287:DDQ524364 DDQ589823:DDQ589900 DDQ655359:DDQ655436 DDQ720895:DDQ720972 DDQ786431:DDQ786508 DDQ851967:DDQ852044 DDQ917503:DDQ917580 DDQ983039:DDQ983116 DNM2:DNM76 DNM65535:DNM65612 DNM131071:DNM131148 DNM196607:DNM196684 DNM262143:DNM262220 DNM327679:DNM327756 DNM393215:DNM393292 DNM458751:DNM458828 DNM524287:DNM524364 DNM589823:DNM589900 DNM655359:DNM655436 DNM720895:DNM720972 DNM786431:DNM786508 DNM851967:DNM852044 DNM917503:DNM917580 DNM983039:DNM983116 DXI2:DXI76 DXI65535:DXI65612 DXI131071:DXI131148 DXI196607:DXI196684 DXI262143:DXI262220 DXI327679:DXI327756 DXI393215:DXI393292 DXI458751:DXI458828 DXI524287:DXI524364 DXI589823:DXI589900 DXI655359:DXI655436 DXI720895:DXI720972 DXI786431:DXI786508 DXI851967:DXI852044 DXI917503:DXI917580 DXI983039:DXI983116 EHE2:EHE76 EHE65535:EHE65612 EHE131071:EHE131148 EHE196607:EHE196684 EHE262143:EHE262220 EHE327679:EHE327756 EHE393215:EHE393292 EHE458751:EHE458828 EHE524287:EHE524364 EHE589823:EHE589900 EHE655359:EHE655436 EHE720895:EHE720972 EHE786431:EHE786508 EHE851967:EHE852044 EHE917503:EHE917580 EHE983039:EHE983116 ERA2:ERA76 ERA65535:ERA65612 ERA131071:ERA131148 ERA196607:ERA196684 ERA262143:ERA262220 ERA327679:ERA327756 ERA393215:ERA393292 ERA458751:ERA458828 ERA524287:ERA524364 ERA589823:ERA589900 ERA655359:ERA655436 ERA720895:ERA720972 ERA786431:ERA786508 ERA851967:ERA852044 ERA917503:ERA917580 ERA983039:ERA983116 FAW2:FAW76 FAW65535:FAW65612 FAW131071:FAW131148 FAW196607:FAW196684 FAW262143:FAW262220 FAW327679:FAW327756 FAW393215:FAW393292 FAW458751:FAW458828 FAW524287:FAW524364 FAW589823:FAW589900 FAW655359:FAW655436 FAW720895:FAW720972 FAW786431:FAW786508 FAW851967:FAW852044 FAW917503:FAW917580 FAW983039:FAW983116 FKS2:FKS76 FKS65535:FKS65612 FKS131071:FKS131148 FKS196607:FKS196684 FKS262143:FKS262220 FKS327679:FKS327756 FKS393215:FKS393292 FKS458751:FKS458828 FKS524287:FKS524364 FKS589823:FKS589900 FKS655359:FKS655436 FKS720895:FKS720972 FKS786431:FKS786508 FKS851967:FKS852044 FKS917503:FKS917580 FKS983039:FKS983116 FUO2:FUO76 FUO65535:FUO65612 FUO131071:FUO131148 FUO196607:FUO196684 FUO262143:FUO262220 FUO327679:FUO327756 FUO393215:FUO393292 FUO458751:FUO458828 FUO524287:FUO524364 FUO589823:FUO589900 FUO655359:FUO655436 FUO720895:FUO720972 FUO786431:FUO786508 FUO851967:FUO852044 FUO917503:FUO917580 FUO983039:FUO983116 GEK2:GEK76 GEK65535:GEK65612 GEK131071:GEK131148 GEK196607:GEK196684 GEK262143:GEK262220 GEK327679:GEK327756 GEK393215:GEK393292 GEK458751:GEK458828 GEK524287:GEK524364 GEK589823:GEK589900 GEK655359:GEK655436 GEK720895:GEK720972 GEK786431:GEK786508 GEK851967:GEK852044 GEK917503:GEK917580 GEK983039:GEK983116 GOG2:GOG76 GOG65535:GOG65612 GOG131071:GOG131148 GOG196607:GOG196684 GOG262143:GOG262220 GOG327679:GOG327756 GOG393215:GOG393292 GOG458751:GOG458828 GOG524287:GOG524364 GOG589823:GOG589900 GOG655359:GOG655436 GOG720895:GOG720972 GOG786431:GOG786508 GOG851967:GOG852044 GOG917503:GOG917580 GOG983039:GOG983116 GYC2:GYC76 GYC65535:GYC65612 GYC131071:GYC131148 GYC196607:GYC196684 GYC262143:GYC262220 GYC327679:GYC327756 GYC393215:GYC393292 GYC458751:GYC458828 GYC524287:GYC524364 GYC589823:GYC589900 GYC655359:GYC655436 GYC720895:GYC720972 GYC786431:GYC786508 GYC851967:GYC852044 GYC917503:GYC917580 GYC983039:GYC983116 HHY2:HHY76 HHY65535:HHY65612 HHY131071:HHY131148 HHY196607:HHY196684 HHY262143:HHY262220 HHY327679:HHY327756 HHY393215:HHY393292 HHY458751:HHY458828 HHY524287:HHY524364 HHY589823:HHY589900 HHY655359:HHY655436 HHY720895:HHY720972 HHY786431:HHY786508 HHY851967:HHY852044 HHY917503:HHY917580 HHY983039:HHY983116 HRU2:HRU76 HRU65535:HRU65612 HRU131071:HRU131148 HRU196607:HRU196684 HRU262143:HRU262220 HRU327679:HRU327756 HRU393215:HRU393292 HRU458751:HRU458828 HRU524287:HRU524364 HRU589823:HRU589900 HRU655359:HRU655436 HRU720895:HRU720972 HRU786431:HRU786508 HRU851967:HRU852044 HRU917503:HRU917580 HRU983039:HRU983116 IBQ2:IBQ76 IBQ65535:IBQ65612 IBQ131071:IBQ131148 IBQ196607:IBQ196684 IBQ262143:IBQ262220 IBQ327679:IBQ327756 IBQ393215:IBQ393292 IBQ458751:IBQ458828 IBQ524287:IBQ524364 IBQ589823:IBQ589900 IBQ655359:IBQ655436 IBQ720895:IBQ720972 IBQ786431:IBQ786508 IBQ851967:IBQ852044 IBQ917503:IBQ917580 IBQ983039:IBQ983116 ILM2:ILM76 ILM65535:ILM65612 ILM131071:ILM131148 ILM196607:ILM196684 ILM262143:ILM262220 ILM327679:ILM327756 ILM393215:ILM393292 ILM458751:ILM458828 ILM524287:ILM524364 ILM589823:ILM589900 ILM655359:ILM655436 ILM720895:ILM720972 ILM786431:ILM786508 ILM851967:ILM852044 ILM917503:ILM917580 ILM983039:ILM983116 IVI2:IVI76 IVI65535:IVI65612 IVI131071:IVI131148 IVI196607:IVI196684 IVI262143:IVI262220 IVI327679:IVI327756 IVI393215:IVI393292 IVI458751:IVI458828 IVI524287:IVI524364 IVI589823:IVI589900 IVI655359:IVI655436 IVI720895:IVI720972 IVI786431:IVI786508 IVI851967:IVI852044 IVI917503:IVI917580 IVI983039:IVI983116 JFE2:JFE76 JFE65535:JFE65612 JFE131071:JFE131148 JFE196607:JFE196684 JFE262143:JFE262220 JFE327679:JFE327756 JFE393215:JFE393292 JFE458751:JFE458828 JFE524287:JFE524364 JFE589823:JFE589900 JFE655359:JFE655436 JFE720895:JFE720972 JFE786431:JFE786508 JFE851967:JFE852044 JFE917503:JFE917580 JFE983039:JFE983116 JPA2:JPA76 JPA65535:JPA65612 JPA131071:JPA131148 JPA196607:JPA196684 JPA262143:JPA262220 JPA327679:JPA327756 JPA393215:JPA393292 JPA458751:JPA458828 JPA524287:JPA524364 JPA589823:JPA589900 JPA655359:JPA655436 JPA720895:JPA720972 JPA786431:JPA786508 JPA851967:JPA852044 JPA917503:JPA917580 JPA983039:JPA983116 JYW2:JYW76 JYW65535:JYW65612 JYW131071:JYW131148 JYW196607:JYW196684 JYW262143:JYW262220 JYW327679:JYW327756 JYW393215:JYW393292 JYW458751:JYW458828 JYW524287:JYW524364 JYW589823:JYW589900 JYW655359:JYW655436 JYW720895:JYW720972 JYW786431:JYW786508 JYW851967:JYW852044 JYW917503:JYW917580 JYW983039:JYW983116 KIS2:KIS76 KIS65535:KIS65612 KIS131071:KIS131148 KIS196607:KIS196684 KIS262143:KIS262220 KIS327679:KIS327756 KIS393215:KIS393292 KIS458751:KIS458828 KIS524287:KIS524364 KIS589823:KIS589900 KIS655359:KIS655436 KIS720895:KIS720972 KIS786431:KIS786508 KIS851967:KIS852044 KIS917503:KIS917580 KIS983039:KIS983116 KSO2:KSO76 KSO65535:KSO65612 KSO131071:KSO131148 KSO196607:KSO196684 KSO262143:KSO262220 KSO327679:KSO327756 KSO393215:KSO393292 KSO458751:KSO458828 KSO524287:KSO524364 KSO589823:KSO589900 KSO655359:KSO655436 KSO720895:KSO720972 KSO786431:KSO786508 KSO851967:KSO852044 KSO917503:KSO917580 KSO983039:KSO983116 LCK2:LCK76 LCK65535:LCK65612 LCK131071:LCK131148 LCK196607:LCK196684 LCK262143:LCK262220 LCK327679:LCK327756 LCK393215:LCK393292 LCK458751:LCK458828 LCK524287:LCK524364 LCK589823:LCK589900 LCK655359:LCK655436 LCK720895:LCK720972 LCK786431:LCK786508 LCK851967:LCK852044 LCK917503:LCK917580 LCK983039:LCK983116 LMG2:LMG76 LMG65535:LMG65612 LMG131071:LMG131148 LMG196607:LMG196684 LMG262143:LMG262220 LMG327679:LMG327756 LMG393215:LMG393292 LMG458751:LMG458828 LMG524287:LMG524364 LMG589823:LMG589900 LMG655359:LMG655436 LMG720895:LMG720972 LMG786431:LMG786508 LMG851967:LMG852044 LMG917503:LMG917580 LMG983039:LMG983116 LWC2:LWC76 LWC65535:LWC65612 LWC131071:LWC131148 LWC196607:LWC196684 LWC262143:LWC262220 LWC327679:LWC327756 LWC393215:LWC393292 LWC458751:LWC458828 LWC524287:LWC524364 LWC589823:LWC589900 LWC655359:LWC655436 LWC720895:LWC720972 LWC786431:LWC786508 LWC851967:LWC852044 LWC917503:LWC917580 LWC983039:LWC983116 MFY2:MFY76 MFY65535:MFY65612 MFY131071:MFY131148 MFY196607:MFY196684 MFY262143:MFY262220 MFY327679:MFY327756 MFY393215:MFY393292 MFY458751:MFY458828 MFY524287:MFY524364 MFY589823:MFY589900 MFY655359:MFY655436 MFY720895:MFY720972 MFY786431:MFY786508 MFY851967:MFY852044 MFY917503:MFY917580 MFY983039:MFY983116 MPU2:MPU76 MPU65535:MPU65612 MPU131071:MPU131148 MPU196607:MPU196684 MPU262143:MPU262220 MPU327679:MPU327756 MPU393215:MPU393292 MPU458751:MPU458828 MPU524287:MPU524364 MPU589823:MPU589900 MPU655359:MPU655436 MPU720895:MPU720972 MPU786431:MPU786508 MPU851967:MPU852044 MPU917503:MPU917580 MPU983039:MPU983116 MZQ2:MZQ76 MZQ65535:MZQ65612 MZQ131071:MZQ131148 MZQ196607:MZQ196684 MZQ262143:MZQ262220 MZQ327679:MZQ327756 MZQ393215:MZQ393292 MZQ458751:MZQ458828 MZQ524287:MZQ524364 MZQ589823:MZQ589900 MZQ655359:MZQ655436 MZQ720895:MZQ720972 MZQ786431:MZQ786508 MZQ851967:MZQ852044 MZQ917503:MZQ917580 MZQ983039:MZQ983116 NJM2:NJM76 NJM65535:NJM65612 NJM131071:NJM131148 NJM196607:NJM196684 NJM262143:NJM262220 NJM327679:NJM327756 NJM393215:NJM393292 NJM458751:NJM458828 NJM524287:NJM524364 NJM589823:NJM589900 NJM655359:NJM655436 NJM720895:NJM720972 NJM786431:NJM786508 NJM851967:NJM852044 NJM917503:NJM917580 NJM983039:NJM983116 NTI2:NTI76 NTI65535:NTI65612 NTI131071:NTI131148 NTI196607:NTI196684 NTI262143:NTI262220 NTI327679:NTI327756 NTI393215:NTI393292 NTI458751:NTI458828 NTI524287:NTI524364 NTI589823:NTI589900 NTI655359:NTI655436 NTI720895:NTI720972 NTI786431:NTI786508 NTI851967:NTI852044 NTI917503:NTI917580 NTI983039:NTI983116 ODE2:ODE76 ODE65535:ODE65612 ODE131071:ODE131148 ODE196607:ODE196684 ODE262143:ODE262220 ODE327679:ODE327756 ODE393215:ODE393292 ODE458751:ODE458828 ODE524287:ODE524364 ODE589823:ODE589900 ODE655359:ODE655436 ODE720895:ODE720972 ODE786431:ODE786508 ODE851967:ODE852044 ODE917503:ODE917580 ODE983039:ODE983116 ONA2:ONA76 ONA65535:ONA65612 ONA131071:ONA131148 ONA196607:ONA196684 ONA262143:ONA262220 ONA327679:ONA327756 ONA393215:ONA393292 ONA458751:ONA458828 ONA524287:ONA524364 ONA589823:ONA589900 ONA655359:ONA655436 ONA720895:ONA720972 ONA786431:ONA786508 ONA851967:ONA852044 ONA917503:ONA917580 ONA983039:ONA983116 OWW2:OWW76 OWW65535:OWW65612 OWW131071:OWW131148 OWW196607:OWW196684 OWW262143:OWW262220 OWW327679:OWW327756 OWW393215:OWW393292 OWW458751:OWW458828 OWW524287:OWW524364 OWW589823:OWW589900 OWW655359:OWW655436 OWW720895:OWW720972 OWW786431:OWW786508 OWW851967:OWW852044 OWW917503:OWW917580 OWW983039:OWW983116 PGS2:PGS76 PGS65535:PGS65612 PGS131071:PGS131148 PGS196607:PGS196684 PGS262143:PGS262220 PGS327679:PGS327756 PGS393215:PGS393292 PGS458751:PGS458828 PGS524287:PGS524364 PGS589823:PGS589900 PGS655359:PGS655436 PGS720895:PGS720972 PGS786431:PGS786508 PGS851967:PGS852044 PGS917503:PGS917580 PGS983039:PGS983116 PQO2:PQO76 PQO65535:PQO65612 PQO131071:PQO131148 PQO196607:PQO196684 PQO262143:PQO262220 PQO327679:PQO327756 PQO393215:PQO393292 PQO458751:PQO458828 PQO524287:PQO524364 PQO589823:PQO589900 PQO655359:PQO655436 PQO720895:PQO720972 PQO786431:PQO786508 PQO851967:PQO852044 PQO917503:PQO917580 PQO983039:PQO983116 QAK2:QAK76 QAK65535:QAK65612 QAK131071:QAK131148 QAK196607:QAK196684 QAK262143:QAK262220 QAK327679:QAK327756 QAK393215:QAK393292 QAK458751:QAK458828 QAK524287:QAK524364 QAK589823:QAK589900 QAK655359:QAK655436 QAK720895:QAK720972 QAK786431:QAK786508 QAK851967:QAK852044 QAK917503:QAK917580 QAK983039:QAK983116 QKG2:QKG76 QKG65535:QKG65612 QKG131071:QKG131148 QKG196607:QKG196684 QKG262143:QKG262220 QKG327679:QKG327756 QKG393215:QKG393292 QKG458751:QKG458828 QKG524287:QKG524364 QKG589823:QKG589900 QKG655359:QKG655436 QKG720895:QKG720972 QKG786431:QKG786508 QKG851967:QKG852044 QKG917503:QKG917580 QKG983039:QKG983116 QUC2:QUC76 QUC65535:QUC65612 QUC131071:QUC131148 QUC196607:QUC196684 QUC262143:QUC262220 QUC327679:QUC327756 QUC393215:QUC393292 QUC458751:QUC458828 QUC524287:QUC524364 QUC589823:QUC589900 QUC655359:QUC655436 QUC720895:QUC720972 QUC786431:QUC786508 QUC851967:QUC852044 QUC917503:QUC917580 QUC983039:QUC983116 RDY2:RDY76 RDY65535:RDY65612 RDY131071:RDY131148 RDY196607:RDY196684 RDY262143:RDY262220 RDY327679:RDY327756 RDY393215:RDY393292 RDY458751:RDY458828 RDY524287:RDY524364 RDY589823:RDY589900 RDY655359:RDY655436 RDY720895:RDY720972 RDY786431:RDY786508 RDY851967:RDY852044 RDY917503:RDY917580 RDY983039:RDY983116 RNU2:RNU76 RNU65535:RNU65612 RNU131071:RNU131148 RNU196607:RNU196684 RNU262143:RNU262220 RNU327679:RNU327756 RNU393215:RNU393292 RNU458751:RNU458828 RNU524287:RNU524364 RNU589823:RNU589900 RNU655359:RNU655436 RNU720895:RNU720972 RNU786431:RNU786508 RNU851967:RNU852044 RNU917503:RNU917580 RNU983039:RNU983116 RXQ2:RXQ76 RXQ65535:RXQ65612 RXQ131071:RXQ131148 RXQ196607:RXQ196684 RXQ262143:RXQ262220 RXQ327679:RXQ327756 RXQ393215:RXQ393292 RXQ458751:RXQ458828 RXQ524287:RXQ524364 RXQ589823:RXQ589900 RXQ655359:RXQ655436 RXQ720895:RXQ720972 RXQ786431:RXQ786508 RXQ851967:RXQ852044 RXQ917503:RXQ917580 RXQ983039:RXQ983116 SHM2:SHM76 SHM65535:SHM65612 SHM131071:SHM131148 SHM196607:SHM196684 SHM262143:SHM262220 SHM327679:SHM327756 SHM393215:SHM393292 SHM458751:SHM458828 SHM524287:SHM524364 SHM589823:SHM589900 SHM655359:SHM655436 SHM720895:SHM720972 SHM786431:SHM786508 SHM851967:SHM852044 SHM917503:SHM917580 SHM983039:SHM983116 SRI2:SRI76 SRI65535:SRI65612 SRI131071:SRI131148 SRI196607:SRI196684 SRI262143:SRI262220 SRI327679:SRI327756 SRI393215:SRI393292 SRI458751:SRI458828 SRI524287:SRI524364 SRI589823:SRI589900 SRI655359:SRI655436 SRI720895:SRI720972 SRI786431:SRI786508 SRI851967:SRI852044 SRI917503:SRI917580 SRI983039:SRI983116 TBE2:TBE76 TBE65535:TBE65612 TBE131071:TBE131148 TBE196607:TBE196684 TBE262143:TBE262220 TBE327679:TBE327756 TBE393215:TBE393292 TBE458751:TBE458828 TBE524287:TBE524364 TBE589823:TBE589900 TBE655359:TBE655436 TBE720895:TBE720972 TBE786431:TBE786508 TBE851967:TBE852044 TBE917503:TBE917580 TBE983039:TBE983116 TLA2:TLA76 TLA65535:TLA65612 TLA131071:TLA131148 TLA196607:TLA196684 TLA262143:TLA262220 TLA327679:TLA327756 TLA393215:TLA393292 TLA458751:TLA458828 TLA524287:TLA524364 TLA589823:TLA589900 TLA655359:TLA655436 TLA720895:TLA720972 TLA786431:TLA786508 TLA851967:TLA852044 TLA917503:TLA917580 TLA983039:TLA983116 TUW2:TUW76 TUW65535:TUW65612 TUW131071:TUW131148 TUW196607:TUW196684 TUW262143:TUW262220 TUW327679:TUW327756 TUW393215:TUW393292 TUW458751:TUW458828 TUW524287:TUW524364 TUW589823:TUW589900 TUW655359:TUW655436 TUW720895:TUW720972 TUW786431:TUW786508 TUW851967:TUW852044 TUW917503:TUW917580 TUW983039:TUW983116 UES2:UES76 UES65535:UES65612 UES131071:UES131148 UES196607:UES196684 UES262143:UES262220 UES327679:UES327756 UES393215:UES393292 UES458751:UES458828 UES524287:UES524364 UES589823:UES589900 UES655359:UES655436 UES720895:UES720972 UES786431:UES786508 UES851967:UES852044 UES917503:UES917580 UES983039:UES983116 UOO2:UOO76 UOO65535:UOO65612 UOO131071:UOO131148 UOO196607:UOO196684 UOO262143:UOO262220 UOO327679:UOO327756 UOO393215:UOO393292 UOO458751:UOO458828 UOO524287:UOO524364 UOO589823:UOO589900 UOO655359:UOO655436 UOO720895:UOO720972 UOO786431:UOO786508 UOO851967:UOO852044 UOO917503:UOO917580 UOO983039:UOO983116 UYK2:UYK76 UYK65535:UYK65612 UYK131071:UYK131148 UYK196607:UYK196684 UYK262143:UYK262220 UYK327679:UYK327756 UYK393215:UYK393292 UYK458751:UYK458828 UYK524287:UYK524364 UYK589823:UYK589900 UYK655359:UYK655436 UYK720895:UYK720972 UYK786431:UYK786508 UYK851967:UYK852044 UYK917503:UYK917580 UYK983039:UYK983116 VIG2:VIG76 VIG65535:VIG65612 VIG131071:VIG131148 VIG196607:VIG196684 VIG262143:VIG262220 VIG327679:VIG327756 VIG393215:VIG393292 VIG458751:VIG458828 VIG524287:VIG524364 VIG589823:VIG589900 VIG655359:VIG655436 VIG720895:VIG720972 VIG786431:VIG786508 VIG851967:VIG852044 VIG917503:VIG917580 VIG983039:VIG983116 VSC2:VSC76 VSC65535:VSC65612 VSC131071:VSC131148 VSC196607:VSC196684 VSC262143:VSC262220 VSC327679:VSC327756 VSC393215:VSC393292 VSC458751:VSC458828 VSC524287:VSC524364 VSC589823:VSC589900 VSC655359:VSC655436 VSC720895:VSC720972 VSC786431:VSC786508 VSC851967:VSC852044 VSC917503:VSC917580 VSC983039:VSC983116 WBY2:WBY76 WBY65535:WBY65612 WBY131071:WBY131148 WBY196607:WBY196684 WBY262143:WBY262220 WBY327679:WBY327756 WBY393215:WBY393292 WBY458751:WBY458828 WBY524287:WBY524364 WBY589823:WBY589900 WBY655359:WBY655436 WBY720895:WBY720972 WBY786431:WBY786508 WBY851967:WBY852044 WBY917503:WBY917580 WBY983039:WBY983116 WLU2:WLU76 WLU65535:WLU65612 WLU131071:WLU131148 WLU196607:WLU196684 WLU262143:WLU262220 WLU327679:WLU327756 WLU393215:WLU393292 WLU458751:WLU458828 WLU524287:WLU524364 WLU589823:WLU589900 WLU655359:WLU655436 WLU720895:WLU720972 WLU786431:WLU786508 WLU851967:WLU852044 WLU917503:WLU917580 WLU983039:WLU983116 WVQ2:WVQ76 WVQ65535:WVQ65612 WVQ131071:WVQ131148 WVQ196607:WVQ196684 WVQ262143:WVQ262220 WVQ327679:WVQ327756 WVQ393215:WVQ393292 WVQ458751:WVQ458828 WVQ524287:WVQ524364 WVQ589823:WVQ589900 WVQ655359:WVQ655436 WVQ720895:WVQ720972 WVQ786431:WVQ786508 WVQ851967:WVQ852044 WVQ917503:WVQ917580 WVQ983039:WVQ983116" xr:uid="{595B077C-499C-46CF-875A-8EEDF71A059D}">
      <formula1>$AN$5:$AN$6</formula1>
    </dataValidation>
    <dataValidation type="list" allowBlank="1" showInputMessage="1" showErrorMessage="1" sqref="H2:H1150" xr:uid="{32091CB9-27F9-43E1-91A8-FBA6213BBEAF}">
      <formula1>$AL$2:$AL$9</formula1>
    </dataValidation>
    <dataValidation type="list" allowBlank="1" showInputMessage="1" showErrorMessage="1" sqref="A2:A497 A65535:A65612 A131071:A131148 A196607:A196684 A262143:A262220 A327679:A327756 A393215:A393292 A458751:A458828 A524287:A524364 A589823:A589900 A655359:A655436 A720895:A720972 A786431:A786508 A851967:A852044 A917503:A917580 A983039:A983116 IW2:IW76 IW65535:IW65612 IW131071:IW131148 IW196607:IW196684 IW262143:IW262220 IW327679:IW327756 IW393215:IW393292 IW458751:IW458828 IW524287:IW524364 IW589823:IW589900 IW655359:IW655436 IW720895:IW720972 IW786431:IW786508 IW851967:IW852044 IW917503:IW917580 IW983039:IW983116 SS2:SS76 SS65535:SS65612 SS131071:SS131148 SS196607:SS196684 SS262143:SS262220 SS327679:SS327756 SS393215:SS393292 SS458751:SS458828 SS524287:SS524364 SS589823:SS589900 SS655359:SS655436 SS720895:SS720972 SS786431:SS786508 SS851967:SS852044 SS917503:SS917580 SS983039:SS983116 ACO2:ACO76 ACO65535:ACO65612 ACO131071:ACO131148 ACO196607:ACO196684 ACO262143:ACO262220 ACO327679:ACO327756 ACO393215:ACO393292 ACO458751:ACO458828 ACO524287:ACO524364 ACO589823:ACO589900 ACO655359:ACO655436 ACO720895:ACO720972 ACO786431:ACO786508 ACO851967:ACO852044 ACO917503:ACO917580 ACO983039:ACO983116 AMK2:AMK76 AMK65535:AMK65612 AMK131071:AMK131148 AMK196607:AMK196684 AMK262143:AMK262220 AMK327679:AMK327756 AMK393215:AMK393292 AMK458751:AMK458828 AMK524287:AMK524364 AMK589823:AMK589900 AMK655359:AMK655436 AMK720895:AMK720972 AMK786431:AMK786508 AMK851967:AMK852044 AMK917503:AMK917580 AMK983039:AMK983116 AWG2:AWG76 AWG65535:AWG65612 AWG131071:AWG131148 AWG196607:AWG196684 AWG262143:AWG262220 AWG327679:AWG327756 AWG393215:AWG393292 AWG458751:AWG458828 AWG524287:AWG524364 AWG589823:AWG589900 AWG655359:AWG655436 AWG720895:AWG720972 AWG786431:AWG786508 AWG851967:AWG852044 AWG917503:AWG917580 AWG983039:AWG983116 BGC2:BGC76 BGC65535:BGC65612 BGC131071:BGC131148 BGC196607:BGC196684 BGC262143:BGC262220 BGC327679:BGC327756 BGC393215:BGC393292 BGC458751:BGC458828 BGC524287:BGC524364 BGC589823:BGC589900 BGC655359:BGC655436 BGC720895:BGC720972 BGC786431:BGC786508 BGC851967:BGC852044 BGC917503:BGC917580 BGC983039:BGC983116 BPY2:BPY76 BPY65535:BPY65612 BPY131071:BPY131148 BPY196607:BPY196684 BPY262143:BPY262220 BPY327679:BPY327756 BPY393215:BPY393292 BPY458751:BPY458828 BPY524287:BPY524364 BPY589823:BPY589900 BPY655359:BPY655436 BPY720895:BPY720972 BPY786431:BPY786508 BPY851967:BPY852044 BPY917503:BPY917580 BPY983039:BPY983116 BZU2:BZU76 BZU65535:BZU65612 BZU131071:BZU131148 BZU196607:BZU196684 BZU262143:BZU262220 BZU327679:BZU327756 BZU393215:BZU393292 BZU458751:BZU458828 BZU524287:BZU524364 BZU589823:BZU589900 BZU655359:BZU655436 BZU720895:BZU720972 BZU786431:BZU786508 BZU851967:BZU852044 BZU917503:BZU917580 BZU983039:BZU983116 CJQ2:CJQ76 CJQ65535:CJQ65612 CJQ131071:CJQ131148 CJQ196607:CJQ196684 CJQ262143:CJQ262220 CJQ327679:CJQ327756 CJQ393215:CJQ393292 CJQ458751:CJQ458828 CJQ524287:CJQ524364 CJQ589823:CJQ589900 CJQ655359:CJQ655436 CJQ720895:CJQ720972 CJQ786431:CJQ786508 CJQ851967:CJQ852044 CJQ917503:CJQ917580 CJQ983039:CJQ983116 CTM2:CTM76 CTM65535:CTM65612 CTM131071:CTM131148 CTM196607:CTM196684 CTM262143:CTM262220 CTM327679:CTM327756 CTM393215:CTM393292 CTM458751:CTM458828 CTM524287:CTM524364 CTM589823:CTM589900 CTM655359:CTM655436 CTM720895:CTM720972 CTM786431:CTM786508 CTM851967:CTM852044 CTM917503:CTM917580 CTM983039:CTM983116 DDI2:DDI76 DDI65535:DDI65612 DDI131071:DDI131148 DDI196607:DDI196684 DDI262143:DDI262220 DDI327679:DDI327756 DDI393215:DDI393292 DDI458751:DDI458828 DDI524287:DDI524364 DDI589823:DDI589900 DDI655359:DDI655436 DDI720895:DDI720972 DDI786431:DDI786508 DDI851967:DDI852044 DDI917503:DDI917580 DDI983039:DDI983116 DNE2:DNE76 DNE65535:DNE65612 DNE131071:DNE131148 DNE196607:DNE196684 DNE262143:DNE262220 DNE327679:DNE327756 DNE393215:DNE393292 DNE458751:DNE458828 DNE524287:DNE524364 DNE589823:DNE589900 DNE655359:DNE655436 DNE720895:DNE720972 DNE786431:DNE786508 DNE851967:DNE852044 DNE917503:DNE917580 DNE983039:DNE983116 DXA2:DXA76 DXA65535:DXA65612 DXA131071:DXA131148 DXA196607:DXA196684 DXA262143:DXA262220 DXA327679:DXA327756 DXA393215:DXA393292 DXA458751:DXA458828 DXA524287:DXA524364 DXA589823:DXA589900 DXA655359:DXA655436 DXA720895:DXA720972 DXA786431:DXA786508 DXA851967:DXA852044 DXA917503:DXA917580 DXA983039:DXA983116 EGW2:EGW76 EGW65535:EGW65612 EGW131071:EGW131148 EGW196607:EGW196684 EGW262143:EGW262220 EGW327679:EGW327756 EGW393215:EGW393292 EGW458751:EGW458828 EGW524287:EGW524364 EGW589823:EGW589900 EGW655359:EGW655436 EGW720895:EGW720972 EGW786431:EGW786508 EGW851967:EGW852044 EGW917503:EGW917580 EGW983039:EGW983116 EQS2:EQS76 EQS65535:EQS65612 EQS131071:EQS131148 EQS196607:EQS196684 EQS262143:EQS262220 EQS327679:EQS327756 EQS393215:EQS393292 EQS458751:EQS458828 EQS524287:EQS524364 EQS589823:EQS589900 EQS655359:EQS655436 EQS720895:EQS720972 EQS786431:EQS786508 EQS851967:EQS852044 EQS917503:EQS917580 EQS983039:EQS983116 FAO2:FAO76 FAO65535:FAO65612 FAO131071:FAO131148 FAO196607:FAO196684 FAO262143:FAO262220 FAO327679:FAO327756 FAO393215:FAO393292 FAO458751:FAO458828 FAO524287:FAO524364 FAO589823:FAO589900 FAO655359:FAO655436 FAO720895:FAO720972 FAO786431:FAO786508 FAO851967:FAO852044 FAO917503:FAO917580 FAO983039:FAO983116 FKK2:FKK76 FKK65535:FKK65612 FKK131071:FKK131148 FKK196607:FKK196684 FKK262143:FKK262220 FKK327679:FKK327756 FKK393215:FKK393292 FKK458751:FKK458828 FKK524287:FKK524364 FKK589823:FKK589900 FKK655359:FKK655436 FKK720895:FKK720972 FKK786431:FKK786508 FKK851967:FKK852044 FKK917503:FKK917580 FKK983039:FKK983116 FUG2:FUG76 FUG65535:FUG65612 FUG131071:FUG131148 FUG196607:FUG196684 FUG262143:FUG262220 FUG327679:FUG327756 FUG393215:FUG393292 FUG458751:FUG458828 FUG524287:FUG524364 FUG589823:FUG589900 FUG655359:FUG655436 FUG720895:FUG720972 FUG786431:FUG786508 FUG851967:FUG852044 FUG917503:FUG917580 FUG983039:FUG983116 GEC2:GEC76 GEC65535:GEC65612 GEC131071:GEC131148 GEC196607:GEC196684 GEC262143:GEC262220 GEC327679:GEC327756 GEC393215:GEC393292 GEC458751:GEC458828 GEC524287:GEC524364 GEC589823:GEC589900 GEC655359:GEC655436 GEC720895:GEC720972 GEC786431:GEC786508 GEC851967:GEC852044 GEC917503:GEC917580 GEC983039:GEC983116 GNY2:GNY76 GNY65535:GNY65612 GNY131071:GNY131148 GNY196607:GNY196684 GNY262143:GNY262220 GNY327679:GNY327756 GNY393215:GNY393292 GNY458751:GNY458828 GNY524287:GNY524364 GNY589823:GNY589900 GNY655359:GNY655436 GNY720895:GNY720972 GNY786431:GNY786508 GNY851967:GNY852044 GNY917503:GNY917580 GNY983039:GNY983116 GXU2:GXU76 GXU65535:GXU65612 GXU131071:GXU131148 GXU196607:GXU196684 GXU262143:GXU262220 GXU327679:GXU327756 GXU393215:GXU393292 GXU458751:GXU458828 GXU524287:GXU524364 GXU589823:GXU589900 GXU655359:GXU655436 GXU720895:GXU720972 GXU786431:GXU786508 GXU851967:GXU852044 GXU917503:GXU917580 GXU983039:GXU983116 HHQ2:HHQ76 HHQ65535:HHQ65612 HHQ131071:HHQ131148 HHQ196607:HHQ196684 HHQ262143:HHQ262220 HHQ327679:HHQ327756 HHQ393215:HHQ393292 HHQ458751:HHQ458828 HHQ524287:HHQ524364 HHQ589823:HHQ589900 HHQ655359:HHQ655436 HHQ720895:HHQ720972 HHQ786431:HHQ786508 HHQ851967:HHQ852044 HHQ917503:HHQ917580 HHQ983039:HHQ983116 HRM2:HRM76 HRM65535:HRM65612 HRM131071:HRM131148 HRM196607:HRM196684 HRM262143:HRM262220 HRM327679:HRM327756 HRM393215:HRM393292 HRM458751:HRM458828 HRM524287:HRM524364 HRM589823:HRM589900 HRM655359:HRM655436 HRM720895:HRM720972 HRM786431:HRM786508 HRM851967:HRM852044 HRM917503:HRM917580 HRM983039:HRM983116 IBI2:IBI76 IBI65535:IBI65612 IBI131071:IBI131148 IBI196607:IBI196684 IBI262143:IBI262220 IBI327679:IBI327756 IBI393215:IBI393292 IBI458751:IBI458828 IBI524287:IBI524364 IBI589823:IBI589900 IBI655359:IBI655436 IBI720895:IBI720972 IBI786431:IBI786508 IBI851967:IBI852044 IBI917503:IBI917580 IBI983039:IBI983116 ILE2:ILE76 ILE65535:ILE65612 ILE131071:ILE131148 ILE196607:ILE196684 ILE262143:ILE262220 ILE327679:ILE327756 ILE393215:ILE393292 ILE458751:ILE458828 ILE524287:ILE524364 ILE589823:ILE589900 ILE655359:ILE655436 ILE720895:ILE720972 ILE786431:ILE786508 ILE851967:ILE852044 ILE917503:ILE917580 ILE983039:ILE983116 IVA2:IVA76 IVA65535:IVA65612 IVA131071:IVA131148 IVA196607:IVA196684 IVA262143:IVA262220 IVA327679:IVA327756 IVA393215:IVA393292 IVA458751:IVA458828 IVA524287:IVA524364 IVA589823:IVA589900 IVA655359:IVA655436 IVA720895:IVA720972 IVA786431:IVA786508 IVA851967:IVA852044 IVA917503:IVA917580 IVA983039:IVA983116 JEW2:JEW76 JEW65535:JEW65612 JEW131071:JEW131148 JEW196607:JEW196684 JEW262143:JEW262220 JEW327679:JEW327756 JEW393215:JEW393292 JEW458751:JEW458828 JEW524287:JEW524364 JEW589823:JEW589900 JEW655359:JEW655436 JEW720895:JEW720972 JEW786431:JEW786508 JEW851967:JEW852044 JEW917503:JEW917580 JEW983039:JEW983116 JOS2:JOS76 JOS65535:JOS65612 JOS131071:JOS131148 JOS196607:JOS196684 JOS262143:JOS262220 JOS327679:JOS327756 JOS393215:JOS393292 JOS458751:JOS458828 JOS524287:JOS524364 JOS589823:JOS589900 JOS655359:JOS655436 JOS720895:JOS720972 JOS786431:JOS786508 JOS851967:JOS852044 JOS917503:JOS917580 JOS983039:JOS983116 JYO2:JYO76 JYO65535:JYO65612 JYO131071:JYO131148 JYO196607:JYO196684 JYO262143:JYO262220 JYO327679:JYO327756 JYO393215:JYO393292 JYO458751:JYO458828 JYO524287:JYO524364 JYO589823:JYO589900 JYO655359:JYO655436 JYO720895:JYO720972 JYO786431:JYO786508 JYO851967:JYO852044 JYO917503:JYO917580 JYO983039:JYO983116 KIK2:KIK76 KIK65535:KIK65612 KIK131071:KIK131148 KIK196607:KIK196684 KIK262143:KIK262220 KIK327679:KIK327756 KIK393215:KIK393292 KIK458751:KIK458828 KIK524287:KIK524364 KIK589823:KIK589900 KIK655359:KIK655436 KIK720895:KIK720972 KIK786431:KIK786508 KIK851967:KIK852044 KIK917503:KIK917580 KIK983039:KIK983116 KSG2:KSG76 KSG65535:KSG65612 KSG131071:KSG131148 KSG196607:KSG196684 KSG262143:KSG262220 KSG327679:KSG327756 KSG393215:KSG393292 KSG458751:KSG458828 KSG524287:KSG524364 KSG589823:KSG589900 KSG655359:KSG655436 KSG720895:KSG720972 KSG786431:KSG786508 KSG851967:KSG852044 KSG917503:KSG917580 KSG983039:KSG983116 LCC2:LCC76 LCC65535:LCC65612 LCC131071:LCC131148 LCC196607:LCC196684 LCC262143:LCC262220 LCC327679:LCC327756 LCC393215:LCC393292 LCC458751:LCC458828 LCC524287:LCC524364 LCC589823:LCC589900 LCC655359:LCC655436 LCC720895:LCC720972 LCC786431:LCC786508 LCC851967:LCC852044 LCC917503:LCC917580 LCC983039:LCC983116 LLY2:LLY76 LLY65535:LLY65612 LLY131071:LLY131148 LLY196607:LLY196684 LLY262143:LLY262220 LLY327679:LLY327756 LLY393215:LLY393292 LLY458751:LLY458828 LLY524287:LLY524364 LLY589823:LLY589900 LLY655359:LLY655436 LLY720895:LLY720972 LLY786431:LLY786508 LLY851967:LLY852044 LLY917503:LLY917580 LLY983039:LLY983116 LVU2:LVU76 LVU65535:LVU65612 LVU131071:LVU131148 LVU196607:LVU196684 LVU262143:LVU262220 LVU327679:LVU327756 LVU393215:LVU393292 LVU458751:LVU458828 LVU524287:LVU524364 LVU589823:LVU589900 LVU655359:LVU655436 LVU720895:LVU720972 LVU786431:LVU786508 LVU851967:LVU852044 LVU917503:LVU917580 LVU983039:LVU983116 MFQ2:MFQ76 MFQ65535:MFQ65612 MFQ131071:MFQ131148 MFQ196607:MFQ196684 MFQ262143:MFQ262220 MFQ327679:MFQ327756 MFQ393215:MFQ393292 MFQ458751:MFQ458828 MFQ524287:MFQ524364 MFQ589823:MFQ589900 MFQ655359:MFQ655436 MFQ720895:MFQ720972 MFQ786431:MFQ786508 MFQ851967:MFQ852044 MFQ917503:MFQ917580 MFQ983039:MFQ983116 MPM2:MPM76 MPM65535:MPM65612 MPM131071:MPM131148 MPM196607:MPM196684 MPM262143:MPM262220 MPM327679:MPM327756 MPM393215:MPM393292 MPM458751:MPM458828 MPM524287:MPM524364 MPM589823:MPM589900 MPM655359:MPM655436 MPM720895:MPM720972 MPM786431:MPM786508 MPM851967:MPM852044 MPM917503:MPM917580 MPM983039:MPM983116 MZI2:MZI76 MZI65535:MZI65612 MZI131071:MZI131148 MZI196607:MZI196684 MZI262143:MZI262220 MZI327679:MZI327756 MZI393215:MZI393292 MZI458751:MZI458828 MZI524287:MZI524364 MZI589823:MZI589900 MZI655359:MZI655436 MZI720895:MZI720972 MZI786431:MZI786508 MZI851967:MZI852044 MZI917503:MZI917580 MZI983039:MZI983116 NJE2:NJE76 NJE65535:NJE65612 NJE131071:NJE131148 NJE196607:NJE196684 NJE262143:NJE262220 NJE327679:NJE327756 NJE393215:NJE393292 NJE458751:NJE458828 NJE524287:NJE524364 NJE589823:NJE589900 NJE655359:NJE655436 NJE720895:NJE720972 NJE786431:NJE786508 NJE851967:NJE852044 NJE917503:NJE917580 NJE983039:NJE983116 NTA2:NTA76 NTA65535:NTA65612 NTA131071:NTA131148 NTA196607:NTA196684 NTA262143:NTA262220 NTA327679:NTA327756 NTA393215:NTA393292 NTA458751:NTA458828 NTA524287:NTA524364 NTA589823:NTA589900 NTA655359:NTA655436 NTA720895:NTA720972 NTA786431:NTA786508 NTA851967:NTA852044 NTA917503:NTA917580 NTA983039:NTA983116 OCW2:OCW76 OCW65535:OCW65612 OCW131071:OCW131148 OCW196607:OCW196684 OCW262143:OCW262220 OCW327679:OCW327756 OCW393215:OCW393292 OCW458751:OCW458828 OCW524287:OCW524364 OCW589823:OCW589900 OCW655359:OCW655436 OCW720895:OCW720972 OCW786431:OCW786508 OCW851967:OCW852044 OCW917503:OCW917580 OCW983039:OCW983116 OMS2:OMS76 OMS65535:OMS65612 OMS131071:OMS131148 OMS196607:OMS196684 OMS262143:OMS262220 OMS327679:OMS327756 OMS393215:OMS393292 OMS458751:OMS458828 OMS524287:OMS524364 OMS589823:OMS589900 OMS655359:OMS655436 OMS720895:OMS720972 OMS786431:OMS786508 OMS851967:OMS852044 OMS917503:OMS917580 OMS983039:OMS983116 OWO2:OWO76 OWO65535:OWO65612 OWO131071:OWO131148 OWO196607:OWO196684 OWO262143:OWO262220 OWO327679:OWO327756 OWO393215:OWO393292 OWO458751:OWO458828 OWO524287:OWO524364 OWO589823:OWO589900 OWO655359:OWO655436 OWO720895:OWO720972 OWO786431:OWO786508 OWO851967:OWO852044 OWO917503:OWO917580 OWO983039:OWO983116 PGK2:PGK76 PGK65535:PGK65612 PGK131071:PGK131148 PGK196607:PGK196684 PGK262143:PGK262220 PGK327679:PGK327756 PGK393215:PGK393292 PGK458751:PGK458828 PGK524287:PGK524364 PGK589823:PGK589900 PGK655359:PGK655436 PGK720895:PGK720972 PGK786431:PGK786508 PGK851967:PGK852044 PGK917503:PGK917580 PGK983039:PGK983116 PQG2:PQG76 PQG65535:PQG65612 PQG131071:PQG131148 PQG196607:PQG196684 PQG262143:PQG262220 PQG327679:PQG327756 PQG393215:PQG393292 PQG458751:PQG458828 PQG524287:PQG524364 PQG589823:PQG589900 PQG655359:PQG655436 PQG720895:PQG720972 PQG786431:PQG786508 PQG851967:PQG852044 PQG917503:PQG917580 PQG983039:PQG983116 QAC2:QAC76 QAC65535:QAC65612 QAC131071:QAC131148 QAC196607:QAC196684 QAC262143:QAC262220 QAC327679:QAC327756 QAC393215:QAC393292 QAC458751:QAC458828 QAC524287:QAC524364 QAC589823:QAC589900 QAC655359:QAC655436 QAC720895:QAC720972 QAC786431:QAC786508 QAC851967:QAC852044 QAC917503:QAC917580 QAC983039:QAC983116 QJY2:QJY76 QJY65535:QJY65612 QJY131071:QJY131148 QJY196607:QJY196684 QJY262143:QJY262220 QJY327679:QJY327756 QJY393215:QJY393292 QJY458751:QJY458828 QJY524287:QJY524364 QJY589823:QJY589900 QJY655359:QJY655436 QJY720895:QJY720972 QJY786431:QJY786508 QJY851967:QJY852044 QJY917503:QJY917580 QJY983039:QJY983116 QTU2:QTU76 QTU65535:QTU65612 QTU131071:QTU131148 QTU196607:QTU196684 QTU262143:QTU262220 QTU327679:QTU327756 QTU393215:QTU393292 QTU458751:QTU458828 QTU524287:QTU524364 QTU589823:QTU589900 QTU655359:QTU655436 QTU720895:QTU720972 QTU786431:QTU786508 QTU851967:QTU852044 QTU917503:QTU917580 QTU983039:QTU983116 RDQ2:RDQ76 RDQ65535:RDQ65612 RDQ131071:RDQ131148 RDQ196607:RDQ196684 RDQ262143:RDQ262220 RDQ327679:RDQ327756 RDQ393215:RDQ393292 RDQ458751:RDQ458828 RDQ524287:RDQ524364 RDQ589823:RDQ589900 RDQ655359:RDQ655436 RDQ720895:RDQ720972 RDQ786431:RDQ786508 RDQ851967:RDQ852044 RDQ917503:RDQ917580 RDQ983039:RDQ983116 RNM2:RNM76 RNM65535:RNM65612 RNM131071:RNM131148 RNM196607:RNM196684 RNM262143:RNM262220 RNM327679:RNM327756 RNM393215:RNM393292 RNM458751:RNM458828 RNM524287:RNM524364 RNM589823:RNM589900 RNM655359:RNM655436 RNM720895:RNM720972 RNM786431:RNM786508 RNM851967:RNM852044 RNM917503:RNM917580 RNM983039:RNM983116 RXI2:RXI76 RXI65535:RXI65612 RXI131071:RXI131148 RXI196607:RXI196684 RXI262143:RXI262220 RXI327679:RXI327756 RXI393215:RXI393292 RXI458751:RXI458828 RXI524287:RXI524364 RXI589823:RXI589900 RXI655359:RXI655436 RXI720895:RXI720972 RXI786431:RXI786508 RXI851967:RXI852044 RXI917503:RXI917580 RXI983039:RXI983116 SHE2:SHE76 SHE65535:SHE65612 SHE131071:SHE131148 SHE196607:SHE196684 SHE262143:SHE262220 SHE327679:SHE327756 SHE393215:SHE393292 SHE458751:SHE458828 SHE524287:SHE524364 SHE589823:SHE589900 SHE655359:SHE655436 SHE720895:SHE720972 SHE786431:SHE786508 SHE851967:SHE852044 SHE917503:SHE917580 SHE983039:SHE983116 SRA2:SRA76 SRA65535:SRA65612 SRA131071:SRA131148 SRA196607:SRA196684 SRA262143:SRA262220 SRA327679:SRA327756 SRA393215:SRA393292 SRA458751:SRA458828 SRA524287:SRA524364 SRA589823:SRA589900 SRA655359:SRA655436 SRA720895:SRA720972 SRA786431:SRA786508 SRA851967:SRA852044 SRA917503:SRA917580 SRA983039:SRA983116 TAW2:TAW76 TAW65535:TAW65612 TAW131071:TAW131148 TAW196607:TAW196684 TAW262143:TAW262220 TAW327679:TAW327756 TAW393215:TAW393292 TAW458751:TAW458828 TAW524287:TAW524364 TAW589823:TAW589900 TAW655359:TAW655436 TAW720895:TAW720972 TAW786431:TAW786508 TAW851967:TAW852044 TAW917503:TAW917580 TAW983039:TAW983116 TKS2:TKS76 TKS65535:TKS65612 TKS131071:TKS131148 TKS196607:TKS196684 TKS262143:TKS262220 TKS327679:TKS327756 TKS393215:TKS393292 TKS458751:TKS458828 TKS524287:TKS524364 TKS589823:TKS589900 TKS655359:TKS655436 TKS720895:TKS720972 TKS786431:TKS786508 TKS851967:TKS852044 TKS917503:TKS917580 TKS983039:TKS983116 TUO2:TUO76 TUO65535:TUO65612 TUO131071:TUO131148 TUO196607:TUO196684 TUO262143:TUO262220 TUO327679:TUO327756 TUO393215:TUO393292 TUO458751:TUO458828 TUO524287:TUO524364 TUO589823:TUO589900 TUO655359:TUO655436 TUO720895:TUO720972 TUO786431:TUO786508 TUO851967:TUO852044 TUO917503:TUO917580 TUO983039:TUO983116 UEK2:UEK76 UEK65535:UEK65612 UEK131071:UEK131148 UEK196607:UEK196684 UEK262143:UEK262220 UEK327679:UEK327756 UEK393215:UEK393292 UEK458751:UEK458828 UEK524287:UEK524364 UEK589823:UEK589900 UEK655359:UEK655436 UEK720895:UEK720972 UEK786431:UEK786508 UEK851967:UEK852044 UEK917503:UEK917580 UEK983039:UEK983116 UOG2:UOG76 UOG65535:UOG65612 UOG131071:UOG131148 UOG196607:UOG196684 UOG262143:UOG262220 UOG327679:UOG327756 UOG393215:UOG393292 UOG458751:UOG458828 UOG524287:UOG524364 UOG589823:UOG589900 UOG655359:UOG655436 UOG720895:UOG720972 UOG786431:UOG786508 UOG851967:UOG852044 UOG917503:UOG917580 UOG983039:UOG983116 UYC2:UYC76 UYC65535:UYC65612 UYC131071:UYC131148 UYC196607:UYC196684 UYC262143:UYC262220 UYC327679:UYC327756 UYC393215:UYC393292 UYC458751:UYC458828 UYC524287:UYC524364 UYC589823:UYC589900 UYC655359:UYC655436 UYC720895:UYC720972 UYC786431:UYC786508 UYC851967:UYC852044 UYC917503:UYC917580 UYC983039:UYC983116 VHY2:VHY76 VHY65535:VHY65612 VHY131071:VHY131148 VHY196607:VHY196684 VHY262143:VHY262220 VHY327679:VHY327756 VHY393215:VHY393292 VHY458751:VHY458828 VHY524287:VHY524364 VHY589823:VHY589900 VHY655359:VHY655436 VHY720895:VHY720972 VHY786431:VHY786508 VHY851967:VHY852044 VHY917503:VHY917580 VHY983039:VHY983116 VRU2:VRU76 VRU65535:VRU65612 VRU131071:VRU131148 VRU196607:VRU196684 VRU262143:VRU262220 VRU327679:VRU327756 VRU393215:VRU393292 VRU458751:VRU458828 VRU524287:VRU524364 VRU589823:VRU589900 VRU655359:VRU655436 VRU720895:VRU720972 VRU786431:VRU786508 VRU851967:VRU852044 VRU917503:VRU917580 VRU983039:VRU983116 WBQ2:WBQ76 WBQ65535:WBQ65612 WBQ131071:WBQ131148 WBQ196607:WBQ196684 WBQ262143:WBQ262220 WBQ327679:WBQ327756 WBQ393215:WBQ393292 WBQ458751:WBQ458828 WBQ524287:WBQ524364 WBQ589823:WBQ589900 WBQ655359:WBQ655436 WBQ720895:WBQ720972 WBQ786431:WBQ786508 WBQ851967:WBQ852044 WBQ917503:WBQ917580 WBQ983039:WBQ983116 WLM2:WLM76 WLM65535:WLM65612 WLM131071:WLM131148 WLM196607:WLM196684 WLM262143:WLM262220 WLM327679:WLM327756 WLM393215:WLM393292 WLM458751:WLM458828 WLM524287:WLM524364 WLM589823:WLM589900 WLM655359:WLM655436 WLM720895:WLM720972 WLM786431:WLM786508 WLM851967:WLM852044 WLM917503:WLM917580 WLM983039:WLM983116 WVI2:WVI76 WVI65535:WVI65612 WVI131071:WVI131148 WVI196607:WVI196684 WVI262143:WVI262220 WVI327679:WVI327756 WVI393215:WVI393292 WVI458751:WVI458828 WVI524287:WVI524364 WVI589823:WVI589900 WVI655359:WVI655436 WVI720895:WVI720972 WVI786431:WVI786508 WVI851967:WVI852044 WVI917503:WVI917580 WVI983039:WVI983116" xr:uid="{AB869C63-DC8B-456A-BF48-9104567CE307}">
      <formula1>$AE$2:$AE$19</formula1>
    </dataValidation>
    <dataValidation type="list" allowBlank="1" showInputMessage="1" showErrorMessage="1" sqref="WVO983039:WVO983116 G65535:G65612 G131071:G131148 G196607:G196684 G262143:G262220 G327679:G327756 G393215:G393292 G458751:G458828 G524287:G524364 G589823:G589900 G655359:G655436 G720895:G720972 G786431:G786508 G851967:G852044 G917503:G917580 G983039:G983116 JC2:JC76 JC65535:JC65612 JC131071:JC131148 JC196607:JC196684 JC262143:JC262220 JC327679:JC327756 JC393215:JC393292 JC458751:JC458828 JC524287:JC524364 JC589823:JC589900 JC655359:JC655436 JC720895:JC720972 JC786431:JC786508 JC851967:JC852044 JC917503:JC917580 JC983039:JC983116 SY2:SY76 SY65535:SY65612 SY131071:SY131148 SY196607:SY196684 SY262143:SY262220 SY327679:SY327756 SY393215:SY393292 SY458751:SY458828 SY524287:SY524364 SY589823:SY589900 SY655359:SY655436 SY720895:SY720972 SY786431:SY786508 SY851967:SY852044 SY917503:SY917580 SY983039:SY983116 ACU2:ACU76 ACU65535:ACU65612 ACU131071:ACU131148 ACU196607:ACU196684 ACU262143:ACU262220 ACU327679:ACU327756 ACU393215:ACU393292 ACU458751:ACU458828 ACU524287:ACU524364 ACU589823:ACU589900 ACU655359:ACU655436 ACU720895:ACU720972 ACU786431:ACU786508 ACU851967:ACU852044 ACU917503:ACU917580 ACU983039:ACU983116 AMQ2:AMQ76 AMQ65535:AMQ65612 AMQ131071:AMQ131148 AMQ196607:AMQ196684 AMQ262143:AMQ262220 AMQ327679:AMQ327756 AMQ393215:AMQ393292 AMQ458751:AMQ458828 AMQ524287:AMQ524364 AMQ589823:AMQ589900 AMQ655359:AMQ655436 AMQ720895:AMQ720972 AMQ786431:AMQ786508 AMQ851967:AMQ852044 AMQ917503:AMQ917580 AMQ983039:AMQ983116 AWM2:AWM76 AWM65535:AWM65612 AWM131071:AWM131148 AWM196607:AWM196684 AWM262143:AWM262220 AWM327679:AWM327756 AWM393215:AWM393292 AWM458751:AWM458828 AWM524287:AWM524364 AWM589823:AWM589900 AWM655359:AWM655436 AWM720895:AWM720972 AWM786431:AWM786508 AWM851967:AWM852044 AWM917503:AWM917580 AWM983039:AWM983116 BGI2:BGI76 BGI65535:BGI65612 BGI131071:BGI131148 BGI196607:BGI196684 BGI262143:BGI262220 BGI327679:BGI327756 BGI393215:BGI393292 BGI458751:BGI458828 BGI524287:BGI524364 BGI589823:BGI589900 BGI655359:BGI655436 BGI720895:BGI720972 BGI786431:BGI786508 BGI851967:BGI852044 BGI917503:BGI917580 BGI983039:BGI983116 BQE2:BQE76 BQE65535:BQE65612 BQE131071:BQE131148 BQE196607:BQE196684 BQE262143:BQE262220 BQE327679:BQE327756 BQE393215:BQE393292 BQE458751:BQE458828 BQE524287:BQE524364 BQE589823:BQE589900 BQE655359:BQE655436 BQE720895:BQE720972 BQE786431:BQE786508 BQE851967:BQE852044 BQE917503:BQE917580 BQE983039:BQE983116 CAA2:CAA76 CAA65535:CAA65612 CAA131071:CAA131148 CAA196607:CAA196684 CAA262143:CAA262220 CAA327679:CAA327756 CAA393215:CAA393292 CAA458751:CAA458828 CAA524287:CAA524364 CAA589823:CAA589900 CAA655359:CAA655436 CAA720895:CAA720972 CAA786431:CAA786508 CAA851967:CAA852044 CAA917503:CAA917580 CAA983039:CAA983116 CJW2:CJW76 CJW65535:CJW65612 CJW131071:CJW131148 CJW196607:CJW196684 CJW262143:CJW262220 CJW327679:CJW327756 CJW393215:CJW393292 CJW458751:CJW458828 CJW524287:CJW524364 CJW589823:CJW589900 CJW655359:CJW655436 CJW720895:CJW720972 CJW786431:CJW786508 CJW851967:CJW852044 CJW917503:CJW917580 CJW983039:CJW983116 CTS2:CTS76 CTS65535:CTS65612 CTS131071:CTS131148 CTS196607:CTS196684 CTS262143:CTS262220 CTS327679:CTS327756 CTS393215:CTS393292 CTS458751:CTS458828 CTS524287:CTS524364 CTS589823:CTS589900 CTS655359:CTS655436 CTS720895:CTS720972 CTS786431:CTS786508 CTS851967:CTS852044 CTS917503:CTS917580 CTS983039:CTS983116 DDO2:DDO76 DDO65535:DDO65612 DDO131071:DDO131148 DDO196607:DDO196684 DDO262143:DDO262220 DDO327679:DDO327756 DDO393215:DDO393292 DDO458751:DDO458828 DDO524287:DDO524364 DDO589823:DDO589900 DDO655359:DDO655436 DDO720895:DDO720972 DDO786431:DDO786508 DDO851967:DDO852044 DDO917503:DDO917580 DDO983039:DDO983116 DNK2:DNK76 DNK65535:DNK65612 DNK131071:DNK131148 DNK196607:DNK196684 DNK262143:DNK262220 DNK327679:DNK327756 DNK393215:DNK393292 DNK458751:DNK458828 DNK524287:DNK524364 DNK589823:DNK589900 DNK655359:DNK655436 DNK720895:DNK720972 DNK786431:DNK786508 DNK851967:DNK852044 DNK917503:DNK917580 DNK983039:DNK983116 DXG2:DXG76 DXG65535:DXG65612 DXG131071:DXG131148 DXG196607:DXG196684 DXG262143:DXG262220 DXG327679:DXG327756 DXG393215:DXG393292 DXG458751:DXG458828 DXG524287:DXG524364 DXG589823:DXG589900 DXG655359:DXG655436 DXG720895:DXG720972 DXG786431:DXG786508 DXG851967:DXG852044 DXG917503:DXG917580 DXG983039:DXG983116 EHC2:EHC76 EHC65535:EHC65612 EHC131071:EHC131148 EHC196607:EHC196684 EHC262143:EHC262220 EHC327679:EHC327756 EHC393215:EHC393292 EHC458751:EHC458828 EHC524287:EHC524364 EHC589823:EHC589900 EHC655359:EHC655436 EHC720895:EHC720972 EHC786431:EHC786508 EHC851967:EHC852044 EHC917503:EHC917580 EHC983039:EHC983116 EQY2:EQY76 EQY65535:EQY65612 EQY131071:EQY131148 EQY196607:EQY196684 EQY262143:EQY262220 EQY327679:EQY327756 EQY393215:EQY393292 EQY458751:EQY458828 EQY524287:EQY524364 EQY589823:EQY589900 EQY655359:EQY655436 EQY720895:EQY720972 EQY786431:EQY786508 EQY851967:EQY852044 EQY917503:EQY917580 EQY983039:EQY983116 FAU2:FAU76 FAU65535:FAU65612 FAU131071:FAU131148 FAU196607:FAU196684 FAU262143:FAU262220 FAU327679:FAU327756 FAU393215:FAU393292 FAU458751:FAU458828 FAU524287:FAU524364 FAU589823:FAU589900 FAU655359:FAU655436 FAU720895:FAU720972 FAU786431:FAU786508 FAU851967:FAU852044 FAU917503:FAU917580 FAU983039:FAU983116 FKQ2:FKQ76 FKQ65535:FKQ65612 FKQ131071:FKQ131148 FKQ196607:FKQ196684 FKQ262143:FKQ262220 FKQ327679:FKQ327756 FKQ393215:FKQ393292 FKQ458751:FKQ458828 FKQ524287:FKQ524364 FKQ589823:FKQ589900 FKQ655359:FKQ655436 FKQ720895:FKQ720972 FKQ786431:FKQ786508 FKQ851967:FKQ852044 FKQ917503:FKQ917580 FKQ983039:FKQ983116 FUM2:FUM76 FUM65535:FUM65612 FUM131071:FUM131148 FUM196607:FUM196684 FUM262143:FUM262220 FUM327679:FUM327756 FUM393215:FUM393292 FUM458751:FUM458828 FUM524287:FUM524364 FUM589823:FUM589900 FUM655359:FUM655436 FUM720895:FUM720972 FUM786431:FUM786508 FUM851967:FUM852044 FUM917503:FUM917580 FUM983039:FUM983116 GEI2:GEI76 GEI65535:GEI65612 GEI131071:GEI131148 GEI196607:GEI196684 GEI262143:GEI262220 GEI327679:GEI327756 GEI393215:GEI393292 GEI458751:GEI458828 GEI524287:GEI524364 GEI589823:GEI589900 GEI655359:GEI655436 GEI720895:GEI720972 GEI786431:GEI786508 GEI851967:GEI852044 GEI917503:GEI917580 GEI983039:GEI983116 GOE2:GOE76 GOE65535:GOE65612 GOE131071:GOE131148 GOE196607:GOE196684 GOE262143:GOE262220 GOE327679:GOE327756 GOE393215:GOE393292 GOE458751:GOE458828 GOE524287:GOE524364 GOE589823:GOE589900 GOE655359:GOE655436 GOE720895:GOE720972 GOE786431:GOE786508 GOE851967:GOE852044 GOE917503:GOE917580 GOE983039:GOE983116 GYA2:GYA76 GYA65535:GYA65612 GYA131071:GYA131148 GYA196607:GYA196684 GYA262143:GYA262220 GYA327679:GYA327756 GYA393215:GYA393292 GYA458751:GYA458828 GYA524287:GYA524364 GYA589823:GYA589900 GYA655359:GYA655436 GYA720895:GYA720972 GYA786431:GYA786508 GYA851967:GYA852044 GYA917503:GYA917580 GYA983039:GYA983116 HHW2:HHW76 HHW65535:HHW65612 HHW131071:HHW131148 HHW196607:HHW196684 HHW262143:HHW262220 HHW327679:HHW327756 HHW393215:HHW393292 HHW458751:HHW458828 HHW524287:HHW524364 HHW589823:HHW589900 HHW655359:HHW655436 HHW720895:HHW720972 HHW786431:HHW786508 HHW851967:HHW852044 HHW917503:HHW917580 HHW983039:HHW983116 HRS2:HRS76 HRS65535:HRS65612 HRS131071:HRS131148 HRS196607:HRS196684 HRS262143:HRS262220 HRS327679:HRS327756 HRS393215:HRS393292 HRS458751:HRS458828 HRS524287:HRS524364 HRS589823:HRS589900 HRS655359:HRS655436 HRS720895:HRS720972 HRS786431:HRS786508 HRS851967:HRS852044 HRS917503:HRS917580 HRS983039:HRS983116 IBO2:IBO76 IBO65535:IBO65612 IBO131071:IBO131148 IBO196607:IBO196684 IBO262143:IBO262220 IBO327679:IBO327756 IBO393215:IBO393292 IBO458751:IBO458828 IBO524287:IBO524364 IBO589823:IBO589900 IBO655359:IBO655436 IBO720895:IBO720972 IBO786431:IBO786508 IBO851967:IBO852044 IBO917503:IBO917580 IBO983039:IBO983116 ILK2:ILK76 ILK65535:ILK65612 ILK131071:ILK131148 ILK196607:ILK196684 ILK262143:ILK262220 ILK327679:ILK327756 ILK393215:ILK393292 ILK458751:ILK458828 ILK524287:ILK524364 ILK589823:ILK589900 ILK655359:ILK655436 ILK720895:ILK720972 ILK786431:ILK786508 ILK851967:ILK852044 ILK917503:ILK917580 ILK983039:ILK983116 IVG2:IVG76 IVG65535:IVG65612 IVG131071:IVG131148 IVG196607:IVG196684 IVG262143:IVG262220 IVG327679:IVG327756 IVG393215:IVG393292 IVG458751:IVG458828 IVG524287:IVG524364 IVG589823:IVG589900 IVG655359:IVG655436 IVG720895:IVG720972 IVG786431:IVG786508 IVG851967:IVG852044 IVG917503:IVG917580 IVG983039:IVG983116 JFC2:JFC76 JFC65535:JFC65612 JFC131071:JFC131148 JFC196607:JFC196684 JFC262143:JFC262220 JFC327679:JFC327756 JFC393215:JFC393292 JFC458751:JFC458828 JFC524287:JFC524364 JFC589823:JFC589900 JFC655359:JFC655436 JFC720895:JFC720972 JFC786431:JFC786508 JFC851967:JFC852044 JFC917503:JFC917580 JFC983039:JFC983116 JOY2:JOY76 JOY65535:JOY65612 JOY131071:JOY131148 JOY196607:JOY196684 JOY262143:JOY262220 JOY327679:JOY327756 JOY393215:JOY393292 JOY458751:JOY458828 JOY524287:JOY524364 JOY589823:JOY589900 JOY655359:JOY655436 JOY720895:JOY720972 JOY786431:JOY786508 JOY851967:JOY852044 JOY917503:JOY917580 JOY983039:JOY983116 JYU2:JYU76 JYU65535:JYU65612 JYU131071:JYU131148 JYU196607:JYU196684 JYU262143:JYU262220 JYU327679:JYU327756 JYU393215:JYU393292 JYU458751:JYU458828 JYU524287:JYU524364 JYU589823:JYU589900 JYU655359:JYU655436 JYU720895:JYU720972 JYU786431:JYU786508 JYU851967:JYU852044 JYU917503:JYU917580 JYU983039:JYU983116 KIQ2:KIQ76 KIQ65535:KIQ65612 KIQ131071:KIQ131148 KIQ196607:KIQ196684 KIQ262143:KIQ262220 KIQ327679:KIQ327756 KIQ393215:KIQ393292 KIQ458751:KIQ458828 KIQ524287:KIQ524364 KIQ589823:KIQ589900 KIQ655359:KIQ655436 KIQ720895:KIQ720972 KIQ786431:KIQ786508 KIQ851967:KIQ852044 KIQ917503:KIQ917580 KIQ983039:KIQ983116 KSM2:KSM76 KSM65535:KSM65612 KSM131071:KSM131148 KSM196607:KSM196684 KSM262143:KSM262220 KSM327679:KSM327756 KSM393215:KSM393292 KSM458751:KSM458828 KSM524287:KSM524364 KSM589823:KSM589900 KSM655359:KSM655436 KSM720895:KSM720972 KSM786431:KSM786508 KSM851967:KSM852044 KSM917503:KSM917580 KSM983039:KSM983116 LCI2:LCI76 LCI65535:LCI65612 LCI131071:LCI131148 LCI196607:LCI196684 LCI262143:LCI262220 LCI327679:LCI327756 LCI393215:LCI393292 LCI458751:LCI458828 LCI524287:LCI524364 LCI589823:LCI589900 LCI655359:LCI655436 LCI720895:LCI720972 LCI786431:LCI786508 LCI851967:LCI852044 LCI917503:LCI917580 LCI983039:LCI983116 LME2:LME76 LME65535:LME65612 LME131071:LME131148 LME196607:LME196684 LME262143:LME262220 LME327679:LME327756 LME393215:LME393292 LME458751:LME458828 LME524287:LME524364 LME589823:LME589900 LME655359:LME655436 LME720895:LME720972 LME786431:LME786508 LME851967:LME852044 LME917503:LME917580 LME983039:LME983116 LWA2:LWA76 LWA65535:LWA65612 LWA131071:LWA131148 LWA196607:LWA196684 LWA262143:LWA262220 LWA327679:LWA327756 LWA393215:LWA393292 LWA458751:LWA458828 LWA524287:LWA524364 LWA589823:LWA589900 LWA655359:LWA655436 LWA720895:LWA720972 LWA786431:LWA786508 LWA851967:LWA852044 LWA917503:LWA917580 LWA983039:LWA983116 MFW2:MFW76 MFW65535:MFW65612 MFW131071:MFW131148 MFW196607:MFW196684 MFW262143:MFW262220 MFW327679:MFW327756 MFW393215:MFW393292 MFW458751:MFW458828 MFW524287:MFW524364 MFW589823:MFW589900 MFW655359:MFW655436 MFW720895:MFW720972 MFW786431:MFW786508 MFW851967:MFW852044 MFW917503:MFW917580 MFW983039:MFW983116 MPS2:MPS76 MPS65535:MPS65612 MPS131071:MPS131148 MPS196607:MPS196684 MPS262143:MPS262220 MPS327679:MPS327756 MPS393215:MPS393292 MPS458751:MPS458828 MPS524287:MPS524364 MPS589823:MPS589900 MPS655359:MPS655436 MPS720895:MPS720972 MPS786431:MPS786508 MPS851967:MPS852044 MPS917503:MPS917580 MPS983039:MPS983116 MZO2:MZO76 MZO65535:MZO65612 MZO131071:MZO131148 MZO196607:MZO196684 MZO262143:MZO262220 MZO327679:MZO327756 MZO393215:MZO393292 MZO458751:MZO458828 MZO524287:MZO524364 MZO589823:MZO589900 MZO655359:MZO655436 MZO720895:MZO720972 MZO786431:MZO786508 MZO851967:MZO852044 MZO917503:MZO917580 MZO983039:MZO983116 NJK2:NJK76 NJK65535:NJK65612 NJK131071:NJK131148 NJK196607:NJK196684 NJK262143:NJK262220 NJK327679:NJK327756 NJK393215:NJK393292 NJK458751:NJK458828 NJK524287:NJK524364 NJK589823:NJK589900 NJK655359:NJK655436 NJK720895:NJK720972 NJK786431:NJK786508 NJK851967:NJK852044 NJK917503:NJK917580 NJK983039:NJK983116 NTG2:NTG76 NTG65535:NTG65612 NTG131071:NTG131148 NTG196607:NTG196684 NTG262143:NTG262220 NTG327679:NTG327756 NTG393215:NTG393292 NTG458751:NTG458828 NTG524287:NTG524364 NTG589823:NTG589900 NTG655359:NTG655436 NTG720895:NTG720972 NTG786431:NTG786508 NTG851967:NTG852044 NTG917503:NTG917580 NTG983039:NTG983116 ODC2:ODC76 ODC65535:ODC65612 ODC131071:ODC131148 ODC196607:ODC196684 ODC262143:ODC262220 ODC327679:ODC327756 ODC393215:ODC393292 ODC458751:ODC458828 ODC524287:ODC524364 ODC589823:ODC589900 ODC655359:ODC655436 ODC720895:ODC720972 ODC786431:ODC786508 ODC851967:ODC852044 ODC917503:ODC917580 ODC983039:ODC983116 OMY2:OMY76 OMY65535:OMY65612 OMY131071:OMY131148 OMY196607:OMY196684 OMY262143:OMY262220 OMY327679:OMY327756 OMY393215:OMY393292 OMY458751:OMY458828 OMY524287:OMY524364 OMY589823:OMY589900 OMY655359:OMY655436 OMY720895:OMY720972 OMY786431:OMY786508 OMY851967:OMY852044 OMY917503:OMY917580 OMY983039:OMY983116 OWU2:OWU76 OWU65535:OWU65612 OWU131071:OWU131148 OWU196607:OWU196684 OWU262143:OWU262220 OWU327679:OWU327756 OWU393215:OWU393292 OWU458751:OWU458828 OWU524287:OWU524364 OWU589823:OWU589900 OWU655359:OWU655436 OWU720895:OWU720972 OWU786431:OWU786508 OWU851967:OWU852044 OWU917503:OWU917580 OWU983039:OWU983116 PGQ2:PGQ76 PGQ65535:PGQ65612 PGQ131071:PGQ131148 PGQ196607:PGQ196684 PGQ262143:PGQ262220 PGQ327679:PGQ327756 PGQ393215:PGQ393292 PGQ458751:PGQ458828 PGQ524287:PGQ524364 PGQ589823:PGQ589900 PGQ655359:PGQ655436 PGQ720895:PGQ720972 PGQ786431:PGQ786508 PGQ851967:PGQ852044 PGQ917503:PGQ917580 PGQ983039:PGQ983116 PQM2:PQM76 PQM65535:PQM65612 PQM131071:PQM131148 PQM196607:PQM196684 PQM262143:PQM262220 PQM327679:PQM327756 PQM393215:PQM393292 PQM458751:PQM458828 PQM524287:PQM524364 PQM589823:PQM589900 PQM655359:PQM655436 PQM720895:PQM720972 PQM786431:PQM786508 PQM851967:PQM852044 PQM917503:PQM917580 PQM983039:PQM983116 QAI2:QAI76 QAI65535:QAI65612 QAI131071:QAI131148 QAI196607:QAI196684 QAI262143:QAI262220 QAI327679:QAI327756 QAI393215:QAI393292 QAI458751:QAI458828 QAI524287:QAI524364 QAI589823:QAI589900 QAI655359:QAI655436 QAI720895:QAI720972 QAI786431:QAI786508 QAI851967:QAI852044 QAI917503:QAI917580 QAI983039:QAI983116 QKE2:QKE76 QKE65535:QKE65612 QKE131071:QKE131148 QKE196607:QKE196684 QKE262143:QKE262220 QKE327679:QKE327756 QKE393215:QKE393292 QKE458751:QKE458828 QKE524287:QKE524364 QKE589823:QKE589900 QKE655359:QKE655436 QKE720895:QKE720972 QKE786431:QKE786508 QKE851967:QKE852044 QKE917503:QKE917580 QKE983039:QKE983116 QUA2:QUA76 QUA65535:QUA65612 QUA131071:QUA131148 QUA196607:QUA196684 QUA262143:QUA262220 QUA327679:QUA327756 QUA393215:QUA393292 QUA458751:QUA458828 QUA524287:QUA524364 QUA589823:QUA589900 QUA655359:QUA655436 QUA720895:QUA720972 QUA786431:QUA786508 QUA851967:QUA852044 QUA917503:QUA917580 QUA983039:QUA983116 RDW2:RDW76 RDW65535:RDW65612 RDW131071:RDW131148 RDW196607:RDW196684 RDW262143:RDW262220 RDW327679:RDW327756 RDW393215:RDW393292 RDW458751:RDW458828 RDW524287:RDW524364 RDW589823:RDW589900 RDW655359:RDW655436 RDW720895:RDW720972 RDW786431:RDW786508 RDW851967:RDW852044 RDW917503:RDW917580 RDW983039:RDW983116 RNS2:RNS76 RNS65535:RNS65612 RNS131071:RNS131148 RNS196607:RNS196684 RNS262143:RNS262220 RNS327679:RNS327756 RNS393215:RNS393292 RNS458751:RNS458828 RNS524287:RNS524364 RNS589823:RNS589900 RNS655359:RNS655436 RNS720895:RNS720972 RNS786431:RNS786508 RNS851967:RNS852044 RNS917503:RNS917580 RNS983039:RNS983116 RXO2:RXO76 RXO65535:RXO65612 RXO131071:RXO131148 RXO196607:RXO196684 RXO262143:RXO262220 RXO327679:RXO327756 RXO393215:RXO393292 RXO458751:RXO458828 RXO524287:RXO524364 RXO589823:RXO589900 RXO655359:RXO655436 RXO720895:RXO720972 RXO786431:RXO786508 RXO851967:RXO852044 RXO917503:RXO917580 RXO983039:RXO983116 SHK2:SHK76 SHK65535:SHK65612 SHK131071:SHK131148 SHK196607:SHK196684 SHK262143:SHK262220 SHK327679:SHK327756 SHK393215:SHK393292 SHK458751:SHK458828 SHK524287:SHK524364 SHK589823:SHK589900 SHK655359:SHK655436 SHK720895:SHK720972 SHK786431:SHK786508 SHK851967:SHK852044 SHK917503:SHK917580 SHK983039:SHK983116 SRG2:SRG76 SRG65535:SRG65612 SRG131071:SRG131148 SRG196607:SRG196684 SRG262143:SRG262220 SRG327679:SRG327756 SRG393215:SRG393292 SRG458751:SRG458828 SRG524287:SRG524364 SRG589823:SRG589900 SRG655359:SRG655436 SRG720895:SRG720972 SRG786431:SRG786508 SRG851967:SRG852044 SRG917503:SRG917580 SRG983039:SRG983116 TBC2:TBC76 TBC65535:TBC65612 TBC131071:TBC131148 TBC196607:TBC196684 TBC262143:TBC262220 TBC327679:TBC327756 TBC393215:TBC393292 TBC458751:TBC458828 TBC524287:TBC524364 TBC589823:TBC589900 TBC655359:TBC655436 TBC720895:TBC720972 TBC786431:TBC786508 TBC851967:TBC852044 TBC917503:TBC917580 TBC983039:TBC983116 TKY2:TKY76 TKY65535:TKY65612 TKY131071:TKY131148 TKY196607:TKY196684 TKY262143:TKY262220 TKY327679:TKY327756 TKY393215:TKY393292 TKY458751:TKY458828 TKY524287:TKY524364 TKY589823:TKY589900 TKY655359:TKY655436 TKY720895:TKY720972 TKY786431:TKY786508 TKY851967:TKY852044 TKY917503:TKY917580 TKY983039:TKY983116 TUU2:TUU76 TUU65535:TUU65612 TUU131071:TUU131148 TUU196607:TUU196684 TUU262143:TUU262220 TUU327679:TUU327756 TUU393215:TUU393292 TUU458751:TUU458828 TUU524287:TUU524364 TUU589823:TUU589900 TUU655359:TUU655436 TUU720895:TUU720972 TUU786431:TUU786508 TUU851967:TUU852044 TUU917503:TUU917580 TUU983039:TUU983116 UEQ2:UEQ76 UEQ65535:UEQ65612 UEQ131071:UEQ131148 UEQ196607:UEQ196684 UEQ262143:UEQ262220 UEQ327679:UEQ327756 UEQ393215:UEQ393292 UEQ458751:UEQ458828 UEQ524287:UEQ524364 UEQ589823:UEQ589900 UEQ655359:UEQ655436 UEQ720895:UEQ720972 UEQ786431:UEQ786508 UEQ851967:UEQ852044 UEQ917503:UEQ917580 UEQ983039:UEQ983116 UOM2:UOM76 UOM65535:UOM65612 UOM131071:UOM131148 UOM196607:UOM196684 UOM262143:UOM262220 UOM327679:UOM327756 UOM393215:UOM393292 UOM458751:UOM458828 UOM524287:UOM524364 UOM589823:UOM589900 UOM655359:UOM655436 UOM720895:UOM720972 UOM786431:UOM786508 UOM851967:UOM852044 UOM917503:UOM917580 UOM983039:UOM983116 UYI2:UYI76 UYI65535:UYI65612 UYI131071:UYI131148 UYI196607:UYI196684 UYI262143:UYI262220 UYI327679:UYI327756 UYI393215:UYI393292 UYI458751:UYI458828 UYI524287:UYI524364 UYI589823:UYI589900 UYI655359:UYI655436 UYI720895:UYI720972 UYI786431:UYI786508 UYI851967:UYI852044 UYI917503:UYI917580 UYI983039:UYI983116 VIE2:VIE76 VIE65535:VIE65612 VIE131071:VIE131148 VIE196607:VIE196684 VIE262143:VIE262220 VIE327679:VIE327756 VIE393215:VIE393292 VIE458751:VIE458828 VIE524287:VIE524364 VIE589823:VIE589900 VIE655359:VIE655436 VIE720895:VIE720972 VIE786431:VIE786508 VIE851967:VIE852044 VIE917503:VIE917580 VIE983039:VIE983116 VSA2:VSA76 VSA65535:VSA65612 VSA131071:VSA131148 VSA196607:VSA196684 VSA262143:VSA262220 VSA327679:VSA327756 VSA393215:VSA393292 VSA458751:VSA458828 VSA524287:VSA524364 VSA589823:VSA589900 VSA655359:VSA655436 VSA720895:VSA720972 VSA786431:VSA786508 VSA851967:VSA852044 VSA917503:VSA917580 VSA983039:VSA983116 WBW2:WBW76 WBW65535:WBW65612 WBW131071:WBW131148 WBW196607:WBW196684 WBW262143:WBW262220 WBW327679:WBW327756 WBW393215:WBW393292 WBW458751:WBW458828 WBW524287:WBW524364 WBW589823:WBW589900 WBW655359:WBW655436 WBW720895:WBW720972 WBW786431:WBW786508 WBW851967:WBW852044 WBW917503:WBW917580 WBW983039:WBW983116 WLS2:WLS76 WLS65535:WLS65612 WLS131071:WLS131148 WLS196607:WLS196684 WLS262143:WLS262220 WLS327679:WLS327756 WLS393215:WLS393292 WLS458751:WLS458828 WLS524287:WLS524364 WLS589823:WLS589900 WLS655359:WLS655436 WLS720895:WLS720972 WLS786431:WLS786508 WLS851967:WLS852044 WLS917503:WLS917580 WLS983039:WLS983116 WVO2:WVO76 WVO65535:WVO65612 WVO131071:WVO131148 WVO196607:WVO196684 WVO262143:WVO262220 WVO327679:WVO327756 WVO393215:WVO393292 WVO458751:WVO458828 WVO524287:WVO524364 WVO589823:WVO589900 WVO655359:WVO655436 WVO720895:WVO720972 WVO786431:WVO786508 WVO851967:WVO852044 WVO917503:WVO917580 G2:G497" xr:uid="{AB217D57-BFF1-4E79-9907-0A78A89B91F7}">
      <formula1>$AJ$2:$AJ$4</formula1>
    </dataValidation>
    <dataValidation type="list" allowBlank="1" showInputMessage="1" showErrorMessage="1" sqref="K2:K997" xr:uid="{0A4C8035-065D-424F-8443-C31122FCEB7F}">
      <formula1>$AR$2:$AR$28</formula1>
    </dataValidation>
    <dataValidation type="list" allowBlank="1" showInputMessage="1" showErrorMessage="1" sqref="J2:J997" xr:uid="{19A53AF7-7FCA-421B-9D57-BC0F75CBDB64}">
      <formula1>$AP$2:$AP$29</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5 IX65535 ST65535 ACP65535 AML65535 AWH65535 BGD65535 BPZ65535 BZV65535 CJR65535 CTN65535 DDJ65535 DNF65535 DXB65535 EGX65535 EQT65535 FAP65535 FKL65535 FUH65535 GED65535 GNZ65535 GXV65535 HHR65535 HRN65535 IBJ65535 ILF65535 IVB65535 JEX65535 JOT65535 JYP65535 KIL65535 KSH65535 LCD65535 LLZ65535 LVV65535 MFR65535 MPN65535 MZJ65535 NJF65535 NTB65535 OCX65535 OMT65535 OWP65535 PGL65535 PQH65535 QAD65535 QJZ65535 QTV65535 RDR65535 RNN65535 RXJ65535 SHF65535 SRB65535 TAX65535 TKT65535 TUP65535 UEL65535 UOH65535 UYD65535 VHZ65535 VRV65535 WBR65535 WLN65535 WVJ65535 B131071 IX131071 ST131071 ACP131071 AML131071 AWH131071 BGD131071 BPZ131071 BZV131071 CJR131071 CTN131071 DDJ131071 DNF131071 DXB131071 EGX131071 EQT131071 FAP131071 FKL131071 FUH131071 GED131071 GNZ131071 GXV131071 HHR131071 HRN131071 IBJ131071 ILF131071 IVB131071 JEX131071 JOT131071 JYP131071 KIL131071 KSH131071 LCD131071 LLZ131071 LVV131071 MFR131071 MPN131071 MZJ131071 NJF131071 NTB131071 OCX131071 OMT131071 OWP131071 PGL131071 PQH131071 QAD131071 QJZ131071 QTV131071 RDR131071 RNN131071 RXJ131071 SHF131071 SRB131071 TAX131071 TKT131071 TUP131071 UEL131071 UOH131071 UYD131071 VHZ131071 VRV131071 WBR131071 WLN131071 WVJ131071 B196607 IX196607 ST196607 ACP196607 AML196607 AWH196607 BGD196607 BPZ196607 BZV196607 CJR196607 CTN196607 DDJ196607 DNF196607 DXB196607 EGX196607 EQT196607 FAP196607 FKL196607 FUH196607 GED196607 GNZ196607 GXV196607 HHR196607 HRN196607 IBJ196607 ILF196607 IVB196607 JEX196607 JOT196607 JYP196607 KIL196607 KSH196607 LCD196607 LLZ196607 LVV196607 MFR196607 MPN196607 MZJ196607 NJF196607 NTB196607 OCX196607 OMT196607 OWP196607 PGL196607 PQH196607 QAD196607 QJZ196607 QTV196607 RDR196607 RNN196607 RXJ196607 SHF196607 SRB196607 TAX196607 TKT196607 TUP196607 UEL196607 UOH196607 UYD196607 VHZ196607 VRV196607 WBR196607 WLN196607 WVJ196607 B262143 IX262143 ST262143 ACP262143 AML262143 AWH262143 BGD262143 BPZ262143 BZV262143 CJR262143 CTN262143 DDJ262143 DNF262143 DXB262143 EGX262143 EQT262143 FAP262143 FKL262143 FUH262143 GED262143 GNZ262143 GXV262143 HHR262143 HRN262143 IBJ262143 ILF262143 IVB262143 JEX262143 JOT262143 JYP262143 KIL262143 KSH262143 LCD262143 LLZ262143 LVV262143 MFR262143 MPN262143 MZJ262143 NJF262143 NTB262143 OCX262143 OMT262143 OWP262143 PGL262143 PQH262143 QAD262143 QJZ262143 QTV262143 RDR262143 RNN262143 RXJ262143 SHF262143 SRB262143 TAX262143 TKT262143 TUP262143 UEL262143 UOH262143 UYD262143 VHZ262143 VRV262143 WBR262143 WLN262143 WVJ262143 B327679 IX327679 ST327679 ACP327679 AML327679 AWH327679 BGD327679 BPZ327679 BZV327679 CJR327679 CTN327679 DDJ327679 DNF327679 DXB327679 EGX327679 EQT327679 FAP327679 FKL327679 FUH327679 GED327679 GNZ327679 GXV327679 HHR327679 HRN327679 IBJ327679 ILF327679 IVB327679 JEX327679 JOT327679 JYP327679 KIL327679 KSH327679 LCD327679 LLZ327679 LVV327679 MFR327679 MPN327679 MZJ327679 NJF327679 NTB327679 OCX327679 OMT327679 OWP327679 PGL327679 PQH327679 QAD327679 QJZ327679 QTV327679 RDR327679 RNN327679 RXJ327679 SHF327679 SRB327679 TAX327679 TKT327679 TUP327679 UEL327679 UOH327679 UYD327679 VHZ327679 VRV327679 WBR327679 WLN327679 WVJ327679 B393215 IX393215 ST393215 ACP393215 AML393215 AWH393215 BGD393215 BPZ393215 BZV393215 CJR393215 CTN393215 DDJ393215 DNF393215 DXB393215 EGX393215 EQT393215 FAP393215 FKL393215 FUH393215 GED393215 GNZ393215 GXV393215 HHR393215 HRN393215 IBJ393215 ILF393215 IVB393215 JEX393215 JOT393215 JYP393215 KIL393215 KSH393215 LCD393215 LLZ393215 LVV393215 MFR393215 MPN393215 MZJ393215 NJF393215 NTB393215 OCX393215 OMT393215 OWP393215 PGL393215 PQH393215 QAD393215 QJZ393215 QTV393215 RDR393215 RNN393215 RXJ393215 SHF393215 SRB393215 TAX393215 TKT393215 TUP393215 UEL393215 UOH393215 UYD393215 VHZ393215 VRV393215 WBR393215 WLN393215 WVJ393215 B458751 IX458751 ST458751 ACP458751 AML458751 AWH458751 BGD458751 BPZ458751 BZV458751 CJR458751 CTN458751 DDJ458751 DNF458751 DXB458751 EGX458751 EQT458751 FAP458751 FKL458751 FUH458751 GED458751 GNZ458751 GXV458751 HHR458751 HRN458751 IBJ458751 ILF458751 IVB458751 JEX458751 JOT458751 JYP458751 KIL458751 KSH458751 LCD458751 LLZ458751 LVV458751 MFR458751 MPN458751 MZJ458751 NJF458751 NTB458751 OCX458751 OMT458751 OWP458751 PGL458751 PQH458751 QAD458751 QJZ458751 QTV458751 RDR458751 RNN458751 RXJ458751 SHF458751 SRB458751 TAX458751 TKT458751 TUP458751 UEL458751 UOH458751 UYD458751 VHZ458751 VRV458751 WBR458751 WLN458751 WVJ458751 B524287 IX524287 ST524287 ACP524287 AML524287 AWH524287 BGD524287 BPZ524287 BZV524287 CJR524287 CTN524287 DDJ524287 DNF524287 DXB524287 EGX524287 EQT524287 FAP524287 FKL524287 FUH524287 GED524287 GNZ524287 GXV524287 HHR524287 HRN524287 IBJ524287 ILF524287 IVB524287 JEX524287 JOT524287 JYP524287 KIL524287 KSH524287 LCD524287 LLZ524287 LVV524287 MFR524287 MPN524287 MZJ524287 NJF524287 NTB524287 OCX524287 OMT524287 OWP524287 PGL524287 PQH524287 QAD524287 QJZ524287 QTV524287 RDR524287 RNN524287 RXJ524287 SHF524287 SRB524287 TAX524287 TKT524287 TUP524287 UEL524287 UOH524287 UYD524287 VHZ524287 VRV524287 WBR524287 WLN524287 WVJ524287 B589823 IX589823 ST589823 ACP589823 AML589823 AWH589823 BGD589823 BPZ589823 BZV589823 CJR589823 CTN589823 DDJ589823 DNF589823 DXB589823 EGX589823 EQT589823 FAP589823 FKL589823 FUH589823 GED589823 GNZ589823 GXV589823 HHR589823 HRN589823 IBJ589823 ILF589823 IVB589823 JEX589823 JOT589823 JYP589823 KIL589823 KSH589823 LCD589823 LLZ589823 LVV589823 MFR589823 MPN589823 MZJ589823 NJF589823 NTB589823 OCX589823 OMT589823 OWP589823 PGL589823 PQH589823 QAD589823 QJZ589823 QTV589823 RDR589823 RNN589823 RXJ589823 SHF589823 SRB589823 TAX589823 TKT589823 TUP589823 UEL589823 UOH589823 UYD589823 VHZ589823 VRV589823 WBR589823 WLN589823 WVJ589823 B655359 IX655359 ST655359 ACP655359 AML655359 AWH655359 BGD655359 BPZ655359 BZV655359 CJR655359 CTN655359 DDJ655359 DNF655359 DXB655359 EGX655359 EQT655359 FAP655359 FKL655359 FUH655359 GED655359 GNZ655359 GXV655359 HHR655359 HRN655359 IBJ655359 ILF655359 IVB655359 JEX655359 JOT655359 JYP655359 KIL655359 KSH655359 LCD655359 LLZ655359 LVV655359 MFR655359 MPN655359 MZJ655359 NJF655359 NTB655359 OCX655359 OMT655359 OWP655359 PGL655359 PQH655359 QAD655359 QJZ655359 QTV655359 RDR655359 RNN655359 RXJ655359 SHF655359 SRB655359 TAX655359 TKT655359 TUP655359 UEL655359 UOH655359 UYD655359 VHZ655359 VRV655359 WBR655359 WLN655359 WVJ655359 B720895 IX720895 ST720895 ACP720895 AML720895 AWH720895 BGD720895 BPZ720895 BZV720895 CJR720895 CTN720895 DDJ720895 DNF720895 DXB720895 EGX720895 EQT720895 FAP720895 FKL720895 FUH720895 GED720895 GNZ720895 GXV720895 HHR720895 HRN720895 IBJ720895 ILF720895 IVB720895 JEX720895 JOT720895 JYP720895 KIL720895 KSH720895 LCD720895 LLZ720895 LVV720895 MFR720895 MPN720895 MZJ720895 NJF720895 NTB720895 OCX720895 OMT720895 OWP720895 PGL720895 PQH720895 QAD720895 QJZ720895 QTV720895 RDR720895 RNN720895 RXJ720895 SHF720895 SRB720895 TAX720895 TKT720895 TUP720895 UEL720895 UOH720895 UYD720895 VHZ720895 VRV720895 WBR720895 WLN720895 WVJ720895 B786431 IX786431 ST786431 ACP786431 AML786431 AWH786431 BGD786431 BPZ786431 BZV786431 CJR786431 CTN786431 DDJ786431 DNF786431 DXB786431 EGX786431 EQT786431 FAP786431 FKL786431 FUH786431 GED786431 GNZ786431 GXV786431 HHR786431 HRN786431 IBJ786431 ILF786431 IVB786431 JEX786431 JOT786431 JYP786431 KIL786431 KSH786431 LCD786431 LLZ786431 LVV786431 MFR786431 MPN786431 MZJ786431 NJF786431 NTB786431 OCX786431 OMT786431 OWP786431 PGL786431 PQH786431 QAD786431 QJZ786431 QTV786431 RDR786431 RNN786431 RXJ786431 SHF786431 SRB786431 TAX786431 TKT786431 TUP786431 UEL786431 UOH786431 UYD786431 VHZ786431 VRV786431 WBR786431 WLN786431 WVJ786431 B851967 IX851967 ST851967 ACP851967 AML851967 AWH851967 BGD851967 BPZ851967 BZV851967 CJR851967 CTN851967 DDJ851967 DNF851967 DXB851967 EGX851967 EQT851967 FAP851967 FKL851967 FUH851967 GED851967 GNZ851967 GXV851967 HHR851967 HRN851967 IBJ851967 ILF851967 IVB851967 JEX851967 JOT851967 JYP851967 KIL851967 KSH851967 LCD851967 LLZ851967 LVV851967 MFR851967 MPN851967 MZJ851967 NJF851967 NTB851967 OCX851967 OMT851967 OWP851967 PGL851967 PQH851967 QAD851967 QJZ851967 QTV851967 RDR851967 RNN851967 RXJ851967 SHF851967 SRB851967 TAX851967 TKT851967 TUP851967 UEL851967 UOH851967 UYD851967 VHZ851967 VRV851967 WBR851967 WLN851967 WVJ851967 B917503 IX917503 ST917503 ACP917503 AML917503 AWH917503 BGD917503 BPZ917503 BZV917503 CJR917503 CTN917503 DDJ917503 DNF917503 DXB917503 EGX917503 EQT917503 FAP917503 FKL917503 FUH917503 GED917503 GNZ917503 GXV917503 HHR917503 HRN917503 IBJ917503 ILF917503 IVB917503 JEX917503 JOT917503 JYP917503 KIL917503 KSH917503 LCD917503 LLZ917503 LVV917503 MFR917503 MPN917503 MZJ917503 NJF917503 NTB917503 OCX917503 OMT917503 OWP917503 PGL917503 PQH917503 QAD917503 QJZ917503 QTV917503 RDR917503 RNN917503 RXJ917503 SHF917503 SRB917503 TAX917503 TKT917503 TUP917503 UEL917503 UOH917503 UYD917503 VHZ917503 VRV917503 WBR917503 WLN917503 WVJ917503 B983039 IX983039 ST983039 ACP983039 AML983039 AWH983039 BGD983039 BPZ983039 BZV983039 CJR983039 CTN983039 DDJ983039 DNF983039 DXB983039 EGX983039 EQT983039 FAP983039 FKL983039 FUH983039 GED983039 GNZ983039 GXV983039 HHR983039 HRN983039 IBJ983039 ILF983039 IVB983039 JEX983039 JOT983039 JYP983039 KIL983039 KSH983039 LCD983039 LLZ983039 LVV983039 MFR983039 MPN983039 MZJ983039 NJF983039 NTB983039 OCX983039 OMT983039 OWP983039 PGL983039 PQH983039 QAD983039 QJZ983039 QTV983039 RDR983039 RNN983039 RXJ983039 SHF983039 SRB983039 TAX983039 TKT983039 TUP983039 UEL983039 UOH983039 UYD983039 VHZ983039 VRV983039 WBR983039 WLN983039 WVJ983039 B2:B166" xr:uid="{67F46F94-77D6-46BA-878C-B920D011232D}"/>
    <dataValidation type="list" allowBlank="1" showInputMessage="1" showErrorMessage="1" sqref="E2:E729 E65535:E65612 E131071:E131148 E196607:E196684 E262143:E262220 E327679:E327756 E393215:E393292 E458751:E458828 E524287:E524364 E589823:E589900 E655359:E655436 E720895:E720972 E786431:E786508 E851967:E852044 E917503:E917580 E983039:E983116 JA2:JA76 JA65535:JA65612 JA131071:JA131148 JA196607:JA196684 JA262143:JA262220 JA327679:JA327756 JA393215:JA393292 JA458751:JA458828 JA524287:JA524364 JA589823:JA589900 JA655359:JA655436 JA720895:JA720972 JA786431:JA786508 JA851967:JA852044 JA917503:JA917580 JA983039:JA983116 SW2:SW76 SW65535:SW65612 SW131071:SW131148 SW196607:SW196684 SW262143:SW262220 SW327679:SW327756 SW393215:SW393292 SW458751:SW458828 SW524287:SW524364 SW589823:SW589900 SW655359:SW655436 SW720895:SW720972 SW786431:SW786508 SW851967:SW852044 SW917503:SW917580 SW983039:SW983116 ACS2:ACS76 ACS65535:ACS65612 ACS131071:ACS131148 ACS196607:ACS196684 ACS262143:ACS262220 ACS327679:ACS327756 ACS393215:ACS393292 ACS458751:ACS458828 ACS524287:ACS524364 ACS589823:ACS589900 ACS655359:ACS655436 ACS720895:ACS720972 ACS786431:ACS786508 ACS851967:ACS852044 ACS917503:ACS917580 ACS983039:ACS983116 AMO2:AMO76 AMO65535:AMO65612 AMO131071:AMO131148 AMO196607:AMO196684 AMO262143:AMO262220 AMO327679:AMO327756 AMO393215:AMO393292 AMO458751:AMO458828 AMO524287:AMO524364 AMO589823:AMO589900 AMO655359:AMO655436 AMO720895:AMO720972 AMO786431:AMO786508 AMO851967:AMO852044 AMO917503:AMO917580 AMO983039:AMO983116 AWK2:AWK76 AWK65535:AWK65612 AWK131071:AWK131148 AWK196607:AWK196684 AWK262143:AWK262220 AWK327679:AWK327756 AWK393215:AWK393292 AWK458751:AWK458828 AWK524287:AWK524364 AWK589823:AWK589900 AWK655359:AWK655436 AWK720895:AWK720972 AWK786431:AWK786508 AWK851967:AWK852044 AWK917503:AWK917580 AWK983039:AWK983116 BGG2:BGG76 BGG65535:BGG65612 BGG131071:BGG131148 BGG196607:BGG196684 BGG262143:BGG262220 BGG327679:BGG327756 BGG393215:BGG393292 BGG458751:BGG458828 BGG524287:BGG524364 BGG589823:BGG589900 BGG655359:BGG655436 BGG720895:BGG720972 BGG786431:BGG786508 BGG851967:BGG852044 BGG917503:BGG917580 BGG983039:BGG983116 BQC2:BQC76 BQC65535:BQC65612 BQC131071:BQC131148 BQC196607:BQC196684 BQC262143:BQC262220 BQC327679:BQC327756 BQC393215:BQC393292 BQC458751:BQC458828 BQC524287:BQC524364 BQC589823:BQC589900 BQC655359:BQC655436 BQC720895:BQC720972 BQC786431:BQC786508 BQC851967:BQC852044 BQC917503:BQC917580 BQC983039:BQC983116 BZY2:BZY76 BZY65535:BZY65612 BZY131071:BZY131148 BZY196607:BZY196684 BZY262143:BZY262220 BZY327679:BZY327756 BZY393215:BZY393292 BZY458751:BZY458828 BZY524287:BZY524364 BZY589823:BZY589900 BZY655359:BZY655436 BZY720895:BZY720972 BZY786431:BZY786508 BZY851967:BZY852044 BZY917503:BZY917580 BZY983039:BZY983116 CJU2:CJU76 CJU65535:CJU65612 CJU131071:CJU131148 CJU196607:CJU196684 CJU262143:CJU262220 CJU327679:CJU327756 CJU393215:CJU393292 CJU458751:CJU458828 CJU524287:CJU524364 CJU589823:CJU589900 CJU655359:CJU655436 CJU720895:CJU720972 CJU786431:CJU786508 CJU851967:CJU852044 CJU917503:CJU917580 CJU983039:CJU983116 CTQ2:CTQ76 CTQ65535:CTQ65612 CTQ131071:CTQ131148 CTQ196607:CTQ196684 CTQ262143:CTQ262220 CTQ327679:CTQ327756 CTQ393215:CTQ393292 CTQ458751:CTQ458828 CTQ524287:CTQ524364 CTQ589823:CTQ589900 CTQ655359:CTQ655436 CTQ720895:CTQ720972 CTQ786431:CTQ786508 CTQ851967:CTQ852044 CTQ917503:CTQ917580 CTQ983039:CTQ983116 DDM2:DDM76 DDM65535:DDM65612 DDM131071:DDM131148 DDM196607:DDM196684 DDM262143:DDM262220 DDM327679:DDM327756 DDM393215:DDM393292 DDM458751:DDM458828 DDM524287:DDM524364 DDM589823:DDM589900 DDM655359:DDM655436 DDM720895:DDM720972 DDM786431:DDM786508 DDM851967:DDM852044 DDM917503:DDM917580 DDM983039:DDM983116 DNI2:DNI76 DNI65535:DNI65612 DNI131071:DNI131148 DNI196607:DNI196684 DNI262143:DNI262220 DNI327679:DNI327756 DNI393215:DNI393292 DNI458751:DNI458828 DNI524287:DNI524364 DNI589823:DNI589900 DNI655359:DNI655436 DNI720895:DNI720972 DNI786431:DNI786508 DNI851967:DNI852044 DNI917503:DNI917580 DNI983039:DNI983116 DXE2:DXE76 DXE65535:DXE65612 DXE131071:DXE131148 DXE196607:DXE196684 DXE262143:DXE262220 DXE327679:DXE327756 DXE393215:DXE393292 DXE458751:DXE458828 DXE524287:DXE524364 DXE589823:DXE589900 DXE655359:DXE655436 DXE720895:DXE720972 DXE786431:DXE786508 DXE851967:DXE852044 DXE917503:DXE917580 DXE983039:DXE983116 EHA2:EHA76 EHA65535:EHA65612 EHA131071:EHA131148 EHA196607:EHA196684 EHA262143:EHA262220 EHA327679:EHA327756 EHA393215:EHA393292 EHA458751:EHA458828 EHA524287:EHA524364 EHA589823:EHA589900 EHA655359:EHA655436 EHA720895:EHA720972 EHA786431:EHA786508 EHA851967:EHA852044 EHA917503:EHA917580 EHA983039:EHA983116 EQW2:EQW76 EQW65535:EQW65612 EQW131071:EQW131148 EQW196607:EQW196684 EQW262143:EQW262220 EQW327679:EQW327756 EQW393215:EQW393292 EQW458751:EQW458828 EQW524287:EQW524364 EQW589823:EQW589900 EQW655359:EQW655436 EQW720895:EQW720972 EQW786431:EQW786508 EQW851967:EQW852044 EQW917503:EQW917580 EQW983039:EQW983116 FAS2:FAS76 FAS65535:FAS65612 FAS131071:FAS131148 FAS196607:FAS196684 FAS262143:FAS262220 FAS327679:FAS327756 FAS393215:FAS393292 FAS458751:FAS458828 FAS524287:FAS524364 FAS589823:FAS589900 FAS655359:FAS655436 FAS720895:FAS720972 FAS786431:FAS786508 FAS851967:FAS852044 FAS917503:FAS917580 FAS983039:FAS983116 FKO2:FKO76 FKO65535:FKO65612 FKO131071:FKO131148 FKO196607:FKO196684 FKO262143:FKO262220 FKO327679:FKO327756 FKO393215:FKO393292 FKO458751:FKO458828 FKO524287:FKO524364 FKO589823:FKO589900 FKO655359:FKO655436 FKO720895:FKO720972 FKO786431:FKO786508 FKO851967:FKO852044 FKO917503:FKO917580 FKO983039:FKO983116 FUK2:FUK76 FUK65535:FUK65612 FUK131071:FUK131148 FUK196607:FUK196684 FUK262143:FUK262220 FUK327679:FUK327756 FUK393215:FUK393292 FUK458751:FUK458828 FUK524287:FUK524364 FUK589823:FUK589900 FUK655359:FUK655436 FUK720895:FUK720972 FUK786431:FUK786508 FUK851967:FUK852044 FUK917503:FUK917580 FUK983039:FUK983116 GEG2:GEG76 GEG65535:GEG65612 GEG131071:GEG131148 GEG196607:GEG196684 GEG262143:GEG262220 GEG327679:GEG327756 GEG393215:GEG393292 GEG458751:GEG458828 GEG524287:GEG524364 GEG589823:GEG589900 GEG655359:GEG655436 GEG720895:GEG720972 GEG786431:GEG786508 GEG851967:GEG852044 GEG917503:GEG917580 GEG983039:GEG983116 GOC2:GOC76 GOC65535:GOC65612 GOC131071:GOC131148 GOC196607:GOC196684 GOC262143:GOC262220 GOC327679:GOC327756 GOC393215:GOC393292 GOC458751:GOC458828 GOC524287:GOC524364 GOC589823:GOC589900 GOC655359:GOC655436 GOC720895:GOC720972 GOC786431:GOC786508 GOC851967:GOC852044 GOC917503:GOC917580 GOC983039:GOC983116 GXY2:GXY76 GXY65535:GXY65612 GXY131071:GXY131148 GXY196607:GXY196684 GXY262143:GXY262220 GXY327679:GXY327756 GXY393215:GXY393292 GXY458751:GXY458828 GXY524287:GXY524364 GXY589823:GXY589900 GXY655359:GXY655436 GXY720895:GXY720972 GXY786431:GXY786508 GXY851967:GXY852044 GXY917503:GXY917580 GXY983039:GXY983116 HHU2:HHU76 HHU65535:HHU65612 HHU131071:HHU131148 HHU196607:HHU196684 HHU262143:HHU262220 HHU327679:HHU327756 HHU393215:HHU393292 HHU458751:HHU458828 HHU524287:HHU524364 HHU589823:HHU589900 HHU655359:HHU655436 HHU720895:HHU720972 HHU786431:HHU786508 HHU851967:HHU852044 HHU917503:HHU917580 HHU983039:HHU983116 HRQ2:HRQ76 HRQ65535:HRQ65612 HRQ131071:HRQ131148 HRQ196607:HRQ196684 HRQ262143:HRQ262220 HRQ327679:HRQ327756 HRQ393215:HRQ393292 HRQ458751:HRQ458828 HRQ524287:HRQ524364 HRQ589823:HRQ589900 HRQ655359:HRQ655436 HRQ720895:HRQ720972 HRQ786431:HRQ786508 HRQ851967:HRQ852044 HRQ917503:HRQ917580 HRQ983039:HRQ983116 IBM2:IBM76 IBM65535:IBM65612 IBM131071:IBM131148 IBM196607:IBM196684 IBM262143:IBM262220 IBM327679:IBM327756 IBM393215:IBM393292 IBM458751:IBM458828 IBM524287:IBM524364 IBM589823:IBM589900 IBM655359:IBM655436 IBM720895:IBM720972 IBM786431:IBM786508 IBM851967:IBM852044 IBM917503:IBM917580 IBM983039:IBM983116 ILI2:ILI76 ILI65535:ILI65612 ILI131071:ILI131148 ILI196607:ILI196684 ILI262143:ILI262220 ILI327679:ILI327756 ILI393215:ILI393292 ILI458751:ILI458828 ILI524287:ILI524364 ILI589823:ILI589900 ILI655359:ILI655436 ILI720895:ILI720972 ILI786431:ILI786508 ILI851967:ILI852044 ILI917503:ILI917580 ILI983039:ILI983116 IVE2:IVE76 IVE65535:IVE65612 IVE131071:IVE131148 IVE196607:IVE196684 IVE262143:IVE262220 IVE327679:IVE327756 IVE393215:IVE393292 IVE458751:IVE458828 IVE524287:IVE524364 IVE589823:IVE589900 IVE655359:IVE655436 IVE720895:IVE720972 IVE786431:IVE786508 IVE851967:IVE852044 IVE917503:IVE917580 IVE983039:IVE983116 JFA2:JFA76 JFA65535:JFA65612 JFA131071:JFA131148 JFA196607:JFA196684 JFA262143:JFA262220 JFA327679:JFA327756 JFA393215:JFA393292 JFA458751:JFA458828 JFA524287:JFA524364 JFA589823:JFA589900 JFA655359:JFA655436 JFA720895:JFA720972 JFA786431:JFA786508 JFA851967:JFA852044 JFA917503:JFA917580 JFA983039:JFA983116 JOW2:JOW76 JOW65535:JOW65612 JOW131071:JOW131148 JOW196607:JOW196684 JOW262143:JOW262220 JOW327679:JOW327756 JOW393215:JOW393292 JOW458751:JOW458828 JOW524287:JOW524364 JOW589823:JOW589900 JOW655359:JOW655436 JOW720895:JOW720972 JOW786431:JOW786508 JOW851967:JOW852044 JOW917503:JOW917580 JOW983039:JOW983116 JYS2:JYS76 JYS65535:JYS65612 JYS131071:JYS131148 JYS196607:JYS196684 JYS262143:JYS262220 JYS327679:JYS327756 JYS393215:JYS393292 JYS458751:JYS458828 JYS524287:JYS524364 JYS589823:JYS589900 JYS655359:JYS655436 JYS720895:JYS720972 JYS786431:JYS786508 JYS851967:JYS852044 JYS917503:JYS917580 JYS983039:JYS983116 KIO2:KIO76 KIO65535:KIO65612 KIO131071:KIO131148 KIO196607:KIO196684 KIO262143:KIO262220 KIO327679:KIO327756 KIO393215:KIO393292 KIO458751:KIO458828 KIO524287:KIO524364 KIO589823:KIO589900 KIO655359:KIO655436 KIO720895:KIO720972 KIO786431:KIO786508 KIO851967:KIO852044 KIO917503:KIO917580 KIO983039:KIO983116 KSK2:KSK76 KSK65535:KSK65612 KSK131071:KSK131148 KSK196607:KSK196684 KSK262143:KSK262220 KSK327679:KSK327756 KSK393215:KSK393292 KSK458751:KSK458828 KSK524287:KSK524364 KSK589823:KSK589900 KSK655359:KSK655436 KSK720895:KSK720972 KSK786431:KSK786508 KSK851967:KSK852044 KSK917503:KSK917580 KSK983039:KSK983116 LCG2:LCG76 LCG65535:LCG65612 LCG131071:LCG131148 LCG196607:LCG196684 LCG262143:LCG262220 LCG327679:LCG327756 LCG393215:LCG393292 LCG458751:LCG458828 LCG524287:LCG524364 LCG589823:LCG589900 LCG655359:LCG655436 LCG720895:LCG720972 LCG786431:LCG786508 LCG851967:LCG852044 LCG917503:LCG917580 LCG983039:LCG983116 LMC2:LMC76 LMC65535:LMC65612 LMC131071:LMC131148 LMC196607:LMC196684 LMC262143:LMC262220 LMC327679:LMC327756 LMC393215:LMC393292 LMC458751:LMC458828 LMC524287:LMC524364 LMC589823:LMC589900 LMC655359:LMC655436 LMC720895:LMC720972 LMC786431:LMC786508 LMC851967:LMC852044 LMC917503:LMC917580 LMC983039:LMC983116 LVY2:LVY76 LVY65535:LVY65612 LVY131071:LVY131148 LVY196607:LVY196684 LVY262143:LVY262220 LVY327679:LVY327756 LVY393215:LVY393292 LVY458751:LVY458828 LVY524287:LVY524364 LVY589823:LVY589900 LVY655359:LVY655436 LVY720895:LVY720972 LVY786431:LVY786508 LVY851967:LVY852044 LVY917503:LVY917580 LVY983039:LVY983116 MFU2:MFU76 MFU65535:MFU65612 MFU131071:MFU131148 MFU196607:MFU196684 MFU262143:MFU262220 MFU327679:MFU327756 MFU393215:MFU393292 MFU458751:MFU458828 MFU524287:MFU524364 MFU589823:MFU589900 MFU655359:MFU655436 MFU720895:MFU720972 MFU786431:MFU786508 MFU851967:MFU852044 MFU917503:MFU917580 MFU983039:MFU983116 MPQ2:MPQ76 MPQ65535:MPQ65612 MPQ131071:MPQ131148 MPQ196607:MPQ196684 MPQ262143:MPQ262220 MPQ327679:MPQ327756 MPQ393215:MPQ393292 MPQ458751:MPQ458828 MPQ524287:MPQ524364 MPQ589823:MPQ589900 MPQ655359:MPQ655436 MPQ720895:MPQ720972 MPQ786431:MPQ786508 MPQ851967:MPQ852044 MPQ917503:MPQ917580 MPQ983039:MPQ983116 MZM2:MZM76 MZM65535:MZM65612 MZM131071:MZM131148 MZM196607:MZM196684 MZM262143:MZM262220 MZM327679:MZM327756 MZM393215:MZM393292 MZM458751:MZM458828 MZM524287:MZM524364 MZM589823:MZM589900 MZM655359:MZM655436 MZM720895:MZM720972 MZM786431:MZM786508 MZM851967:MZM852044 MZM917503:MZM917580 MZM983039:MZM983116 NJI2:NJI76 NJI65535:NJI65612 NJI131071:NJI131148 NJI196607:NJI196684 NJI262143:NJI262220 NJI327679:NJI327756 NJI393215:NJI393292 NJI458751:NJI458828 NJI524287:NJI524364 NJI589823:NJI589900 NJI655359:NJI655436 NJI720895:NJI720972 NJI786431:NJI786508 NJI851967:NJI852044 NJI917503:NJI917580 NJI983039:NJI983116 NTE2:NTE76 NTE65535:NTE65612 NTE131071:NTE131148 NTE196607:NTE196684 NTE262143:NTE262220 NTE327679:NTE327756 NTE393215:NTE393292 NTE458751:NTE458828 NTE524287:NTE524364 NTE589823:NTE589900 NTE655359:NTE655436 NTE720895:NTE720972 NTE786431:NTE786508 NTE851967:NTE852044 NTE917503:NTE917580 NTE983039:NTE983116 ODA2:ODA76 ODA65535:ODA65612 ODA131071:ODA131148 ODA196607:ODA196684 ODA262143:ODA262220 ODA327679:ODA327756 ODA393215:ODA393292 ODA458751:ODA458828 ODA524287:ODA524364 ODA589823:ODA589900 ODA655359:ODA655436 ODA720895:ODA720972 ODA786431:ODA786508 ODA851967:ODA852044 ODA917503:ODA917580 ODA983039:ODA983116 OMW2:OMW76 OMW65535:OMW65612 OMW131071:OMW131148 OMW196607:OMW196684 OMW262143:OMW262220 OMW327679:OMW327756 OMW393215:OMW393292 OMW458751:OMW458828 OMW524287:OMW524364 OMW589823:OMW589900 OMW655359:OMW655436 OMW720895:OMW720972 OMW786431:OMW786508 OMW851967:OMW852044 OMW917503:OMW917580 OMW983039:OMW983116 OWS2:OWS76 OWS65535:OWS65612 OWS131071:OWS131148 OWS196607:OWS196684 OWS262143:OWS262220 OWS327679:OWS327756 OWS393215:OWS393292 OWS458751:OWS458828 OWS524287:OWS524364 OWS589823:OWS589900 OWS655359:OWS655436 OWS720895:OWS720972 OWS786431:OWS786508 OWS851967:OWS852044 OWS917503:OWS917580 OWS983039:OWS983116 PGO2:PGO76 PGO65535:PGO65612 PGO131071:PGO131148 PGO196607:PGO196684 PGO262143:PGO262220 PGO327679:PGO327756 PGO393215:PGO393292 PGO458751:PGO458828 PGO524287:PGO524364 PGO589823:PGO589900 PGO655359:PGO655436 PGO720895:PGO720972 PGO786431:PGO786508 PGO851967:PGO852044 PGO917503:PGO917580 PGO983039:PGO983116 PQK2:PQK76 PQK65535:PQK65612 PQK131071:PQK131148 PQK196607:PQK196684 PQK262143:PQK262220 PQK327679:PQK327756 PQK393215:PQK393292 PQK458751:PQK458828 PQK524287:PQK524364 PQK589823:PQK589900 PQK655359:PQK655436 PQK720895:PQK720972 PQK786431:PQK786508 PQK851967:PQK852044 PQK917503:PQK917580 PQK983039:PQK983116 QAG2:QAG76 QAG65535:QAG65612 QAG131071:QAG131148 QAG196607:QAG196684 QAG262143:QAG262220 QAG327679:QAG327756 QAG393215:QAG393292 QAG458751:QAG458828 QAG524287:QAG524364 QAG589823:QAG589900 QAG655359:QAG655436 QAG720895:QAG720972 QAG786431:QAG786508 QAG851967:QAG852044 QAG917503:QAG917580 QAG983039:QAG983116 QKC2:QKC76 QKC65535:QKC65612 QKC131071:QKC131148 QKC196607:QKC196684 QKC262143:QKC262220 QKC327679:QKC327756 QKC393215:QKC393292 QKC458751:QKC458828 QKC524287:QKC524364 QKC589823:QKC589900 QKC655359:QKC655436 QKC720895:QKC720972 QKC786431:QKC786508 QKC851967:QKC852044 QKC917503:QKC917580 QKC983039:QKC983116 QTY2:QTY76 QTY65535:QTY65612 QTY131071:QTY131148 QTY196607:QTY196684 QTY262143:QTY262220 QTY327679:QTY327756 QTY393215:QTY393292 QTY458751:QTY458828 QTY524287:QTY524364 QTY589823:QTY589900 QTY655359:QTY655436 QTY720895:QTY720972 QTY786431:QTY786508 QTY851967:QTY852044 QTY917503:QTY917580 QTY983039:QTY983116 RDU2:RDU76 RDU65535:RDU65612 RDU131071:RDU131148 RDU196607:RDU196684 RDU262143:RDU262220 RDU327679:RDU327756 RDU393215:RDU393292 RDU458751:RDU458828 RDU524287:RDU524364 RDU589823:RDU589900 RDU655359:RDU655436 RDU720895:RDU720972 RDU786431:RDU786508 RDU851967:RDU852044 RDU917503:RDU917580 RDU983039:RDU983116 RNQ2:RNQ76 RNQ65535:RNQ65612 RNQ131071:RNQ131148 RNQ196607:RNQ196684 RNQ262143:RNQ262220 RNQ327679:RNQ327756 RNQ393215:RNQ393292 RNQ458751:RNQ458828 RNQ524287:RNQ524364 RNQ589823:RNQ589900 RNQ655359:RNQ655436 RNQ720895:RNQ720972 RNQ786431:RNQ786508 RNQ851967:RNQ852044 RNQ917503:RNQ917580 RNQ983039:RNQ983116 RXM2:RXM76 RXM65535:RXM65612 RXM131071:RXM131148 RXM196607:RXM196684 RXM262143:RXM262220 RXM327679:RXM327756 RXM393215:RXM393292 RXM458751:RXM458828 RXM524287:RXM524364 RXM589823:RXM589900 RXM655359:RXM655436 RXM720895:RXM720972 RXM786431:RXM786508 RXM851967:RXM852044 RXM917503:RXM917580 RXM983039:RXM983116 SHI2:SHI76 SHI65535:SHI65612 SHI131071:SHI131148 SHI196607:SHI196684 SHI262143:SHI262220 SHI327679:SHI327756 SHI393215:SHI393292 SHI458751:SHI458828 SHI524287:SHI524364 SHI589823:SHI589900 SHI655359:SHI655436 SHI720895:SHI720972 SHI786431:SHI786508 SHI851967:SHI852044 SHI917503:SHI917580 SHI983039:SHI983116 SRE2:SRE76 SRE65535:SRE65612 SRE131071:SRE131148 SRE196607:SRE196684 SRE262143:SRE262220 SRE327679:SRE327756 SRE393215:SRE393292 SRE458751:SRE458828 SRE524287:SRE524364 SRE589823:SRE589900 SRE655359:SRE655436 SRE720895:SRE720972 SRE786431:SRE786508 SRE851967:SRE852044 SRE917503:SRE917580 SRE983039:SRE983116 TBA2:TBA76 TBA65535:TBA65612 TBA131071:TBA131148 TBA196607:TBA196684 TBA262143:TBA262220 TBA327679:TBA327756 TBA393215:TBA393292 TBA458751:TBA458828 TBA524287:TBA524364 TBA589823:TBA589900 TBA655359:TBA655436 TBA720895:TBA720972 TBA786431:TBA786508 TBA851967:TBA852044 TBA917503:TBA917580 TBA983039:TBA983116 TKW2:TKW76 TKW65535:TKW65612 TKW131071:TKW131148 TKW196607:TKW196684 TKW262143:TKW262220 TKW327679:TKW327756 TKW393215:TKW393292 TKW458751:TKW458828 TKW524287:TKW524364 TKW589823:TKW589900 TKW655359:TKW655436 TKW720895:TKW720972 TKW786431:TKW786508 TKW851967:TKW852044 TKW917503:TKW917580 TKW983039:TKW983116 TUS2:TUS76 TUS65535:TUS65612 TUS131071:TUS131148 TUS196607:TUS196684 TUS262143:TUS262220 TUS327679:TUS327756 TUS393215:TUS393292 TUS458751:TUS458828 TUS524287:TUS524364 TUS589823:TUS589900 TUS655359:TUS655436 TUS720895:TUS720972 TUS786431:TUS786508 TUS851967:TUS852044 TUS917503:TUS917580 TUS983039:TUS983116 UEO2:UEO76 UEO65535:UEO65612 UEO131071:UEO131148 UEO196607:UEO196684 UEO262143:UEO262220 UEO327679:UEO327756 UEO393215:UEO393292 UEO458751:UEO458828 UEO524287:UEO524364 UEO589823:UEO589900 UEO655359:UEO655436 UEO720895:UEO720972 UEO786431:UEO786508 UEO851967:UEO852044 UEO917503:UEO917580 UEO983039:UEO983116 UOK2:UOK76 UOK65535:UOK65612 UOK131071:UOK131148 UOK196607:UOK196684 UOK262143:UOK262220 UOK327679:UOK327756 UOK393215:UOK393292 UOK458751:UOK458828 UOK524287:UOK524364 UOK589823:UOK589900 UOK655359:UOK655436 UOK720895:UOK720972 UOK786431:UOK786508 UOK851967:UOK852044 UOK917503:UOK917580 UOK983039:UOK983116 UYG2:UYG76 UYG65535:UYG65612 UYG131071:UYG131148 UYG196607:UYG196684 UYG262143:UYG262220 UYG327679:UYG327756 UYG393215:UYG393292 UYG458751:UYG458828 UYG524287:UYG524364 UYG589823:UYG589900 UYG655359:UYG655436 UYG720895:UYG720972 UYG786431:UYG786508 UYG851967:UYG852044 UYG917503:UYG917580 UYG983039:UYG983116 VIC2:VIC76 VIC65535:VIC65612 VIC131071:VIC131148 VIC196607:VIC196684 VIC262143:VIC262220 VIC327679:VIC327756 VIC393215:VIC393292 VIC458751:VIC458828 VIC524287:VIC524364 VIC589823:VIC589900 VIC655359:VIC655436 VIC720895:VIC720972 VIC786431:VIC786508 VIC851967:VIC852044 VIC917503:VIC917580 VIC983039:VIC983116 VRY2:VRY76 VRY65535:VRY65612 VRY131071:VRY131148 VRY196607:VRY196684 VRY262143:VRY262220 VRY327679:VRY327756 VRY393215:VRY393292 VRY458751:VRY458828 VRY524287:VRY524364 VRY589823:VRY589900 VRY655359:VRY655436 VRY720895:VRY720972 VRY786431:VRY786508 VRY851967:VRY852044 VRY917503:VRY917580 VRY983039:VRY983116 WBU2:WBU76 WBU65535:WBU65612 WBU131071:WBU131148 WBU196607:WBU196684 WBU262143:WBU262220 WBU327679:WBU327756 WBU393215:WBU393292 WBU458751:WBU458828 WBU524287:WBU524364 WBU589823:WBU589900 WBU655359:WBU655436 WBU720895:WBU720972 WBU786431:WBU786508 WBU851967:WBU852044 WBU917503:WBU917580 WBU983039:WBU983116 WLQ2:WLQ76 WLQ65535:WLQ65612 WLQ131071:WLQ131148 WLQ196607:WLQ196684 WLQ262143:WLQ262220 WLQ327679:WLQ327756 WLQ393215:WLQ393292 WLQ458751:WLQ458828 WLQ524287:WLQ524364 WLQ589823:WLQ589900 WLQ655359:WLQ655436 WLQ720895:WLQ720972 WLQ786431:WLQ786508 WLQ851967:WLQ852044 WLQ917503:WLQ917580 WLQ983039:WLQ983116 WVM2:WVM76 WVM65535:WVM65612 WVM131071:WVM131148 WVM196607:WVM196684 WVM262143:WVM262220 WVM327679:WVM327756 WVM393215:WVM393292 WVM458751:WVM458828 WVM524287:WVM524364 WVM589823:WVM589900 WVM655359:WVM655436 WVM720895:WVM720972 WVM786431:WVM786508 WVM851967:WVM852044 WVM917503:WVM917580 WVM983039:WVM983116" xr:uid="{29FE429D-44AB-4C9B-B840-3F3CA3F0BF53}">
      <formula1>$AG$2:$AG$11</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6560-BF15-41E8-B1DD-48BFE2BA22D6}">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326</v>
      </c>
      <c r="B1" s="143" t="s">
        <v>1</v>
      </c>
      <c r="C1" s="143" t="s">
        <v>118</v>
      </c>
      <c r="D1" s="144" t="s">
        <v>2</v>
      </c>
      <c r="E1" s="83" t="s">
        <v>327</v>
      </c>
      <c r="F1" s="83" t="s">
        <v>4</v>
      </c>
      <c r="G1" s="83" t="s">
        <v>5</v>
      </c>
      <c r="H1" s="83" t="s">
        <v>328</v>
      </c>
      <c r="I1" s="83" t="s">
        <v>7</v>
      </c>
      <c r="J1" s="83" t="s">
        <v>8</v>
      </c>
      <c r="K1" s="83" t="s">
        <v>9</v>
      </c>
      <c r="L1" s="144" t="s">
        <v>119</v>
      </c>
      <c r="M1" s="144" t="s">
        <v>10</v>
      </c>
      <c r="N1" s="144" t="s">
        <v>284</v>
      </c>
      <c r="O1" s="144" t="s">
        <v>120</v>
      </c>
      <c r="P1" s="144" t="s">
        <v>121</v>
      </c>
      <c r="Q1" s="3" t="s">
        <v>12</v>
      </c>
      <c r="R1" s="144" t="s">
        <v>122</v>
      </c>
      <c r="S1" s="144" t="s">
        <v>123</v>
      </c>
      <c r="T1" s="3" t="s">
        <v>13</v>
      </c>
      <c r="U1" s="145" t="s">
        <v>252</v>
      </c>
      <c r="V1" s="5" t="s">
        <v>14</v>
      </c>
      <c r="W1" s="144" t="s">
        <v>15</v>
      </c>
      <c r="X1" s="83" t="s">
        <v>16</v>
      </c>
      <c r="Y1" s="83" t="s">
        <v>17</v>
      </c>
      <c r="Z1" s="83" t="s">
        <v>18</v>
      </c>
      <c r="AA1" s="42" t="s">
        <v>19</v>
      </c>
      <c r="AB1" s="146" t="s">
        <v>124</v>
      </c>
      <c r="AE1" s="147" t="s">
        <v>0</v>
      </c>
      <c r="AF1" s="148"/>
      <c r="AG1" s="147" t="s">
        <v>3</v>
      </c>
      <c r="AH1" s="147" t="s">
        <v>4</v>
      </c>
      <c r="AI1" s="148"/>
      <c r="AJ1" s="147" t="s">
        <v>5</v>
      </c>
      <c r="AK1" s="148"/>
      <c r="AL1" s="10" t="s">
        <v>6</v>
      </c>
      <c r="AM1" s="148"/>
      <c r="AN1" s="10" t="s">
        <v>7</v>
      </c>
      <c r="AO1" s="148"/>
      <c r="AP1" s="10" t="s">
        <v>20</v>
      </c>
      <c r="AQ1" s="148"/>
      <c r="AR1" s="10" t="s">
        <v>9</v>
      </c>
      <c r="AS1" s="148"/>
      <c r="AT1" s="11" t="s">
        <v>21</v>
      </c>
      <c r="AU1" s="148"/>
      <c r="AV1" s="10" t="s">
        <v>22</v>
      </c>
      <c r="AX1" s="12" t="s">
        <v>125</v>
      </c>
      <c r="AY1" s="13" t="s">
        <v>126</v>
      </c>
      <c r="AZ1" s="13" t="s">
        <v>127</v>
      </c>
      <c r="BA1" s="14" t="s">
        <v>128</v>
      </c>
    </row>
    <row r="2" spans="1:53" s="48" customFormat="1" x14ac:dyDescent="0.15">
      <c r="A2" s="167" t="s">
        <v>48</v>
      </c>
      <c r="B2" s="167" t="s">
        <v>329</v>
      </c>
      <c r="C2" s="167">
        <v>2020</v>
      </c>
      <c r="D2" s="168" t="s">
        <v>330</v>
      </c>
      <c r="E2" s="167" t="s">
        <v>331</v>
      </c>
      <c r="F2" s="167" t="s">
        <v>332</v>
      </c>
      <c r="G2" s="167" t="s">
        <v>31</v>
      </c>
      <c r="H2" s="167" t="s">
        <v>164</v>
      </c>
      <c r="I2" s="77" t="s">
        <v>111</v>
      </c>
      <c r="J2" s="77" t="s">
        <v>27</v>
      </c>
      <c r="K2" s="77" t="s">
        <v>112</v>
      </c>
      <c r="L2" s="77">
        <v>1</v>
      </c>
      <c r="M2" s="77"/>
      <c r="N2" s="77">
        <v>1</v>
      </c>
      <c r="O2" s="77">
        <v>0.75</v>
      </c>
      <c r="P2" s="77">
        <v>0.65</v>
      </c>
      <c r="Q2" s="44">
        <f t="shared" ref="Q2:Q65" si="0">IF(OR(O2="",P2=""),"",AVERAGE(O2,P2))</f>
        <v>0.7</v>
      </c>
      <c r="R2" s="77">
        <v>18.8</v>
      </c>
      <c r="S2" s="77">
        <v>156</v>
      </c>
      <c r="T2" s="16">
        <f t="shared" ref="T2:T65" si="1">IF(H2="","",IF(OR(H2="GREEN",H2="GK"),IF(S2&gt;=$AX$2,VLOOKUP(S2,$AX$2:$AY$15,2,1),""),IF(S2&gt;=$AZ$2,VLOOKUP(S2,$AZ$2:$BA$15,2,1),"")))</f>
        <v>18</v>
      </c>
      <c r="U2" s="77">
        <v>128</v>
      </c>
      <c r="V2" s="169">
        <f>IF(OR(N2="",U2="",T2=""),"",U2/N2*T2)</f>
        <v>2304</v>
      </c>
      <c r="W2" s="77">
        <v>8</v>
      </c>
      <c r="X2" s="77" t="s">
        <v>35</v>
      </c>
      <c r="Y2" s="77" t="s">
        <v>55</v>
      </c>
      <c r="Z2" s="77" t="s">
        <v>76</v>
      </c>
      <c r="AA2" s="77" t="s">
        <v>43</v>
      </c>
      <c r="AB2" s="167" t="s">
        <v>333</v>
      </c>
      <c r="AC2" s="34"/>
      <c r="AE2" s="151" t="s">
        <v>24</v>
      </c>
      <c r="AG2" s="170" t="s">
        <v>334</v>
      </c>
      <c r="AH2" s="170" t="s">
        <v>332</v>
      </c>
      <c r="AJ2" s="49" t="s">
        <v>25</v>
      </c>
      <c r="AL2" s="153" t="s">
        <v>107</v>
      </c>
      <c r="AN2" s="49" t="s">
        <v>26</v>
      </c>
      <c r="AP2" s="50" t="s">
        <v>27</v>
      </c>
      <c r="AR2" s="50" t="s">
        <v>129</v>
      </c>
      <c r="AT2" s="49" t="s">
        <v>28</v>
      </c>
      <c r="AV2" s="50" t="s">
        <v>29</v>
      </c>
      <c r="AX2" s="171">
        <v>1</v>
      </c>
      <c r="AY2" s="172">
        <v>50</v>
      </c>
      <c r="AZ2" s="172">
        <v>1</v>
      </c>
      <c r="BA2" s="173">
        <v>50</v>
      </c>
    </row>
    <row r="3" spans="1:53" x14ac:dyDescent="0.15">
      <c r="A3" s="167" t="s">
        <v>48</v>
      </c>
      <c r="B3" s="167" t="s">
        <v>329</v>
      </c>
      <c r="C3" s="167">
        <v>2020</v>
      </c>
      <c r="D3" s="168" t="s">
        <v>330</v>
      </c>
      <c r="E3" s="167" t="s">
        <v>331</v>
      </c>
      <c r="F3" s="167" t="s">
        <v>332</v>
      </c>
      <c r="G3" s="167" t="s">
        <v>31</v>
      </c>
      <c r="H3" s="167" t="s">
        <v>164</v>
      </c>
      <c r="I3" s="77" t="s">
        <v>111</v>
      </c>
      <c r="J3" s="77" t="s">
        <v>27</v>
      </c>
      <c r="K3" s="77" t="s">
        <v>112</v>
      </c>
      <c r="L3" s="77">
        <v>2</v>
      </c>
      <c r="N3" s="77">
        <v>1</v>
      </c>
      <c r="O3" s="77">
        <v>0.75</v>
      </c>
      <c r="P3" s="77">
        <v>0.6</v>
      </c>
      <c r="Q3" s="44">
        <f t="shared" si="0"/>
        <v>0.67500000000000004</v>
      </c>
      <c r="R3" s="77">
        <v>18.5</v>
      </c>
      <c r="S3" s="77">
        <v>172</v>
      </c>
      <c r="T3" s="16">
        <f t="shared" si="1"/>
        <v>18</v>
      </c>
      <c r="U3" s="77">
        <v>128</v>
      </c>
      <c r="V3" s="169">
        <f t="shared" ref="V3:V66" si="2">IF(OR(N3="",U3="",T3=""),"",U3/N3*T3)</f>
        <v>2304</v>
      </c>
      <c r="W3" s="77">
        <v>8</v>
      </c>
      <c r="X3" s="77" t="s">
        <v>35</v>
      </c>
      <c r="Y3" s="77" t="s">
        <v>55</v>
      </c>
      <c r="Z3" s="77" t="s">
        <v>76</v>
      </c>
      <c r="AA3" s="77" t="s">
        <v>43</v>
      </c>
      <c r="AB3" s="167" t="s">
        <v>333</v>
      </c>
      <c r="AC3" s="34"/>
      <c r="AE3" s="22" t="s">
        <v>30</v>
      </c>
      <c r="AG3" s="170" t="s">
        <v>335</v>
      </c>
      <c r="AH3" s="170" t="s">
        <v>336</v>
      </c>
      <c r="AJ3" s="80" t="s">
        <v>31</v>
      </c>
      <c r="AL3" s="80" t="s">
        <v>108</v>
      </c>
      <c r="AN3" s="80" t="s">
        <v>32</v>
      </c>
      <c r="AP3" s="80" t="s">
        <v>33</v>
      </c>
      <c r="AR3" s="80" t="s">
        <v>34</v>
      </c>
      <c r="AT3" s="80" t="s">
        <v>35</v>
      </c>
      <c r="AV3" s="80" t="s">
        <v>36</v>
      </c>
      <c r="AX3" s="24">
        <v>72</v>
      </c>
      <c r="AY3" s="25">
        <v>46</v>
      </c>
      <c r="AZ3" s="25">
        <v>71</v>
      </c>
      <c r="BA3" s="26">
        <v>42</v>
      </c>
    </row>
    <row r="4" spans="1:53" x14ac:dyDescent="0.15">
      <c r="A4" s="167" t="s">
        <v>48</v>
      </c>
      <c r="B4" s="167" t="s">
        <v>329</v>
      </c>
      <c r="C4" s="167">
        <v>2020</v>
      </c>
      <c r="D4" s="168" t="s">
        <v>330</v>
      </c>
      <c r="E4" s="167" t="s">
        <v>331</v>
      </c>
      <c r="F4" s="167" t="s">
        <v>332</v>
      </c>
      <c r="G4" s="167" t="s">
        <v>31</v>
      </c>
      <c r="H4" s="167" t="s">
        <v>164</v>
      </c>
      <c r="I4" s="77" t="s">
        <v>111</v>
      </c>
      <c r="J4" s="77" t="s">
        <v>27</v>
      </c>
      <c r="K4" s="77" t="s">
        <v>112</v>
      </c>
      <c r="L4" s="77">
        <v>3</v>
      </c>
      <c r="N4" s="77">
        <v>1</v>
      </c>
      <c r="O4" s="77">
        <v>0.5</v>
      </c>
      <c r="P4" s="77">
        <v>0.65</v>
      </c>
      <c r="Q4" s="44">
        <f t="shared" si="0"/>
        <v>0.57499999999999996</v>
      </c>
      <c r="R4" s="77">
        <v>15.7</v>
      </c>
      <c r="S4" s="77">
        <v>143.5</v>
      </c>
      <c r="T4" s="16">
        <f t="shared" si="1"/>
        <v>22</v>
      </c>
      <c r="U4" s="77">
        <v>128</v>
      </c>
      <c r="V4" s="169">
        <f t="shared" si="2"/>
        <v>2816</v>
      </c>
      <c r="W4" s="77">
        <v>8</v>
      </c>
      <c r="X4" s="77" t="s">
        <v>35</v>
      </c>
      <c r="Y4" s="77" t="s">
        <v>55</v>
      </c>
      <c r="Z4" s="77" t="s">
        <v>76</v>
      </c>
      <c r="AA4" s="77" t="s">
        <v>43</v>
      </c>
      <c r="AB4" s="167" t="s">
        <v>333</v>
      </c>
      <c r="AC4" s="34"/>
      <c r="AE4" s="22" t="s">
        <v>23</v>
      </c>
      <c r="AG4" s="170" t="s">
        <v>337</v>
      </c>
      <c r="AH4" s="170" t="s">
        <v>338</v>
      </c>
      <c r="AJ4" s="27" t="s">
        <v>37</v>
      </c>
      <c r="AL4" s="80" t="s">
        <v>109</v>
      </c>
      <c r="AN4" s="28" t="s">
        <v>38</v>
      </c>
      <c r="AP4" s="80" t="s">
        <v>130</v>
      </c>
      <c r="AR4" s="80" t="s">
        <v>131</v>
      </c>
      <c r="AT4" s="28"/>
      <c r="AV4" s="80" t="s">
        <v>39</v>
      </c>
      <c r="AX4" s="24">
        <v>75</v>
      </c>
      <c r="AY4" s="25">
        <v>42</v>
      </c>
      <c r="AZ4" s="25">
        <v>76</v>
      </c>
      <c r="BA4" s="26">
        <v>39</v>
      </c>
    </row>
    <row r="5" spans="1:53" x14ac:dyDescent="0.15">
      <c r="A5" s="167" t="s">
        <v>48</v>
      </c>
      <c r="B5" s="167" t="s">
        <v>329</v>
      </c>
      <c r="C5" s="167">
        <v>2020</v>
      </c>
      <c r="D5" s="168" t="s">
        <v>330</v>
      </c>
      <c r="E5" s="167" t="s">
        <v>331</v>
      </c>
      <c r="F5" s="167" t="s">
        <v>332</v>
      </c>
      <c r="G5" s="167" t="s">
        <v>31</v>
      </c>
      <c r="H5" s="167" t="s">
        <v>164</v>
      </c>
      <c r="I5" s="77" t="s">
        <v>111</v>
      </c>
      <c r="J5" s="77" t="s">
        <v>27</v>
      </c>
      <c r="K5" s="77" t="s">
        <v>112</v>
      </c>
      <c r="L5" s="77">
        <v>1</v>
      </c>
      <c r="N5" s="77">
        <v>4</v>
      </c>
      <c r="O5" s="77">
        <v>0.6</v>
      </c>
      <c r="P5" s="77">
        <v>0.5</v>
      </c>
      <c r="Q5" s="44">
        <f>IF(OR(O5="",P5=""),"",AVERAGE(O5,P5))</f>
        <v>0.55000000000000004</v>
      </c>
      <c r="R5" s="77">
        <v>15.7</v>
      </c>
      <c r="S5" s="77">
        <v>85.5</v>
      </c>
      <c r="T5" s="16">
        <f t="shared" si="1"/>
        <v>36</v>
      </c>
      <c r="U5" s="77">
        <v>298</v>
      </c>
      <c r="V5" s="169">
        <f t="shared" si="2"/>
        <v>2682</v>
      </c>
      <c r="W5" s="77">
        <v>8</v>
      </c>
      <c r="X5" s="77" t="s">
        <v>35</v>
      </c>
      <c r="Y5" s="77" t="s">
        <v>55</v>
      </c>
      <c r="Z5" s="77" t="s">
        <v>76</v>
      </c>
      <c r="AA5" s="77" t="s">
        <v>43</v>
      </c>
      <c r="AB5" s="167" t="s">
        <v>333</v>
      </c>
      <c r="AC5" s="34"/>
      <c r="AE5" s="22" t="s">
        <v>40</v>
      </c>
      <c r="AG5" s="170" t="s">
        <v>339</v>
      </c>
      <c r="AH5" s="170" t="s">
        <v>340</v>
      </c>
      <c r="AJ5" s="27"/>
      <c r="AL5" s="80" t="s">
        <v>132</v>
      </c>
      <c r="AN5" s="158" t="s">
        <v>133</v>
      </c>
      <c r="AP5" s="80" t="s">
        <v>134</v>
      </c>
      <c r="AR5" s="80" t="s">
        <v>42</v>
      </c>
      <c r="AV5" s="80" t="s">
        <v>43</v>
      </c>
      <c r="AX5" s="24">
        <v>84</v>
      </c>
      <c r="AY5" s="25">
        <v>39</v>
      </c>
      <c r="AZ5" s="25">
        <v>84</v>
      </c>
      <c r="BA5" s="26">
        <v>36</v>
      </c>
    </row>
    <row r="6" spans="1:53" x14ac:dyDescent="0.15">
      <c r="A6" s="167" t="s">
        <v>48</v>
      </c>
      <c r="B6" s="167" t="s">
        <v>329</v>
      </c>
      <c r="C6" s="167">
        <v>2020</v>
      </c>
      <c r="D6" s="168" t="s">
        <v>330</v>
      </c>
      <c r="E6" s="167" t="s">
        <v>331</v>
      </c>
      <c r="F6" s="167" t="s">
        <v>332</v>
      </c>
      <c r="G6" s="167" t="s">
        <v>31</v>
      </c>
      <c r="H6" s="167" t="s">
        <v>164</v>
      </c>
      <c r="I6" s="77" t="s">
        <v>111</v>
      </c>
      <c r="J6" s="77" t="s">
        <v>27</v>
      </c>
      <c r="K6" s="77" t="s">
        <v>112</v>
      </c>
      <c r="L6" s="77">
        <v>2</v>
      </c>
      <c r="N6" s="77">
        <v>4</v>
      </c>
      <c r="O6" s="77">
        <v>0.55000000000000004</v>
      </c>
      <c r="P6" s="77">
        <v>0.5</v>
      </c>
      <c r="Q6" s="44">
        <f t="shared" si="0"/>
        <v>0.52500000000000002</v>
      </c>
      <c r="R6" s="77">
        <v>14.1</v>
      </c>
      <c r="S6" s="77">
        <v>102.5</v>
      </c>
      <c r="T6" s="16">
        <f t="shared" si="1"/>
        <v>33</v>
      </c>
      <c r="U6" s="77">
        <v>298</v>
      </c>
      <c r="V6" s="169">
        <f t="shared" si="2"/>
        <v>2458.5</v>
      </c>
      <c r="W6" s="77">
        <v>8</v>
      </c>
      <c r="X6" s="77" t="s">
        <v>35</v>
      </c>
      <c r="Y6" s="77" t="s">
        <v>55</v>
      </c>
      <c r="Z6" s="77" t="s">
        <v>76</v>
      </c>
      <c r="AA6" s="77" t="s">
        <v>43</v>
      </c>
      <c r="AB6" s="167" t="s">
        <v>333</v>
      </c>
      <c r="AC6" s="34"/>
      <c r="AE6" s="22" t="s">
        <v>44</v>
      </c>
      <c r="AG6" s="170" t="s">
        <v>341</v>
      </c>
      <c r="AH6" s="170" t="s">
        <v>342</v>
      </c>
      <c r="AJ6" s="27"/>
      <c r="AL6" s="80" t="s">
        <v>135</v>
      </c>
      <c r="AN6" s="158" t="s">
        <v>136</v>
      </c>
      <c r="AP6" s="80" t="s">
        <v>41</v>
      </c>
      <c r="AR6" s="80" t="s">
        <v>46</v>
      </c>
      <c r="AV6" s="80" t="s">
        <v>47</v>
      </c>
      <c r="AX6" s="24">
        <v>97</v>
      </c>
      <c r="AY6" s="25">
        <v>36</v>
      </c>
      <c r="AZ6" s="25">
        <v>99</v>
      </c>
      <c r="BA6" s="26">
        <v>33</v>
      </c>
    </row>
    <row r="7" spans="1:53" x14ac:dyDescent="0.15">
      <c r="A7" s="167" t="s">
        <v>48</v>
      </c>
      <c r="B7" s="167" t="s">
        <v>329</v>
      </c>
      <c r="C7" s="167">
        <v>2020</v>
      </c>
      <c r="D7" s="168" t="s">
        <v>330</v>
      </c>
      <c r="E7" s="167" t="s">
        <v>331</v>
      </c>
      <c r="F7" s="167" t="s">
        <v>332</v>
      </c>
      <c r="G7" s="167" t="s">
        <v>31</v>
      </c>
      <c r="H7" s="167" t="s">
        <v>164</v>
      </c>
      <c r="I7" s="77" t="s">
        <v>111</v>
      </c>
      <c r="J7" s="77" t="s">
        <v>27</v>
      </c>
      <c r="K7" s="77" t="s">
        <v>112</v>
      </c>
      <c r="L7" s="77">
        <v>3</v>
      </c>
      <c r="N7" s="77">
        <v>4</v>
      </c>
      <c r="O7" s="77">
        <v>0.55000000000000004</v>
      </c>
      <c r="P7" s="77">
        <v>0.55000000000000004</v>
      </c>
      <c r="Q7" s="44">
        <f t="shared" si="0"/>
        <v>0.55000000000000004</v>
      </c>
      <c r="R7" s="77">
        <v>15.1</v>
      </c>
      <c r="S7" s="77">
        <v>95</v>
      </c>
      <c r="T7" s="16">
        <f t="shared" si="1"/>
        <v>36</v>
      </c>
      <c r="U7" s="77">
        <v>298</v>
      </c>
      <c r="V7" s="169">
        <f t="shared" si="2"/>
        <v>2682</v>
      </c>
      <c r="W7" s="77">
        <v>8</v>
      </c>
      <c r="X7" s="77" t="s">
        <v>35</v>
      </c>
      <c r="Y7" s="77" t="s">
        <v>55</v>
      </c>
      <c r="Z7" s="77" t="s">
        <v>76</v>
      </c>
      <c r="AA7" s="77" t="s">
        <v>43</v>
      </c>
      <c r="AB7" s="167" t="s">
        <v>333</v>
      </c>
      <c r="AC7" s="34"/>
      <c r="AE7" s="22" t="s">
        <v>48</v>
      </c>
      <c r="AG7" s="170" t="s">
        <v>343</v>
      </c>
      <c r="AH7" s="170" t="s">
        <v>342</v>
      </c>
      <c r="AJ7" s="27"/>
      <c r="AL7" s="86" t="s">
        <v>137</v>
      </c>
      <c r="AN7" s="158"/>
      <c r="AP7" s="80" t="s">
        <v>45</v>
      </c>
      <c r="AR7" s="80" t="s">
        <v>102</v>
      </c>
      <c r="AV7" s="80" t="s">
        <v>51</v>
      </c>
      <c r="AX7" s="24">
        <v>109</v>
      </c>
      <c r="AY7" s="25">
        <v>33</v>
      </c>
      <c r="AZ7" s="25">
        <v>113</v>
      </c>
      <c r="BA7" s="26">
        <v>30</v>
      </c>
    </row>
    <row r="8" spans="1:53" x14ac:dyDescent="0.15">
      <c r="A8" s="167" t="s">
        <v>48</v>
      </c>
      <c r="B8" s="167" t="s">
        <v>329</v>
      </c>
      <c r="C8" s="167">
        <v>2020</v>
      </c>
      <c r="D8" s="168" t="s">
        <v>330</v>
      </c>
      <c r="E8" s="167" t="s">
        <v>331</v>
      </c>
      <c r="F8" s="167" t="s">
        <v>332</v>
      </c>
      <c r="G8" s="167" t="s">
        <v>31</v>
      </c>
      <c r="H8" s="167" t="s">
        <v>113</v>
      </c>
      <c r="I8" s="77" t="s">
        <v>111</v>
      </c>
      <c r="J8" s="77" t="s">
        <v>27</v>
      </c>
      <c r="K8" s="77" t="s">
        <v>112</v>
      </c>
      <c r="L8" s="77">
        <v>1</v>
      </c>
      <c r="N8" s="77">
        <v>1</v>
      </c>
      <c r="O8" s="77">
        <v>1.05</v>
      </c>
      <c r="P8" s="77">
        <v>1</v>
      </c>
      <c r="Q8" s="44">
        <f t="shared" si="0"/>
        <v>1.0249999999999999</v>
      </c>
      <c r="R8" s="77">
        <v>15.4</v>
      </c>
      <c r="S8" s="77">
        <v>151.5</v>
      </c>
      <c r="T8" s="16">
        <f t="shared" si="1"/>
        <v>22</v>
      </c>
      <c r="U8" s="77">
        <v>128</v>
      </c>
      <c r="V8" s="169">
        <f t="shared" si="2"/>
        <v>2816</v>
      </c>
      <c r="W8" s="77">
        <v>8</v>
      </c>
      <c r="X8" s="77" t="s">
        <v>35</v>
      </c>
      <c r="Y8" s="77" t="s">
        <v>55</v>
      </c>
      <c r="Z8" s="77" t="s">
        <v>76</v>
      </c>
      <c r="AA8" s="77" t="s">
        <v>43</v>
      </c>
      <c r="AB8" s="167" t="s">
        <v>333</v>
      </c>
      <c r="AC8" s="34"/>
      <c r="AE8" s="22" t="s">
        <v>46</v>
      </c>
      <c r="AG8" s="170" t="s">
        <v>344</v>
      </c>
      <c r="AH8" s="170" t="s">
        <v>345</v>
      </c>
      <c r="AJ8" s="28"/>
      <c r="AL8" s="86" t="s">
        <v>110</v>
      </c>
      <c r="AN8" s="158"/>
      <c r="AP8" s="80" t="s">
        <v>49</v>
      </c>
      <c r="AR8" s="80" t="s">
        <v>67</v>
      </c>
      <c r="AV8" s="80" t="s">
        <v>82</v>
      </c>
      <c r="AX8" s="24">
        <v>119</v>
      </c>
      <c r="AY8" s="25">
        <v>30</v>
      </c>
      <c r="AZ8" s="25">
        <v>121</v>
      </c>
      <c r="BA8" s="26">
        <v>27</v>
      </c>
    </row>
    <row r="9" spans="1:53" x14ac:dyDescent="0.15">
      <c r="A9" s="167" t="s">
        <v>48</v>
      </c>
      <c r="B9" s="167" t="s">
        <v>329</v>
      </c>
      <c r="C9" s="167">
        <v>2020</v>
      </c>
      <c r="D9" s="168" t="s">
        <v>330</v>
      </c>
      <c r="E9" s="167" t="s">
        <v>331</v>
      </c>
      <c r="F9" s="167" t="s">
        <v>332</v>
      </c>
      <c r="G9" s="167" t="s">
        <v>31</v>
      </c>
      <c r="H9" s="167" t="s">
        <v>113</v>
      </c>
      <c r="I9" s="77" t="s">
        <v>111</v>
      </c>
      <c r="J9" s="77" t="s">
        <v>27</v>
      </c>
      <c r="K9" s="77" t="s">
        <v>112</v>
      </c>
      <c r="L9" s="77">
        <v>2</v>
      </c>
      <c r="N9" s="77">
        <v>1</v>
      </c>
      <c r="O9" s="34">
        <v>1.3</v>
      </c>
      <c r="P9" s="77">
        <v>1.1499999999999999</v>
      </c>
      <c r="Q9" s="44">
        <f t="shared" si="0"/>
        <v>1.2250000000000001</v>
      </c>
      <c r="R9" s="34">
        <v>11.6</v>
      </c>
      <c r="S9" s="77">
        <v>163</v>
      </c>
      <c r="T9" s="16">
        <f t="shared" si="1"/>
        <v>18</v>
      </c>
      <c r="U9" s="77">
        <v>128</v>
      </c>
      <c r="V9" s="169">
        <f t="shared" si="2"/>
        <v>2304</v>
      </c>
      <c r="W9" s="77">
        <v>8</v>
      </c>
      <c r="X9" s="77" t="s">
        <v>35</v>
      </c>
      <c r="Y9" s="77" t="s">
        <v>55</v>
      </c>
      <c r="Z9" s="77" t="s">
        <v>76</v>
      </c>
      <c r="AA9" s="77" t="s">
        <v>43</v>
      </c>
      <c r="AB9" s="167" t="s">
        <v>333</v>
      </c>
      <c r="AC9" s="34"/>
      <c r="AE9" s="22" t="s">
        <v>83</v>
      </c>
      <c r="AG9" s="170" t="s">
        <v>346</v>
      </c>
      <c r="AH9" s="170" t="s">
        <v>347</v>
      </c>
      <c r="AL9" s="80" t="s">
        <v>139</v>
      </c>
      <c r="AN9" s="158"/>
      <c r="AP9" s="80" t="s">
        <v>80</v>
      </c>
      <c r="AR9" s="80" t="s">
        <v>75</v>
      </c>
      <c r="AV9" s="80" t="s">
        <v>86</v>
      </c>
      <c r="AX9" s="24">
        <v>128</v>
      </c>
      <c r="AY9" s="25">
        <v>27</v>
      </c>
      <c r="AZ9" s="25">
        <v>129</v>
      </c>
      <c r="BA9" s="26">
        <v>25</v>
      </c>
    </row>
    <row r="10" spans="1:53" x14ac:dyDescent="0.15">
      <c r="A10" s="167" t="s">
        <v>48</v>
      </c>
      <c r="B10" s="167" t="s">
        <v>329</v>
      </c>
      <c r="C10" s="167">
        <v>2020</v>
      </c>
      <c r="D10" s="168" t="s">
        <v>330</v>
      </c>
      <c r="E10" s="167" t="s">
        <v>331</v>
      </c>
      <c r="F10" s="167" t="s">
        <v>332</v>
      </c>
      <c r="G10" s="167" t="s">
        <v>31</v>
      </c>
      <c r="H10" s="167" t="s">
        <v>113</v>
      </c>
      <c r="I10" s="77" t="s">
        <v>111</v>
      </c>
      <c r="J10" s="77" t="s">
        <v>27</v>
      </c>
      <c r="K10" s="77" t="s">
        <v>112</v>
      </c>
      <c r="L10" s="77">
        <v>3</v>
      </c>
      <c r="N10" s="77">
        <v>1</v>
      </c>
      <c r="O10" s="34">
        <v>1.05</v>
      </c>
      <c r="P10" s="77">
        <v>1.2</v>
      </c>
      <c r="Q10" s="44">
        <f t="shared" si="0"/>
        <v>1.125</v>
      </c>
      <c r="R10" s="77">
        <v>15</v>
      </c>
      <c r="S10" s="77">
        <v>152.5</v>
      </c>
      <c r="T10" s="16">
        <f t="shared" si="1"/>
        <v>18</v>
      </c>
      <c r="U10" s="77">
        <v>128</v>
      </c>
      <c r="V10" s="169">
        <f t="shared" si="2"/>
        <v>2304</v>
      </c>
      <c r="W10" s="77">
        <v>8</v>
      </c>
      <c r="X10" s="77" t="s">
        <v>35</v>
      </c>
      <c r="Y10" s="77" t="s">
        <v>55</v>
      </c>
      <c r="Z10" s="77" t="s">
        <v>76</v>
      </c>
      <c r="AA10" s="77" t="s">
        <v>43</v>
      </c>
      <c r="AB10" s="167" t="s">
        <v>333</v>
      </c>
      <c r="AC10" s="34"/>
      <c r="AE10" s="22" t="s">
        <v>87</v>
      </c>
      <c r="AG10" s="170" t="s">
        <v>348</v>
      </c>
      <c r="AH10" s="170" t="s">
        <v>349</v>
      </c>
      <c r="AL10" s="158"/>
      <c r="AP10" s="80" t="s">
        <v>84</v>
      </c>
      <c r="AR10" s="80" t="s">
        <v>103</v>
      </c>
      <c r="AV10" s="80" t="s">
        <v>90</v>
      </c>
      <c r="AX10" s="24">
        <v>138</v>
      </c>
      <c r="AY10" s="25">
        <v>25</v>
      </c>
      <c r="AZ10" s="25">
        <v>138</v>
      </c>
      <c r="BA10" s="26">
        <v>22</v>
      </c>
    </row>
    <row r="11" spans="1:53" x14ac:dyDescent="0.15">
      <c r="A11" s="167" t="s">
        <v>48</v>
      </c>
      <c r="B11" s="167" t="s">
        <v>329</v>
      </c>
      <c r="C11" s="167">
        <v>2020</v>
      </c>
      <c r="D11" s="168" t="s">
        <v>330</v>
      </c>
      <c r="E11" s="167" t="s">
        <v>350</v>
      </c>
      <c r="F11" s="167" t="s">
        <v>336</v>
      </c>
      <c r="G11" s="167" t="s">
        <v>25</v>
      </c>
      <c r="H11" s="167" t="s">
        <v>164</v>
      </c>
      <c r="I11" s="77" t="s">
        <v>111</v>
      </c>
      <c r="J11" s="77" t="s">
        <v>27</v>
      </c>
      <c r="K11" s="77" t="s">
        <v>112</v>
      </c>
      <c r="L11" s="77">
        <v>1</v>
      </c>
      <c r="N11" s="77">
        <v>1</v>
      </c>
      <c r="O11" s="77">
        <v>0.7</v>
      </c>
      <c r="P11" s="77">
        <v>0.7</v>
      </c>
      <c r="Q11" s="44">
        <f t="shared" si="0"/>
        <v>0.7</v>
      </c>
      <c r="R11" s="77">
        <v>17.8</v>
      </c>
      <c r="S11" s="77">
        <v>127</v>
      </c>
      <c r="T11" s="16">
        <f t="shared" si="1"/>
        <v>27</v>
      </c>
      <c r="U11" s="77">
        <v>138</v>
      </c>
      <c r="V11" s="169">
        <f t="shared" si="2"/>
        <v>3726</v>
      </c>
      <c r="W11" s="77">
        <v>18</v>
      </c>
      <c r="X11" s="77" t="s">
        <v>35</v>
      </c>
      <c r="Y11" s="77" t="s">
        <v>43</v>
      </c>
      <c r="Z11" s="77" t="s">
        <v>55</v>
      </c>
      <c r="AA11" s="77" t="s">
        <v>76</v>
      </c>
      <c r="AB11" s="167" t="s">
        <v>333</v>
      </c>
      <c r="AC11" s="34"/>
      <c r="AE11" s="22" t="s">
        <v>52</v>
      </c>
      <c r="AG11" s="170" t="s">
        <v>351</v>
      </c>
      <c r="AH11" s="170" t="s">
        <v>349</v>
      </c>
      <c r="AL11" s="174"/>
      <c r="AP11" s="80" t="s">
        <v>88</v>
      </c>
      <c r="AR11" s="80" t="s">
        <v>73</v>
      </c>
      <c r="AV11" s="86" t="s">
        <v>352</v>
      </c>
      <c r="AX11" s="24">
        <v>151</v>
      </c>
      <c r="AY11" s="25">
        <v>22</v>
      </c>
      <c r="AZ11" s="25">
        <v>152</v>
      </c>
      <c r="BA11" s="26">
        <v>18</v>
      </c>
    </row>
    <row r="12" spans="1:53" x14ac:dyDescent="0.15">
      <c r="A12" s="167" t="s">
        <v>48</v>
      </c>
      <c r="B12" s="167" t="s">
        <v>329</v>
      </c>
      <c r="C12" s="167">
        <v>2020</v>
      </c>
      <c r="D12" s="168" t="s">
        <v>330</v>
      </c>
      <c r="E12" s="167" t="s">
        <v>350</v>
      </c>
      <c r="F12" s="167" t="s">
        <v>336</v>
      </c>
      <c r="G12" s="167" t="s">
        <v>25</v>
      </c>
      <c r="H12" s="167" t="s">
        <v>164</v>
      </c>
      <c r="I12" s="77" t="s">
        <v>111</v>
      </c>
      <c r="J12" s="77" t="s">
        <v>27</v>
      </c>
      <c r="K12" s="77" t="s">
        <v>112</v>
      </c>
      <c r="L12" s="77">
        <v>2</v>
      </c>
      <c r="N12" s="77">
        <v>1</v>
      </c>
      <c r="O12" s="77">
        <v>0.8</v>
      </c>
      <c r="P12" s="77">
        <v>0.7</v>
      </c>
      <c r="Q12" s="44">
        <f t="shared" si="0"/>
        <v>0.75</v>
      </c>
      <c r="R12" s="34">
        <v>16.600000000000001</v>
      </c>
      <c r="S12" s="77">
        <v>124.5</v>
      </c>
      <c r="T12" s="16">
        <f t="shared" si="1"/>
        <v>27</v>
      </c>
      <c r="U12" s="77">
        <v>138</v>
      </c>
      <c r="V12" s="169">
        <f t="shared" si="2"/>
        <v>3726</v>
      </c>
      <c r="W12" s="77">
        <v>18</v>
      </c>
      <c r="X12" s="77" t="s">
        <v>35</v>
      </c>
      <c r="Y12" s="77" t="s">
        <v>43</v>
      </c>
      <c r="Z12" s="77" t="s">
        <v>55</v>
      </c>
      <c r="AA12" s="77" t="s">
        <v>76</v>
      </c>
      <c r="AB12" s="167" t="s">
        <v>333</v>
      </c>
      <c r="AC12" s="34"/>
      <c r="AE12" s="22" t="s">
        <v>56</v>
      </c>
      <c r="AG12" s="80"/>
      <c r="AH12" s="22"/>
      <c r="AL12" s="174"/>
      <c r="AP12" s="80" t="s">
        <v>53</v>
      </c>
      <c r="AR12" s="80" t="s">
        <v>104</v>
      </c>
      <c r="AV12" s="86" t="s">
        <v>353</v>
      </c>
      <c r="AX12" s="24">
        <v>180</v>
      </c>
      <c r="AY12" s="25">
        <v>18</v>
      </c>
      <c r="AZ12" s="25">
        <v>181</v>
      </c>
      <c r="BA12" s="26">
        <v>16</v>
      </c>
    </row>
    <row r="13" spans="1:53" x14ac:dyDescent="0.15">
      <c r="A13" s="167" t="s">
        <v>48</v>
      </c>
      <c r="B13" s="167" t="s">
        <v>329</v>
      </c>
      <c r="C13" s="167">
        <v>2020</v>
      </c>
      <c r="D13" s="168" t="s">
        <v>330</v>
      </c>
      <c r="E13" s="167" t="s">
        <v>350</v>
      </c>
      <c r="F13" s="167" t="s">
        <v>336</v>
      </c>
      <c r="G13" s="167" t="s">
        <v>25</v>
      </c>
      <c r="H13" s="167" t="s">
        <v>164</v>
      </c>
      <c r="I13" s="77" t="s">
        <v>111</v>
      </c>
      <c r="J13" s="77" t="s">
        <v>27</v>
      </c>
      <c r="K13" s="77" t="s">
        <v>112</v>
      </c>
      <c r="L13" s="77">
        <v>3</v>
      </c>
      <c r="N13" s="77">
        <v>1</v>
      </c>
      <c r="O13" s="77">
        <v>0.65</v>
      </c>
      <c r="P13" s="77">
        <v>0.65</v>
      </c>
      <c r="Q13" s="44">
        <f t="shared" si="0"/>
        <v>0.65</v>
      </c>
      <c r="R13" s="77">
        <v>15.9</v>
      </c>
      <c r="S13" s="77">
        <v>144</v>
      </c>
      <c r="T13" s="16">
        <f t="shared" si="1"/>
        <v>22</v>
      </c>
      <c r="U13" s="77">
        <v>138</v>
      </c>
      <c r="V13" s="169">
        <f t="shared" si="2"/>
        <v>3036</v>
      </c>
      <c r="W13" s="77">
        <v>18</v>
      </c>
      <c r="X13" s="77" t="s">
        <v>35</v>
      </c>
      <c r="Y13" s="77" t="s">
        <v>43</v>
      </c>
      <c r="Z13" s="77" t="s">
        <v>55</v>
      </c>
      <c r="AA13" s="77" t="s">
        <v>76</v>
      </c>
      <c r="AB13" s="167" t="s">
        <v>333</v>
      </c>
      <c r="AC13" s="34"/>
      <c r="AE13" s="22" t="s">
        <v>59</v>
      </c>
      <c r="AG13" s="80"/>
      <c r="AH13" s="22"/>
      <c r="AL13" s="175"/>
      <c r="AP13" s="80" t="s">
        <v>57</v>
      </c>
      <c r="AR13" s="80" t="s">
        <v>87</v>
      </c>
      <c r="AV13" s="86" t="s">
        <v>354</v>
      </c>
      <c r="AX13" s="24"/>
      <c r="AY13" s="25"/>
      <c r="AZ13" s="25"/>
      <c r="BA13" s="26"/>
    </row>
    <row r="14" spans="1:53" x14ac:dyDescent="0.15">
      <c r="A14" s="167" t="s">
        <v>48</v>
      </c>
      <c r="B14" s="167" t="s">
        <v>329</v>
      </c>
      <c r="C14" s="167">
        <v>2020</v>
      </c>
      <c r="D14" s="168" t="s">
        <v>330</v>
      </c>
      <c r="E14" s="167" t="s">
        <v>350</v>
      </c>
      <c r="F14" s="167" t="s">
        <v>336</v>
      </c>
      <c r="G14" s="167" t="s">
        <v>25</v>
      </c>
      <c r="H14" s="167" t="s">
        <v>164</v>
      </c>
      <c r="I14" s="77" t="s">
        <v>111</v>
      </c>
      <c r="J14" s="77" t="s">
        <v>27</v>
      </c>
      <c r="K14" s="77" t="s">
        <v>112</v>
      </c>
      <c r="L14" s="77">
        <v>1</v>
      </c>
      <c r="N14" s="77">
        <v>4</v>
      </c>
      <c r="O14" s="77">
        <v>0.7</v>
      </c>
      <c r="P14" s="77">
        <v>0.65</v>
      </c>
      <c r="Q14" s="44">
        <f t="shared" si="0"/>
        <v>0.67500000000000004</v>
      </c>
      <c r="R14" s="77">
        <v>19.100000000000001</v>
      </c>
      <c r="S14" s="77">
        <v>112</v>
      </c>
      <c r="T14" s="16">
        <f t="shared" si="1"/>
        <v>33</v>
      </c>
      <c r="U14" s="77">
        <v>398</v>
      </c>
      <c r="V14" s="169">
        <f t="shared" si="2"/>
        <v>3283.5</v>
      </c>
      <c r="W14" s="77">
        <v>18</v>
      </c>
      <c r="X14" s="77" t="s">
        <v>35</v>
      </c>
      <c r="Y14" s="77" t="s">
        <v>43</v>
      </c>
      <c r="Z14" s="77" t="s">
        <v>55</v>
      </c>
      <c r="AA14" s="77" t="s">
        <v>76</v>
      </c>
      <c r="AB14" s="167" t="s">
        <v>333</v>
      </c>
      <c r="AC14" s="34"/>
      <c r="AE14" s="22" t="s">
        <v>62</v>
      </c>
      <c r="AG14" s="80"/>
      <c r="AH14" s="22"/>
      <c r="AL14" s="34"/>
      <c r="AP14" s="80" t="s">
        <v>60</v>
      </c>
      <c r="AR14" s="80" t="s">
        <v>105</v>
      </c>
      <c r="AV14" s="86" t="s">
        <v>355</v>
      </c>
      <c r="AX14" s="24"/>
      <c r="AY14" s="25"/>
      <c r="AZ14" s="25"/>
      <c r="BA14" s="26"/>
    </row>
    <row r="15" spans="1:53" x14ac:dyDescent="0.15">
      <c r="A15" s="167" t="s">
        <v>48</v>
      </c>
      <c r="B15" s="167" t="s">
        <v>329</v>
      </c>
      <c r="C15" s="167">
        <v>2020</v>
      </c>
      <c r="D15" s="168" t="s">
        <v>330</v>
      </c>
      <c r="E15" s="167" t="s">
        <v>350</v>
      </c>
      <c r="F15" s="167" t="s">
        <v>336</v>
      </c>
      <c r="G15" s="167" t="s">
        <v>25</v>
      </c>
      <c r="H15" s="167" t="s">
        <v>164</v>
      </c>
      <c r="I15" s="77" t="s">
        <v>111</v>
      </c>
      <c r="J15" s="77" t="s">
        <v>27</v>
      </c>
      <c r="K15" s="77" t="s">
        <v>112</v>
      </c>
      <c r="L15" s="77">
        <v>2</v>
      </c>
      <c r="N15" s="77">
        <v>4</v>
      </c>
      <c r="O15" s="77">
        <v>0.6</v>
      </c>
      <c r="P15" s="77">
        <v>0.6</v>
      </c>
      <c r="Q15" s="44">
        <f t="shared" si="0"/>
        <v>0.6</v>
      </c>
      <c r="R15" s="34">
        <v>16.8</v>
      </c>
      <c r="S15" s="77">
        <v>113.5</v>
      </c>
      <c r="T15" s="16">
        <f t="shared" si="1"/>
        <v>30</v>
      </c>
      <c r="U15" s="77">
        <v>398</v>
      </c>
      <c r="V15" s="169">
        <f t="shared" si="2"/>
        <v>2985</v>
      </c>
      <c r="W15" s="77">
        <v>18</v>
      </c>
      <c r="X15" s="77" t="s">
        <v>35</v>
      </c>
      <c r="Y15" s="77" t="s">
        <v>43</v>
      </c>
      <c r="Z15" s="77" t="s">
        <v>55</v>
      </c>
      <c r="AA15" s="77" t="s">
        <v>76</v>
      </c>
      <c r="AB15" s="167" t="s">
        <v>333</v>
      </c>
      <c r="AC15" s="34"/>
      <c r="AE15" s="22" t="s">
        <v>65</v>
      </c>
      <c r="AG15" s="80"/>
      <c r="AH15" s="80"/>
      <c r="AL15" s="34"/>
      <c r="AP15" s="80" t="s">
        <v>63</v>
      </c>
      <c r="AR15" s="80" t="s">
        <v>79</v>
      </c>
      <c r="AV15" s="86" t="s">
        <v>356</v>
      </c>
      <c r="AX15" s="31"/>
      <c r="AY15" s="32"/>
      <c r="AZ15" s="32"/>
      <c r="BA15" s="33"/>
    </row>
    <row r="16" spans="1:53" x14ac:dyDescent="0.15">
      <c r="A16" s="167" t="s">
        <v>48</v>
      </c>
      <c r="B16" s="167" t="s">
        <v>329</v>
      </c>
      <c r="C16" s="167">
        <v>2020</v>
      </c>
      <c r="D16" s="168" t="s">
        <v>330</v>
      </c>
      <c r="E16" s="167" t="s">
        <v>350</v>
      </c>
      <c r="F16" s="167" t="s">
        <v>336</v>
      </c>
      <c r="G16" s="167" t="s">
        <v>25</v>
      </c>
      <c r="H16" s="167" t="s">
        <v>164</v>
      </c>
      <c r="I16" s="77" t="s">
        <v>111</v>
      </c>
      <c r="J16" s="77" t="s">
        <v>27</v>
      </c>
      <c r="K16" s="77" t="s">
        <v>112</v>
      </c>
      <c r="L16" s="77">
        <v>3</v>
      </c>
      <c r="N16" s="77">
        <v>4</v>
      </c>
      <c r="O16" s="77">
        <v>0.6</v>
      </c>
      <c r="P16" s="77">
        <v>0.6</v>
      </c>
      <c r="Q16" s="44">
        <f t="shared" si="0"/>
        <v>0.6</v>
      </c>
      <c r="R16" s="77">
        <v>15.2</v>
      </c>
      <c r="S16" s="77">
        <v>107.5</v>
      </c>
      <c r="T16" s="16">
        <f t="shared" si="1"/>
        <v>33</v>
      </c>
      <c r="U16" s="77">
        <v>398</v>
      </c>
      <c r="V16" s="169">
        <f t="shared" si="2"/>
        <v>3283.5</v>
      </c>
      <c r="W16" s="77">
        <v>18</v>
      </c>
      <c r="X16" s="77" t="s">
        <v>35</v>
      </c>
      <c r="Y16" s="77" t="s">
        <v>43</v>
      </c>
      <c r="Z16" s="77" t="s">
        <v>55</v>
      </c>
      <c r="AA16" s="77" t="s">
        <v>76</v>
      </c>
      <c r="AB16" s="167" t="s">
        <v>333</v>
      </c>
      <c r="AC16" s="34"/>
      <c r="AE16" s="22" t="s">
        <v>68</v>
      </c>
      <c r="AG16" s="80"/>
      <c r="AH16" s="80"/>
      <c r="AP16" s="80" t="s">
        <v>66</v>
      </c>
      <c r="AR16" s="80" t="s">
        <v>50</v>
      </c>
      <c r="AV16" s="86" t="s">
        <v>357</v>
      </c>
    </row>
    <row r="17" spans="1:48" x14ac:dyDescent="0.15">
      <c r="A17" s="167" t="s">
        <v>48</v>
      </c>
      <c r="B17" s="167" t="s">
        <v>329</v>
      </c>
      <c r="C17" s="167">
        <v>2020</v>
      </c>
      <c r="D17" s="168" t="s">
        <v>330</v>
      </c>
      <c r="E17" s="167" t="s">
        <v>350</v>
      </c>
      <c r="F17" s="167" t="s">
        <v>336</v>
      </c>
      <c r="G17" s="167" t="s">
        <v>25</v>
      </c>
      <c r="H17" s="167" t="s">
        <v>164</v>
      </c>
      <c r="I17" s="77" t="s">
        <v>111</v>
      </c>
      <c r="J17" s="77" t="s">
        <v>27</v>
      </c>
      <c r="K17" s="77" t="s">
        <v>112</v>
      </c>
      <c r="L17" s="77">
        <v>1</v>
      </c>
      <c r="N17" s="77">
        <v>8</v>
      </c>
      <c r="O17" s="77">
        <v>0.6</v>
      </c>
      <c r="P17" s="77">
        <v>0.55000000000000004</v>
      </c>
      <c r="Q17" s="44">
        <f t="shared" si="0"/>
        <v>0.57499999999999996</v>
      </c>
      <c r="R17" s="77">
        <v>14.9</v>
      </c>
      <c r="S17" s="77">
        <v>117.5</v>
      </c>
      <c r="T17" s="16">
        <f t="shared" si="1"/>
        <v>30</v>
      </c>
      <c r="U17" s="77">
        <v>880</v>
      </c>
      <c r="V17" s="169">
        <f t="shared" si="2"/>
        <v>3300</v>
      </c>
      <c r="W17" s="77">
        <v>18</v>
      </c>
      <c r="X17" s="77" t="s">
        <v>35</v>
      </c>
      <c r="Y17" s="77" t="s">
        <v>43</v>
      </c>
      <c r="Z17" s="77" t="s">
        <v>55</v>
      </c>
      <c r="AA17" s="77" t="s">
        <v>76</v>
      </c>
      <c r="AB17" s="167" t="s">
        <v>333</v>
      </c>
      <c r="AC17" s="34"/>
      <c r="AE17" s="22" t="s">
        <v>71</v>
      </c>
      <c r="AP17" s="27" t="s">
        <v>93</v>
      </c>
      <c r="AR17" s="80" t="s">
        <v>81</v>
      </c>
      <c r="AV17" s="86" t="s">
        <v>358</v>
      </c>
    </row>
    <row r="18" spans="1:48" x14ac:dyDescent="0.15">
      <c r="A18" s="167" t="s">
        <v>48</v>
      </c>
      <c r="B18" s="167" t="s">
        <v>329</v>
      </c>
      <c r="C18" s="167">
        <v>2020</v>
      </c>
      <c r="D18" s="168" t="s">
        <v>330</v>
      </c>
      <c r="E18" s="167" t="s">
        <v>350</v>
      </c>
      <c r="F18" s="167" t="s">
        <v>336</v>
      </c>
      <c r="G18" s="167" t="s">
        <v>25</v>
      </c>
      <c r="H18" s="167" t="s">
        <v>164</v>
      </c>
      <c r="I18" s="77" t="s">
        <v>111</v>
      </c>
      <c r="J18" s="77" t="s">
        <v>27</v>
      </c>
      <c r="K18" s="77" t="s">
        <v>112</v>
      </c>
      <c r="L18" s="77">
        <v>2</v>
      </c>
      <c r="N18" s="77">
        <v>8</v>
      </c>
      <c r="O18" s="77">
        <v>0.55000000000000004</v>
      </c>
      <c r="P18" s="77">
        <v>0.5</v>
      </c>
      <c r="Q18" s="44">
        <f t="shared" si="0"/>
        <v>0.52500000000000002</v>
      </c>
      <c r="R18" s="34">
        <v>15.6</v>
      </c>
      <c r="S18" s="77">
        <v>120</v>
      </c>
      <c r="T18" s="16">
        <f t="shared" si="1"/>
        <v>30</v>
      </c>
      <c r="U18" s="77">
        <v>880</v>
      </c>
      <c r="V18" s="169">
        <f t="shared" si="2"/>
        <v>3300</v>
      </c>
      <c r="W18" s="77">
        <v>18</v>
      </c>
      <c r="X18" s="77" t="s">
        <v>35</v>
      </c>
      <c r="Y18" s="77" t="s">
        <v>43</v>
      </c>
      <c r="Z18" s="77" t="s">
        <v>55</v>
      </c>
      <c r="AA18" s="77" t="s">
        <v>76</v>
      </c>
      <c r="AB18" s="167" t="s">
        <v>333</v>
      </c>
      <c r="AC18" s="34"/>
      <c r="AE18" s="22" t="s">
        <v>73</v>
      </c>
      <c r="AP18" s="27" t="s">
        <v>94</v>
      </c>
      <c r="AR18" s="80" t="s">
        <v>85</v>
      </c>
      <c r="AV18" s="86" t="s">
        <v>114</v>
      </c>
    </row>
    <row r="19" spans="1:48" x14ac:dyDescent="0.15">
      <c r="A19" s="167" t="s">
        <v>48</v>
      </c>
      <c r="B19" s="167" t="s">
        <v>329</v>
      </c>
      <c r="C19" s="167">
        <v>2020</v>
      </c>
      <c r="D19" s="168" t="s">
        <v>330</v>
      </c>
      <c r="E19" s="167" t="s">
        <v>350</v>
      </c>
      <c r="F19" s="167" t="s">
        <v>336</v>
      </c>
      <c r="G19" s="167" t="s">
        <v>25</v>
      </c>
      <c r="H19" s="167" t="s">
        <v>164</v>
      </c>
      <c r="I19" s="77" t="s">
        <v>111</v>
      </c>
      <c r="J19" s="77" t="s">
        <v>27</v>
      </c>
      <c r="K19" s="77" t="s">
        <v>112</v>
      </c>
      <c r="L19" s="77">
        <v>3</v>
      </c>
      <c r="N19" s="77">
        <v>8</v>
      </c>
      <c r="O19" s="34">
        <v>0.5</v>
      </c>
      <c r="P19" s="77">
        <v>0.5</v>
      </c>
      <c r="Q19" s="44">
        <f t="shared" si="0"/>
        <v>0.5</v>
      </c>
      <c r="R19" s="77">
        <v>16.399999999999999</v>
      </c>
      <c r="S19" s="77">
        <v>120.5</v>
      </c>
      <c r="T19" s="16">
        <f t="shared" si="1"/>
        <v>30</v>
      </c>
      <c r="U19" s="77">
        <v>880</v>
      </c>
      <c r="V19" s="169">
        <f t="shared" si="2"/>
        <v>3300</v>
      </c>
      <c r="W19" s="77">
        <v>18</v>
      </c>
      <c r="X19" s="77" t="s">
        <v>35</v>
      </c>
      <c r="Y19" s="77" t="s">
        <v>43</v>
      </c>
      <c r="Z19" s="77" t="s">
        <v>55</v>
      </c>
      <c r="AA19" s="77" t="s">
        <v>76</v>
      </c>
      <c r="AB19" s="167" t="s">
        <v>333</v>
      </c>
      <c r="AC19" s="34"/>
      <c r="AE19" s="35" t="s">
        <v>75</v>
      </c>
      <c r="AP19" s="27" t="s">
        <v>95</v>
      </c>
      <c r="AR19" s="80" t="s">
        <v>106</v>
      </c>
      <c r="AV19" s="86" t="s">
        <v>359</v>
      </c>
    </row>
    <row r="20" spans="1:48" x14ac:dyDescent="0.15">
      <c r="A20" s="167" t="s">
        <v>48</v>
      </c>
      <c r="B20" s="167" t="s">
        <v>329</v>
      </c>
      <c r="C20" s="167">
        <v>2020</v>
      </c>
      <c r="D20" s="168" t="s">
        <v>330</v>
      </c>
      <c r="E20" s="167" t="s">
        <v>350</v>
      </c>
      <c r="F20" s="167" t="s">
        <v>336</v>
      </c>
      <c r="G20" s="167" t="s">
        <v>25</v>
      </c>
      <c r="H20" s="167" t="s">
        <v>113</v>
      </c>
      <c r="I20" s="77" t="s">
        <v>111</v>
      </c>
      <c r="J20" s="77" t="s">
        <v>27</v>
      </c>
      <c r="K20" s="77" t="s">
        <v>112</v>
      </c>
      <c r="L20" s="77">
        <v>1</v>
      </c>
      <c r="N20" s="77">
        <v>1</v>
      </c>
      <c r="O20" s="77">
        <v>1.1000000000000001</v>
      </c>
      <c r="P20" s="77">
        <v>0.9</v>
      </c>
      <c r="Q20" s="44">
        <f t="shared" si="0"/>
        <v>1</v>
      </c>
      <c r="R20" s="77">
        <v>16.3</v>
      </c>
      <c r="S20" s="77">
        <v>133</v>
      </c>
      <c r="T20" s="16">
        <f t="shared" si="1"/>
        <v>25</v>
      </c>
      <c r="U20" s="77">
        <v>128</v>
      </c>
      <c r="V20" s="169">
        <f t="shared" si="2"/>
        <v>3200</v>
      </c>
      <c r="W20" s="77">
        <v>18</v>
      </c>
      <c r="X20" s="77" t="s">
        <v>35</v>
      </c>
      <c r="Y20" s="77" t="s">
        <v>43</v>
      </c>
      <c r="Z20" s="77" t="s">
        <v>55</v>
      </c>
      <c r="AA20" s="77" t="s">
        <v>76</v>
      </c>
      <c r="AB20" s="167" t="s">
        <v>333</v>
      </c>
      <c r="AC20" s="34"/>
      <c r="AE20" s="22"/>
      <c r="AP20" s="27" t="s">
        <v>96</v>
      </c>
      <c r="AR20" s="80" t="s">
        <v>89</v>
      </c>
      <c r="AV20" s="86" t="s">
        <v>360</v>
      </c>
    </row>
    <row r="21" spans="1:48" x14ac:dyDescent="0.15">
      <c r="A21" s="167" t="s">
        <v>48</v>
      </c>
      <c r="B21" s="167" t="s">
        <v>329</v>
      </c>
      <c r="C21" s="167">
        <v>2020</v>
      </c>
      <c r="D21" s="168" t="s">
        <v>330</v>
      </c>
      <c r="E21" s="167" t="s">
        <v>350</v>
      </c>
      <c r="F21" s="167" t="s">
        <v>336</v>
      </c>
      <c r="G21" s="167" t="s">
        <v>25</v>
      </c>
      <c r="H21" s="167" t="s">
        <v>113</v>
      </c>
      <c r="I21" s="77" t="s">
        <v>111</v>
      </c>
      <c r="J21" s="77" t="s">
        <v>27</v>
      </c>
      <c r="K21" s="77" t="s">
        <v>112</v>
      </c>
      <c r="L21" s="77">
        <v>2</v>
      </c>
      <c r="N21" s="77">
        <v>1</v>
      </c>
      <c r="O21" s="77">
        <v>0.8</v>
      </c>
      <c r="P21" s="77">
        <v>0.7</v>
      </c>
      <c r="Q21" s="44">
        <f t="shared" si="0"/>
        <v>0.75</v>
      </c>
      <c r="R21" s="77">
        <v>15.3</v>
      </c>
      <c r="S21" s="77">
        <v>137.5</v>
      </c>
      <c r="T21" s="16">
        <f t="shared" si="1"/>
        <v>25</v>
      </c>
      <c r="U21" s="77">
        <v>128</v>
      </c>
      <c r="V21" s="169">
        <f t="shared" si="2"/>
        <v>3200</v>
      </c>
      <c r="W21" s="77">
        <v>18</v>
      </c>
      <c r="X21" s="77" t="s">
        <v>35</v>
      </c>
      <c r="Y21" s="77" t="s">
        <v>43</v>
      </c>
      <c r="Z21" s="77" t="s">
        <v>55</v>
      </c>
      <c r="AA21" s="77" t="s">
        <v>76</v>
      </c>
      <c r="AB21" s="167" t="s">
        <v>333</v>
      </c>
      <c r="AC21" s="34"/>
      <c r="AE21" s="22"/>
      <c r="AP21" s="27" t="s">
        <v>97</v>
      </c>
      <c r="AR21" s="80" t="s">
        <v>54</v>
      </c>
      <c r="AV21" s="86" t="s">
        <v>361</v>
      </c>
    </row>
    <row r="22" spans="1:48" x14ac:dyDescent="0.15">
      <c r="A22" s="167" t="s">
        <v>48</v>
      </c>
      <c r="B22" s="167" t="s">
        <v>329</v>
      </c>
      <c r="C22" s="167">
        <v>2020</v>
      </c>
      <c r="D22" s="168" t="s">
        <v>330</v>
      </c>
      <c r="E22" s="167" t="s">
        <v>350</v>
      </c>
      <c r="F22" s="167" t="s">
        <v>336</v>
      </c>
      <c r="G22" s="167" t="s">
        <v>25</v>
      </c>
      <c r="H22" s="167" t="s">
        <v>113</v>
      </c>
      <c r="I22" s="77" t="s">
        <v>111</v>
      </c>
      <c r="J22" s="77" t="s">
        <v>27</v>
      </c>
      <c r="K22" s="77" t="s">
        <v>112</v>
      </c>
      <c r="L22" s="77">
        <v>3</v>
      </c>
      <c r="N22" s="77">
        <v>1</v>
      </c>
      <c r="O22" s="34">
        <v>0.65</v>
      </c>
      <c r="P22" s="77">
        <v>0.7</v>
      </c>
      <c r="Q22" s="44">
        <f t="shared" si="0"/>
        <v>0.67500000000000004</v>
      </c>
      <c r="R22" s="77">
        <v>15.4</v>
      </c>
      <c r="S22" s="77">
        <v>129.5</v>
      </c>
      <c r="T22" s="16">
        <f t="shared" si="1"/>
        <v>25</v>
      </c>
      <c r="U22" s="77">
        <v>128</v>
      </c>
      <c r="V22" s="169">
        <f t="shared" si="2"/>
        <v>3200</v>
      </c>
      <c r="W22" s="77">
        <v>18</v>
      </c>
      <c r="X22" s="77" t="s">
        <v>35</v>
      </c>
      <c r="Y22" s="77" t="s">
        <v>43</v>
      </c>
      <c r="Z22" s="77" t="s">
        <v>55</v>
      </c>
      <c r="AA22" s="77" t="s">
        <v>76</v>
      </c>
      <c r="AB22" s="167" t="s">
        <v>333</v>
      </c>
      <c r="AC22" s="34"/>
      <c r="AE22" s="35"/>
      <c r="AP22" s="27" t="s">
        <v>98</v>
      </c>
      <c r="AR22" s="80" t="s">
        <v>69</v>
      </c>
      <c r="AV22" s="80"/>
    </row>
    <row r="23" spans="1:48" x14ac:dyDescent="0.15">
      <c r="A23" s="167" t="s">
        <v>48</v>
      </c>
      <c r="B23" s="167" t="s">
        <v>329</v>
      </c>
      <c r="C23" s="167">
        <v>2020</v>
      </c>
      <c r="D23" s="168" t="s">
        <v>330</v>
      </c>
      <c r="E23" s="167" t="s">
        <v>350</v>
      </c>
      <c r="F23" s="167" t="s">
        <v>336</v>
      </c>
      <c r="G23" s="167" t="s">
        <v>25</v>
      </c>
      <c r="H23" s="167" t="s">
        <v>113</v>
      </c>
      <c r="I23" s="77" t="s">
        <v>111</v>
      </c>
      <c r="J23" s="77" t="s">
        <v>420</v>
      </c>
      <c r="K23" s="77" t="s">
        <v>112</v>
      </c>
      <c r="L23" s="77">
        <v>1</v>
      </c>
      <c r="N23" s="77">
        <v>7</v>
      </c>
      <c r="O23" s="77">
        <v>1.45</v>
      </c>
      <c r="P23" s="77">
        <v>1.2</v>
      </c>
      <c r="Q23" s="44">
        <f t="shared" si="0"/>
        <v>1.325</v>
      </c>
      <c r="R23" s="77">
        <v>14.2</v>
      </c>
      <c r="S23" s="77">
        <v>123.5</v>
      </c>
      <c r="T23" s="16">
        <f t="shared" si="1"/>
        <v>27</v>
      </c>
      <c r="U23" s="77">
        <v>598</v>
      </c>
      <c r="V23" s="169">
        <f t="shared" si="2"/>
        <v>2306.5714285714284</v>
      </c>
      <c r="W23" s="77">
        <v>18</v>
      </c>
      <c r="X23" s="77" t="s">
        <v>35</v>
      </c>
      <c r="Y23" s="77" t="s">
        <v>43</v>
      </c>
      <c r="Z23" s="77" t="s">
        <v>55</v>
      </c>
      <c r="AA23" s="77" t="s">
        <v>76</v>
      </c>
      <c r="AB23" s="167" t="s">
        <v>333</v>
      </c>
      <c r="AC23" s="34"/>
      <c r="AE23" s="22"/>
      <c r="AP23" s="27" t="s">
        <v>116</v>
      </c>
      <c r="AR23" s="80" t="s">
        <v>48</v>
      </c>
    </row>
    <row r="24" spans="1:48" x14ac:dyDescent="0.15">
      <c r="A24" s="167" t="s">
        <v>48</v>
      </c>
      <c r="B24" s="167" t="s">
        <v>329</v>
      </c>
      <c r="C24" s="167">
        <v>2020</v>
      </c>
      <c r="D24" s="168" t="s">
        <v>330</v>
      </c>
      <c r="E24" s="167" t="s">
        <v>350</v>
      </c>
      <c r="F24" s="167" t="s">
        <v>336</v>
      </c>
      <c r="G24" s="167" t="s">
        <v>25</v>
      </c>
      <c r="H24" s="167" t="s">
        <v>113</v>
      </c>
      <c r="I24" s="77" t="s">
        <v>111</v>
      </c>
      <c r="J24" s="77" t="s">
        <v>27</v>
      </c>
      <c r="K24" s="77" t="s">
        <v>112</v>
      </c>
      <c r="L24" s="77">
        <v>2</v>
      </c>
      <c r="N24" s="77">
        <v>7</v>
      </c>
      <c r="O24" s="77">
        <v>0.95</v>
      </c>
      <c r="P24" s="77">
        <v>0.65</v>
      </c>
      <c r="Q24" s="44">
        <f t="shared" si="0"/>
        <v>0.8</v>
      </c>
      <c r="R24" s="77">
        <v>16.100000000000001</v>
      </c>
      <c r="S24" s="77">
        <v>119.5</v>
      </c>
      <c r="T24" s="16">
        <f t="shared" si="1"/>
        <v>30</v>
      </c>
      <c r="U24" s="77">
        <v>598</v>
      </c>
      <c r="V24" s="169">
        <f t="shared" si="2"/>
        <v>2562.8571428571431</v>
      </c>
      <c r="W24" s="77">
        <v>18</v>
      </c>
      <c r="X24" s="77" t="s">
        <v>35</v>
      </c>
      <c r="Y24" s="77" t="s">
        <v>43</v>
      </c>
      <c r="Z24" s="77" t="s">
        <v>55</v>
      </c>
      <c r="AA24" s="77" t="s">
        <v>76</v>
      </c>
      <c r="AB24" s="167" t="s">
        <v>333</v>
      </c>
      <c r="AC24" s="34"/>
      <c r="AE24" s="22"/>
      <c r="AP24" s="27" t="s">
        <v>117</v>
      </c>
      <c r="AR24" s="80" t="s">
        <v>77</v>
      </c>
    </row>
    <row r="25" spans="1:48" x14ac:dyDescent="0.15">
      <c r="A25" s="167" t="s">
        <v>48</v>
      </c>
      <c r="B25" s="167" t="s">
        <v>329</v>
      </c>
      <c r="C25" s="167">
        <v>2020</v>
      </c>
      <c r="D25" s="168" t="s">
        <v>330</v>
      </c>
      <c r="E25" s="167" t="s">
        <v>350</v>
      </c>
      <c r="F25" s="167" t="s">
        <v>336</v>
      </c>
      <c r="G25" s="167" t="s">
        <v>25</v>
      </c>
      <c r="H25" s="167" t="s">
        <v>113</v>
      </c>
      <c r="I25" s="77" t="s">
        <v>111</v>
      </c>
      <c r="J25" s="77" t="s">
        <v>27</v>
      </c>
      <c r="K25" s="77" t="s">
        <v>112</v>
      </c>
      <c r="L25" s="77">
        <v>3</v>
      </c>
      <c r="N25" s="77">
        <v>7</v>
      </c>
      <c r="O25" s="34">
        <v>0.85</v>
      </c>
      <c r="P25" s="77">
        <v>0.7</v>
      </c>
      <c r="Q25" s="44">
        <f t="shared" si="0"/>
        <v>0.77499999999999991</v>
      </c>
      <c r="R25" s="77">
        <v>14.6</v>
      </c>
      <c r="S25" s="77">
        <v>118.5</v>
      </c>
      <c r="T25" s="16">
        <f t="shared" si="1"/>
        <v>30</v>
      </c>
      <c r="U25" s="77">
        <v>598</v>
      </c>
      <c r="V25" s="169">
        <f t="shared" si="2"/>
        <v>2562.8571428571431</v>
      </c>
      <c r="W25" s="77">
        <v>18</v>
      </c>
      <c r="X25" s="77" t="s">
        <v>35</v>
      </c>
      <c r="Y25" s="77" t="s">
        <v>43</v>
      </c>
      <c r="Z25" s="77" t="s">
        <v>55</v>
      </c>
      <c r="AA25" s="77" t="s">
        <v>76</v>
      </c>
      <c r="AB25" s="167" t="s">
        <v>333</v>
      </c>
      <c r="AC25" s="34"/>
      <c r="AE25" s="35"/>
      <c r="AP25" s="27" t="s">
        <v>99</v>
      </c>
      <c r="AR25" s="27" t="s">
        <v>78</v>
      </c>
    </row>
    <row r="26" spans="1:48" x14ac:dyDescent="0.15">
      <c r="A26" s="167" t="s">
        <v>48</v>
      </c>
      <c r="B26" s="167" t="s">
        <v>329</v>
      </c>
      <c r="C26" s="167">
        <v>2020</v>
      </c>
      <c r="D26" s="168" t="s">
        <v>330</v>
      </c>
      <c r="E26" s="167" t="s">
        <v>350</v>
      </c>
      <c r="F26" s="167" t="s">
        <v>336</v>
      </c>
      <c r="G26" s="167" t="s">
        <v>25</v>
      </c>
      <c r="H26" s="167" t="s">
        <v>165</v>
      </c>
      <c r="I26" s="77" t="s">
        <v>111</v>
      </c>
      <c r="J26" s="77" t="s">
        <v>27</v>
      </c>
      <c r="K26" s="77" t="s">
        <v>112</v>
      </c>
      <c r="L26" s="77">
        <v>1</v>
      </c>
      <c r="N26" s="77">
        <v>4</v>
      </c>
      <c r="O26" s="77">
        <v>0.7</v>
      </c>
      <c r="P26" s="34">
        <v>0.55000000000000004</v>
      </c>
      <c r="Q26" s="44">
        <f t="shared" si="0"/>
        <v>0.625</v>
      </c>
      <c r="R26" s="77">
        <v>17.7</v>
      </c>
      <c r="S26" s="77">
        <v>90</v>
      </c>
      <c r="T26" s="16">
        <f t="shared" si="1"/>
        <v>36</v>
      </c>
      <c r="U26" s="77">
        <v>298</v>
      </c>
      <c r="V26" s="169">
        <f t="shared" si="2"/>
        <v>2682</v>
      </c>
      <c r="W26" s="77">
        <v>18</v>
      </c>
      <c r="X26" s="77" t="s">
        <v>35</v>
      </c>
      <c r="Y26" s="77" t="s">
        <v>43</v>
      </c>
      <c r="Z26" s="77" t="s">
        <v>55</v>
      </c>
      <c r="AA26" s="77" t="s">
        <v>76</v>
      </c>
      <c r="AB26" s="167" t="s">
        <v>333</v>
      </c>
      <c r="AC26" s="34"/>
      <c r="AD26" s="34"/>
      <c r="AE26" s="35"/>
      <c r="AP26" s="27" t="s">
        <v>100</v>
      </c>
      <c r="AR26" s="80" t="s">
        <v>138</v>
      </c>
    </row>
    <row r="27" spans="1:48" x14ac:dyDescent="0.15">
      <c r="A27" s="167" t="s">
        <v>48</v>
      </c>
      <c r="B27" s="167" t="s">
        <v>329</v>
      </c>
      <c r="C27" s="167">
        <v>2020</v>
      </c>
      <c r="D27" s="168" t="s">
        <v>330</v>
      </c>
      <c r="E27" s="167" t="s">
        <v>350</v>
      </c>
      <c r="F27" s="167" t="s">
        <v>336</v>
      </c>
      <c r="G27" s="167" t="s">
        <v>25</v>
      </c>
      <c r="H27" s="167" t="s">
        <v>165</v>
      </c>
      <c r="I27" s="77" t="s">
        <v>111</v>
      </c>
      <c r="J27" s="77" t="s">
        <v>27</v>
      </c>
      <c r="K27" s="77" t="s">
        <v>112</v>
      </c>
      <c r="L27" s="77">
        <v>2</v>
      </c>
      <c r="N27" s="77">
        <v>4</v>
      </c>
      <c r="O27" s="77">
        <v>0.75</v>
      </c>
      <c r="P27" s="34">
        <v>0.8</v>
      </c>
      <c r="Q27" s="44">
        <f t="shared" si="0"/>
        <v>0.77500000000000002</v>
      </c>
      <c r="R27" s="77">
        <v>19.3</v>
      </c>
      <c r="S27" s="77">
        <v>94.5</v>
      </c>
      <c r="T27" s="16">
        <f t="shared" si="1"/>
        <v>36</v>
      </c>
      <c r="U27" s="77">
        <v>298</v>
      </c>
      <c r="V27" s="169">
        <f t="shared" si="2"/>
        <v>2682</v>
      </c>
      <c r="W27" s="77">
        <v>18</v>
      </c>
      <c r="X27" s="77" t="s">
        <v>35</v>
      </c>
      <c r="Y27" s="77" t="s">
        <v>43</v>
      </c>
      <c r="Z27" s="77" t="s">
        <v>55</v>
      </c>
      <c r="AA27" s="77" t="s">
        <v>76</v>
      </c>
      <c r="AB27" s="167" t="s">
        <v>333</v>
      </c>
      <c r="AC27" s="34"/>
      <c r="AD27" s="34"/>
      <c r="AE27" s="28"/>
      <c r="AP27" s="27" t="s">
        <v>101</v>
      </c>
      <c r="AR27" s="80" t="s">
        <v>159</v>
      </c>
    </row>
    <row r="28" spans="1:48" x14ac:dyDescent="0.15">
      <c r="A28" s="167" t="s">
        <v>48</v>
      </c>
      <c r="B28" s="167" t="s">
        <v>329</v>
      </c>
      <c r="C28" s="167">
        <v>2020</v>
      </c>
      <c r="D28" s="168" t="s">
        <v>330</v>
      </c>
      <c r="E28" s="167" t="s">
        <v>350</v>
      </c>
      <c r="F28" s="167" t="s">
        <v>336</v>
      </c>
      <c r="G28" s="167" t="s">
        <v>25</v>
      </c>
      <c r="H28" s="167" t="s">
        <v>165</v>
      </c>
      <c r="I28" s="77" t="s">
        <v>111</v>
      </c>
      <c r="J28" s="77" t="s">
        <v>27</v>
      </c>
      <c r="K28" s="77" t="s">
        <v>112</v>
      </c>
      <c r="L28" s="77">
        <v>3</v>
      </c>
      <c r="N28" s="77">
        <v>4</v>
      </c>
      <c r="O28" s="77">
        <v>0.75</v>
      </c>
      <c r="P28" s="34">
        <v>0.95</v>
      </c>
      <c r="Q28" s="44">
        <f t="shared" si="0"/>
        <v>0.85</v>
      </c>
      <c r="R28" s="77">
        <v>18.3</v>
      </c>
      <c r="S28" s="77">
        <v>97</v>
      </c>
      <c r="T28" s="16">
        <f t="shared" si="1"/>
        <v>36</v>
      </c>
      <c r="U28" s="77">
        <v>298</v>
      </c>
      <c r="V28" s="169">
        <f t="shared" si="2"/>
        <v>2682</v>
      </c>
      <c r="W28" s="77">
        <v>18</v>
      </c>
      <c r="X28" s="77" t="s">
        <v>35</v>
      </c>
      <c r="Y28" s="77" t="s">
        <v>43</v>
      </c>
      <c r="Z28" s="77" t="s">
        <v>55</v>
      </c>
      <c r="AA28" s="77" t="s">
        <v>76</v>
      </c>
      <c r="AB28" s="167" t="s">
        <v>333</v>
      </c>
      <c r="AC28" s="34"/>
      <c r="AD28" s="34"/>
      <c r="AP28" s="27" t="s">
        <v>156</v>
      </c>
      <c r="AR28" s="80" t="s">
        <v>158</v>
      </c>
    </row>
    <row r="29" spans="1:48" x14ac:dyDescent="0.15">
      <c r="A29" s="167" t="s">
        <v>48</v>
      </c>
      <c r="B29" s="167" t="s">
        <v>329</v>
      </c>
      <c r="C29" s="167">
        <v>2020</v>
      </c>
      <c r="D29" s="168" t="s">
        <v>330</v>
      </c>
      <c r="E29" s="167" t="s">
        <v>350</v>
      </c>
      <c r="F29" s="167" t="s">
        <v>336</v>
      </c>
      <c r="G29" s="167" t="s">
        <v>25</v>
      </c>
      <c r="H29" s="167" t="s">
        <v>107</v>
      </c>
      <c r="I29" s="77" t="s">
        <v>111</v>
      </c>
      <c r="J29" s="77" t="s">
        <v>66</v>
      </c>
      <c r="K29" s="77" t="s">
        <v>50</v>
      </c>
      <c r="L29" s="77">
        <v>1</v>
      </c>
      <c r="N29" s="77">
        <v>4</v>
      </c>
      <c r="O29" s="77">
        <v>1</v>
      </c>
      <c r="P29" s="77">
        <v>0.9</v>
      </c>
      <c r="Q29" s="44">
        <f t="shared" si="0"/>
        <v>0.95</v>
      </c>
      <c r="R29" s="77">
        <v>15.3</v>
      </c>
      <c r="S29" s="77">
        <v>108.5</v>
      </c>
      <c r="T29" s="16">
        <f t="shared" si="1"/>
        <v>33</v>
      </c>
      <c r="U29" s="77">
        <v>398</v>
      </c>
      <c r="V29" s="169">
        <f t="shared" si="2"/>
        <v>3283.5</v>
      </c>
      <c r="W29" s="77">
        <v>18</v>
      </c>
      <c r="X29" s="77" t="s">
        <v>35</v>
      </c>
      <c r="Y29" s="77" t="s">
        <v>43</v>
      </c>
      <c r="Z29" s="77" t="s">
        <v>55</v>
      </c>
      <c r="AA29" s="77" t="s">
        <v>76</v>
      </c>
      <c r="AB29" s="167" t="s">
        <v>333</v>
      </c>
      <c r="AC29" s="34"/>
      <c r="AP29" s="27" t="s">
        <v>157</v>
      </c>
      <c r="AR29" s="28" t="s">
        <v>362</v>
      </c>
    </row>
    <row r="30" spans="1:48" x14ac:dyDescent="0.15">
      <c r="A30" s="167" t="s">
        <v>48</v>
      </c>
      <c r="B30" s="167" t="s">
        <v>329</v>
      </c>
      <c r="C30" s="167">
        <v>2020</v>
      </c>
      <c r="D30" s="168" t="s">
        <v>330</v>
      </c>
      <c r="E30" s="167" t="s">
        <v>350</v>
      </c>
      <c r="F30" s="167" t="s">
        <v>336</v>
      </c>
      <c r="G30" s="167" t="s">
        <v>25</v>
      </c>
      <c r="H30" s="167" t="s">
        <v>107</v>
      </c>
      <c r="I30" s="77" t="s">
        <v>111</v>
      </c>
      <c r="J30" s="77" t="s">
        <v>66</v>
      </c>
      <c r="K30" s="77" t="s">
        <v>50</v>
      </c>
      <c r="L30" s="77">
        <v>2</v>
      </c>
      <c r="N30" s="77">
        <v>4</v>
      </c>
      <c r="O30" s="77">
        <v>0.2</v>
      </c>
      <c r="P30" s="34">
        <v>0.7</v>
      </c>
      <c r="Q30" s="44">
        <f t="shared" si="0"/>
        <v>0.44999999999999996</v>
      </c>
      <c r="R30" s="77">
        <v>14.2</v>
      </c>
      <c r="S30" s="77">
        <v>84.5</v>
      </c>
      <c r="T30" s="16">
        <f t="shared" si="1"/>
        <v>36</v>
      </c>
      <c r="U30" s="77">
        <v>398</v>
      </c>
      <c r="V30" s="169">
        <f t="shared" si="2"/>
        <v>3582</v>
      </c>
      <c r="W30" s="77">
        <v>18</v>
      </c>
      <c r="X30" s="77" t="s">
        <v>35</v>
      </c>
      <c r="Y30" s="77" t="s">
        <v>43</v>
      </c>
      <c r="Z30" s="77" t="s">
        <v>55</v>
      </c>
      <c r="AA30" s="77" t="s">
        <v>76</v>
      </c>
      <c r="AB30" s="167" t="s">
        <v>333</v>
      </c>
      <c r="AC30" s="34"/>
    </row>
    <row r="31" spans="1:48" x14ac:dyDescent="0.15">
      <c r="A31" s="167" t="s">
        <v>48</v>
      </c>
      <c r="B31" s="167" t="s">
        <v>329</v>
      </c>
      <c r="C31" s="167">
        <v>2020</v>
      </c>
      <c r="D31" s="168" t="s">
        <v>330</v>
      </c>
      <c r="E31" s="167" t="s">
        <v>350</v>
      </c>
      <c r="F31" s="167" t="s">
        <v>336</v>
      </c>
      <c r="G31" s="167" t="s">
        <v>25</v>
      </c>
      <c r="H31" s="167" t="s">
        <v>107</v>
      </c>
      <c r="I31" s="77" t="s">
        <v>111</v>
      </c>
      <c r="J31" s="77" t="s">
        <v>66</v>
      </c>
      <c r="K31" s="77" t="s">
        <v>50</v>
      </c>
      <c r="L31" s="77">
        <v>3</v>
      </c>
      <c r="N31" s="77">
        <v>4</v>
      </c>
      <c r="O31" s="77">
        <v>0.6</v>
      </c>
      <c r="P31" s="77">
        <v>0.7</v>
      </c>
      <c r="Q31" s="44">
        <f t="shared" si="0"/>
        <v>0.64999999999999991</v>
      </c>
      <c r="R31" s="77">
        <v>14.6</v>
      </c>
      <c r="S31" s="77">
        <v>79</v>
      </c>
      <c r="T31" s="16">
        <f t="shared" si="1"/>
        <v>39</v>
      </c>
      <c r="U31" s="77">
        <v>398</v>
      </c>
      <c r="V31" s="169">
        <f t="shared" si="2"/>
        <v>3880.5</v>
      </c>
      <c r="W31" s="77">
        <v>18</v>
      </c>
      <c r="X31" s="77" t="s">
        <v>35</v>
      </c>
      <c r="Y31" s="77" t="s">
        <v>43</v>
      </c>
      <c r="Z31" s="77" t="s">
        <v>55</v>
      </c>
      <c r="AA31" s="77" t="s">
        <v>76</v>
      </c>
      <c r="AB31" s="167" t="s">
        <v>333</v>
      </c>
      <c r="AC31" s="34"/>
    </row>
    <row r="32" spans="1:48" x14ac:dyDescent="0.15">
      <c r="A32" s="167" t="s">
        <v>48</v>
      </c>
      <c r="B32" s="167" t="s">
        <v>329</v>
      </c>
      <c r="C32" s="167">
        <v>2020</v>
      </c>
      <c r="D32" s="168" t="s">
        <v>330</v>
      </c>
      <c r="E32" s="167" t="s">
        <v>337</v>
      </c>
      <c r="F32" s="167" t="s">
        <v>338</v>
      </c>
      <c r="G32" s="167" t="s">
        <v>31</v>
      </c>
      <c r="H32" s="167" t="s">
        <v>164</v>
      </c>
      <c r="I32" s="77" t="s">
        <v>111</v>
      </c>
      <c r="J32" s="77" t="s">
        <v>27</v>
      </c>
      <c r="K32" s="77" t="s">
        <v>112</v>
      </c>
      <c r="L32" s="77">
        <v>1</v>
      </c>
      <c r="N32" s="77">
        <v>1</v>
      </c>
      <c r="O32" s="77">
        <v>0.2</v>
      </c>
      <c r="P32" s="77">
        <v>0.2</v>
      </c>
      <c r="Q32" s="44">
        <f t="shared" si="0"/>
        <v>0.2</v>
      </c>
      <c r="R32" s="77">
        <v>20.2</v>
      </c>
      <c r="S32" s="77">
        <v>139</v>
      </c>
      <c r="T32" s="16">
        <f t="shared" si="1"/>
        <v>22</v>
      </c>
      <c r="U32" s="77">
        <v>146</v>
      </c>
      <c r="V32" s="169">
        <f t="shared" si="2"/>
        <v>3212</v>
      </c>
      <c r="W32" s="77">
        <v>4</v>
      </c>
      <c r="X32" s="77" t="s">
        <v>28</v>
      </c>
      <c r="Y32" s="77" t="s">
        <v>36</v>
      </c>
      <c r="Z32" s="77" t="s">
        <v>76</v>
      </c>
      <c r="AA32" s="77" t="s">
        <v>55</v>
      </c>
      <c r="AB32" s="167" t="s">
        <v>333</v>
      </c>
      <c r="AC32" s="34"/>
    </row>
    <row r="33" spans="1:29" x14ac:dyDescent="0.15">
      <c r="A33" s="167" t="s">
        <v>48</v>
      </c>
      <c r="B33" s="167" t="s">
        <v>329</v>
      </c>
      <c r="C33" s="167">
        <v>2020</v>
      </c>
      <c r="D33" s="168" t="s">
        <v>330</v>
      </c>
      <c r="E33" s="167" t="s">
        <v>337</v>
      </c>
      <c r="F33" s="167" t="s">
        <v>338</v>
      </c>
      <c r="G33" s="167" t="s">
        <v>31</v>
      </c>
      <c r="H33" s="167" t="s">
        <v>164</v>
      </c>
      <c r="I33" s="77" t="s">
        <v>111</v>
      </c>
      <c r="J33" s="77" t="s">
        <v>27</v>
      </c>
      <c r="K33" s="77" t="s">
        <v>112</v>
      </c>
      <c r="L33" s="77">
        <v>2</v>
      </c>
      <c r="N33" s="77">
        <v>1</v>
      </c>
      <c r="O33" s="77">
        <v>0.2</v>
      </c>
      <c r="P33" s="77">
        <v>0.2</v>
      </c>
      <c r="Q33" s="44">
        <f t="shared" si="0"/>
        <v>0.2</v>
      </c>
      <c r="R33" s="77">
        <v>17.5</v>
      </c>
      <c r="S33" s="77">
        <v>134.5</v>
      </c>
      <c r="T33" s="16">
        <f t="shared" si="1"/>
        <v>25</v>
      </c>
      <c r="U33" s="77">
        <v>146</v>
      </c>
      <c r="V33" s="169">
        <f t="shared" si="2"/>
        <v>3650</v>
      </c>
      <c r="W33" s="77">
        <v>4</v>
      </c>
      <c r="X33" s="77" t="s">
        <v>28</v>
      </c>
      <c r="Y33" s="77" t="s">
        <v>36</v>
      </c>
      <c r="Z33" s="77" t="s">
        <v>76</v>
      </c>
      <c r="AA33" s="77" t="s">
        <v>55</v>
      </c>
      <c r="AB33" s="167" t="s">
        <v>333</v>
      </c>
      <c r="AC33" s="34"/>
    </row>
    <row r="34" spans="1:29" x14ac:dyDescent="0.15">
      <c r="A34" s="167" t="s">
        <v>48</v>
      </c>
      <c r="B34" s="167" t="s">
        <v>329</v>
      </c>
      <c r="C34" s="167">
        <v>2020</v>
      </c>
      <c r="D34" s="168" t="s">
        <v>330</v>
      </c>
      <c r="E34" s="167" t="s">
        <v>337</v>
      </c>
      <c r="F34" s="167" t="s">
        <v>338</v>
      </c>
      <c r="G34" s="167" t="s">
        <v>31</v>
      </c>
      <c r="H34" s="167" t="s">
        <v>164</v>
      </c>
      <c r="I34" s="77" t="s">
        <v>111</v>
      </c>
      <c r="J34" s="77" t="s">
        <v>27</v>
      </c>
      <c r="K34" s="77" t="s">
        <v>112</v>
      </c>
      <c r="L34" s="77">
        <v>3</v>
      </c>
      <c r="N34" s="77">
        <v>1</v>
      </c>
      <c r="O34" s="77">
        <v>0.2</v>
      </c>
      <c r="P34" s="77">
        <v>0.2</v>
      </c>
      <c r="Q34" s="44">
        <f t="shared" si="0"/>
        <v>0.2</v>
      </c>
      <c r="R34" s="77">
        <v>20.3</v>
      </c>
      <c r="S34" s="77">
        <v>146</v>
      </c>
      <c r="T34" s="16">
        <f t="shared" si="1"/>
        <v>22</v>
      </c>
      <c r="U34" s="77">
        <v>146</v>
      </c>
      <c r="V34" s="169">
        <f t="shared" si="2"/>
        <v>3212</v>
      </c>
      <c r="W34" s="77">
        <v>4</v>
      </c>
      <c r="X34" s="77" t="s">
        <v>28</v>
      </c>
      <c r="Y34" s="77" t="s">
        <v>36</v>
      </c>
      <c r="Z34" s="77" t="s">
        <v>76</v>
      </c>
      <c r="AA34" s="77" t="s">
        <v>55</v>
      </c>
      <c r="AB34" s="167" t="s">
        <v>333</v>
      </c>
      <c r="AC34" s="34"/>
    </row>
    <row r="35" spans="1:29" x14ac:dyDescent="0.15">
      <c r="A35" s="167" t="s">
        <v>48</v>
      </c>
      <c r="B35" s="167" t="s">
        <v>329</v>
      </c>
      <c r="C35" s="167">
        <v>2020</v>
      </c>
      <c r="D35" s="168" t="s">
        <v>330</v>
      </c>
      <c r="E35" s="167" t="s">
        <v>337</v>
      </c>
      <c r="F35" s="167" t="s">
        <v>338</v>
      </c>
      <c r="G35" s="167" t="s">
        <v>31</v>
      </c>
      <c r="H35" s="167" t="s">
        <v>164</v>
      </c>
      <c r="I35" s="77" t="s">
        <v>111</v>
      </c>
      <c r="J35" s="77" t="s">
        <v>27</v>
      </c>
      <c r="K35" s="77" t="s">
        <v>112</v>
      </c>
      <c r="L35" s="77">
        <v>1</v>
      </c>
      <c r="N35" s="77">
        <v>4</v>
      </c>
      <c r="O35" s="77">
        <v>0.75</v>
      </c>
      <c r="P35" s="77">
        <v>0.75</v>
      </c>
      <c r="Q35" s="44">
        <f t="shared" si="0"/>
        <v>0.75</v>
      </c>
      <c r="R35" s="77">
        <v>15</v>
      </c>
      <c r="S35" s="77">
        <v>97.5</v>
      </c>
      <c r="T35" s="16">
        <f t="shared" si="1"/>
        <v>36</v>
      </c>
      <c r="U35" s="77">
        <v>488</v>
      </c>
      <c r="V35" s="169">
        <f t="shared" si="2"/>
        <v>4392</v>
      </c>
      <c r="W35" s="77">
        <v>4</v>
      </c>
      <c r="X35" s="77" t="s">
        <v>28</v>
      </c>
      <c r="Y35" s="77" t="s">
        <v>36</v>
      </c>
      <c r="Z35" s="77" t="s">
        <v>76</v>
      </c>
      <c r="AA35" s="77" t="s">
        <v>55</v>
      </c>
      <c r="AB35" s="167" t="s">
        <v>333</v>
      </c>
      <c r="AC35" s="34"/>
    </row>
    <row r="36" spans="1:29" x14ac:dyDescent="0.15">
      <c r="A36" s="167" t="s">
        <v>48</v>
      </c>
      <c r="B36" s="167" t="s">
        <v>329</v>
      </c>
      <c r="C36" s="167">
        <v>2020</v>
      </c>
      <c r="D36" s="168" t="s">
        <v>330</v>
      </c>
      <c r="E36" s="167" t="s">
        <v>337</v>
      </c>
      <c r="F36" s="167" t="s">
        <v>338</v>
      </c>
      <c r="G36" s="167" t="s">
        <v>31</v>
      </c>
      <c r="H36" s="167" t="s">
        <v>164</v>
      </c>
      <c r="I36" s="77" t="s">
        <v>111</v>
      </c>
      <c r="J36" s="77" t="s">
        <v>27</v>
      </c>
      <c r="K36" s="77" t="s">
        <v>112</v>
      </c>
      <c r="L36" s="77">
        <v>2</v>
      </c>
      <c r="N36" s="77">
        <v>4</v>
      </c>
      <c r="O36" s="77">
        <v>0.65</v>
      </c>
      <c r="P36" s="77">
        <v>0.65</v>
      </c>
      <c r="Q36" s="44">
        <f t="shared" si="0"/>
        <v>0.65</v>
      </c>
      <c r="R36" s="77">
        <v>15.5</v>
      </c>
      <c r="S36" s="77">
        <v>100.5</v>
      </c>
      <c r="T36" s="16">
        <f t="shared" si="1"/>
        <v>33</v>
      </c>
      <c r="U36" s="77">
        <v>488</v>
      </c>
      <c r="V36" s="169">
        <f t="shared" si="2"/>
        <v>4026</v>
      </c>
      <c r="W36" s="77">
        <v>4</v>
      </c>
      <c r="X36" s="77" t="s">
        <v>28</v>
      </c>
      <c r="Y36" s="77" t="s">
        <v>36</v>
      </c>
      <c r="Z36" s="77" t="s">
        <v>76</v>
      </c>
      <c r="AA36" s="77" t="s">
        <v>55</v>
      </c>
      <c r="AB36" s="167" t="s">
        <v>333</v>
      </c>
      <c r="AC36" s="34"/>
    </row>
    <row r="37" spans="1:29" x14ac:dyDescent="0.15">
      <c r="A37" s="167" t="s">
        <v>48</v>
      </c>
      <c r="B37" s="167" t="s">
        <v>329</v>
      </c>
      <c r="C37" s="167">
        <v>2020</v>
      </c>
      <c r="D37" s="168" t="s">
        <v>330</v>
      </c>
      <c r="E37" s="167" t="s">
        <v>337</v>
      </c>
      <c r="F37" s="167" t="s">
        <v>338</v>
      </c>
      <c r="G37" s="167" t="s">
        <v>31</v>
      </c>
      <c r="H37" s="167" t="s">
        <v>164</v>
      </c>
      <c r="I37" s="77" t="s">
        <v>111</v>
      </c>
      <c r="J37" s="77" t="s">
        <v>27</v>
      </c>
      <c r="K37" s="77" t="s">
        <v>112</v>
      </c>
      <c r="L37" s="77">
        <v>3</v>
      </c>
      <c r="N37" s="77">
        <v>4</v>
      </c>
      <c r="O37" s="77">
        <v>0.65</v>
      </c>
      <c r="P37" s="77">
        <v>0.75</v>
      </c>
      <c r="Q37" s="44">
        <f t="shared" si="0"/>
        <v>0.7</v>
      </c>
      <c r="R37" s="77">
        <v>15.1</v>
      </c>
      <c r="S37" s="77">
        <v>102.5</v>
      </c>
      <c r="T37" s="16">
        <f t="shared" si="1"/>
        <v>33</v>
      </c>
      <c r="U37" s="77">
        <v>488</v>
      </c>
      <c r="V37" s="169">
        <f t="shared" si="2"/>
        <v>4026</v>
      </c>
      <c r="W37" s="77">
        <v>4</v>
      </c>
      <c r="X37" s="77" t="s">
        <v>28</v>
      </c>
      <c r="Y37" s="77" t="s">
        <v>36</v>
      </c>
      <c r="Z37" s="77" t="s">
        <v>76</v>
      </c>
      <c r="AA37" s="77" t="s">
        <v>55</v>
      </c>
      <c r="AB37" s="167" t="s">
        <v>333</v>
      </c>
      <c r="AC37" s="34"/>
    </row>
    <row r="38" spans="1:29" x14ac:dyDescent="0.15">
      <c r="A38" s="167" t="s">
        <v>48</v>
      </c>
      <c r="B38" s="167" t="s">
        <v>329</v>
      </c>
      <c r="C38" s="167">
        <v>2020</v>
      </c>
      <c r="D38" s="168" t="s">
        <v>330</v>
      </c>
      <c r="E38" s="167" t="s">
        <v>337</v>
      </c>
      <c r="F38" s="167" t="s">
        <v>338</v>
      </c>
      <c r="G38" s="167" t="s">
        <v>31</v>
      </c>
      <c r="H38" s="167" t="s">
        <v>113</v>
      </c>
      <c r="I38" s="77" t="s">
        <v>111</v>
      </c>
      <c r="J38" s="77" t="s">
        <v>27</v>
      </c>
      <c r="K38" s="77" t="s">
        <v>112</v>
      </c>
      <c r="L38" s="77">
        <v>1</v>
      </c>
      <c r="N38" s="77">
        <v>1</v>
      </c>
      <c r="O38" s="77">
        <v>0.75</v>
      </c>
      <c r="P38" s="77">
        <v>0.75</v>
      </c>
      <c r="Q38" s="44">
        <f t="shared" si="0"/>
        <v>0.75</v>
      </c>
      <c r="R38" s="77">
        <v>14.3</v>
      </c>
      <c r="S38" s="77">
        <v>127</v>
      </c>
      <c r="T38" s="16">
        <f t="shared" si="1"/>
        <v>27</v>
      </c>
      <c r="U38" s="77">
        <v>146</v>
      </c>
      <c r="V38" s="169">
        <f t="shared" si="2"/>
        <v>3942</v>
      </c>
      <c r="W38" s="77">
        <v>4</v>
      </c>
      <c r="X38" s="77" t="s">
        <v>28</v>
      </c>
      <c r="Y38" s="77" t="s">
        <v>36</v>
      </c>
      <c r="Z38" s="77" t="s">
        <v>76</v>
      </c>
      <c r="AA38" s="77" t="s">
        <v>55</v>
      </c>
      <c r="AB38" s="167" t="s">
        <v>333</v>
      </c>
      <c r="AC38" s="34"/>
    </row>
    <row r="39" spans="1:29" x14ac:dyDescent="0.15">
      <c r="A39" s="167" t="s">
        <v>48</v>
      </c>
      <c r="B39" s="167" t="s">
        <v>329</v>
      </c>
      <c r="C39" s="167">
        <v>2020</v>
      </c>
      <c r="D39" s="168" t="s">
        <v>330</v>
      </c>
      <c r="E39" s="167" t="s">
        <v>337</v>
      </c>
      <c r="F39" s="167" t="s">
        <v>338</v>
      </c>
      <c r="G39" s="167" t="s">
        <v>31</v>
      </c>
      <c r="H39" s="167" t="s">
        <v>113</v>
      </c>
      <c r="I39" s="77" t="s">
        <v>111</v>
      </c>
      <c r="J39" s="77" t="s">
        <v>27</v>
      </c>
      <c r="K39" s="77" t="s">
        <v>112</v>
      </c>
      <c r="L39" s="77">
        <v>2</v>
      </c>
      <c r="N39" s="77">
        <v>1</v>
      </c>
      <c r="O39" s="77">
        <v>1.2</v>
      </c>
      <c r="P39" s="77">
        <v>1.05</v>
      </c>
      <c r="Q39" s="44">
        <f t="shared" si="0"/>
        <v>1.125</v>
      </c>
      <c r="R39" s="77">
        <v>14.9</v>
      </c>
      <c r="S39" s="77">
        <v>135.5</v>
      </c>
      <c r="T39" s="16">
        <f t="shared" si="1"/>
        <v>25</v>
      </c>
      <c r="U39" s="77">
        <v>146</v>
      </c>
      <c r="V39" s="169">
        <f t="shared" si="2"/>
        <v>3650</v>
      </c>
      <c r="W39" s="77">
        <v>4</v>
      </c>
      <c r="X39" s="77" t="s">
        <v>28</v>
      </c>
      <c r="Y39" s="77" t="s">
        <v>36</v>
      </c>
      <c r="Z39" s="77" t="s">
        <v>76</v>
      </c>
      <c r="AA39" s="77" t="s">
        <v>55</v>
      </c>
      <c r="AB39" s="167" t="s">
        <v>333</v>
      </c>
      <c r="AC39" s="34"/>
    </row>
    <row r="40" spans="1:29" x14ac:dyDescent="0.15">
      <c r="A40" s="167" t="s">
        <v>48</v>
      </c>
      <c r="B40" s="167" t="s">
        <v>329</v>
      </c>
      <c r="C40" s="167">
        <v>2020</v>
      </c>
      <c r="D40" s="168" t="s">
        <v>330</v>
      </c>
      <c r="E40" s="167" t="s">
        <v>337</v>
      </c>
      <c r="F40" s="167" t="s">
        <v>338</v>
      </c>
      <c r="G40" s="167" t="s">
        <v>31</v>
      </c>
      <c r="H40" s="167" t="s">
        <v>113</v>
      </c>
      <c r="I40" s="77" t="s">
        <v>111</v>
      </c>
      <c r="J40" s="77" t="s">
        <v>27</v>
      </c>
      <c r="K40" s="77" t="s">
        <v>112</v>
      </c>
      <c r="L40" s="77">
        <v>3</v>
      </c>
      <c r="N40" s="77">
        <v>1</v>
      </c>
      <c r="O40" s="77">
        <v>0.95</v>
      </c>
      <c r="P40" s="77">
        <v>1</v>
      </c>
      <c r="Q40" s="44">
        <f t="shared" si="0"/>
        <v>0.97499999999999998</v>
      </c>
      <c r="R40" s="77">
        <v>15.1</v>
      </c>
      <c r="S40" s="77">
        <v>140.5</v>
      </c>
      <c r="T40" s="16">
        <f t="shared" si="1"/>
        <v>22</v>
      </c>
      <c r="U40" s="77">
        <v>146</v>
      </c>
      <c r="V40" s="169">
        <f t="shared" si="2"/>
        <v>3212</v>
      </c>
      <c r="W40" s="77">
        <v>4</v>
      </c>
      <c r="X40" s="77" t="s">
        <v>28</v>
      </c>
      <c r="Y40" s="77" t="s">
        <v>36</v>
      </c>
      <c r="Z40" s="77" t="s">
        <v>76</v>
      </c>
      <c r="AA40" s="77" t="s">
        <v>55</v>
      </c>
      <c r="AB40" s="167" t="s">
        <v>333</v>
      </c>
      <c r="AC40" s="34"/>
    </row>
    <row r="41" spans="1:29" x14ac:dyDescent="0.15">
      <c r="A41" s="167" t="s">
        <v>48</v>
      </c>
      <c r="B41" s="167" t="s">
        <v>329</v>
      </c>
      <c r="C41" s="167">
        <v>2020</v>
      </c>
      <c r="D41" s="168" t="s">
        <v>330</v>
      </c>
      <c r="E41" s="167" t="s">
        <v>337</v>
      </c>
      <c r="F41" s="167" t="s">
        <v>338</v>
      </c>
      <c r="G41" s="167" t="s">
        <v>31</v>
      </c>
      <c r="H41" s="167" t="s">
        <v>113</v>
      </c>
      <c r="I41" s="77" t="s">
        <v>111</v>
      </c>
      <c r="J41" s="77" t="s">
        <v>27</v>
      </c>
      <c r="K41" s="77" t="s">
        <v>112</v>
      </c>
      <c r="L41" s="77">
        <v>1</v>
      </c>
      <c r="N41" s="77">
        <v>4</v>
      </c>
      <c r="O41" s="77">
        <v>0.7</v>
      </c>
      <c r="P41" s="77">
        <v>0.7</v>
      </c>
      <c r="Q41" s="44">
        <f t="shared" si="0"/>
        <v>0.7</v>
      </c>
      <c r="R41" s="77">
        <v>13.8</v>
      </c>
      <c r="S41" s="77">
        <v>98.5</v>
      </c>
      <c r="T41" s="16">
        <f t="shared" si="1"/>
        <v>36</v>
      </c>
      <c r="U41" s="77">
        <v>461</v>
      </c>
      <c r="V41" s="169">
        <f t="shared" si="2"/>
        <v>4149</v>
      </c>
      <c r="W41" s="77">
        <v>4</v>
      </c>
      <c r="X41" s="77" t="s">
        <v>28</v>
      </c>
      <c r="Y41" s="77" t="s">
        <v>36</v>
      </c>
      <c r="Z41" s="77" t="s">
        <v>76</v>
      </c>
      <c r="AA41" s="77" t="s">
        <v>55</v>
      </c>
      <c r="AB41" s="167" t="s">
        <v>333</v>
      </c>
      <c r="AC41" s="34"/>
    </row>
    <row r="42" spans="1:29" x14ac:dyDescent="0.15">
      <c r="A42" s="167" t="s">
        <v>48</v>
      </c>
      <c r="B42" s="167" t="s">
        <v>329</v>
      </c>
      <c r="C42" s="167">
        <v>2020</v>
      </c>
      <c r="D42" s="168" t="s">
        <v>330</v>
      </c>
      <c r="E42" s="167" t="s">
        <v>337</v>
      </c>
      <c r="F42" s="167" t="s">
        <v>338</v>
      </c>
      <c r="G42" s="167" t="s">
        <v>31</v>
      </c>
      <c r="H42" s="167" t="s">
        <v>113</v>
      </c>
      <c r="I42" s="77" t="s">
        <v>111</v>
      </c>
      <c r="J42" s="77" t="s">
        <v>27</v>
      </c>
      <c r="K42" s="77" t="s">
        <v>112</v>
      </c>
      <c r="L42" s="77">
        <v>2</v>
      </c>
      <c r="N42" s="77">
        <v>4</v>
      </c>
      <c r="O42" s="77">
        <v>0.55000000000000004</v>
      </c>
      <c r="P42" s="77">
        <v>0.55000000000000004</v>
      </c>
      <c r="Q42" s="44">
        <f t="shared" si="0"/>
        <v>0.55000000000000004</v>
      </c>
      <c r="R42" s="77">
        <v>14.5</v>
      </c>
      <c r="S42" s="77">
        <v>105</v>
      </c>
      <c r="T42" s="16">
        <f t="shared" si="1"/>
        <v>33</v>
      </c>
      <c r="U42" s="77">
        <v>461</v>
      </c>
      <c r="V42" s="169">
        <f t="shared" si="2"/>
        <v>3803.25</v>
      </c>
      <c r="W42" s="77">
        <v>4</v>
      </c>
      <c r="X42" s="77" t="s">
        <v>28</v>
      </c>
      <c r="Y42" s="77" t="s">
        <v>36</v>
      </c>
      <c r="Z42" s="77" t="s">
        <v>76</v>
      </c>
      <c r="AA42" s="77" t="s">
        <v>55</v>
      </c>
      <c r="AB42" s="167" t="s">
        <v>333</v>
      </c>
      <c r="AC42" s="34"/>
    </row>
    <row r="43" spans="1:29" x14ac:dyDescent="0.15">
      <c r="A43" s="167" t="s">
        <v>48</v>
      </c>
      <c r="B43" s="167" t="s">
        <v>329</v>
      </c>
      <c r="C43" s="167">
        <v>2020</v>
      </c>
      <c r="D43" s="168" t="s">
        <v>330</v>
      </c>
      <c r="E43" s="167" t="s">
        <v>337</v>
      </c>
      <c r="F43" s="167" t="s">
        <v>338</v>
      </c>
      <c r="G43" s="167" t="s">
        <v>31</v>
      </c>
      <c r="H43" s="167" t="s">
        <v>113</v>
      </c>
      <c r="I43" s="77" t="s">
        <v>111</v>
      </c>
      <c r="J43" s="77" t="s">
        <v>27</v>
      </c>
      <c r="K43" s="77" t="s">
        <v>112</v>
      </c>
      <c r="L43" s="77">
        <v>3</v>
      </c>
      <c r="N43" s="77">
        <v>4</v>
      </c>
      <c r="O43" s="77">
        <v>0.6</v>
      </c>
      <c r="P43" s="77">
        <v>0.6</v>
      </c>
      <c r="Q43" s="44">
        <f t="shared" si="0"/>
        <v>0.6</v>
      </c>
      <c r="R43" s="77">
        <v>15.1</v>
      </c>
      <c r="S43" s="77">
        <v>92</v>
      </c>
      <c r="T43" s="16">
        <f t="shared" si="1"/>
        <v>36</v>
      </c>
      <c r="U43" s="77">
        <v>461</v>
      </c>
      <c r="V43" s="169">
        <f t="shared" si="2"/>
        <v>4149</v>
      </c>
      <c r="W43" s="77">
        <v>4</v>
      </c>
      <c r="X43" s="77" t="s">
        <v>28</v>
      </c>
      <c r="Y43" s="77" t="s">
        <v>36</v>
      </c>
      <c r="Z43" s="77" t="s">
        <v>76</v>
      </c>
      <c r="AA43" s="77" t="s">
        <v>55</v>
      </c>
      <c r="AB43" s="167" t="s">
        <v>333</v>
      </c>
      <c r="AC43" s="34"/>
    </row>
    <row r="44" spans="1:29" x14ac:dyDescent="0.15">
      <c r="A44" s="167" t="s">
        <v>48</v>
      </c>
      <c r="B44" s="167" t="s">
        <v>329</v>
      </c>
      <c r="C44" s="167">
        <v>2020</v>
      </c>
      <c r="D44" s="168" t="s">
        <v>330</v>
      </c>
      <c r="E44" s="167" t="s">
        <v>363</v>
      </c>
      <c r="F44" s="167" t="s">
        <v>340</v>
      </c>
      <c r="G44" s="167" t="s">
        <v>25</v>
      </c>
      <c r="H44" s="167" t="s">
        <v>164</v>
      </c>
      <c r="I44" s="77" t="s">
        <v>111</v>
      </c>
      <c r="J44" s="77" t="s">
        <v>27</v>
      </c>
      <c r="K44" s="77" t="s">
        <v>112</v>
      </c>
      <c r="L44" s="77">
        <v>1</v>
      </c>
      <c r="N44" s="77">
        <v>1</v>
      </c>
      <c r="O44" s="77">
        <v>0.55000000000000004</v>
      </c>
      <c r="P44" s="77">
        <v>0.6</v>
      </c>
      <c r="Q44" s="44">
        <f t="shared" si="0"/>
        <v>0.57499999999999996</v>
      </c>
      <c r="R44" s="77">
        <v>17.100000000000001</v>
      </c>
      <c r="S44" s="77">
        <v>151.5</v>
      </c>
      <c r="T44" s="16">
        <f t="shared" si="1"/>
        <v>22</v>
      </c>
      <c r="U44" s="77">
        <v>138</v>
      </c>
      <c r="V44" s="169">
        <f t="shared" si="2"/>
        <v>3036</v>
      </c>
      <c r="W44" s="77">
        <v>22</v>
      </c>
      <c r="X44" s="77" t="s">
        <v>35</v>
      </c>
      <c r="Y44" s="77" t="s">
        <v>76</v>
      </c>
      <c r="Z44" s="77" t="s">
        <v>55</v>
      </c>
      <c r="AA44" s="77" t="s">
        <v>43</v>
      </c>
      <c r="AB44" s="167" t="s">
        <v>333</v>
      </c>
    </row>
    <row r="45" spans="1:29" x14ac:dyDescent="0.15">
      <c r="A45" s="167" t="s">
        <v>48</v>
      </c>
      <c r="B45" s="167" t="s">
        <v>329</v>
      </c>
      <c r="C45" s="167">
        <v>2020</v>
      </c>
      <c r="D45" s="168" t="s">
        <v>330</v>
      </c>
      <c r="E45" s="167" t="s">
        <v>363</v>
      </c>
      <c r="F45" s="167" t="s">
        <v>340</v>
      </c>
      <c r="G45" s="167" t="s">
        <v>25</v>
      </c>
      <c r="H45" s="167" t="s">
        <v>164</v>
      </c>
      <c r="I45" s="77" t="s">
        <v>111</v>
      </c>
      <c r="J45" s="77" t="s">
        <v>27</v>
      </c>
      <c r="K45" s="77" t="s">
        <v>112</v>
      </c>
      <c r="L45" s="77">
        <v>2</v>
      </c>
      <c r="N45" s="77">
        <v>1</v>
      </c>
      <c r="O45" s="77">
        <v>0.5</v>
      </c>
      <c r="P45" s="77">
        <v>0.5</v>
      </c>
      <c r="Q45" s="44">
        <f t="shared" si="0"/>
        <v>0.5</v>
      </c>
      <c r="R45" s="77">
        <v>19.3</v>
      </c>
      <c r="S45" s="77">
        <v>159</v>
      </c>
      <c r="T45" s="16">
        <f t="shared" si="1"/>
        <v>18</v>
      </c>
      <c r="U45" s="77">
        <v>138</v>
      </c>
      <c r="V45" s="169">
        <f t="shared" si="2"/>
        <v>2484</v>
      </c>
      <c r="W45" s="77">
        <v>22</v>
      </c>
      <c r="X45" s="77" t="s">
        <v>35</v>
      </c>
      <c r="Y45" s="77" t="s">
        <v>76</v>
      </c>
      <c r="Z45" s="77" t="s">
        <v>55</v>
      </c>
      <c r="AA45" s="77" t="s">
        <v>43</v>
      </c>
      <c r="AB45" s="167" t="s">
        <v>333</v>
      </c>
    </row>
    <row r="46" spans="1:29" x14ac:dyDescent="0.15">
      <c r="A46" s="167" t="s">
        <v>48</v>
      </c>
      <c r="B46" s="167" t="s">
        <v>329</v>
      </c>
      <c r="C46" s="167">
        <v>2020</v>
      </c>
      <c r="D46" s="168" t="s">
        <v>330</v>
      </c>
      <c r="E46" s="167" t="s">
        <v>363</v>
      </c>
      <c r="F46" s="167" t="s">
        <v>340</v>
      </c>
      <c r="G46" s="167" t="s">
        <v>25</v>
      </c>
      <c r="H46" s="167" t="s">
        <v>164</v>
      </c>
      <c r="I46" s="77" t="s">
        <v>111</v>
      </c>
      <c r="J46" s="77" t="s">
        <v>27</v>
      </c>
      <c r="K46" s="77" t="s">
        <v>112</v>
      </c>
      <c r="L46" s="77">
        <v>3</v>
      </c>
      <c r="N46" s="77">
        <v>1</v>
      </c>
      <c r="O46" s="77">
        <v>0.5</v>
      </c>
      <c r="P46" s="77">
        <v>0.55000000000000004</v>
      </c>
      <c r="Q46" s="44">
        <f t="shared" si="0"/>
        <v>0.52500000000000002</v>
      </c>
      <c r="R46" s="77">
        <v>19.5</v>
      </c>
      <c r="S46" s="77">
        <v>163.5</v>
      </c>
      <c r="T46" s="16">
        <f t="shared" si="1"/>
        <v>18</v>
      </c>
      <c r="U46" s="77">
        <v>138</v>
      </c>
      <c r="V46" s="169">
        <f t="shared" si="2"/>
        <v>2484</v>
      </c>
      <c r="W46" s="77">
        <v>22</v>
      </c>
      <c r="X46" s="77" t="s">
        <v>35</v>
      </c>
      <c r="Y46" s="77" t="s">
        <v>76</v>
      </c>
      <c r="Z46" s="77" t="s">
        <v>55</v>
      </c>
      <c r="AA46" s="77" t="s">
        <v>43</v>
      </c>
      <c r="AB46" s="167" t="s">
        <v>333</v>
      </c>
    </row>
    <row r="47" spans="1:29" x14ac:dyDescent="0.15">
      <c r="A47" s="167" t="s">
        <v>48</v>
      </c>
      <c r="B47" s="167" t="s">
        <v>329</v>
      </c>
      <c r="C47" s="167">
        <v>2020</v>
      </c>
      <c r="D47" s="168" t="s">
        <v>330</v>
      </c>
      <c r="E47" s="167" t="s">
        <v>363</v>
      </c>
      <c r="F47" s="167" t="s">
        <v>340</v>
      </c>
      <c r="G47" s="167" t="s">
        <v>25</v>
      </c>
      <c r="H47" s="167" t="s">
        <v>164</v>
      </c>
      <c r="I47" s="77" t="s">
        <v>111</v>
      </c>
      <c r="J47" s="77" t="s">
        <v>27</v>
      </c>
      <c r="K47" s="77" t="s">
        <v>112</v>
      </c>
      <c r="L47" s="77">
        <v>1</v>
      </c>
      <c r="N47" s="77">
        <v>3</v>
      </c>
      <c r="O47" s="77">
        <v>0.65</v>
      </c>
      <c r="P47" s="77">
        <v>0.75</v>
      </c>
      <c r="Q47" s="44">
        <f t="shared" si="0"/>
        <v>0.7</v>
      </c>
      <c r="R47" s="77">
        <v>16</v>
      </c>
      <c r="S47" s="77">
        <v>183.5</v>
      </c>
      <c r="T47" s="16">
        <f t="shared" si="1"/>
        <v>16</v>
      </c>
      <c r="U47" s="77">
        <v>298</v>
      </c>
      <c r="V47" s="169">
        <f t="shared" si="2"/>
        <v>1589.3333333333333</v>
      </c>
      <c r="W47" s="77">
        <v>22</v>
      </c>
      <c r="X47" s="77" t="s">
        <v>35</v>
      </c>
      <c r="Y47" s="77" t="s">
        <v>76</v>
      </c>
      <c r="Z47" s="77" t="s">
        <v>55</v>
      </c>
      <c r="AA47" s="77" t="s">
        <v>43</v>
      </c>
      <c r="AB47" s="167" t="s">
        <v>333</v>
      </c>
      <c r="AC47" s="34"/>
    </row>
    <row r="48" spans="1:29" x14ac:dyDescent="0.15">
      <c r="A48" s="167" t="s">
        <v>48</v>
      </c>
      <c r="B48" s="167" t="s">
        <v>329</v>
      </c>
      <c r="C48" s="167">
        <v>2020</v>
      </c>
      <c r="D48" s="168" t="s">
        <v>330</v>
      </c>
      <c r="E48" s="167" t="s">
        <v>363</v>
      </c>
      <c r="F48" s="167" t="s">
        <v>340</v>
      </c>
      <c r="G48" s="167" t="s">
        <v>25</v>
      </c>
      <c r="H48" s="167" t="s">
        <v>164</v>
      </c>
      <c r="I48" s="77" t="s">
        <v>111</v>
      </c>
      <c r="J48" s="77" t="s">
        <v>27</v>
      </c>
      <c r="K48" s="77" t="s">
        <v>112</v>
      </c>
      <c r="L48" s="77">
        <v>2</v>
      </c>
      <c r="N48" s="77">
        <v>3</v>
      </c>
      <c r="O48" s="77">
        <v>0.7</v>
      </c>
      <c r="P48" s="77">
        <v>0.55000000000000004</v>
      </c>
      <c r="Q48" s="44">
        <f t="shared" si="0"/>
        <v>0.625</v>
      </c>
      <c r="R48" s="77">
        <v>18.600000000000001</v>
      </c>
      <c r="S48" s="77">
        <v>174.5</v>
      </c>
      <c r="T48" s="16">
        <f t="shared" si="1"/>
        <v>18</v>
      </c>
      <c r="U48" s="77">
        <v>298</v>
      </c>
      <c r="V48" s="169">
        <f t="shared" si="2"/>
        <v>1788</v>
      </c>
      <c r="W48" s="77">
        <v>22</v>
      </c>
      <c r="X48" s="77" t="s">
        <v>35</v>
      </c>
      <c r="Y48" s="77" t="s">
        <v>76</v>
      </c>
      <c r="Z48" s="77" t="s">
        <v>55</v>
      </c>
      <c r="AA48" s="77" t="s">
        <v>43</v>
      </c>
      <c r="AB48" s="167" t="s">
        <v>333</v>
      </c>
      <c r="AC48" s="34"/>
    </row>
    <row r="49" spans="1:29" x14ac:dyDescent="0.15">
      <c r="A49" s="167" t="s">
        <v>48</v>
      </c>
      <c r="B49" s="167" t="s">
        <v>329</v>
      </c>
      <c r="C49" s="167">
        <v>2020</v>
      </c>
      <c r="D49" s="168" t="s">
        <v>330</v>
      </c>
      <c r="E49" s="167" t="s">
        <v>363</v>
      </c>
      <c r="F49" s="167" t="s">
        <v>340</v>
      </c>
      <c r="G49" s="167" t="s">
        <v>25</v>
      </c>
      <c r="H49" s="167" t="s">
        <v>164</v>
      </c>
      <c r="I49" s="77" t="s">
        <v>111</v>
      </c>
      <c r="J49" s="77" t="s">
        <v>27</v>
      </c>
      <c r="K49" s="77" t="s">
        <v>112</v>
      </c>
      <c r="L49" s="77">
        <v>3</v>
      </c>
      <c r="N49" s="77">
        <v>3</v>
      </c>
      <c r="O49" s="77">
        <v>0.75</v>
      </c>
      <c r="P49" s="77">
        <v>0.7</v>
      </c>
      <c r="Q49" s="44">
        <f t="shared" si="0"/>
        <v>0.72499999999999998</v>
      </c>
      <c r="R49" s="77">
        <v>15.5</v>
      </c>
      <c r="S49" s="77">
        <v>160.5</v>
      </c>
      <c r="T49" s="16">
        <f>IF(H49="","",IF(OR(H49="GREEN",H49="GK"),IF(S49&gt;=$AX$2,VLOOKUP(S49,$AX$2:$AY$15,2,1),""),IF(S49&gt;=$AZ$2,VLOOKUP(S49,$AZ$2:$BA$15,2,1),"")))</f>
        <v>18</v>
      </c>
      <c r="U49" s="77">
        <v>298</v>
      </c>
      <c r="V49" s="169">
        <f t="shared" si="2"/>
        <v>1788</v>
      </c>
      <c r="W49" s="77">
        <v>22</v>
      </c>
      <c r="X49" s="77" t="s">
        <v>35</v>
      </c>
      <c r="Y49" s="77" t="s">
        <v>76</v>
      </c>
      <c r="Z49" s="77" t="s">
        <v>55</v>
      </c>
      <c r="AA49" s="77" t="s">
        <v>43</v>
      </c>
      <c r="AB49" s="167" t="s">
        <v>333</v>
      </c>
      <c r="AC49" s="34"/>
    </row>
    <row r="50" spans="1:29" x14ac:dyDescent="0.15">
      <c r="A50" s="167" t="s">
        <v>48</v>
      </c>
      <c r="B50" s="167" t="s">
        <v>329</v>
      </c>
      <c r="C50" s="167">
        <v>2020</v>
      </c>
      <c r="D50" s="168" t="s">
        <v>330</v>
      </c>
      <c r="E50" s="167" t="s">
        <v>363</v>
      </c>
      <c r="F50" s="167" t="s">
        <v>340</v>
      </c>
      <c r="G50" s="167" t="s">
        <v>25</v>
      </c>
      <c r="H50" s="167" t="s">
        <v>164</v>
      </c>
      <c r="I50" s="77" t="s">
        <v>111</v>
      </c>
      <c r="J50" s="77" t="s">
        <v>27</v>
      </c>
      <c r="K50" s="77" t="s">
        <v>112</v>
      </c>
      <c r="L50" s="77">
        <v>1</v>
      </c>
      <c r="N50" s="77">
        <v>4</v>
      </c>
      <c r="O50" s="77">
        <v>1.25</v>
      </c>
      <c r="P50" s="77">
        <v>1.05</v>
      </c>
      <c r="Q50" s="44">
        <f t="shared" si="0"/>
        <v>1.1499999999999999</v>
      </c>
      <c r="R50" s="77">
        <v>15.5</v>
      </c>
      <c r="S50" s="77">
        <v>104.5</v>
      </c>
      <c r="T50" s="16">
        <f t="shared" si="1"/>
        <v>33</v>
      </c>
      <c r="U50" s="77">
        <v>398</v>
      </c>
      <c r="V50" s="169">
        <f t="shared" si="2"/>
        <v>3283.5</v>
      </c>
      <c r="W50" s="77">
        <v>22</v>
      </c>
      <c r="X50" s="77" t="s">
        <v>35</v>
      </c>
      <c r="Y50" s="77" t="s">
        <v>76</v>
      </c>
      <c r="Z50" s="77" t="s">
        <v>55</v>
      </c>
      <c r="AA50" s="77" t="s">
        <v>43</v>
      </c>
      <c r="AB50" s="167" t="s">
        <v>333</v>
      </c>
      <c r="AC50" s="34"/>
    </row>
    <row r="51" spans="1:29" x14ac:dyDescent="0.15">
      <c r="A51" s="167" t="s">
        <v>48</v>
      </c>
      <c r="B51" s="167" t="s">
        <v>329</v>
      </c>
      <c r="C51" s="167">
        <v>2020</v>
      </c>
      <c r="D51" s="168" t="s">
        <v>330</v>
      </c>
      <c r="E51" s="167" t="s">
        <v>363</v>
      </c>
      <c r="F51" s="167" t="s">
        <v>340</v>
      </c>
      <c r="G51" s="167" t="s">
        <v>25</v>
      </c>
      <c r="H51" s="167" t="s">
        <v>164</v>
      </c>
      <c r="I51" s="77" t="s">
        <v>111</v>
      </c>
      <c r="J51" s="77" t="s">
        <v>27</v>
      </c>
      <c r="K51" s="77" t="s">
        <v>112</v>
      </c>
      <c r="L51" s="77">
        <v>2</v>
      </c>
      <c r="N51" s="77">
        <v>4</v>
      </c>
      <c r="O51" s="77">
        <v>0.75</v>
      </c>
      <c r="P51" s="77">
        <v>0.85</v>
      </c>
      <c r="Q51" s="44">
        <f t="shared" si="0"/>
        <v>0.8</v>
      </c>
      <c r="R51" s="77">
        <v>15.2</v>
      </c>
      <c r="S51" s="77">
        <v>99.5</v>
      </c>
      <c r="T51" s="16">
        <f t="shared" si="1"/>
        <v>33</v>
      </c>
      <c r="U51" s="77">
        <v>398</v>
      </c>
      <c r="V51" s="169">
        <f t="shared" si="2"/>
        <v>3283.5</v>
      </c>
      <c r="W51" s="77">
        <v>22</v>
      </c>
      <c r="X51" s="77" t="s">
        <v>35</v>
      </c>
      <c r="Y51" s="77" t="s">
        <v>76</v>
      </c>
      <c r="Z51" s="77" t="s">
        <v>55</v>
      </c>
      <c r="AA51" s="77" t="s">
        <v>43</v>
      </c>
      <c r="AB51" s="167" t="s">
        <v>333</v>
      </c>
      <c r="AC51" s="34"/>
    </row>
    <row r="52" spans="1:29" x14ac:dyDescent="0.15">
      <c r="A52" s="167" t="s">
        <v>48</v>
      </c>
      <c r="B52" s="167" t="s">
        <v>329</v>
      </c>
      <c r="C52" s="167">
        <v>2020</v>
      </c>
      <c r="D52" s="168" t="s">
        <v>330</v>
      </c>
      <c r="E52" s="167" t="s">
        <v>363</v>
      </c>
      <c r="F52" s="167" t="s">
        <v>340</v>
      </c>
      <c r="G52" s="167" t="s">
        <v>25</v>
      </c>
      <c r="H52" s="167" t="s">
        <v>164</v>
      </c>
      <c r="I52" s="77" t="s">
        <v>111</v>
      </c>
      <c r="J52" s="77" t="s">
        <v>27</v>
      </c>
      <c r="K52" s="77" t="s">
        <v>112</v>
      </c>
      <c r="L52" s="77">
        <v>3</v>
      </c>
      <c r="N52" s="77">
        <v>4</v>
      </c>
      <c r="O52" s="77">
        <v>0.55000000000000004</v>
      </c>
      <c r="P52" s="77">
        <v>0.65</v>
      </c>
      <c r="Q52" s="44">
        <f t="shared" si="0"/>
        <v>0.60000000000000009</v>
      </c>
      <c r="R52" s="77">
        <v>15.2</v>
      </c>
      <c r="S52" s="77">
        <v>94.5</v>
      </c>
      <c r="T52" s="16">
        <f t="shared" si="1"/>
        <v>36</v>
      </c>
      <c r="U52" s="77">
        <v>398</v>
      </c>
      <c r="V52" s="169">
        <f t="shared" si="2"/>
        <v>3582</v>
      </c>
      <c r="W52" s="77">
        <v>22</v>
      </c>
      <c r="X52" s="77" t="s">
        <v>35</v>
      </c>
      <c r="Y52" s="77" t="s">
        <v>76</v>
      </c>
      <c r="Z52" s="77" t="s">
        <v>55</v>
      </c>
      <c r="AA52" s="77" t="s">
        <v>43</v>
      </c>
      <c r="AB52" s="167" t="s">
        <v>333</v>
      </c>
      <c r="AC52" s="34"/>
    </row>
    <row r="53" spans="1:29" x14ac:dyDescent="0.15">
      <c r="A53" s="167" t="s">
        <v>48</v>
      </c>
      <c r="B53" s="167" t="s">
        <v>329</v>
      </c>
      <c r="C53" s="167">
        <v>2020</v>
      </c>
      <c r="D53" s="168" t="s">
        <v>330</v>
      </c>
      <c r="E53" s="167" t="s">
        <v>363</v>
      </c>
      <c r="F53" s="167" t="s">
        <v>340</v>
      </c>
      <c r="G53" s="167" t="s">
        <v>25</v>
      </c>
      <c r="H53" s="167" t="s">
        <v>113</v>
      </c>
      <c r="I53" s="77" t="s">
        <v>111</v>
      </c>
      <c r="J53" s="77" t="s">
        <v>27</v>
      </c>
      <c r="K53" s="77" t="s">
        <v>112</v>
      </c>
      <c r="L53" s="77">
        <v>1</v>
      </c>
      <c r="N53" s="77">
        <v>1</v>
      </c>
      <c r="O53" s="77">
        <v>0.8</v>
      </c>
      <c r="P53" s="77">
        <v>0.8</v>
      </c>
      <c r="Q53" s="44">
        <f t="shared" si="0"/>
        <v>0.8</v>
      </c>
      <c r="R53" s="77">
        <v>13.3</v>
      </c>
      <c r="S53" s="77">
        <v>129.5</v>
      </c>
      <c r="T53" s="16">
        <f t="shared" si="1"/>
        <v>25</v>
      </c>
      <c r="U53" s="77">
        <v>98</v>
      </c>
      <c r="V53" s="169">
        <f t="shared" si="2"/>
        <v>2450</v>
      </c>
      <c r="W53" s="77">
        <v>22</v>
      </c>
      <c r="X53" s="77" t="s">
        <v>35</v>
      </c>
      <c r="Y53" s="77" t="s">
        <v>76</v>
      </c>
      <c r="Z53" s="77" t="s">
        <v>55</v>
      </c>
      <c r="AA53" s="77" t="s">
        <v>43</v>
      </c>
      <c r="AB53" s="167" t="s">
        <v>333</v>
      </c>
      <c r="AC53" s="34"/>
    </row>
    <row r="54" spans="1:29" x14ac:dyDescent="0.15">
      <c r="A54" s="167" t="s">
        <v>48</v>
      </c>
      <c r="B54" s="167" t="s">
        <v>329</v>
      </c>
      <c r="C54" s="167">
        <v>2020</v>
      </c>
      <c r="D54" s="168" t="s">
        <v>330</v>
      </c>
      <c r="E54" s="167" t="s">
        <v>363</v>
      </c>
      <c r="F54" s="167" t="s">
        <v>340</v>
      </c>
      <c r="G54" s="167" t="s">
        <v>25</v>
      </c>
      <c r="H54" s="167" t="s">
        <v>113</v>
      </c>
      <c r="I54" s="77" t="s">
        <v>111</v>
      </c>
      <c r="J54" s="77" t="s">
        <v>27</v>
      </c>
      <c r="K54" s="77" t="s">
        <v>112</v>
      </c>
      <c r="L54" s="77">
        <v>2</v>
      </c>
      <c r="N54" s="77">
        <v>1</v>
      </c>
      <c r="O54" s="77">
        <v>0.7</v>
      </c>
      <c r="P54" s="77">
        <v>0.75</v>
      </c>
      <c r="Q54" s="44">
        <f t="shared" si="0"/>
        <v>0.72499999999999998</v>
      </c>
      <c r="R54" s="77">
        <v>18.600000000000001</v>
      </c>
      <c r="S54" s="77">
        <v>126.5</v>
      </c>
      <c r="T54" s="16">
        <f t="shared" si="1"/>
        <v>27</v>
      </c>
      <c r="U54" s="77">
        <v>98</v>
      </c>
      <c r="V54" s="169">
        <f t="shared" si="2"/>
        <v>2646</v>
      </c>
      <c r="W54" s="77">
        <v>22</v>
      </c>
      <c r="X54" s="77" t="s">
        <v>35</v>
      </c>
      <c r="Y54" s="77" t="s">
        <v>76</v>
      </c>
      <c r="Z54" s="77" t="s">
        <v>55</v>
      </c>
      <c r="AA54" s="77" t="s">
        <v>43</v>
      </c>
      <c r="AB54" s="167" t="s">
        <v>333</v>
      </c>
      <c r="AC54" s="34"/>
    </row>
    <row r="55" spans="1:29" x14ac:dyDescent="0.15">
      <c r="A55" s="167" t="s">
        <v>48</v>
      </c>
      <c r="B55" s="167" t="s">
        <v>329</v>
      </c>
      <c r="C55" s="167">
        <v>2020</v>
      </c>
      <c r="D55" s="168" t="s">
        <v>330</v>
      </c>
      <c r="E55" s="167" t="s">
        <v>363</v>
      </c>
      <c r="F55" s="167" t="s">
        <v>340</v>
      </c>
      <c r="G55" s="167" t="s">
        <v>25</v>
      </c>
      <c r="H55" s="167" t="s">
        <v>113</v>
      </c>
      <c r="I55" s="77" t="s">
        <v>111</v>
      </c>
      <c r="J55" s="77" t="s">
        <v>27</v>
      </c>
      <c r="K55" s="77" t="s">
        <v>112</v>
      </c>
      <c r="L55" s="77">
        <v>3</v>
      </c>
      <c r="N55" s="77">
        <v>1</v>
      </c>
      <c r="O55" s="77">
        <v>0.95</v>
      </c>
      <c r="P55" s="77">
        <v>1.05</v>
      </c>
      <c r="Q55" s="44">
        <f t="shared" si="0"/>
        <v>1</v>
      </c>
      <c r="R55" s="77">
        <v>14.6</v>
      </c>
      <c r="S55" s="77">
        <v>135</v>
      </c>
      <c r="T55" s="16">
        <f t="shared" si="1"/>
        <v>25</v>
      </c>
      <c r="U55" s="77">
        <v>98</v>
      </c>
      <c r="V55" s="169">
        <f t="shared" si="2"/>
        <v>2450</v>
      </c>
      <c r="W55" s="77">
        <v>22</v>
      </c>
      <c r="X55" s="77" t="s">
        <v>35</v>
      </c>
      <c r="Y55" s="77" t="s">
        <v>76</v>
      </c>
      <c r="Z55" s="77" t="s">
        <v>55</v>
      </c>
      <c r="AA55" s="77" t="s">
        <v>43</v>
      </c>
      <c r="AB55" s="167" t="s">
        <v>333</v>
      </c>
      <c r="AC55" s="34"/>
    </row>
    <row r="56" spans="1:29" x14ac:dyDescent="0.15">
      <c r="A56" s="167" t="s">
        <v>48</v>
      </c>
      <c r="B56" s="167" t="s">
        <v>329</v>
      </c>
      <c r="C56" s="167">
        <v>2020</v>
      </c>
      <c r="D56" s="168" t="s">
        <v>330</v>
      </c>
      <c r="E56" s="167" t="s">
        <v>363</v>
      </c>
      <c r="F56" s="167" t="s">
        <v>340</v>
      </c>
      <c r="G56" s="167" t="s">
        <v>25</v>
      </c>
      <c r="H56" s="167" t="s">
        <v>113</v>
      </c>
      <c r="I56" s="77" t="s">
        <v>111</v>
      </c>
      <c r="J56" s="77" t="s">
        <v>27</v>
      </c>
      <c r="K56" s="77" t="s">
        <v>112</v>
      </c>
      <c r="L56" s="77">
        <v>1</v>
      </c>
      <c r="N56" s="77">
        <v>6</v>
      </c>
      <c r="O56" s="77">
        <v>0.55000000000000004</v>
      </c>
      <c r="P56" s="77">
        <v>0.5</v>
      </c>
      <c r="Q56" s="44">
        <f t="shared" si="0"/>
        <v>0.52500000000000002</v>
      </c>
      <c r="R56" s="77">
        <v>14.8</v>
      </c>
      <c r="S56" s="77">
        <v>79</v>
      </c>
      <c r="T56" s="16">
        <f t="shared" si="1"/>
        <v>39</v>
      </c>
      <c r="U56" s="77">
        <v>298</v>
      </c>
      <c r="V56" s="169">
        <f t="shared" si="2"/>
        <v>1937</v>
      </c>
      <c r="W56" s="77">
        <v>22</v>
      </c>
      <c r="X56" s="77" t="s">
        <v>35</v>
      </c>
      <c r="Y56" s="77" t="s">
        <v>76</v>
      </c>
      <c r="Z56" s="77" t="s">
        <v>55</v>
      </c>
      <c r="AA56" s="77" t="s">
        <v>43</v>
      </c>
      <c r="AB56" s="167" t="s">
        <v>333</v>
      </c>
      <c r="AC56" s="34"/>
    </row>
    <row r="57" spans="1:29" x14ac:dyDescent="0.15">
      <c r="A57" s="167" t="s">
        <v>48</v>
      </c>
      <c r="B57" s="167" t="s">
        <v>329</v>
      </c>
      <c r="C57" s="167">
        <v>2020</v>
      </c>
      <c r="D57" s="168" t="s">
        <v>330</v>
      </c>
      <c r="E57" s="167" t="s">
        <v>363</v>
      </c>
      <c r="F57" s="167" t="s">
        <v>340</v>
      </c>
      <c r="G57" s="167" t="s">
        <v>25</v>
      </c>
      <c r="H57" s="167" t="s">
        <v>113</v>
      </c>
      <c r="I57" s="77" t="s">
        <v>111</v>
      </c>
      <c r="J57" s="77" t="s">
        <v>27</v>
      </c>
      <c r="K57" s="77" t="s">
        <v>112</v>
      </c>
      <c r="L57" s="77">
        <v>2</v>
      </c>
      <c r="N57" s="77">
        <v>6</v>
      </c>
      <c r="O57" s="77">
        <v>0.65</v>
      </c>
      <c r="P57" s="77">
        <v>0.65</v>
      </c>
      <c r="Q57" s="44">
        <f t="shared" si="0"/>
        <v>0.65</v>
      </c>
      <c r="R57" s="77">
        <v>14.4</v>
      </c>
      <c r="S57" s="77">
        <v>78</v>
      </c>
      <c r="T57" s="16">
        <f t="shared" si="1"/>
        <v>39</v>
      </c>
      <c r="U57" s="77">
        <v>298</v>
      </c>
      <c r="V57" s="169">
        <f t="shared" si="2"/>
        <v>1937</v>
      </c>
      <c r="W57" s="77">
        <v>22</v>
      </c>
      <c r="X57" s="77" t="s">
        <v>35</v>
      </c>
      <c r="Y57" s="77" t="s">
        <v>76</v>
      </c>
      <c r="Z57" s="77" t="s">
        <v>55</v>
      </c>
      <c r="AA57" s="77" t="s">
        <v>43</v>
      </c>
      <c r="AB57" s="167" t="s">
        <v>333</v>
      </c>
      <c r="AC57" s="34"/>
    </row>
    <row r="58" spans="1:29" x14ac:dyDescent="0.15">
      <c r="A58" s="167" t="s">
        <v>48</v>
      </c>
      <c r="B58" s="167" t="s">
        <v>329</v>
      </c>
      <c r="C58" s="167">
        <v>2020</v>
      </c>
      <c r="D58" s="168" t="s">
        <v>330</v>
      </c>
      <c r="E58" s="167" t="s">
        <v>363</v>
      </c>
      <c r="F58" s="167" t="s">
        <v>340</v>
      </c>
      <c r="G58" s="167" t="s">
        <v>25</v>
      </c>
      <c r="H58" s="167" t="s">
        <v>113</v>
      </c>
      <c r="I58" s="77" t="s">
        <v>111</v>
      </c>
      <c r="J58" s="77" t="s">
        <v>27</v>
      </c>
      <c r="K58" s="77" t="s">
        <v>112</v>
      </c>
      <c r="L58" s="77">
        <v>3</v>
      </c>
      <c r="N58" s="77">
        <v>6</v>
      </c>
      <c r="O58" s="77">
        <v>0.65</v>
      </c>
      <c r="P58" s="77">
        <v>0.65</v>
      </c>
      <c r="Q58" s="44">
        <f t="shared" si="0"/>
        <v>0.65</v>
      </c>
      <c r="R58" s="77">
        <v>14.7</v>
      </c>
      <c r="S58" s="77">
        <v>78.5</v>
      </c>
      <c r="T58" s="16">
        <f t="shared" si="1"/>
        <v>39</v>
      </c>
      <c r="U58" s="77">
        <v>298</v>
      </c>
      <c r="V58" s="169">
        <f t="shared" si="2"/>
        <v>1937</v>
      </c>
      <c r="W58" s="77">
        <v>22</v>
      </c>
      <c r="X58" s="77" t="s">
        <v>35</v>
      </c>
      <c r="Y58" s="77" t="s">
        <v>76</v>
      </c>
      <c r="Z58" s="77" t="s">
        <v>55</v>
      </c>
      <c r="AA58" s="77" t="s">
        <v>43</v>
      </c>
      <c r="AB58" s="167" t="s">
        <v>333</v>
      </c>
      <c r="AC58" s="34"/>
    </row>
    <row r="59" spans="1:29" x14ac:dyDescent="0.15">
      <c r="A59" s="167" t="s">
        <v>48</v>
      </c>
      <c r="B59" s="167" t="s">
        <v>329</v>
      </c>
      <c r="C59" s="167">
        <v>2020</v>
      </c>
      <c r="D59" s="168" t="s">
        <v>330</v>
      </c>
      <c r="E59" s="167" t="s">
        <v>341</v>
      </c>
      <c r="F59" s="167" t="s">
        <v>342</v>
      </c>
      <c r="G59" s="167" t="s">
        <v>25</v>
      </c>
      <c r="H59" s="167" t="s">
        <v>164</v>
      </c>
      <c r="I59" s="77" t="s">
        <v>111</v>
      </c>
      <c r="J59" s="77" t="s">
        <v>27</v>
      </c>
      <c r="K59" s="77" t="s">
        <v>112</v>
      </c>
      <c r="L59" s="77">
        <v>1</v>
      </c>
      <c r="N59" s="77">
        <v>1</v>
      </c>
      <c r="O59" s="77">
        <v>1.25</v>
      </c>
      <c r="P59" s="77">
        <v>1.25</v>
      </c>
      <c r="Q59" s="44">
        <f t="shared" si="0"/>
        <v>1.25</v>
      </c>
      <c r="R59" s="77">
        <v>14.7</v>
      </c>
      <c r="S59" s="77">
        <v>182</v>
      </c>
      <c r="T59" s="16">
        <f t="shared" si="1"/>
        <v>16</v>
      </c>
      <c r="U59" s="77">
        <v>98</v>
      </c>
      <c r="V59" s="169">
        <f t="shared" si="2"/>
        <v>1568</v>
      </c>
      <c r="W59" s="77">
        <v>15</v>
      </c>
      <c r="X59" s="77" t="s">
        <v>35</v>
      </c>
      <c r="Y59" s="77" t="s">
        <v>43</v>
      </c>
      <c r="Z59" s="77" t="s">
        <v>55</v>
      </c>
      <c r="AA59" s="77" t="s">
        <v>36</v>
      </c>
      <c r="AB59" s="167" t="s">
        <v>333</v>
      </c>
    </row>
    <row r="60" spans="1:29" x14ac:dyDescent="0.15">
      <c r="A60" s="167" t="s">
        <v>48</v>
      </c>
      <c r="B60" s="167" t="s">
        <v>329</v>
      </c>
      <c r="C60" s="167">
        <v>2020</v>
      </c>
      <c r="D60" s="168" t="s">
        <v>330</v>
      </c>
      <c r="E60" s="167" t="s">
        <v>341</v>
      </c>
      <c r="F60" s="167" t="s">
        <v>342</v>
      </c>
      <c r="G60" s="167" t="s">
        <v>25</v>
      </c>
      <c r="H60" s="167" t="s">
        <v>164</v>
      </c>
      <c r="I60" s="77" t="s">
        <v>111</v>
      </c>
      <c r="J60" s="77" t="s">
        <v>27</v>
      </c>
      <c r="K60" s="77" t="s">
        <v>112</v>
      </c>
      <c r="L60" s="77">
        <v>2</v>
      </c>
      <c r="N60" s="77">
        <v>1</v>
      </c>
      <c r="O60" s="77">
        <v>0.75</v>
      </c>
      <c r="P60" s="77">
        <v>0.75</v>
      </c>
      <c r="Q60" s="44">
        <f t="shared" si="0"/>
        <v>0.75</v>
      </c>
      <c r="R60" s="77">
        <v>18.100000000000001</v>
      </c>
      <c r="S60" s="77">
        <v>155</v>
      </c>
      <c r="T60" s="16">
        <f t="shared" si="1"/>
        <v>18</v>
      </c>
      <c r="U60" s="77">
        <v>98</v>
      </c>
      <c r="V60" s="169">
        <f t="shared" si="2"/>
        <v>1764</v>
      </c>
      <c r="W60" s="77">
        <v>15</v>
      </c>
      <c r="X60" s="77" t="s">
        <v>35</v>
      </c>
      <c r="Y60" s="77" t="s">
        <v>43</v>
      </c>
      <c r="Z60" s="77" t="s">
        <v>55</v>
      </c>
      <c r="AA60" s="77" t="s">
        <v>36</v>
      </c>
      <c r="AB60" s="167" t="s">
        <v>333</v>
      </c>
    </row>
    <row r="61" spans="1:29" x14ac:dyDescent="0.15">
      <c r="A61" s="167" t="s">
        <v>48</v>
      </c>
      <c r="B61" s="167" t="s">
        <v>329</v>
      </c>
      <c r="C61" s="167">
        <v>2020</v>
      </c>
      <c r="D61" s="168" t="s">
        <v>330</v>
      </c>
      <c r="E61" s="167" t="s">
        <v>341</v>
      </c>
      <c r="F61" s="167" t="s">
        <v>342</v>
      </c>
      <c r="G61" s="167" t="s">
        <v>25</v>
      </c>
      <c r="H61" s="167" t="s">
        <v>164</v>
      </c>
      <c r="I61" s="77" t="s">
        <v>111</v>
      </c>
      <c r="J61" s="77" t="s">
        <v>27</v>
      </c>
      <c r="K61" s="77" t="s">
        <v>112</v>
      </c>
      <c r="L61" s="77">
        <v>3</v>
      </c>
      <c r="N61" s="77">
        <v>1</v>
      </c>
      <c r="O61" s="77">
        <v>0.85</v>
      </c>
      <c r="P61" s="77">
        <v>0.9</v>
      </c>
      <c r="Q61" s="44">
        <f t="shared" si="0"/>
        <v>0.875</v>
      </c>
      <c r="R61" s="77">
        <v>16.899999999999999</v>
      </c>
      <c r="S61" s="77">
        <v>163</v>
      </c>
      <c r="T61" s="16">
        <f t="shared" si="1"/>
        <v>18</v>
      </c>
      <c r="U61" s="77">
        <v>98</v>
      </c>
      <c r="V61" s="169">
        <f t="shared" si="2"/>
        <v>1764</v>
      </c>
      <c r="W61" s="77">
        <v>15</v>
      </c>
      <c r="X61" s="77" t="s">
        <v>35</v>
      </c>
      <c r="Y61" s="77" t="s">
        <v>43</v>
      </c>
      <c r="Z61" s="77" t="s">
        <v>55</v>
      </c>
      <c r="AA61" s="77" t="s">
        <v>36</v>
      </c>
      <c r="AB61" s="167" t="s">
        <v>333</v>
      </c>
    </row>
    <row r="62" spans="1:29" x14ac:dyDescent="0.15">
      <c r="A62" s="167" t="s">
        <v>48</v>
      </c>
      <c r="B62" s="167" t="s">
        <v>329</v>
      </c>
      <c r="C62" s="167">
        <v>2020</v>
      </c>
      <c r="D62" s="168" t="s">
        <v>330</v>
      </c>
      <c r="E62" s="167" t="s">
        <v>341</v>
      </c>
      <c r="F62" s="167" t="s">
        <v>342</v>
      </c>
      <c r="G62" s="167" t="s">
        <v>25</v>
      </c>
      <c r="H62" s="167" t="s">
        <v>164</v>
      </c>
      <c r="I62" s="77" t="s">
        <v>111</v>
      </c>
      <c r="J62" s="77" t="s">
        <v>27</v>
      </c>
      <c r="K62" s="77" t="s">
        <v>112</v>
      </c>
      <c r="L62" s="77">
        <v>1</v>
      </c>
      <c r="N62" s="77">
        <v>4</v>
      </c>
      <c r="O62" s="77">
        <v>0.2</v>
      </c>
      <c r="P62" s="77">
        <v>0.2</v>
      </c>
      <c r="Q62" s="44">
        <f>IF(OR(O62="",P62=""),"",AVERAGE(O62,P62))</f>
        <v>0.2</v>
      </c>
      <c r="R62" s="77">
        <v>20.399999999999999</v>
      </c>
      <c r="S62" s="77">
        <v>107</v>
      </c>
      <c r="T62" s="16">
        <f t="shared" si="1"/>
        <v>33</v>
      </c>
      <c r="U62" s="77">
        <v>498</v>
      </c>
      <c r="V62" s="169">
        <f t="shared" si="2"/>
        <v>4108.5</v>
      </c>
      <c r="W62" s="77">
        <v>15</v>
      </c>
      <c r="X62" s="77" t="s">
        <v>35</v>
      </c>
      <c r="Y62" s="77" t="s">
        <v>43</v>
      </c>
      <c r="Z62" s="77" t="s">
        <v>55</v>
      </c>
      <c r="AA62" s="77" t="s">
        <v>36</v>
      </c>
      <c r="AB62" s="167" t="s">
        <v>333</v>
      </c>
    </row>
    <row r="63" spans="1:29" x14ac:dyDescent="0.15">
      <c r="A63" s="167" t="s">
        <v>48</v>
      </c>
      <c r="B63" s="167" t="s">
        <v>329</v>
      </c>
      <c r="C63" s="167">
        <v>2020</v>
      </c>
      <c r="D63" s="168" t="s">
        <v>330</v>
      </c>
      <c r="E63" s="167" t="s">
        <v>341</v>
      </c>
      <c r="F63" s="167" t="s">
        <v>342</v>
      </c>
      <c r="G63" s="167" t="s">
        <v>25</v>
      </c>
      <c r="H63" s="167" t="s">
        <v>164</v>
      </c>
      <c r="I63" s="77" t="s">
        <v>111</v>
      </c>
      <c r="J63" s="77" t="s">
        <v>27</v>
      </c>
      <c r="K63" s="77" t="s">
        <v>112</v>
      </c>
      <c r="L63" s="77">
        <v>2</v>
      </c>
      <c r="N63" s="77">
        <v>4</v>
      </c>
      <c r="O63" s="77">
        <v>0.55000000000000004</v>
      </c>
      <c r="P63" s="77">
        <v>0.5</v>
      </c>
      <c r="Q63" s="44">
        <f t="shared" si="0"/>
        <v>0.52500000000000002</v>
      </c>
      <c r="R63" s="77">
        <v>15.3</v>
      </c>
      <c r="S63" s="77">
        <v>106.5</v>
      </c>
      <c r="T63" s="16">
        <f t="shared" si="1"/>
        <v>33</v>
      </c>
      <c r="U63" s="77">
        <v>498</v>
      </c>
      <c r="V63" s="169">
        <f t="shared" si="2"/>
        <v>4108.5</v>
      </c>
      <c r="W63" s="77">
        <v>15</v>
      </c>
      <c r="X63" s="77" t="s">
        <v>35</v>
      </c>
      <c r="Y63" s="77" t="s">
        <v>43</v>
      </c>
      <c r="Z63" s="77" t="s">
        <v>55</v>
      </c>
      <c r="AA63" s="77" t="s">
        <v>36</v>
      </c>
      <c r="AB63" s="167" t="s">
        <v>333</v>
      </c>
    </row>
    <row r="64" spans="1:29" x14ac:dyDescent="0.15">
      <c r="A64" s="167" t="s">
        <v>48</v>
      </c>
      <c r="B64" s="167" t="s">
        <v>329</v>
      </c>
      <c r="C64" s="167">
        <v>2020</v>
      </c>
      <c r="D64" s="168" t="s">
        <v>330</v>
      </c>
      <c r="E64" s="167" t="s">
        <v>341</v>
      </c>
      <c r="F64" s="167" t="s">
        <v>342</v>
      </c>
      <c r="G64" s="167" t="s">
        <v>25</v>
      </c>
      <c r="H64" s="167" t="s">
        <v>164</v>
      </c>
      <c r="I64" s="77" t="s">
        <v>111</v>
      </c>
      <c r="J64" s="77" t="s">
        <v>27</v>
      </c>
      <c r="K64" s="77" t="s">
        <v>112</v>
      </c>
      <c r="L64" s="77">
        <v>3</v>
      </c>
      <c r="N64" s="77">
        <v>4</v>
      </c>
      <c r="O64" s="77">
        <v>0.5</v>
      </c>
      <c r="P64" s="77">
        <v>0.5</v>
      </c>
      <c r="Q64" s="44">
        <f t="shared" si="0"/>
        <v>0.5</v>
      </c>
      <c r="R64" s="77">
        <v>18.3</v>
      </c>
      <c r="S64" s="77">
        <v>112.5</v>
      </c>
      <c r="T64" s="16">
        <f t="shared" si="1"/>
        <v>33</v>
      </c>
      <c r="U64" s="77">
        <v>498</v>
      </c>
      <c r="V64" s="169">
        <f t="shared" si="2"/>
        <v>4108.5</v>
      </c>
      <c r="W64" s="77">
        <v>15</v>
      </c>
      <c r="X64" s="77" t="s">
        <v>35</v>
      </c>
      <c r="Y64" s="77" t="s">
        <v>43</v>
      </c>
      <c r="Z64" s="77" t="s">
        <v>55</v>
      </c>
      <c r="AA64" s="77" t="s">
        <v>36</v>
      </c>
      <c r="AB64" s="167" t="s">
        <v>333</v>
      </c>
    </row>
    <row r="65" spans="1:29" x14ac:dyDescent="0.15">
      <c r="A65" s="167" t="s">
        <v>48</v>
      </c>
      <c r="B65" s="167" t="s">
        <v>329</v>
      </c>
      <c r="C65" s="167">
        <v>2020</v>
      </c>
      <c r="D65" s="168" t="s">
        <v>330</v>
      </c>
      <c r="E65" s="167" t="s">
        <v>341</v>
      </c>
      <c r="F65" s="167" t="s">
        <v>342</v>
      </c>
      <c r="G65" s="167" t="s">
        <v>25</v>
      </c>
      <c r="H65" s="167" t="s">
        <v>164</v>
      </c>
      <c r="I65" s="77" t="s">
        <v>166</v>
      </c>
      <c r="J65" s="77" t="s">
        <v>27</v>
      </c>
      <c r="K65" s="77" t="s">
        <v>112</v>
      </c>
      <c r="L65" s="77">
        <v>1</v>
      </c>
      <c r="N65" s="77">
        <v>1</v>
      </c>
      <c r="O65" s="77">
        <v>0.2</v>
      </c>
      <c r="P65" s="77">
        <v>0.2</v>
      </c>
      <c r="Q65" s="44">
        <f t="shared" si="0"/>
        <v>0.2</v>
      </c>
      <c r="R65" s="77">
        <v>18.2</v>
      </c>
      <c r="S65" s="77">
        <v>122</v>
      </c>
      <c r="T65" s="16">
        <f t="shared" si="1"/>
        <v>27</v>
      </c>
      <c r="U65" s="77">
        <v>128</v>
      </c>
      <c r="V65" s="169">
        <f t="shared" si="2"/>
        <v>3456</v>
      </c>
      <c r="W65" s="77">
        <v>15</v>
      </c>
      <c r="X65" s="77" t="s">
        <v>35</v>
      </c>
      <c r="Y65" s="77" t="s">
        <v>43</v>
      </c>
      <c r="Z65" s="77" t="s">
        <v>55</v>
      </c>
      <c r="AA65" s="77" t="s">
        <v>36</v>
      </c>
      <c r="AB65" s="167" t="s">
        <v>333</v>
      </c>
      <c r="AC65" s="34"/>
    </row>
    <row r="66" spans="1:29" x14ac:dyDescent="0.15">
      <c r="A66" s="167" t="s">
        <v>48</v>
      </c>
      <c r="B66" s="167" t="s">
        <v>329</v>
      </c>
      <c r="C66" s="167">
        <v>2020</v>
      </c>
      <c r="D66" s="168" t="s">
        <v>330</v>
      </c>
      <c r="E66" s="167" t="s">
        <v>341</v>
      </c>
      <c r="F66" s="167" t="s">
        <v>342</v>
      </c>
      <c r="G66" s="167" t="s">
        <v>25</v>
      </c>
      <c r="H66" s="167" t="s">
        <v>164</v>
      </c>
      <c r="I66" s="77" t="s">
        <v>166</v>
      </c>
      <c r="J66" s="77" t="s">
        <v>27</v>
      </c>
      <c r="K66" s="77" t="s">
        <v>112</v>
      </c>
      <c r="L66" s="77">
        <v>2</v>
      </c>
      <c r="N66" s="77">
        <v>1</v>
      </c>
      <c r="O66" s="77">
        <v>0.2</v>
      </c>
      <c r="P66" s="77">
        <v>0.2</v>
      </c>
      <c r="Q66" s="44">
        <f t="shared" ref="Q66:Q151" si="3">IF(OR(O66="",P66=""),"",AVERAGE(O66,P66))</f>
        <v>0.2</v>
      </c>
      <c r="R66" s="77">
        <v>16.7</v>
      </c>
      <c r="S66" s="77">
        <v>115.5</v>
      </c>
      <c r="T66" s="16">
        <f t="shared" ref="T66:T151" si="4">IF(H66="","",IF(OR(H66="GREEN",H66="GK"),IF(S66&gt;=$AX$2,VLOOKUP(S66,$AX$2:$AY$15,2,1),""),IF(S66&gt;=$AZ$2,VLOOKUP(S66,$AZ$2:$BA$15,2,1),"")))</f>
        <v>30</v>
      </c>
      <c r="U66" s="77">
        <v>128</v>
      </c>
      <c r="V66" s="169">
        <f t="shared" si="2"/>
        <v>3840</v>
      </c>
      <c r="W66" s="77">
        <v>15</v>
      </c>
      <c r="X66" s="77" t="s">
        <v>35</v>
      </c>
      <c r="Y66" s="77" t="s">
        <v>43</v>
      </c>
      <c r="Z66" s="77" t="s">
        <v>55</v>
      </c>
      <c r="AA66" s="77" t="s">
        <v>36</v>
      </c>
      <c r="AB66" s="167" t="s">
        <v>333</v>
      </c>
      <c r="AC66" s="34"/>
    </row>
    <row r="67" spans="1:29" x14ac:dyDescent="0.15">
      <c r="A67" s="167" t="s">
        <v>48</v>
      </c>
      <c r="B67" s="167" t="s">
        <v>329</v>
      </c>
      <c r="C67" s="167">
        <v>2020</v>
      </c>
      <c r="D67" s="168" t="s">
        <v>330</v>
      </c>
      <c r="E67" s="167" t="s">
        <v>341</v>
      </c>
      <c r="F67" s="167" t="s">
        <v>342</v>
      </c>
      <c r="G67" s="167" t="s">
        <v>25</v>
      </c>
      <c r="H67" s="167" t="s">
        <v>164</v>
      </c>
      <c r="I67" s="77" t="s">
        <v>166</v>
      </c>
      <c r="J67" s="77" t="s">
        <v>27</v>
      </c>
      <c r="K67" s="77" t="s">
        <v>112</v>
      </c>
      <c r="L67" s="77">
        <v>3</v>
      </c>
      <c r="N67" s="77">
        <v>1</v>
      </c>
      <c r="O67" s="77">
        <v>0.5</v>
      </c>
      <c r="P67" s="77">
        <v>0.5</v>
      </c>
      <c r="Q67" s="44">
        <f t="shared" si="3"/>
        <v>0.5</v>
      </c>
      <c r="R67" s="34">
        <v>16.8</v>
      </c>
      <c r="S67" s="77">
        <v>122.5</v>
      </c>
      <c r="T67" s="16">
        <f t="shared" si="4"/>
        <v>27</v>
      </c>
      <c r="U67" s="77">
        <v>128</v>
      </c>
      <c r="V67" s="169">
        <f t="shared" ref="V67:V151" si="5">IF(OR(N67="",U67="",T67=""),"",U67/N67*T67)</f>
        <v>3456</v>
      </c>
      <c r="W67" s="77">
        <v>15</v>
      </c>
      <c r="X67" s="77" t="s">
        <v>35</v>
      </c>
      <c r="Y67" s="77" t="s">
        <v>43</v>
      </c>
      <c r="Z67" s="77" t="s">
        <v>55</v>
      </c>
      <c r="AA67" s="77" t="s">
        <v>36</v>
      </c>
      <c r="AB67" s="167" t="s">
        <v>333</v>
      </c>
      <c r="AC67" s="34"/>
    </row>
    <row r="68" spans="1:29" x14ac:dyDescent="0.15">
      <c r="A68" s="167" t="s">
        <v>48</v>
      </c>
      <c r="B68" s="167" t="s">
        <v>329</v>
      </c>
      <c r="C68" s="167">
        <v>2020</v>
      </c>
      <c r="D68" s="168" t="s">
        <v>330</v>
      </c>
      <c r="E68" s="167" t="s">
        <v>341</v>
      </c>
      <c r="F68" s="167" t="s">
        <v>342</v>
      </c>
      <c r="G68" s="167" t="s">
        <v>25</v>
      </c>
      <c r="H68" s="167" t="s">
        <v>113</v>
      </c>
      <c r="I68" s="77" t="s">
        <v>111</v>
      </c>
      <c r="J68" s="77" t="s">
        <v>27</v>
      </c>
      <c r="K68" s="77" t="s">
        <v>112</v>
      </c>
      <c r="L68" s="77">
        <v>1</v>
      </c>
      <c r="N68" s="77">
        <v>1</v>
      </c>
      <c r="O68" s="77">
        <v>0.65</v>
      </c>
      <c r="P68" s="77">
        <v>0.7</v>
      </c>
      <c r="Q68" s="44">
        <f t="shared" si="3"/>
        <v>0.67500000000000004</v>
      </c>
      <c r="R68" s="77">
        <v>15.3</v>
      </c>
      <c r="S68" s="77">
        <v>124</v>
      </c>
      <c r="T68" s="16">
        <f t="shared" si="4"/>
        <v>27</v>
      </c>
      <c r="U68" s="77">
        <v>98</v>
      </c>
      <c r="V68" s="169">
        <f t="shared" si="5"/>
        <v>2646</v>
      </c>
      <c r="W68" s="77">
        <v>15</v>
      </c>
      <c r="X68" s="77" t="s">
        <v>35</v>
      </c>
      <c r="Y68" s="77" t="s">
        <v>43</v>
      </c>
      <c r="Z68" s="77" t="s">
        <v>55</v>
      </c>
      <c r="AA68" s="77" t="s">
        <v>36</v>
      </c>
      <c r="AB68" s="167" t="s">
        <v>333</v>
      </c>
      <c r="AC68" s="34"/>
    </row>
    <row r="69" spans="1:29" x14ac:dyDescent="0.15">
      <c r="A69" s="167" t="s">
        <v>48</v>
      </c>
      <c r="B69" s="167" t="s">
        <v>329</v>
      </c>
      <c r="C69" s="167">
        <v>2020</v>
      </c>
      <c r="D69" s="168" t="s">
        <v>330</v>
      </c>
      <c r="E69" s="167" t="s">
        <v>341</v>
      </c>
      <c r="F69" s="167" t="s">
        <v>342</v>
      </c>
      <c r="G69" s="167" t="s">
        <v>25</v>
      </c>
      <c r="H69" s="167" t="s">
        <v>113</v>
      </c>
      <c r="I69" s="77" t="s">
        <v>111</v>
      </c>
      <c r="J69" s="77" t="s">
        <v>27</v>
      </c>
      <c r="K69" s="77" t="s">
        <v>112</v>
      </c>
      <c r="L69" s="77">
        <v>2</v>
      </c>
      <c r="N69" s="77">
        <v>1</v>
      </c>
      <c r="O69" s="77">
        <v>0.75</v>
      </c>
      <c r="P69" s="77">
        <v>0.8</v>
      </c>
      <c r="Q69" s="44">
        <f t="shared" si="3"/>
        <v>0.77500000000000002</v>
      </c>
      <c r="R69" s="34">
        <v>14.8</v>
      </c>
      <c r="S69" s="77">
        <v>118</v>
      </c>
      <c r="T69" s="16">
        <f t="shared" si="4"/>
        <v>30</v>
      </c>
      <c r="U69" s="77">
        <v>98</v>
      </c>
      <c r="V69" s="169">
        <f t="shared" si="5"/>
        <v>2940</v>
      </c>
      <c r="W69" s="77">
        <v>15</v>
      </c>
      <c r="X69" s="77" t="s">
        <v>35</v>
      </c>
      <c r="Y69" s="77" t="s">
        <v>43</v>
      </c>
      <c r="Z69" s="77" t="s">
        <v>55</v>
      </c>
      <c r="AA69" s="77" t="s">
        <v>36</v>
      </c>
      <c r="AB69" s="167" t="s">
        <v>333</v>
      </c>
      <c r="AC69" s="34"/>
    </row>
    <row r="70" spans="1:29" x14ac:dyDescent="0.15">
      <c r="A70" s="167" t="s">
        <v>48</v>
      </c>
      <c r="B70" s="167" t="s">
        <v>329</v>
      </c>
      <c r="C70" s="167">
        <v>2020</v>
      </c>
      <c r="D70" s="168" t="s">
        <v>330</v>
      </c>
      <c r="E70" s="167" t="s">
        <v>341</v>
      </c>
      <c r="F70" s="167" t="s">
        <v>342</v>
      </c>
      <c r="G70" s="167" t="s">
        <v>25</v>
      </c>
      <c r="H70" s="167" t="s">
        <v>113</v>
      </c>
      <c r="I70" s="77" t="s">
        <v>111</v>
      </c>
      <c r="J70" s="77" t="s">
        <v>27</v>
      </c>
      <c r="K70" s="77" t="s">
        <v>112</v>
      </c>
      <c r="L70" s="77">
        <v>3</v>
      </c>
      <c r="N70" s="77">
        <v>1</v>
      </c>
      <c r="O70" s="77">
        <v>0.6</v>
      </c>
      <c r="P70" s="77">
        <v>0.6</v>
      </c>
      <c r="Q70" s="44">
        <f t="shared" si="3"/>
        <v>0.6</v>
      </c>
      <c r="R70" s="34">
        <v>15.8</v>
      </c>
      <c r="S70" s="77">
        <v>120</v>
      </c>
      <c r="T70" s="16">
        <f t="shared" si="4"/>
        <v>30</v>
      </c>
      <c r="U70" s="77">
        <v>98</v>
      </c>
      <c r="V70" s="169">
        <f t="shared" si="5"/>
        <v>2940</v>
      </c>
      <c r="W70" s="77">
        <v>15</v>
      </c>
      <c r="X70" s="77" t="s">
        <v>35</v>
      </c>
      <c r="Y70" s="77" t="s">
        <v>43</v>
      </c>
      <c r="Z70" s="77" t="s">
        <v>55</v>
      </c>
      <c r="AA70" s="77" t="s">
        <v>36</v>
      </c>
      <c r="AB70" s="167" t="s">
        <v>333</v>
      </c>
      <c r="AC70" s="34"/>
    </row>
    <row r="71" spans="1:29" x14ac:dyDescent="0.15">
      <c r="A71" s="167" t="s">
        <v>48</v>
      </c>
      <c r="B71" s="167" t="s">
        <v>329</v>
      </c>
      <c r="C71" s="167">
        <v>2020</v>
      </c>
      <c r="D71" s="168" t="s">
        <v>330</v>
      </c>
      <c r="E71" s="167" t="s">
        <v>341</v>
      </c>
      <c r="F71" s="167" t="s">
        <v>342</v>
      </c>
      <c r="G71" s="167" t="s">
        <v>25</v>
      </c>
      <c r="H71" s="167" t="s">
        <v>113</v>
      </c>
      <c r="I71" s="77" t="s">
        <v>111</v>
      </c>
      <c r="J71" s="77" t="s">
        <v>27</v>
      </c>
      <c r="K71" s="77" t="s">
        <v>112</v>
      </c>
      <c r="L71" s="77">
        <v>1</v>
      </c>
      <c r="N71" s="77">
        <v>5</v>
      </c>
      <c r="O71" s="77">
        <v>0.55000000000000004</v>
      </c>
      <c r="P71" s="77">
        <v>0.6</v>
      </c>
      <c r="Q71" s="44">
        <f t="shared" si="3"/>
        <v>0.57499999999999996</v>
      </c>
      <c r="R71" s="77">
        <v>16.5</v>
      </c>
      <c r="S71" s="77">
        <v>88</v>
      </c>
      <c r="T71" s="16">
        <f t="shared" si="4"/>
        <v>36</v>
      </c>
      <c r="U71" s="77">
        <v>398</v>
      </c>
      <c r="V71" s="169">
        <f t="shared" si="5"/>
        <v>2865.6</v>
      </c>
      <c r="W71" s="77">
        <v>15</v>
      </c>
      <c r="X71" s="77" t="s">
        <v>35</v>
      </c>
      <c r="Y71" s="77" t="s">
        <v>43</v>
      </c>
      <c r="Z71" s="77" t="s">
        <v>55</v>
      </c>
      <c r="AA71" s="77" t="s">
        <v>36</v>
      </c>
      <c r="AB71" s="167" t="s">
        <v>333</v>
      </c>
      <c r="AC71" s="34"/>
    </row>
    <row r="72" spans="1:29" x14ac:dyDescent="0.15">
      <c r="A72" s="167" t="s">
        <v>48</v>
      </c>
      <c r="B72" s="167" t="s">
        <v>329</v>
      </c>
      <c r="C72" s="167">
        <v>2020</v>
      </c>
      <c r="D72" s="168" t="s">
        <v>330</v>
      </c>
      <c r="E72" s="167" t="s">
        <v>341</v>
      </c>
      <c r="F72" s="167" t="s">
        <v>342</v>
      </c>
      <c r="G72" s="167" t="s">
        <v>25</v>
      </c>
      <c r="H72" s="167" t="s">
        <v>113</v>
      </c>
      <c r="I72" s="77" t="s">
        <v>111</v>
      </c>
      <c r="J72" s="77" t="s">
        <v>27</v>
      </c>
      <c r="K72" s="77" t="s">
        <v>112</v>
      </c>
      <c r="L72" s="77">
        <v>2</v>
      </c>
      <c r="N72" s="77">
        <v>5</v>
      </c>
      <c r="O72" s="77">
        <v>0.55000000000000004</v>
      </c>
      <c r="P72" s="77">
        <v>0.65</v>
      </c>
      <c r="Q72" s="44">
        <f t="shared" si="3"/>
        <v>0.60000000000000009</v>
      </c>
      <c r="R72" s="77">
        <v>15.8</v>
      </c>
      <c r="S72" s="77">
        <v>90</v>
      </c>
      <c r="T72" s="16">
        <f t="shared" si="4"/>
        <v>36</v>
      </c>
      <c r="U72" s="77">
        <v>398</v>
      </c>
      <c r="V72" s="169">
        <f t="shared" si="5"/>
        <v>2865.6</v>
      </c>
      <c r="W72" s="77">
        <v>15</v>
      </c>
      <c r="X72" s="77" t="s">
        <v>35</v>
      </c>
      <c r="Y72" s="77" t="s">
        <v>43</v>
      </c>
      <c r="Z72" s="77" t="s">
        <v>55</v>
      </c>
      <c r="AA72" s="77" t="s">
        <v>36</v>
      </c>
      <c r="AB72" s="167" t="s">
        <v>333</v>
      </c>
      <c r="AC72" s="34"/>
    </row>
    <row r="73" spans="1:29" x14ac:dyDescent="0.15">
      <c r="A73" s="167" t="s">
        <v>48</v>
      </c>
      <c r="B73" s="167" t="s">
        <v>329</v>
      </c>
      <c r="C73" s="167">
        <v>2020</v>
      </c>
      <c r="D73" s="168" t="s">
        <v>330</v>
      </c>
      <c r="E73" s="167" t="s">
        <v>341</v>
      </c>
      <c r="F73" s="167" t="s">
        <v>342</v>
      </c>
      <c r="G73" s="167" t="s">
        <v>25</v>
      </c>
      <c r="H73" s="167" t="s">
        <v>113</v>
      </c>
      <c r="I73" s="77" t="s">
        <v>111</v>
      </c>
      <c r="J73" s="77" t="s">
        <v>27</v>
      </c>
      <c r="K73" s="77" t="s">
        <v>112</v>
      </c>
      <c r="L73" s="77">
        <v>3</v>
      </c>
      <c r="N73" s="77">
        <v>5</v>
      </c>
      <c r="O73" s="77">
        <v>0.7</v>
      </c>
      <c r="P73" s="77">
        <v>0.65</v>
      </c>
      <c r="Q73" s="44">
        <f t="shared" si="3"/>
        <v>0.67500000000000004</v>
      </c>
      <c r="R73" s="77">
        <v>18.7</v>
      </c>
      <c r="S73" s="77">
        <v>91</v>
      </c>
      <c r="T73" s="16">
        <f t="shared" si="4"/>
        <v>36</v>
      </c>
      <c r="U73" s="77">
        <v>398</v>
      </c>
      <c r="V73" s="169">
        <f t="shared" si="5"/>
        <v>2865.6</v>
      </c>
      <c r="W73" s="77">
        <v>15</v>
      </c>
      <c r="X73" s="77" t="s">
        <v>35</v>
      </c>
      <c r="Y73" s="77" t="s">
        <v>43</v>
      </c>
      <c r="Z73" s="77" t="s">
        <v>55</v>
      </c>
      <c r="AA73" s="77" t="s">
        <v>36</v>
      </c>
      <c r="AB73" s="167" t="s">
        <v>333</v>
      </c>
      <c r="AC73" s="34"/>
    </row>
    <row r="74" spans="1:29" x14ac:dyDescent="0.15">
      <c r="A74" s="167" t="s">
        <v>48</v>
      </c>
      <c r="B74" s="167" t="s">
        <v>329</v>
      </c>
      <c r="C74" s="167">
        <v>2020</v>
      </c>
      <c r="D74" s="168" t="s">
        <v>330</v>
      </c>
      <c r="E74" s="167" t="s">
        <v>341</v>
      </c>
      <c r="F74" s="167" t="s">
        <v>342</v>
      </c>
      <c r="G74" s="167" t="s">
        <v>25</v>
      </c>
      <c r="H74" s="167" t="s">
        <v>165</v>
      </c>
      <c r="I74" s="77" t="s">
        <v>111</v>
      </c>
      <c r="J74" s="77" t="s">
        <v>27</v>
      </c>
      <c r="K74" s="77" t="s">
        <v>112</v>
      </c>
      <c r="L74" s="77">
        <v>1</v>
      </c>
      <c r="N74" s="77">
        <v>4</v>
      </c>
      <c r="O74" s="77">
        <v>0.6</v>
      </c>
      <c r="P74" s="77">
        <v>0.65</v>
      </c>
      <c r="Q74" s="44">
        <f t="shared" si="3"/>
        <v>0.625</v>
      </c>
      <c r="R74" s="77">
        <v>17.600000000000001</v>
      </c>
      <c r="S74" s="77">
        <v>99.5</v>
      </c>
      <c r="T74" s="16">
        <f t="shared" si="4"/>
        <v>33</v>
      </c>
      <c r="U74" s="77">
        <v>350</v>
      </c>
      <c r="V74" s="169">
        <f t="shared" si="5"/>
        <v>2887.5</v>
      </c>
      <c r="W74" s="77">
        <v>15</v>
      </c>
      <c r="X74" s="77" t="s">
        <v>35</v>
      </c>
      <c r="Y74" s="77" t="s">
        <v>43</v>
      </c>
      <c r="Z74" s="77" t="s">
        <v>55</v>
      </c>
      <c r="AA74" s="77" t="s">
        <v>36</v>
      </c>
      <c r="AB74" s="167" t="s">
        <v>333</v>
      </c>
    </row>
    <row r="75" spans="1:29" x14ac:dyDescent="0.15">
      <c r="A75" s="167" t="s">
        <v>48</v>
      </c>
      <c r="B75" s="167" t="s">
        <v>329</v>
      </c>
      <c r="C75" s="167">
        <v>2020</v>
      </c>
      <c r="D75" s="168" t="s">
        <v>330</v>
      </c>
      <c r="E75" s="167" t="s">
        <v>341</v>
      </c>
      <c r="F75" s="167" t="s">
        <v>342</v>
      </c>
      <c r="G75" s="167" t="s">
        <v>25</v>
      </c>
      <c r="H75" s="167" t="s">
        <v>165</v>
      </c>
      <c r="I75" s="77" t="s">
        <v>111</v>
      </c>
      <c r="J75" s="77" t="s">
        <v>27</v>
      </c>
      <c r="K75" s="77" t="s">
        <v>112</v>
      </c>
      <c r="L75" s="77">
        <v>2</v>
      </c>
      <c r="N75" s="77">
        <v>4</v>
      </c>
      <c r="O75" s="77">
        <v>0.5</v>
      </c>
      <c r="P75" s="77">
        <v>0.55000000000000004</v>
      </c>
      <c r="Q75" s="44">
        <f t="shared" si="3"/>
        <v>0.52500000000000002</v>
      </c>
      <c r="R75" s="77">
        <v>19</v>
      </c>
      <c r="S75" s="77">
        <v>95</v>
      </c>
      <c r="T75" s="16">
        <f t="shared" si="4"/>
        <v>36</v>
      </c>
      <c r="U75" s="77">
        <v>350</v>
      </c>
      <c r="V75" s="169">
        <f t="shared" si="5"/>
        <v>3150</v>
      </c>
      <c r="W75" s="77">
        <v>15</v>
      </c>
      <c r="X75" s="77" t="s">
        <v>35</v>
      </c>
      <c r="Y75" s="77" t="s">
        <v>43</v>
      </c>
      <c r="Z75" s="77" t="s">
        <v>55</v>
      </c>
      <c r="AA75" s="77" t="s">
        <v>36</v>
      </c>
      <c r="AB75" s="167" t="s">
        <v>333</v>
      </c>
    </row>
    <row r="76" spans="1:29" x14ac:dyDescent="0.15">
      <c r="A76" s="167" t="s">
        <v>48</v>
      </c>
      <c r="B76" s="167" t="s">
        <v>329</v>
      </c>
      <c r="C76" s="167">
        <v>2020</v>
      </c>
      <c r="D76" s="168" t="s">
        <v>330</v>
      </c>
      <c r="E76" s="167" t="s">
        <v>341</v>
      </c>
      <c r="F76" s="167" t="s">
        <v>342</v>
      </c>
      <c r="G76" s="167" t="s">
        <v>25</v>
      </c>
      <c r="H76" s="167" t="s">
        <v>165</v>
      </c>
      <c r="I76" s="77" t="s">
        <v>111</v>
      </c>
      <c r="J76" s="77" t="s">
        <v>27</v>
      </c>
      <c r="K76" s="77" t="s">
        <v>112</v>
      </c>
      <c r="L76" s="77">
        <v>3</v>
      </c>
      <c r="N76" s="77">
        <v>4</v>
      </c>
      <c r="O76" s="77">
        <v>0.65</v>
      </c>
      <c r="P76" s="77">
        <v>0.55000000000000004</v>
      </c>
      <c r="Q76" s="44">
        <f t="shared" si="3"/>
        <v>0.60000000000000009</v>
      </c>
      <c r="R76" s="77">
        <v>19.7</v>
      </c>
      <c r="S76" s="77">
        <v>102</v>
      </c>
      <c r="T76" s="16">
        <f t="shared" si="4"/>
        <v>33</v>
      </c>
      <c r="U76" s="77">
        <v>350</v>
      </c>
      <c r="V76" s="169">
        <f t="shared" si="5"/>
        <v>2887.5</v>
      </c>
      <c r="W76" s="77">
        <v>15</v>
      </c>
      <c r="X76" s="77" t="s">
        <v>35</v>
      </c>
      <c r="Y76" s="77" t="s">
        <v>43</v>
      </c>
      <c r="Z76" s="77" t="s">
        <v>55</v>
      </c>
      <c r="AA76" s="77" t="s">
        <v>36</v>
      </c>
      <c r="AB76" s="167" t="s">
        <v>333</v>
      </c>
    </row>
    <row r="77" spans="1:29" x14ac:dyDescent="0.15">
      <c r="A77" s="167" t="s">
        <v>48</v>
      </c>
      <c r="B77" s="167" t="s">
        <v>329</v>
      </c>
      <c r="C77" s="167">
        <v>2020</v>
      </c>
      <c r="D77" s="168" t="s">
        <v>330</v>
      </c>
      <c r="E77" s="167" t="s">
        <v>305</v>
      </c>
      <c r="F77" s="167" t="s">
        <v>342</v>
      </c>
      <c r="G77" s="167" t="s">
        <v>25</v>
      </c>
      <c r="H77" s="167" t="s">
        <v>164</v>
      </c>
      <c r="I77" s="77" t="s">
        <v>111</v>
      </c>
      <c r="J77" s="77" t="s">
        <v>27</v>
      </c>
      <c r="K77" s="77" t="s">
        <v>112</v>
      </c>
      <c r="L77" s="77">
        <v>1</v>
      </c>
      <c r="N77" s="77">
        <v>1</v>
      </c>
      <c r="O77" s="77">
        <v>0.7</v>
      </c>
      <c r="P77" s="77">
        <v>0.65</v>
      </c>
      <c r="Q77" s="44">
        <f t="shared" si="3"/>
        <v>0.67500000000000004</v>
      </c>
      <c r="R77" s="77">
        <v>18.899999999999999</v>
      </c>
      <c r="S77" s="77">
        <v>129.5</v>
      </c>
      <c r="T77" s="16">
        <f t="shared" si="4"/>
        <v>25</v>
      </c>
      <c r="U77" s="77">
        <v>108</v>
      </c>
      <c r="V77" s="169">
        <f t="shared" si="5"/>
        <v>2700</v>
      </c>
      <c r="W77" s="77">
        <v>11</v>
      </c>
      <c r="X77" s="77" t="s">
        <v>35</v>
      </c>
      <c r="Y77" s="77" t="s">
        <v>55</v>
      </c>
      <c r="Z77" s="77" t="s">
        <v>43</v>
      </c>
      <c r="AA77" s="77" t="s">
        <v>76</v>
      </c>
      <c r="AB77" s="167" t="s">
        <v>333</v>
      </c>
    </row>
    <row r="78" spans="1:29" x14ac:dyDescent="0.15">
      <c r="A78" s="167" t="s">
        <v>48</v>
      </c>
      <c r="B78" s="167" t="s">
        <v>329</v>
      </c>
      <c r="C78" s="167">
        <v>2020</v>
      </c>
      <c r="D78" s="168" t="s">
        <v>330</v>
      </c>
      <c r="E78" s="167" t="s">
        <v>305</v>
      </c>
      <c r="F78" s="167" t="s">
        <v>342</v>
      </c>
      <c r="G78" s="167" t="s">
        <v>25</v>
      </c>
      <c r="H78" s="167" t="s">
        <v>164</v>
      </c>
      <c r="I78" s="77" t="s">
        <v>111</v>
      </c>
      <c r="J78" s="77" t="s">
        <v>27</v>
      </c>
      <c r="K78" s="77" t="s">
        <v>112</v>
      </c>
      <c r="L78" s="77">
        <v>2</v>
      </c>
      <c r="N78" s="77">
        <v>1</v>
      </c>
      <c r="O78" s="77">
        <v>0.85</v>
      </c>
      <c r="P78" s="77">
        <v>0.9</v>
      </c>
      <c r="Q78" s="44">
        <f t="shared" si="3"/>
        <v>0.875</v>
      </c>
      <c r="R78" s="77">
        <v>17</v>
      </c>
      <c r="S78" s="77">
        <v>123</v>
      </c>
      <c r="T78" s="16">
        <f t="shared" si="4"/>
        <v>27</v>
      </c>
      <c r="U78" s="77">
        <v>108</v>
      </c>
      <c r="V78" s="169">
        <f t="shared" si="5"/>
        <v>2916</v>
      </c>
      <c r="W78" s="77">
        <v>11</v>
      </c>
      <c r="X78" s="77" t="s">
        <v>35</v>
      </c>
      <c r="Y78" s="77" t="s">
        <v>55</v>
      </c>
      <c r="Z78" s="77" t="s">
        <v>43</v>
      </c>
      <c r="AA78" s="77" t="s">
        <v>76</v>
      </c>
      <c r="AB78" s="167" t="s">
        <v>333</v>
      </c>
    </row>
    <row r="79" spans="1:29" x14ac:dyDescent="0.15">
      <c r="A79" s="167" t="s">
        <v>48</v>
      </c>
      <c r="B79" s="167" t="s">
        <v>329</v>
      </c>
      <c r="C79" s="167">
        <v>2020</v>
      </c>
      <c r="D79" s="168" t="s">
        <v>330</v>
      </c>
      <c r="E79" s="167" t="s">
        <v>305</v>
      </c>
      <c r="F79" s="167" t="s">
        <v>342</v>
      </c>
      <c r="G79" s="167" t="s">
        <v>25</v>
      </c>
      <c r="H79" s="167" t="s">
        <v>164</v>
      </c>
      <c r="I79" s="77" t="s">
        <v>111</v>
      </c>
      <c r="J79" s="77" t="s">
        <v>27</v>
      </c>
      <c r="K79" s="77" t="s">
        <v>112</v>
      </c>
      <c r="L79" s="77">
        <v>3</v>
      </c>
      <c r="N79" s="77">
        <v>1</v>
      </c>
      <c r="O79" s="77">
        <v>0.65</v>
      </c>
      <c r="P79" s="77">
        <v>0.7</v>
      </c>
      <c r="Q79" s="44">
        <f t="shared" si="3"/>
        <v>0.67500000000000004</v>
      </c>
      <c r="R79" s="77">
        <v>15.7</v>
      </c>
      <c r="S79" s="77">
        <v>128</v>
      </c>
      <c r="T79" s="16">
        <f t="shared" si="4"/>
        <v>27</v>
      </c>
      <c r="U79" s="77">
        <v>108</v>
      </c>
      <c r="V79" s="169">
        <f t="shared" si="5"/>
        <v>2916</v>
      </c>
      <c r="W79" s="77">
        <v>11</v>
      </c>
      <c r="X79" s="77" t="s">
        <v>35</v>
      </c>
      <c r="Y79" s="77" t="s">
        <v>55</v>
      </c>
      <c r="Z79" s="77" t="s">
        <v>43</v>
      </c>
      <c r="AA79" s="77" t="s">
        <v>76</v>
      </c>
      <c r="AB79" s="167" t="s">
        <v>333</v>
      </c>
    </row>
    <row r="80" spans="1:29" x14ac:dyDescent="0.15">
      <c r="A80" s="167" t="s">
        <v>48</v>
      </c>
      <c r="B80" s="167" t="s">
        <v>329</v>
      </c>
      <c r="C80" s="167">
        <v>2020</v>
      </c>
      <c r="D80" s="168" t="s">
        <v>330</v>
      </c>
      <c r="E80" s="167" t="s">
        <v>305</v>
      </c>
      <c r="F80" s="167" t="s">
        <v>342</v>
      </c>
      <c r="G80" s="167" t="s">
        <v>25</v>
      </c>
      <c r="H80" s="167" t="s">
        <v>113</v>
      </c>
      <c r="I80" s="77" t="s">
        <v>111</v>
      </c>
      <c r="J80" s="77" t="s">
        <v>27</v>
      </c>
      <c r="K80" s="77" t="s">
        <v>112</v>
      </c>
      <c r="L80" s="77">
        <v>1</v>
      </c>
      <c r="N80" s="77">
        <v>1</v>
      </c>
      <c r="O80" s="77">
        <v>1</v>
      </c>
      <c r="P80" s="77">
        <v>0.85</v>
      </c>
      <c r="Q80" s="44">
        <f t="shared" si="3"/>
        <v>0.92500000000000004</v>
      </c>
      <c r="R80" s="77">
        <v>15.4</v>
      </c>
      <c r="S80" s="77">
        <v>122.5</v>
      </c>
      <c r="T80" s="16">
        <f t="shared" si="4"/>
        <v>27</v>
      </c>
      <c r="U80" s="77">
        <v>108</v>
      </c>
      <c r="V80" s="169">
        <f t="shared" si="5"/>
        <v>2916</v>
      </c>
      <c r="W80" s="77">
        <v>11</v>
      </c>
      <c r="X80" s="77" t="s">
        <v>35</v>
      </c>
      <c r="Y80" s="77" t="s">
        <v>55</v>
      </c>
      <c r="Z80" s="77" t="s">
        <v>43</v>
      </c>
      <c r="AA80" s="77" t="s">
        <v>76</v>
      </c>
      <c r="AB80" s="167" t="s">
        <v>333</v>
      </c>
    </row>
    <row r="81" spans="1:28" x14ac:dyDescent="0.15">
      <c r="A81" s="167" t="s">
        <v>48</v>
      </c>
      <c r="B81" s="167" t="s">
        <v>329</v>
      </c>
      <c r="C81" s="167">
        <v>2020</v>
      </c>
      <c r="D81" s="168" t="s">
        <v>330</v>
      </c>
      <c r="E81" s="167" t="s">
        <v>305</v>
      </c>
      <c r="F81" s="167" t="s">
        <v>342</v>
      </c>
      <c r="G81" s="167" t="s">
        <v>25</v>
      </c>
      <c r="H81" s="167" t="s">
        <v>113</v>
      </c>
      <c r="I81" s="77" t="s">
        <v>111</v>
      </c>
      <c r="J81" s="77" t="s">
        <v>27</v>
      </c>
      <c r="K81" s="77" t="s">
        <v>112</v>
      </c>
      <c r="L81" s="77">
        <v>2</v>
      </c>
      <c r="N81" s="77">
        <v>1</v>
      </c>
      <c r="O81" s="77">
        <v>0.8</v>
      </c>
      <c r="P81" s="77">
        <v>0.85</v>
      </c>
      <c r="Q81" s="44">
        <f t="shared" si="3"/>
        <v>0.82499999999999996</v>
      </c>
      <c r="R81" s="77">
        <v>14.6</v>
      </c>
      <c r="S81" s="77">
        <v>125.5</v>
      </c>
      <c r="T81" s="16">
        <f t="shared" si="4"/>
        <v>27</v>
      </c>
      <c r="U81" s="77">
        <v>108</v>
      </c>
      <c r="V81" s="169">
        <f t="shared" si="5"/>
        <v>2916</v>
      </c>
      <c r="W81" s="77">
        <v>11</v>
      </c>
      <c r="X81" s="77" t="s">
        <v>35</v>
      </c>
      <c r="Y81" s="77" t="s">
        <v>55</v>
      </c>
      <c r="Z81" s="77" t="s">
        <v>43</v>
      </c>
      <c r="AA81" s="77" t="s">
        <v>76</v>
      </c>
      <c r="AB81" s="167" t="s">
        <v>333</v>
      </c>
    </row>
    <row r="82" spans="1:28" x14ac:dyDescent="0.15">
      <c r="A82" s="167" t="s">
        <v>48</v>
      </c>
      <c r="B82" s="167" t="s">
        <v>329</v>
      </c>
      <c r="C82" s="167">
        <v>2020</v>
      </c>
      <c r="D82" s="168" t="s">
        <v>330</v>
      </c>
      <c r="E82" s="167" t="s">
        <v>305</v>
      </c>
      <c r="F82" s="167" t="s">
        <v>342</v>
      </c>
      <c r="G82" s="167" t="s">
        <v>25</v>
      </c>
      <c r="H82" s="167" t="s">
        <v>113</v>
      </c>
      <c r="I82" s="77" t="s">
        <v>111</v>
      </c>
      <c r="J82" s="77" t="s">
        <v>27</v>
      </c>
      <c r="K82" s="77" t="s">
        <v>112</v>
      </c>
      <c r="L82" s="77">
        <v>3</v>
      </c>
      <c r="N82" s="77">
        <v>1</v>
      </c>
      <c r="O82" s="77">
        <v>0.8</v>
      </c>
      <c r="P82" s="77">
        <v>0.75</v>
      </c>
      <c r="Q82" s="44">
        <f t="shared" si="3"/>
        <v>0.77500000000000002</v>
      </c>
      <c r="R82" s="77">
        <v>14.9</v>
      </c>
      <c r="S82" s="77">
        <v>115.5</v>
      </c>
      <c r="T82" s="16">
        <f t="shared" si="4"/>
        <v>30</v>
      </c>
      <c r="U82" s="77">
        <v>108</v>
      </c>
      <c r="V82" s="169">
        <f t="shared" si="5"/>
        <v>3240</v>
      </c>
      <c r="W82" s="77">
        <v>11</v>
      </c>
      <c r="X82" s="77" t="s">
        <v>35</v>
      </c>
      <c r="Y82" s="77" t="s">
        <v>55</v>
      </c>
      <c r="Z82" s="77" t="s">
        <v>43</v>
      </c>
      <c r="AA82" s="77" t="s">
        <v>76</v>
      </c>
      <c r="AB82" s="167" t="s">
        <v>333</v>
      </c>
    </row>
    <row r="83" spans="1:28" x14ac:dyDescent="0.15">
      <c r="A83" s="167" t="s">
        <v>48</v>
      </c>
      <c r="B83" s="167" t="s">
        <v>329</v>
      </c>
      <c r="C83" s="167">
        <v>2020</v>
      </c>
      <c r="D83" s="168" t="s">
        <v>330</v>
      </c>
      <c r="E83" s="167" t="s">
        <v>305</v>
      </c>
      <c r="F83" s="167" t="s">
        <v>342</v>
      </c>
      <c r="G83" s="167" t="s">
        <v>25</v>
      </c>
      <c r="H83" s="167" t="s">
        <v>113</v>
      </c>
      <c r="I83" s="77" t="s">
        <v>111</v>
      </c>
      <c r="J83" s="77" t="s">
        <v>27</v>
      </c>
      <c r="K83" s="77" t="s">
        <v>112</v>
      </c>
      <c r="L83" s="77">
        <v>1</v>
      </c>
      <c r="N83" s="77">
        <v>5</v>
      </c>
      <c r="O83" s="77">
        <v>0.6</v>
      </c>
      <c r="P83" s="77">
        <v>0.55000000000000004</v>
      </c>
      <c r="Q83" s="44">
        <f t="shared" si="3"/>
        <v>0.57499999999999996</v>
      </c>
      <c r="R83" s="77">
        <v>14.9</v>
      </c>
      <c r="S83" s="77">
        <v>74.5</v>
      </c>
      <c r="T83" s="16">
        <f t="shared" si="4"/>
        <v>42</v>
      </c>
      <c r="U83" s="77">
        <v>298</v>
      </c>
      <c r="V83" s="169">
        <f t="shared" si="5"/>
        <v>2503.2000000000003</v>
      </c>
      <c r="W83" s="77">
        <v>11</v>
      </c>
      <c r="X83" s="77" t="s">
        <v>35</v>
      </c>
      <c r="Y83" s="77" t="s">
        <v>55</v>
      </c>
      <c r="Z83" s="77" t="s">
        <v>43</v>
      </c>
      <c r="AA83" s="77" t="s">
        <v>76</v>
      </c>
      <c r="AB83" s="167" t="s">
        <v>333</v>
      </c>
    </row>
    <row r="84" spans="1:28" x14ac:dyDescent="0.15">
      <c r="A84" s="167" t="s">
        <v>48</v>
      </c>
      <c r="B84" s="167" t="s">
        <v>329</v>
      </c>
      <c r="C84" s="167">
        <v>2020</v>
      </c>
      <c r="D84" s="168" t="s">
        <v>330</v>
      </c>
      <c r="E84" s="167" t="s">
        <v>305</v>
      </c>
      <c r="F84" s="167" t="s">
        <v>342</v>
      </c>
      <c r="G84" s="167" t="s">
        <v>25</v>
      </c>
      <c r="H84" s="167" t="s">
        <v>113</v>
      </c>
      <c r="I84" s="77" t="s">
        <v>111</v>
      </c>
      <c r="J84" s="77" t="s">
        <v>27</v>
      </c>
      <c r="K84" s="77" t="s">
        <v>112</v>
      </c>
      <c r="L84" s="77">
        <v>2</v>
      </c>
      <c r="N84" s="77">
        <v>5</v>
      </c>
      <c r="O84" s="77">
        <v>0.5</v>
      </c>
      <c r="P84" s="77">
        <v>0.5</v>
      </c>
      <c r="Q84" s="44">
        <f t="shared" si="3"/>
        <v>0.5</v>
      </c>
      <c r="R84" s="77">
        <v>14.8</v>
      </c>
      <c r="S84" s="77">
        <v>73</v>
      </c>
      <c r="T84" s="16">
        <f t="shared" si="4"/>
        <v>42</v>
      </c>
      <c r="U84" s="77">
        <v>298</v>
      </c>
      <c r="V84" s="169">
        <f t="shared" si="5"/>
        <v>2503.2000000000003</v>
      </c>
      <c r="W84" s="77">
        <v>11</v>
      </c>
      <c r="X84" s="77" t="s">
        <v>35</v>
      </c>
      <c r="Y84" s="77" t="s">
        <v>55</v>
      </c>
      <c r="Z84" s="77" t="s">
        <v>43</v>
      </c>
      <c r="AA84" s="77" t="s">
        <v>76</v>
      </c>
      <c r="AB84" s="167" t="s">
        <v>333</v>
      </c>
    </row>
    <row r="85" spans="1:28" x14ac:dyDescent="0.15">
      <c r="A85" s="167" t="s">
        <v>48</v>
      </c>
      <c r="B85" s="167" t="s">
        <v>329</v>
      </c>
      <c r="C85" s="167">
        <v>2020</v>
      </c>
      <c r="D85" s="168" t="s">
        <v>330</v>
      </c>
      <c r="E85" s="167" t="s">
        <v>305</v>
      </c>
      <c r="F85" s="167" t="s">
        <v>342</v>
      </c>
      <c r="G85" s="167" t="s">
        <v>25</v>
      </c>
      <c r="H85" s="167" t="s">
        <v>113</v>
      </c>
      <c r="I85" s="77" t="s">
        <v>111</v>
      </c>
      <c r="J85" s="77" t="s">
        <v>27</v>
      </c>
      <c r="K85" s="77" t="s">
        <v>112</v>
      </c>
      <c r="L85" s="77">
        <v>3</v>
      </c>
      <c r="N85" s="77">
        <v>5</v>
      </c>
      <c r="O85" s="77">
        <v>0.6</v>
      </c>
      <c r="P85" s="77">
        <v>0.8</v>
      </c>
      <c r="Q85" s="44">
        <f t="shared" si="3"/>
        <v>0.7</v>
      </c>
      <c r="R85" s="77">
        <v>17.100000000000001</v>
      </c>
      <c r="S85" s="77">
        <v>74.5</v>
      </c>
      <c r="T85" s="16">
        <f t="shared" si="4"/>
        <v>42</v>
      </c>
      <c r="U85" s="77">
        <v>298</v>
      </c>
      <c r="V85" s="169">
        <f t="shared" si="5"/>
        <v>2503.2000000000003</v>
      </c>
      <c r="W85" s="77">
        <v>11</v>
      </c>
      <c r="X85" s="77" t="s">
        <v>35</v>
      </c>
      <c r="Y85" s="77" t="s">
        <v>55</v>
      </c>
      <c r="Z85" s="77" t="s">
        <v>43</v>
      </c>
      <c r="AA85" s="77" t="s">
        <v>76</v>
      </c>
      <c r="AB85" s="167" t="s">
        <v>333</v>
      </c>
    </row>
    <row r="86" spans="1:28" x14ac:dyDescent="0.15">
      <c r="A86" s="167" t="s">
        <v>48</v>
      </c>
      <c r="B86" s="167" t="s">
        <v>329</v>
      </c>
      <c r="C86" s="167">
        <v>2020</v>
      </c>
      <c r="D86" s="168" t="s">
        <v>330</v>
      </c>
      <c r="E86" s="167" t="s">
        <v>305</v>
      </c>
      <c r="F86" s="167" t="s">
        <v>342</v>
      </c>
      <c r="G86" s="167" t="s">
        <v>25</v>
      </c>
      <c r="H86" s="167" t="s">
        <v>113</v>
      </c>
      <c r="I86" s="77" t="s">
        <v>111</v>
      </c>
      <c r="J86" s="77" t="s">
        <v>27</v>
      </c>
      <c r="K86" s="77" t="s">
        <v>112</v>
      </c>
      <c r="L86" s="77">
        <v>1</v>
      </c>
      <c r="N86" s="77">
        <v>8</v>
      </c>
      <c r="O86" s="77">
        <v>0.5</v>
      </c>
      <c r="P86" s="77">
        <v>0.5</v>
      </c>
      <c r="Q86" s="44">
        <f t="shared" si="3"/>
        <v>0.5</v>
      </c>
      <c r="R86" s="77">
        <v>14.5</v>
      </c>
      <c r="S86" s="77">
        <v>100</v>
      </c>
      <c r="T86" s="16">
        <f t="shared" si="4"/>
        <v>33</v>
      </c>
      <c r="U86" s="77">
        <v>598</v>
      </c>
      <c r="V86" s="169">
        <f t="shared" si="5"/>
        <v>2466.75</v>
      </c>
      <c r="W86" s="77">
        <v>11</v>
      </c>
      <c r="X86" s="77" t="s">
        <v>35</v>
      </c>
      <c r="Y86" s="77" t="s">
        <v>55</v>
      </c>
      <c r="Z86" s="77" t="s">
        <v>43</v>
      </c>
      <c r="AA86" s="77" t="s">
        <v>76</v>
      </c>
      <c r="AB86" s="167" t="s">
        <v>333</v>
      </c>
    </row>
    <row r="87" spans="1:28" x14ac:dyDescent="0.15">
      <c r="A87" s="167" t="s">
        <v>48</v>
      </c>
      <c r="B87" s="167" t="s">
        <v>329</v>
      </c>
      <c r="C87" s="167">
        <v>2020</v>
      </c>
      <c r="D87" s="168" t="s">
        <v>330</v>
      </c>
      <c r="E87" s="167" t="s">
        <v>305</v>
      </c>
      <c r="F87" s="167" t="s">
        <v>342</v>
      </c>
      <c r="G87" s="167" t="s">
        <v>25</v>
      </c>
      <c r="H87" s="167" t="s">
        <v>113</v>
      </c>
      <c r="I87" s="77" t="s">
        <v>111</v>
      </c>
      <c r="J87" s="77" t="s">
        <v>27</v>
      </c>
      <c r="K87" s="77" t="s">
        <v>112</v>
      </c>
      <c r="L87" s="77">
        <v>2</v>
      </c>
      <c r="N87" s="77">
        <v>8</v>
      </c>
      <c r="O87" s="77">
        <v>0.5</v>
      </c>
      <c r="P87" s="77">
        <v>0.55000000000000004</v>
      </c>
      <c r="Q87" s="44">
        <f t="shared" si="3"/>
        <v>0.52500000000000002</v>
      </c>
      <c r="R87" s="77">
        <v>15.1</v>
      </c>
      <c r="S87" s="77">
        <v>100.5</v>
      </c>
      <c r="T87" s="16">
        <f t="shared" si="4"/>
        <v>33</v>
      </c>
      <c r="U87" s="77">
        <v>598</v>
      </c>
      <c r="V87" s="169">
        <f t="shared" si="5"/>
        <v>2466.75</v>
      </c>
      <c r="W87" s="77">
        <v>11</v>
      </c>
      <c r="X87" s="77" t="s">
        <v>35</v>
      </c>
      <c r="Y87" s="77" t="s">
        <v>55</v>
      </c>
      <c r="Z87" s="77" t="s">
        <v>43</v>
      </c>
      <c r="AA87" s="77" t="s">
        <v>76</v>
      </c>
      <c r="AB87" s="167" t="s">
        <v>333</v>
      </c>
    </row>
    <row r="88" spans="1:28" x14ac:dyDescent="0.15">
      <c r="A88" s="167" t="s">
        <v>48</v>
      </c>
      <c r="B88" s="167" t="s">
        <v>329</v>
      </c>
      <c r="C88" s="167">
        <v>2020</v>
      </c>
      <c r="D88" s="168" t="s">
        <v>330</v>
      </c>
      <c r="E88" s="167" t="s">
        <v>305</v>
      </c>
      <c r="F88" s="167" t="s">
        <v>342</v>
      </c>
      <c r="G88" s="167" t="s">
        <v>25</v>
      </c>
      <c r="H88" s="167" t="s">
        <v>113</v>
      </c>
      <c r="I88" s="77" t="s">
        <v>111</v>
      </c>
      <c r="J88" s="77" t="s">
        <v>27</v>
      </c>
      <c r="K88" s="77" t="s">
        <v>112</v>
      </c>
      <c r="L88" s="77">
        <v>3</v>
      </c>
      <c r="N88" s="77">
        <v>8</v>
      </c>
      <c r="O88" s="77">
        <v>0.65</v>
      </c>
      <c r="P88" s="77">
        <v>0.5</v>
      </c>
      <c r="Q88" s="44">
        <f t="shared" si="3"/>
        <v>0.57499999999999996</v>
      </c>
      <c r="R88" s="77">
        <v>13.5</v>
      </c>
      <c r="S88" s="77">
        <v>99</v>
      </c>
      <c r="T88" s="16">
        <f t="shared" si="4"/>
        <v>33</v>
      </c>
      <c r="U88" s="77">
        <v>598</v>
      </c>
      <c r="V88" s="169">
        <f t="shared" si="5"/>
        <v>2466.75</v>
      </c>
      <c r="W88" s="77">
        <v>11</v>
      </c>
      <c r="X88" s="77" t="s">
        <v>35</v>
      </c>
      <c r="Y88" s="77" t="s">
        <v>55</v>
      </c>
      <c r="Z88" s="77" t="s">
        <v>43</v>
      </c>
      <c r="AA88" s="77" t="s">
        <v>76</v>
      </c>
      <c r="AB88" s="167" t="s">
        <v>333</v>
      </c>
    </row>
    <row r="89" spans="1:28" x14ac:dyDescent="0.15">
      <c r="A89" s="167" t="s">
        <v>48</v>
      </c>
      <c r="B89" s="167" t="s">
        <v>329</v>
      </c>
      <c r="C89" s="167">
        <v>2020</v>
      </c>
      <c r="D89" s="168" t="s">
        <v>330</v>
      </c>
      <c r="E89" s="167" t="s">
        <v>364</v>
      </c>
      <c r="F89" s="167" t="s">
        <v>345</v>
      </c>
      <c r="G89" s="167" t="s">
        <v>25</v>
      </c>
      <c r="H89" s="167" t="s">
        <v>164</v>
      </c>
      <c r="I89" s="77" t="s">
        <v>111</v>
      </c>
      <c r="J89" s="77" t="s">
        <v>27</v>
      </c>
      <c r="K89" s="77" t="s">
        <v>112</v>
      </c>
      <c r="L89" s="77">
        <v>1</v>
      </c>
      <c r="N89" s="77">
        <v>1</v>
      </c>
      <c r="O89" s="77">
        <v>1.25</v>
      </c>
      <c r="P89" s="77">
        <v>1.4</v>
      </c>
      <c r="Q89" s="44">
        <f t="shared" si="3"/>
        <v>1.325</v>
      </c>
      <c r="R89" s="77">
        <v>16.5</v>
      </c>
      <c r="S89" s="77">
        <v>137.5</v>
      </c>
      <c r="T89" s="16">
        <f t="shared" si="4"/>
        <v>25</v>
      </c>
      <c r="U89" s="77">
        <v>138</v>
      </c>
      <c r="V89" s="169">
        <f t="shared" si="5"/>
        <v>3450</v>
      </c>
      <c r="W89" s="77">
        <v>24</v>
      </c>
      <c r="X89" s="77" t="s">
        <v>35</v>
      </c>
      <c r="Y89" s="77" t="s">
        <v>55</v>
      </c>
      <c r="Z89" s="77" t="s">
        <v>43</v>
      </c>
      <c r="AA89" s="77" t="s">
        <v>64</v>
      </c>
      <c r="AB89" s="167" t="s">
        <v>333</v>
      </c>
    </row>
    <row r="90" spans="1:28" x14ac:dyDescent="0.15">
      <c r="A90" s="167" t="s">
        <v>48</v>
      </c>
      <c r="B90" s="167" t="s">
        <v>329</v>
      </c>
      <c r="C90" s="167">
        <v>2020</v>
      </c>
      <c r="D90" s="168" t="s">
        <v>330</v>
      </c>
      <c r="E90" s="167" t="s">
        <v>364</v>
      </c>
      <c r="F90" s="167" t="s">
        <v>345</v>
      </c>
      <c r="G90" s="167" t="s">
        <v>25</v>
      </c>
      <c r="H90" s="167" t="s">
        <v>164</v>
      </c>
      <c r="I90" s="77" t="s">
        <v>111</v>
      </c>
      <c r="J90" s="77" t="s">
        <v>27</v>
      </c>
      <c r="K90" s="77" t="s">
        <v>112</v>
      </c>
      <c r="L90" s="77">
        <v>2</v>
      </c>
      <c r="N90" s="77">
        <v>1</v>
      </c>
      <c r="O90" s="77">
        <v>0.6</v>
      </c>
      <c r="P90" s="77">
        <v>0.6</v>
      </c>
      <c r="Q90" s="44">
        <f t="shared" si="3"/>
        <v>0.6</v>
      </c>
      <c r="R90" s="77">
        <v>15.6</v>
      </c>
      <c r="S90" s="77">
        <v>144.5</v>
      </c>
      <c r="T90" s="16">
        <f t="shared" si="4"/>
        <v>22</v>
      </c>
      <c r="U90" s="77">
        <v>138</v>
      </c>
      <c r="V90" s="169">
        <f t="shared" si="5"/>
        <v>3036</v>
      </c>
      <c r="W90" s="77">
        <v>24</v>
      </c>
      <c r="X90" s="77" t="s">
        <v>35</v>
      </c>
      <c r="Y90" s="77" t="s">
        <v>55</v>
      </c>
      <c r="Z90" s="77" t="s">
        <v>43</v>
      </c>
      <c r="AA90" s="77" t="s">
        <v>64</v>
      </c>
      <c r="AB90" s="167" t="s">
        <v>333</v>
      </c>
    </row>
    <row r="91" spans="1:28" x14ac:dyDescent="0.15">
      <c r="A91" s="167" t="s">
        <v>48</v>
      </c>
      <c r="B91" s="167" t="s">
        <v>329</v>
      </c>
      <c r="C91" s="167">
        <v>2020</v>
      </c>
      <c r="D91" s="168" t="s">
        <v>330</v>
      </c>
      <c r="E91" s="167" t="s">
        <v>364</v>
      </c>
      <c r="F91" s="167" t="s">
        <v>345</v>
      </c>
      <c r="G91" s="167" t="s">
        <v>25</v>
      </c>
      <c r="H91" s="167" t="s">
        <v>164</v>
      </c>
      <c r="I91" s="77" t="s">
        <v>111</v>
      </c>
      <c r="J91" s="77" t="s">
        <v>27</v>
      </c>
      <c r="K91" s="77" t="s">
        <v>112</v>
      </c>
      <c r="L91" s="77">
        <v>3</v>
      </c>
      <c r="N91" s="77">
        <v>1</v>
      </c>
      <c r="O91" s="77">
        <v>0.65</v>
      </c>
      <c r="P91" s="77">
        <v>0.75</v>
      </c>
      <c r="Q91" s="44">
        <f t="shared" si="3"/>
        <v>0.7</v>
      </c>
      <c r="R91" s="77">
        <v>16.399999999999999</v>
      </c>
      <c r="S91" s="77">
        <v>144.5</v>
      </c>
      <c r="T91" s="16">
        <f t="shared" si="4"/>
        <v>22</v>
      </c>
      <c r="U91" s="77">
        <v>138</v>
      </c>
      <c r="V91" s="169">
        <f t="shared" si="5"/>
        <v>3036</v>
      </c>
      <c r="W91" s="77">
        <v>24</v>
      </c>
      <c r="X91" s="77" t="s">
        <v>35</v>
      </c>
      <c r="Y91" s="77" t="s">
        <v>55</v>
      </c>
      <c r="Z91" s="77" t="s">
        <v>43</v>
      </c>
      <c r="AA91" s="77" t="s">
        <v>64</v>
      </c>
      <c r="AB91" s="167" t="s">
        <v>333</v>
      </c>
    </row>
    <row r="92" spans="1:28" x14ac:dyDescent="0.15">
      <c r="A92" s="167" t="s">
        <v>48</v>
      </c>
      <c r="B92" s="167" t="s">
        <v>329</v>
      </c>
      <c r="C92" s="167">
        <v>2020</v>
      </c>
      <c r="D92" s="168" t="s">
        <v>330</v>
      </c>
      <c r="E92" s="167" t="s">
        <v>364</v>
      </c>
      <c r="F92" s="167" t="s">
        <v>345</v>
      </c>
      <c r="G92" s="167" t="s">
        <v>25</v>
      </c>
      <c r="H92" s="167" t="s">
        <v>164</v>
      </c>
      <c r="I92" s="77" t="s">
        <v>111</v>
      </c>
      <c r="J92" s="77" t="s">
        <v>27</v>
      </c>
      <c r="K92" s="77" t="s">
        <v>112</v>
      </c>
      <c r="L92" s="77">
        <v>1</v>
      </c>
      <c r="N92" s="77">
        <v>4</v>
      </c>
      <c r="O92" s="77">
        <v>0.75</v>
      </c>
      <c r="P92" s="77">
        <v>0.65</v>
      </c>
      <c r="Q92" s="44">
        <f t="shared" si="3"/>
        <v>0.7</v>
      </c>
      <c r="R92" s="77">
        <v>14.7</v>
      </c>
      <c r="S92" s="77">
        <v>95.5</v>
      </c>
      <c r="T92" s="16">
        <f t="shared" si="4"/>
        <v>36</v>
      </c>
      <c r="U92" s="77">
        <v>498</v>
      </c>
      <c r="V92" s="169">
        <f t="shared" si="5"/>
        <v>4482</v>
      </c>
      <c r="W92" s="77">
        <v>24</v>
      </c>
      <c r="X92" s="77" t="s">
        <v>35</v>
      </c>
      <c r="Y92" s="77" t="s">
        <v>55</v>
      </c>
      <c r="Z92" s="77" t="s">
        <v>43</v>
      </c>
      <c r="AA92" s="77" t="s">
        <v>64</v>
      </c>
      <c r="AB92" s="167" t="s">
        <v>333</v>
      </c>
    </row>
    <row r="93" spans="1:28" x14ac:dyDescent="0.15">
      <c r="A93" s="167" t="s">
        <v>48</v>
      </c>
      <c r="B93" s="167" t="s">
        <v>329</v>
      </c>
      <c r="C93" s="167">
        <v>2020</v>
      </c>
      <c r="D93" s="168" t="s">
        <v>330</v>
      </c>
      <c r="E93" s="167" t="s">
        <v>364</v>
      </c>
      <c r="F93" s="167" t="s">
        <v>345</v>
      </c>
      <c r="G93" s="167" t="s">
        <v>25</v>
      </c>
      <c r="H93" s="167" t="s">
        <v>164</v>
      </c>
      <c r="I93" s="77" t="s">
        <v>111</v>
      </c>
      <c r="J93" s="77" t="s">
        <v>27</v>
      </c>
      <c r="K93" s="77" t="s">
        <v>112</v>
      </c>
      <c r="L93" s="77">
        <v>2</v>
      </c>
      <c r="N93" s="77">
        <v>4</v>
      </c>
      <c r="O93" s="77">
        <v>0.8</v>
      </c>
      <c r="P93" s="77">
        <v>0.75</v>
      </c>
      <c r="Q93" s="44">
        <f t="shared" si="3"/>
        <v>0.77500000000000002</v>
      </c>
      <c r="R93" s="77">
        <v>15.1</v>
      </c>
      <c r="S93" s="77">
        <v>98.5</v>
      </c>
      <c r="T93" s="16">
        <f t="shared" si="4"/>
        <v>36</v>
      </c>
      <c r="U93" s="77">
        <v>498</v>
      </c>
      <c r="V93" s="169">
        <f t="shared" si="5"/>
        <v>4482</v>
      </c>
      <c r="W93" s="77">
        <v>24</v>
      </c>
      <c r="X93" s="77" t="s">
        <v>35</v>
      </c>
      <c r="Y93" s="77" t="s">
        <v>55</v>
      </c>
      <c r="Z93" s="77" t="s">
        <v>43</v>
      </c>
      <c r="AA93" s="77" t="s">
        <v>64</v>
      </c>
      <c r="AB93" s="167" t="s">
        <v>333</v>
      </c>
    </row>
    <row r="94" spans="1:28" x14ac:dyDescent="0.15">
      <c r="A94" s="167" t="s">
        <v>48</v>
      </c>
      <c r="B94" s="167" t="s">
        <v>329</v>
      </c>
      <c r="C94" s="167">
        <v>2020</v>
      </c>
      <c r="D94" s="168" t="s">
        <v>330</v>
      </c>
      <c r="E94" s="167" t="s">
        <v>364</v>
      </c>
      <c r="F94" s="167" t="s">
        <v>345</v>
      </c>
      <c r="G94" s="167" t="s">
        <v>25</v>
      </c>
      <c r="H94" s="167" t="s">
        <v>164</v>
      </c>
      <c r="I94" s="77" t="s">
        <v>111</v>
      </c>
      <c r="J94" s="77" t="s">
        <v>27</v>
      </c>
      <c r="K94" s="77" t="s">
        <v>112</v>
      </c>
      <c r="L94" s="77">
        <v>3</v>
      </c>
      <c r="N94" s="77">
        <v>4</v>
      </c>
      <c r="O94" s="77">
        <v>0.8</v>
      </c>
      <c r="P94" s="77">
        <v>0.7</v>
      </c>
      <c r="Q94" s="44">
        <f t="shared" si="3"/>
        <v>0.75</v>
      </c>
      <c r="R94" s="77">
        <v>17</v>
      </c>
      <c r="S94" s="77">
        <v>113.5</v>
      </c>
      <c r="T94" s="16">
        <f t="shared" si="4"/>
        <v>30</v>
      </c>
      <c r="U94" s="77">
        <v>498</v>
      </c>
      <c r="V94" s="169">
        <f t="shared" si="5"/>
        <v>3735</v>
      </c>
      <c r="W94" s="77">
        <v>24</v>
      </c>
      <c r="X94" s="77" t="s">
        <v>35</v>
      </c>
      <c r="Y94" s="77" t="s">
        <v>55</v>
      </c>
      <c r="Z94" s="77" t="s">
        <v>43</v>
      </c>
      <c r="AA94" s="77" t="s">
        <v>64</v>
      </c>
      <c r="AB94" s="167" t="s">
        <v>333</v>
      </c>
    </row>
    <row r="95" spans="1:28" x14ac:dyDescent="0.15">
      <c r="A95" s="167" t="s">
        <v>48</v>
      </c>
      <c r="B95" s="167" t="s">
        <v>329</v>
      </c>
      <c r="C95" s="167">
        <v>2020</v>
      </c>
      <c r="D95" s="168" t="s">
        <v>330</v>
      </c>
      <c r="E95" s="167" t="s">
        <v>364</v>
      </c>
      <c r="F95" s="167" t="s">
        <v>345</v>
      </c>
      <c r="G95" s="167" t="s">
        <v>25</v>
      </c>
      <c r="H95" s="167" t="s">
        <v>113</v>
      </c>
      <c r="I95" s="77" t="s">
        <v>111</v>
      </c>
      <c r="J95" s="77" t="s">
        <v>27</v>
      </c>
      <c r="K95" s="77" t="s">
        <v>112</v>
      </c>
      <c r="L95" s="77">
        <v>1</v>
      </c>
      <c r="N95" s="77">
        <v>1</v>
      </c>
      <c r="O95" s="77">
        <v>0.7</v>
      </c>
      <c r="P95" s="77">
        <v>0.75</v>
      </c>
      <c r="Q95" s="16">
        <f t="shared" si="3"/>
        <v>0.72499999999999998</v>
      </c>
      <c r="R95" s="77">
        <v>16.600000000000001</v>
      </c>
      <c r="S95" s="77">
        <v>136</v>
      </c>
      <c r="T95" s="16">
        <f t="shared" si="4"/>
        <v>25</v>
      </c>
      <c r="U95" s="77">
        <v>128</v>
      </c>
      <c r="V95" s="16">
        <f t="shared" si="5"/>
        <v>3200</v>
      </c>
      <c r="W95" s="77">
        <v>24</v>
      </c>
      <c r="X95" s="77" t="s">
        <v>35</v>
      </c>
      <c r="Y95" s="77" t="s">
        <v>55</v>
      </c>
      <c r="Z95" s="77" t="s">
        <v>43</v>
      </c>
      <c r="AA95" s="77" t="s">
        <v>64</v>
      </c>
      <c r="AB95" s="167" t="s">
        <v>333</v>
      </c>
    </row>
    <row r="96" spans="1:28" x14ac:dyDescent="0.15">
      <c r="A96" s="167" t="s">
        <v>48</v>
      </c>
      <c r="B96" s="167" t="s">
        <v>329</v>
      </c>
      <c r="C96" s="167">
        <v>2020</v>
      </c>
      <c r="D96" s="168" t="s">
        <v>330</v>
      </c>
      <c r="E96" s="167" t="s">
        <v>364</v>
      </c>
      <c r="F96" s="167" t="s">
        <v>345</v>
      </c>
      <c r="G96" s="167" t="s">
        <v>25</v>
      </c>
      <c r="H96" s="167" t="s">
        <v>113</v>
      </c>
      <c r="I96" s="77" t="s">
        <v>111</v>
      </c>
      <c r="J96" s="77" t="s">
        <v>27</v>
      </c>
      <c r="K96" s="77" t="s">
        <v>112</v>
      </c>
      <c r="L96" s="77">
        <v>2</v>
      </c>
      <c r="N96" s="77">
        <v>1</v>
      </c>
      <c r="O96" s="77">
        <v>0.7</v>
      </c>
      <c r="P96" s="77">
        <v>0.75</v>
      </c>
      <c r="Q96" s="44">
        <f t="shared" si="3"/>
        <v>0.72499999999999998</v>
      </c>
      <c r="R96" s="77">
        <v>15.5</v>
      </c>
      <c r="S96" s="77">
        <v>143</v>
      </c>
      <c r="T96" s="16">
        <f t="shared" si="4"/>
        <v>22</v>
      </c>
      <c r="U96" s="77">
        <v>128</v>
      </c>
      <c r="V96" s="169">
        <f t="shared" si="5"/>
        <v>2816</v>
      </c>
      <c r="W96" s="77">
        <v>24</v>
      </c>
      <c r="X96" s="77" t="s">
        <v>35</v>
      </c>
      <c r="Y96" s="77" t="s">
        <v>55</v>
      </c>
      <c r="Z96" s="77" t="s">
        <v>43</v>
      </c>
      <c r="AA96" s="77" t="s">
        <v>64</v>
      </c>
      <c r="AB96" s="167" t="s">
        <v>333</v>
      </c>
    </row>
    <row r="97" spans="1:28" x14ac:dyDescent="0.15">
      <c r="A97" s="167" t="s">
        <v>48</v>
      </c>
      <c r="B97" s="167" t="s">
        <v>329</v>
      </c>
      <c r="C97" s="167">
        <v>2020</v>
      </c>
      <c r="D97" s="168" t="s">
        <v>330</v>
      </c>
      <c r="E97" s="167" t="s">
        <v>364</v>
      </c>
      <c r="F97" s="167" t="s">
        <v>345</v>
      </c>
      <c r="G97" s="167" t="s">
        <v>25</v>
      </c>
      <c r="H97" s="167" t="s">
        <v>113</v>
      </c>
      <c r="I97" s="77" t="s">
        <v>111</v>
      </c>
      <c r="J97" s="77" t="s">
        <v>27</v>
      </c>
      <c r="K97" s="77" t="s">
        <v>112</v>
      </c>
      <c r="L97" s="77">
        <v>3</v>
      </c>
      <c r="N97" s="77">
        <v>1</v>
      </c>
      <c r="O97" s="77">
        <v>0.6</v>
      </c>
      <c r="P97" s="77">
        <v>0.65</v>
      </c>
      <c r="Q97" s="44">
        <f t="shared" si="3"/>
        <v>0.625</v>
      </c>
      <c r="R97" s="77">
        <v>16.7</v>
      </c>
      <c r="S97" s="77">
        <v>145</v>
      </c>
      <c r="T97" s="16">
        <f t="shared" si="4"/>
        <v>22</v>
      </c>
      <c r="U97" s="77">
        <v>128</v>
      </c>
      <c r="V97" s="169">
        <f t="shared" si="5"/>
        <v>2816</v>
      </c>
      <c r="W97" s="77">
        <v>24</v>
      </c>
      <c r="X97" s="77" t="s">
        <v>35</v>
      </c>
      <c r="Y97" s="77" t="s">
        <v>55</v>
      </c>
      <c r="Z97" s="77" t="s">
        <v>43</v>
      </c>
      <c r="AA97" s="77" t="s">
        <v>64</v>
      </c>
      <c r="AB97" s="167" t="s">
        <v>333</v>
      </c>
    </row>
    <row r="98" spans="1:28" x14ac:dyDescent="0.15">
      <c r="A98" s="167" t="s">
        <v>48</v>
      </c>
      <c r="B98" s="167" t="s">
        <v>329</v>
      </c>
      <c r="C98" s="167">
        <v>2020</v>
      </c>
      <c r="D98" s="168" t="s">
        <v>330</v>
      </c>
      <c r="E98" s="167" t="s">
        <v>364</v>
      </c>
      <c r="F98" s="167" t="s">
        <v>345</v>
      </c>
      <c r="G98" s="167" t="s">
        <v>25</v>
      </c>
      <c r="H98" s="167" t="s">
        <v>113</v>
      </c>
      <c r="I98" s="77" t="s">
        <v>111</v>
      </c>
      <c r="J98" s="77" t="s">
        <v>27</v>
      </c>
      <c r="K98" s="77" t="s">
        <v>112</v>
      </c>
      <c r="L98" s="77">
        <v>1</v>
      </c>
      <c r="N98" s="77">
        <v>4</v>
      </c>
      <c r="O98" s="77">
        <v>0.75</v>
      </c>
      <c r="P98" s="77">
        <v>0.7</v>
      </c>
      <c r="Q98" s="44">
        <f t="shared" si="3"/>
        <v>0.72499999999999998</v>
      </c>
      <c r="R98" s="77">
        <v>14.6</v>
      </c>
      <c r="S98" s="77">
        <v>95.5</v>
      </c>
      <c r="T98" s="16">
        <f t="shared" si="4"/>
        <v>36</v>
      </c>
      <c r="U98" s="77">
        <v>398</v>
      </c>
      <c r="V98" s="169">
        <f t="shared" si="5"/>
        <v>3582</v>
      </c>
      <c r="W98" s="77">
        <v>24</v>
      </c>
      <c r="X98" s="77" t="s">
        <v>35</v>
      </c>
      <c r="Y98" s="77" t="s">
        <v>55</v>
      </c>
      <c r="Z98" s="77" t="s">
        <v>43</v>
      </c>
      <c r="AA98" s="77" t="s">
        <v>64</v>
      </c>
      <c r="AB98" s="167" t="s">
        <v>333</v>
      </c>
    </row>
    <row r="99" spans="1:28" x14ac:dyDescent="0.15">
      <c r="A99" s="167" t="s">
        <v>48</v>
      </c>
      <c r="B99" s="167" t="s">
        <v>329</v>
      </c>
      <c r="C99" s="167">
        <v>2020</v>
      </c>
      <c r="D99" s="168" t="s">
        <v>330</v>
      </c>
      <c r="E99" s="167" t="s">
        <v>364</v>
      </c>
      <c r="F99" s="167" t="s">
        <v>345</v>
      </c>
      <c r="G99" s="167" t="s">
        <v>25</v>
      </c>
      <c r="H99" s="167" t="s">
        <v>113</v>
      </c>
      <c r="I99" s="77" t="s">
        <v>111</v>
      </c>
      <c r="J99" s="77" t="s">
        <v>27</v>
      </c>
      <c r="K99" s="77" t="s">
        <v>112</v>
      </c>
      <c r="L99" s="77">
        <v>2</v>
      </c>
      <c r="N99" s="77">
        <v>4</v>
      </c>
      <c r="O99" s="77">
        <v>0.2</v>
      </c>
      <c r="P99" s="77">
        <v>0.2</v>
      </c>
      <c r="Q99" s="44">
        <f t="shared" si="3"/>
        <v>0.2</v>
      </c>
      <c r="R99" s="77">
        <v>14.6</v>
      </c>
      <c r="S99" s="77">
        <v>94</v>
      </c>
      <c r="T99" s="16">
        <f t="shared" si="4"/>
        <v>36</v>
      </c>
      <c r="U99" s="77">
        <v>398</v>
      </c>
      <c r="V99" s="169">
        <f t="shared" si="5"/>
        <v>3582</v>
      </c>
      <c r="W99" s="77">
        <v>24</v>
      </c>
      <c r="X99" s="77" t="s">
        <v>35</v>
      </c>
      <c r="Y99" s="77" t="s">
        <v>55</v>
      </c>
      <c r="Z99" s="77" t="s">
        <v>43</v>
      </c>
      <c r="AA99" s="77" t="s">
        <v>64</v>
      </c>
      <c r="AB99" s="167" t="s">
        <v>333</v>
      </c>
    </row>
    <row r="100" spans="1:28" x14ac:dyDescent="0.15">
      <c r="A100" s="167" t="s">
        <v>48</v>
      </c>
      <c r="B100" s="167" t="s">
        <v>329</v>
      </c>
      <c r="C100" s="167">
        <v>2020</v>
      </c>
      <c r="D100" s="168" t="s">
        <v>330</v>
      </c>
      <c r="E100" s="167" t="s">
        <v>364</v>
      </c>
      <c r="F100" s="167" t="s">
        <v>345</v>
      </c>
      <c r="G100" s="167" t="s">
        <v>25</v>
      </c>
      <c r="H100" s="167" t="s">
        <v>113</v>
      </c>
      <c r="I100" s="77" t="s">
        <v>111</v>
      </c>
      <c r="J100" s="77" t="s">
        <v>27</v>
      </c>
      <c r="K100" s="77" t="s">
        <v>112</v>
      </c>
      <c r="L100" s="77">
        <v>3</v>
      </c>
      <c r="N100" s="77">
        <v>4</v>
      </c>
      <c r="O100" s="77">
        <v>0.75</v>
      </c>
      <c r="P100" s="77">
        <v>1.35</v>
      </c>
      <c r="Q100" s="44">
        <f t="shared" si="3"/>
        <v>1.05</v>
      </c>
      <c r="R100" s="77">
        <v>14.8</v>
      </c>
      <c r="S100" s="77">
        <v>97</v>
      </c>
      <c r="T100" s="16">
        <f t="shared" si="4"/>
        <v>36</v>
      </c>
      <c r="U100" s="77">
        <v>398</v>
      </c>
      <c r="V100" s="169">
        <f t="shared" si="5"/>
        <v>3582</v>
      </c>
      <c r="W100" s="77">
        <v>24</v>
      </c>
      <c r="X100" s="77" t="s">
        <v>35</v>
      </c>
      <c r="Y100" s="77" t="s">
        <v>55</v>
      </c>
      <c r="Z100" s="77" t="s">
        <v>43</v>
      </c>
      <c r="AA100" s="77" t="s">
        <v>64</v>
      </c>
      <c r="AB100" s="167" t="s">
        <v>333</v>
      </c>
    </row>
    <row r="101" spans="1:28" x14ac:dyDescent="0.15">
      <c r="A101" s="167" t="s">
        <v>48</v>
      </c>
      <c r="B101" s="167" t="s">
        <v>329</v>
      </c>
      <c r="C101" s="167">
        <v>2020</v>
      </c>
      <c r="D101" s="168" t="s">
        <v>330</v>
      </c>
      <c r="E101" s="167" t="s">
        <v>364</v>
      </c>
      <c r="F101" s="167" t="s">
        <v>345</v>
      </c>
      <c r="G101" s="167" t="s">
        <v>25</v>
      </c>
      <c r="H101" s="167" t="s">
        <v>113</v>
      </c>
      <c r="I101" s="77" t="s">
        <v>111</v>
      </c>
      <c r="J101" s="77" t="s">
        <v>27</v>
      </c>
      <c r="K101" s="77" t="s">
        <v>112</v>
      </c>
      <c r="L101" s="77">
        <v>1</v>
      </c>
      <c r="N101" s="77">
        <v>8</v>
      </c>
      <c r="O101" s="77">
        <v>0.65</v>
      </c>
      <c r="P101" s="77">
        <v>0.55000000000000004</v>
      </c>
      <c r="Q101" s="44">
        <f t="shared" si="3"/>
        <v>0.60000000000000009</v>
      </c>
      <c r="R101" s="77">
        <v>14.3</v>
      </c>
      <c r="S101" s="77">
        <v>57.5</v>
      </c>
      <c r="T101" s="16">
        <f t="shared" si="4"/>
        <v>50</v>
      </c>
      <c r="U101" s="77">
        <v>498</v>
      </c>
      <c r="V101" s="169">
        <f t="shared" si="5"/>
        <v>3112.5</v>
      </c>
      <c r="W101" s="77">
        <v>24</v>
      </c>
      <c r="X101" s="77" t="s">
        <v>35</v>
      </c>
      <c r="Y101" s="77" t="s">
        <v>55</v>
      </c>
      <c r="Z101" s="77" t="s">
        <v>43</v>
      </c>
      <c r="AA101" s="77" t="s">
        <v>64</v>
      </c>
      <c r="AB101" s="167" t="s">
        <v>333</v>
      </c>
    </row>
    <row r="102" spans="1:28" x14ac:dyDescent="0.15">
      <c r="A102" s="167" t="s">
        <v>48</v>
      </c>
      <c r="B102" s="167" t="s">
        <v>329</v>
      </c>
      <c r="C102" s="167">
        <v>2020</v>
      </c>
      <c r="D102" s="168" t="s">
        <v>330</v>
      </c>
      <c r="E102" s="167" t="s">
        <v>364</v>
      </c>
      <c r="F102" s="167" t="s">
        <v>345</v>
      </c>
      <c r="G102" s="167" t="s">
        <v>25</v>
      </c>
      <c r="H102" s="167" t="s">
        <v>113</v>
      </c>
      <c r="I102" s="77" t="s">
        <v>111</v>
      </c>
      <c r="J102" s="77" t="s">
        <v>27</v>
      </c>
      <c r="K102" s="77" t="s">
        <v>112</v>
      </c>
      <c r="L102" s="77">
        <v>2</v>
      </c>
      <c r="N102" s="77">
        <v>8</v>
      </c>
      <c r="O102" s="77">
        <v>0.7</v>
      </c>
      <c r="P102" s="77">
        <v>0.7</v>
      </c>
      <c r="Q102" s="44">
        <f t="shared" si="3"/>
        <v>0.7</v>
      </c>
      <c r="R102" s="77">
        <v>15.1</v>
      </c>
      <c r="S102" s="77">
        <v>57.5</v>
      </c>
      <c r="T102" s="16">
        <f t="shared" si="4"/>
        <v>50</v>
      </c>
      <c r="U102" s="77">
        <v>498</v>
      </c>
      <c r="V102" s="169">
        <f t="shared" si="5"/>
        <v>3112.5</v>
      </c>
      <c r="W102" s="77">
        <v>24</v>
      </c>
      <c r="X102" s="77" t="s">
        <v>35</v>
      </c>
      <c r="Y102" s="77" t="s">
        <v>55</v>
      </c>
      <c r="Z102" s="77" t="s">
        <v>43</v>
      </c>
      <c r="AA102" s="77" t="s">
        <v>64</v>
      </c>
      <c r="AB102" s="167" t="s">
        <v>333</v>
      </c>
    </row>
    <row r="103" spans="1:28" x14ac:dyDescent="0.15">
      <c r="A103" s="167" t="s">
        <v>48</v>
      </c>
      <c r="B103" s="167" t="s">
        <v>329</v>
      </c>
      <c r="C103" s="167">
        <v>2020</v>
      </c>
      <c r="D103" s="168" t="s">
        <v>330</v>
      </c>
      <c r="E103" s="167" t="s">
        <v>364</v>
      </c>
      <c r="F103" s="167" t="s">
        <v>345</v>
      </c>
      <c r="G103" s="167" t="s">
        <v>25</v>
      </c>
      <c r="H103" s="167" t="s">
        <v>113</v>
      </c>
      <c r="I103" s="77" t="s">
        <v>111</v>
      </c>
      <c r="J103" s="77" t="s">
        <v>27</v>
      </c>
      <c r="K103" s="77" t="s">
        <v>112</v>
      </c>
      <c r="L103" s="77">
        <v>3</v>
      </c>
      <c r="N103" s="77">
        <v>8</v>
      </c>
      <c r="O103" s="77">
        <v>1.35</v>
      </c>
      <c r="P103" s="77">
        <v>1.25</v>
      </c>
      <c r="Q103" s="44">
        <f t="shared" si="3"/>
        <v>1.3</v>
      </c>
      <c r="R103" s="77">
        <v>12.1</v>
      </c>
      <c r="S103" s="77">
        <v>64.5</v>
      </c>
      <c r="T103" s="16">
        <f t="shared" si="4"/>
        <v>50</v>
      </c>
      <c r="U103" s="77">
        <v>498</v>
      </c>
      <c r="V103" s="169">
        <f t="shared" si="5"/>
        <v>3112.5</v>
      </c>
      <c r="W103" s="77">
        <v>24</v>
      </c>
      <c r="X103" s="77" t="s">
        <v>35</v>
      </c>
      <c r="Y103" s="77" t="s">
        <v>55</v>
      </c>
      <c r="Z103" s="77" t="s">
        <v>43</v>
      </c>
      <c r="AA103" s="77" t="s">
        <v>64</v>
      </c>
      <c r="AB103" s="167" t="s">
        <v>333</v>
      </c>
    </row>
    <row r="104" spans="1:28" x14ac:dyDescent="0.15">
      <c r="A104" s="167" t="s">
        <v>48</v>
      </c>
      <c r="B104" s="167" t="s">
        <v>329</v>
      </c>
      <c r="C104" s="167">
        <v>2020</v>
      </c>
      <c r="D104" s="168" t="s">
        <v>330</v>
      </c>
      <c r="E104" s="167" t="s">
        <v>364</v>
      </c>
      <c r="F104" s="167" t="s">
        <v>345</v>
      </c>
      <c r="G104" s="167" t="s">
        <v>25</v>
      </c>
      <c r="H104" s="167" t="s">
        <v>113</v>
      </c>
      <c r="I104" s="77" t="s">
        <v>166</v>
      </c>
      <c r="J104" s="77" t="s">
        <v>27</v>
      </c>
      <c r="K104" s="77" t="s">
        <v>112</v>
      </c>
      <c r="L104" s="77">
        <v>1</v>
      </c>
      <c r="N104" s="77">
        <v>5</v>
      </c>
      <c r="O104" s="77">
        <v>0.9</v>
      </c>
      <c r="P104" s="77">
        <v>0.85</v>
      </c>
      <c r="Q104" s="44">
        <f t="shared" si="3"/>
        <v>0.875</v>
      </c>
      <c r="R104" s="77">
        <v>16.2</v>
      </c>
      <c r="S104" s="77">
        <v>79</v>
      </c>
      <c r="T104" s="16">
        <f t="shared" si="4"/>
        <v>39</v>
      </c>
      <c r="U104" s="77">
        <v>398</v>
      </c>
      <c r="V104" s="169">
        <f t="shared" si="5"/>
        <v>3104.3999999999996</v>
      </c>
      <c r="W104" s="77">
        <v>24</v>
      </c>
      <c r="X104" s="77" t="s">
        <v>35</v>
      </c>
      <c r="Y104" s="77" t="s">
        <v>55</v>
      </c>
      <c r="Z104" s="77" t="s">
        <v>43</v>
      </c>
      <c r="AA104" s="77" t="s">
        <v>64</v>
      </c>
      <c r="AB104" s="167" t="s">
        <v>333</v>
      </c>
    </row>
    <row r="105" spans="1:28" x14ac:dyDescent="0.15">
      <c r="A105" s="167" t="s">
        <v>48</v>
      </c>
      <c r="B105" s="167" t="s">
        <v>329</v>
      </c>
      <c r="C105" s="167">
        <v>2020</v>
      </c>
      <c r="D105" s="168" t="s">
        <v>330</v>
      </c>
      <c r="E105" s="167" t="s">
        <v>364</v>
      </c>
      <c r="F105" s="167" t="s">
        <v>345</v>
      </c>
      <c r="G105" s="167" t="s">
        <v>25</v>
      </c>
      <c r="H105" s="167" t="s">
        <v>113</v>
      </c>
      <c r="I105" s="77" t="s">
        <v>166</v>
      </c>
      <c r="J105" s="77" t="s">
        <v>27</v>
      </c>
      <c r="K105" s="77" t="s">
        <v>112</v>
      </c>
      <c r="L105" s="77">
        <v>2</v>
      </c>
      <c r="N105" s="77">
        <v>5</v>
      </c>
      <c r="O105" s="77">
        <v>1</v>
      </c>
      <c r="P105" s="77">
        <v>1.2</v>
      </c>
      <c r="Q105" s="44">
        <f t="shared" si="3"/>
        <v>1.1000000000000001</v>
      </c>
      <c r="R105" s="77">
        <v>15.1</v>
      </c>
      <c r="S105" s="77">
        <v>79</v>
      </c>
      <c r="T105" s="16">
        <f t="shared" si="4"/>
        <v>39</v>
      </c>
      <c r="U105" s="77">
        <v>398</v>
      </c>
      <c r="V105" s="169">
        <f t="shared" si="5"/>
        <v>3104.3999999999996</v>
      </c>
      <c r="W105" s="77">
        <v>24</v>
      </c>
      <c r="X105" s="77" t="s">
        <v>35</v>
      </c>
      <c r="Y105" s="77" t="s">
        <v>55</v>
      </c>
      <c r="Z105" s="77" t="s">
        <v>43</v>
      </c>
      <c r="AA105" s="77" t="s">
        <v>64</v>
      </c>
      <c r="AB105" s="167" t="s">
        <v>333</v>
      </c>
    </row>
    <row r="106" spans="1:28" x14ac:dyDescent="0.15">
      <c r="A106" s="167" t="s">
        <v>48</v>
      </c>
      <c r="B106" s="167" t="s">
        <v>329</v>
      </c>
      <c r="C106" s="167">
        <v>2020</v>
      </c>
      <c r="D106" s="168" t="s">
        <v>330</v>
      </c>
      <c r="E106" s="167" t="s">
        <v>364</v>
      </c>
      <c r="F106" s="167" t="s">
        <v>345</v>
      </c>
      <c r="G106" s="167" t="s">
        <v>25</v>
      </c>
      <c r="H106" s="167" t="s">
        <v>113</v>
      </c>
      <c r="I106" s="77" t="s">
        <v>166</v>
      </c>
      <c r="J106" s="77" t="s">
        <v>27</v>
      </c>
      <c r="K106" s="77" t="s">
        <v>112</v>
      </c>
      <c r="L106" s="77">
        <v>3</v>
      </c>
      <c r="N106" s="77">
        <v>5</v>
      </c>
      <c r="O106" s="77">
        <v>1.1000000000000001</v>
      </c>
      <c r="P106" s="77">
        <v>1.2</v>
      </c>
      <c r="Q106" s="44">
        <f t="shared" si="3"/>
        <v>1.1499999999999999</v>
      </c>
      <c r="R106" s="77">
        <v>16</v>
      </c>
      <c r="S106" s="77">
        <v>78</v>
      </c>
      <c r="T106" s="16">
        <f t="shared" si="4"/>
        <v>39</v>
      </c>
      <c r="U106" s="77">
        <v>398</v>
      </c>
      <c r="V106" s="169">
        <f t="shared" si="5"/>
        <v>3104.3999999999996</v>
      </c>
      <c r="W106" s="77">
        <v>24</v>
      </c>
      <c r="X106" s="77" t="s">
        <v>35</v>
      </c>
      <c r="Y106" s="77" t="s">
        <v>55</v>
      </c>
      <c r="Z106" s="77" t="s">
        <v>43</v>
      </c>
      <c r="AA106" s="77" t="s">
        <v>64</v>
      </c>
      <c r="AB106" s="167" t="s">
        <v>333</v>
      </c>
    </row>
    <row r="107" spans="1:28" x14ac:dyDescent="0.15">
      <c r="A107" s="167" t="s">
        <v>48</v>
      </c>
      <c r="B107" s="167" t="s">
        <v>329</v>
      </c>
      <c r="C107" s="167">
        <v>2020</v>
      </c>
      <c r="D107" s="168" t="s">
        <v>330</v>
      </c>
      <c r="E107" s="167" t="s">
        <v>364</v>
      </c>
      <c r="F107" s="167" t="s">
        <v>345</v>
      </c>
      <c r="G107" s="167" t="s">
        <v>25</v>
      </c>
      <c r="H107" s="167" t="s">
        <v>165</v>
      </c>
      <c r="I107" s="77" t="s">
        <v>111</v>
      </c>
      <c r="J107" s="77" t="s">
        <v>27</v>
      </c>
      <c r="K107" s="77" t="s">
        <v>112</v>
      </c>
      <c r="L107" s="77">
        <v>1</v>
      </c>
      <c r="N107" s="77">
        <v>5</v>
      </c>
      <c r="O107" s="77">
        <v>0.5</v>
      </c>
      <c r="P107" s="77">
        <v>0.7</v>
      </c>
      <c r="Q107" s="44">
        <f t="shared" si="3"/>
        <v>0.6</v>
      </c>
      <c r="R107" s="77">
        <v>19.3</v>
      </c>
      <c r="S107" s="77">
        <v>73</v>
      </c>
      <c r="T107" s="16">
        <f t="shared" si="4"/>
        <v>42</v>
      </c>
      <c r="U107" s="77">
        <v>398</v>
      </c>
      <c r="V107" s="169">
        <f t="shared" si="5"/>
        <v>3343.2</v>
      </c>
      <c r="W107" s="77">
        <v>24</v>
      </c>
      <c r="X107" s="77" t="s">
        <v>35</v>
      </c>
      <c r="Y107" s="77" t="s">
        <v>55</v>
      </c>
      <c r="Z107" s="77" t="s">
        <v>43</v>
      </c>
      <c r="AA107" s="77" t="s">
        <v>64</v>
      </c>
      <c r="AB107" s="167" t="s">
        <v>333</v>
      </c>
    </row>
    <row r="108" spans="1:28" x14ac:dyDescent="0.15">
      <c r="A108" s="167" t="s">
        <v>48</v>
      </c>
      <c r="B108" s="167" t="s">
        <v>329</v>
      </c>
      <c r="C108" s="167">
        <v>2020</v>
      </c>
      <c r="D108" s="168" t="s">
        <v>330</v>
      </c>
      <c r="E108" s="167" t="s">
        <v>364</v>
      </c>
      <c r="F108" s="167" t="s">
        <v>345</v>
      </c>
      <c r="G108" s="167" t="s">
        <v>25</v>
      </c>
      <c r="H108" s="167" t="s">
        <v>165</v>
      </c>
      <c r="I108" s="77" t="s">
        <v>111</v>
      </c>
      <c r="J108" s="77" t="s">
        <v>27</v>
      </c>
      <c r="K108" s="77" t="s">
        <v>112</v>
      </c>
      <c r="L108" s="77">
        <v>2</v>
      </c>
      <c r="N108" s="77">
        <v>5</v>
      </c>
      <c r="O108" s="77">
        <v>0.5</v>
      </c>
      <c r="P108" s="77">
        <v>0.55000000000000004</v>
      </c>
      <c r="Q108" s="44">
        <f t="shared" si="3"/>
        <v>0.52500000000000002</v>
      </c>
      <c r="R108" s="77">
        <v>19.5</v>
      </c>
      <c r="S108" s="77">
        <v>75.5</v>
      </c>
      <c r="T108" s="16">
        <f t="shared" si="4"/>
        <v>42</v>
      </c>
      <c r="U108" s="77">
        <v>398</v>
      </c>
      <c r="V108" s="169">
        <f t="shared" si="5"/>
        <v>3343.2</v>
      </c>
      <c r="W108" s="77">
        <v>24</v>
      </c>
      <c r="X108" s="77" t="s">
        <v>35</v>
      </c>
      <c r="Y108" s="77" t="s">
        <v>55</v>
      </c>
      <c r="Z108" s="77" t="s">
        <v>43</v>
      </c>
      <c r="AA108" s="77" t="s">
        <v>64</v>
      </c>
      <c r="AB108" s="167" t="s">
        <v>333</v>
      </c>
    </row>
    <row r="109" spans="1:28" x14ac:dyDescent="0.15">
      <c r="A109" s="167" t="s">
        <v>48</v>
      </c>
      <c r="B109" s="167" t="s">
        <v>329</v>
      </c>
      <c r="C109" s="167">
        <v>2020</v>
      </c>
      <c r="D109" s="168" t="s">
        <v>330</v>
      </c>
      <c r="E109" s="167" t="s">
        <v>364</v>
      </c>
      <c r="F109" s="167" t="s">
        <v>345</v>
      </c>
      <c r="G109" s="167" t="s">
        <v>25</v>
      </c>
      <c r="H109" s="167" t="s">
        <v>165</v>
      </c>
      <c r="I109" s="77" t="s">
        <v>111</v>
      </c>
      <c r="J109" s="77" t="s">
        <v>27</v>
      </c>
      <c r="K109" s="77" t="s">
        <v>112</v>
      </c>
      <c r="L109" s="77">
        <v>3</v>
      </c>
      <c r="N109" s="77">
        <v>5</v>
      </c>
      <c r="O109" s="77">
        <v>0.2</v>
      </c>
      <c r="P109" s="77">
        <v>0.5</v>
      </c>
      <c r="Q109" s="44">
        <f t="shared" si="3"/>
        <v>0.35</v>
      </c>
      <c r="R109" s="77">
        <v>17.5</v>
      </c>
      <c r="S109" s="77">
        <v>71.5</v>
      </c>
      <c r="T109" s="16">
        <f t="shared" si="4"/>
        <v>42</v>
      </c>
      <c r="U109" s="77">
        <v>398</v>
      </c>
      <c r="V109" s="169">
        <f t="shared" si="5"/>
        <v>3343.2</v>
      </c>
      <c r="W109" s="77">
        <v>24</v>
      </c>
      <c r="X109" s="77" t="s">
        <v>35</v>
      </c>
      <c r="Y109" s="77" t="s">
        <v>55</v>
      </c>
      <c r="Z109" s="77" t="s">
        <v>43</v>
      </c>
      <c r="AA109" s="77" t="s">
        <v>64</v>
      </c>
      <c r="AB109" s="167" t="s">
        <v>333</v>
      </c>
    </row>
    <row r="110" spans="1:28" x14ac:dyDescent="0.15">
      <c r="A110" s="167" t="s">
        <v>48</v>
      </c>
      <c r="B110" s="167" t="s">
        <v>329</v>
      </c>
      <c r="C110" s="167">
        <v>2020</v>
      </c>
      <c r="D110" s="168" t="s">
        <v>330</v>
      </c>
      <c r="E110" s="167" t="s">
        <v>365</v>
      </c>
      <c r="F110" s="167" t="s">
        <v>347</v>
      </c>
      <c r="G110" s="167" t="s">
        <v>25</v>
      </c>
      <c r="H110" s="167" t="s">
        <v>164</v>
      </c>
      <c r="I110" s="77" t="s">
        <v>111</v>
      </c>
      <c r="J110" s="77" t="s">
        <v>27</v>
      </c>
      <c r="K110" s="77" t="s">
        <v>112</v>
      </c>
      <c r="L110" s="77">
        <v>1</v>
      </c>
      <c r="N110" s="77">
        <v>1</v>
      </c>
      <c r="O110" s="77">
        <v>0.5</v>
      </c>
      <c r="P110" s="77">
        <v>0.65</v>
      </c>
      <c r="Q110" s="44">
        <f t="shared" si="3"/>
        <v>0.57499999999999996</v>
      </c>
      <c r="R110" s="77">
        <v>17</v>
      </c>
      <c r="S110" s="77">
        <v>144.5</v>
      </c>
      <c r="T110" s="16">
        <f t="shared" si="4"/>
        <v>22</v>
      </c>
      <c r="U110" s="77">
        <v>138</v>
      </c>
      <c r="V110" s="169">
        <f t="shared" si="5"/>
        <v>3036</v>
      </c>
      <c r="W110" s="77">
        <v>13</v>
      </c>
      <c r="X110" s="77" t="s">
        <v>35</v>
      </c>
      <c r="Y110" s="77" t="s">
        <v>76</v>
      </c>
      <c r="Z110" s="77" t="s">
        <v>55</v>
      </c>
      <c r="AA110" s="77" t="s">
        <v>43</v>
      </c>
      <c r="AB110" s="167" t="s">
        <v>333</v>
      </c>
    </row>
    <row r="111" spans="1:28" x14ac:dyDescent="0.15">
      <c r="A111" s="167" t="s">
        <v>48</v>
      </c>
      <c r="B111" s="167" t="s">
        <v>329</v>
      </c>
      <c r="C111" s="167">
        <v>2020</v>
      </c>
      <c r="D111" s="168" t="s">
        <v>330</v>
      </c>
      <c r="E111" s="167" t="s">
        <v>365</v>
      </c>
      <c r="F111" s="167" t="s">
        <v>347</v>
      </c>
      <c r="G111" s="167" t="s">
        <v>25</v>
      </c>
      <c r="H111" s="167" t="s">
        <v>164</v>
      </c>
      <c r="I111" s="77" t="s">
        <v>111</v>
      </c>
      <c r="J111" s="77" t="s">
        <v>27</v>
      </c>
      <c r="K111" s="77" t="s">
        <v>112</v>
      </c>
      <c r="L111" s="77">
        <v>2</v>
      </c>
      <c r="N111" s="77">
        <v>1</v>
      </c>
      <c r="O111" s="77">
        <v>0.5</v>
      </c>
      <c r="P111" s="77">
        <v>0.5</v>
      </c>
      <c r="Q111" s="44">
        <f t="shared" si="3"/>
        <v>0.5</v>
      </c>
      <c r="R111" s="77">
        <v>15.4</v>
      </c>
      <c r="S111" s="77">
        <v>145</v>
      </c>
      <c r="T111" s="16">
        <f t="shared" si="4"/>
        <v>22</v>
      </c>
      <c r="U111" s="77">
        <v>138</v>
      </c>
      <c r="V111" s="169">
        <f t="shared" si="5"/>
        <v>3036</v>
      </c>
      <c r="W111" s="77">
        <v>13</v>
      </c>
      <c r="X111" s="77" t="s">
        <v>35</v>
      </c>
      <c r="Y111" s="77" t="s">
        <v>76</v>
      </c>
      <c r="Z111" s="77" t="s">
        <v>55</v>
      </c>
      <c r="AA111" s="77" t="s">
        <v>43</v>
      </c>
      <c r="AB111" s="167" t="s">
        <v>333</v>
      </c>
    </row>
    <row r="112" spans="1:28" x14ac:dyDescent="0.15">
      <c r="A112" s="167" t="s">
        <v>48</v>
      </c>
      <c r="B112" s="167" t="s">
        <v>329</v>
      </c>
      <c r="C112" s="167">
        <v>2020</v>
      </c>
      <c r="D112" s="168" t="s">
        <v>330</v>
      </c>
      <c r="E112" s="167" t="s">
        <v>365</v>
      </c>
      <c r="F112" s="167" t="s">
        <v>347</v>
      </c>
      <c r="G112" s="167" t="s">
        <v>25</v>
      </c>
      <c r="H112" s="167" t="s">
        <v>164</v>
      </c>
      <c r="I112" s="77" t="s">
        <v>111</v>
      </c>
      <c r="J112" s="77" t="s">
        <v>27</v>
      </c>
      <c r="K112" s="77" t="s">
        <v>112</v>
      </c>
      <c r="L112" s="77">
        <v>3</v>
      </c>
      <c r="N112" s="77">
        <v>1</v>
      </c>
      <c r="O112" s="77">
        <v>0.5</v>
      </c>
      <c r="P112" s="77">
        <v>0.5</v>
      </c>
      <c r="Q112" s="44">
        <f t="shared" si="3"/>
        <v>0.5</v>
      </c>
      <c r="R112" s="77">
        <v>17</v>
      </c>
      <c r="S112" s="77">
        <v>141.5</v>
      </c>
      <c r="T112" s="16">
        <f t="shared" si="4"/>
        <v>22</v>
      </c>
      <c r="U112" s="77">
        <v>138</v>
      </c>
      <c r="V112" s="169">
        <f t="shared" si="5"/>
        <v>3036</v>
      </c>
      <c r="W112" s="77">
        <v>13</v>
      </c>
      <c r="X112" s="77" t="s">
        <v>35</v>
      </c>
      <c r="Y112" s="77" t="s">
        <v>76</v>
      </c>
      <c r="Z112" s="77" t="s">
        <v>55</v>
      </c>
      <c r="AA112" s="77" t="s">
        <v>43</v>
      </c>
      <c r="AB112" s="167" t="s">
        <v>333</v>
      </c>
    </row>
    <row r="113" spans="1:28" x14ac:dyDescent="0.15">
      <c r="A113" s="167" t="s">
        <v>48</v>
      </c>
      <c r="B113" s="167" t="s">
        <v>329</v>
      </c>
      <c r="C113" s="167">
        <v>2020</v>
      </c>
      <c r="D113" s="168" t="s">
        <v>330</v>
      </c>
      <c r="E113" s="167" t="s">
        <v>365</v>
      </c>
      <c r="F113" s="167" t="s">
        <v>347</v>
      </c>
      <c r="G113" s="167" t="s">
        <v>25</v>
      </c>
      <c r="H113" s="167" t="s">
        <v>164</v>
      </c>
      <c r="I113" s="77" t="s">
        <v>111</v>
      </c>
      <c r="J113" s="77" t="s">
        <v>27</v>
      </c>
      <c r="K113" s="77" t="s">
        <v>112</v>
      </c>
      <c r="L113" s="77">
        <v>1</v>
      </c>
      <c r="N113" s="77">
        <v>4</v>
      </c>
      <c r="O113" s="77">
        <v>0.6</v>
      </c>
      <c r="P113" s="77">
        <v>0.6</v>
      </c>
      <c r="Q113" s="16">
        <f t="shared" si="3"/>
        <v>0.6</v>
      </c>
      <c r="R113" s="77">
        <v>15.4</v>
      </c>
      <c r="S113" s="77">
        <v>93</v>
      </c>
      <c r="T113" s="16">
        <f t="shared" si="4"/>
        <v>36</v>
      </c>
      <c r="U113" s="77">
        <v>450</v>
      </c>
      <c r="V113" s="16">
        <f t="shared" si="5"/>
        <v>4050</v>
      </c>
      <c r="W113" s="77">
        <v>13</v>
      </c>
      <c r="X113" s="77" t="s">
        <v>35</v>
      </c>
      <c r="Y113" s="77" t="s">
        <v>76</v>
      </c>
      <c r="Z113" s="77" t="s">
        <v>55</v>
      </c>
      <c r="AA113" s="77" t="s">
        <v>43</v>
      </c>
      <c r="AB113" s="167" t="s">
        <v>333</v>
      </c>
    </row>
    <row r="114" spans="1:28" x14ac:dyDescent="0.15">
      <c r="A114" s="167" t="s">
        <v>48</v>
      </c>
      <c r="B114" s="167" t="s">
        <v>329</v>
      </c>
      <c r="C114" s="167">
        <v>2020</v>
      </c>
      <c r="D114" s="168" t="s">
        <v>330</v>
      </c>
      <c r="E114" s="167" t="s">
        <v>365</v>
      </c>
      <c r="F114" s="167" t="s">
        <v>347</v>
      </c>
      <c r="G114" s="167" t="s">
        <v>25</v>
      </c>
      <c r="H114" s="167" t="s">
        <v>164</v>
      </c>
      <c r="I114" s="77" t="s">
        <v>111</v>
      </c>
      <c r="J114" s="77" t="s">
        <v>27</v>
      </c>
      <c r="K114" s="77" t="s">
        <v>112</v>
      </c>
      <c r="L114" s="77">
        <v>2</v>
      </c>
      <c r="N114" s="77">
        <v>4</v>
      </c>
      <c r="O114" s="77">
        <v>0.7</v>
      </c>
      <c r="P114" s="77">
        <v>0.75</v>
      </c>
      <c r="Q114" s="16">
        <f t="shared" si="3"/>
        <v>0.72499999999999998</v>
      </c>
      <c r="R114" s="77">
        <v>14.9</v>
      </c>
      <c r="S114" s="77">
        <v>92</v>
      </c>
      <c r="T114" s="16">
        <f t="shared" si="4"/>
        <v>36</v>
      </c>
      <c r="U114" s="77">
        <v>450</v>
      </c>
      <c r="V114" s="16">
        <f t="shared" si="5"/>
        <v>4050</v>
      </c>
      <c r="W114" s="77">
        <v>13</v>
      </c>
      <c r="X114" s="77" t="s">
        <v>35</v>
      </c>
      <c r="Y114" s="77" t="s">
        <v>76</v>
      </c>
      <c r="Z114" s="77" t="s">
        <v>55</v>
      </c>
      <c r="AA114" s="77" t="s">
        <v>43</v>
      </c>
      <c r="AB114" s="167" t="s">
        <v>333</v>
      </c>
    </row>
    <row r="115" spans="1:28" x14ac:dyDescent="0.15">
      <c r="A115" s="167" t="s">
        <v>48</v>
      </c>
      <c r="B115" s="167" t="s">
        <v>329</v>
      </c>
      <c r="C115" s="167">
        <v>2020</v>
      </c>
      <c r="D115" s="168" t="s">
        <v>330</v>
      </c>
      <c r="E115" s="167" t="s">
        <v>365</v>
      </c>
      <c r="F115" s="167" t="s">
        <v>347</v>
      </c>
      <c r="G115" s="167" t="s">
        <v>25</v>
      </c>
      <c r="H115" s="167" t="s">
        <v>164</v>
      </c>
      <c r="I115" s="77" t="s">
        <v>111</v>
      </c>
      <c r="J115" s="77" t="s">
        <v>27</v>
      </c>
      <c r="K115" s="77" t="s">
        <v>112</v>
      </c>
      <c r="L115" s="77">
        <v>3</v>
      </c>
      <c r="N115" s="77">
        <v>4</v>
      </c>
      <c r="O115" s="77">
        <v>0.7</v>
      </c>
      <c r="P115" s="77">
        <v>0.75</v>
      </c>
      <c r="Q115" s="16">
        <f t="shared" si="3"/>
        <v>0.72499999999999998</v>
      </c>
      <c r="R115" s="77">
        <v>15.7</v>
      </c>
      <c r="S115" s="77">
        <v>101</v>
      </c>
      <c r="T115" s="16">
        <f t="shared" si="4"/>
        <v>33</v>
      </c>
      <c r="U115" s="77">
        <v>450</v>
      </c>
      <c r="V115" s="16">
        <f t="shared" si="5"/>
        <v>3712.5</v>
      </c>
      <c r="W115" s="77">
        <v>13</v>
      </c>
      <c r="X115" s="77" t="s">
        <v>35</v>
      </c>
      <c r="Y115" s="77" t="s">
        <v>76</v>
      </c>
      <c r="Z115" s="77" t="s">
        <v>55</v>
      </c>
      <c r="AA115" s="77" t="s">
        <v>43</v>
      </c>
      <c r="AB115" s="167" t="s">
        <v>333</v>
      </c>
    </row>
    <row r="116" spans="1:28" x14ac:dyDescent="0.15">
      <c r="A116" s="167" t="s">
        <v>48</v>
      </c>
      <c r="B116" s="167" t="s">
        <v>329</v>
      </c>
      <c r="C116" s="167">
        <v>2020</v>
      </c>
      <c r="D116" s="168" t="s">
        <v>330</v>
      </c>
      <c r="E116" s="167" t="s">
        <v>365</v>
      </c>
      <c r="F116" s="167" t="s">
        <v>347</v>
      </c>
      <c r="G116" s="167" t="s">
        <v>25</v>
      </c>
      <c r="H116" s="167" t="s">
        <v>164</v>
      </c>
      <c r="I116" s="77" t="s">
        <v>111</v>
      </c>
      <c r="J116" s="77" t="s">
        <v>27</v>
      </c>
      <c r="K116" s="77" t="s">
        <v>112</v>
      </c>
      <c r="L116" s="77">
        <v>1</v>
      </c>
      <c r="N116" s="77">
        <v>3</v>
      </c>
      <c r="O116" s="77">
        <v>0.65</v>
      </c>
      <c r="P116" s="77">
        <v>0.6</v>
      </c>
      <c r="Q116" s="16">
        <f t="shared" si="3"/>
        <v>0.625</v>
      </c>
      <c r="R116" s="77">
        <v>18</v>
      </c>
      <c r="S116" s="77">
        <v>130</v>
      </c>
      <c r="T116" s="16">
        <f t="shared" si="4"/>
        <v>25</v>
      </c>
      <c r="U116" s="77">
        <v>398</v>
      </c>
      <c r="V116" s="16">
        <f t="shared" si="5"/>
        <v>3316.6666666666665</v>
      </c>
      <c r="W116" s="77">
        <v>13</v>
      </c>
      <c r="X116" s="77" t="s">
        <v>35</v>
      </c>
      <c r="Y116" s="77" t="s">
        <v>76</v>
      </c>
      <c r="Z116" s="77" t="s">
        <v>55</v>
      </c>
      <c r="AA116" s="77" t="s">
        <v>43</v>
      </c>
      <c r="AB116" s="167" t="s">
        <v>333</v>
      </c>
    </row>
    <row r="117" spans="1:28" x14ac:dyDescent="0.15">
      <c r="A117" s="167" t="s">
        <v>48</v>
      </c>
      <c r="B117" s="167" t="s">
        <v>329</v>
      </c>
      <c r="C117" s="167">
        <v>2020</v>
      </c>
      <c r="D117" s="168" t="s">
        <v>330</v>
      </c>
      <c r="E117" s="167" t="s">
        <v>365</v>
      </c>
      <c r="F117" s="167" t="s">
        <v>347</v>
      </c>
      <c r="G117" s="167" t="s">
        <v>25</v>
      </c>
      <c r="H117" s="167" t="s">
        <v>164</v>
      </c>
      <c r="I117" s="77" t="s">
        <v>111</v>
      </c>
      <c r="J117" s="77" t="s">
        <v>27</v>
      </c>
      <c r="K117" s="77" t="s">
        <v>112</v>
      </c>
      <c r="L117" s="77">
        <v>2</v>
      </c>
      <c r="N117" s="77">
        <v>3</v>
      </c>
      <c r="O117" s="77">
        <v>0.5</v>
      </c>
      <c r="P117" s="77">
        <v>0.55000000000000004</v>
      </c>
      <c r="Q117" s="16">
        <f t="shared" si="3"/>
        <v>0.52500000000000002</v>
      </c>
      <c r="R117" s="77">
        <v>20.5</v>
      </c>
      <c r="S117" s="77">
        <v>136.5</v>
      </c>
      <c r="T117" s="16">
        <f t="shared" si="4"/>
        <v>25</v>
      </c>
      <c r="U117" s="77">
        <v>398</v>
      </c>
      <c r="V117" s="16">
        <f t="shared" si="5"/>
        <v>3316.6666666666665</v>
      </c>
      <c r="W117" s="77">
        <v>13</v>
      </c>
      <c r="X117" s="77" t="s">
        <v>35</v>
      </c>
      <c r="Y117" s="77" t="s">
        <v>76</v>
      </c>
      <c r="Z117" s="77" t="s">
        <v>55</v>
      </c>
      <c r="AA117" s="77" t="s">
        <v>43</v>
      </c>
      <c r="AB117" s="167" t="s">
        <v>333</v>
      </c>
    </row>
    <row r="118" spans="1:28" x14ac:dyDescent="0.15">
      <c r="A118" s="167" t="s">
        <v>48</v>
      </c>
      <c r="B118" s="167" t="s">
        <v>329</v>
      </c>
      <c r="C118" s="167">
        <v>2020</v>
      </c>
      <c r="D118" s="168" t="s">
        <v>330</v>
      </c>
      <c r="E118" s="167" t="s">
        <v>365</v>
      </c>
      <c r="F118" s="167" t="s">
        <v>347</v>
      </c>
      <c r="G118" s="167" t="s">
        <v>25</v>
      </c>
      <c r="H118" s="167" t="s">
        <v>164</v>
      </c>
      <c r="I118" s="77" t="s">
        <v>111</v>
      </c>
      <c r="J118" s="77" t="s">
        <v>27</v>
      </c>
      <c r="K118" s="77" t="s">
        <v>112</v>
      </c>
      <c r="L118" s="77">
        <v>3</v>
      </c>
      <c r="N118" s="77">
        <v>3</v>
      </c>
      <c r="O118" s="77">
        <v>0.7</v>
      </c>
      <c r="P118" s="77">
        <v>0.7</v>
      </c>
      <c r="Q118" s="16">
        <f t="shared" si="3"/>
        <v>0.7</v>
      </c>
      <c r="R118" s="77">
        <v>17.7</v>
      </c>
      <c r="S118" s="77">
        <v>130.5</v>
      </c>
      <c r="T118" s="16">
        <f t="shared" si="4"/>
        <v>25</v>
      </c>
      <c r="U118" s="77">
        <v>398</v>
      </c>
      <c r="V118" s="16">
        <f t="shared" si="5"/>
        <v>3316.6666666666665</v>
      </c>
      <c r="W118" s="77">
        <v>13</v>
      </c>
      <c r="X118" s="77" t="s">
        <v>35</v>
      </c>
      <c r="Y118" s="77" t="s">
        <v>76</v>
      </c>
      <c r="Z118" s="77" t="s">
        <v>55</v>
      </c>
      <c r="AA118" s="77" t="s">
        <v>43</v>
      </c>
      <c r="AB118" s="167" t="s">
        <v>333</v>
      </c>
    </row>
    <row r="119" spans="1:28" x14ac:dyDescent="0.15">
      <c r="A119" s="167" t="s">
        <v>48</v>
      </c>
      <c r="B119" s="167" t="s">
        <v>329</v>
      </c>
      <c r="C119" s="167">
        <v>2020</v>
      </c>
      <c r="D119" s="168" t="s">
        <v>330</v>
      </c>
      <c r="E119" s="167" t="s">
        <v>365</v>
      </c>
      <c r="F119" s="167" t="s">
        <v>347</v>
      </c>
      <c r="G119" s="167" t="s">
        <v>25</v>
      </c>
      <c r="H119" s="167" t="s">
        <v>113</v>
      </c>
      <c r="I119" s="77" t="s">
        <v>111</v>
      </c>
      <c r="J119" s="77" t="s">
        <v>27</v>
      </c>
      <c r="K119" s="77" t="s">
        <v>112</v>
      </c>
      <c r="L119" s="77">
        <v>1</v>
      </c>
      <c r="N119" s="77">
        <v>1</v>
      </c>
      <c r="O119" s="77">
        <v>0.9</v>
      </c>
      <c r="P119" s="77">
        <v>0.8</v>
      </c>
      <c r="Q119" s="16">
        <f t="shared" si="3"/>
        <v>0.85000000000000009</v>
      </c>
      <c r="R119" s="77">
        <v>15.5</v>
      </c>
      <c r="S119" s="77">
        <v>106.5</v>
      </c>
      <c r="T119" s="16">
        <f t="shared" si="4"/>
        <v>33</v>
      </c>
      <c r="U119" s="77">
        <v>98</v>
      </c>
      <c r="V119" s="16">
        <f t="shared" si="5"/>
        <v>3234</v>
      </c>
      <c r="W119" s="77">
        <v>13</v>
      </c>
      <c r="X119" s="77" t="s">
        <v>35</v>
      </c>
      <c r="Y119" s="77" t="s">
        <v>76</v>
      </c>
      <c r="Z119" s="77" t="s">
        <v>55</v>
      </c>
      <c r="AA119" s="77" t="s">
        <v>43</v>
      </c>
      <c r="AB119" s="167" t="s">
        <v>333</v>
      </c>
    </row>
    <row r="120" spans="1:28" x14ac:dyDescent="0.15">
      <c r="A120" s="167" t="s">
        <v>48</v>
      </c>
      <c r="B120" s="167" t="s">
        <v>329</v>
      </c>
      <c r="C120" s="167">
        <v>2020</v>
      </c>
      <c r="D120" s="168" t="s">
        <v>330</v>
      </c>
      <c r="E120" s="167" t="s">
        <v>365</v>
      </c>
      <c r="F120" s="167" t="s">
        <v>347</v>
      </c>
      <c r="G120" s="167" t="s">
        <v>25</v>
      </c>
      <c r="H120" s="167" t="s">
        <v>113</v>
      </c>
      <c r="I120" s="77" t="s">
        <v>111</v>
      </c>
      <c r="J120" s="77" t="s">
        <v>27</v>
      </c>
      <c r="K120" s="77" t="s">
        <v>112</v>
      </c>
      <c r="L120" s="77">
        <v>2</v>
      </c>
      <c r="N120" s="77">
        <v>1</v>
      </c>
      <c r="O120" s="77">
        <v>0.9</v>
      </c>
      <c r="P120" s="77">
        <v>0.6</v>
      </c>
      <c r="Q120" s="16">
        <f t="shared" si="3"/>
        <v>0.75</v>
      </c>
      <c r="R120" s="77">
        <v>15.2</v>
      </c>
      <c r="S120" s="77">
        <v>103</v>
      </c>
      <c r="T120" s="16">
        <f t="shared" si="4"/>
        <v>33</v>
      </c>
      <c r="U120" s="77">
        <v>98</v>
      </c>
      <c r="V120" s="16">
        <f t="shared" si="5"/>
        <v>3234</v>
      </c>
      <c r="W120" s="77">
        <v>13</v>
      </c>
      <c r="X120" s="77" t="s">
        <v>35</v>
      </c>
      <c r="Y120" s="77" t="s">
        <v>76</v>
      </c>
      <c r="Z120" s="77" t="s">
        <v>55</v>
      </c>
      <c r="AA120" s="77" t="s">
        <v>43</v>
      </c>
      <c r="AB120" s="167" t="s">
        <v>333</v>
      </c>
    </row>
    <row r="121" spans="1:28" x14ac:dyDescent="0.15">
      <c r="A121" s="167" t="s">
        <v>48</v>
      </c>
      <c r="B121" s="167" t="s">
        <v>329</v>
      </c>
      <c r="C121" s="167">
        <v>2020</v>
      </c>
      <c r="D121" s="168" t="s">
        <v>330</v>
      </c>
      <c r="E121" s="167" t="s">
        <v>365</v>
      </c>
      <c r="F121" s="167" t="s">
        <v>347</v>
      </c>
      <c r="G121" s="167" t="s">
        <v>25</v>
      </c>
      <c r="H121" s="167" t="s">
        <v>113</v>
      </c>
      <c r="I121" s="77" t="s">
        <v>111</v>
      </c>
      <c r="J121" s="77" t="s">
        <v>27</v>
      </c>
      <c r="K121" s="77" t="s">
        <v>112</v>
      </c>
      <c r="L121" s="77">
        <v>3</v>
      </c>
      <c r="N121" s="77">
        <v>1</v>
      </c>
      <c r="O121" s="77">
        <v>0.65</v>
      </c>
      <c r="P121" s="77">
        <v>0.6</v>
      </c>
      <c r="Q121" s="16">
        <f t="shared" si="3"/>
        <v>0.625</v>
      </c>
      <c r="R121" s="77">
        <v>14.5</v>
      </c>
      <c r="S121" s="77">
        <v>107</v>
      </c>
      <c r="T121" s="16">
        <f t="shared" si="4"/>
        <v>33</v>
      </c>
      <c r="U121" s="77">
        <v>98</v>
      </c>
      <c r="V121" s="16">
        <f t="shared" si="5"/>
        <v>3234</v>
      </c>
      <c r="W121" s="77">
        <v>13</v>
      </c>
      <c r="X121" s="77" t="s">
        <v>35</v>
      </c>
      <c r="Y121" s="77" t="s">
        <v>76</v>
      </c>
      <c r="Z121" s="77" t="s">
        <v>55</v>
      </c>
      <c r="AA121" s="77" t="s">
        <v>43</v>
      </c>
      <c r="AB121" s="167" t="s">
        <v>333</v>
      </c>
    </row>
    <row r="122" spans="1:28" x14ac:dyDescent="0.15">
      <c r="A122" s="167" t="s">
        <v>48</v>
      </c>
      <c r="B122" s="167" t="s">
        <v>329</v>
      </c>
      <c r="C122" s="167">
        <v>2020</v>
      </c>
      <c r="D122" s="168" t="s">
        <v>330</v>
      </c>
      <c r="E122" s="167" t="s">
        <v>365</v>
      </c>
      <c r="F122" s="167" t="s">
        <v>347</v>
      </c>
      <c r="G122" s="167" t="s">
        <v>25</v>
      </c>
      <c r="H122" s="167" t="s">
        <v>113</v>
      </c>
      <c r="I122" s="77" t="s">
        <v>111</v>
      </c>
      <c r="J122" s="77" t="s">
        <v>27</v>
      </c>
      <c r="K122" s="77" t="s">
        <v>112</v>
      </c>
      <c r="L122" s="77">
        <v>1</v>
      </c>
      <c r="N122" s="77">
        <v>5</v>
      </c>
      <c r="O122" s="77">
        <v>0.6</v>
      </c>
      <c r="P122" s="77">
        <v>0.7</v>
      </c>
      <c r="Q122" s="16">
        <f t="shared" si="3"/>
        <v>0.64999999999999991</v>
      </c>
      <c r="R122" s="77">
        <v>14.6</v>
      </c>
      <c r="S122" s="77">
        <v>87</v>
      </c>
      <c r="T122" s="16">
        <f t="shared" si="4"/>
        <v>36</v>
      </c>
      <c r="U122" s="77">
        <v>398</v>
      </c>
      <c r="V122" s="16">
        <f t="shared" si="5"/>
        <v>2865.6</v>
      </c>
      <c r="W122" s="77">
        <v>13</v>
      </c>
      <c r="X122" s="77" t="s">
        <v>35</v>
      </c>
      <c r="Y122" s="77" t="s">
        <v>76</v>
      </c>
      <c r="Z122" s="77" t="s">
        <v>55</v>
      </c>
      <c r="AA122" s="77" t="s">
        <v>43</v>
      </c>
      <c r="AB122" s="167" t="s">
        <v>333</v>
      </c>
    </row>
    <row r="123" spans="1:28" x14ac:dyDescent="0.15">
      <c r="A123" s="167" t="s">
        <v>48</v>
      </c>
      <c r="B123" s="167" t="s">
        <v>329</v>
      </c>
      <c r="C123" s="167">
        <v>2020</v>
      </c>
      <c r="D123" s="168" t="s">
        <v>330</v>
      </c>
      <c r="E123" s="167" t="s">
        <v>365</v>
      </c>
      <c r="F123" s="167" t="s">
        <v>347</v>
      </c>
      <c r="G123" s="167" t="s">
        <v>25</v>
      </c>
      <c r="H123" s="167" t="s">
        <v>113</v>
      </c>
      <c r="I123" s="77" t="s">
        <v>111</v>
      </c>
      <c r="J123" s="77" t="s">
        <v>27</v>
      </c>
      <c r="K123" s="77" t="s">
        <v>112</v>
      </c>
      <c r="L123" s="77">
        <v>2</v>
      </c>
      <c r="N123" s="77">
        <v>5</v>
      </c>
      <c r="O123" s="77">
        <v>1</v>
      </c>
      <c r="P123" s="77">
        <v>0.9</v>
      </c>
      <c r="Q123" s="16">
        <f t="shared" si="3"/>
        <v>0.95</v>
      </c>
      <c r="R123" s="77">
        <v>11.9</v>
      </c>
      <c r="S123" s="77">
        <v>85.5</v>
      </c>
      <c r="T123" s="16">
        <f t="shared" si="4"/>
        <v>36</v>
      </c>
      <c r="U123" s="77">
        <v>398</v>
      </c>
      <c r="V123" s="16">
        <f t="shared" si="5"/>
        <v>2865.6</v>
      </c>
      <c r="W123" s="77">
        <v>13</v>
      </c>
      <c r="X123" s="77" t="s">
        <v>35</v>
      </c>
      <c r="Y123" s="77" t="s">
        <v>76</v>
      </c>
      <c r="Z123" s="77" t="s">
        <v>55</v>
      </c>
      <c r="AA123" s="77" t="s">
        <v>43</v>
      </c>
      <c r="AB123" s="167" t="s">
        <v>333</v>
      </c>
    </row>
    <row r="124" spans="1:28" x14ac:dyDescent="0.15">
      <c r="A124" s="167" t="s">
        <v>48</v>
      </c>
      <c r="B124" s="167" t="s">
        <v>329</v>
      </c>
      <c r="C124" s="167">
        <v>2020</v>
      </c>
      <c r="D124" s="168" t="s">
        <v>330</v>
      </c>
      <c r="E124" s="167" t="s">
        <v>365</v>
      </c>
      <c r="F124" s="167" t="s">
        <v>347</v>
      </c>
      <c r="G124" s="167" t="s">
        <v>25</v>
      </c>
      <c r="H124" s="167" t="s">
        <v>113</v>
      </c>
      <c r="I124" s="77" t="s">
        <v>111</v>
      </c>
      <c r="J124" s="77" t="s">
        <v>27</v>
      </c>
      <c r="K124" s="77" t="s">
        <v>112</v>
      </c>
      <c r="L124" s="77">
        <v>3</v>
      </c>
      <c r="N124" s="77">
        <v>5</v>
      </c>
      <c r="O124" s="77">
        <v>0.65</v>
      </c>
      <c r="P124" s="77">
        <v>0.7</v>
      </c>
      <c r="Q124" s="16">
        <f t="shared" si="3"/>
        <v>0.67500000000000004</v>
      </c>
      <c r="R124" s="77">
        <v>10.199999999999999</v>
      </c>
      <c r="S124" s="77">
        <v>83.5</v>
      </c>
      <c r="T124" s="16">
        <f t="shared" si="4"/>
        <v>39</v>
      </c>
      <c r="U124" s="77">
        <v>398</v>
      </c>
      <c r="V124" s="16">
        <f t="shared" si="5"/>
        <v>3104.3999999999996</v>
      </c>
      <c r="W124" s="77">
        <v>13</v>
      </c>
      <c r="X124" s="77" t="s">
        <v>35</v>
      </c>
      <c r="Y124" s="77" t="s">
        <v>76</v>
      </c>
      <c r="Z124" s="77" t="s">
        <v>55</v>
      </c>
      <c r="AA124" s="77" t="s">
        <v>43</v>
      </c>
      <c r="AB124" s="167" t="s">
        <v>333</v>
      </c>
    </row>
    <row r="125" spans="1:28" x14ac:dyDescent="0.15">
      <c r="A125" s="167" t="s">
        <v>48</v>
      </c>
      <c r="B125" s="167" t="s">
        <v>329</v>
      </c>
      <c r="C125" s="167">
        <v>2020</v>
      </c>
      <c r="D125" s="168" t="s">
        <v>330</v>
      </c>
      <c r="E125" s="167" t="s">
        <v>365</v>
      </c>
      <c r="F125" s="167" t="s">
        <v>347</v>
      </c>
      <c r="G125" s="167" t="s">
        <v>25</v>
      </c>
      <c r="H125" s="167" t="s">
        <v>113</v>
      </c>
      <c r="I125" s="77" t="s">
        <v>111</v>
      </c>
      <c r="J125" s="77" t="s">
        <v>27</v>
      </c>
      <c r="K125" s="77" t="s">
        <v>112</v>
      </c>
      <c r="L125" s="77">
        <v>1</v>
      </c>
      <c r="N125" s="77">
        <v>8</v>
      </c>
      <c r="O125" s="77">
        <v>0.7</v>
      </c>
      <c r="P125" s="77">
        <v>0.7</v>
      </c>
      <c r="Q125" s="16">
        <f t="shared" si="3"/>
        <v>0.7</v>
      </c>
      <c r="R125" s="77">
        <v>15.6</v>
      </c>
      <c r="S125" s="77">
        <v>88</v>
      </c>
      <c r="T125" s="16">
        <f t="shared" si="4"/>
        <v>36</v>
      </c>
      <c r="U125" s="77">
        <v>598</v>
      </c>
      <c r="V125" s="16">
        <f t="shared" si="5"/>
        <v>2691</v>
      </c>
      <c r="W125" s="77">
        <v>13</v>
      </c>
      <c r="X125" s="77" t="s">
        <v>35</v>
      </c>
      <c r="Y125" s="77" t="s">
        <v>76</v>
      </c>
      <c r="Z125" s="77" t="s">
        <v>55</v>
      </c>
      <c r="AA125" s="77" t="s">
        <v>43</v>
      </c>
      <c r="AB125" s="167" t="s">
        <v>333</v>
      </c>
    </row>
    <row r="126" spans="1:28" x14ac:dyDescent="0.15">
      <c r="A126" s="167" t="s">
        <v>48</v>
      </c>
      <c r="B126" s="167" t="s">
        <v>329</v>
      </c>
      <c r="C126" s="167">
        <v>2020</v>
      </c>
      <c r="D126" s="168" t="s">
        <v>330</v>
      </c>
      <c r="E126" s="167" t="s">
        <v>365</v>
      </c>
      <c r="F126" s="167" t="s">
        <v>347</v>
      </c>
      <c r="G126" s="167" t="s">
        <v>25</v>
      </c>
      <c r="H126" s="167" t="s">
        <v>113</v>
      </c>
      <c r="I126" s="77" t="s">
        <v>111</v>
      </c>
      <c r="J126" s="77" t="s">
        <v>27</v>
      </c>
      <c r="K126" s="77" t="s">
        <v>112</v>
      </c>
      <c r="L126" s="77">
        <v>2</v>
      </c>
      <c r="N126" s="77">
        <v>8</v>
      </c>
      <c r="O126" s="77">
        <v>1.3</v>
      </c>
      <c r="P126" s="77">
        <v>1.3</v>
      </c>
      <c r="Q126" s="16">
        <f t="shared" si="3"/>
        <v>1.3</v>
      </c>
      <c r="R126" s="77">
        <v>14.8</v>
      </c>
      <c r="S126" s="77">
        <v>88</v>
      </c>
      <c r="T126" s="16">
        <f t="shared" si="4"/>
        <v>36</v>
      </c>
      <c r="U126" s="77">
        <v>598</v>
      </c>
      <c r="V126" s="16">
        <f t="shared" si="5"/>
        <v>2691</v>
      </c>
      <c r="W126" s="77">
        <v>13</v>
      </c>
      <c r="X126" s="77" t="s">
        <v>35</v>
      </c>
      <c r="Y126" s="77" t="s">
        <v>76</v>
      </c>
      <c r="Z126" s="77" t="s">
        <v>55</v>
      </c>
      <c r="AA126" s="77" t="s">
        <v>43</v>
      </c>
      <c r="AB126" s="167" t="s">
        <v>333</v>
      </c>
    </row>
    <row r="127" spans="1:28" x14ac:dyDescent="0.15">
      <c r="A127" s="167" t="s">
        <v>48</v>
      </c>
      <c r="B127" s="167" t="s">
        <v>329</v>
      </c>
      <c r="C127" s="167">
        <v>2020</v>
      </c>
      <c r="D127" s="168" t="s">
        <v>330</v>
      </c>
      <c r="E127" s="167" t="s">
        <v>365</v>
      </c>
      <c r="F127" s="167" t="s">
        <v>347</v>
      </c>
      <c r="G127" s="167" t="s">
        <v>25</v>
      </c>
      <c r="H127" s="167" t="s">
        <v>113</v>
      </c>
      <c r="I127" s="77" t="s">
        <v>111</v>
      </c>
      <c r="J127" s="77" t="s">
        <v>27</v>
      </c>
      <c r="K127" s="77" t="s">
        <v>112</v>
      </c>
      <c r="L127" s="77">
        <v>3</v>
      </c>
      <c r="N127" s="77">
        <v>8</v>
      </c>
      <c r="O127" s="77">
        <v>0.8</v>
      </c>
      <c r="P127" s="77">
        <v>0.8</v>
      </c>
      <c r="Q127" s="16">
        <f t="shared" si="3"/>
        <v>0.8</v>
      </c>
      <c r="R127" s="77">
        <v>13</v>
      </c>
      <c r="S127" s="77">
        <v>85.5</v>
      </c>
      <c r="T127" s="16">
        <f t="shared" si="4"/>
        <v>36</v>
      </c>
      <c r="U127" s="77">
        <v>598</v>
      </c>
      <c r="V127" s="16">
        <f t="shared" si="5"/>
        <v>2691</v>
      </c>
      <c r="W127" s="77">
        <v>13</v>
      </c>
      <c r="X127" s="77" t="s">
        <v>35</v>
      </c>
      <c r="Y127" s="77" t="s">
        <v>76</v>
      </c>
      <c r="Z127" s="77" t="s">
        <v>55</v>
      </c>
      <c r="AA127" s="77" t="s">
        <v>43</v>
      </c>
      <c r="AB127" s="167" t="s">
        <v>333</v>
      </c>
    </row>
    <row r="128" spans="1:28" x14ac:dyDescent="0.15">
      <c r="A128" s="167" t="s">
        <v>48</v>
      </c>
      <c r="B128" s="167" t="s">
        <v>329</v>
      </c>
      <c r="C128" s="167">
        <v>2020</v>
      </c>
      <c r="D128" s="168" t="s">
        <v>330</v>
      </c>
      <c r="E128" s="167" t="s">
        <v>366</v>
      </c>
      <c r="F128" s="167" t="s">
        <v>349</v>
      </c>
      <c r="G128" s="167" t="s">
        <v>25</v>
      </c>
      <c r="H128" s="167" t="s">
        <v>164</v>
      </c>
      <c r="I128" s="77" t="s">
        <v>111</v>
      </c>
      <c r="J128" s="77" t="s">
        <v>27</v>
      </c>
      <c r="K128" s="77" t="s">
        <v>112</v>
      </c>
      <c r="L128" s="77">
        <v>1</v>
      </c>
      <c r="N128" s="77">
        <v>1</v>
      </c>
      <c r="O128" s="77">
        <v>0.5</v>
      </c>
      <c r="P128" s="77">
        <v>0.55000000000000004</v>
      </c>
      <c r="Q128" s="16">
        <f t="shared" si="3"/>
        <v>0.52500000000000002</v>
      </c>
      <c r="R128" s="77">
        <v>19.5</v>
      </c>
      <c r="S128" s="77">
        <v>115.5</v>
      </c>
      <c r="T128" s="16">
        <f t="shared" si="4"/>
        <v>30</v>
      </c>
      <c r="U128" s="77">
        <v>158</v>
      </c>
      <c r="V128" s="16">
        <f t="shared" si="5"/>
        <v>4740</v>
      </c>
      <c r="W128" s="77">
        <v>12</v>
      </c>
      <c r="X128" s="77" t="s">
        <v>35</v>
      </c>
      <c r="Y128" s="77" t="s">
        <v>55</v>
      </c>
      <c r="Z128" s="77" t="s">
        <v>43</v>
      </c>
      <c r="AA128" s="77" t="s">
        <v>76</v>
      </c>
      <c r="AB128" s="167" t="s">
        <v>333</v>
      </c>
    </row>
    <row r="129" spans="1:28" x14ac:dyDescent="0.15">
      <c r="A129" s="167" t="s">
        <v>48</v>
      </c>
      <c r="B129" s="167" t="s">
        <v>329</v>
      </c>
      <c r="C129" s="167">
        <v>2020</v>
      </c>
      <c r="D129" s="168" t="s">
        <v>330</v>
      </c>
      <c r="E129" s="167" t="s">
        <v>366</v>
      </c>
      <c r="F129" s="167" t="s">
        <v>349</v>
      </c>
      <c r="G129" s="167" t="s">
        <v>25</v>
      </c>
      <c r="H129" s="167" t="s">
        <v>164</v>
      </c>
      <c r="I129" s="77" t="s">
        <v>111</v>
      </c>
      <c r="J129" s="77" t="s">
        <v>27</v>
      </c>
      <c r="K129" s="77" t="s">
        <v>112</v>
      </c>
      <c r="L129" s="77">
        <v>2</v>
      </c>
      <c r="N129" s="77">
        <v>1</v>
      </c>
      <c r="O129" s="77">
        <v>0.5</v>
      </c>
      <c r="P129" s="77">
        <v>0.55000000000000004</v>
      </c>
      <c r="Q129" s="16">
        <f t="shared" si="3"/>
        <v>0.52500000000000002</v>
      </c>
      <c r="R129" s="77">
        <v>16.600000000000001</v>
      </c>
      <c r="S129" s="77">
        <v>120.5</v>
      </c>
      <c r="T129" s="16">
        <f t="shared" si="4"/>
        <v>30</v>
      </c>
      <c r="U129" s="77">
        <v>158</v>
      </c>
      <c r="V129" s="16">
        <f t="shared" si="5"/>
        <v>4740</v>
      </c>
      <c r="W129" s="77">
        <v>12</v>
      </c>
      <c r="X129" s="77" t="s">
        <v>35</v>
      </c>
      <c r="Y129" s="77" t="s">
        <v>55</v>
      </c>
      <c r="Z129" s="77" t="s">
        <v>43</v>
      </c>
      <c r="AA129" s="77" t="s">
        <v>76</v>
      </c>
      <c r="AB129" s="167" t="s">
        <v>333</v>
      </c>
    </row>
    <row r="130" spans="1:28" x14ac:dyDescent="0.15">
      <c r="A130" s="167" t="s">
        <v>48</v>
      </c>
      <c r="B130" s="167" t="s">
        <v>329</v>
      </c>
      <c r="C130" s="167">
        <v>2020</v>
      </c>
      <c r="D130" s="168" t="s">
        <v>330</v>
      </c>
      <c r="E130" s="167" t="s">
        <v>366</v>
      </c>
      <c r="F130" s="167" t="s">
        <v>349</v>
      </c>
      <c r="G130" s="167" t="s">
        <v>25</v>
      </c>
      <c r="H130" s="167" t="s">
        <v>164</v>
      </c>
      <c r="I130" s="77" t="s">
        <v>111</v>
      </c>
      <c r="J130" s="77" t="s">
        <v>27</v>
      </c>
      <c r="K130" s="77" t="s">
        <v>112</v>
      </c>
      <c r="L130" s="77">
        <v>3</v>
      </c>
      <c r="N130" s="77">
        <v>1</v>
      </c>
      <c r="O130" s="77">
        <v>0.5</v>
      </c>
      <c r="P130" s="77">
        <v>0.7</v>
      </c>
      <c r="Q130" s="16">
        <f t="shared" si="3"/>
        <v>0.6</v>
      </c>
      <c r="R130" s="77">
        <v>18.100000000000001</v>
      </c>
      <c r="S130" s="77">
        <v>116.5</v>
      </c>
      <c r="T130" s="16">
        <f t="shared" si="4"/>
        <v>30</v>
      </c>
      <c r="U130" s="77">
        <v>158</v>
      </c>
      <c r="V130" s="16">
        <f t="shared" si="5"/>
        <v>4740</v>
      </c>
      <c r="W130" s="77">
        <v>12</v>
      </c>
      <c r="X130" s="77" t="s">
        <v>35</v>
      </c>
      <c r="Y130" s="77" t="s">
        <v>55</v>
      </c>
      <c r="Z130" s="77" t="s">
        <v>43</v>
      </c>
      <c r="AA130" s="77" t="s">
        <v>76</v>
      </c>
      <c r="AB130" s="167" t="s">
        <v>333</v>
      </c>
    </row>
    <row r="131" spans="1:28" x14ac:dyDescent="0.15">
      <c r="A131" s="167" t="s">
        <v>48</v>
      </c>
      <c r="B131" s="167" t="s">
        <v>329</v>
      </c>
      <c r="C131" s="167">
        <v>2020</v>
      </c>
      <c r="D131" s="168" t="s">
        <v>330</v>
      </c>
      <c r="E131" s="167" t="s">
        <v>366</v>
      </c>
      <c r="F131" s="167" t="s">
        <v>349</v>
      </c>
      <c r="G131" s="167" t="s">
        <v>25</v>
      </c>
      <c r="H131" s="167" t="s">
        <v>164</v>
      </c>
      <c r="I131" s="77" t="s">
        <v>111</v>
      </c>
      <c r="J131" s="77" t="s">
        <v>27</v>
      </c>
      <c r="K131" s="77" t="s">
        <v>112</v>
      </c>
      <c r="L131" s="77">
        <v>1</v>
      </c>
      <c r="N131" s="77">
        <v>4</v>
      </c>
      <c r="O131" s="77">
        <v>0.5</v>
      </c>
      <c r="P131" s="77">
        <v>0.5</v>
      </c>
      <c r="Q131" s="16">
        <f t="shared" si="3"/>
        <v>0.5</v>
      </c>
      <c r="R131" s="77">
        <v>15.1</v>
      </c>
      <c r="S131" s="77">
        <v>95.5</v>
      </c>
      <c r="T131" s="16">
        <f t="shared" si="4"/>
        <v>36</v>
      </c>
      <c r="U131" s="77">
        <v>498</v>
      </c>
      <c r="V131" s="16">
        <f t="shared" si="5"/>
        <v>4482</v>
      </c>
      <c r="W131" s="77">
        <v>12</v>
      </c>
      <c r="X131" s="77" t="s">
        <v>35</v>
      </c>
      <c r="Y131" s="77" t="s">
        <v>55</v>
      </c>
      <c r="Z131" s="77" t="s">
        <v>43</v>
      </c>
      <c r="AA131" s="77" t="s">
        <v>76</v>
      </c>
      <c r="AB131" s="167" t="s">
        <v>333</v>
      </c>
    </row>
    <row r="132" spans="1:28" x14ac:dyDescent="0.15">
      <c r="A132" s="167" t="s">
        <v>48</v>
      </c>
      <c r="B132" s="167" t="s">
        <v>329</v>
      </c>
      <c r="C132" s="167">
        <v>2020</v>
      </c>
      <c r="D132" s="168" t="s">
        <v>330</v>
      </c>
      <c r="E132" s="167" t="s">
        <v>366</v>
      </c>
      <c r="F132" s="167" t="s">
        <v>349</v>
      </c>
      <c r="G132" s="167" t="s">
        <v>25</v>
      </c>
      <c r="H132" s="167" t="s">
        <v>164</v>
      </c>
      <c r="I132" s="77" t="s">
        <v>111</v>
      </c>
      <c r="J132" s="77" t="s">
        <v>27</v>
      </c>
      <c r="K132" s="77" t="s">
        <v>112</v>
      </c>
      <c r="L132" s="77">
        <v>2</v>
      </c>
      <c r="N132" s="77">
        <v>4</v>
      </c>
      <c r="O132" s="77">
        <v>0.55000000000000004</v>
      </c>
      <c r="P132" s="77">
        <v>0.6</v>
      </c>
      <c r="Q132" s="16">
        <f t="shared" si="3"/>
        <v>0.57499999999999996</v>
      </c>
      <c r="R132" s="77">
        <v>14.8</v>
      </c>
      <c r="S132" s="77">
        <v>101.5</v>
      </c>
      <c r="T132" s="16">
        <f t="shared" si="4"/>
        <v>33</v>
      </c>
      <c r="U132" s="77">
        <v>498</v>
      </c>
      <c r="V132" s="16">
        <f t="shared" si="5"/>
        <v>4108.5</v>
      </c>
      <c r="W132" s="77">
        <v>12</v>
      </c>
      <c r="X132" s="77" t="s">
        <v>35</v>
      </c>
      <c r="Y132" s="77" t="s">
        <v>55</v>
      </c>
      <c r="Z132" s="77" t="s">
        <v>43</v>
      </c>
      <c r="AA132" s="77" t="s">
        <v>76</v>
      </c>
      <c r="AB132" s="167" t="s">
        <v>333</v>
      </c>
    </row>
    <row r="133" spans="1:28" x14ac:dyDescent="0.15">
      <c r="A133" s="167" t="s">
        <v>48</v>
      </c>
      <c r="B133" s="167" t="s">
        <v>329</v>
      </c>
      <c r="C133" s="167">
        <v>2020</v>
      </c>
      <c r="D133" s="168" t="s">
        <v>330</v>
      </c>
      <c r="E133" s="167" t="s">
        <v>366</v>
      </c>
      <c r="F133" s="167" t="s">
        <v>349</v>
      </c>
      <c r="G133" s="167" t="s">
        <v>25</v>
      </c>
      <c r="H133" s="167" t="s">
        <v>164</v>
      </c>
      <c r="I133" s="77" t="s">
        <v>111</v>
      </c>
      <c r="J133" s="77" t="s">
        <v>27</v>
      </c>
      <c r="K133" s="77" t="s">
        <v>112</v>
      </c>
      <c r="L133" s="77">
        <v>3</v>
      </c>
      <c r="N133" s="77">
        <v>4</v>
      </c>
      <c r="O133" s="77">
        <v>0.75</v>
      </c>
      <c r="P133" s="77">
        <v>0.75</v>
      </c>
      <c r="Q133" s="16">
        <f t="shared" si="3"/>
        <v>0.75</v>
      </c>
      <c r="R133" s="77">
        <v>15.1</v>
      </c>
      <c r="S133" s="77">
        <v>111.5</v>
      </c>
      <c r="T133" s="16">
        <f t="shared" si="4"/>
        <v>33</v>
      </c>
      <c r="U133" s="77">
        <v>498</v>
      </c>
      <c r="V133" s="16">
        <f t="shared" si="5"/>
        <v>4108.5</v>
      </c>
      <c r="W133" s="77">
        <v>12</v>
      </c>
      <c r="X133" s="77" t="s">
        <v>35</v>
      </c>
      <c r="Y133" s="77" t="s">
        <v>55</v>
      </c>
      <c r="Z133" s="77" t="s">
        <v>43</v>
      </c>
      <c r="AA133" s="77" t="s">
        <v>76</v>
      </c>
      <c r="AB133" s="167" t="s">
        <v>333</v>
      </c>
    </row>
    <row r="134" spans="1:28" x14ac:dyDescent="0.15">
      <c r="A134" s="167" t="s">
        <v>48</v>
      </c>
      <c r="B134" s="167" t="s">
        <v>329</v>
      </c>
      <c r="C134" s="167">
        <v>2020</v>
      </c>
      <c r="D134" s="168" t="s">
        <v>330</v>
      </c>
      <c r="E134" s="167" t="s">
        <v>366</v>
      </c>
      <c r="F134" s="167" t="s">
        <v>349</v>
      </c>
      <c r="G134" s="167" t="s">
        <v>25</v>
      </c>
      <c r="H134" s="167" t="s">
        <v>113</v>
      </c>
      <c r="I134" s="77" t="s">
        <v>111</v>
      </c>
      <c r="J134" s="77" t="s">
        <v>27</v>
      </c>
      <c r="K134" s="77" t="s">
        <v>112</v>
      </c>
      <c r="L134" s="77">
        <v>1</v>
      </c>
      <c r="N134" s="77">
        <v>1</v>
      </c>
      <c r="O134" s="77">
        <v>0.75</v>
      </c>
      <c r="P134" s="77">
        <v>0.65</v>
      </c>
      <c r="Q134" s="16">
        <f t="shared" si="3"/>
        <v>0.7</v>
      </c>
      <c r="R134" s="77">
        <v>15.8</v>
      </c>
      <c r="S134" s="77">
        <v>143</v>
      </c>
      <c r="T134" s="16">
        <f t="shared" si="4"/>
        <v>22</v>
      </c>
      <c r="U134" s="77">
        <v>138</v>
      </c>
      <c r="V134" s="16">
        <f t="shared" si="5"/>
        <v>3036</v>
      </c>
      <c r="W134" s="77">
        <v>12</v>
      </c>
      <c r="X134" s="77" t="s">
        <v>35</v>
      </c>
      <c r="Y134" s="77" t="s">
        <v>55</v>
      </c>
      <c r="Z134" s="77" t="s">
        <v>43</v>
      </c>
      <c r="AA134" s="77" t="s">
        <v>76</v>
      </c>
      <c r="AB134" s="167" t="s">
        <v>333</v>
      </c>
    </row>
    <row r="135" spans="1:28" x14ac:dyDescent="0.15">
      <c r="A135" s="167" t="s">
        <v>48</v>
      </c>
      <c r="B135" s="167" t="s">
        <v>329</v>
      </c>
      <c r="C135" s="167">
        <v>2020</v>
      </c>
      <c r="D135" s="168" t="s">
        <v>330</v>
      </c>
      <c r="E135" s="167" t="s">
        <v>366</v>
      </c>
      <c r="F135" s="167" t="s">
        <v>349</v>
      </c>
      <c r="G135" s="167" t="s">
        <v>25</v>
      </c>
      <c r="H135" s="167" t="s">
        <v>113</v>
      </c>
      <c r="I135" s="77" t="s">
        <v>111</v>
      </c>
      <c r="J135" s="77" t="s">
        <v>27</v>
      </c>
      <c r="K135" s="77" t="s">
        <v>112</v>
      </c>
      <c r="L135" s="77">
        <v>2</v>
      </c>
      <c r="N135" s="77">
        <v>1</v>
      </c>
      <c r="O135" s="77">
        <v>0.85</v>
      </c>
      <c r="P135" s="77">
        <v>0.95</v>
      </c>
      <c r="Q135" s="16">
        <f t="shared" si="3"/>
        <v>0.89999999999999991</v>
      </c>
      <c r="R135" s="77">
        <v>15.4</v>
      </c>
      <c r="S135" s="77">
        <v>138</v>
      </c>
      <c r="T135" s="16">
        <f t="shared" si="4"/>
        <v>22</v>
      </c>
      <c r="U135" s="77">
        <v>138</v>
      </c>
      <c r="V135" s="16">
        <f t="shared" si="5"/>
        <v>3036</v>
      </c>
      <c r="W135" s="77">
        <v>12</v>
      </c>
      <c r="X135" s="77" t="s">
        <v>35</v>
      </c>
      <c r="Y135" s="77" t="s">
        <v>55</v>
      </c>
      <c r="Z135" s="77" t="s">
        <v>43</v>
      </c>
      <c r="AA135" s="77" t="s">
        <v>76</v>
      </c>
      <c r="AB135" s="167" t="s">
        <v>333</v>
      </c>
    </row>
    <row r="136" spans="1:28" x14ac:dyDescent="0.15">
      <c r="A136" s="167" t="s">
        <v>48</v>
      </c>
      <c r="B136" s="167" t="s">
        <v>329</v>
      </c>
      <c r="C136" s="167">
        <v>2020</v>
      </c>
      <c r="D136" s="168" t="s">
        <v>330</v>
      </c>
      <c r="E136" s="167" t="s">
        <v>366</v>
      </c>
      <c r="F136" s="167" t="s">
        <v>349</v>
      </c>
      <c r="G136" s="167" t="s">
        <v>25</v>
      </c>
      <c r="H136" s="167" t="s">
        <v>113</v>
      </c>
      <c r="I136" s="77" t="s">
        <v>111</v>
      </c>
      <c r="J136" s="77" t="s">
        <v>27</v>
      </c>
      <c r="K136" s="77" t="s">
        <v>112</v>
      </c>
      <c r="L136" s="77">
        <v>3</v>
      </c>
      <c r="N136" s="77">
        <v>1</v>
      </c>
      <c r="O136" s="77">
        <v>0.8</v>
      </c>
      <c r="P136" s="77">
        <v>0.85</v>
      </c>
      <c r="Q136" s="16">
        <f t="shared" si="3"/>
        <v>0.82499999999999996</v>
      </c>
      <c r="R136" s="77">
        <v>15.1</v>
      </c>
      <c r="S136" s="77">
        <v>138</v>
      </c>
      <c r="T136" s="16">
        <f t="shared" si="4"/>
        <v>22</v>
      </c>
      <c r="U136" s="77">
        <v>138</v>
      </c>
      <c r="V136" s="16">
        <f t="shared" si="5"/>
        <v>3036</v>
      </c>
      <c r="W136" s="77">
        <v>12</v>
      </c>
      <c r="X136" s="77" t="s">
        <v>35</v>
      </c>
      <c r="Y136" s="77" t="s">
        <v>55</v>
      </c>
      <c r="Z136" s="77" t="s">
        <v>43</v>
      </c>
      <c r="AA136" s="77" t="s">
        <v>76</v>
      </c>
      <c r="AB136" s="167" t="s">
        <v>333</v>
      </c>
    </row>
    <row r="137" spans="1:28" x14ac:dyDescent="0.15">
      <c r="A137" s="167" t="s">
        <v>48</v>
      </c>
      <c r="B137" s="167" t="s">
        <v>329</v>
      </c>
      <c r="C137" s="167">
        <v>2020</v>
      </c>
      <c r="D137" s="168" t="s">
        <v>330</v>
      </c>
      <c r="E137" s="167" t="s">
        <v>366</v>
      </c>
      <c r="F137" s="167" t="s">
        <v>349</v>
      </c>
      <c r="G137" s="167" t="s">
        <v>25</v>
      </c>
      <c r="H137" s="167" t="s">
        <v>113</v>
      </c>
      <c r="I137" s="77" t="s">
        <v>111</v>
      </c>
      <c r="J137" s="77" t="s">
        <v>27</v>
      </c>
      <c r="K137" s="77" t="s">
        <v>112</v>
      </c>
      <c r="L137" s="77">
        <v>1</v>
      </c>
      <c r="N137" s="77">
        <v>4</v>
      </c>
      <c r="O137" s="77">
        <v>0.85</v>
      </c>
      <c r="P137" s="77">
        <v>0.95</v>
      </c>
      <c r="Q137" s="16">
        <f t="shared" si="3"/>
        <v>0.89999999999999991</v>
      </c>
      <c r="R137" s="77">
        <v>14.9</v>
      </c>
      <c r="S137" s="77">
        <v>105</v>
      </c>
      <c r="T137" s="16">
        <f t="shared" si="4"/>
        <v>33</v>
      </c>
      <c r="U137" s="77">
        <v>398</v>
      </c>
      <c r="V137" s="16">
        <f t="shared" si="5"/>
        <v>3283.5</v>
      </c>
      <c r="W137" s="77">
        <v>12</v>
      </c>
      <c r="X137" s="77" t="s">
        <v>35</v>
      </c>
      <c r="Y137" s="77" t="s">
        <v>55</v>
      </c>
      <c r="Z137" s="77" t="s">
        <v>43</v>
      </c>
      <c r="AA137" s="77" t="s">
        <v>76</v>
      </c>
      <c r="AB137" s="167" t="s">
        <v>333</v>
      </c>
    </row>
    <row r="138" spans="1:28" x14ac:dyDescent="0.15">
      <c r="A138" s="167" t="s">
        <v>48</v>
      </c>
      <c r="B138" s="167" t="s">
        <v>329</v>
      </c>
      <c r="C138" s="167">
        <v>2020</v>
      </c>
      <c r="D138" s="168" t="s">
        <v>330</v>
      </c>
      <c r="E138" s="167" t="s">
        <v>366</v>
      </c>
      <c r="F138" s="167" t="s">
        <v>349</v>
      </c>
      <c r="G138" s="167" t="s">
        <v>25</v>
      </c>
      <c r="H138" s="167" t="s">
        <v>113</v>
      </c>
      <c r="I138" s="77" t="s">
        <v>111</v>
      </c>
      <c r="J138" s="77" t="s">
        <v>27</v>
      </c>
      <c r="K138" s="77" t="s">
        <v>112</v>
      </c>
      <c r="L138" s="77">
        <v>2</v>
      </c>
      <c r="N138" s="77">
        <v>4</v>
      </c>
      <c r="O138" s="77">
        <v>0.7</v>
      </c>
      <c r="P138" s="77">
        <v>0.6</v>
      </c>
      <c r="Q138" s="16">
        <f t="shared" si="3"/>
        <v>0.64999999999999991</v>
      </c>
      <c r="R138" s="77">
        <v>14.2</v>
      </c>
      <c r="S138" s="77">
        <v>92</v>
      </c>
      <c r="T138" s="16">
        <f t="shared" si="4"/>
        <v>36</v>
      </c>
      <c r="U138" s="77">
        <v>398</v>
      </c>
      <c r="V138" s="16">
        <f t="shared" si="5"/>
        <v>3582</v>
      </c>
      <c r="W138" s="77">
        <v>12</v>
      </c>
      <c r="X138" s="77" t="s">
        <v>35</v>
      </c>
      <c r="Y138" s="77" t="s">
        <v>55</v>
      </c>
      <c r="Z138" s="77" t="s">
        <v>43</v>
      </c>
      <c r="AA138" s="77" t="s">
        <v>76</v>
      </c>
      <c r="AB138" s="167" t="s">
        <v>333</v>
      </c>
    </row>
    <row r="139" spans="1:28" x14ac:dyDescent="0.15">
      <c r="A139" s="167" t="s">
        <v>48</v>
      </c>
      <c r="B139" s="167" t="s">
        <v>329</v>
      </c>
      <c r="C139" s="167">
        <v>2020</v>
      </c>
      <c r="D139" s="168" t="s">
        <v>330</v>
      </c>
      <c r="E139" s="167" t="s">
        <v>366</v>
      </c>
      <c r="F139" s="167" t="s">
        <v>349</v>
      </c>
      <c r="G139" s="167" t="s">
        <v>25</v>
      </c>
      <c r="H139" s="167" t="s">
        <v>113</v>
      </c>
      <c r="I139" s="77" t="s">
        <v>111</v>
      </c>
      <c r="J139" s="77" t="s">
        <v>27</v>
      </c>
      <c r="K139" s="77" t="s">
        <v>112</v>
      </c>
      <c r="L139" s="77">
        <v>3</v>
      </c>
      <c r="N139" s="77">
        <v>4</v>
      </c>
      <c r="O139" s="77">
        <v>1</v>
      </c>
      <c r="P139" s="77">
        <v>0.85</v>
      </c>
      <c r="Q139" s="16">
        <f t="shared" si="3"/>
        <v>0.92500000000000004</v>
      </c>
      <c r="R139" s="77">
        <v>11.1</v>
      </c>
      <c r="S139" s="77">
        <v>99</v>
      </c>
      <c r="T139" s="16">
        <f t="shared" si="4"/>
        <v>33</v>
      </c>
      <c r="U139" s="77">
        <v>398</v>
      </c>
      <c r="V139" s="16">
        <f t="shared" si="5"/>
        <v>3283.5</v>
      </c>
      <c r="W139" s="77">
        <v>12</v>
      </c>
      <c r="X139" s="77" t="s">
        <v>35</v>
      </c>
      <c r="Y139" s="77" t="s">
        <v>55</v>
      </c>
      <c r="Z139" s="77" t="s">
        <v>43</v>
      </c>
      <c r="AA139" s="77" t="s">
        <v>76</v>
      </c>
      <c r="AB139" s="167" t="s">
        <v>333</v>
      </c>
    </row>
    <row r="140" spans="1:28" x14ac:dyDescent="0.15">
      <c r="A140" s="167" t="s">
        <v>48</v>
      </c>
      <c r="B140" s="167" t="s">
        <v>329</v>
      </c>
      <c r="C140" s="167">
        <v>2020</v>
      </c>
      <c r="D140" s="168" t="s">
        <v>330</v>
      </c>
      <c r="E140" s="167" t="s">
        <v>367</v>
      </c>
      <c r="F140" s="167" t="s">
        <v>349</v>
      </c>
      <c r="G140" s="167" t="s">
        <v>25</v>
      </c>
      <c r="H140" s="167" t="s">
        <v>164</v>
      </c>
      <c r="I140" s="77" t="s">
        <v>111</v>
      </c>
      <c r="J140" s="77" t="s">
        <v>27</v>
      </c>
      <c r="K140" s="77" t="s">
        <v>112</v>
      </c>
      <c r="L140" s="77">
        <v>1</v>
      </c>
      <c r="N140" s="77">
        <v>1</v>
      </c>
      <c r="O140" s="77">
        <v>0.8</v>
      </c>
      <c r="P140" s="77">
        <v>0.75</v>
      </c>
      <c r="Q140" s="16">
        <f t="shared" si="3"/>
        <v>0.77500000000000002</v>
      </c>
      <c r="R140" s="77">
        <v>16.100000000000001</v>
      </c>
      <c r="S140" s="77">
        <v>149</v>
      </c>
      <c r="T140" s="16">
        <f t="shared" si="4"/>
        <v>22</v>
      </c>
      <c r="U140" s="77">
        <v>158</v>
      </c>
      <c r="V140" s="16">
        <f t="shared" si="5"/>
        <v>3476</v>
      </c>
      <c r="W140" s="77">
        <v>9</v>
      </c>
      <c r="X140" s="77" t="s">
        <v>35</v>
      </c>
      <c r="Y140" s="77" t="s">
        <v>55</v>
      </c>
      <c r="Z140" s="77" t="s">
        <v>43</v>
      </c>
      <c r="AA140" s="77" t="s">
        <v>36</v>
      </c>
      <c r="AB140" s="167" t="s">
        <v>333</v>
      </c>
    </row>
    <row r="141" spans="1:28" x14ac:dyDescent="0.15">
      <c r="A141" s="167" t="s">
        <v>48</v>
      </c>
      <c r="B141" s="167" t="s">
        <v>329</v>
      </c>
      <c r="C141" s="167">
        <v>2020</v>
      </c>
      <c r="D141" s="168" t="s">
        <v>330</v>
      </c>
      <c r="E141" s="167" t="s">
        <v>367</v>
      </c>
      <c r="F141" s="167" t="s">
        <v>349</v>
      </c>
      <c r="G141" s="167" t="s">
        <v>25</v>
      </c>
      <c r="H141" s="167" t="s">
        <v>164</v>
      </c>
      <c r="I141" s="77" t="s">
        <v>111</v>
      </c>
      <c r="J141" s="77" t="s">
        <v>27</v>
      </c>
      <c r="K141" s="77" t="s">
        <v>112</v>
      </c>
      <c r="L141" s="77">
        <v>2</v>
      </c>
      <c r="N141" s="77">
        <v>1</v>
      </c>
      <c r="O141" s="77">
        <v>1.25</v>
      </c>
      <c r="P141" s="77">
        <v>0.75</v>
      </c>
      <c r="Q141" s="16">
        <f t="shared" si="3"/>
        <v>1</v>
      </c>
      <c r="R141" s="77">
        <v>16.7</v>
      </c>
      <c r="S141" s="77">
        <v>156</v>
      </c>
      <c r="T141" s="16">
        <f t="shared" si="4"/>
        <v>18</v>
      </c>
      <c r="U141" s="77">
        <v>158</v>
      </c>
      <c r="V141" s="16">
        <f t="shared" si="5"/>
        <v>2844</v>
      </c>
      <c r="W141" s="77">
        <v>9</v>
      </c>
      <c r="X141" s="77" t="s">
        <v>35</v>
      </c>
      <c r="Y141" s="77" t="s">
        <v>55</v>
      </c>
      <c r="Z141" s="77" t="s">
        <v>43</v>
      </c>
      <c r="AA141" s="77" t="s">
        <v>36</v>
      </c>
      <c r="AB141" s="167" t="s">
        <v>333</v>
      </c>
    </row>
    <row r="142" spans="1:28" x14ac:dyDescent="0.15">
      <c r="A142" s="167" t="s">
        <v>48</v>
      </c>
      <c r="B142" s="167" t="s">
        <v>329</v>
      </c>
      <c r="C142" s="167">
        <v>2020</v>
      </c>
      <c r="D142" s="168" t="s">
        <v>330</v>
      </c>
      <c r="E142" s="167" t="s">
        <v>367</v>
      </c>
      <c r="F142" s="167" t="s">
        <v>349</v>
      </c>
      <c r="G142" s="167" t="s">
        <v>25</v>
      </c>
      <c r="H142" s="167" t="s">
        <v>164</v>
      </c>
      <c r="I142" s="77" t="s">
        <v>111</v>
      </c>
      <c r="J142" s="77" t="s">
        <v>27</v>
      </c>
      <c r="K142" s="77" t="s">
        <v>112</v>
      </c>
      <c r="L142" s="77">
        <v>3</v>
      </c>
      <c r="N142" s="77">
        <v>1</v>
      </c>
      <c r="O142" s="77">
        <v>0.8</v>
      </c>
      <c r="P142" s="77">
        <v>0.75</v>
      </c>
      <c r="Q142" s="16">
        <f t="shared" si="3"/>
        <v>0.77500000000000002</v>
      </c>
      <c r="R142" s="77">
        <v>19.600000000000001</v>
      </c>
      <c r="S142" s="77">
        <v>156</v>
      </c>
      <c r="T142" s="16">
        <f t="shared" si="4"/>
        <v>18</v>
      </c>
      <c r="U142" s="77">
        <v>158</v>
      </c>
      <c r="V142" s="16">
        <f t="shared" si="5"/>
        <v>2844</v>
      </c>
      <c r="W142" s="77">
        <v>9</v>
      </c>
      <c r="X142" s="77" t="s">
        <v>35</v>
      </c>
      <c r="Y142" s="77" t="s">
        <v>55</v>
      </c>
      <c r="Z142" s="77" t="s">
        <v>43</v>
      </c>
      <c r="AA142" s="77" t="s">
        <v>36</v>
      </c>
      <c r="AB142" s="167" t="s">
        <v>333</v>
      </c>
    </row>
    <row r="143" spans="1:28" x14ac:dyDescent="0.15">
      <c r="A143" s="167" t="s">
        <v>48</v>
      </c>
      <c r="B143" s="167" t="s">
        <v>329</v>
      </c>
      <c r="C143" s="167">
        <v>2020</v>
      </c>
      <c r="D143" s="168" t="s">
        <v>330</v>
      </c>
      <c r="E143" s="167" t="s">
        <v>367</v>
      </c>
      <c r="F143" s="167" t="s">
        <v>349</v>
      </c>
      <c r="G143" s="167" t="s">
        <v>25</v>
      </c>
      <c r="H143" s="167" t="s">
        <v>164</v>
      </c>
      <c r="I143" s="77" t="s">
        <v>111</v>
      </c>
      <c r="J143" s="77" t="s">
        <v>27</v>
      </c>
      <c r="K143" s="77" t="s">
        <v>112</v>
      </c>
      <c r="L143" s="77">
        <v>1</v>
      </c>
      <c r="N143" s="77">
        <v>7</v>
      </c>
      <c r="O143" s="77">
        <v>0.6</v>
      </c>
      <c r="P143" s="77">
        <v>0.75</v>
      </c>
      <c r="Q143" s="16">
        <f t="shared" si="3"/>
        <v>0.67500000000000004</v>
      </c>
      <c r="R143" s="77">
        <v>15.4</v>
      </c>
      <c r="S143" s="77">
        <v>95</v>
      </c>
      <c r="T143" s="16">
        <f t="shared" si="4"/>
        <v>36</v>
      </c>
      <c r="U143" s="77">
        <v>598</v>
      </c>
      <c r="V143" s="16">
        <f t="shared" si="5"/>
        <v>3075.4285714285716</v>
      </c>
      <c r="W143" s="77">
        <v>9</v>
      </c>
      <c r="X143" s="77" t="s">
        <v>35</v>
      </c>
      <c r="Y143" s="77" t="s">
        <v>55</v>
      </c>
      <c r="Z143" s="77" t="s">
        <v>43</v>
      </c>
      <c r="AA143" s="77" t="s">
        <v>36</v>
      </c>
      <c r="AB143" s="167" t="s">
        <v>333</v>
      </c>
    </row>
    <row r="144" spans="1:28" x14ac:dyDescent="0.15">
      <c r="A144" s="167" t="s">
        <v>48</v>
      </c>
      <c r="B144" s="167" t="s">
        <v>329</v>
      </c>
      <c r="C144" s="167">
        <v>2020</v>
      </c>
      <c r="D144" s="168" t="s">
        <v>330</v>
      </c>
      <c r="E144" s="167" t="s">
        <v>367</v>
      </c>
      <c r="F144" s="167" t="s">
        <v>349</v>
      </c>
      <c r="G144" s="167" t="s">
        <v>25</v>
      </c>
      <c r="H144" s="167" t="s">
        <v>164</v>
      </c>
      <c r="I144" s="77" t="s">
        <v>111</v>
      </c>
      <c r="J144" s="77" t="s">
        <v>27</v>
      </c>
      <c r="K144" s="77" t="s">
        <v>112</v>
      </c>
      <c r="L144" s="77">
        <v>2</v>
      </c>
      <c r="N144" s="77">
        <v>7</v>
      </c>
      <c r="O144" s="77">
        <v>0.5</v>
      </c>
      <c r="P144" s="77">
        <v>0.65</v>
      </c>
      <c r="Q144" s="16">
        <f t="shared" si="3"/>
        <v>0.57499999999999996</v>
      </c>
      <c r="R144" s="77">
        <v>17.100000000000001</v>
      </c>
      <c r="S144" s="77">
        <v>97.5</v>
      </c>
      <c r="T144" s="16">
        <f t="shared" si="4"/>
        <v>36</v>
      </c>
      <c r="U144" s="77">
        <v>598</v>
      </c>
      <c r="V144" s="16">
        <f t="shared" si="5"/>
        <v>3075.4285714285716</v>
      </c>
      <c r="W144" s="77">
        <v>9</v>
      </c>
      <c r="X144" s="77" t="s">
        <v>35</v>
      </c>
      <c r="Y144" s="77" t="s">
        <v>55</v>
      </c>
      <c r="Z144" s="77" t="s">
        <v>43</v>
      </c>
      <c r="AA144" s="77" t="s">
        <v>36</v>
      </c>
      <c r="AB144" s="167" t="s">
        <v>333</v>
      </c>
    </row>
    <row r="145" spans="1:28" x14ac:dyDescent="0.15">
      <c r="A145" s="167" t="s">
        <v>48</v>
      </c>
      <c r="B145" s="167" t="s">
        <v>329</v>
      </c>
      <c r="C145" s="167">
        <v>2020</v>
      </c>
      <c r="D145" s="168" t="s">
        <v>330</v>
      </c>
      <c r="E145" s="167" t="s">
        <v>367</v>
      </c>
      <c r="F145" s="167" t="s">
        <v>349</v>
      </c>
      <c r="G145" s="167" t="s">
        <v>25</v>
      </c>
      <c r="H145" s="167" t="s">
        <v>164</v>
      </c>
      <c r="I145" s="77" t="s">
        <v>111</v>
      </c>
      <c r="J145" s="77" t="s">
        <v>27</v>
      </c>
      <c r="K145" s="77" t="s">
        <v>112</v>
      </c>
      <c r="L145" s="77">
        <v>3</v>
      </c>
      <c r="N145" s="77">
        <v>7</v>
      </c>
      <c r="O145" s="77">
        <v>0.7</v>
      </c>
      <c r="P145" s="77">
        <v>0.75</v>
      </c>
      <c r="Q145" s="16">
        <f t="shared" si="3"/>
        <v>0.72499999999999998</v>
      </c>
      <c r="R145" s="77">
        <v>16.3</v>
      </c>
      <c r="S145" s="77">
        <v>98.5</v>
      </c>
      <c r="T145" s="16">
        <f t="shared" si="4"/>
        <v>36</v>
      </c>
      <c r="U145" s="77">
        <v>598</v>
      </c>
      <c r="V145" s="16">
        <f t="shared" si="5"/>
        <v>3075.4285714285716</v>
      </c>
      <c r="W145" s="77">
        <v>9</v>
      </c>
      <c r="X145" s="77" t="s">
        <v>35</v>
      </c>
      <c r="Y145" s="77" t="s">
        <v>55</v>
      </c>
      <c r="Z145" s="77" t="s">
        <v>43</v>
      </c>
      <c r="AA145" s="77" t="s">
        <v>36</v>
      </c>
      <c r="AB145" s="167" t="s">
        <v>333</v>
      </c>
    </row>
    <row r="146" spans="1:28" x14ac:dyDescent="0.15">
      <c r="A146" s="167" t="s">
        <v>48</v>
      </c>
      <c r="B146" s="167" t="s">
        <v>329</v>
      </c>
      <c r="C146" s="167">
        <v>2020</v>
      </c>
      <c r="D146" s="168" t="s">
        <v>330</v>
      </c>
      <c r="E146" s="167" t="s">
        <v>367</v>
      </c>
      <c r="F146" s="167" t="s">
        <v>349</v>
      </c>
      <c r="G146" s="167" t="s">
        <v>25</v>
      </c>
      <c r="H146" s="167" t="s">
        <v>164</v>
      </c>
      <c r="I146" s="77" t="s">
        <v>111</v>
      </c>
      <c r="J146" s="77" t="s">
        <v>27</v>
      </c>
      <c r="K146" s="77" t="s">
        <v>112</v>
      </c>
      <c r="L146" s="77">
        <v>1</v>
      </c>
      <c r="N146" s="77">
        <v>8</v>
      </c>
      <c r="O146" s="77">
        <v>0.85</v>
      </c>
      <c r="P146" s="77">
        <v>0.8</v>
      </c>
      <c r="Q146" s="16">
        <f t="shared" si="3"/>
        <v>0.82499999999999996</v>
      </c>
      <c r="R146" s="77">
        <v>15.3</v>
      </c>
      <c r="S146" s="77">
        <v>105.5</v>
      </c>
      <c r="T146" s="16">
        <f t="shared" si="4"/>
        <v>33</v>
      </c>
      <c r="U146" s="77">
        <v>880</v>
      </c>
      <c r="V146" s="16">
        <f t="shared" si="5"/>
        <v>3630</v>
      </c>
      <c r="W146" s="77">
        <v>9</v>
      </c>
      <c r="X146" s="77" t="s">
        <v>35</v>
      </c>
      <c r="Y146" s="77" t="s">
        <v>55</v>
      </c>
      <c r="Z146" s="77" t="s">
        <v>43</v>
      </c>
      <c r="AA146" s="77" t="s">
        <v>36</v>
      </c>
      <c r="AB146" s="167" t="s">
        <v>333</v>
      </c>
    </row>
    <row r="147" spans="1:28" x14ac:dyDescent="0.15">
      <c r="A147" s="167" t="s">
        <v>48</v>
      </c>
      <c r="B147" s="167" t="s">
        <v>329</v>
      </c>
      <c r="C147" s="167">
        <v>2020</v>
      </c>
      <c r="D147" s="168" t="s">
        <v>330</v>
      </c>
      <c r="E147" s="167" t="s">
        <v>367</v>
      </c>
      <c r="F147" s="167" t="s">
        <v>349</v>
      </c>
      <c r="G147" s="167" t="s">
        <v>25</v>
      </c>
      <c r="H147" s="167" t="s">
        <v>164</v>
      </c>
      <c r="I147" s="77" t="s">
        <v>111</v>
      </c>
      <c r="J147" s="77" t="s">
        <v>27</v>
      </c>
      <c r="K147" s="77" t="s">
        <v>112</v>
      </c>
      <c r="L147" s="77">
        <v>2</v>
      </c>
      <c r="N147" s="77">
        <v>8</v>
      </c>
      <c r="O147" s="77">
        <v>0.8</v>
      </c>
      <c r="P147" s="77">
        <v>0.8</v>
      </c>
      <c r="Q147" s="16">
        <f t="shared" si="3"/>
        <v>0.8</v>
      </c>
      <c r="R147" s="77">
        <v>15.2</v>
      </c>
      <c r="S147" s="77">
        <v>101</v>
      </c>
      <c r="T147" s="16">
        <f t="shared" si="4"/>
        <v>33</v>
      </c>
      <c r="U147" s="77">
        <v>880</v>
      </c>
      <c r="V147" s="16">
        <f t="shared" si="5"/>
        <v>3630</v>
      </c>
      <c r="W147" s="77">
        <v>9</v>
      </c>
      <c r="X147" s="77" t="s">
        <v>35</v>
      </c>
      <c r="Y147" s="77" t="s">
        <v>55</v>
      </c>
      <c r="Z147" s="77" t="s">
        <v>43</v>
      </c>
      <c r="AA147" s="77" t="s">
        <v>36</v>
      </c>
      <c r="AB147" s="167" t="s">
        <v>333</v>
      </c>
    </row>
    <row r="148" spans="1:28" x14ac:dyDescent="0.15">
      <c r="A148" s="167" t="s">
        <v>48</v>
      </c>
      <c r="B148" s="167" t="s">
        <v>329</v>
      </c>
      <c r="C148" s="167">
        <v>2020</v>
      </c>
      <c r="D148" s="168" t="s">
        <v>330</v>
      </c>
      <c r="E148" s="167" t="s">
        <v>367</v>
      </c>
      <c r="F148" s="167" t="s">
        <v>349</v>
      </c>
      <c r="G148" s="167" t="s">
        <v>25</v>
      </c>
      <c r="H148" s="167" t="s">
        <v>164</v>
      </c>
      <c r="I148" s="77" t="s">
        <v>111</v>
      </c>
      <c r="J148" s="77" t="s">
        <v>27</v>
      </c>
      <c r="K148" s="77" t="s">
        <v>112</v>
      </c>
      <c r="L148" s="77">
        <v>3</v>
      </c>
      <c r="N148" s="77">
        <v>8</v>
      </c>
      <c r="O148" s="77">
        <v>0.85</v>
      </c>
      <c r="P148" s="77">
        <v>0.9</v>
      </c>
      <c r="Q148" s="16">
        <f t="shared" si="3"/>
        <v>0.875</v>
      </c>
      <c r="R148" s="77">
        <v>14.5</v>
      </c>
      <c r="S148" s="77">
        <v>106.5</v>
      </c>
      <c r="T148" s="16">
        <f t="shared" si="4"/>
        <v>33</v>
      </c>
      <c r="U148" s="77">
        <v>880</v>
      </c>
      <c r="V148" s="16">
        <f t="shared" si="5"/>
        <v>3630</v>
      </c>
      <c r="W148" s="77">
        <v>9</v>
      </c>
      <c r="X148" s="77" t="s">
        <v>35</v>
      </c>
      <c r="Y148" s="77" t="s">
        <v>55</v>
      </c>
      <c r="Z148" s="77" t="s">
        <v>43</v>
      </c>
      <c r="AA148" s="77" t="s">
        <v>36</v>
      </c>
      <c r="AB148" s="167" t="s">
        <v>333</v>
      </c>
    </row>
    <row r="149" spans="1:28" x14ac:dyDescent="0.15">
      <c r="A149" s="167" t="s">
        <v>48</v>
      </c>
      <c r="B149" s="167" t="s">
        <v>329</v>
      </c>
      <c r="C149" s="167">
        <v>2020</v>
      </c>
      <c r="D149" s="168" t="s">
        <v>330</v>
      </c>
      <c r="E149" s="167" t="s">
        <v>367</v>
      </c>
      <c r="F149" s="167" t="s">
        <v>349</v>
      </c>
      <c r="G149" s="167" t="s">
        <v>25</v>
      </c>
      <c r="H149" s="167" t="s">
        <v>113</v>
      </c>
      <c r="I149" s="77" t="s">
        <v>111</v>
      </c>
      <c r="J149" s="77" t="s">
        <v>27</v>
      </c>
      <c r="K149" s="77" t="s">
        <v>112</v>
      </c>
      <c r="L149" s="77">
        <v>1</v>
      </c>
      <c r="N149" s="77">
        <v>1</v>
      </c>
      <c r="O149" s="77">
        <v>0.65</v>
      </c>
      <c r="P149" s="77">
        <v>0.5</v>
      </c>
      <c r="Q149" s="16">
        <f t="shared" si="3"/>
        <v>0.57499999999999996</v>
      </c>
      <c r="R149" s="77">
        <v>16</v>
      </c>
      <c r="S149" s="77">
        <v>123.5</v>
      </c>
      <c r="T149" s="16">
        <f t="shared" si="4"/>
        <v>27</v>
      </c>
      <c r="U149" s="77">
        <v>128</v>
      </c>
      <c r="V149" s="16">
        <f t="shared" si="5"/>
        <v>3456</v>
      </c>
      <c r="W149" s="77">
        <v>9</v>
      </c>
      <c r="X149" s="77" t="s">
        <v>35</v>
      </c>
      <c r="Y149" s="77" t="s">
        <v>55</v>
      </c>
      <c r="Z149" s="77" t="s">
        <v>43</v>
      </c>
      <c r="AA149" s="77" t="s">
        <v>36</v>
      </c>
      <c r="AB149" s="167" t="s">
        <v>333</v>
      </c>
    </row>
    <row r="150" spans="1:28" x14ac:dyDescent="0.15">
      <c r="A150" s="167" t="s">
        <v>48</v>
      </c>
      <c r="B150" s="167" t="s">
        <v>329</v>
      </c>
      <c r="C150" s="167">
        <v>2020</v>
      </c>
      <c r="D150" s="168" t="s">
        <v>330</v>
      </c>
      <c r="E150" s="167" t="s">
        <v>367</v>
      </c>
      <c r="F150" s="167" t="s">
        <v>349</v>
      </c>
      <c r="G150" s="167" t="s">
        <v>25</v>
      </c>
      <c r="H150" s="167" t="s">
        <v>113</v>
      </c>
      <c r="I150" s="77" t="s">
        <v>111</v>
      </c>
      <c r="J150" s="77" t="s">
        <v>27</v>
      </c>
      <c r="K150" s="77" t="s">
        <v>112</v>
      </c>
      <c r="L150" s="77">
        <v>2</v>
      </c>
      <c r="N150" s="77">
        <v>1</v>
      </c>
      <c r="O150" s="77">
        <v>0.7</v>
      </c>
      <c r="P150" s="77">
        <v>0.75</v>
      </c>
      <c r="Q150" s="16">
        <f t="shared" si="3"/>
        <v>0.72499999999999998</v>
      </c>
      <c r="R150" s="77">
        <v>15.5</v>
      </c>
      <c r="S150" s="77">
        <v>135</v>
      </c>
      <c r="T150" s="16">
        <f t="shared" si="4"/>
        <v>25</v>
      </c>
      <c r="U150" s="77">
        <v>128</v>
      </c>
      <c r="V150" s="16">
        <f t="shared" si="5"/>
        <v>3200</v>
      </c>
      <c r="W150" s="77">
        <v>9</v>
      </c>
      <c r="X150" s="77" t="s">
        <v>35</v>
      </c>
      <c r="Y150" s="77" t="s">
        <v>55</v>
      </c>
      <c r="Z150" s="77" t="s">
        <v>43</v>
      </c>
      <c r="AA150" s="77" t="s">
        <v>36</v>
      </c>
      <c r="AB150" s="167" t="s">
        <v>333</v>
      </c>
    </row>
    <row r="151" spans="1:28" x14ac:dyDescent="0.15">
      <c r="A151" s="167" t="s">
        <v>48</v>
      </c>
      <c r="B151" s="167" t="s">
        <v>329</v>
      </c>
      <c r="C151" s="167">
        <v>2020</v>
      </c>
      <c r="D151" s="168" t="s">
        <v>330</v>
      </c>
      <c r="E151" s="167" t="s">
        <v>367</v>
      </c>
      <c r="F151" s="167" t="s">
        <v>349</v>
      </c>
      <c r="G151" s="167" t="s">
        <v>25</v>
      </c>
      <c r="H151" s="167" t="s">
        <v>113</v>
      </c>
      <c r="I151" s="77" t="s">
        <v>111</v>
      </c>
      <c r="J151" s="77" t="s">
        <v>27</v>
      </c>
      <c r="K151" s="77" t="s">
        <v>112</v>
      </c>
      <c r="L151" s="77">
        <v>3</v>
      </c>
      <c r="N151" s="77">
        <v>1</v>
      </c>
      <c r="O151" s="77">
        <v>1.2</v>
      </c>
      <c r="P151" s="77">
        <v>1.1499999999999999</v>
      </c>
      <c r="Q151" s="16">
        <f t="shared" si="3"/>
        <v>1.1749999999999998</v>
      </c>
      <c r="R151" s="77">
        <v>14.7</v>
      </c>
      <c r="S151" s="77">
        <v>140.5</v>
      </c>
      <c r="T151" s="16">
        <f t="shared" si="4"/>
        <v>22</v>
      </c>
      <c r="U151" s="77">
        <v>128</v>
      </c>
      <c r="V151" s="16">
        <f t="shared" si="5"/>
        <v>2816</v>
      </c>
      <c r="W151" s="77">
        <v>9</v>
      </c>
      <c r="X151" s="77" t="s">
        <v>35</v>
      </c>
      <c r="Y151" s="77" t="s">
        <v>55</v>
      </c>
      <c r="Z151" s="77" t="s">
        <v>43</v>
      </c>
      <c r="AA151" s="77" t="s">
        <v>36</v>
      </c>
      <c r="AB151" s="167" t="s">
        <v>333</v>
      </c>
    </row>
    <row r="152" spans="1:28" x14ac:dyDescent="0.15">
      <c r="A152" s="167"/>
      <c r="B152" s="167"/>
      <c r="C152" s="167"/>
      <c r="D152" s="168"/>
      <c r="E152" s="167"/>
      <c r="F152" s="167"/>
      <c r="G152" s="167"/>
      <c r="H152" s="167"/>
      <c r="AB152" s="167"/>
    </row>
    <row r="153" spans="1:28" x14ac:dyDescent="0.15">
      <c r="A153" s="167"/>
      <c r="B153" s="167"/>
      <c r="C153" s="167"/>
      <c r="D153" s="168"/>
      <c r="E153" s="167"/>
      <c r="F153" s="167"/>
      <c r="G153" s="167"/>
      <c r="H153" s="167"/>
      <c r="AB153" s="167"/>
    </row>
    <row r="154" spans="1:28" x14ac:dyDescent="0.15">
      <c r="A154" s="167"/>
      <c r="B154" s="167"/>
      <c r="C154" s="167"/>
      <c r="D154" s="168"/>
      <c r="E154" s="167"/>
      <c r="F154" s="167"/>
      <c r="G154" s="167"/>
      <c r="H154" s="167"/>
      <c r="AB154" s="167"/>
    </row>
    <row r="155" spans="1:28" x14ac:dyDescent="0.15">
      <c r="A155" s="167"/>
      <c r="B155" s="167"/>
      <c r="C155" s="167"/>
      <c r="D155" s="168"/>
      <c r="E155" s="167"/>
      <c r="F155" s="167"/>
      <c r="G155" s="167"/>
      <c r="H155" s="167"/>
      <c r="AB155" s="167"/>
    </row>
    <row r="156" spans="1:28" x14ac:dyDescent="0.15">
      <c r="A156" s="167"/>
      <c r="B156" s="167"/>
      <c r="C156" s="167"/>
      <c r="D156" s="168"/>
      <c r="E156" s="167"/>
      <c r="F156" s="167"/>
      <c r="G156" s="167"/>
      <c r="H156" s="167"/>
      <c r="AB156" s="167"/>
    </row>
    <row r="157" spans="1:28" x14ac:dyDescent="0.15">
      <c r="A157" s="167"/>
      <c r="B157" s="167"/>
      <c r="C157" s="167"/>
      <c r="D157" s="168"/>
      <c r="E157" s="167"/>
      <c r="F157" s="167"/>
      <c r="G157" s="167"/>
      <c r="H157" s="167"/>
      <c r="AB157" s="167"/>
    </row>
    <row r="158" spans="1:28" x14ac:dyDescent="0.15">
      <c r="A158" s="167"/>
      <c r="B158" s="167"/>
      <c r="C158" s="167"/>
      <c r="D158" s="168"/>
      <c r="E158" s="167"/>
      <c r="F158" s="167"/>
      <c r="G158" s="167"/>
      <c r="H158" s="167"/>
      <c r="AB158" s="167"/>
    </row>
    <row r="159" spans="1:28" x14ac:dyDescent="0.15">
      <c r="A159" s="167"/>
      <c r="B159" s="167"/>
      <c r="C159" s="167"/>
      <c r="D159" s="168"/>
      <c r="E159" s="167"/>
      <c r="F159" s="167"/>
      <c r="G159" s="167"/>
      <c r="H159" s="167"/>
      <c r="AB159" s="167"/>
    </row>
    <row r="160" spans="1:28" x14ac:dyDescent="0.15">
      <c r="A160" s="167"/>
      <c r="B160" s="167"/>
      <c r="C160" s="167"/>
      <c r="D160" s="168"/>
      <c r="E160" s="167"/>
      <c r="F160" s="167"/>
      <c r="G160" s="167"/>
      <c r="H160" s="167"/>
      <c r="AB160" s="167"/>
    </row>
    <row r="161" spans="1:28" x14ac:dyDescent="0.15">
      <c r="A161" s="167"/>
      <c r="B161" s="167"/>
      <c r="C161" s="167"/>
      <c r="D161" s="168"/>
      <c r="E161" s="167"/>
      <c r="F161" s="167"/>
      <c r="G161" s="167"/>
      <c r="H161" s="167"/>
      <c r="AB161" s="167"/>
    </row>
    <row r="162" spans="1:28" x14ac:dyDescent="0.15">
      <c r="A162" s="167"/>
      <c r="B162" s="167"/>
      <c r="C162" s="167"/>
      <c r="D162" s="168"/>
      <c r="E162" s="167"/>
      <c r="F162" s="167"/>
      <c r="G162" s="167"/>
      <c r="H162" s="167"/>
      <c r="AB162" s="167"/>
    </row>
    <row r="163" spans="1:28" x14ac:dyDescent="0.15">
      <c r="A163" s="167"/>
      <c r="B163" s="167"/>
      <c r="C163" s="167"/>
      <c r="D163" s="168"/>
      <c r="E163" s="167"/>
      <c r="F163" s="167"/>
      <c r="G163" s="167"/>
      <c r="H163" s="167"/>
      <c r="AB163" s="167"/>
    </row>
    <row r="164" spans="1:28" x14ac:dyDescent="0.15">
      <c r="A164" s="167"/>
      <c r="B164" s="167"/>
      <c r="C164" s="167"/>
      <c r="D164" s="168"/>
      <c r="E164" s="167"/>
      <c r="F164" s="167"/>
      <c r="G164" s="167"/>
      <c r="H164" s="167"/>
      <c r="AB164" s="167"/>
    </row>
    <row r="165" spans="1:28" x14ac:dyDescent="0.15">
      <c r="A165" s="167"/>
      <c r="B165" s="167"/>
      <c r="C165" s="167"/>
      <c r="D165" s="168"/>
      <c r="E165" s="167"/>
      <c r="F165" s="167"/>
      <c r="G165" s="167"/>
      <c r="H165" s="167"/>
      <c r="AB165" s="167"/>
    </row>
    <row r="166" spans="1:28" x14ac:dyDescent="0.15">
      <c r="A166" s="167"/>
      <c r="B166" s="167"/>
      <c r="C166" s="167"/>
      <c r="D166" s="168"/>
      <c r="E166" s="167"/>
      <c r="F166" s="167"/>
      <c r="G166" s="167"/>
      <c r="H166" s="167"/>
      <c r="AB166" s="167"/>
    </row>
    <row r="167" spans="1:28" x14ac:dyDescent="0.15">
      <c r="A167" s="167"/>
      <c r="B167" s="167"/>
      <c r="C167" s="167"/>
      <c r="D167" s="168"/>
      <c r="E167" s="167"/>
      <c r="F167" s="167"/>
      <c r="G167" s="167"/>
      <c r="H167" s="167"/>
      <c r="AB167" s="167"/>
    </row>
    <row r="168" spans="1:28" x14ac:dyDescent="0.15">
      <c r="A168" s="167"/>
      <c r="B168" s="167"/>
      <c r="C168" s="167"/>
      <c r="D168" s="168"/>
      <c r="E168" s="167"/>
      <c r="F168" s="167"/>
      <c r="G168" s="167"/>
      <c r="H168" s="167"/>
      <c r="AB168" s="167"/>
    </row>
    <row r="169" spans="1:28" x14ac:dyDescent="0.15">
      <c r="A169" s="167"/>
      <c r="B169" s="167"/>
      <c r="C169" s="167"/>
      <c r="D169" s="168"/>
      <c r="E169" s="167"/>
      <c r="F169" s="167"/>
      <c r="G169" s="167"/>
      <c r="H169" s="167"/>
      <c r="AB169" s="167"/>
    </row>
    <row r="170" spans="1:28" x14ac:dyDescent="0.15">
      <c r="A170" s="167"/>
      <c r="B170" s="167"/>
      <c r="C170" s="167"/>
      <c r="D170" s="168"/>
      <c r="E170" s="167"/>
      <c r="F170" s="167"/>
      <c r="G170" s="167"/>
      <c r="H170" s="167"/>
      <c r="AB170" s="167"/>
    </row>
    <row r="171" spans="1:28" x14ac:dyDescent="0.15">
      <c r="A171" s="167"/>
      <c r="B171" s="167"/>
      <c r="C171" s="167"/>
      <c r="D171" s="168"/>
      <c r="E171" s="167"/>
      <c r="F171" s="167"/>
      <c r="G171" s="167"/>
      <c r="H171" s="167"/>
      <c r="AB171" s="167"/>
    </row>
    <row r="172" spans="1:28" x14ac:dyDescent="0.15">
      <c r="A172" s="167"/>
      <c r="B172" s="167"/>
      <c r="C172" s="167"/>
      <c r="D172" s="168"/>
      <c r="E172" s="167"/>
      <c r="F172" s="167"/>
      <c r="G172" s="167"/>
      <c r="H172" s="167"/>
      <c r="AB172" s="167"/>
    </row>
    <row r="173" spans="1:28" x14ac:dyDescent="0.15">
      <c r="A173" s="167"/>
      <c r="B173" s="167"/>
      <c r="C173" s="167"/>
      <c r="D173" s="168"/>
      <c r="E173" s="167"/>
      <c r="F173" s="167"/>
      <c r="G173" s="167"/>
      <c r="H173" s="167"/>
      <c r="AB173" s="167"/>
    </row>
    <row r="174" spans="1:28" x14ac:dyDescent="0.15">
      <c r="A174" s="167"/>
      <c r="B174" s="167"/>
      <c r="C174" s="167"/>
      <c r="D174" s="168"/>
      <c r="E174" s="167"/>
      <c r="F174" s="167"/>
      <c r="G174" s="167"/>
      <c r="H174" s="167"/>
      <c r="AB174" s="167"/>
    </row>
    <row r="175" spans="1:28" x14ac:dyDescent="0.15">
      <c r="A175" s="167"/>
      <c r="B175" s="167"/>
      <c r="C175" s="167"/>
      <c r="D175" s="168"/>
      <c r="E175" s="167"/>
      <c r="F175" s="167"/>
      <c r="G175" s="167"/>
      <c r="H175" s="167"/>
      <c r="AB175" s="167"/>
    </row>
    <row r="176" spans="1:28" x14ac:dyDescent="0.15">
      <c r="A176" s="167"/>
      <c r="B176" s="167"/>
      <c r="C176" s="167"/>
      <c r="D176" s="168"/>
      <c r="E176" s="167"/>
      <c r="F176" s="167"/>
      <c r="G176" s="167"/>
      <c r="H176" s="167"/>
      <c r="AB176" s="167"/>
    </row>
    <row r="177" spans="1:28" x14ac:dyDescent="0.15">
      <c r="A177" s="167"/>
      <c r="B177" s="167"/>
      <c r="C177" s="167"/>
      <c r="D177" s="168"/>
      <c r="E177" s="167"/>
      <c r="F177" s="167"/>
      <c r="G177" s="167"/>
      <c r="H177" s="167"/>
      <c r="AB177" s="167"/>
    </row>
    <row r="178" spans="1:28" x14ac:dyDescent="0.15">
      <c r="A178" s="167"/>
      <c r="B178" s="167"/>
      <c r="C178" s="167"/>
      <c r="D178" s="168"/>
      <c r="E178" s="167"/>
      <c r="F178" s="167"/>
      <c r="G178" s="167"/>
      <c r="H178" s="167"/>
      <c r="AB178" s="167"/>
    </row>
    <row r="179" spans="1:28" x14ac:dyDescent="0.15">
      <c r="A179" s="167"/>
      <c r="B179" s="167"/>
      <c r="C179" s="167"/>
      <c r="D179" s="168"/>
      <c r="E179" s="167"/>
      <c r="F179" s="167"/>
      <c r="G179" s="167"/>
      <c r="H179" s="167"/>
      <c r="AB179" s="167"/>
    </row>
    <row r="180" spans="1:28" x14ac:dyDescent="0.15">
      <c r="A180" s="167"/>
      <c r="B180" s="167"/>
      <c r="C180" s="167"/>
      <c r="D180" s="168"/>
      <c r="E180" s="167"/>
      <c r="F180" s="167"/>
      <c r="G180" s="167"/>
      <c r="H180" s="167"/>
      <c r="AB180" s="167"/>
    </row>
    <row r="181" spans="1:28" x14ac:dyDescent="0.15">
      <c r="A181" s="167"/>
      <c r="B181" s="167"/>
      <c r="C181" s="167"/>
      <c r="D181" s="168"/>
      <c r="E181" s="167"/>
      <c r="F181" s="167"/>
      <c r="G181" s="167"/>
      <c r="H181" s="167"/>
      <c r="AB181" s="167"/>
    </row>
    <row r="182" spans="1:28" x14ac:dyDescent="0.15">
      <c r="A182" s="167"/>
      <c r="B182" s="167"/>
      <c r="C182" s="167"/>
      <c r="D182" s="168"/>
      <c r="E182" s="167"/>
      <c r="F182" s="167"/>
      <c r="G182" s="167"/>
      <c r="H182" s="167"/>
      <c r="AB182" s="167"/>
    </row>
    <row r="183" spans="1:28" x14ac:dyDescent="0.15">
      <c r="A183" s="167"/>
      <c r="B183" s="167"/>
      <c r="C183" s="167"/>
      <c r="D183" s="168"/>
      <c r="E183" s="167"/>
      <c r="F183" s="167"/>
      <c r="G183" s="167"/>
      <c r="H183" s="167"/>
      <c r="AB183" s="167"/>
    </row>
    <row r="184" spans="1:28" x14ac:dyDescent="0.15">
      <c r="A184" s="167"/>
      <c r="B184" s="167"/>
      <c r="C184" s="167"/>
      <c r="D184" s="168"/>
      <c r="E184" s="167"/>
      <c r="F184" s="167"/>
      <c r="G184" s="167"/>
      <c r="H184" s="167"/>
      <c r="AB184" s="167"/>
    </row>
    <row r="185" spans="1:28" x14ac:dyDescent="0.15">
      <c r="A185" s="167"/>
      <c r="B185" s="167"/>
      <c r="C185" s="167"/>
      <c r="D185" s="168"/>
      <c r="E185" s="167"/>
      <c r="F185" s="167"/>
      <c r="G185" s="167"/>
      <c r="H185" s="167"/>
      <c r="AB185" s="167"/>
    </row>
    <row r="186" spans="1:28" x14ac:dyDescent="0.15">
      <c r="A186" s="167"/>
      <c r="B186" s="167"/>
      <c r="C186" s="167"/>
      <c r="D186" s="168"/>
      <c r="E186" s="167"/>
      <c r="F186" s="167"/>
      <c r="G186" s="167"/>
      <c r="H186" s="167"/>
      <c r="AB186" s="167"/>
    </row>
    <row r="187" spans="1:28" x14ac:dyDescent="0.15">
      <c r="A187" s="167"/>
      <c r="B187" s="167"/>
      <c r="C187" s="167"/>
      <c r="D187" s="168"/>
      <c r="E187" s="167"/>
      <c r="F187" s="167"/>
      <c r="G187" s="167"/>
      <c r="H187" s="167"/>
      <c r="AB187" s="167"/>
    </row>
    <row r="188" spans="1:28" x14ac:dyDescent="0.15">
      <c r="A188" s="167"/>
      <c r="B188" s="167"/>
      <c r="C188" s="167"/>
      <c r="D188" s="168"/>
      <c r="E188" s="167"/>
      <c r="F188" s="167"/>
      <c r="G188" s="167"/>
      <c r="H188" s="167"/>
      <c r="AB188" s="167"/>
    </row>
    <row r="189" spans="1:28" x14ac:dyDescent="0.15">
      <c r="A189" s="167"/>
      <c r="B189" s="167"/>
      <c r="C189" s="167"/>
      <c r="D189" s="168"/>
      <c r="E189" s="167"/>
      <c r="F189" s="167"/>
      <c r="G189" s="167"/>
      <c r="H189" s="167"/>
      <c r="AB189" s="167"/>
    </row>
    <row r="190" spans="1:28" x14ac:dyDescent="0.15">
      <c r="A190" s="167"/>
      <c r="B190" s="167"/>
      <c r="C190" s="167"/>
      <c r="D190" s="168"/>
      <c r="E190" s="167"/>
      <c r="F190" s="167"/>
      <c r="G190" s="167"/>
      <c r="H190" s="167"/>
      <c r="AB190" s="167"/>
    </row>
    <row r="191" spans="1:28" x14ac:dyDescent="0.15">
      <c r="A191" s="167"/>
      <c r="B191" s="167"/>
      <c r="C191" s="167"/>
      <c r="D191" s="168"/>
      <c r="E191" s="167"/>
      <c r="F191" s="167"/>
      <c r="G191" s="167"/>
      <c r="H191" s="167"/>
      <c r="AB191" s="167"/>
    </row>
    <row r="192" spans="1:28" x14ac:dyDescent="0.15">
      <c r="A192" s="167"/>
      <c r="B192" s="167"/>
      <c r="C192" s="167"/>
      <c r="D192" s="168"/>
      <c r="E192" s="167"/>
      <c r="F192" s="167"/>
      <c r="G192" s="167"/>
      <c r="H192" s="167"/>
      <c r="AB192" s="167"/>
    </row>
    <row r="193" spans="1:28" x14ac:dyDescent="0.15">
      <c r="A193" s="167"/>
      <c r="B193" s="167"/>
      <c r="C193" s="167"/>
      <c r="D193" s="168"/>
      <c r="E193" s="167"/>
      <c r="F193" s="167"/>
      <c r="G193" s="167"/>
      <c r="H193" s="167"/>
      <c r="AB193" s="167"/>
    </row>
    <row r="194" spans="1:28" x14ac:dyDescent="0.15">
      <c r="A194" s="167"/>
      <c r="B194" s="167"/>
      <c r="C194" s="167"/>
      <c r="D194" s="168"/>
      <c r="E194" s="167"/>
      <c r="F194" s="167"/>
      <c r="G194" s="167"/>
      <c r="H194" s="167"/>
      <c r="AB194" s="167"/>
    </row>
    <row r="195" spans="1:28" x14ac:dyDescent="0.15">
      <c r="A195" s="167"/>
      <c r="B195" s="167"/>
      <c r="C195" s="167"/>
      <c r="D195" s="168"/>
      <c r="E195" s="167"/>
      <c r="F195" s="167"/>
      <c r="G195" s="167"/>
      <c r="H195" s="167"/>
      <c r="AB195" s="167"/>
    </row>
    <row r="196" spans="1:28" x14ac:dyDescent="0.15">
      <c r="A196" s="167"/>
      <c r="B196" s="167"/>
      <c r="C196" s="167"/>
      <c r="D196" s="168"/>
      <c r="E196" s="167"/>
      <c r="F196" s="167"/>
      <c r="G196" s="167"/>
      <c r="H196" s="167"/>
      <c r="AB196" s="167"/>
    </row>
    <row r="197" spans="1:28" x14ac:dyDescent="0.15">
      <c r="A197" s="167"/>
      <c r="B197" s="167"/>
      <c r="C197" s="167"/>
      <c r="D197" s="168"/>
      <c r="E197" s="167"/>
      <c r="F197" s="167"/>
      <c r="G197" s="167"/>
      <c r="H197" s="167"/>
      <c r="AB197" s="167"/>
    </row>
    <row r="198" spans="1:28" x14ac:dyDescent="0.15">
      <c r="A198" s="167"/>
      <c r="B198" s="167"/>
      <c r="C198" s="167"/>
      <c r="D198" s="168"/>
      <c r="E198" s="167"/>
      <c r="F198" s="167"/>
      <c r="G198" s="167"/>
      <c r="H198" s="167"/>
      <c r="AB198" s="167"/>
    </row>
    <row r="199" spans="1:28" x14ac:dyDescent="0.15">
      <c r="A199" s="167"/>
      <c r="B199" s="167"/>
      <c r="C199" s="167"/>
      <c r="D199" s="168"/>
      <c r="E199" s="167"/>
      <c r="F199" s="167"/>
      <c r="G199" s="167"/>
      <c r="H199" s="167"/>
      <c r="AB199" s="167"/>
    </row>
    <row r="200" spans="1:28" x14ac:dyDescent="0.15">
      <c r="A200" s="167"/>
      <c r="B200" s="167"/>
      <c r="C200" s="167"/>
      <c r="D200" s="168"/>
      <c r="E200" s="167"/>
      <c r="F200" s="167"/>
      <c r="G200" s="167"/>
      <c r="H200" s="167"/>
      <c r="AB200" s="167"/>
    </row>
    <row r="201" spans="1:28" x14ac:dyDescent="0.15">
      <c r="A201" s="167"/>
      <c r="B201" s="167"/>
      <c r="C201" s="167"/>
      <c r="D201" s="168"/>
      <c r="E201" s="167"/>
      <c r="F201" s="167"/>
      <c r="G201" s="167"/>
      <c r="H201" s="167"/>
      <c r="AB201" s="167"/>
    </row>
    <row r="202" spans="1:28" x14ac:dyDescent="0.15">
      <c r="A202" s="167"/>
      <c r="B202" s="167"/>
      <c r="C202" s="167"/>
      <c r="D202" s="168"/>
      <c r="E202" s="167"/>
      <c r="F202" s="167"/>
      <c r="G202" s="167"/>
      <c r="H202" s="167"/>
      <c r="AB202" s="167"/>
    </row>
    <row r="203" spans="1:28" x14ac:dyDescent="0.15">
      <c r="A203" s="167"/>
      <c r="B203" s="167"/>
      <c r="C203" s="167"/>
      <c r="D203" s="168"/>
      <c r="E203" s="167"/>
      <c r="F203" s="167"/>
      <c r="G203" s="167"/>
      <c r="H203" s="167"/>
      <c r="AB203" s="167"/>
    </row>
    <row r="204" spans="1:28" x14ac:dyDescent="0.15">
      <c r="A204" s="167"/>
      <c r="B204" s="167"/>
      <c r="C204" s="167"/>
      <c r="D204" s="168"/>
      <c r="E204" s="167"/>
      <c r="F204" s="167"/>
      <c r="G204" s="167"/>
      <c r="H204" s="167"/>
      <c r="AB204" s="167"/>
    </row>
    <row r="205" spans="1:28" x14ac:dyDescent="0.15">
      <c r="A205" s="167"/>
      <c r="B205" s="167"/>
      <c r="C205" s="167"/>
      <c r="D205" s="168"/>
      <c r="E205" s="167"/>
      <c r="F205" s="167"/>
      <c r="G205" s="167"/>
      <c r="H205" s="167"/>
      <c r="AB205" s="167"/>
    </row>
    <row r="206" spans="1:28" x14ac:dyDescent="0.15">
      <c r="A206" s="167"/>
      <c r="B206" s="167"/>
      <c r="C206" s="167"/>
      <c r="D206" s="168"/>
      <c r="E206" s="167"/>
      <c r="F206" s="167"/>
      <c r="G206" s="167"/>
      <c r="H206" s="167"/>
      <c r="AB206" s="167"/>
    </row>
    <row r="207" spans="1:28" x14ac:dyDescent="0.15">
      <c r="A207" s="167"/>
      <c r="B207" s="167"/>
      <c r="C207" s="167"/>
      <c r="D207" s="168"/>
      <c r="E207" s="167"/>
      <c r="F207" s="167"/>
      <c r="G207" s="167"/>
      <c r="H207" s="167"/>
      <c r="AB207" s="167"/>
    </row>
    <row r="208" spans="1:28" x14ac:dyDescent="0.15">
      <c r="A208" s="167"/>
      <c r="B208" s="167"/>
      <c r="C208" s="167"/>
      <c r="D208" s="168"/>
      <c r="E208" s="167"/>
      <c r="F208" s="167"/>
      <c r="G208" s="167"/>
      <c r="H208" s="167"/>
      <c r="AB208" s="167"/>
    </row>
    <row r="209" spans="1:28" x14ac:dyDescent="0.15">
      <c r="A209" s="167"/>
      <c r="B209" s="167"/>
      <c r="C209" s="167"/>
      <c r="D209" s="168"/>
      <c r="E209" s="167"/>
      <c r="F209" s="167"/>
      <c r="G209" s="167"/>
      <c r="H209" s="167"/>
      <c r="AB209" s="167"/>
    </row>
    <row r="210" spans="1:28" x14ac:dyDescent="0.15">
      <c r="A210" s="167"/>
      <c r="B210" s="167"/>
      <c r="C210" s="167"/>
      <c r="D210" s="168"/>
      <c r="E210" s="167"/>
      <c r="F210" s="167"/>
      <c r="G210" s="167"/>
      <c r="H210" s="167"/>
      <c r="AB210" s="167"/>
    </row>
    <row r="211" spans="1:28" x14ac:dyDescent="0.15">
      <c r="A211" s="167"/>
      <c r="B211" s="167"/>
      <c r="C211" s="167"/>
      <c r="D211" s="168"/>
      <c r="E211" s="167"/>
      <c r="F211" s="167"/>
      <c r="G211" s="167"/>
      <c r="H211" s="167"/>
      <c r="AB211" s="167"/>
    </row>
    <row r="212" spans="1:28" x14ac:dyDescent="0.15">
      <c r="A212" s="167"/>
      <c r="B212" s="167"/>
      <c r="C212" s="167"/>
      <c r="D212" s="168"/>
      <c r="E212" s="167"/>
      <c r="F212" s="167"/>
      <c r="G212" s="167"/>
      <c r="H212" s="167"/>
      <c r="AB212" s="167"/>
    </row>
    <row r="213" spans="1:28" x14ac:dyDescent="0.15">
      <c r="A213" s="167"/>
      <c r="B213" s="167"/>
      <c r="C213" s="167"/>
      <c r="D213" s="168"/>
      <c r="E213" s="167"/>
      <c r="F213" s="167"/>
      <c r="G213" s="167"/>
      <c r="H213" s="167"/>
      <c r="AB213" s="167"/>
    </row>
    <row r="214" spans="1:28" x14ac:dyDescent="0.15">
      <c r="A214" s="167"/>
      <c r="B214" s="167"/>
      <c r="C214" s="167"/>
      <c r="D214" s="168"/>
      <c r="E214" s="167"/>
      <c r="F214" s="167"/>
      <c r="G214" s="167"/>
      <c r="H214" s="167"/>
      <c r="AB214" s="167"/>
    </row>
    <row r="215" spans="1:28" x14ac:dyDescent="0.15">
      <c r="A215" s="167"/>
      <c r="B215" s="167"/>
      <c r="C215" s="167"/>
      <c r="D215" s="168"/>
      <c r="E215" s="167"/>
      <c r="F215" s="167"/>
      <c r="G215" s="167"/>
      <c r="H215" s="167"/>
      <c r="AB215" s="167"/>
    </row>
    <row r="216" spans="1:28" x14ac:dyDescent="0.15">
      <c r="A216" s="167"/>
      <c r="B216" s="167"/>
      <c r="C216" s="167"/>
      <c r="D216" s="168"/>
      <c r="E216" s="167"/>
      <c r="F216" s="167"/>
      <c r="G216" s="167"/>
      <c r="H216" s="167"/>
      <c r="AB216" s="167"/>
    </row>
    <row r="217" spans="1:28" x14ac:dyDescent="0.15">
      <c r="A217" s="167"/>
      <c r="B217" s="167"/>
      <c r="C217" s="167"/>
      <c r="D217" s="168"/>
      <c r="E217" s="167"/>
      <c r="F217" s="167"/>
      <c r="G217" s="167"/>
      <c r="H217" s="167"/>
      <c r="AB217" s="167"/>
    </row>
    <row r="218" spans="1:28" x14ac:dyDescent="0.15">
      <c r="A218" s="167"/>
      <c r="B218" s="167"/>
      <c r="C218" s="167"/>
      <c r="D218" s="168"/>
      <c r="E218" s="167"/>
      <c r="F218" s="167"/>
      <c r="G218" s="167"/>
      <c r="H218" s="167"/>
      <c r="AB218" s="167"/>
    </row>
    <row r="219" spans="1:28" x14ac:dyDescent="0.15">
      <c r="A219" s="167"/>
      <c r="B219" s="167"/>
      <c r="C219" s="167"/>
      <c r="D219" s="168"/>
      <c r="E219" s="167"/>
      <c r="F219" s="167"/>
      <c r="G219" s="167"/>
      <c r="H219" s="167"/>
      <c r="AB219" s="167"/>
    </row>
    <row r="220" spans="1:28" x14ac:dyDescent="0.15">
      <c r="A220" s="167"/>
      <c r="B220" s="167"/>
      <c r="C220" s="167"/>
      <c r="D220" s="168"/>
      <c r="E220" s="167"/>
      <c r="F220" s="167"/>
      <c r="G220" s="167"/>
      <c r="H220" s="167"/>
      <c r="AB220" s="167"/>
    </row>
    <row r="221" spans="1:28" x14ac:dyDescent="0.15">
      <c r="A221" s="167"/>
      <c r="B221" s="167"/>
      <c r="C221" s="167"/>
      <c r="D221" s="168"/>
      <c r="E221" s="167"/>
      <c r="F221" s="167"/>
      <c r="G221" s="167"/>
      <c r="H221" s="167"/>
      <c r="AB221" s="167"/>
    </row>
    <row r="222" spans="1:28" x14ac:dyDescent="0.15">
      <c r="A222" s="167"/>
      <c r="B222" s="167"/>
      <c r="C222" s="167"/>
      <c r="D222" s="168"/>
      <c r="E222" s="167"/>
      <c r="F222" s="167"/>
      <c r="G222" s="167"/>
      <c r="H222" s="167"/>
      <c r="AB222" s="167"/>
    </row>
    <row r="223" spans="1:28" x14ac:dyDescent="0.15">
      <c r="A223" s="167"/>
      <c r="B223" s="167"/>
      <c r="C223" s="167"/>
      <c r="D223" s="168"/>
      <c r="E223" s="167"/>
      <c r="F223" s="167"/>
      <c r="G223" s="167"/>
      <c r="H223" s="167"/>
      <c r="AB223" s="167"/>
    </row>
    <row r="224" spans="1:28" x14ac:dyDescent="0.15">
      <c r="A224" s="167"/>
      <c r="B224" s="167"/>
      <c r="C224" s="167"/>
      <c r="D224" s="168"/>
      <c r="E224" s="167"/>
      <c r="F224" s="167"/>
      <c r="G224" s="167"/>
      <c r="H224" s="167"/>
      <c r="AB224" s="167"/>
    </row>
    <row r="225" spans="1:28" x14ac:dyDescent="0.15">
      <c r="A225" s="167"/>
      <c r="B225" s="167"/>
      <c r="C225" s="167"/>
      <c r="D225" s="168"/>
      <c r="E225" s="167"/>
      <c r="F225" s="167"/>
      <c r="G225" s="167"/>
      <c r="H225" s="167"/>
      <c r="AB225" s="167"/>
    </row>
    <row r="226" spans="1:28" x14ac:dyDescent="0.15">
      <c r="A226" s="167"/>
      <c r="B226" s="167"/>
      <c r="C226" s="167"/>
      <c r="D226" s="168"/>
      <c r="E226" s="167"/>
      <c r="F226" s="167"/>
      <c r="G226" s="167"/>
      <c r="H226" s="167"/>
      <c r="AB226" s="167"/>
    </row>
    <row r="227" spans="1:28" x14ac:dyDescent="0.15">
      <c r="A227" s="167"/>
      <c r="B227" s="167"/>
      <c r="C227" s="167"/>
      <c r="D227" s="168"/>
      <c r="E227" s="167"/>
      <c r="F227" s="167"/>
      <c r="G227" s="167"/>
      <c r="H227" s="167"/>
      <c r="AB227" s="167"/>
    </row>
    <row r="228" spans="1:28" x14ac:dyDescent="0.15">
      <c r="A228" s="167"/>
      <c r="B228" s="167"/>
      <c r="C228" s="167"/>
      <c r="D228" s="168"/>
      <c r="E228" s="167"/>
      <c r="F228" s="167"/>
      <c r="G228" s="167"/>
      <c r="H228" s="167"/>
      <c r="AB228" s="167"/>
    </row>
    <row r="229" spans="1:28" x14ac:dyDescent="0.15">
      <c r="A229" s="167"/>
      <c r="B229" s="167"/>
      <c r="C229" s="167"/>
      <c r="D229" s="168"/>
      <c r="E229" s="167"/>
      <c r="F229" s="167"/>
      <c r="G229" s="167"/>
      <c r="H229" s="167"/>
      <c r="AB229" s="167"/>
    </row>
    <row r="230" spans="1:28" x14ac:dyDescent="0.15">
      <c r="A230" s="167"/>
      <c r="B230" s="167"/>
      <c r="C230" s="167"/>
      <c r="D230" s="168"/>
      <c r="E230" s="167"/>
      <c r="F230" s="167"/>
      <c r="G230" s="167"/>
      <c r="H230" s="167"/>
      <c r="AB230" s="167"/>
    </row>
    <row r="231" spans="1:28" x14ac:dyDescent="0.15">
      <c r="A231" s="167"/>
      <c r="B231" s="167"/>
      <c r="C231" s="167"/>
      <c r="D231" s="168"/>
      <c r="E231" s="167"/>
      <c r="F231" s="167"/>
      <c r="G231" s="167"/>
      <c r="H231" s="167"/>
      <c r="AB231" s="167"/>
    </row>
    <row r="232" spans="1:28" x14ac:dyDescent="0.15">
      <c r="A232" s="167"/>
      <c r="B232" s="167"/>
      <c r="C232" s="167"/>
      <c r="D232" s="168"/>
      <c r="E232" s="167"/>
      <c r="F232" s="167"/>
      <c r="G232" s="167"/>
      <c r="H232" s="167"/>
      <c r="AB232" s="167"/>
    </row>
    <row r="233" spans="1:28" x14ac:dyDescent="0.15">
      <c r="A233" s="167"/>
      <c r="B233" s="167"/>
      <c r="C233" s="167"/>
      <c r="D233" s="168"/>
      <c r="E233" s="167"/>
      <c r="F233" s="167"/>
      <c r="G233" s="167"/>
      <c r="H233" s="167"/>
      <c r="AB233" s="167"/>
    </row>
    <row r="234" spans="1:28" x14ac:dyDescent="0.15">
      <c r="A234" s="167"/>
      <c r="B234" s="167"/>
      <c r="C234" s="167"/>
      <c r="D234" s="168"/>
      <c r="E234" s="167"/>
      <c r="F234" s="167"/>
      <c r="G234" s="167"/>
      <c r="H234" s="167"/>
      <c r="AB234" s="167"/>
    </row>
    <row r="235" spans="1:28" x14ac:dyDescent="0.15">
      <c r="A235" s="167"/>
      <c r="B235" s="167"/>
      <c r="C235" s="167"/>
      <c r="D235" s="168"/>
      <c r="E235" s="167"/>
      <c r="F235" s="167"/>
      <c r="G235" s="167"/>
      <c r="H235" s="167"/>
      <c r="AB235" s="167"/>
    </row>
    <row r="236" spans="1:28" x14ac:dyDescent="0.15">
      <c r="A236" s="167"/>
      <c r="B236" s="167"/>
      <c r="C236" s="167"/>
      <c r="D236" s="168"/>
      <c r="E236" s="167"/>
      <c r="F236" s="167"/>
      <c r="G236" s="167"/>
      <c r="H236" s="167"/>
      <c r="AB236" s="167"/>
    </row>
    <row r="237" spans="1:28" x14ac:dyDescent="0.15">
      <c r="A237" s="167"/>
      <c r="B237" s="167"/>
      <c r="C237" s="167"/>
      <c r="D237" s="168"/>
      <c r="E237" s="167"/>
      <c r="F237" s="167"/>
      <c r="G237" s="167"/>
      <c r="H237" s="167"/>
      <c r="AB237" s="167"/>
    </row>
    <row r="238" spans="1:28" x14ac:dyDescent="0.15">
      <c r="A238" s="167"/>
      <c r="B238" s="167"/>
      <c r="C238" s="167"/>
      <c r="D238" s="168"/>
      <c r="E238" s="167"/>
      <c r="F238" s="167"/>
      <c r="G238" s="167"/>
      <c r="H238" s="167"/>
      <c r="AB238" s="167"/>
    </row>
    <row r="239" spans="1:28" x14ac:dyDescent="0.15">
      <c r="A239" s="167"/>
      <c r="B239" s="167"/>
      <c r="C239" s="167"/>
      <c r="D239" s="168"/>
      <c r="E239" s="167"/>
      <c r="F239" s="167"/>
      <c r="G239" s="167"/>
      <c r="H239" s="167"/>
      <c r="AB239" s="167"/>
    </row>
    <row r="240" spans="1:28" x14ac:dyDescent="0.15">
      <c r="A240" s="167"/>
      <c r="B240" s="167"/>
      <c r="C240" s="167"/>
      <c r="D240" s="168"/>
      <c r="E240" s="167"/>
      <c r="F240" s="167"/>
      <c r="G240" s="167"/>
      <c r="H240" s="167"/>
      <c r="AB240" s="167"/>
    </row>
    <row r="241" spans="1:28" x14ac:dyDescent="0.15">
      <c r="A241" s="167"/>
      <c r="B241" s="167"/>
      <c r="C241" s="167"/>
      <c r="D241" s="168"/>
      <c r="E241" s="167"/>
      <c r="F241" s="167"/>
      <c r="G241" s="167"/>
      <c r="H241" s="167"/>
      <c r="AB241" s="167"/>
    </row>
    <row r="242" spans="1:28" x14ac:dyDescent="0.15">
      <c r="A242" s="167"/>
      <c r="B242" s="167"/>
      <c r="C242" s="167"/>
      <c r="D242" s="168"/>
      <c r="E242" s="167"/>
      <c r="F242" s="167"/>
      <c r="G242" s="167"/>
      <c r="H242" s="167"/>
      <c r="AB242" s="167"/>
    </row>
    <row r="243" spans="1:28" x14ac:dyDescent="0.15">
      <c r="A243" s="167"/>
      <c r="B243" s="167"/>
      <c r="C243" s="167"/>
      <c r="D243" s="168"/>
      <c r="E243" s="167"/>
      <c r="F243" s="167"/>
      <c r="G243" s="167"/>
      <c r="H243" s="167"/>
      <c r="AB243" s="167"/>
    </row>
    <row r="244" spans="1:28" x14ac:dyDescent="0.15">
      <c r="A244" s="167"/>
      <c r="B244" s="167"/>
      <c r="C244" s="167"/>
      <c r="D244" s="168"/>
      <c r="E244" s="167"/>
      <c r="F244" s="167"/>
      <c r="G244" s="167"/>
      <c r="H244" s="167"/>
      <c r="AB244" s="167"/>
    </row>
    <row r="245" spans="1:28" x14ac:dyDescent="0.15">
      <c r="A245" s="167"/>
      <c r="B245" s="167"/>
      <c r="C245" s="167"/>
      <c r="D245" s="168"/>
      <c r="E245" s="167"/>
      <c r="F245" s="167"/>
      <c r="G245" s="167"/>
      <c r="H245" s="167"/>
      <c r="AB245" s="167"/>
    </row>
    <row r="246" spans="1:28" x14ac:dyDescent="0.15">
      <c r="A246" s="167"/>
      <c r="B246" s="167"/>
      <c r="C246" s="167"/>
      <c r="D246" s="168"/>
      <c r="E246" s="167"/>
      <c r="F246" s="167"/>
      <c r="G246" s="167"/>
      <c r="H246" s="167"/>
      <c r="AB246" s="167"/>
    </row>
    <row r="247" spans="1:28" x14ac:dyDescent="0.15">
      <c r="A247" s="167"/>
      <c r="B247" s="167"/>
      <c r="C247" s="167"/>
      <c r="D247" s="168"/>
      <c r="E247" s="167"/>
      <c r="F247" s="167"/>
      <c r="G247" s="167"/>
      <c r="H247" s="167"/>
      <c r="AB247" s="167"/>
    </row>
    <row r="248" spans="1:28" x14ac:dyDescent="0.15">
      <c r="A248" s="167"/>
      <c r="B248" s="167"/>
      <c r="C248" s="167"/>
      <c r="D248" s="168"/>
      <c r="E248" s="167"/>
      <c r="F248" s="167"/>
      <c r="G248" s="167"/>
      <c r="H248" s="167"/>
      <c r="AB248" s="167"/>
    </row>
    <row r="249" spans="1:28" x14ac:dyDescent="0.15">
      <c r="A249" s="167"/>
      <c r="B249" s="167"/>
      <c r="C249" s="167"/>
      <c r="D249" s="168"/>
      <c r="E249" s="167"/>
      <c r="F249" s="167"/>
      <c r="G249" s="167"/>
      <c r="H249" s="167"/>
      <c r="AB249" s="167"/>
    </row>
    <row r="250" spans="1:28" x14ac:dyDescent="0.15">
      <c r="A250" s="167"/>
      <c r="B250" s="167"/>
      <c r="C250" s="167"/>
      <c r="D250" s="168"/>
      <c r="E250" s="167"/>
      <c r="F250" s="167"/>
      <c r="G250" s="167"/>
      <c r="H250" s="167"/>
      <c r="AB250" s="167"/>
    </row>
    <row r="251" spans="1:28" x14ac:dyDescent="0.15">
      <c r="A251" s="167"/>
      <c r="B251" s="167"/>
      <c r="C251" s="167"/>
      <c r="D251" s="168"/>
      <c r="E251" s="167"/>
      <c r="F251" s="167"/>
      <c r="G251" s="167"/>
      <c r="H251" s="167"/>
      <c r="AB251" s="167"/>
    </row>
    <row r="252" spans="1:28" x14ac:dyDescent="0.15">
      <c r="A252" s="167"/>
      <c r="B252" s="167"/>
      <c r="C252" s="167"/>
      <c r="D252" s="168"/>
      <c r="E252" s="167"/>
      <c r="F252" s="167"/>
      <c r="G252" s="167"/>
      <c r="H252" s="167"/>
      <c r="AB252" s="167"/>
    </row>
    <row r="253" spans="1:28" x14ac:dyDescent="0.15">
      <c r="A253" s="167"/>
      <c r="B253" s="167"/>
      <c r="C253" s="167"/>
      <c r="D253" s="168"/>
      <c r="E253" s="167"/>
      <c r="F253" s="167"/>
      <c r="G253" s="167"/>
      <c r="H253" s="167"/>
      <c r="AB253" s="167"/>
    </row>
    <row r="254" spans="1:28" x14ac:dyDescent="0.15">
      <c r="A254" s="167"/>
      <c r="B254" s="167"/>
      <c r="C254" s="167"/>
      <c r="D254" s="168"/>
      <c r="E254" s="167"/>
      <c r="F254" s="167"/>
      <c r="G254" s="167"/>
      <c r="H254" s="167"/>
      <c r="AB254" s="167"/>
    </row>
    <row r="255" spans="1:28" x14ac:dyDescent="0.15">
      <c r="A255" s="167"/>
      <c r="B255" s="167"/>
      <c r="C255" s="167"/>
      <c r="D255" s="168"/>
      <c r="E255" s="167"/>
      <c r="F255" s="167"/>
      <c r="G255" s="167"/>
      <c r="H255" s="167"/>
      <c r="AB255" s="167"/>
    </row>
    <row r="256" spans="1:28" x14ac:dyDescent="0.15">
      <c r="A256" s="167"/>
      <c r="B256" s="167"/>
      <c r="C256" s="167"/>
      <c r="D256" s="168"/>
      <c r="E256" s="167"/>
      <c r="F256" s="167"/>
      <c r="G256" s="167"/>
      <c r="H256" s="167"/>
      <c r="AB256" s="167"/>
    </row>
    <row r="257" spans="1:28" x14ac:dyDescent="0.15">
      <c r="A257" s="167"/>
      <c r="B257" s="167"/>
      <c r="C257" s="167"/>
      <c r="D257" s="168"/>
      <c r="E257" s="167"/>
      <c r="F257" s="167"/>
      <c r="G257" s="167"/>
      <c r="H257" s="167"/>
      <c r="AB257" s="167"/>
    </row>
    <row r="258" spans="1:28" x14ac:dyDescent="0.15">
      <c r="A258" s="167"/>
      <c r="B258" s="167"/>
      <c r="C258" s="167"/>
      <c r="D258" s="168"/>
      <c r="E258" s="167"/>
      <c r="F258" s="167"/>
      <c r="G258" s="167"/>
      <c r="H258" s="167"/>
      <c r="AB258" s="167"/>
    </row>
    <row r="259" spans="1:28" x14ac:dyDescent="0.15">
      <c r="A259" s="167"/>
      <c r="B259" s="167"/>
      <c r="C259" s="167"/>
      <c r="D259" s="168"/>
      <c r="E259" s="167"/>
      <c r="F259" s="167"/>
      <c r="G259" s="167"/>
      <c r="H259" s="167"/>
      <c r="AB259" s="167"/>
    </row>
    <row r="260" spans="1:28" x14ac:dyDescent="0.15">
      <c r="A260" s="167"/>
      <c r="B260" s="167"/>
      <c r="C260" s="167"/>
      <c r="D260" s="168"/>
      <c r="E260" s="167"/>
      <c r="F260" s="167"/>
      <c r="G260" s="167"/>
      <c r="H260" s="167"/>
      <c r="AB260" s="167"/>
    </row>
    <row r="261" spans="1:28" x14ac:dyDescent="0.15">
      <c r="A261" s="167"/>
      <c r="B261" s="167"/>
      <c r="C261" s="167"/>
      <c r="D261" s="168"/>
      <c r="E261" s="167"/>
      <c r="F261" s="167"/>
      <c r="G261" s="167"/>
      <c r="H261" s="167"/>
      <c r="AB261" s="167"/>
    </row>
    <row r="262" spans="1:28" x14ac:dyDescent="0.15">
      <c r="A262" s="167"/>
      <c r="B262" s="167"/>
      <c r="C262" s="167"/>
      <c r="D262" s="168"/>
      <c r="E262" s="167"/>
      <c r="F262" s="167"/>
      <c r="G262" s="167"/>
      <c r="H262" s="167"/>
      <c r="AB262" s="167"/>
    </row>
    <row r="263" spans="1:28" x14ac:dyDescent="0.15">
      <c r="A263" s="167"/>
      <c r="B263" s="167"/>
      <c r="C263" s="167"/>
      <c r="D263" s="168"/>
      <c r="E263" s="167"/>
      <c r="F263" s="167"/>
      <c r="G263" s="167"/>
      <c r="H263" s="167"/>
      <c r="AB263" s="167"/>
    </row>
    <row r="264" spans="1:28" x14ac:dyDescent="0.15">
      <c r="A264" s="167"/>
      <c r="B264" s="167"/>
      <c r="C264" s="167"/>
      <c r="D264" s="168"/>
      <c r="E264" s="167"/>
      <c r="F264" s="167"/>
      <c r="G264" s="167"/>
      <c r="H264" s="167"/>
      <c r="AB264" s="167"/>
    </row>
    <row r="265" spans="1:28" x14ac:dyDescent="0.15">
      <c r="A265" s="167"/>
      <c r="B265" s="167"/>
      <c r="C265" s="167"/>
      <c r="D265" s="168"/>
      <c r="E265" s="167"/>
      <c r="F265" s="167"/>
      <c r="G265" s="167"/>
      <c r="H265" s="167"/>
      <c r="AB265" s="167"/>
    </row>
    <row r="266" spans="1:28" x14ac:dyDescent="0.15">
      <c r="A266" s="167"/>
      <c r="B266" s="167"/>
      <c r="C266" s="167"/>
      <c r="D266" s="168"/>
      <c r="E266" s="167"/>
      <c r="F266" s="167"/>
      <c r="G266" s="167"/>
      <c r="H266" s="167"/>
      <c r="AB266" s="167"/>
    </row>
    <row r="267" spans="1:28" x14ac:dyDescent="0.15">
      <c r="A267" s="167"/>
      <c r="B267" s="167"/>
      <c r="C267" s="167"/>
      <c r="D267" s="168"/>
      <c r="E267" s="167"/>
      <c r="F267" s="167"/>
      <c r="G267" s="167"/>
      <c r="H267" s="167"/>
      <c r="AB267" s="167"/>
    </row>
    <row r="268" spans="1:28" x14ac:dyDescent="0.15">
      <c r="A268" s="167"/>
      <c r="B268" s="167"/>
      <c r="C268" s="167"/>
      <c r="D268" s="168"/>
      <c r="E268" s="167"/>
      <c r="F268" s="167"/>
      <c r="G268" s="167"/>
      <c r="H268" s="167"/>
      <c r="AB268" s="167"/>
    </row>
    <row r="269" spans="1:28" x14ac:dyDescent="0.15">
      <c r="A269" s="167"/>
      <c r="B269" s="167"/>
      <c r="C269" s="167"/>
      <c r="D269" s="168"/>
      <c r="E269" s="167"/>
      <c r="F269" s="167"/>
      <c r="G269" s="167"/>
      <c r="H269" s="167"/>
      <c r="AB269" s="167"/>
    </row>
    <row r="270" spans="1:28" x14ac:dyDescent="0.15">
      <c r="A270" s="167"/>
      <c r="B270" s="167"/>
      <c r="C270" s="167"/>
      <c r="D270" s="168"/>
      <c r="E270" s="167"/>
      <c r="F270" s="167"/>
      <c r="G270" s="167"/>
      <c r="H270" s="167"/>
      <c r="AB270" s="167"/>
    </row>
    <row r="271" spans="1:28" x14ac:dyDescent="0.15">
      <c r="A271" s="167"/>
      <c r="B271" s="167"/>
      <c r="C271" s="167"/>
      <c r="D271" s="168"/>
      <c r="E271" s="167"/>
      <c r="F271" s="167"/>
      <c r="G271" s="167"/>
      <c r="H271" s="167"/>
      <c r="AB271" s="167"/>
    </row>
    <row r="272" spans="1:28" x14ac:dyDescent="0.15">
      <c r="A272" s="167"/>
      <c r="B272" s="167"/>
      <c r="C272" s="167"/>
      <c r="D272" s="168"/>
      <c r="E272" s="167"/>
      <c r="F272" s="167"/>
      <c r="G272" s="167"/>
      <c r="H272" s="167"/>
      <c r="AB272" s="167"/>
    </row>
    <row r="273" spans="1:28" x14ac:dyDescent="0.15">
      <c r="A273" s="167"/>
      <c r="B273" s="167"/>
      <c r="C273" s="167"/>
      <c r="D273" s="168"/>
      <c r="E273" s="167"/>
      <c r="F273" s="167"/>
      <c r="G273" s="167"/>
      <c r="H273" s="167"/>
      <c r="AB273" s="167"/>
    </row>
    <row r="274" spans="1:28" x14ac:dyDescent="0.15">
      <c r="A274" s="167"/>
      <c r="B274" s="167"/>
      <c r="C274" s="167"/>
      <c r="D274" s="168"/>
      <c r="E274" s="167"/>
      <c r="F274" s="167"/>
      <c r="G274" s="167"/>
      <c r="H274" s="167"/>
      <c r="AB274" s="167"/>
    </row>
    <row r="275" spans="1:28" x14ac:dyDescent="0.15">
      <c r="A275" s="167"/>
      <c r="B275" s="167"/>
      <c r="C275" s="167"/>
      <c r="D275" s="168"/>
      <c r="E275" s="167"/>
      <c r="F275" s="167"/>
      <c r="G275" s="167"/>
      <c r="H275" s="167"/>
      <c r="AB275" s="167"/>
    </row>
    <row r="276" spans="1:28" x14ac:dyDescent="0.15">
      <c r="A276" s="167"/>
      <c r="B276" s="167"/>
      <c r="C276" s="167"/>
      <c r="D276" s="168"/>
      <c r="E276" s="167"/>
      <c r="F276" s="167"/>
      <c r="G276" s="167"/>
      <c r="H276" s="167"/>
      <c r="AB276" s="167"/>
    </row>
    <row r="277" spans="1:28" x14ac:dyDescent="0.15">
      <c r="A277" s="167"/>
      <c r="B277" s="167"/>
      <c r="C277" s="167"/>
      <c r="D277" s="168"/>
      <c r="E277" s="167"/>
      <c r="F277" s="167"/>
      <c r="G277" s="167"/>
      <c r="H277" s="167"/>
      <c r="AB277" s="167"/>
    </row>
    <row r="278" spans="1:28" x14ac:dyDescent="0.15">
      <c r="A278" s="167"/>
      <c r="B278" s="167"/>
      <c r="C278" s="167"/>
      <c r="D278" s="168"/>
      <c r="E278" s="167"/>
      <c r="F278" s="167"/>
      <c r="G278" s="167"/>
      <c r="H278" s="167"/>
      <c r="AB278" s="167"/>
    </row>
    <row r="279" spans="1:28" x14ac:dyDescent="0.15">
      <c r="A279" s="167"/>
      <c r="B279" s="167"/>
      <c r="C279" s="167"/>
      <c r="D279" s="168"/>
      <c r="E279" s="167"/>
      <c r="F279" s="167"/>
      <c r="G279" s="167"/>
      <c r="H279" s="167"/>
      <c r="AB279" s="167"/>
    </row>
    <row r="280" spans="1:28" x14ac:dyDescent="0.15">
      <c r="A280" s="167"/>
      <c r="B280" s="167"/>
      <c r="C280" s="167"/>
      <c r="D280" s="168"/>
      <c r="E280" s="167"/>
      <c r="F280" s="167"/>
      <c r="G280" s="167"/>
      <c r="H280" s="167"/>
      <c r="AB280" s="167"/>
    </row>
    <row r="281" spans="1:28" x14ac:dyDescent="0.15">
      <c r="A281" s="167"/>
      <c r="B281" s="167"/>
      <c r="C281" s="167"/>
      <c r="D281" s="168"/>
      <c r="E281" s="167"/>
      <c r="F281" s="167"/>
      <c r="G281" s="167"/>
      <c r="H281" s="167"/>
      <c r="AB281" s="167"/>
    </row>
    <row r="282" spans="1:28" x14ac:dyDescent="0.15">
      <c r="A282" s="167"/>
      <c r="B282" s="167"/>
      <c r="C282" s="167"/>
      <c r="D282" s="168"/>
      <c r="E282" s="167"/>
      <c r="F282" s="167"/>
      <c r="G282" s="167"/>
      <c r="H282" s="167"/>
      <c r="AB282" s="167"/>
    </row>
    <row r="283" spans="1:28" x14ac:dyDescent="0.15">
      <c r="A283" s="167"/>
      <c r="B283" s="167"/>
      <c r="C283" s="167"/>
      <c r="D283" s="168"/>
      <c r="E283" s="167"/>
      <c r="F283" s="167"/>
      <c r="G283" s="167"/>
      <c r="H283" s="167"/>
      <c r="AB283" s="167"/>
    </row>
    <row r="284" spans="1:28" x14ac:dyDescent="0.15">
      <c r="A284" s="167"/>
      <c r="B284" s="167"/>
      <c r="C284" s="167"/>
      <c r="D284" s="168"/>
      <c r="E284" s="167"/>
      <c r="F284" s="167"/>
      <c r="G284" s="167"/>
      <c r="H284" s="167"/>
      <c r="AB284" s="167"/>
    </row>
    <row r="285" spans="1:28" x14ac:dyDescent="0.15">
      <c r="A285" s="167"/>
      <c r="B285" s="167"/>
      <c r="C285" s="167"/>
      <c r="D285" s="168"/>
      <c r="E285" s="167"/>
      <c r="F285" s="167"/>
      <c r="G285" s="167"/>
      <c r="H285" s="167"/>
      <c r="AB285" s="167"/>
    </row>
    <row r="286" spans="1:28" x14ac:dyDescent="0.15">
      <c r="A286" s="167"/>
      <c r="B286" s="167"/>
      <c r="C286" s="167"/>
      <c r="D286" s="168"/>
      <c r="E286" s="167"/>
      <c r="F286" s="167"/>
      <c r="G286" s="167"/>
      <c r="H286" s="167"/>
      <c r="AB286" s="167"/>
    </row>
    <row r="287" spans="1:28" x14ac:dyDescent="0.15">
      <c r="A287" s="167"/>
      <c r="B287" s="167"/>
      <c r="C287" s="167"/>
      <c r="D287" s="168"/>
      <c r="E287" s="167"/>
      <c r="F287" s="167"/>
      <c r="G287" s="167"/>
      <c r="H287" s="167"/>
      <c r="AB287" s="167"/>
    </row>
    <row r="288" spans="1:28" x14ac:dyDescent="0.15">
      <c r="A288" s="167"/>
      <c r="B288" s="167"/>
      <c r="C288" s="167"/>
      <c r="D288" s="168"/>
      <c r="E288" s="167"/>
      <c r="F288" s="167"/>
      <c r="G288" s="167"/>
      <c r="H288" s="167"/>
      <c r="AB288" s="167"/>
    </row>
    <row r="289" spans="1:28" x14ac:dyDescent="0.15">
      <c r="A289" s="167"/>
      <c r="B289" s="167"/>
      <c r="C289" s="167"/>
      <c r="D289" s="168"/>
      <c r="E289" s="167"/>
      <c r="F289" s="167"/>
      <c r="G289" s="167"/>
      <c r="H289" s="167"/>
      <c r="AB289" s="167"/>
    </row>
    <row r="290" spans="1:28" x14ac:dyDescent="0.15">
      <c r="A290" s="167"/>
      <c r="B290" s="167"/>
      <c r="C290" s="167"/>
      <c r="D290" s="168"/>
      <c r="E290" s="167"/>
      <c r="F290" s="167"/>
      <c r="G290" s="167"/>
      <c r="H290" s="167"/>
      <c r="AB290" s="167"/>
    </row>
    <row r="291" spans="1:28" x14ac:dyDescent="0.15">
      <c r="A291" s="167"/>
      <c r="B291" s="167"/>
      <c r="C291" s="167"/>
      <c r="D291" s="168"/>
      <c r="E291" s="167"/>
      <c r="F291" s="167"/>
      <c r="G291" s="167"/>
      <c r="H291" s="167"/>
      <c r="AB291" s="167"/>
    </row>
    <row r="292" spans="1:28" x14ac:dyDescent="0.15">
      <c r="A292" s="167"/>
      <c r="B292" s="167"/>
      <c r="C292" s="167"/>
      <c r="D292" s="168"/>
      <c r="E292" s="167"/>
      <c r="F292" s="167"/>
      <c r="G292" s="167"/>
      <c r="H292" s="167"/>
      <c r="AB292" s="167"/>
    </row>
    <row r="293" spans="1:28" x14ac:dyDescent="0.15">
      <c r="A293" s="167"/>
      <c r="B293" s="167"/>
      <c r="C293" s="167"/>
      <c r="D293" s="168"/>
      <c r="E293" s="167"/>
      <c r="F293" s="167"/>
      <c r="G293" s="167"/>
      <c r="H293" s="167"/>
      <c r="AB293" s="167"/>
    </row>
    <row r="294" spans="1:28" x14ac:dyDescent="0.15">
      <c r="A294" s="167"/>
      <c r="B294" s="167"/>
      <c r="C294" s="167"/>
      <c r="D294" s="168"/>
      <c r="E294" s="167"/>
      <c r="F294" s="167"/>
      <c r="G294" s="167"/>
      <c r="H294" s="167"/>
      <c r="AB294" s="167"/>
    </row>
    <row r="295" spans="1:28" x14ac:dyDescent="0.15">
      <c r="A295" s="167"/>
      <c r="B295" s="167"/>
      <c r="C295" s="167"/>
      <c r="D295" s="168"/>
      <c r="E295" s="167"/>
      <c r="F295" s="167"/>
      <c r="G295" s="167"/>
      <c r="H295" s="167"/>
      <c r="AB295" s="167"/>
    </row>
    <row r="296" spans="1:28" x14ac:dyDescent="0.15">
      <c r="A296" s="167"/>
      <c r="B296" s="167"/>
      <c r="C296" s="167"/>
      <c r="D296" s="168"/>
      <c r="E296" s="167"/>
      <c r="F296" s="167"/>
      <c r="G296" s="167"/>
      <c r="H296" s="167"/>
      <c r="AB296" s="167"/>
    </row>
    <row r="297" spans="1:28" x14ac:dyDescent="0.15">
      <c r="A297" s="167"/>
      <c r="B297" s="167"/>
      <c r="C297" s="167"/>
      <c r="D297" s="168"/>
      <c r="E297" s="167"/>
      <c r="F297" s="167"/>
      <c r="G297" s="167"/>
      <c r="H297" s="167"/>
      <c r="AB297" s="167"/>
    </row>
    <row r="298" spans="1:28" x14ac:dyDescent="0.15">
      <c r="A298" s="167"/>
      <c r="B298" s="167"/>
      <c r="C298" s="167"/>
      <c r="D298" s="168"/>
      <c r="E298" s="167"/>
      <c r="F298" s="167"/>
      <c r="G298" s="167"/>
      <c r="H298" s="167"/>
      <c r="AB298" s="167"/>
    </row>
    <row r="299" spans="1:28" x14ac:dyDescent="0.15">
      <c r="A299" s="167"/>
      <c r="B299" s="167"/>
      <c r="C299" s="167"/>
      <c r="D299" s="168"/>
      <c r="E299" s="167"/>
      <c r="F299" s="167"/>
      <c r="G299" s="167"/>
      <c r="H299" s="167"/>
      <c r="AB299" s="167"/>
    </row>
    <row r="300" spans="1:28" x14ac:dyDescent="0.15">
      <c r="A300" s="167"/>
      <c r="B300" s="167"/>
      <c r="C300" s="167"/>
      <c r="D300" s="168"/>
      <c r="E300" s="167"/>
      <c r="F300" s="167"/>
      <c r="G300" s="167"/>
      <c r="H300" s="167"/>
      <c r="AB300" s="167"/>
    </row>
    <row r="301" spans="1:28" x14ac:dyDescent="0.15">
      <c r="A301" s="167"/>
      <c r="B301" s="167"/>
      <c r="C301" s="167"/>
      <c r="D301" s="168"/>
      <c r="E301" s="167"/>
      <c r="F301" s="167"/>
      <c r="G301" s="167"/>
      <c r="H301" s="167"/>
      <c r="AB301" s="167"/>
    </row>
    <row r="302" spans="1:28" x14ac:dyDescent="0.15">
      <c r="A302" s="167"/>
      <c r="B302" s="167"/>
      <c r="C302" s="167"/>
      <c r="D302" s="168"/>
      <c r="E302" s="167"/>
      <c r="F302" s="167"/>
      <c r="G302" s="167"/>
      <c r="H302" s="167"/>
      <c r="AB302" s="167"/>
    </row>
    <row r="303" spans="1:28" x14ac:dyDescent="0.15">
      <c r="A303" s="167"/>
      <c r="B303" s="167"/>
      <c r="C303" s="167"/>
      <c r="D303" s="168"/>
      <c r="E303" s="167"/>
      <c r="F303" s="167"/>
      <c r="G303" s="167"/>
      <c r="H303" s="167"/>
      <c r="AB303" s="167"/>
    </row>
    <row r="304" spans="1:28" x14ac:dyDescent="0.15">
      <c r="A304" s="167"/>
      <c r="B304" s="167"/>
      <c r="C304" s="167"/>
      <c r="D304" s="168"/>
      <c r="E304" s="167"/>
      <c r="F304" s="167"/>
      <c r="G304" s="167"/>
      <c r="H304" s="167"/>
      <c r="AB304" s="167"/>
    </row>
    <row r="305" spans="1:28" x14ac:dyDescent="0.15">
      <c r="A305" s="167"/>
      <c r="B305" s="167"/>
      <c r="C305" s="167"/>
      <c r="D305" s="168"/>
      <c r="E305" s="167"/>
      <c r="F305" s="167"/>
      <c r="G305" s="167"/>
      <c r="H305" s="167"/>
      <c r="AB305" s="167"/>
    </row>
    <row r="306" spans="1:28" x14ac:dyDescent="0.15">
      <c r="A306" s="167"/>
      <c r="B306" s="167"/>
      <c r="C306" s="167"/>
      <c r="D306" s="168"/>
      <c r="E306" s="167"/>
      <c r="F306" s="167"/>
      <c r="G306" s="167"/>
      <c r="H306" s="167"/>
      <c r="AB306" s="167"/>
    </row>
    <row r="307" spans="1:28" x14ac:dyDescent="0.15">
      <c r="A307" s="167"/>
      <c r="B307" s="167"/>
      <c r="C307" s="167"/>
      <c r="D307" s="168"/>
      <c r="E307" s="167"/>
      <c r="F307" s="167"/>
      <c r="G307" s="167"/>
      <c r="H307" s="167"/>
      <c r="AB307" s="167"/>
    </row>
    <row r="308" spans="1:28" x14ac:dyDescent="0.15">
      <c r="A308" s="167"/>
      <c r="B308" s="167"/>
      <c r="C308" s="167"/>
      <c r="D308" s="168"/>
      <c r="E308" s="167"/>
      <c r="F308" s="167"/>
      <c r="G308" s="167"/>
      <c r="H308" s="167"/>
      <c r="AB308" s="167"/>
    </row>
    <row r="309" spans="1:28" x14ac:dyDescent="0.15">
      <c r="A309" s="167"/>
      <c r="B309" s="167"/>
      <c r="C309" s="167"/>
      <c r="D309" s="168"/>
      <c r="E309" s="167"/>
      <c r="F309" s="167"/>
      <c r="G309" s="167"/>
      <c r="H309" s="167"/>
      <c r="AB309" s="167"/>
    </row>
    <row r="310" spans="1:28" x14ac:dyDescent="0.15">
      <c r="A310" s="167"/>
      <c r="B310" s="167"/>
      <c r="C310" s="167"/>
      <c r="D310" s="168"/>
      <c r="E310" s="167"/>
      <c r="F310" s="167"/>
      <c r="G310" s="167"/>
      <c r="H310" s="167"/>
      <c r="AB310" s="167"/>
    </row>
    <row r="311" spans="1:28" x14ac:dyDescent="0.15">
      <c r="A311" s="167"/>
      <c r="B311" s="167"/>
      <c r="C311" s="167"/>
      <c r="D311" s="168"/>
      <c r="E311" s="167"/>
      <c r="F311" s="167"/>
      <c r="G311" s="167"/>
      <c r="H311" s="167"/>
      <c r="AB311" s="167"/>
    </row>
    <row r="312" spans="1:28" x14ac:dyDescent="0.15">
      <c r="A312" s="167"/>
      <c r="B312" s="167"/>
      <c r="C312" s="167"/>
      <c r="D312" s="168"/>
      <c r="E312" s="167"/>
      <c r="F312" s="167"/>
      <c r="G312" s="167"/>
      <c r="H312" s="167"/>
      <c r="AB312" s="167"/>
    </row>
    <row r="313" spans="1:28" x14ac:dyDescent="0.15">
      <c r="A313" s="167"/>
      <c r="B313" s="167"/>
      <c r="C313" s="167"/>
      <c r="D313" s="168"/>
      <c r="E313" s="167"/>
      <c r="F313" s="167"/>
      <c r="G313" s="167"/>
      <c r="H313" s="167"/>
      <c r="AB313" s="167"/>
    </row>
    <row r="314" spans="1:28" x14ac:dyDescent="0.15">
      <c r="A314" s="167"/>
      <c r="B314" s="167"/>
      <c r="C314" s="167"/>
      <c r="D314" s="168"/>
      <c r="E314" s="167"/>
      <c r="F314" s="167"/>
      <c r="G314" s="167"/>
      <c r="H314" s="167"/>
      <c r="AB314" s="167"/>
    </row>
    <row r="315" spans="1:28" x14ac:dyDescent="0.15">
      <c r="A315" s="167"/>
      <c r="B315" s="167"/>
      <c r="C315" s="167"/>
      <c r="D315" s="168"/>
      <c r="E315" s="167"/>
      <c r="F315" s="167"/>
      <c r="G315" s="167"/>
      <c r="H315" s="167"/>
      <c r="AB315" s="167"/>
    </row>
    <row r="316" spans="1:28" x14ac:dyDescent="0.15">
      <c r="A316" s="167"/>
      <c r="B316" s="167"/>
      <c r="C316" s="167"/>
      <c r="D316" s="168"/>
      <c r="E316" s="167"/>
      <c r="F316" s="167"/>
      <c r="G316" s="167"/>
      <c r="H316" s="167"/>
      <c r="AB316" s="167"/>
    </row>
    <row r="317" spans="1:28" x14ac:dyDescent="0.15">
      <c r="A317" s="167"/>
      <c r="B317" s="167"/>
      <c r="C317" s="167"/>
      <c r="D317" s="168"/>
      <c r="E317" s="167"/>
      <c r="F317" s="167"/>
      <c r="G317" s="167"/>
      <c r="H317" s="167"/>
      <c r="AB317" s="167"/>
    </row>
    <row r="318" spans="1:28" x14ac:dyDescent="0.15">
      <c r="A318" s="167"/>
      <c r="B318" s="167"/>
      <c r="C318" s="167"/>
      <c r="D318" s="168"/>
      <c r="E318" s="167"/>
      <c r="F318" s="167"/>
      <c r="G318" s="167"/>
      <c r="H318" s="167"/>
      <c r="AB318" s="167"/>
    </row>
    <row r="319" spans="1:28" x14ac:dyDescent="0.15">
      <c r="A319" s="167"/>
      <c r="B319" s="167"/>
      <c r="C319" s="167"/>
      <c r="D319" s="168"/>
      <c r="E319" s="167"/>
      <c r="F319" s="167"/>
      <c r="G319" s="167"/>
      <c r="H319" s="167"/>
      <c r="AB319" s="167"/>
    </row>
    <row r="320" spans="1:28" x14ac:dyDescent="0.15">
      <c r="A320" s="167"/>
      <c r="B320" s="167"/>
      <c r="C320" s="167"/>
      <c r="D320" s="168"/>
      <c r="E320" s="167"/>
      <c r="F320" s="167"/>
      <c r="G320" s="167"/>
      <c r="H320" s="167"/>
      <c r="AB320" s="167"/>
    </row>
    <row r="321" spans="1:28" x14ac:dyDescent="0.15">
      <c r="A321" s="167"/>
      <c r="B321" s="167"/>
      <c r="C321" s="167"/>
      <c r="D321" s="168"/>
      <c r="E321" s="167"/>
      <c r="F321" s="167"/>
      <c r="G321" s="167"/>
      <c r="H321" s="167"/>
      <c r="AB321" s="167"/>
    </row>
    <row r="322" spans="1:28" x14ac:dyDescent="0.15">
      <c r="A322" s="167"/>
      <c r="B322" s="167"/>
      <c r="C322" s="167"/>
      <c r="D322" s="168"/>
      <c r="E322" s="167"/>
      <c r="F322" s="167"/>
      <c r="G322" s="167"/>
      <c r="H322" s="167"/>
      <c r="AB322" s="167"/>
    </row>
    <row r="323" spans="1:28" x14ac:dyDescent="0.15">
      <c r="A323" s="167"/>
      <c r="B323" s="167"/>
      <c r="C323" s="167"/>
      <c r="D323" s="168"/>
      <c r="E323" s="167"/>
      <c r="F323" s="167"/>
      <c r="G323" s="167"/>
      <c r="H323" s="167"/>
      <c r="AB323" s="167"/>
    </row>
    <row r="324" spans="1:28" x14ac:dyDescent="0.15">
      <c r="A324" s="167"/>
      <c r="B324" s="167"/>
      <c r="C324" s="167"/>
      <c r="D324" s="168"/>
      <c r="E324" s="167"/>
      <c r="F324" s="167"/>
      <c r="G324" s="167"/>
      <c r="H324" s="167"/>
      <c r="AB324" s="167"/>
    </row>
    <row r="325" spans="1:28" x14ac:dyDescent="0.15">
      <c r="A325" s="167"/>
      <c r="B325" s="167"/>
      <c r="C325" s="167"/>
      <c r="D325" s="168"/>
      <c r="E325" s="167"/>
      <c r="F325" s="167"/>
      <c r="G325" s="167"/>
      <c r="H325" s="167"/>
      <c r="AB325" s="167"/>
    </row>
    <row r="326" spans="1:28" x14ac:dyDescent="0.15">
      <c r="A326" s="167"/>
      <c r="B326" s="167"/>
      <c r="C326" s="167"/>
      <c r="D326" s="168"/>
      <c r="E326" s="167"/>
      <c r="F326" s="167"/>
      <c r="G326" s="167"/>
      <c r="H326" s="167"/>
      <c r="AB326" s="167"/>
    </row>
    <row r="327" spans="1:28" x14ac:dyDescent="0.15">
      <c r="A327" s="167"/>
      <c r="B327" s="167"/>
      <c r="C327" s="167"/>
      <c r="D327" s="168"/>
      <c r="E327" s="167"/>
      <c r="F327" s="167"/>
      <c r="G327" s="167"/>
      <c r="H327" s="167"/>
      <c r="AB327" s="167"/>
    </row>
    <row r="328" spans="1:28" x14ac:dyDescent="0.15">
      <c r="A328" s="167"/>
      <c r="B328" s="167"/>
      <c r="C328" s="167"/>
      <c r="D328" s="168"/>
      <c r="E328" s="167"/>
      <c r="F328" s="167"/>
      <c r="G328" s="167"/>
      <c r="H328" s="167"/>
      <c r="AB328" s="167"/>
    </row>
    <row r="329" spans="1:28" x14ac:dyDescent="0.15">
      <c r="A329" s="167"/>
      <c r="B329" s="167"/>
      <c r="C329" s="167"/>
      <c r="D329" s="168"/>
      <c r="E329" s="167"/>
      <c r="F329" s="167"/>
      <c r="G329" s="167"/>
      <c r="H329" s="167"/>
      <c r="AB329" s="167"/>
    </row>
    <row r="330" spans="1:28" x14ac:dyDescent="0.15">
      <c r="A330" s="167"/>
      <c r="B330" s="167"/>
      <c r="C330" s="167"/>
      <c r="D330" s="168"/>
      <c r="E330" s="167"/>
      <c r="F330" s="167"/>
      <c r="G330" s="167"/>
      <c r="H330" s="167"/>
      <c r="AB330" s="167"/>
    </row>
    <row r="331" spans="1:28" x14ac:dyDescent="0.15">
      <c r="A331" s="167"/>
      <c r="B331" s="167"/>
      <c r="C331" s="167"/>
      <c r="D331" s="168"/>
      <c r="E331" s="167"/>
      <c r="F331" s="167"/>
      <c r="G331" s="167"/>
      <c r="H331" s="167"/>
      <c r="AB331" s="167"/>
    </row>
    <row r="332" spans="1:28" x14ac:dyDescent="0.15">
      <c r="A332" s="167"/>
      <c r="B332" s="167"/>
      <c r="C332" s="167"/>
      <c r="D332" s="168"/>
      <c r="E332" s="167"/>
      <c r="F332" s="167"/>
      <c r="G332" s="167"/>
      <c r="H332" s="167"/>
      <c r="AB332" s="167"/>
    </row>
    <row r="333" spans="1:28" x14ac:dyDescent="0.15">
      <c r="A333" s="167"/>
      <c r="B333" s="167"/>
      <c r="C333" s="167"/>
      <c r="D333" s="168"/>
      <c r="E333" s="167"/>
      <c r="F333" s="167"/>
      <c r="G333" s="167"/>
      <c r="H333" s="167"/>
      <c r="AB333" s="167"/>
    </row>
    <row r="334" spans="1:28" x14ac:dyDescent="0.15">
      <c r="A334" s="167"/>
      <c r="B334" s="167"/>
      <c r="C334" s="167"/>
      <c r="D334" s="168"/>
      <c r="E334" s="167"/>
      <c r="F334" s="167"/>
      <c r="G334" s="167"/>
      <c r="H334" s="167"/>
      <c r="AB334" s="167"/>
    </row>
    <row r="335" spans="1:28" x14ac:dyDescent="0.15">
      <c r="A335" s="167"/>
      <c r="B335" s="167"/>
      <c r="C335" s="167"/>
      <c r="D335" s="168"/>
      <c r="E335" s="167"/>
      <c r="F335" s="167"/>
      <c r="G335" s="167"/>
      <c r="H335" s="167"/>
      <c r="AB335" s="167"/>
    </row>
    <row r="336" spans="1:28" x14ac:dyDescent="0.15">
      <c r="A336" s="167"/>
      <c r="B336" s="167"/>
      <c r="C336" s="167"/>
      <c r="D336" s="168"/>
      <c r="E336" s="167"/>
      <c r="F336" s="167"/>
      <c r="G336" s="167"/>
      <c r="H336" s="167"/>
      <c r="AB336" s="167"/>
    </row>
    <row r="337" spans="1:28" x14ac:dyDescent="0.15">
      <c r="A337" s="167"/>
      <c r="B337" s="167"/>
      <c r="C337" s="167"/>
      <c r="D337" s="168"/>
      <c r="E337" s="167"/>
      <c r="F337" s="167"/>
      <c r="G337" s="167"/>
      <c r="H337" s="167"/>
      <c r="AB337" s="167"/>
    </row>
    <row r="338" spans="1:28" x14ac:dyDescent="0.15">
      <c r="A338" s="167"/>
      <c r="B338" s="167"/>
      <c r="C338" s="167"/>
      <c r="D338" s="168"/>
      <c r="E338" s="167"/>
      <c r="F338" s="167"/>
      <c r="G338" s="167"/>
      <c r="H338" s="167"/>
      <c r="AB338" s="167"/>
    </row>
    <row r="339" spans="1:28" x14ac:dyDescent="0.15">
      <c r="A339" s="167"/>
      <c r="B339" s="167"/>
      <c r="C339" s="167"/>
      <c r="D339" s="168"/>
      <c r="E339" s="167"/>
      <c r="F339" s="167"/>
      <c r="G339" s="167"/>
      <c r="H339" s="167"/>
      <c r="AB339" s="167"/>
    </row>
    <row r="340" spans="1:28" x14ac:dyDescent="0.15">
      <c r="A340" s="167"/>
      <c r="B340" s="167"/>
      <c r="C340" s="167"/>
      <c r="D340" s="168"/>
      <c r="E340" s="167"/>
      <c r="F340" s="167"/>
      <c r="G340" s="167"/>
      <c r="H340" s="167"/>
      <c r="AB340" s="167"/>
    </row>
    <row r="341" spans="1:28" x14ac:dyDescent="0.15">
      <c r="A341" s="167"/>
      <c r="B341" s="167"/>
      <c r="C341" s="167"/>
      <c r="D341" s="168"/>
      <c r="E341" s="167"/>
      <c r="F341" s="167"/>
      <c r="G341" s="167"/>
      <c r="H341" s="167"/>
      <c r="AB341" s="167"/>
    </row>
    <row r="342" spans="1:28" x14ac:dyDescent="0.15">
      <c r="A342" s="167"/>
      <c r="B342" s="167"/>
      <c r="C342" s="167"/>
      <c r="D342" s="168"/>
      <c r="E342" s="167"/>
      <c r="F342" s="167"/>
      <c r="G342" s="167"/>
      <c r="H342" s="167"/>
      <c r="AB342" s="167"/>
    </row>
    <row r="343" spans="1:28" x14ac:dyDescent="0.15">
      <c r="A343" s="167"/>
      <c r="B343" s="167"/>
      <c r="C343" s="167"/>
      <c r="D343" s="168"/>
      <c r="E343" s="167"/>
      <c r="F343" s="167"/>
      <c r="G343" s="167"/>
      <c r="H343" s="167"/>
      <c r="AB343" s="167"/>
    </row>
    <row r="344" spans="1:28" x14ac:dyDescent="0.15">
      <c r="A344" s="167"/>
      <c r="B344" s="167"/>
      <c r="C344" s="167"/>
      <c r="D344" s="168"/>
      <c r="E344" s="167"/>
      <c r="F344" s="167"/>
      <c r="G344" s="167"/>
      <c r="H344" s="167"/>
      <c r="AB344" s="167"/>
    </row>
    <row r="345" spans="1:28" x14ac:dyDescent="0.15">
      <c r="A345" s="167"/>
      <c r="B345" s="167"/>
      <c r="C345" s="167"/>
      <c r="D345" s="168"/>
      <c r="E345" s="167"/>
      <c r="F345" s="167"/>
      <c r="G345" s="167"/>
      <c r="H345" s="167"/>
      <c r="AB345" s="167"/>
    </row>
    <row r="346" spans="1:28" x14ac:dyDescent="0.15">
      <c r="A346" s="167"/>
      <c r="B346" s="167"/>
      <c r="C346" s="167"/>
      <c r="D346" s="168"/>
      <c r="E346" s="167"/>
      <c r="F346" s="167"/>
      <c r="G346" s="167"/>
      <c r="H346" s="167"/>
      <c r="AB346" s="167"/>
    </row>
    <row r="347" spans="1:28" x14ac:dyDescent="0.15">
      <c r="A347" s="167"/>
      <c r="B347" s="167"/>
      <c r="C347" s="167"/>
      <c r="D347" s="168"/>
      <c r="E347" s="167"/>
      <c r="F347" s="167"/>
      <c r="G347" s="167"/>
      <c r="H347" s="167"/>
      <c r="AB347" s="167"/>
    </row>
    <row r="348" spans="1:28" x14ac:dyDescent="0.15">
      <c r="A348" s="167"/>
      <c r="B348" s="167"/>
      <c r="C348" s="167"/>
      <c r="D348" s="168"/>
      <c r="E348" s="167"/>
      <c r="F348" s="167"/>
      <c r="G348" s="167"/>
      <c r="H348" s="167"/>
      <c r="AB348" s="167"/>
    </row>
    <row r="349" spans="1:28" x14ac:dyDescent="0.15">
      <c r="A349" s="167"/>
      <c r="B349" s="167"/>
      <c r="C349" s="167"/>
      <c r="D349" s="168"/>
      <c r="E349" s="167"/>
      <c r="F349" s="167"/>
      <c r="G349" s="167"/>
      <c r="H349" s="167"/>
      <c r="AB349" s="167"/>
    </row>
    <row r="350" spans="1:28" x14ac:dyDescent="0.15">
      <c r="A350" s="167"/>
      <c r="B350" s="167"/>
      <c r="C350" s="167"/>
      <c r="D350" s="168"/>
      <c r="E350" s="167"/>
      <c r="F350" s="167"/>
      <c r="G350" s="167"/>
      <c r="H350" s="167"/>
      <c r="AB350" s="167"/>
    </row>
    <row r="351" spans="1:28" x14ac:dyDescent="0.15">
      <c r="A351" s="167"/>
      <c r="B351" s="167"/>
      <c r="C351" s="167"/>
      <c r="D351" s="168"/>
      <c r="E351" s="167"/>
      <c r="F351" s="167"/>
      <c r="G351" s="167"/>
      <c r="H351" s="167"/>
      <c r="AB351" s="167"/>
    </row>
    <row r="352" spans="1:28" x14ac:dyDescent="0.15">
      <c r="A352" s="167"/>
      <c r="B352" s="167"/>
      <c r="C352" s="167"/>
      <c r="D352" s="168"/>
      <c r="E352" s="167"/>
      <c r="F352" s="167"/>
      <c r="G352" s="167"/>
      <c r="H352" s="167"/>
      <c r="AB352" s="167"/>
    </row>
    <row r="353" spans="1:28" x14ac:dyDescent="0.15">
      <c r="A353" s="167"/>
      <c r="B353" s="167"/>
      <c r="C353" s="167"/>
      <c r="D353" s="168"/>
      <c r="E353" s="167"/>
      <c r="F353" s="167"/>
      <c r="G353" s="167"/>
      <c r="H353" s="167"/>
      <c r="AB353" s="167"/>
    </row>
    <row r="354" spans="1:28" x14ac:dyDescent="0.15">
      <c r="A354" s="167"/>
      <c r="B354" s="167"/>
      <c r="C354" s="167"/>
      <c r="D354" s="168"/>
      <c r="E354" s="167"/>
      <c r="F354" s="167"/>
      <c r="G354" s="167"/>
      <c r="H354" s="167"/>
      <c r="AB354" s="167"/>
    </row>
    <row r="355" spans="1:28" x14ac:dyDescent="0.15">
      <c r="A355" s="167"/>
      <c r="B355" s="167"/>
      <c r="C355" s="167"/>
      <c r="D355" s="168"/>
      <c r="E355" s="167"/>
      <c r="F355" s="167"/>
      <c r="G355" s="167"/>
      <c r="H355" s="167"/>
      <c r="AB355" s="167"/>
    </row>
    <row r="356" spans="1:28" x14ac:dyDescent="0.15">
      <c r="A356" s="167"/>
      <c r="B356" s="167"/>
      <c r="C356" s="167"/>
      <c r="D356" s="168"/>
      <c r="E356" s="167"/>
      <c r="F356" s="167"/>
      <c r="G356" s="167"/>
      <c r="H356" s="167"/>
      <c r="AB356" s="167"/>
    </row>
    <row r="357" spans="1:28" x14ac:dyDescent="0.15">
      <c r="A357" s="167"/>
      <c r="B357" s="167"/>
      <c r="C357" s="167"/>
      <c r="D357" s="168"/>
      <c r="E357" s="167"/>
      <c r="F357" s="167"/>
      <c r="G357" s="167"/>
      <c r="H357" s="167"/>
      <c r="AB357" s="167"/>
    </row>
    <row r="358" spans="1:28" x14ac:dyDescent="0.15">
      <c r="A358" s="167"/>
      <c r="B358" s="167"/>
      <c r="C358" s="167"/>
      <c r="D358" s="168"/>
      <c r="E358" s="167"/>
      <c r="F358" s="167"/>
      <c r="G358" s="167"/>
      <c r="H358" s="167"/>
      <c r="AB358" s="167"/>
    </row>
    <row r="359" spans="1:28" x14ac:dyDescent="0.15">
      <c r="A359" s="167"/>
      <c r="B359" s="167"/>
      <c r="C359" s="167"/>
      <c r="D359" s="168"/>
      <c r="E359" s="167"/>
      <c r="F359" s="167"/>
      <c r="G359" s="167"/>
      <c r="H359" s="167"/>
      <c r="AB359" s="167"/>
    </row>
    <row r="360" spans="1:28" x14ac:dyDescent="0.15">
      <c r="A360" s="167"/>
      <c r="B360" s="167"/>
      <c r="C360" s="167"/>
      <c r="D360" s="168"/>
      <c r="E360" s="167"/>
      <c r="F360" s="167"/>
      <c r="G360" s="167"/>
      <c r="H360" s="167"/>
      <c r="AB360" s="167"/>
    </row>
    <row r="361" spans="1:28" x14ac:dyDescent="0.15">
      <c r="A361" s="167"/>
      <c r="B361" s="167"/>
      <c r="C361" s="167"/>
      <c r="D361" s="168"/>
      <c r="E361" s="167"/>
      <c r="F361" s="167"/>
      <c r="G361" s="167"/>
      <c r="H361" s="167"/>
      <c r="AB361" s="167"/>
    </row>
    <row r="362" spans="1:28" x14ac:dyDescent="0.15">
      <c r="A362" s="167"/>
      <c r="B362" s="167"/>
      <c r="C362" s="167"/>
      <c r="D362" s="168"/>
      <c r="E362" s="167"/>
      <c r="F362" s="167"/>
      <c r="G362" s="167"/>
      <c r="H362" s="167"/>
      <c r="AB362" s="167"/>
    </row>
    <row r="363" spans="1:28" x14ac:dyDescent="0.15">
      <c r="A363" s="167"/>
      <c r="B363" s="167"/>
      <c r="C363" s="167"/>
      <c r="D363" s="168"/>
      <c r="E363" s="167"/>
      <c r="F363" s="167"/>
      <c r="G363" s="167"/>
      <c r="H363" s="167"/>
      <c r="AB363" s="167"/>
    </row>
    <row r="364" spans="1:28" x14ac:dyDescent="0.15">
      <c r="A364" s="167"/>
      <c r="B364" s="167"/>
      <c r="C364" s="167"/>
      <c r="D364" s="168"/>
      <c r="E364" s="167"/>
      <c r="F364" s="167"/>
      <c r="G364" s="167"/>
      <c r="H364" s="167"/>
      <c r="AB364" s="167"/>
    </row>
    <row r="365" spans="1:28" x14ac:dyDescent="0.15">
      <c r="A365" s="167"/>
      <c r="B365" s="167"/>
      <c r="C365" s="167"/>
      <c r="D365" s="168"/>
      <c r="E365" s="167"/>
      <c r="F365" s="167"/>
      <c r="G365" s="167"/>
      <c r="H365" s="167"/>
      <c r="AB365" s="167"/>
    </row>
    <row r="366" spans="1:28" x14ac:dyDescent="0.15">
      <c r="A366" s="167"/>
      <c r="B366" s="167"/>
      <c r="C366" s="167"/>
      <c r="D366" s="168"/>
      <c r="E366" s="167"/>
      <c r="F366" s="167"/>
      <c r="G366" s="167"/>
      <c r="H366" s="167"/>
      <c r="AB366" s="167"/>
    </row>
    <row r="367" spans="1:28" x14ac:dyDescent="0.15">
      <c r="A367" s="167"/>
      <c r="B367" s="167"/>
      <c r="C367" s="167"/>
      <c r="D367" s="168"/>
      <c r="E367" s="167"/>
      <c r="F367" s="167"/>
      <c r="G367" s="167"/>
      <c r="H367" s="167"/>
      <c r="AB367" s="167"/>
    </row>
    <row r="368" spans="1:28" x14ac:dyDescent="0.15">
      <c r="A368" s="167"/>
      <c r="B368" s="167"/>
      <c r="C368" s="167"/>
      <c r="D368" s="168"/>
      <c r="E368" s="167"/>
      <c r="F368" s="167"/>
      <c r="G368" s="167"/>
      <c r="H368" s="167"/>
      <c r="AB368" s="167"/>
    </row>
    <row r="369" spans="1:28" x14ac:dyDescent="0.15">
      <c r="A369" s="167"/>
      <c r="B369" s="167"/>
      <c r="C369" s="167"/>
      <c r="D369" s="168"/>
      <c r="E369" s="167"/>
      <c r="F369" s="167"/>
      <c r="G369" s="167"/>
      <c r="H369" s="167"/>
      <c r="AB369" s="167"/>
    </row>
    <row r="370" spans="1:28" x14ac:dyDescent="0.15">
      <c r="A370" s="167"/>
      <c r="B370" s="167"/>
      <c r="C370" s="167"/>
      <c r="D370" s="168"/>
      <c r="E370" s="167"/>
      <c r="F370" s="167"/>
      <c r="G370" s="167"/>
      <c r="H370" s="167"/>
      <c r="AB370" s="167"/>
    </row>
    <row r="371" spans="1:28" x14ac:dyDescent="0.15">
      <c r="A371" s="167"/>
      <c r="B371" s="167"/>
      <c r="C371" s="167"/>
      <c r="D371" s="168"/>
      <c r="E371" s="167"/>
      <c r="F371" s="167"/>
      <c r="G371" s="167"/>
      <c r="H371" s="167"/>
      <c r="AB371" s="167"/>
    </row>
    <row r="372" spans="1:28" x14ac:dyDescent="0.15">
      <c r="A372" s="167"/>
      <c r="B372" s="167"/>
      <c r="C372" s="167"/>
      <c r="D372" s="168"/>
      <c r="E372" s="167"/>
      <c r="F372" s="167"/>
      <c r="G372" s="167"/>
      <c r="H372" s="167"/>
      <c r="AB372" s="167"/>
    </row>
    <row r="373" spans="1:28" x14ac:dyDescent="0.15">
      <c r="A373" s="167"/>
      <c r="B373" s="167"/>
      <c r="C373" s="167"/>
      <c r="D373" s="168"/>
      <c r="E373" s="167"/>
      <c r="F373" s="167"/>
      <c r="G373" s="167"/>
      <c r="H373" s="167"/>
      <c r="AB373" s="167"/>
    </row>
    <row r="374" spans="1:28" x14ac:dyDescent="0.15">
      <c r="A374" s="167"/>
      <c r="B374" s="167"/>
      <c r="C374" s="167"/>
      <c r="D374" s="168"/>
      <c r="E374" s="167"/>
      <c r="F374" s="167"/>
      <c r="G374" s="167"/>
      <c r="H374" s="167"/>
      <c r="AB374" s="167"/>
    </row>
    <row r="375" spans="1:28" x14ac:dyDescent="0.15">
      <c r="A375" s="167"/>
      <c r="B375" s="167"/>
      <c r="C375" s="167"/>
      <c r="D375" s="168"/>
      <c r="E375" s="167"/>
      <c r="F375" s="167"/>
      <c r="G375" s="167"/>
      <c r="H375" s="167"/>
      <c r="AB375" s="167"/>
    </row>
    <row r="376" spans="1:28" x14ac:dyDescent="0.15">
      <c r="A376" s="167"/>
      <c r="B376" s="167"/>
      <c r="C376" s="167"/>
      <c r="D376" s="168"/>
      <c r="E376" s="167"/>
      <c r="F376" s="167"/>
      <c r="G376" s="167"/>
      <c r="H376" s="167"/>
      <c r="AB376" s="167"/>
    </row>
    <row r="377" spans="1:28" x14ac:dyDescent="0.15">
      <c r="A377" s="167"/>
      <c r="B377" s="167"/>
      <c r="C377" s="167"/>
      <c r="D377" s="168"/>
      <c r="E377" s="167"/>
      <c r="F377" s="167"/>
      <c r="G377" s="167"/>
      <c r="H377" s="167"/>
      <c r="AB377" s="167"/>
    </row>
    <row r="378" spans="1:28" x14ac:dyDescent="0.15">
      <c r="A378" s="167"/>
      <c r="B378" s="167"/>
      <c r="C378" s="167"/>
      <c r="D378" s="168"/>
      <c r="E378" s="167"/>
      <c r="F378" s="167"/>
      <c r="G378" s="167"/>
      <c r="H378" s="167"/>
      <c r="AB378" s="167"/>
    </row>
    <row r="379" spans="1:28" x14ac:dyDescent="0.15">
      <c r="A379" s="167"/>
      <c r="B379" s="167"/>
      <c r="C379" s="167"/>
      <c r="D379" s="168"/>
      <c r="E379" s="167"/>
      <c r="F379" s="167"/>
      <c r="G379" s="167"/>
      <c r="H379" s="167"/>
      <c r="AB379" s="167"/>
    </row>
    <row r="380" spans="1:28" x14ac:dyDescent="0.15">
      <c r="A380" s="167"/>
      <c r="B380" s="167"/>
      <c r="C380" s="167"/>
      <c r="D380" s="168"/>
      <c r="E380" s="167"/>
      <c r="F380" s="167"/>
      <c r="G380" s="167"/>
      <c r="H380" s="167"/>
      <c r="AB380" s="167"/>
    </row>
    <row r="381" spans="1:28" x14ac:dyDescent="0.15">
      <c r="A381" s="167"/>
      <c r="B381" s="167"/>
      <c r="C381" s="167"/>
      <c r="D381" s="168"/>
      <c r="E381" s="167"/>
      <c r="F381" s="167"/>
      <c r="G381" s="167"/>
      <c r="H381" s="167"/>
      <c r="AB381" s="167"/>
    </row>
    <row r="382" spans="1:28" x14ac:dyDescent="0.15">
      <c r="A382" s="167"/>
      <c r="B382" s="167"/>
      <c r="C382" s="167"/>
      <c r="D382" s="168"/>
      <c r="E382" s="167"/>
      <c r="F382" s="167"/>
      <c r="G382" s="167"/>
      <c r="H382" s="167"/>
      <c r="AB382" s="167"/>
    </row>
    <row r="383" spans="1:28" x14ac:dyDescent="0.15">
      <c r="A383" s="167"/>
      <c r="B383" s="167"/>
      <c r="C383" s="167"/>
      <c r="D383" s="168"/>
      <c r="E383" s="167"/>
      <c r="F383" s="167"/>
      <c r="G383" s="167"/>
      <c r="H383" s="167"/>
      <c r="AB383" s="167"/>
    </row>
    <row r="384" spans="1:28" x14ac:dyDescent="0.15">
      <c r="A384" s="167"/>
      <c r="B384" s="167"/>
      <c r="C384" s="167"/>
      <c r="D384" s="168"/>
      <c r="E384" s="167"/>
      <c r="F384" s="167"/>
      <c r="G384" s="167"/>
      <c r="H384" s="167"/>
      <c r="AB384" s="167"/>
    </row>
    <row r="385" spans="1:28" x14ac:dyDescent="0.15">
      <c r="A385" s="167"/>
      <c r="B385" s="167"/>
      <c r="C385" s="167"/>
      <c r="D385" s="168"/>
      <c r="E385" s="167"/>
      <c r="F385" s="167"/>
      <c r="G385" s="167"/>
      <c r="H385" s="167"/>
      <c r="AB385" s="167"/>
    </row>
    <row r="386" spans="1:28" x14ac:dyDescent="0.15">
      <c r="A386" s="167"/>
      <c r="B386" s="167"/>
      <c r="C386" s="167"/>
      <c r="D386" s="168"/>
      <c r="E386" s="167"/>
      <c r="F386" s="167"/>
      <c r="G386" s="167"/>
      <c r="H386" s="167"/>
      <c r="AB386" s="167"/>
    </row>
    <row r="387" spans="1:28" x14ac:dyDescent="0.15">
      <c r="A387" s="167"/>
      <c r="B387" s="167"/>
      <c r="C387" s="167"/>
      <c r="D387" s="168"/>
      <c r="E387" s="167"/>
      <c r="F387" s="167"/>
      <c r="G387" s="167"/>
      <c r="H387" s="167"/>
      <c r="AB387" s="167"/>
    </row>
    <row r="388" spans="1:28" x14ac:dyDescent="0.15">
      <c r="A388" s="167"/>
      <c r="B388" s="167"/>
      <c r="C388" s="167"/>
      <c r="D388" s="168"/>
      <c r="E388" s="167"/>
      <c r="F388" s="167"/>
      <c r="G388" s="167"/>
      <c r="H388" s="167"/>
      <c r="AB388" s="167"/>
    </row>
    <row r="389" spans="1:28" x14ac:dyDescent="0.15">
      <c r="A389" s="167"/>
      <c r="B389" s="167"/>
      <c r="C389" s="167"/>
      <c r="D389" s="168"/>
      <c r="E389" s="167"/>
      <c r="F389" s="167"/>
      <c r="G389" s="167"/>
      <c r="H389" s="167"/>
      <c r="AB389" s="167"/>
    </row>
    <row r="390" spans="1:28" x14ac:dyDescent="0.15">
      <c r="A390" s="167"/>
      <c r="B390" s="167"/>
      <c r="C390" s="167"/>
      <c r="D390" s="168"/>
      <c r="E390" s="167"/>
      <c r="F390" s="167"/>
      <c r="G390" s="167"/>
      <c r="H390" s="167"/>
      <c r="AB390" s="167"/>
    </row>
    <row r="391" spans="1:28" x14ac:dyDescent="0.15">
      <c r="A391" s="167"/>
      <c r="B391" s="167"/>
      <c r="C391" s="167"/>
      <c r="D391" s="168"/>
      <c r="E391" s="167"/>
      <c r="F391" s="167"/>
      <c r="G391" s="167"/>
      <c r="H391" s="167"/>
      <c r="AB391" s="167"/>
    </row>
    <row r="392" spans="1:28" x14ac:dyDescent="0.15">
      <c r="A392" s="167"/>
      <c r="B392" s="167"/>
      <c r="C392" s="167"/>
      <c r="D392" s="168"/>
      <c r="E392" s="167"/>
      <c r="F392" s="167"/>
      <c r="G392" s="167"/>
      <c r="H392" s="167"/>
      <c r="AB392" s="167"/>
    </row>
    <row r="393" spans="1:28" x14ac:dyDescent="0.15">
      <c r="A393" s="167"/>
      <c r="B393" s="167"/>
      <c r="C393" s="167"/>
      <c r="D393" s="168"/>
      <c r="E393" s="167"/>
      <c r="F393" s="167"/>
      <c r="G393" s="167"/>
      <c r="H393" s="167"/>
      <c r="AB393" s="167"/>
    </row>
    <row r="394" spans="1:28" x14ac:dyDescent="0.15">
      <c r="A394" s="167"/>
      <c r="B394" s="167"/>
      <c r="C394" s="167"/>
      <c r="D394" s="168"/>
      <c r="E394" s="167"/>
      <c r="F394" s="167"/>
      <c r="G394" s="167"/>
      <c r="H394" s="167"/>
      <c r="AB394" s="167"/>
    </row>
    <row r="395" spans="1:28" x14ac:dyDescent="0.15">
      <c r="A395" s="167"/>
      <c r="B395" s="167"/>
      <c r="C395" s="167"/>
      <c r="D395" s="168"/>
      <c r="E395" s="167"/>
      <c r="F395" s="167"/>
      <c r="G395" s="167"/>
      <c r="H395" s="167"/>
      <c r="AB395" s="167"/>
    </row>
    <row r="396" spans="1:28" x14ac:dyDescent="0.15">
      <c r="A396" s="167"/>
      <c r="B396" s="167"/>
      <c r="C396" s="167"/>
      <c r="D396" s="168"/>
      <c r="E396" s="167"/>
      <c r="F396" s="167"/>
      <c r="G396" s="167"/>
      <c r="H396" s="167"/>
      <c r="AB396" s="167"/>
    </row>
    <row r="397" spans="1:28" x14ac:dyDescent="0.15">
      <c r="A397" s="167"/>
      <c r="B397" s="167"/>
      <c r="C397" s="167"/>
      <c r="D397" s="168"/>
      <c r="E397" s="167"/>
      <c r="F397" s="167"/>
      <c r="G397" s="167"/>
      <c r="H397" s="167"/>
      <c r="AB397" s="167"/>
    </row>
    <row r="398" spans="1:28" x14ac:dyDescent="0.15">
      <c r="A398" s="167"/>
      <c r="B398" s="167"/>
      <c r="C398" s="167"/>
      <c r="D398" s="168"/>
      <c r="E398" s="167"/>
      <c r="F398" s="167"/>
      <c r="G398" s="167"/>
      <c r="H398" s="167"/>
      <c r="AB398" s="167"/>
    </row>
    <row r="399" spans="1:28" x14ac:dyDescent="0.15">
      <c r="A399" s="167"/>
      <c r="B399" s="167"/>
      <c r="C399" s="167"/>
      <c r="D399" s="168"/>
      <c r="E399" s="167"/>
      <c r="F399" s="167"/>
      <c r="G399" s="167"/>
      <c r="H399" s="167"/>
      <c r="AB399" s="167"/>
    </row>
    <row r="400" spans="1:28" x14ac:dyDescent="0.15">
      <c r="A400" s="167"/>
      <c r="B400" s="167"/>
      <c r="C400" s="167"/>
      <c r="D400" s="168"/>
      <c r="E400" s="167"/>
      <c r="F400" s="167"/>
      <c r="G400" s="167"/>
      <c r="H400" s="167"/>
      <c r="AB400" s="167"/>
    </row>
    <row r="401" spans="1:28" x14ac:dyDescent="0.15">
      <c r="A401" s="167"/>
      <c r="B401" s="167"/>
      <c r="C401" s="167"/>
      <c r="D401" s="168"/>
      <c r="E401" s="167"/>
      <c r="F401" s="167"/>
      <c r="G401" s="167"/>
      <c r="H401" s="167"/>
      <c r="AB401" s="167"/>
    </row>
    <row r="402" spans="1:28" x14ac:dyDescent="0.15">
      <c r="A402" s="167"/>
      <c r="B402" s="167"/>
      <c r="C402" s="167"/>
      <c r="D402" s="168"/>
      <c r="E402" s="167"/>
      <c r="F402" s="167"/>
      <c r="G402" s="167"/>
      <c r="H402" s="167"/>
      <c r="AB402" s="167"/>
    </row>
    <row r="403" spans="1:28" x14ac:dyDescent="0.15">
      <c r="A403" s="167"/>
      <c r="B403" s="167"/>
      <c r="C403" s="167"/>
      <c r="D403" s="168"/>
      <c r="E403" s="167"/>
      <c r="F403" s="167"/>
      <c r="G403" s="167"/>
      <c r="H403" s="167"/>
      <c r="AB403" s="167"/>
    </row>
    <row r="404" spans="1:28" x14ac:dyDescent="0.15">
      <c r="A404" s="167"/>
      <c r="B404" s="167"/>
      <c r="C404" s="167"/>
      <c r="D404" s="168"/>
      <c r="E404" s="167"/>
      <c r="F404" s="167"/>
      <c r="G404" s="167"/>
      <c r="H404" s="167"/>
      <c r="AB404" s="167"/>
    </row>
    <row r="405" spans="1:28" x14ac:dyDescent="0.15">
      <c r="A405" s="167"/>
      <c r="B405" s="167"/>
      <c r="C405" s="167"/>
      <c r="D405" s="168"/>
      <c r="E405" s="167"/>
      <c r="F405" s="167"/>
      <c r="G405" s="167"/>
      <c r="H405" s="167"/>
      <c r="AB405" s="167"/>
    </row>
    <row r="406" spans="1:28" x14ac:dyDescent="0.15">
      <c r="A406" s="167"/>
      <c r="B406" s="167"/>
      <c r="C406" s="167"/>
      <c r="D406" s="168"/>
      <c r="E406" s="167"/>
      <c r="F406" s="167"/>
      <c r="G406" s="167"/>
      <c r="H406" s="167"/>
      <c r="AB406" s="167"/>
    </row>
    <row r="407" spans="1:28" x14ac:dyDescent="0.15">
      <c r="A407" s="167"/>
      <c r="B407" s="167"/>
      <c r="C407" s="167"/>
      <c r="D407" s="168"/>
      <c r="E407" s="167"/>
      <c r="F407" s="167"/>
      <c r="G407" s="167"/>
      <c r="H407" s="167"/>
      <c r="AB407" s="167"/>
    </row>
    <row r="408" spans="1:28" x14ac:dyDescent="0.15">
      <c r="A408" s="167"/>
      <c r="B408" s="167"/>
      <c r="C408" s="167"/>
      <c r="D408" s="168"/>
      <c r="E408" s="167"/>
      <c r="F408" s="167"/>
      <c r="G408" s="167"/>
      <c r="H408" s="167"/>
      <c r="AB408" s="167"/>
    </row>
    <row r="409" spans="1:28" x14ac:dyDescent="0.15">
      <c r="A409" s="167"/>
      <c r="B409" s="167"/>
      <c r="C409" s="167"/>
      <c r="D409" s="168"/>
      <c r="E409" s="167"/>
      <c r="F409" s="167"/>
      <c r="G409" s="167"/>
      <c r="H409" s="167"/>
      <c r="AB409" s="167"/>
    </row>
    <row r="410" spans="1:28" x14ac:dyDescent="0.15">
      <c r="A410" s="167"/>
      <c r="B410" s="167"/>
      <c r="C410" s="167"/>
      <c r="D410" s="168"/>
      <c r="E410" s="167"/>
      <c r="F410" s="167"/>
      <c r="G410" s="167"/>
      <c r="H410" s="167"/>
      <c r="AB410" s="167"/>
    </row>
    <row r="411" spans="1:28" x14ac:dyDescent="0.15">
      <c r="A411" s="167"/>
      <c r="B411" s="167"/>
      <c r="C411" s="167"/>
      <c r="D411" s="168"/>
      <c r="E411" s="167"/>
      <c r="F411" s="167"/>
      <c r="G411" s="167"/>
      <c r="H411" s="167"/>
      <c r="AB411" s="167"/>
    </row>
    <row r="412" spans="1:28" x14ac:dyDescent="0.15">
      <c r="A412" s="167"/>
      <c r="B412" s="167"/>
      <c r="C412" s="167"/>
      <c r="D412" s="168"/>
      <c r="E412" s="167"/>
      <c r="F412" s="167"/>
      <c r="G412" s="167"/>
      <c r="H412" s="167"/>
      <c r="AB412" s="167"/>
    </row>
    <row r="413" spans="1:28" x14ac:dyDescent="0.15">
      <c r="A413" s="167"/>
      <c r="B413" s="167"/>
      <c r="C413" s="167"/>
      <c r="D413" s="168"/>
      <c r="E413" s="167"/>
      <c r="F413" s="167"/>
      <c r="G413" s="167"/>
      <c r="H413" s="167"/>
      <c r="AB413" s="167"/>
    </row>
    <row r="414" spans="1:28" x14ac:dyDescent="0.15">
      <c r="A414" s="167"/>
      <c r="B414" s="167"/>
      <c r="C414" s="167"/>
      <c r="D414" s="168"/>
      <c r="E414" s="167"/>
      <c r="F414" s="167"/>
      <c r="G414" s="167"/>
      <c r="H414" s="167"/>
      <c r="AB414" s="167"/>
    </row>
    <row r="415" spans="1:28" x14ac:dyDescent="0.15">
      <c r="A415" s="167"/>
      <c r="B415" s="167"/>
      <c r="C415" s="167"/>
      <c r="D415" s="168"/>
      <c r="E415" s="167"/>
      <c r="F415" s="167"/>
      <c r="G415" s="167"/>
      <c r="H415" s="167"/>
      <c r="AB415" s="167"/>
    </row>
    <row r="416" spans="1:28" x14ac:dyDescent="0.15">
      <c r="A416" s="167"/>
      <c r="B416" s="167"/>
      <c r="C416" s="167"/>
      <c r="D416" s="168"/>
      <c r="E416" s="167"/>
      <c r="F416" s="167"/>
      <c r="G416" s="167"/>
      <c r="H416" s="167"/>
      <c r="AB416" s="167"/>
    </row>
    <row r="417" spans="1:28" x14ac:dyDescent="0.15">
      <c r="A417" s="167"/>
      <c r="B417" s="167"/>
      <c r="C417" s="167"/>
      <c r="D417" s="168"/>
      <c r="E417" s="167"/>
      <c r="F417" s="167"/>
      <c r="G417" s="167"/>
      <c r="H417" s="167"/>
      <c r="AB417" s="167"/>
    </row>
    <row r="418" spans="1:28" x14ac:dyDescent="0.15">
      <c r="A418" s="167"/>
      <c r="B418" s="167"/>
      <c r="C418" s="167"/>
      <c r="D418" s="168"/>
      <c r="E418" s="167"/>
      <c r="F418" s="167"/>
      <c r="G418" s="167"/>
      <c r="H418" s="167"/>
      <c r="AB418" s="167"/>
    </row>
    <row r="419" spans="1:28" x14ac:dyDescent="0.15">
      <c r="A419" s="167"/>
      <c r="B419" s="167"/>
      <c r="C419" s="167"/>
      <c r="D419" s="168"/>
      <c r="E419" s="167"/>
      <c r="F419" s="167"/>
      <c r="G419" s="167"/>
      <c r="H419" s="167"/>
      <c r="AB419" s="167"/>
    </row>
    <row r="420" spans="1:28" x14ac:dyDescent="0.15">
      <c r="A420" s="167"/>
      <c r="B420" s="167"/>
      <c r="C420" s="167"/>
      <c r="D420" s="168"/>
      <c r="E420" s="167"/>
      <c r="F420" s="167"/>
      <c r="G420" s="167"/>
      <c r="H420" s="167"/>
      <c r="AB420" s="167"/>
    </row>
    <row r="421" spans="1:28" x14ac:dyDescent="0.15">
      <c r="A421" s="167"/>
      <c r="B421" s="167"/>
      <c r="C421" s="167"/>
      <c r="D421" s="168"/>
      <c r="E421" s="167"/>
      <c r="F421" s="167"/>
      <c r="G421" s="167"/>
      <c r="H421" s="167"/>
      <c r="AB421" s="167"/>
    </row>
    <row r="422" spans="1:28" x14ac:dyDescent="0.15">
      <c r="A422" s="167"/>
      <c r="B422" s="167"/>
      <c r="C422" s="167"/>
      <c r="D422" s="168"/>
      <c r="E422" s="167"/>
      <c r="F422" s="167"/>
      <c r="G422" s="167"/>
      <c r="H422" s="167"/>
      <c r="AB422" s="167"/>
    </row>
    <row r="423" spans="1:28" x14ac:dyDescent="0.15">
      <c r="A423" s="167"/>
      <c r="B423" s="167"/>
      <c r="C423" s="167"/>
      <c r="D423" s="168"/>
      <c r="E423" s="167"/>
      <c r="F423" s="167"/>
      <c r="G423" s="167"/>
      <c r="H423" s="167"/>
      <c r="AB423" s="167"/>
    </row>
    <row r="424" spans="1:28" x14ac:dyDescent="0.15">
      <c r="A424" s="167"/>
      <c r="B424" s="167"/>
      <c r="C424" s="167"/>
      <c r="D424" s="168"/>
      <c r="E424" s="167"/>
      <c r="F424" s="167"/>
      <c r="G424" s="167"/>
      <c r="H424" s="167"/>
      <c r="AB424" s="167"/>
    </row>
    <row r="425" spans="1:28" x14ac:dyDescent="0.15">
      <c r="A425" s="167"/>
      <c r="B425" s="167"/>
      <c r="C425" s="167"/>
      <c r="D425" s="168"/>
      <c r="E425" s="167"/>
      <c r="F425" s="167"/>
      <c r="G425" s="167"/>
      <c r="H425" s="167"/>
      <c r="AB425" s="167"/>
    </row>
    <row r="426" spans="1:28" x14ac:dyDescent="0.15">
      <c r="A426" s="167"/>
      <c r="B426" s="167"/>
      <c r="C426" s="167"/>
      <c r="D426" s="168"/>
      <c r="E426" s="167"/>
      <c r="F426" s="167"/>
      <c r="G426" s="167"/>
      <c r="H426" s="167"/>
      <c r="AB426" s="167"/>
    </row>
    <row r="427" spans="1:28" x14ac:dyDescent="0.15">
      <c r="A427" s="167"/>
      <c r="B427" s="167"/>
      <c r="C427" s="167"/>
      <c r="D427" s="168"/>
      <c r="E427" s="167"/>
      <c r="F427" s="167"/>
      <c r="G427" s="167"/>
      <c r="H427" s="167"/>
      <c r="AB427" s="167"/>
    </row>
    <row r="428" spans="1:28" x14ac:dyDescent="0.15">
      <c r="A428" s="167"/>
      <c r="B428" s="167"/>
      <c r="C428" s="167"/>
      <c r="D428" s="168"/>
      <c r="E428" s="167"/>
      <c r="F428" s="167"/>
      <c r="G428" s="167"/>
      <c r="H428" s="167"/>
      <c r="AB428" s="167"/>
    </row>
    <row r="429" spans="1:28" x14ac:dyDescent="0.15">
      <c r="A429" s="167"/>
      <c r="B429" s="167"/>
      <c r="C429" s="167"/>
      <c r="D429" s="168"/>
      <c r="E429" s="167"/>
      <c r="F429" s="167"/>
      <c r="G429" s="167"/>
      <c r="H429" s="167"/>
      <c r="AB429" s="167"/>
    </row>
    <row r="430" spans="1:28" x14ac:dyDescent="0.15">
      <c r="A430" s="167"/>
      <c r="B430" s="167"/>
      <c r="C430" s="167"/>
      <c r="D430" s="168"/>
      <c r="E430" s="167"/>
      <c r="F430" s="167"/>
      <c r="G430" s="167"/>
      <c r="H430" s="167"/>
      <c r="AB430" s="167"/>
    </row>
    <row r="431" spans="1:28" x14ac:dyDescent="0.15">
      <c r="A431" s="167"/>
      <c r="B431" s="167"/>
      <c r="C431" s="167"/>
      <c r="D431" s="168"/>
      <c r="E431" s="167"/>
      <c r="F431" s="167"/>
      <c r="G431" s="167"/>
      <c r="H431" s="167"/>
      <c r="AB431" s="167"/>
    </row>
    <row r="432" spans="1:28" x14ac:dyDescent="0.15">
      <c r="A432" s="167"/>
      <c r="B432" s="167"/>
      <c r="C432" s="167"/>
      <c r="D432" s="168"/>
      <c r="E432" s="167"/>
      <c r="F432" s="167"/>
      <c r="G432" s="167"/>
      <c r="H432" s="167"/>
      <c r="AB432" s="167"/>
    </row>
    <row r="433" spans="1:28" x14ac:dyDescent="0.15">
      <c r="A433" s="167"/>
      <c r="B433" s="167"/>
      <c r="C433" s="167"/>
      <c r="D433" s="168"/>
      <c r="E433" s="167"/>
      <c r="F433" s="167"/>
      <c r="G433" s="167"/>
      <c r="H433" s="167"/>
      <c r="AB433" s="167"/>
    </row>
    <row r="434" spans="1:28" x14ac:dyDescent="0.15">
      <c r="A434" s="167"/>
      <c r="B434" s="167"/>
      <c r="C434" s="167"/>
      <c r="D434" s="168"/>
      <c r="E434" s="167"/>
      <c r="F434" s="167"/>
      <c r="G434" s="167"/>
      <c r="H434" s="167"/>
      <c r="AB434" s="167"/>
    </row>
    <row r="435" spans="1:28" x14ac:dyDescent="0.15">
      <c r="A435" s="167"/>
      <c r="B435" s="167"/>
      <c r="C435" s="167"/>
      <c r="D435" s="168"/>
      <c r="E435" s="167"/>
      <c r="F435" s="167"/>
      <c r="G435" s="167"/>
      <c r="H435" s="167"/>
      <c r="AB435" s="167"/>
    </row>
    <row r="436" spans="1:28" x14ac:dyDescent="0.15">
      <c r="A436" s="167"/>
      <c r="B436" s="167"/>
      <c r="C436" s="167"/>
      <c r="D436" s="168"/>
      <c r="E436" s="167"/>
      <c r="F436" s="167"/>
      <c r="G436" s="167"/>
      <c r="H436" s="167"/>
      <c r="AB436" s="167"/>
    </row>
    <row r="437" spans="1:28" x14ac:dyDescent="0.15">
      <c r="A437" s="167"/>
      <c r="B437" s="167"/>
      <c r="C437" s="167"/>
      <c r="D437" s="168"/>
      <c r="E437" s="167"/>
      <c r="F437" s="167"/>
      <c r="G437" s="167"/>
      <c r="H437" s="167"/>
      <c r="AB437" s="167"/>
    </row>
    <row r="438" spans="1:28" x14ac:dyDescent="0.15">
      <c r="A438" s="167"/>
      <c r="B438" s="167"/>
      <c r="C438" s="167"/>
      <c r="D438" s="168"/>
      <c r="E438" s="167"/>
      <c r="F438" s="167"/>
      <c r="G438" s="167"/>
      <c r="H438" s="167"/>
      <c r="AB438" s="167"/>
    </row>
    <row r="439" spans="1:28" x14ac:dyDescent="0.15">
      <c r="A439" s="167"/>
      <c r="B439" s="167"/>
      <c r="C439" s="167"/>
      <c r="D439" s="168"/>
      <c r="E439" s="167"/>
      <c r="F439" s="167"/>
      <c r="G439" s="167"/>
      <c r="H439" s="167"/>
      <c r="AB439" s="167"/>
    </row>
    <row r="440" spans="1:28" x14ac:dyDescent="0.15">
      <c r="A440" s="167"/>
      <c r="B440" s="167"/>
      <c r="C440" s="167"/>
      <c r="D440" s="168"/>
      <c r="E440" s="167"/>
      <c r="F440" s="167"/>
      <c r="G440" s="167"/>
      <c r="H440" s="167"/>
      <c r="AB440" s="167"/>
    </row>
    <row r="441" spans="1:28" x14ac:dyDescent="0.15">
      <c r="A441" s="167"/>
      <c r="B441" s="167"/>
      <c r="C441" s="167"/>
      <c r="D441" s="168"/>
      <c r="E441" s="167"/>
      <c r="F441" s="167"/>
      <c r="G441" s="167"/>
      <c r="H441" s="167"/>
      <c r="AB441" s="167"/>
    </row>
    <row r="442" spans="1:28" x14ac:dyDescent="0.15">
      <c r="A442" s="167"/>
      <c r="B442" s="167"/>
      <c r="C442" s="167"/>
      <c r="D442" s="168"/>
      <c r="E442" s="167"/>
      <c r="F442" s="167"/>
      <c r="G442" s="167"/>
      <c r="H442" s="167"/>
      <c r="AB442" s="167"/>
    </row>
    <row r="443" spans="1:28" x14ac:dyDescent="0.15">
      <c r="A443" s="167"/>
      <c r="B443" s="167"/>
      <c r="C443" s="167"/>
      <c r="D443" s="168"/>
      <c r="E443" s="167"/>
      <c r="F443" s="167"/>
      <c r="G443" s="167"/>
      <c r="H443" s="167"/>
      <c r="AB443" s="167"/>
    </row>
    <row r="444" spans="1:28" x14ac:dyDescent="0.15">
      <c r="A444" s="167"/>
      <c r="B444" s="167"/>
      <c r="C444" s="167"/>
      <c r="D444" s="168"/>
      <c r="E444" s="167"/>
      <c r="F444" s="167"/>
      <c r="G444" s="167"/>
      <c r="H444" s="167"/>
      <c r="AB444" s="167"/>
    </row>
    <row r="445" spans="1:28" x14ac:dyDescent="0.15">
      <c r="A445" s="167"/>
      <c r="B445" s="167"/>
      <c r="C445" s="167"/>
      <c r="D445" s="168"/>
      <c r="E445" s="167"/>
      <c r="F445" s="167"/>
      <c r="G445" s="167"/>
      <c r="H445" s="167"/>
      <c r="AB445" s="167"/>
    </row>
    <row r="446" spans="1:28" x14ac:dyDescent="0.15">
      <c r="A446" s="167"/>
      <c r="B446" s="167"/>
      <c r="C446" s="167"/>
      <c r="D446" s="168"/>
      <c r="E446" s="167"/>
      <c r="F446" s="167"/>
      <c r="G446" s="167"/>
      <c r="H446" s="167"/>
      <c r="AB446" s="167"/>
    </row>
    <row r="447" spans="1:28" x14ac:dyDescent="0.15">
      <c r="A447" s="167"/>
      <c r="B447" s="167"/>
      <c r="C447" s="167"/>
      <c r="D447" s="168"/>
      <c r="E447" s="167"/>
      <c r="F447" s="167"/>
      <c r="G447" s="167"/>
      <c r="H447" s="167"/>
      <c r="AB447" s="167"/>
    </row>
    <row r="448" spans="1:28" x14ac:dyDescent="0.15">
      <c r="A448" s="167"/>
      <c r="B448" s="167"/>
      <c r="C448" s="167"/>
      <c r="D448" s="168"/>
      <c r="E448" s="167"/>
      <c r="F448" s="167"/>
      <c r="G448" s="167"/>
      <c r="H448" s="167"/>
      <c r="AB448" s="167"/>
    </row>
    <row r="449" spans="1:28" x14ac:dyDescent="0.15">
      <c r="A449" s="167"/>
      <c r="B449" s="167"/>
      <c r="C449" s="167"/>
      <c r="D449" s="168"/>
      <c r="E449" s="167"/>
      <c r="F449" s="167"/>
      <c r="G449" s="167"/>
      <c r="H449" s="167"/>
      <c r="AB449" s="167"/>
    </row>
    <row r="450" spans="1:28" x14ac:dyDescent="0.15">
      <c r="A450" s="167"/>
      <c r="B450" s="167"/>
      <c r="C450" s="167"/>
      <c r="D450" s="168"/>
      <c r="E450" s="167"/>
      <c r="F450" s="167"/>
      <c r="G450" s="167"/>
      <c r="H450" s="167"/>
      <c r="AB450" s="167"/>
    </row>
    <row r="451" spans="1:28" x14ac:dyDescent="0.15">
      <c r="A451" s="167"/>
      <c r="B451" s="167"/>
      <c r="C451" s="167"/>
      <c r="D451" s="168"/>
      <c r="E451" s="167"/>
      <c r="F451" s="167"/>
      <c r="G451" s="167"/>
      <c r="H451" s="167"/>
      <c r="AB451" s="167"/>
    </row>
    <row r="452" spans="1:28" x14ac:dyDescent="0.15">
      <c r="A452" s="167"/>
      <c r="B452" s="167"/>
      <c r="C452" s="167"/>
      <c r="D452" s="168"/>
      <c r="E452" s="167"/>
      <c r="F452" s="167"/>
      <c r="G452" s="167"/>
      <c r="H452" s="167"/>
      <c r="AB452" s="167"/>
    </row>
    <row r="453" spans="1:28" x14ac:dyDescent="0.15">
      <c r="A453" s="167"/>
      <c r="B453" s="167"/>
      <c r="C453" s="167"/>
      <c r="D453" s="168"/>
      <c r="E453" s="167"/>
      <c r="F453" s="167"/>
      <c r="G453" s="167"/>
      <c r="H453" s="167"/>
      <c r="AB453" s="167"/>
    </row>
    <row r="454" spans="1:28" x14ac:dyDescent="0.15">
      <c r="A454" s="167"/>
      <c r="B454" s="167"/>
      <c r="C454" s="167"/>
      <c r="D454" s="168"/>
      <c r="E454" s="167"/>
      <c r="F454" s="167"/>
      <c r="G454" s="167"/>
      <c r="H454" s="167"/>
      <c r="AB454" s="167"/>
    </row>
    <row r="455" spans="1:28" x14ac:dyDescent="0.15">
      <c r="A455" s="167"/>
      <c r="B455" s="167"/>
      <c r="C455" s="167"/>
      <c r="D455" s="168"/>
      <c r="E455" s="167"/>
      <c r="F455" s="167"/>
      <c r="G455" s="167"/>
      <c r="H455" s="167"/>
      <c r="AB455" s="167"/>
    </row>
    <row r="456" spans="1:28" x14ac:dyDescent="0.15">
      <c r="A456" s="167"/>
      <c r="B456" s="167"/>
      <c r="C456" s="167"/>
      <c r="D456" s="168"/>
      <c r="E456" s="167"/>
      <c r="F456" s="167"/>
      <c r="G456" s="167"/>
      <c r="H456" s="167"/>
      <c r="AB456" s="167"/>
    </row>
    <row r="457" spans="1:28" x14ac:dyDescent="0.15">
      <c r="A457" s="167"/>
      <c r="B457" s="167"/>
      <c r="C457" s="167"/>
      <c r="D457" s="168"/>
      <c r="E457" s="167"/>
      <c r="F457" s="167"/>
      <c r="G457" s="167"/>
      <c r="H457" s="167"/>
      <c r="AB457" s="167"/>
    </row>
    <row r="458" spans="1:28" x14ac:dyDescent="0.15">
      <c r="A458" s="167"/>
      <c r="B458" s="167"/>
      <c r="C458" s="167"/>
      <c r="D458" s="168"/>
      <c r="E458" s="167"/>
      <c r="F458" s="167"/>
      <c r="G458" s="167"/>
      <c r="H458" s="167"/>
      <c r="AB458" s="167"/>
    </row>
    <row r="459" spans="1:28" x14ac:dyDescent="0.15">
      <c r="A459" s="167"/>
      <c r="B459" s="167"/>
      <c r="C459" s="167"/>
      <c r="D459" s="168"/>
      <c r="E459" s="167"/>
      <c r="F459" s="167"/>
      <c r="G459" s="167"/>
      <c r="H459" s="167"/>
      <c r="AB459" s="167"/>
    </row>
    <row r="460" spans="1:28" x14ac:dyDescent="0.15">
      <c r="A460" s="167"/>
      <c r="B460" s="167"/>
      <c r="C460" s="167"/>
      <c r="D460" s="168"/>
      <c r="E460" s="167"/>
      <c r="F460" s="167"/>
      <c r="G460" s="167"/>
      <c r="H460" s="167"/>
      <c r="AB460" s="167"/>
    </row>
    <row r="461" spans="1:28" x14ac:dyDescent="0.15">
      <c r="A461" s="167"/>
      <c r="B461" s="167"/>
      <c r="C461" s="167"/>
      <c r="D461" s="168"/>
      <c r="E461" s="167"/>
      <c r="F461" s="167"/>
      <c r="G461" s="167"/>
      <c r="H461" s="167"/>
      <c r="AB461" s="167"/>
    </row>
    <row r="462" spans="1:28" x14ac:dyDescent="0.15">
      <c r="A462" s="167"/>
      <c r="B462" s="167"/>
      <c r="C462" s="167"/>
      <c r="D462" s="168"/>
      <c r="E462" s="167"/>
      <c r="F462" s="167"/>
      <c r="G462" s="167"/>
      <c r="H462" s="167"/>
      <c r="AB462" s="167"/>
    </row>
    <row r="463" spans="1:28" x14ac:dyDescent="0.15">
      <c r="A463" s="167"/>
      <c r="B463" s="167"/>
      <c r="C463" s="167"/>
      <c r="D463" s="168"/>
      <c r="E463" s="167"/>
      <c r="F463" s="167"/>
      <c r="G463" s="167"/>
      <c r="H463" s="167"/>
      <c r="AB463" s="167"/>
    </row>
    <row r="464" spans="1:28" x14ac:dyDescent="0.15">
      <c r="A464" s="167"/>
      <c r="B464" s="167"/>
      <c r="C464" s="167"/>
      <c r="D464" s="168"/>
      <c r="E464" s="167"/>
      <c r="F464" s="167"/>
      <c r="G464" s="167"/>
      <c r="H464" s="167"/>
      <c r="AB464" s="167"/>
    </row>
    <row r="465" spans="1:28" x14ac:dyDescent="0.15">
      <c r="A465" s="167"/>
      <c r="B465" s="167"/>
      <c r="C465" s="167"/>
      <c r="D465" s="168"/>
      <c r="E465" s="167"/>
      <c r="F465" s="167"/>
      <c r="G465" s="167"/>
      <c r="H465" s="167"/>
      <c r="AB465" s="167"/>
    </row>
    <row r="466" spans="1:28" x14ac:dyDescent="0.15">
      <c r="A466" s="167"/>
      <c r="B466" s="167"/>
      <c r="C466" s="167"/>
      <c r="D466" s="168"/>
      <c r="E466" s="167"/>
      <c r="F466" s="167"/>
      <c r="G466" s="167"/>
      <c r="H466" s="167"/>
      <c r="AB466" s="167"/>
    </row>
    <row r="467" spans="1:28" x14ac:dyDescent="0.15">
      <c r="A467" s="167"/>
      <c r="B467" s="167"/>
      <c r="C467" s="167"/>
      <c r="D467" s="168"/>
      <c r="E467" s="167"/>
      <c r="F467" s="167"/>
      <c r="G467" s="167"/>
      <c r="H467" s="167"/>
      <c r="AB467" s="167"/>
    </row>
    <row r="468" spans="1:28" x14ac:dyDescent="0.15">
      <c r="A468" s="167"/>
      <c r="B468" s="167"/>
      <c r="C468" s="167"/>
      <c r="D468" s="168"/>
      <c r="E468" s="167"/>
      <c r="F468" s="167"/>
      <c r="G468" s="167"/>
      <c r="H468" s="167"/>
      <c r="AB468" s="167"/>
    </row>
    <row r="469" spans="1:28" x14ac:dyDescent="0.15">
      <c r="A469" s="167"/>
      <c r="B469" s="167"/>
      <c r="C469" s="167"/>
      <c r="D469" s="168"/>
      <c r="E469" s="167"/>
      <c r="F469" s="167"/>
      <c r="G469" s="167"/>
      <c r="H469" s="167"/>
      <c r="AB469" s="167"/>
    </row>
    <row r="470" spans="1:28" x14ac:dyDescent="0.15">
      <c r="A470" s="167"/>
      <c r="B470" s="167"/>
      <c r="C470" s="167"/>
      <c r="D470" s="168"/>
      <c r="E470" s="167"/>
      <c r="F470" s="167"/>
      <c r="G470" s="167"/>
      <c r="H470" s="167"/>
      <c r="AB470" s="167"/>
    </row>
    <row r="471" spans="1:28" x14ac:dyDescent="0.15">
      <c r="A471" s="167"/>
      <c r="B471" s="167"/>
      <c r="C471" s="167"/>
      <c r="D471" s="168"/>
      <c r="E471" s="167"/>
      <c r="F471" s="167"/>
      <c r="G471" s="167"/>
      <c r="H471" s="167"/>
      <c r="AB471" s="167"/>
    </row>
    <row r="472" spans="1:28" x14ac:dyDescent="0.15">
      <c r="A472" s="167"/>
      <c r="B472" s="167"/>
      <c r="C472" s="167"/>
      <c r="D472" s="168"/>
      <c r="E472" s="167"/>
      <c r="F472" s="167"/>
      <c r="G472" s="167"/>
      <c r="H472" s="167"/>
      <c r="AB472" s="167"/>
    </row>
    <row r="473" spans="1:28" x14ac:dyDescent="0.15">
      <c r="A473" s="167"/>
      <c r="B473" s="167"/>
      <c r="C473" s="167"/>
      <c r="D473" s="168"/>
      <c r="E473" s="167"/>
      <c r="F473" s="167"/>
      <c r="G473" s="167"/>
      <c r="H473" s="167"/>
      <c r="AB473" s="167"/>
    </row>
    <row r="474" spans="1:28" x14ac:dyDescent="0.15">
      <c r="A474" s="167"/>
      <c r="B474" s="167"/>
      <c r="C474" s="167"/>
      <c r="D474" s="168"/>
      <c r="E474" s="167"/>
      <c r="F474" s="167"/>
      <c r="G474" s="167"/>
      <c r="H474" s="167"/>
      <c r="AB474" s="167"/>
    </row>
    <row r="475" spans="1:28" x14ac:dyDescent="0.15">
      <c r="A475" s="167"/>
      <c r="B475" s="167"/>
      <c r="C475" s="167"/>
      <c r="D475" s="168"/>
      <c r="E475" s="167"/>
      <c r="F475" s="167"/>
      <c r="G475" s="167"/>
      <c r="H475" s="167"/>
      <c r="AB475" s="167"/>
    </row>
    <row r="476" spans="1:28" x14ac:dyDescent="0.15">
      <c r="A476" s="167"/>
      <c r="B476" s="167"/>
      <c r="C476" s="167"/>
      <c r="D476" s="168"/>
      <c r="E476" s="167"/>
      <c r="F476" s="167"/>
      <c r="G476" s="167"/>
      <c r="H476" s="167"/>
      <c r="AB476" s="167"/>
    </row>
    <row r="477" spans="1:28" x14ac:dyDescent="0.15">
      <c r="A477" s="167"/>
      <c r="B477" s="167"/>
      <c r="C477" s="167"/>
      <c r="D477" s="168"/>
      <c r="E477" s="167"/>
      <c r="F477" s="167"/>
      <c r="G477" s="167"/>
      <c r="H477" s="167"/>
      <c r="AB477" s="167"/>
    </row>
    <row r="478" spans="1:28" x14ac:dyDescent="0.15">
      <c r="A478" s="167"/>
      <c r="B478" s="167"/>
      <c r="C478" s="167"/>
      <c r="D478" s="168"/>
      <c r="E478" s="167"/>
      <c r="F478" s="167"/>
      <c r="G478" s="167"/>
      <c r="H478" s="167"/>
      <c r="AB478" s="167"/>
    </row>
    <row r="479" spans="1:28" x14ac:dyDescent="0.15">
      <c r="A479" s="167"/>
      <c r="B479" s="167"/>
      <c r="C479" s="167"/>
      <c r="D479" s="168"/>
      <c r="E479" s="167"/>
      <c r="F479" s="167"/>
      <c r="G479" s="167"/>
      <c r="H479" s="167"/>
      <c r="AB479" s="167"/>
    </row>
    <row r="480" spans="1:28" x14ac:dyDescent="0.15">
      <c r="A480" s="167"/>
      <c r="B480" s="167"/>
      <c r="C480" s="167"/>
      <c r="D480" s="168"/>
      <c r="E480" s="167"/>
      <c r="F480" s="167"/>
      <c r="G480" s="167"/>
      <c r="H480" s="167"/>
      <c r="AB480" s="167"/>
    </row>
    <row r="481" spans="1:28" x14ac:dyDescent="0.15">
      <c r="A481" s="167"/>
      <c r="B481" s="167"/>
      <c r="C481" s="167"/>
      <c r="D481" s="168"/>
      <c r="E481" s="167"/>
      <c r="F481" s="167"/>
      <c r="G481" s="167"/>
      <c r="H481" s="167"/>
      <c r="AB481" s="167"/>
    </row>
    <row r="482" spans="1:28" x14ac:dyDescent="0.15">
      <c r="A482" s="167"/>
      <c r="B482" s="167"/>
      <c r="C482" s="167"/>
      <c r="D482" s="168"/>
      <c r="E482" s="167"/>
      <c r="F482" s="167"/>
      <c r="G482" s="167"/>
      <c r="H482" s="167"/>
      <c r="AB482" s="167"/>
    </row>
    <row r="483" spans="1:28" x14ac:dyDescent="0.15">
      <c r="A483" s="167"/>
      <c r="B483" s="167"/>
      <c r="C483" s="167"/>
      <c r="D483" s="168"/>
      <c r="E483" s="167"/>
      <c r="F483" s="167"/>
      <c r="G483" s="167"/>
      <c r="H483" s="167"/>
      <c r="AB483" s="167"/>
    </row>
    <row r="484" spans="1:28" x14ac:dyDescent="0.15">
      <c r="A484" s="167"/>
      <c r="B484" s="167"/>
      <c r="C484" s="167"/>
      <c r="D484" s="168"/>
      <c r="E484" s="167"/>
      <c r="F484" s="167"/>
      <c r="G484" s="167"/>
      <c r="H484" s="167"/>
      <c r="AB484" s="167"/>
    </row>
    <row r="485" spans="1:28" x14ac:dyDescent="0.15">
      <c r="A485" s="167"/>
      <c r="B485" s="167"/>
      <c r="C485" s="167"/>
      <c r="D485" s="168"/>
      <c r="E485" s="167"/>
      <c r="F485" s="167"/>
      <c r="G485" s="167"/>
      <c r="H485" s="167"/>
      <c r="AB485" s="167"/>
    </row>
    <row r="486" spans="1:28" x14ac:dyDescent="0.15">
      <c r="A486" s="167"/>
      <c r="B486" s="167"/>
      <c r="C486" s="167"/>
      <c r="D486" s="168"/>
      <c r="E486" s="167"/>
      <c r="F486" s="167"/>
      <c r="G486" s="167"/>
      <c r="H486" s="167"/>
      <c r="AB486" s="167"/>
    </row>
    <row r="487" spans="1:28" x14ac:dyDescent="0.15">
      <c r="A487" s="167"/>
      <c r="B487" s="167"/>
      <c r="C487" s="167"/>
      <c r="D487" s="168"/>
      <c r="E487" s="167"/>
      <c r="F487" s="167"/>
      <c r="G487" s="167"/>
      <c r="H487" s="167"/>
      <c r="AB487" s="167"/>
    </row>
    <row r="488" spans="1:28" x14ac:dyDescent="0.15">
      <c r="A488" s="167"/>
      <c r="B488" s="167"/>
      <c r="C488" s="167"/>
      <c r="D488" s="168"/>
      <c r="E488" s="167"/>
      <c r="F488" s="167"/>
      <c r="G488" s="167"/>
      <c r="H488" s="167"/>
      <c r="AB488" s="167"/>
    </row>
    <row r="489" spans="1:28" x14ac:dyDescent="0.15">
      <c r="A489" s="167"/>
      <c r="B489" s="167"/>
      <c r="C489" s="167"/>
      <c r="D489" s="168"/>
      <c r="E489" s="167"/>
      <c r="F489" s="167"/>
      <c r="G489" s="167"/>
      <c r="H489" s="167"/>
      <c r="AB489" s="167"/>
    </row>
    <row r="490" spans="1:28" x14ac:dyDescent="0.15">
      <c r="A490" s="167"/>
      <c r="B490" s="167"/>
      <c r="C490" s="167"/>
      <c r="D490" s="168"/>
      <c r="E490" s="167"/>
      <c r="F490" s="167"/>
      <c r="G490" s="167"/>
      <c r="H490" s="167"/>
      <c r="AB490" s="167"/>
    </row>
    <row r="491" spans="1:28" x14ac:dyDescent="0.15">
      <c r="A491" s="167"/>
      <c r="B491" s="167"/>
      <c r="C491" s="167"/>
      <c r="D491" s="168"/>
      <c r="E491" s="167"/>
      <c r="F491" s="167"/>
      <c r="G491" s="167"/>
      <c r="H491" s="167"/>
      <c r="AB491" s="167"/>
    </row>
    <row r="492" spans="1:28" x14ac:dyDescent="0.15">
      <c r="A492" s="167"/>
      <c r="B492" s="167"/>
      <c r="C492" s="167"/>
      <c r="D492" s="168"/>
      <c r="E492" s="167"/>
      <c r="F492" s="167"/>
      <c r="G492" s="167"/>
      <c r="H492" s="167"/>
      <c r="AB492" s="167"/>
    </row>
    <row r="493" spans="1:28" x14ac:dyDescent="0.15">
      <c r="A493" s="167"/>
      <c r="B493" s="167"/>
      <c r="C493" s="167"/>
      <c r="D493" s="168"/>
      <c r="E493" s="167"/>
      <c r="F493" s="167"/>
      <c r="G493" s="167"/>
      <c r="H493" s="167"/>
      <c r="AB493" s="167"/>
    </row>
    <row r="494" spans="1:28" x14ac:dyDescent="0.15">
      <c r="A494" s="167"/>
      <c r="B494" s="167"/>
      <c r="C494" s="167"/>
      <c r="D494" s="168"/>
      <c r="E494" s="167"/>
      <c r="F494" s="167"/>
      <c r="G494" s="167"/>
      <c r="H494" s="167"/>
      <c r="AB494" s="167"/>
    </row>
    <row r="495" spans="1:28" x14ac:dyDescent="0.15">
      <c r="A495" s="167"/>
      <c r="B495" s="167"/>
      <c r="C495" s="167"/>
      <c r="D495" s="168"/>
      <c r="E495" s="167"/>
      <c r="F495" s="167"/>
      <c r="G495" s="167"/>
      <c r="H495" s="167"/>
      <c r="AB495" s="167"/>
    </row>
    <row r="496" spans="1:28" x14ac:dyDescent="0.15">
      <c r="A496" s="167"/>
      <c r="B496" s="167"/>
      <c r="C496" s="167"/>
      <c r="D496" s="168"/>
      <c r="E496" s="167"/>
      <c r="F496" s="167"/>
      <c r="G496" s="167"/>
      <c r="H496" s="167"/>
      <c r="AB496" s="167"/>
    </row>
    <row r="497" spans="1:28" x14ac:dyDescent="0.15">
      <c r="A497" s="167"/>
      <c r="B497" s="167"/>
      <c r="C497" s="167"/>
      <c r="D497" s="168"/>
      <c r="E497" s="167"/>
      <c r="F497" s="167"/>
      <c r="G497" s="167"/>
      <c r="H497" s="167"/>
      <c r="AB497" s="167"/>
    </row>
    <row r="498" spans="1:28" x14ac:dyDescent="0.15">
      <c r="A498" s="167"/>
      <c r="B498" s="167"/>
      <c r="C498" s="167"/>
      <c r="D498" s="168"/>
      <c r="E498" s="167"/>
      <c r="F498" s="167"/>
      <c r="G498" s="167"/>
      <c r="H498" s="167"/>
      <c r="AB498" s="167"/>
    </row>
    <row r="499" spans="1:28" x14ac:dyDescent="0.15">
      <c r="A499" s="167"/>
      <c r="B499" s="167"/>
      <c r="C499" s="167"/>
      <c r="D499" s="168"/>
      <c r="E499" s="167"/>
      <c r="F499" s="167"/>
      <c r="G499" s="167"/>
      <c r="H499" s="167"/>
      <c r="AB499" s="167"/>
    </row>
    <row r="500" spans="1:28" x14ac:dyDescent="0.15">
      <c r="A500" s="167"/>
      <c r="B500" s="167"/>
      <c r="C500" s="167"/>
      <c r="D500" s="168"/>
      <c r="E500" s="167"/>
      <c r="F500" s="167"/>
      <c r="G500" s="167"/>
      <c r="H500" s="167"/>
      <c r="AB500" s="167"/>
    </row>
    <row r="501" spans="1:28" x14ac:dyDescent="0.15">
      <c r="A501" s="167"/>
      <c r="B501" s="167"/>
      <c r="C501" s="167"/>
      <c r="D501" s="168"/>
      <c r="E501" s="167"/>
      <c r="F501" s="167"/>
      <c r="G501" s="167"/>
      <c r="H501" s="167"/>
      <c r="AB501" s="167"/>
    </row>
    <row r="502" spans="1:28" x14ac:dyDescent="0.15">
      <c r="A502" s="167"/>
      <c r="B502" s="167"/>
      <c r="C502" s="167"/>
      <c r="D502" s="168"/>
      <c r="E502" s="167"/>
      <c r="F502" s="167"/>
      <c r="G502" s="167"/>
      <c r="H502" s="167"/>
      <c r="AB502" s="167"/>
    </row>
    <row r="503" spans="1:28" x14ac:dyDescent="0.15">
      <c r="A503" s="167"/>
      <c r="B503" s="167"/>
      <c r="C503" s="167"/>
      <c r="D503" s="168"/>
      <c r="E503" s="167"/>
      <c r="F503" s="167"/>
      <c r="G503" s="167"/>
      <c r="H503" s="167"/>
      <c r="AB503" s="167"/>
    </row>
    <row r="504" spans="1:28" x14ac:dyDescent="0.15">
      <c r="A504" s="167"/>
      <c r="B504" s="167"/>
      <c r="C504" s="167"/>
      <c r="D504" s="168"/>
      <c r="E504" s="167"/>
      <c r="F504" s="167"/>
      <c r="G504" s="167"/>
      <c r="H504" s="167"/>
      <c r="AB504" s="167"/>
    </row>
    <row r="505" spans="1:28" x14ac:dyDescent="0.15">
      <c r="A505" s="167"/>
      <c r="B505" s="167"/>
      <c r="C505" s="167"/>
      <c r="D505" s="168"/>
      <c r="E505" s="167"/>
      <c r="F505" s="167"/>
      <c r="G505" s="167"/>
      <c r="H505" s="167"/>
      <c r="AB505" s="167"/>
    </row>
    <row r="506" spans="1:28" x14ac:dyDescent="0.15">
      <c r="A506" s="167"/>
      <c r="B506" s="167"/>
      <c r="C506" s="167"/>
      <c r="D506" s="168"/>
      <c r="E506" s="167"/>
      <c r="F506" s="167"/>
      <c r="G506" s="167"/>
      <c r="H506" s="167"/>
      <c r="AB506" s="167"/>
    </row>
    <row r="507" spans="1:28" x14ac:dyDescent="0.15">
      <c r="A507" s="167"/>
      <c r="B507" s="167"/>
      <c r="C507" s="167"/>
      <c r="D507" s="168"/>
      <c r="E507" s="167"/>
      <c r="F507" s="167"/>
      <c r="G507" s="167"/>
      <c r="H507" s="167"/>
      <c r="AB507" s="167"/>
    </row>
    <row r="508" spans="1:28" x14ac:dyDescent="0.15">
      <c r="A508" s="167"/>
      <c r="B508" s="167"/>
      <c r="C508" s="167"/>
      <c r="D508" s="168"/>
      <c r="E508" s="167"/>
      <c r="F508" s="167"/>
      <c r="G508" s="167"/>
      <c r="H508" s="167"/>
      <c r="AB508" s="167"/>
    </row>
    <row r="509" spans="1:28" x14ac:dyDescent="0.15">
      <c r="A509" s="167"/>
      <c r="B509" s="167"/>
      <c r="C509" s="167"/>
      <c r="D509" s="168"/>
      <c r="E509" s="167"/>
      <c r="F509" s="167"/>
      <c r="G509" s="167"/>
      <c r="H509" s="167"/>
      <c r="AB509" s="167"/>
    </row>
    <row r="510" spans="1:28" x14ac:dyDescent="0.15">
      <c r="A510" s="167"/>
      <c r="B510" s="167"/>
      <c r="C510" s="167"/>
      <c r="D510" s="168"/>
      <c r="E510" s="167"/>
      <c r="F510" s="167"/>
      <c r="G510" s="167"/>
      <c r="H510" s="167"/>
      <c r="AB510" s="167"/>
    </row>
    <row r="511" spans="1:28" x14ac:dyDescent="0.15">
      <c r="A511" s="167"/>
      <c r="B511" s="167"/>
      <c r="C511" s="167"/>
      <c r="D511" s="168"/>
      <c r="E511" s="167"/>
      <c r="F511" s="167"/>
      <c r="G511" s="167"/>
      <c r="H511" s="167"/>
      <c r="AB511" s="167"/>
    </row>
    <row r="512" spans="1:28" x14ac:dyDescent="0.15">
      <c r="A512" s="167"/>
      <c r="B512" s="167"/>
      <c r="C512" s="167"/>
      <c r="D512" s="168"/>
      <c r="E512" s="167"/>
      <c r="F512" s="167"/>
      <c r="G512" s="167"/>
      <c r="H512" s="167"/>
      <c r="AB512" s="167"/>
    </row>
    <row r="513" spans="1:28" x14ac:dyDescent="0.15">
      <c r="A513" s="167"/>
      <c r="B513" s="167"/>
      <c r="C513" s="167"/>
      <c r="D513" s="168"/>
      <c r="E513" s="167"/>
      <c r="F513" s="167"/>
      <c r="G513" s="167"/>
      <c r="H513" s="167"/>
      <c r="AB513" s="167"/>
    </row>
    <row r="514" spans="1:28" x14ac:dyDescent="0.15">
      <c r="A514" s="167"/>
      <c r="B514" s="167"/>
      <c r="C514" s="167"/>
      <c r="D514" s="168"/>
      <c r="E514" s="167"/>
      <c r="F514" s="167"/>
      <c r="G514" s="167"/>
      <c r="H514" s="167"/>
      <c r="AB514" s="167"/>
    </row>
    <row r="515" spans="1:28" x14ac:dyDescent="0.15">
      <c r="A515" s="167"/>
      <c r="B515" s="167"/>
      <c r="C515" s="167"/>
      <c r="D515" s="168"/>
      <c r="E515" s="167"/>
      <c r="F515" s="167"/>
      <c r="G515" s="167"/>
      <c r="H515" s="167"/>
      <c r="AB515" s="167"/>
    </row>
    <row r="516" spans="1:28" x14ac:dyDescent="0.15">
      <c r="A516" s="167"/>
      <c r="B516" s="167"/>
      <c r="C516" s="167"/>
      <c r="D516" s="168"/>
      <c r="E516" s="167"/>
      <c r="F516" s="167"/>
      <c r="G516" s="167"/>
      <c r="H516" s="167"/>
      <c r="AB516" s="167"/>
    </row>
    <row r="517" spans="1:28" x14ac:dyDescent="0.15">
      <c r="A517" s="167"/>
      <c r="B517" s="167"/>
      <c r="C517" s="167"/>
      <c r="D517" s="168"/>
      <c r="E517" s="167"/>
      <c r="F517" s="167"/>
      <c r="G517" s="167"/>
      <c r="H517" s="167"/>
      <c r="AB517" s="167"/>
    </row>
    <row r="518" spans="1:28" x14ac:dyDescent="0.15">
      <c r="A518" s="167"/>
      <c r="B518" s="167"/>
      <c r="C518" s="167"/>
      <c r="D518" s="168"/>
      <c r="E518" s="167"/>
      <c r="F518" s="167"/>
      <c r="G518" s="167"/>
      <c r="H518" s="167"/>
      <c r="AB518" s="167"/>
    </row>
    <row r="519" spans="1:28" x14ac:dyDescent="0.15">
      <c r="A519" s="167"/>
      <c r="B519" s="167"/>
      <c r="C519" s="167"/>
      <c r="D519" s="168"/>
      <c r="E519" s="167"/>
      <c r="F519" s="167"/>
      <c r="G519" s="167"/>
      <c r="H519" s="167"/>
      <c r="AB519" s="167"/>
    </row>
    <row r="520" spans="1:28" x14ac:dyDescent="0.15">
      <c r="A520" s="167"/>
      <c r="B520" s="167"/>
      <c r="C520" s="167"/>
      <c r="D520" s="168"/>
      <c r="E520" s="167"/>
      <c r="F520" s="167"/>
      <c r="G520" s="167"/>
      <c r="H520" s="167"/>
      <c r="AB520" s="167"/>
    </row>
    <row r="521" spans="1:28" x14ac:dyDescent="0.15">
      <c r="A521" s="167"/>
      <c r="B521" s="167"/>
      <c r="C521" s="167"/>
      <c r="D521" s="168"/>
      <c r="E521" s="167"/>
      <c r="F521" s="167"/>
      <c r="G521" s="167"/>
      <c r="H521" s="167"/>
      <c r="AB521" s="167"/>
    </row>
    <row r="522" spans="1:28" x14ac:dyDescent="0.15">
      <c r="A522" s="167"/>
      <c r="B522" s="167"/>
      <c r="C522" s="167"/>
      <c r="D522" s="168"/>
      <c r="E522" s="167"/>
      <c r="F522" s="167"/>
      <c r="G522" s="167"/>
      <c r="H522" s="167"/>
      <c r="AB522" s="167"/>
    </row>
    <row r="523" spans="1:28" x14ac:dyDescent="0.15">
      <c r="A523" s="167"/>
      <c r="B523" s="167"/>
      <c r="C523" s="167"/>
      <c r="D523" s="168"/>
      <c r="E523" s="167"/>
      <c r="F523" s="167"/>
      <c r="G523" s="167"/>
      <c r="H523" s="167"/>
      <c r="AB523" s="167"/>
    </row>
    <row r="524" spans="1:28" x14ac:dyDescent="0.15">
      <c r="A524" s="167"/>
      <c r="B524" s="167"/>
      <c r="C524" s="167"/>
      <c r="D524" s="168"/>
      <c r="E524" s="167"/>
      <c r="F524" s="167"/>
      <c r="G524" s="167"/>
      <c r="H524" s="167"/>
      <c r="AB524" s="167"/>
    </row>
    <row r="525" spans="1:28" x14ac:dyDescent="0.15">
      <c r="A525" s="167"/>
      <c r="B525" s="167"/>
      <c r="C525" s="167"/>
      <c r="D525" s="168"/>
      <c r="E525" s="167"/>
      <c r="F525" s="167"/>
      <c r="G525" s="167"/>
      <c r="H525" s="167"/>
      <c r="AB525" s="167"/>
    </row>
    <row r="526" spans="1:28" x14ac:dyDescent="0.15">
      <c r="A526" s="167"/>
      <c r="B526" s="167"/>
      <c r="C526" s="167"/>
      <c r="D526" s="168"/>
      <c r="E526" s="167"/>
      <c r="F526" s="167"/>
      <c r="G526" s="167"/>
      <c r="H526" s="167"/>
      <c r="AB526" s="167"/>
    </row>
    <row r="527" spans="1:28" x14ac:dyDescent="0.15">
      <c r="A527" s="167"/>
      <c r="B527" s="167"/>
      <c r="C527" s="167"/>
      <c r="D527" s="168"/>
      <c r="E527" s="167"/>
      <c r="F527" s="167"/>
      <c r="G527" s="167"/>
      <c r="H527" s="167"/>
      <c r="AB527" s="167"/>
    </row>
    <row r="528" spans="1:28" x14ac:dyDescent="0.15">
      <c r="A528" s="167"/>
      <c r="B528" s="167"/>
      <c r="C528" s="167"/>
      <c r="D528" s="168"/>
      <c r="E528" s="167"/>
      <c r="F528" s="167"/>
      <c r="G528" s="167"/>
      <c r="H528" s="167"/>
      <c r="AB528" s="167"/>
    </row>
    <row r="529" spans="1:28" x14ac:dyDescent="0.15">
      <c r="A529" s="167"/>
      <c r="B529" s="167"/>
      <c r="C529" s="167"/>
      <c r="D529" s="168"/>
      <c r="E529" s="167"/>
      <c r="F529" s="167"/>
      <c r="G529" s="167"/>
      <c r="H529" s="167"/>
      <c r="AB529" s="167"/>
    </row>
    <row r="530" spans="1:28" x14ac:dyDescent="0.15">
      <c r="A530" s="167"/>
      <c r="B530" s="167"/>
      <c r="C530" s="167"/>
      <c r="D530" s="168"/>
      <c r="E530" s="167"/>
      <c r="F530" s="167"/>
      <c r="G530" s="167"/>
      <c r="H530" s="167"/>
      <c r="AB530" s="167"/>
    </row>
    <row r="531" spans="1:28" x14ac:dyDescent="0.15">
      <c r="A531" s="167"/>
      <c r="B531" s="167"/>
      <c r="C531" s="167"/>
      <c r="D531" s="168"/>
      <c r="E531" s="167"/>
      <c r="F531" s="167"/>
      <c r="G531" s="167"/>
      <c r="H531" s="167"/>
      <c r="AB531" s="167"/>
    </row>
    <row r="532" spans="1:28" x14ac:dyDescent="0.15">
      <c r="A532" s="167"/>
      <c r="B532" s="167"/>
      <c r="C532" s="167"/>
      <c r="D532" s="168"/>
      <c r="E532" s="167"/>
      <c r="F532" s="167"/>
      <c r="G532" s="167"/>
      <c r="H532" s="167"/>
      <c r="AB532" s="167"/>
    </row>
    <row r="533" spans="1:28" x14ac:dyDescent="0.15">
      <c r="A533" s="167"/>
      <c r="B533" s="167"/>
      <c r="C533" s="167"/>
      <c r="D533" s="168"/>
      <c r="E533" s="167"/>
      <c r="F533" s="167"/>
      <c r="G533" s="167"/>
      <c r="H533" s="167"/>
    </row>
    <row r="534" spans="1:28" x14ac:dyDescent="0.15">
      <c r="A534" s="167"/>
      <c r="B534" s="167"/>
      <c r="C534" s="167"/>
      <c r="D534" s="168"/>
      <c r="E534" s="167"/>
      <c r="F534" s="167"/>
      <c r="G534" s="167"/>
      <c r="H534" s="167"/>
    </row>
    <row r="535" spans="1:28" x14ac:dyDescent="0.15">
      <c r="A535" s="167"/>
      <c r="B535" s="167"/>
      <c r="C535" s="167"/>
      <c r="D535" s="168"/>
      <c r="E535" s="167"/>
      <c r="F535" s="167"/>
      <c r="G535" s="167"/>
      <c r="H535" s="167"/>
    </row>
    <row r="536" spans="1:28" x14ac:dyDescent="0.15">
      <c r="A536" s="167"/>
      <c r="B536" s="167"/>
      <c r="C536" s="167"/>
      <c r="D536" s="168"/>
      <c r="E536" s="167"/>
      <c r="F536" s="167"/>
      <c r="G536" s="167"/>
      <c r="H536" s="167"/>
    </row>
    <row r="537" spans="1:28" x14ac:dyDescent="0.15">
      <c r="A537" s="167"/>
      <c r="B537" s="167"/>
      <c r="C537" s="167"/>
      <c r="D537" s="168"/>
      <c r="E537" s="167"/>
      <c r="F537" s="167"/>
      <c r="G537" s="167"/>
      <c r="H537" s="167"/>
    </row>
    <row r="538" spans="1:28" x14ac:dyDescent="0.15">
      <c r="A538" s="167"/>
      <c r="B538" s="167"/>
      <c r="C538" s="167"/>
      <c r="D538" s="168"/>
      <c r="E538" s="167"/>
      <c r="F538" s="167"/>
      <c r="G538" s="167"/>
      <c r="H538" s="167"/>
    </row>
    <row r="539" spans="1:28" x14ac:dyDescent="0.15">
      <c r="A539" s="167"/>
      <c r="B539" s="167"/>
      <c r="C539" s="167"/>
      <c r="D539" s="168"/>
      <c r="E539" s="167"/>
      <c r="F539" s="167"/>
      <c r="G539" s="167"/>
      <c r="H539" s="167"/>
    </row>
    <row r="540" spans="1:28" x14ac:dyDescent="0.15">
      <c r="A540" s="167"/>
      <c r="B540" s="167"/>
      <c r="C540" s="167"/>
      <c r="D540" s="168"/>
      <c r="E540" s="167"/>
      <c r="F540" s="167"/>
      <c r="G540" s="167"/>
      <c r="H540" s="167"/>
    </row>
    <row r="541" spans="1:28" x14ac:dyDescent="0.15">
      <c r="A541" s="167"/>
      <c r="B541" s="167"/>
      <c r="C541" s="167"/>
      <c r="D541" s="168"/>
      <c r="E541" s="167"/>
      <c r="F541" s="167"/>
      <c r="G541" s="167"/>
      <c r="H541" s="167"/>
    </row>
    <row r="542" spans="1:28" x14ac:dyDescent="0.15">
      <c r="A542" s="167"/>
      <c r="B542" s="167"/>
      <c r="C542" s="167"/>
      <c r="D542" s="168"/>
      <c r="E542" s="167"/>
      <c r="F542" s="167"/>
      <c r="G542" s="167"/>
      <c r="H542" s="167"/>
    </row>
    <row r="543" spans="1:28" x14ac:dyDescent="0.15">
      <c r="A543" s="167"/>
      <c r="B543" s="167"/>
      <c r="C543" s="167"/>
      <c r="D543" s="168"/>
      <c r="E543" s="167"/>
      <c r="F543" s="167"/>
      <c r="G543" s="167"/>
      <c r="H543" s="167"/>
    </row>
    <row r="544" spans="1:28" x14ac:dyDescent="0.15">
      <c r="A544" s="167"/>
      <c r="B544" s="167"/>
      <c r="C544" s="167"/>
      <c r="D544" s="168"/>
      <c r="E544" s="167"/>
      <c r="F544" s="167"/>
      <c r="G544" s="167"/>
      <c r="H544" s="167"/>
    </row>
    <row r="545" spans="1:8" x14ac:dyDescent="0.15">
      <c r="A545" s="167"/>
      <c r="B545" s="167"/>
      <c r="C545" s="167"/>
      <c r="D545" s="168"/>
      <c r="E545" s="167"/>
      <c r="F545" s="167"/>
      <c r="G545" s="167"/>
      <c r="H545" s="167"/>
    </row>
    <row r="546" spans="1:8" x14ac:dyDescent="0.15">
      <c r="A546" s="167"/>
      <c r="B546" s="167"/>
      <c r="C546" s="167"/>
      <c r="D546" s="168"/>
      <c r="E546" s="167"/>
      <c r="F546" s="167"/>
      <c r="G546" s="167"/>
      <c r="H546" s="167"/>
    </row>
    <row r="547" spans="1:8" x14ac:dyDescent="0.15">
      <c r="A547" s="167"/>
      <c r="B547" s="167"/>
      <c r="C547" s="167"/>
      <c r="D547" s="168"/>
      <c r="E547" s="167"/>
      <c r="F547" s="167"/>
      <c r="G547" s="167"/>
      <c r="H547" s="167"/>
    </row>
    <row r="548" spans="1:8" x14ac:dyDescent="0.15">
      <c r="A548" s="167"/>
      <c r="B548" s="167"/>
      <c r="C548" s="167"/>
      <c r="D548" s="168"/>
      <c r="E548" s="167"/>
      <c r="F548" s="167"/>
      <c r="G548" s="167"/>
      <c r="H548" s="167"/>
    </row>
    <row r="549" spans="1:8" x14ac:dyDescent="0.15">
      <c r="A549" s="167"/>
      <c r="B549" s="167"/>
      <c r="C549" s="167"/>
      <c r="D549" s="168"/>
      <c r="E549" s="167"/>
      <c r="F549" s="167"/>
      <c r="G549" s="167"/>
      <c r="H549" s="167"/>
    </row>
    <row r="550" spans="1:8" x14ac:dyDescent="0.15">
      <c r="A550" s="167"/>
      <c r="B550" s="167"/>
      <c r="C550" s="167"/>
      <c r="D550" s="168"/>
      <c r="E550" s="167"/>
      <c r="F550" s="167"/>
      <c r="G550" s="167"/>
      <c r="H550" s="167"/>
    </row>
    <row r="551" spans="1:8" x14ac:dyDescent="0.15">
      <c r="A551" s="167"/>
      <c r="B551" s="167"/>
      <c r="C551" s="167"/>
      <c r="D551" s="168"/>
      <c r="E551" s="167"/>
      <c r="F551" s="167"/>
      <c r="G551" s="167"/>
      <c r="H551" s="167"/>
    </row>
    <row r="552" spans="1:8" x14ac:dyDescent="0.15">
      <c r="A552" s="167"/>
      <c r="B552" s="167"/>
      <c r="C552" s="167"/>
      <c r="D552" s="168"/>
      <c r="E552" s="167"/>
      <c r="F552" s="167"/>
      <c r="G552" s="167"/>
      <c r="H552" s="167"/>
    </row>
    <row r="553" spans="1:8" x14ac:dyDescent="0.15">
      <c r="A553" s="167"/>
      <c r="B553" s="167"/>
      <c r="C553" s="167"/>
      <c r="D553" s="168"/>
      <c r="E553" s="167"/>
      <c r="F553" s="167"/>
      <c r="G553" s="167"/>
      <c r="H553" s="167"/>
    </row>
    <row r="554" spans="1:8" x14ac:dyDescent="0.15">
      <c r="A554" s="167"/>
      <c r="B554" s="167"/>
      <c r="C554" s="167"/>
      <c r="D554" s="168"/>
      <c r="E554" s="167"/>
      <c r="F554" s="167"/>
      <c r="G554" s="167"/>
      <c r="H554" s="167"/>
    </row>
    <row r="555" spans="1:8" x14ac:dyDescent="0.15">
      <c r="A555" s="167"/>
      <c r="B555" s="167"/>
      <c r="C555" s="167"/>
      <c r="D555" s="168"/>
      <c r="E555" s="167"/>
      <c r="F555" s="167"/>
      <c r="G555" s="167"/>
      <c r="H555" s="167"/>
    </row>
    <row r="556" spans="1:8" x14ac:dyDescent="0.15">
      <c r="A556" s="167"/>
      <c r="B556" s="167"/>
      <c r="C556" s="167"/>
      <c r="D556" s="168"/>
      <c r="E556" s="167"/>
      <c r="F556" s="167"/>
      <c r="G556" s="167"/>
      <c r="H556" s="167"/>
    </row>
    <row r="557" spans="1:8" x14ac:dyDescent="0.15">
      <c r="A557" s="167"/>
      <c r="B557" s="167"/>
      <c r="C557" s="167"/>
      <c r="D557" s="168"/>
      <c r="E557" s="167"/>
      <c r="F557" s="167"/>
      <c r="G557" s="167"/>
      <c r="H557" s="167"/>
    </row>
    <row r="558" spans="1:8" x14ac:dyDescent="0.15">
      <c r="A558" s="167"/>
      <c r="B558" s="167"/>
      <c r="C558" s="167"/>
      <c r="D558" s="168"/>
      <c r="E558" s="167"/>
      <c r="F558" s="167"/>
      <c r="G558" s="167"/>
      <c r="H558" s="167"/>
    </row>
    <row r="559" spans="1:8" x14ac:dyDescent="0.15">
      <c r="A559" s="167"/>
      <c r="B559" s="167"/>
      <c r="C559" s="167"/>
      <c r="D559" s="168"/>
      <c r="E559" s="167"/>
      <c r="F559" s="167"/>
      <c r="G559" s="167"/>
      <c r="H559" s="167"/>
    </row>
    <row r="560" spans="1:8" x14ac:dyDescent="0.15">
      <c r="A560" s="167"/>
      <c r="B560" s="167"/>
      <c r="C560" s="167"/>
      <c r="D560" s="168"/>
      <c r="E560" s="167"/>
      <c r="F560" s="167"/>
      <c r="G560" s="167"/>
      <c r="H560" s="167"/>
    </row>
    <row r="561" spans="1:8" x14ac:dyDescent="0.15">
      <c r="A561" s="167"/>
      <c r="B561" s="167"/>
      <c r="C561" s="167"/>
      <c r="D561" s="168"/>
      <c r="E561" s="167"/>
      <c r="F561" s="167"/>
      <c r="G561" s="167"/>
      <c r="H561" s="167"/>
    </row>
    <row r="562" spans="1:8" x14ac:dyDescent="0.15">
      <c r="A562" s="167"/>
      <c r="B562" s="167"/>
      <c r="C562" s="167"/>
      <c r="D562" s="168"/>
      <c r="E562" s="167"/>
      <c r="F562" s="167"/>
      <c r="G562" s="167"/>
      <c r="H562" s="167"/>
    </row>
    <row r="563" spans="1:8" x14ac:dyDescent="0.15">
      <c r="A563" s="167"/>
      <c r="B563" s="167"/>
      <c r="C563" s="167"/>
      <c r="D563" s="168"/>
      <c r="E563" s="167"/>
      <c r="F563" s="167"/>
      <c r="G563" s="167"/>
      <c r="H563" s="167"/>
    </row>
    <row r="564" spans="1:8" x14ac:dyDescent="0.15">
      <c r="A564" s="167"/>
      <c r="B564" s="167"/>
      <c r="C564" s="167"/>
      <c r="D564" s="168"/>
      <c r="E564" s="167"/>
      <c r="F564" s="167"/>
      <c r="G564" s="167"/>
      <c r="H564" s="167"/>
    </row>
    <row r="565" spans="1:8" x14ac:dyDescent="0.15">
      <c r="A565" s="167"/>
      <c r="B565" s="167"/>
      <c r="C565" s="167"/>
      <c r="D565" s="168"/>
      <c r="E565" s="167"/>
      <c r="F565" s="167"/>
      <c r="G565" s="167"/>
      <c r="H565" s="167"/>
    </row>
    <row r="566" spans="1:8" x14ac:dyDescent="0.15">
      <c r="A566" s="167"/>
      <c r="B566" s="167"/>
      <c r="C566" s="167"/>
      <c r="D566" s="168"/>
      <c r="E566" s="167"/>
      <c r="F566" s="167"/>
      <c r="G566" s="167"/>
      <c r="H566" s="167"/>
    </row>
    <row r="567" spans="1:8" x14ac:dyDescent="0.15">
      <c r="A567" s="167"/>
      <c r="B567" s="167"/>
      <c r="C567" s="167"/>
      <c r="D567" s="168"/>
      <c r="E567" s="167"/>
      <c r="F567" s="167"/>
      <c r="G567" s="167"/>
      <c r="H567" s="167"/>
    </row>
    <row r="568" spans="1:8" x14ac:dyDescent="0.15">
      <c r="A568" s="167"/>
      <c r="B568" s="167"/>
      <c r="C568" s="167"/>
      <c r="D568" s="168"/>
      <c r="E568" s="167"/>
      <c r="F568" s="167"/>
      <c r="G568" s="167"/>
      <c r="H568" s="167"/>
    </row>
    <row r="569" spans="1:8" x14ac:dyDescent="0.15">
      <c r="A569" s="167"/>
      <c r="B569" s="167"/>
      <c r="C569" s="167"/>
      <c r="D569" s="168"/>
      <c r="E569" s="167"/>
      <c r="F569" s="167"/>
      <c r="G569" s="167"/>
      <c r="H569" s="167"/>
    </row>
    <row r="570" spans="1:8" x14ac:dyDescent="0.15">
      <c r="A570" s="167"/>
      <c r="B570" s="167"/>
      <c r="C570" s="167"/>
      <c r="D570" s="168"/>
      <c r="E570" s="167"/>
      <c r="F570" s="167"/>
      <c r="G570" s="167"/>
      <c r="H570" s="167"/>
    </row>
    <row r="571" spans="1:8" x14ac:dyDescent="0.15">
      <c r="A571" s="167"/>
      <c r="B571" s="167"/>
      <c r="C571" s="167"/>
      <c r="D571" s="168"/>
      <c r="E571" s="167"/>
      <c r="F571" s="167"/>
      <c r="G571" s="167"/>
      <c r="H571" s="167"/>
    </row>
    <row r="572" spans="1:8" x14ac:dyDescent="0.15">
      <c r="A572" s="167"/>
      <c r="B572" s="167"/>
      <c r="C572" s="167"/>
      <c r="D572" s="168"/>
      <c r="E572" s="167"/>
      <c r="F572" s="167"/>
      <c r="G572" s="167"/>
      <c r="H572" s="167"/>
    </row>
    <row r="573" spans="1:8" x14ac:dyDescent="0.15">
      <c r="A573" s="167"/>
      <c r="B573" s="167"/>
      <c r="C573" s="167"/>
      <c r="D573" s="168"/>
      <c r="E573" s="167"/>
      <c r="F573" s="167"/>
      <c r="G573" s="167"/>
      <c r="H573" s="167"/>
    </row>
    <row r="574" spans="1:8" x14ac:dyDescent="0.15">
      <c r="A574" s="167"/>
      <c r="B574" s="167"/>
      <c r="C574" s="167"/>
      <c r="D574" s="168"/>
      <c r="E574" s="167"/>
      <c r="F574" s="167"/>
      <c r="G574" s="167"/>
      <c r="H574" s="167"/>
    </row>
    <row r="575" spans="1:8" x14ac:dyDescent="0.15">
      <c r="A575" s="167"/>
      <c r="B575" s="167"/>
      <c r="C575" s="167"/>
      <c r="D575" s="168"/>
      <c r="E575" s="167"/>
      <c r="F575" s="167"/>
      <c r="G575" s="167"/>
      <c r="H575" s="167"/>
    </row>
    <row r="576" spans="1:8" x14ac:dyDescent="0.15">
      <c r="A576" s="167"/>
      <c r="B576" s="167"/>
      <c r="C576" s="167"/>
      <c r="D576" s="168"/>
      <c r="E576" s="167"/>
      <c r="F576" s="167"/>
      <c r="G576" s="167"/>
      <c r="H576" s="167"/>
    </row>
    <row r="577" spans="1:8" x14ac:dyDescent="0.15">
      <c r="A577" s="167"/>
      <c r="B577" s="167"/>
      <c r="C577" s="167"/>
      <c r="D577" s="168"/>
      <c r="E577" s="167"/>
      <c r="F577" s="167"/>
      <c r="G577" s="167"/>
      <c r="H577" s="167"/>
    </row>
    <row r="578" spans="1:8" x14ac:dyDescent="0.15">
      <c r="A578" s="167"/>
      <c r="B578" s="167"/>
      <c r="C578" s="167"/>
      <c r="D578" s="168"/>
      <c r="E578" s="167"/>
      <c r="F578" s="167"/>
      <c r="G578" s="167"/>
      <c r="H578" s="167"/>
    </row>
    <row r="579" spans="1:8" x14ac:dyDescent="0.15">
      <c r="A579" s="167"/>
      <c r="B579" s="167"/>
      <c r="C579" s="167"/>
      <c r="D579" s="168"/>
      <c r="E579" s="167"/>
      <c r="F579" s="167"/>
      <c r="G579" s="167"/>
      <c r="H579" s="167"/>
    </row>
    <row r="580" spans="1:8" x14ac:dyDescent="0.15">
      <c r="A580" s="167"/>
      <c r="B580" s="167"/>
      <c r="C580" s="167"/>
      <c r="D580" s="168"/>
      <c r="E580" s="167"/>
      <c r="F580" s="167"/>
      <c r="G580" s="167"/>
      <c r="H580" s="167"/>
    </row>
    <row r="581" spans="1:8" x14ac:dyDescent="0.15">
      <c r="A581" s="167"/>
      <c r="B581" s="167"/>
      <c r="C581" s="167"/>
      <c r="D581" s="168"/>
      <c r="E581" s="167"/>
      <c r="F581" s="167"/>
      <c r="G581" s="167"/>
      <c r="H581" s="167"/>
    </row>
    <row r="582" spans="1:8" x14ac:dyDescent="0.15">
      <c r="A582" s="167"/>
      <c r="B582" s="167"/>
      <c r="C582" s="167"/>
      <c r="D582" s="168"/>
      <c r="E582" s="167"/>
      <c r="F582" s="167"/>
      <c r="G582" s="167"/>
      <c r="H582" s="167"/>
    </row>
    <row r="583" spans="1:8" x14ac:dyDescent="0.15">
      <c r="A583" s="167"/>
      <c r="B583" s="167"/>
      <c r="C583" s="167"/>
      <c r="D583" s="168"/>
      <c r="E583" s="167"/>
      <c r="F583" s="167"/>
      <c r="G583" s="167"/>
      <c r="H583" s="167"/>
    </row>
    <row r="584" spans="1:8" x14ac:dyDescent="0.15">
      <c r="A584" s="167"/>
      <c r="B584" s="167"/>
      <c r="C584" s="167"/>
      <c r="D584" s="168"/>
      <c r="E584" s="167"/>
      <c r="F584" s="167"/>
      <c r="G584" s="167"/>
      <c r="H584" s="167"/>
    </row>
    <row r="585" spans="1:8" x14ac:dyDescent="0.15">
      <c r="A585" s="167"/>
      <c r="B585" s="167"/>
      <c r="C585" s="167"/>
      <c r="D585" s="168"/>
      <c r="E585" s="167"/>
      <c r="F585" s="167"/>
      <c r="G585" s="167"/>
      <c r="H585" s="167"/>
    </row>
    <row r="586" spans="1:8" x14ac:dyDescent="0.15">
      <c r="A586" s="167"/>
      <c r="B586" s="167"/>
      <c r="C586" s="167"/>
      <c r="D586" s="168"/>
      <c r="E586" s="167"/>
      <c r="F586" s="167"/>
      <c r="G586" s="167"/>
      <c r="H586" s="167"/>
    </row>
    <row r="587" spans="1:8" x14ac:dyDescent="0.15">
      <c r="A587" s="167"/>
      <c r="B587" s="167"/>
      <c r="C587" s="167"/>
      <c r="D587" s="168"/>
      <c r="E587" s="167"/>
      <c r="F587" s="167"/>
      <c r="G587" s="167"/>
      <c r="H587" s="167"/>
    </row>
    <row r="588" spans="1:8" x14ac:dyDescent="0.15">
      <c r="A588" s="167"/>
      <c r="B588" s="167"/>
      <c r="C588" s="167"/>
      <c r="D588" s="168"/>
      <c r="E588" s="167"/>
      <c r="F588" s="167"/>
      <c r="G588" s="167"/>
      <c r="H588" s="167"/>
    </row>
    <row r="589" spans="1:8" x14ac:dyDescent="0.15">
      <c r="A589" s="167"/>
      <c r="B589" s="167"/>
      <c r="C589" s="167"/>
      <c r="D589" s="168"/>
      <c r="E589" s="167"/>
      <c r="F589" s="167"/>
      <c r="G589" s="167"/>
      <c r="H589" s="167"/>
    </row>
    <row r="590" spans="1:8" x14ac:dyDescent="0.15">
      <c r="A590" s="167"/>
      <c r="B590" s="167"/>
      <c r="C590" s="167"/>
      <c r="D590" s="168"/>
      <c r="E590" s="167"/>
      <c r="F590" s="167"/>
      <c r="G590" s="167"/>
      <c r="H590" s="167"/>
    </row>
    <row r="591" spans="1:8" x14ac:dyDescent="0.15">
      <c r="A591" s="167"/>
      <c r="B591" s="167"/>
      <c r="C591" s="167"/>
      <c r="D591" s="168"/>
      <c r="E591" s="167"/>
      <c r="F591" s="167"/>
      <c r="G591" s="167"/>
      <c r="H591" s="167"/>
    </row>
    <row r="592" spans="1:8" x14ac:dyDescent="0.15">
      <c r="A592" s="167"/>
      <c r="B592" s="167"/>
      <c r="C592" s="167"/>
      <c r="D592" s="168"/>
      <c r="E592" s="167"/>
      <c r="F592" s="167"/>
      <c r="G592" s="167"/>
      <c r="H592" s="167"/>
    </row>
    <row r="593" spans="1:8" x14ac:dyDescent="0.15">
      <c r="A593" s="167"/>
      <c r="B593" s="167"/>
      <c r="C593" s="167"/>
      <c r="D593" s="168"/>
      <c r="E593" s="167"/>
      <c r="F593" s="167"/>
      <c r="G593" s="167"/>
      <c r="H593" s="167"/>
    </row>
    <row r="594" spans="1:8" x14ac:dyDescent="0.15">
      <c r="A594" s="167"/>
      <c r="B594" s="167"/>
      <c r="C594" s="167"/>
      <c r="D594" s="168"/>
      <c r="E594" s="167"/>
      <c r="F594" s="167"/>
      <c r="G594" s="167"/>
      <c r="H594" s="167"/>
    </row>
    <row r="595" spans="1:8" x14ac:dyDescent="0.15">
      <c r="A595" s="167"/>
      <c r="B595" s="167"/>
      <c r="C595" s="167"/>
      <c r="D595" s="168"/>
      <c r="E595" s="167"/>
      <c r="F595" s="167"/>
      <c r="G595" s="167"/>
      <c r="H595" s="167"/>
    </row>
    <row r="596" spans="1:8" x14ac:dyDescent="0.15">
      <c r="A596" s="167"/>
      <c r="B596" s="167"/>
      <c r="C596" s="167"/>
      <c r="D596" s="168"/>
      <c r="E596" s="167"/>
      <c r="F596" s="167"/>
      <c r="G596" s="167"/>
      <c r="H596" s="167"/>
    </row>
    <row r="597" spans="1:8" x14ac:dyDescent="0.15">
      <c r="A597" s="167"/>
      <c r="B597" s="167"/>
      <c r="C597" s="167"/>
      <c r="D597" s="168"/>
      <c r="E597" s="167"/>
      <c r="F597" s="167"/>
      <c r="G597" s="167"/>
      <c r="H597" s="167"/>
    </row>
    <row r="598" spans="1:8" x14ac:dyDescent="0.15">
      <c r="A598" s="167"/>
      <c r="B598" s="167"/>
      <c r="C598" s="167"/>
      <c r="D598" s="168"/>
      <c r="E598" s="167"/>
      <c r="F598" s="167"/>
      <c r="G598" s="167"/>
      <c r="H598" s="167"/>
    </row>
    <row r="599" spans="1:8" x14ac:dyDescent="0.15">
      <c r="A599" s="167"/>
      <c r="B599" s="167"/>
      <c r="C599" s="167"/>
      <c r="D599" s="168"/>
      <c r="E599" s="167"/>
      <c r="F599" s="167"/>
      <c r="G599" s="167"/>
      <c r="H599" s="167"/>
    </row>
    <row r="600" spans="1:8" x14ac:dyDescent="0.15">
      <c r="A600" s="167"/>
      <c r="B600" s="167"/>
      <c r="C600" s="167"/>
      <c r="D600" s="168"/>
      <c r="E600" s="167"/>
      <c r="F600" s="167"/>
      <c r="G600" s="167"/>
      <c r="H600" s="167"/>
    </row>
    <row r="601" spans="1:8" x14ac:dyDescent="0.15">
      <c r="A601" s="167"/>
      <c r="B601" s="167"/>
      <c r="C601" s="167"/>
      <c r="D601" s="168"/>
      <c r="E601" s="167"/>
      <c r="F601" s="167"/>
      <c r="G601" s="167"/>
      <c r="H601" s="167"/>
    </row>
    <row r="602" spans="1:8" x14ac:dyDescent="0.15">
      <c r="A602" s="167"/>
      <c r="B602" s="167"/>
      <c r="C602" s="167"/>
      <c r="D602" s="168"/>
      <c r="E602" s="167"/>
      <c r="F602" s="167"/>
      <c r="G602" s="167"/>
      <c r="H602" s="167"/>
    </row>
    <row r="603" spans="1:8" x14ac:dyDescent="0.15">
      <c r="A603" s="167"/>
      <c r="B603" s="167"/>
      <c r="C603" s="167"/>
      <c r="D603" s="168"/>
      <c r="E603" s="167"/>
      <c r="F603" s="167"/>
      <c r="G603" s="167"/>
      <c r="H603" s="167"/>
    </row>
    <row r="604" spans="1:8" x14ac:dyDescent="0.15">
      <c r="A604" s="167"/>
      <c r="B604" s="167"/>
      <c r="C604" s="167"/>
      <c r="D604" s="168"/>
      <c r="E604" s="167"/>
      <c r="F604" s="167"/>
      <c r="G604" s="167"/>
      <c r="H604" s="167"/>
    </row>
    <row r="605" spans="1:8" x14ac:dyDescent="0.15">
      <c r="A605" s="167"/>
      <c r="B605" s="167"/>
      <c r="C605" s="167"/>
      <c r="D605" s="168"/>
      <c r="E605" s="167"/>
      <c r="F605" s="167"/>
      <c r="G605" s="167"/>
      <c r="H605" s="167"/>
    </row>
    <row r="606" spans="1:8" x14ac:dyDescent="0.15">
      <c r="A606" s="167"/>
      <c r="B606" s="167"/>
      <c r="C606" s="167"/>
      <c r="D606" s="168"/>
      <c r="E606" s="167"/>
      <c r="F606" s="167"/>
      <c r="G606" s="167"/>
      <c r="H606" s="167"/>
    </row>
    <row r="607" spans="1:8" x14ac:dyDescent="0.15">
      <c r="A607" s="167"/>
      <c r="B607" s="167"/>
      <c r="C607" s="167"/>
      <c r="D607" s="168"/>
      <c r="E607" s="167"/>
      <c r="F607" s="167"/>
      <c r="G607" s="167"/>
      <c r="H607" s="167"/>
    </row>
    <row r="608" spans="1:8" x14ac:dyDescent="0.15">
      <c r="A608" s="167"/>
      <c r="B608" s="167"/>
      <c r="C608" s="167"/>
      <c r="D608" s="168"/>
      <c r="E608" s="167"/>
      <c r="F608" s="167"/>
      <c r="G608" s="167"/>
      <c r="H608" s="167"/>
    </row>
    <row r="609" spans="1:8" x14ac:dyDescent="0.15">
      <c r="A609" s="167"/>
      <c r="B609" s="167"/>
      <c r="C609" s="167"/>
      <c r="D609" s="168"/>
      <c r="E609" s="167"/>
      <c r="F609" s="167"/>
      <c r="G609" s="167"/>
      <c r="H609" s="167"/>
    </row>
    <row r="610" spans="1:8" x14ac:dyDescent="0.15">
      <c r="A610" s="167"/>
      <c r="B610" s="167"/>
      <c r="C610" s="167"/>
      <c r="D610" s="168"/>
      <c r="E610" s="167"/>
      <c r="F610" s="167"/>
      <c r="G610" s="167"/>
      <c r="H610" s="167"/>
    </row>
    <row r="611" spans="1:8" x14ac:dyDescent="0.15">
      <c r="A611" s="167"/>
      <c r="B611" s="167"/>
      <c r="C611" s="167"/>
      <c r="D611" s="168"/>
      <c r="E611" s="167"/>
      <c r="F611" s="167"/>
      <c r="G611" s="167"/>
      <c r="H611" s="167"/>
    </row>
    <row r="612" spans="1:8" x14ac:dyDescent="0.15">
      <c r="A612" s="167"/>
      <c r="B612" s="167"/>
      <c r="C612" s="167"/>
      <c r="D612" s="168"/>
      <c r="E612" s="167"/>
      <c r="F612" s="167"/>
      <c r="G612" s="167"/>
      <c r="H612" s="167"/>
    </row>
    <row r="613" spans="1:8" x14ac:dyDescent="0.15">
      <c r="A613" s="167"/>
      <c r="B613" s="167"/>
      <c r="C613" s="167"/>
      <c r="D613" s="168"/>
      <c r="E613" s="167"/>
      <c r="F613" s="167"/>
      <c r="G613" s="167"/>
      <c r="H613" s="167"/>
    </row>
    <row r="614" spans="1:8" x14ac:dyDescent="0.15">
      <c r="A614" s="167"/>
      <c r="B614" s="167"/>
      <c r="C614" s="167"/>
      <c r="D614" s="168"/>
      <c r="E614" s="167"/>
      <c r="F614" s="167"/>
      <c r="G614" s="167"/>
      <c r="H614" s="167"/>
    </row>
    <row r="615" spans="1:8" x14ac:dyDescent="0.15">
      <c r="A615" s="167"/>
      <c r="B615" s="167"/>
      <c r="C615" s="167"/>
      <c r="D615" s="168"/>
      <c r="E615" s="167"/>
      <c r="F615" s="167"/>
      <c r="G615" s="167"/>
      <c r="H615" s="167"/>
    </row>
    <row r="616" spans="1:8" x14ac:dyDescent="0.15">
      <c r="A616" s="167"/>
      <c r="B616" s="167"/>
      <c r="C616" s="167"/>
      <c r="D616" s="168"/>
      <c r="E616" s="167"/>
      <c r="F616" s="167"/>
      <c r="G616" s="167"/>
      <c r="H616" s="167"/>
    </row>
    <row r="617" spans="1:8" x14ac:dyDescent="0.15">
      <c r="A617" s="167"/>
      <c r="B617" s="167"/>
      <c r="C617" s="167"/>
      <c r="D617" s="168"/>
      <c r="E617" s="167"/>
      <c r="F617" s="167"/>
      <c r="G617" s="167"/>
      <c r="H617" s="167"/>
    </row>
    <row r="618" spans="1:8" x14ac:dyDescent="0.15">
      <c r="A618" s="167"/>
      <c r="B618" s="167"/>
      <c r="C618" s="167"/>
      <c r="D618" s="168"/>
      <c r="E618" s="167"/>
      <c r="F618" s="167"/>
      <c r="G618" s="167"/>
      <c r="H618" s="167"/>
    </row>
    <row r="619" spans="1:8" x14ac:dyDescent="0.15">
      <c r="A619" s="167"/>
      <c r="B619" s="167"/>
      <c r="C619" s="167"/>
      <c r="D619" s="168"/>
      <c r="E619" s="167"/>
      <c r="F619" s="167"/>
      <c r="G619" s="167"/>
      <c r="H619" s="167"/>
    </row>
    <row r="620" spans="1:8" x14ac:dyDescent="0.15">
      <c r="A620" s="167"/>
      <c r="B620" s="167"/>
      <c r="C620" s="167"/>
      <c r="D620" s="168"/>
      <c r="E620" s="167"/>
      <c r="F620" s="167"/>
      <c r="G620" s="167"/>
      <c r="H620" s="167"/>
    </row>
    <row r="621" spans="1:8" x14ac:dyDescent="0.15">
      <c r="A621" s="167"/>
      <c r="B621" s="167"/>
      <c r="C621" s="167"/>
      <c r="D621" s="168"/>
      <c r="E621" s="167"/>
      <c r="F621" s="167"/>
      <c r="G621" s="167"/>
      <c r="H621" s="167"/>
    </row>
    <row r="622" spans="1:8" x14ac:dyDescent="0.15">
      <c r="A622" s="167"/>
      <c r="B622" s="167"/>
      <c r="C622" s="167"/>
      <c r="D622" s="168"/>
      <c r="E622" s="167"/>
      <c r="F622" s="167"/>
      <c r="G622" s="167"/>
      <c r="H622" s="167"/>
    </row>
    <row r="623" spans="1:8" x14ac:dyDescent="0.15">
      <c r="A623" s="167"/>
      <c r="B623" s="167"/>
      <c r="C623" s="167"/>
      <c r="D623" s="168"/>
      <c r="E623" s="167"/>
      <c r="F623" s="167"/>
      <c r="G623" s="167"/>
      <c r="H623" s="167"/>
    </row>
    <row r="624" spans="1:8" x14ac:dyDescent="0.15">
      <c r="A624" s="167"/>
      <c r="B624" s="167"/>
      <c r="C624" s="167"/>
      <c r="D624" s="168"/>
      <c r="E624" s="167"/>
      <c r="F624" s="167"/>
      <c r="G624" s="167"/>
      <c r="H624" s="167"/>
    </row>
    <row r="625" spans="1:8" x14ac:dyDescent="0.15">
      <c r="A625" s="167"/>
      <c r="B625" s="167"/>
      <c r="C625" s="167"/>
      <c r="D625" s="168"/>
      <c r="E625" s="167"/>
      <c r="F625" s="167"/>
      <c r="G625" s="167"/>
      <c r="H625" s="167"/>
    </row>
    <row r="626" spans="1:8" x14ac:dyDescent="0.15">
      <c r="A626" s="167"/>
      <c r="B626" s="167"/>
      <c r="C626" s="167"/>
      <c r="D626" s="168"/>
      <c r="E626" s="167"/>
      <c r="F626" s="167"/>
      <c r="G626" s="167"/>
      <c r="H626" s="167"/>
    </row>
    <row r="627" spans="1:8" x14ac:dyDescent="0.15">
      <c r="A627" s="167"/>
      <c r="B627" s="167"/>
      <c r="C627" s="167"/>
      <c r="D627" s="168"/>
      <c r="E627" s="167"/>
      <c r="F627" s="167"/>
      <c r="G627" s="167"/>
      <c r="H627" s="167"/>
    </row>
    <row r="628" spans="1:8" x14ac:dyDescent="0.15">
      <c r="A628" s="167"/>
      <c r="B628" s="167"/>
      <c r="C628" s="167"/>
      <c r="D628" s="168"/>
      <c r="E628" s="167"/>
      <c r="F628" s="167"/>
      <c r="G628" s="167"/>
      <c r="H628" s="167"/>
    </row>
    <row r="629" spans="1:8" x14ac:dyDescent="0.15">
      <c r="A629" s="167"/>
      <c r="B629" s="167"/>
      <c r="C629" s="167"/>
      <c r="D629" s="168"/>
      <c r="E629" s="167"/>
      <c r="F629" s="167"/>
      <c r="G629" s="167"/>
      <c r="H629" s="167"/>
    </row>
    <row r="630" spans="1:8" x14ac:dyDescent="0.15">
      <c r="A630" s="167"/>
      <c r="B630" s="167"/>
      <c r="C630" s="167"/>
      <c r="D630" s="168"/>
      <c r="E630" s="167"/>
      <c r="F630" s="167"/>
      <c r="G630" s="167"/>
      <c r="H630" s="167"/>
    </row>
    <row r="631" spans="1:8" x14ac:dyDescent="0.15">
      <c r="A631" s="167"/>
      <c r="B631" s="167"/>
      <c r="C631" s="167"/>
      <c r="D631" s="168"/>
      <c r="E631" s="167"/>
      <c r="F631" s="167"/>
      <c r="G631" s="167"/>
      <c r="H631" s="167"/>
    </row>
    <row r="632" spans="1:8" x14ac:dyDescent="0.15">
      <c r="A632" s="167"/>
      <c r="B632" s="167"/>
      <c r="C632" s="167"/>
      <c r="D632" s="168"/>
      <c r="E632" s="167"/>
      <c r="F632" s="167"/>
      <c r="G632" s="167"/>
      <c r="H632" s="167"/>
    </row>
    <row r="633" spans="1:8" x14ac:dyDescent="0.15">
      <c r="A633" s="167"/>
      <c r="B633" s="167"/>
      <c r="C633" s="167"/>
      <c r="D633" s="168"/>
      <c r="E633" s="167"/>
      <c r="F633" s="167"/>
      <c r="G633" s="167"/>
      <c r="H633" s="167"/>
    </row>
    <row r="634" spans="1:8" x14ac:dyDescent="0.15">
      <c r="A634" s="167"/>
      <c r="B634" s="167"/>
      <c r="C634" s="167"/>
      <c r="D634" s="168"/>
      <c r="E634" s="167"/>
      <c r="F634" s="167"/>
      <c r="G634" s="167"/>
      <c r="H634" s="167"/>
    </row>
    <row r="635" spans="1:8" x14ac:dyDescent="0.15">
      <c r="A635" s="167"/>
      <c r="B635" s="167"/>
      <c r="C635" s="167"/>
      <c r="D635" s="168"/>
      <c r="E635" s="167"/>
      <c r="F635" s="167"/>
      <c r="G635" s="167"/>
      <c r="H635" s="167"/>
    </row>
    <row r="636" spans="1:8" x14ac:dyDescent="0.15">
      <c r="A636" s="167"/>
      <c r="B636" s="167"/>
      <c r="C636" s="167"/>
      <c r="D636" s="168"/>
      <c r="E636" s="167"/>
      <c r="F636" s="167"/>
      <c r="G636" s="167"/>
      <c r="H636" s="167"/>
    </row>
    <row r="637" spans="1:8" x14ac:dyDescent="0.15">
      <c r="A637" s="167"/>
      <c r="B637" s="167"/>
      <c r="C637" s="167"/>
      <c r="D637" s="168"/>
      <c r="E637" s="167"/>
      <c r="F637" s="167"/>
      <c r="G637" s="167"/>
      <c r="H637" s="167"/>
    </row>
    <row r="638" spans="1:8" x14ac:dyDescent="0.15">
      <c r="A638" s="167"/>
      <c r="B638" s="167"/>
      <c r="C638" s="167"/>
      <c r="D638" s="168"/>
      <c r="E638" s="167"/>
      <c r="F638" s="167"/>
      <c r="G638" s="167"/>
      <c r="H638" s="167"/>
    </row>
    <row r="639" spans="1:8" x14ac:dyDescent="0.15">
      <c r="A639" s="167"/>
      <c r="B639" s="167"/>
      <c r="C639" s="167"/>
      <c r="D639" s="168"/>
      <c r="E639" s="167"/>
      <c r="F639" s="167"/>
      <c r="G639" s="167"/>
      <c r="H639" s="167"/>
    </row>
    <row r="640" spans="1:8" x14ac:dyDescent="0.15">
      <c r="A640" s="167"/>
      <c r="B640" s="167"/>
      <c r="C640" s="167"/>
      <c r="D640" s="168"/>
      <c r="E640" s="167"/>
      <c r="F640" s="167"/>
      <c r="G640" s="167"/>
      <c r="H640" s="167"/>
    </row>
    <row r="641" spans="1:8" x14ac:dyDescent="0.15">
      <c r="A641" s="167"/>
      <c r="B641" s="167"/>
      <c r="C641" s="167"/>
      <c r="D641" s="168"/>
      <c r="E641" s="167"/>
      <c r="F641" s="167"/>
      <c r="G641" s="167"/>
      <c r="H641" s="167"/>
    </row>
    <row r="642" spans="1:8" x14ac:dyDescent="0.15">
      <c r="A642" s="167"/>
      <c r="B642" s="167"/>
      <c r="C642" s="167"/>
      <c r="D642" s="168"/>
      <c r="E642" s="167"/>
      <c r="F642" s="167"/>
      <c r="G642" s="167"/>
      <c r="H642" s="167"/>
    </row>
    <row r="643" spans="1:8" x14ac:dyDescent="0.15">
      <c r="A643" s="167"/>
      <c r="B643" s="167"/>
      <c r="C643" s="167"/>
      <c r="D643" s="168"/>
      <c r="E643" s="167"/>
      <c r="F643" s="167"/>
      <c r="G643" s="167"/>
      <c r="H643" s="167"/>
    </row>
    <row r="644" spans="1:8" x14ac:dyDescent="0.15">
      <c r="A644" s="167"/>
      <c r="B644" s="167"/>
      <c r="C644" s="167"/>
      <c r="D644" s="168"/>
      <c r="E644" s="167"/>
      <c r="F644" s="167"/>
      <c r="G644" s="167"/>
      <c r="H644" s="167"/>
    </row>
    <row r="645" spans="1:8" x14ac:dyDescent="0.15">
      <c r="A645" s="167"/>
      <c r="B645" s="167"/>
      <c r="C645" s="167"/>
      <c r="D645" s="168"/>
      <c r="E645" s="167"/>
      <c r="F645" s="167"/>
      <c r="G645" s="167"/>
      <c r="H645" s="167"/>
    </row>
    <row r="646" spans="1:8" x14ac:dyDescent="0.15">
      <c r="A646" s="167"/>
      <c r="B646" s="167"/>
      <c r="C646" s="167"/>
      <c r="D646" s="168"/>
      <c r="E646" s="167"/>
      <c r="F646" s="167"/>
      <c r="G646" s="167"/>
      <c r="H646" s="167"/>
    </row>
    <row r="647" spans="1:8" x14ac:dyDescent="0.15">
      <c r="A647" s="167"/>
      <c r="B647" s="167"/>
      <c r="C647" s="167"/>
      <c r="D647" s="168"/>
      <c r="E647" s="167"/>
      <c r="F647" s="167"/>
      <c r="G647" s="167"/>
      <c r="H647" s="167"/>
    </row>
    <row r="648" spans="1:8" x14ac:dyDescent="0.15">
      <c r="A648" s="167"/>
      <c r="B648" s="167"/>
      <c r="C648" s="167"/>
      <c r="D648" s="168"/>
      <c r="E648" s="167"/>
      <c r="F648" s="167"/>
      <c r="G648" s="167"/>
      <c r="H648" s="167"/>
    </row>
    <row r="649" spans="1:8" x14ac:dyDescent="0.15">
      <c r="A649" s="167"/>
      <c r="B649" s="167"/>
      <c r="C649" s="167"/>
      <c r="D649" s="168"/>
      <c r="E649" s="167"/>
      <c r="F649" s="167"/>
      <c r="G649" s="167"/>
      <c r="H649" s="167"/>
    </row>
    <row r="650" spans="1:8" x14ac:dyDescent="0.15">
      <c r="A650" s="167"/>
      <c r="B650" s="167"/>
      <c r="C650" s="167"/>
      <c r="D650" s="168"/>
      <c r="E650" s="167"/>
      <c r="F650" s="167"/>
      <c r="G650" s="167"/>
      <c r="H650" s="167"/>
    </row>
    <row r="651" spans="1:8" x14ac:dyDescent="0.15">
      <c r="A651" s="167"/>
      <c r="B651" s="167"/>
      <c r="C651" s="167"/>
      <c r="D651" s="168"/>
      <c r="E651" s="167"/>
      <c r="F651" s="167"/>
      <c r="G651" s="167"/>
      <c r="H651" s="167"/>
    </row>
    <row r="652" spans="1:8" x14ac:dyDescent="0.15">
      <c r="A652" s="167"/>
      <c r="B652" s="167"/>
      <c r="C652" s="167"/>
      <c r="D652" s="168"/>
      <c r="E652" s="167"/>
      <c r="F652" s="167"/>
      <c r="G652" s="167"/>
      <c r="H652" s="167"/>
    </row>
    <row r="653" spans="1:8" x14ac:dyDescent="0.15">
      <c r="A653" s="167"/>
      <c r="B653" s="167"/>
      <c r="C653" s="167"/>
      <c r="D653" s="168"/>
      <c r="E653" s="167"/>
      <c r="F653" s="167"/>
      <c r="G653" s="167"/>
      <c r="H653" s="167"/>
    </row>
    <row r="654" spans="1:8" x14ac:dyDescent="0.15">
      <c r="A654" s="167"/>
      <c r="B654" s="167"/>
      <c r="C654" s="167"/>
      <c r="D654" s="168"/>
      <c r="E654" s="167"/>
      <c r="F654" s="167"/>
      <c r="G654" s="167"/>
      <c r="H654" s="167"/>
    </row>
    <row r="655" spans="1:8" x14ac:dyDescent="0.15">
      <c r="A655" s="167"/>
      <c r="B655" s="167"/>
      <c r="C655" s="167"/>
      <c r="D655" s="168"/>
      <c r="E655" s="167"/>
      <c r="F655" s="167"/>
      <c r="G655" s="167"/>
      <c r="H655" s="167"/>
    </row>
    <row r="656" spans="1:8" x14ac:dyDescent="0.15">
      <c r="A656" s="167"/>
      <c r="B656" s="167"/>
      <c r="C656" s="167"/>
      <c r="D656" s="168"/>
      <c r="E656" s="167"/>
      <c r="F656" s="167"/>
      <c r="G656" s="167"/>
      <c r="H656" s="167"/>
    </row>
    <row r="657" spans="1:8" x14ac:dyDescent="0.15">
      <c r="A657" s="167"/>
      <c r="B657" s="167"/>
      <c r="C657" s="167"/>
      <c r="D657" s="168"/>
      <c r="E657" s="167"/>
      <c r="F657" s="167"/>
      <c r="G657" s="167"/>
      <c r="H657" s="167"/>
    </row>
    <row r="658" spans="1:8" x14ac:dyDescent="0.15">
      <c r="A658" s="167"/>
      <c r="B658" s="167"/>
      <c r="C658" s="167"/>
      <c r="D658" s="168"/>
      <c r="E658" s="167"/>
      <c r="F658" s="167"/>
      <c r="G658" s="167"/>
      <c r="H658" s="167"/>
    </row>
    <row r="659" spans="1:8" x14ac:dyDescent="0.15">
      <c r="A659" s="167"/>
      <c r="B659" s="167"/>
      <c r="C659" s="167"/>
      <c r="D659" s="168"/>
      <c r="E659" s="167"/>
      <c r="F659" s="167"/>
      <c r="G659" s="167"/>
      <c r="H659" s="167"/>
    </row>
    <row r="660" spans="1:8" x14ac:dyDescent="0.15">
      <c r="A660" s="167"/>
      <c r="B660" s="167"/>
      <c r="C660" s="167"/>
      <c r="D660" s="168"/>
      <c r="E660" s="167"/>
      <c r="F660" s="167"/>
      <c r="G660" s="167"/>
      <c r="H660" s="167"/>
    </row>
    <row r="661" spans="1:8" x14ac:dyDescent="0.15">
      <c r="A661" s="167"/>
      <c r="B661" s="167"/>
      <c r="C661" s="167"/>
      <c r="D661" s="168"/>
      <c r="E661" s="167"/>
      <c r="F661" s="167"/>
      <c r="G661" s="167"/>
      <c r="H661" s="167"/>
    </row>
    <row r="662" spans="1:8" x14ac:dyDescent="0.15">
      <c r="A662" s="167"/>
      <c r="B662" s="167"/>
      <c r="C662" s="167"/>
      <c r="D662" s="168"/>
      <c r="E662" s="167"/>
      <c r="F662" s="167"/>
      <c r="G662" s="167"/>
      <c r="H662" s="167"/>
    </row>
    <row r="663" spans="1:8" x14ac:dyDescent="0.15">
      <c r="A663" s="167"/>
      <c r="B663" s="167"/>
      <c r="C663" s="167"/>
      <c r="D663" s="168"/>
      <c r="E663" s="167"/>
      <c r="F663" s="167"/>
      <c r="G663" s="167"/>
      <c r="H663" s="167"/>
    </row>
    <row r="664" spans="1:8" x14ac:dyDescent="0.15">
      <c r="A664" s="167"/>
      <c r="B664" s="167"/>
      <c r="C664" s="167"/>
      <c r="D664" s="168"/>
      <c r="E664" s="167"/>
      <c r="F664" s="167"/>
      <c r="G664" s="167"/>
      <c r="H664" s="167"/>
    </row>
    <row r="665" spans="1:8" x14ac:dyDescent="0.15">
      <c r="A665" s="167"/>
      <c r="B665" s="167"/>
      <c r="C665" s="167"/>
      <c r="D665" s="168"/>
      <c r="E665" s="167"/>
      <c r="F665" s="167"/>
      <c r="G665" s="167"/>
      <c r="H665" s="167"/>
    </row>
    <row r="666" spans="1:8" x14ac:dyDescent="0.15">
      <c r="A666" s="167"/>
      <c r="B666" s="167"/>
      <c r="C666" s="167"/>
      <c r="D666" s="168"/>
      <c r="E666" s="167"/>
      <c r="F666" s="167"/>
      <c r="G666" s="167"/>
      <c r="H666" s="167"/>
    </row>
    <row r="667" spans="1:8" x14ac:dyDescent="0.15">
      <c r="A667" s="167"/>
      <c r="B667" s="167"/>
      <c r="C667" s="167"/>
      <c r="D667" s="168"/>
      <c r="E667" s="167"/>
      <c r="F667" s="167"/>
      <c r="G667" s="167"/>
      <c r="H667" s="167"/>
    </row>
    <row r="668" spans="1:8" x14ac:dyDescent="0.15">
      <c r="A668" s="167"/>
      <c r="B668" s="167"/>
      <c r="C668" s="167"/>
      <c r="D668" s="168"/>
      <c r="E668" s="167"/>
      <c r="F668" s="167"/>
      <c r="G668" s="167"/>
      <c r="H668" s="167"/>
    </row>
    <row r="669" spans="1:8" x14ac:dyDescent="0.15">
      <c r="A669" s="167"/>
      <c r="B669" s="167"/>
      <c r="C669" s="167"/>
      <c r="D669" s="168"/>
      <c r="E669" s="167"/>
      <c r="F669" s="167"/>
      <c r="G669" s="167"/>
      <c r="H669" s="167"/>
    </row>
    <row r="670" spans="1:8" x14ac:dyDescent="0.15">
      <c r="A670" s="167"/>
      <c r="B670" s="167"/>
      <c r="C670" s="167"/>
      <c r="D670" s="168"/>
      <c r="E670" s="167"/>
      <c r="F670" s="167"/>
      <c r="G670" s="167"/>
      <c r="H670" s="167"/>
    </row>
    <row r="671" spans="1:8" x14ac:dyDescent="0.15">
      <c r="A671" s="167"/>
      <c r="B671" s="167"/>
      <c r="C671" s="167"/>
      <c r="D671" s="168"/>
      <c r="E671" s="167"/>
      <c r="F671" s="167"/>
      <c r="G671" s="167"/>
      <c r="H671" s="167"/>
    </row>
    <row r="672" spans="1:8" x14ac:dyDescent="0.15">
      <c r="A672" s="167"/>
      <c r="B672" s="167"/>
      <c r="C672" s="167"/>
      <c r="D672" s="168"/>
      <c r="E672" s="167"/>
      <c r="F672" s="167"/>
      <c r="G672" s="167"/>
      <c r="H672" s="167"/>
    </row>
    <row r="673" spans="1:8" x14ac:dyDescent="0.15">
      <c r="A673" s="167"/>
      <c r="B673" s="167"/>
      <c r="C673" s="167"/>
      <c r="D673" s="168"/>
      <c r="E673" s="167"/>
      <c r="F673" s="167"/>
      <c r="G673" s="167"/>
      <c r="H673" s="167"/>
    </row>
    <row r="674" spans="1:8" x14ac:dyDescent="0.15">
      <c r="A674" s="167"/>
      <c r="B674" s="167"/>
      <c r="C674" s="167"/>
      <c r="D674" s="168"/>
      <c r="E674" s="167"/>
      <c r="F674" s="167"/>
      <c r="G674" s="167"/>
      <c r="H674" s="167"/>
    </row>
    <row r="675" spans="1:8" x14ac:dyDescent="0.15">
      <c r="A675" s="167"/>
      <c r="B675" s="167"/>
      <c r="C675" s="167"/>
      <c r="D675" s="168"/>
      <c r="E675" s="167"/>
      <c r="F675" s="167"/>
      <c r="G675" s="167"/>
      <c r="H675" s="167"/>
    </row>
    <row r="676" spans="1:8" x14ac:dyDescent="0.15">
      <c r="A676" s="167"/>
      <c r="B676" s="167"/>
      <c r="C676" s="167"/>
      <c r="D676" s="168"/>
      <c r="E676" s="167"/>
      <c r="F676" s="167"/>
      <c r="G676" s="167"/>
      <c r="H676" s="167"/>
    </row>
    <row r="677" spans="1:8" x14ac:dyDescent="0.15">
      <c r="A677" s="167"/>
      <c r="B677" s="167"/>
      <c r="C677" s="167"/>
      <c r="D677" s="168"/>
      <c r="E677" s="167"/>
      <c r="F677" s="167"/>
      <c r="G677" s="167"/>
      <c r="H677" s="167"/>
    </row>
    <row r="678" spans="1:8" x14ac:dyDescent="0.15">
      <c r="A678" s="167"/>
      <c r="B678" s="167"/>
      <c r="C678" s="167"/>
      <c r="D678" s="168"/>
      <c r="E678" s="167"/>
      <c r="F678" s="167"/>
      <c r="G678" s="167"/>
      <c r="H678" s="167"/>
    </row>
    <row r="679" spans="1:8" x14ac:dyDescent="0.15">
      <c r="A679" s="167"/>
      <c r="B679" s="167"/>
      <c r="C679" s="167"/>
      <c r="D679" s="168"/>
      <c r="E679" s="167"/>
      <c r="F679" s="167"/>
      <c r="G679" s="167"/>
      <c r="H679" s="167"/>
    </row>
    <row r="680" spans="1:8" x14ac:dyDescent="0.15">
      <c r="A680" s="167"/>
      <c r="B680" s="167"/>
      <c r="C680" s="167"/>
      <c r="D680" s="168"/>
      <c r="E680" s="167"/>
      <c r="F680" s="167"/>
      <c r="G680" s="167"/>
      <c r="H680" s="167"/>
    </row>
    <row r="681" spans="1:8" x14ac:dyDescent="0.15">
      <c r="A681" s="167"/>
      <c r="B681" s="167"/>
      <c r="C681" s="167"/>
      <c r="D681" s="168"/>
      <c r="E681" s="167"/>
      <c r="F681" s="167"/>
      <c r="G681" s="167"/>
      <c r="H681" s="167"/>
    </row>
    <row r="682" spans="1:8" x14ac:dyDescent="0.15">
      <c r="A682" s="167"/>
      <c r="B682" s="167"/>
      <c r="C682" s="167"/>
      <c r="D682" s="168"/>
      <c r="E682" s="167"/>
      <c r="F682" s="167"/>
      <c r="G682" s="167"/>
      <c r="H682" s="167"/>
    </row>
    <row r="683" spans="1:8" x14ac:dyDescent="0.15">
      <c r="A683" s="167"/>
      <c r="B683" s="167"/>
      <c r="C683" s="167"/>
      <c r="D683" s="168"/>
      <c r="E683" s="167"/>
      <c r="F683" s="167"/>
      <c r="G683" s="167"/>
      <c r="H683" s="167"/>
    </row>
  </sheetData>
  <autoFilter ref="A1:BA151" xr:uid="{00000000-0009-0000-0000-000004000000}"/>
  <phoneticPr fontId="3"/>
  <dataValidations count="21">
    <dataValidation type="list" allowBlank="1" showInputMessage="1" showErrorMessage="1" sqref="F2:F683" xr:uid="{92039BFA-F2CD-4FDA-BE5A-A968AFF2767E}">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0FBEFF9-0187-4878-A629-1DC3A5108C5E}">
      <formula1>$AR$2:$AR$30</formula1>
    </dataValidation>
    <dataValidation type="list" allowBlank="1" showInputMessage="1" showErrorMessage="1" sqref="J2:J1000" xr:uid="{7D1F9A13-7BE2-4B3D-AFE0-EFF097A5DF56}">
      <formula1>$AP$2:$AP$29</formula1>
    </dataValidation>
    <dataValidation type="list" allowBlank="1" showInputMessage="1" showErrorMessage="1" sqref="K2:K1000" xr:uid="{14B1705F-0813-463B-8D78-862E96FE708C}">
      <formula1>$AR$2:$AR$29</formula1>
    </dataValidation>
    <dataValidation type="list" allowBlank="1" showInputMessage="1" showErrorMessage="1" sqref="H2:H1429" xr:uid="{783C814D-EB0C-4836-81F8-A0C30CCB9832}">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D05955F7-46AE-482E-A71A-F5ED43A11EB9}">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3B817950-27A8-4373-B0BA-24FA1A7BEFD1}">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54350C7-B624-41EC-B0F3-7240D685FF92}">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F63EB9F8-40B7-49A6-A213-5ED6456C9B05}">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D994A864-7375-421C-A88F-A0033B5066A5}">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95548ED8-6DBD-4599-BC7E-D4620AA4DE81}">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18120FC8-7836-42FA-BF35-70AA0A78DF42}"/>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A26E9C11-B078-4AF5-8334-4A201B26A80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FE961A21-FB19-4628-9C3F-41ACC31ADFD2}">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700BBA2-1DBB-4E9D-8A66-7ACD085BBC17}">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056E1F2B-D447-4569-A071-A316BBEED253}">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F8A1671E-96EC-4D6B-A594-AF3551B8A026}">
      <formula1>$AV$2:$AV$22</formula1>
    </dataValidation>
    <dataValidation type="list" allowBlank="1" showInputMessage="1" showErrorMessage="1" sqref="E2:E683" xr:uid="{08543E29-3F15-482B-A284-0E65B028BFBB}">
      <formula1>$AG$2:$AG$11</formula1>
    </dataValidation>
    <dataValidation type="list" allowBlank="1" showInputMessage="1" showErrorMessage="1" sqref="A2:A683" xr:uid="{40C0F11C-57CE-428A-B94F-80B10E67769B}">
      <formula1>$AE$2:$AE$19</formula1>
    </dataValidation>
    <dataValidation type="list" allowBlank="1" showInputMessage="1" showErrorMessage="1" sqref="Y2:AA500" xr:uid="{DAF51932-DC6B-41EF-AB23-1736A1D3D9A2}">
      <formula1>$AV$2:$AV$21</formula1>
    </dataValidation>
    <dataValidation type="decimal" allowBlank="1" showInputMessage="1" showErrorMessage="1" error="硬度を正しく入力して下さい。" sqref="O96:P500 O5:P10 P11:P16 O17:P34 O41:P94 P35:P40" xr:uid="{8C476B89-F8D4-45D9-9D9D-30D30FF6742A}">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7B92-0A71-439A-8C72-55E00790A83D}">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0</v>
      </c>
      <c r="B1" s="143" t="s">
        <v>1</v>
      </c>
      <c r="C1" s="143" t="s">
        <v>118</v>
      </c>
      <c r="D1" s="144" t="s">
        <v>2</v>
      </c>
      <c r="E1" s="83" t="s">
        <v>3</v>
      </c>
      <c r="F1" s="83" t="s">
        <v>4</v>
      </c>
      <c r="G1" s="83" t="s">
        <v>5</v>
      </c>
      <c r="H1" s="83" t="s">
        <v>6</v>
      </c>
      <c r="I1" s="83" t="s">
        <v>7</v>
      </c>
      <c r="J1" s="83" t="s">
        <v>8</v>
      </c>
      <c r="K1" s="83" t="s">
        <v>9</v>
      </c>
      <c r="L1" s="144" t="s">
        <v>119</v>
      </c>
      <c r="M1" s="144" t="s">
        <v>10</v>
      </c>
      <c r="N1" s="144" t="s">
        <v>284</v>
      </c>
      <c r="O1" s="144" t="s">
        <v>120</v>
      </c>
      <c r="P1" s="144" t="s">
        <v>121</v>
      </c>
      <c r="Q1" s="3" t="s">
        <v>12</v>
      </c>
      <c r="R1" s="144" t="s">
        <v>122</v>
      </c>
      <c r="S1" s="144" t="s">
        <v>123</v>
      </c>
      <c r="T1" s="3" t="s">
        <v>13</v>
      </c>
      <c r="U1" s="145" t="s">
        <v>252</v>
      </c>
      <c r="V1" s="5" t="s">
        <v>14</v>
      </c>
      <c r="W1" s="144" t="s">
        <v>15</v>
      </c>
      <c r="X1" s="83" t="s">
        <v>16</v>
      </c>
      <c r="Y1" s="83" t="s">
        <v>17</v>
      </c>
      <c r="Z1" s="83" t="s">
        <v>18</v>
      </c>
      <c r="AA1" s="42" t="s">
        <v>19</v>
      </c>
      <c r="AB1" s="146" t="s">
        <v>124</v>
      </c>
      <c r="AE1" s="147" t="s">
        <v>0</v>
      </c>
      <c r="AF1" s="148"/>
      <c r="AG1" s="147" t="s">
        <v>3</v>
      </c>
      <c r="AH1" s="147" t="s">
        <v>4</v>
      </c>
      <c r="AI1" s="148"/>
      <c r="AJ1" s="147" t="s">
        <v>5</v>
      </c>
      <c r="AK1" s="148"/>
      <c r="AL1" s="10" t="s">
        <v>6</v>
      </c>
      <c r="AM1" s="148"/>
      <c r="AN1" s="10" t="s">
        <v>7</v>
      </c>
      <c r="AO1" s="148"/>
      <c r="AP1" s="10" t="s">
        <v>20</v>
      </c>
      <c r="AQ1" s="148"/>
      <c r="AR1" s="10" t="s">
        <v>9</v>
      </c>
      <c r="AS1" s="148"/>
      <c r="AT1" s="11" t="s">
        <v>21</v>
      </c>
      <c r="AU1" s="148"/>
      <c r="AV1" s="10" t="s">
        <v>22</v>
      </c>
      <c r="AX1" s="12" t="s">
        <v>125</v>
      </c>
      <c r="AY1" s="13" t="s">
        <v>126</v>
      </c>
      <c r="AZ1" s="13" t="s">
        <v>127</v>
      </c>
      <c r="BA1" s="14" t="s">
        <v>128</v>
      </c>
    </row>
    <row r="2" spans="1:53" x14ac:dyDescent="0.15">
      <c r="A2" s="77" t="s">
        <v>46</v>
      </c>
      <c r="B2" s="77" t="s">
        <v>160</v>
      </c>
      <c r="C2" s="160">
        <v>2020</v>
      </c>
      <c r="D2" s="161" t="s">
        <v>162</v>
      </c>
      <c r="E2" s="77" t="s">
        <v>285</v>
      </c>
      <c r="F2" s="77" t="s">
        <v>286</v>
      </c>
      <c r="G2" s="77" t="s">
        <v>25</v>
      </c>
      <c r="H2" s="77" t="s">
        <v>164</v>
      </c>
      <c r="I2" s="77" t="s">
        <v>111</v>
      </c>
      <c r="J2" s="77" t="s">
        <v>27</v>
      </c>
      <c r="K2" s="77" t="s">
        <v>112</v>
      </c>
      <c r="L2" s="77">
        <v>1</v>
      </c>
      <c r="N2" s="77">
        <v>4</v>
      </c>
      <c r="O2" s="77">
        <v>0.41</v>
      </c>
      <c r="P2" s="77">
        <v>0.46</v>
      </c>
      <c r="Q2" s="44">
        <f>IF(OR(O2="",P2=""),"",AVERAGE(O2,P2))</f>
        <v>0.435</v>
      </c>
      <c r="R2" s="77">
        <v>15.6</v>
      </c>
      <c r="S2" s="77">
        <v>115</v>
      </c>
      <c r="T2" s="16">
        <f t="shared" ref="T2:T57" si="0">IF(H2="","",IF(OR(H2="GREEN",H2="GK"),IF(S2&gt;=$AX$2,VLOOKUP(S2,$AX$2:$AY$12,2,1),""),IF(S2&gt;=$AZ$2,VLOOKUP(S2,$AZ$2:$BA$12,2,1),"")))</f>
        <v>30</v>
      </c>
      <c r="U2" s="77">
        <v>480</v>
      </c>
      <c r="V2" s="16">
        <f t="shared" ref="V2:V65" si="1">IF(J2="","",IF(OR(J2="GREEN",J2="GK"),IF(U2&gt;=$AX$2,VLOOKUP(U2,$AX$2:$AY$12,2,1),""),IF(U2&gt;=$AZ$2,VLOOKUP(U2,$AZ$2:$BA$12,2,1),"")))</f>
        <v>16</v>
      </c>
      <c r="W2" s="77">
        <v>1</v>
      </c>
      <c r="X2" s="77" t="s">
        <v>35</v>
      </c>
      <c r="Y2" s="77" t="s">
        <v>76</v>
      </c>
      <c r="Z2" s="77" t="s">
        <v>36</v>
      </c>
      <c r="AA2" s="77" t="s">
        <v>72</v>
      </c>
      <c r="AB2" s="77" t="s">
        <v>161</v>
      </c>
      <c r="AE2" s="151" t="s">
        <v>24</v>
      </c>
      <c r="AG2" s="162" t="s">
        <v>287</v>
      </c>
      <c r="AH2" s="163" t="s">
        <v>288</v>
      </c>
      <c r="AJ2" s="50" t="s">
        <v>25</v>
      </c>
      <c r="AL2" s="153" t="s">
        <v>107</v>
      </c>
      <c r="AN2" s="50" t="s">
        <v>289</v>
      </c>
      <c r="AP2" s="50" t="s">
        <v>27</v>
      </c>
      <c r="AR2" s="50" t="s">
        <v>129</v>
      </c>
      <c r="AT2" s="50" t="s">
        <v>28</v>
      </c>
      <c r="AV2" s="80" t="s">
        <v>43</v>
      </c>
      <c r="AX2" s="154">
        <v>1</v>
      </c>
      <c r="AY2" s="155">
        <v>50</v>
      </c>
      <c r="AZ2" s="155">
        <v>1</v>
      </c>
      <c r="BA2" s="156">
        <v>50</v>
      </c>
    </row>
    <row r="3" spans="1:53" x14ac:dyDescent="0.15">
      <c r="A3" s="77" t="s">
        <v>46</v>
      </c>
      <c r="B3" s="77" t="s">
        <v>160</v>
      </c>
      <c r="C3" s="160">
        <v>2020</v>
      </c>
      <c r="D3" s="161" t="s">
        <v>162</v>
      </c>
      <c r="E3" s="77" t="s">
        <v>285</v>
      </c>
      <c r="F3" s="77" t="s">
        <v>286</v>
      </c>
      <c r="G3" s="77" t="s">
        <v>25</v>
      </c>
      <c r="H3" s="77" t="s">
        <v>164</v>
      </c>
      <c r="I3" s="77" t="s">
        <v>111</v>
      </c>
      <c r="J3" s="77" t="s">
        <v>27</v>
      </c>
      <c r="K3" s="77" t="s">
        <v>112</v>
      </c>
      <c r="L3" s="77">
        <v>2</v>
      </c>
      <c r="N3" s="77">
        <v>4</v>
      </c>
      <c r="O3" s="77">
        <v>0.46</v>
      </c>
      <c r="P3" s="77">
        <v>0.46</v>
      </c>
      <c r="Q3" s="44">
        <f t="shared" ref="Q3:Q66" si="2">IF(OR(O3="",P3=""),"",AVERAGE(O3,P3))</f>
        <v>0.46</v>
      </c>
      <c r="R3" s="77">
        <v>15</v>
      </c>
      <c r="S3" s="77">
        <v>105</v>
      </c>
      <c r="T3" s="16">
        <f t="shared" si="0"/>
        <v>33</v>
      </c>
      <c r="U3" s="77">
        <v>480</v>
      </c>
      <c r="V3" s="16">
        <f t="shared" si="1"/>
        <v>16</v>
      </c>
      <c r="W3" s="77">
        <v>1</v>
      </c>
      <c r="X3" s="77" t="s">
        <v>35</v>
      </c>
      <c r="Y3" s="77" t="s">
        <v>76</v>
      </c>
      <c r="Z3" s="77" t="s">
        <v>36</v>
      </c>
      <c r="AA3" s="77" t="s">
        <v>72</v>
      </c>
      <c r="AB3" s="77" t="s">
        <v>161</v>
      </c>
      <c r="AE3" s="22" t="s">
        <v>30</v>
      </c>
      <c r="AG3" s="162" t="s">
        <v>285</v>
      </c>
      <c r="AH3" s="163" t="s">
        <v>286</v>
      </c>
      <c r="AJ3" s="80" t="s">
        <v>31</v>
      </c>
      <c r="AL3" s="80" t="s">
        <v>108</v>
      </c>
      <c r="AN3" s="80" t="s">
        <v>32</v>
      </c>
      <c r="AP3" s="80" t="s">
        <v>33</v>
      </c>
      <c r="AR3" s="80" t="s">
        <v>34</v>
      </c>
      <c r="AT3" s="80" t="s">
        <v>35</v>
      </c>
      <c r="AV3" s="80" t="s">
        <v>290</v>
      </c>
      <c r="AX3" s="24">
        <v>72</v>
      </c>
      <c r="AY3" s="25">
        <v>46</v>
      </c>
      <c r="AZ3" s="25">
        <v>71</v>
      </c>
      <c r="BA3" s="26">
        <v>42</v>
      </c>
    </row>
    <row r="4" spans="1:53" x14ac:dyDescent="0.15">
      <c r="A4" s="77" t="s">
        <v>46</v>
      </c>
      <c r="B4" s="77" t="s">
        <v>160</v>
      </c>
      <c r="C4" s="160">
        <v>2020</v>
      </c>
      <c r="D4" s="161" t="s">
        <v>162</v>
      </c>
      <c r="E4" s="77" t="s">
        <v>285</v>
      </c>
      <c r="F4" s="77" t="s">
        <v>286</v>
      </c>
      <c r="G4" s="77" t="s">
        <v>25</v>
      </c>
      <c r="H4" s="77" t="s">
        <v>164</v>
      </c>
      <c r="I4" s="77" t="s">
        <v>111</v>
      </c>
      <c r="J4" s="77" t="s">
        <v>27</v>
      </c>
      <c r="K4" s="77" t="s">
        <v>112</v>
      </c>
      <c r="L4" s="77">
        <v>3</v>
      </c>
      <c r="N4" s="77">
        <v>4</v>
      </c>
      <c r="O4" s="77">
        <v>0.51</v>
      </c>
      <c r="P4" s="77">
        <v>0.47</v>
      </c>
      <c r="Q4" s="44">
        <f t="shared" si="2"/>
        <v>0.49</v>
      </c>
      <c r="R4" s="77">
        <v>15.3</v>
      </c>
      <c r="S4" s="77">
        <v>107</v>
      </c>
      <c r="T4" s="16">
        <f t="shared" si="0"/>
        <v>33</v>
      </c>
      <c r="U4" s="77">
        <v>480</v>
      </c>
      <c r="V4" s="16">
        <f t="shared" si="1"/>
        <v>16</v>
      </c>
      <c r="W4" s="77">
        <v>1</v>
      </c>
      <c r="X4" s="77" t="s">
        <v>35</v>
      </c>
      <c r="Y4" s="77" t="s">
        <v>76</v>
      </c>
      <c r="Z4" s="77" t="s">
        <v>36</v>
      </c>
      <c r="AA4" s="77" t="s">
        <v>72</v>
      </c>
      <c r="AB4" s="77" t="s">
        <v>161</v>
      </c>
      <c r="AE4" s="22" t="s">
        <v>23</v>
      </c>
      <c r="AG4" s="162" t="s">
        <v>291</v>
      </c>
      <c r="AH4" s="163" t="s">
        <v>292</v>
      </c>
      <c r="AJ4" s="27" t="s">
        <v>37</v>
      </c>
      <c r="AL4" s="80" t="s">
        <v>109</v>
      </c>
      <c r="AN4" s="28" t="s">
        <v>38</v>
      </c>
      <c r="AP4" s="80" t="s">
        <v>130</v>
      </c>
      <c r="AR4" s="80" t="s">
        <v>293</v>
      </c>
      <c r="AT4" s="28"/>
      <c r="AV4" s="80" t="s">
        <v>294</v>
      </c>
      <c r="AX4" s="24">
        <v>75</v>
      </c>
      <c r="AY4" s="25">
        <v>42</v>
      </c>
      <c r="AZ4" s="25">
        <v>76</v>
      </c>
      <c r="BA4" s="26">
        <v>39</v>
      </c>
    </row>
    <row r="5" spans="1:53" x14ac:dyDescent="0.15">
      <c r="A5" s="77" t="s">
        <v>46</v>
      </c>
      <c r="B5" s="77" t="s">
        <v>160</v>
      </c>
      <c r="C5" s="160">
        <v>2020</v>
      </c>
      <c r="D5" s="161" t="s">
        <v>162</v>
      </c>
      <c r="E5" s="77" t="s">
        <v>285</v>
      </c>
      <c r="F5" s="77" t="s">
        <v>286</v>
      </c>
      <c r="G5" s="77" t="s">
        <v>25</v>
      </c>
      <c r="H5" s="77" t="s">
        <v>113</v>
      </c>
      <c r="I5" s="77" t="s">
        <v>111</v>
      </c>
      <c r="J5" s="77" t="s">
        <v>27</v>
      </c>
      <c r="K5" s="77" t="s">
        <v>112</v>
      </c>
      <c r="L5" s="77">
        <v>1</v>
      </c>
      <c r="N5" s="77">
        <v>4</v>
      </c>
      <c r="O5" s="77">
        <v>0.62</v>
      </c>
      <c r="P5" s="77">
        <v>0.64</v>
      </c>
      <c r="Q5" s="44">
        <f t="shared" si="2"/>
        <v>0.63</v>
      </c>
      <c r="R5" s="77">
        <v>14.1</v>
      </c>
      <c r="S5" s="77">
        <v>98</v>
      </c>
      <c r="T5" s="16">
        <f t="shared" si="0"/>
        <v>36</v>
      </c>
      <c r="U5" s="77">
        <v>350</v>
      </c>
      <c r="V5" s="16">
        <f t="shared" si="1"/>
        <v>16</v>
      </c>
      <c r="W5" s="77">
        <v>1</v>
      </c>
      <c r="X5" s="77" t="s">
        <v>35</v>
      </c>
      <c r="Y5" s="77" t="s">
        <v>76</v>
      </c>
      <c r="Z5" s="77" t="s">
        <v>36</v>
      </c>
      <c r="AA5" s="77" t="s">
        <v>72</v>
      </c>
      <c r="AB5" s="77" t="s">
        <v>161</v>
      </c>
      <c r="AE5" s="22" t="s">
        <v>40</v>
      </c>
      <c r="AG5" s="162" t="s">
        <v>295</v>
      </c>
      <c r="AH5" s="163" t="s">
        <v>296</v>
      </c>
      <c r="AJ5" s="28"/>
      <c r="AL5" s="80" t="s">
        <v>132</v>
      </c>
      <c r="AN5" s="158" t="s">
        <v>133</v>
      </c>
      <c r="AP5" s="80" t="s">
        <v>297</v>
      </c>
      <c r="AR5" s="80" t="s">
        <v>42</v>
      </c>
      <c r="AV5" s="80" t="s">
        <v>298</v>
      </c>
      <c r="AX5" s="24">
        <v>84</v>
      </c>
      <c r="AY5" s="25">
        <v>39</v>
      </c>
      <c r="AZ5" s="25">
        <v>84</v>
      </c>
      <c r="BA5" s="26">
        <v>36</v>
      </c>
    </row>
    <row r="6" spans="1:53" x14ac:dyDescent="0.15">
      <c r="A6" s="77" t="s">
        <v>46</v>
      </c>
      <c r="B6" s="77" t="s">
        <v>160</v>
      </c>
      <c r="C6" s="160">
        <v>2020</v>
      </c>
      <c r="D6" s="161" t="s">
        <v>162</v>
      </c>
      <c r="E6" s="77" t="s">
        <v>285</v>
      </c>
      <c r="F6" s="77" t="s">
        <v>286</v>
      </c>
      <c r="G6" s="77" t="s">
        <v>25</v>
      </c>
      <c r="H6" s="77" t="s">
        <v>113</v>
      </c>
      <c r="I6" s="77" t="s">
        <v>111</v>
      </c>
      <c r="J6" s="77" t="s">
        <v>27</v>
      </c>
      <c r="K6" s="77" t="s">
        <v>112</v>
      </c>
      <c r="L6" s="77">
        <v>2</v>
      </c>
      <c r="N6" s="77">
        <v>4</v>
      </c>
      <c r="O6" s="77">
        <v>0.52</v>
      </c>
      <c r="P6" s="77">
        <v>0.48</v>
      </c>
      <c r="Q6" s="44">
        <f t="shared" si="2"/>
        <v>0.5</v>
      </c>
      <c r="R6" s="77">
        <v>13.9</v>
      </c>
      <c r="S6" s="77">
        <v>99</v>
      </c>
      <c r="T6" s="16">
        <f t="shared" si="0"/>
        <v>33</v>
      </c>
      <c r="U6" s="77">
        <v>350</v>
      </c>
      <c r="V6" s="16">
        <f t="shared" si="1"/>
        <v>16</v>
      </c>
      <c r="W6" s="77">
        <v>1</v>
      </c>
      <c r="X6" s="77" t="s">
        <v>35</v>
      </c>
      <c r="Y6" s="77" t="s">
        <v>76</v>
      </c>
      <c r="Z6" s="77" t="s">
        <v>36</v>
      </c>
      <c r="AA6" s="77" t="s">
        <v>72</v>
      </c>
      <c r="AB6" s="77" t="s">
        <v>161</v>
      </c>
      <c r="AE6" s="22" t="s">
        <v>44</v>
      </c>
      <c r="AG6" s="162" t="s">
        <v>299</v>
      </c>
      <c r="AH6" s="163" t="s">
        <v>300</v>
      </c>
      <c r="AL6" s="80" t="s">
        <v>135</v>
      </c>
      <c r="AN6" s="158" t="s">
        <v>136</v>
      </c>
      <c r="AP6" s="80" t="s">
        <v>41</v>
      </c>
      <c r="AR6" s="80" t="s">
        <v>301</v>
      </c>
      <c r="AV6" s="80" t="s">
        <v>47</v>
      </c>
      <c r="AX6" s="24">
        <v>97</v>
      </c>
      <c r="AY6" s="25">
        <v>36</v>
      </c>
      <c r="AZ6" s="25">
        <v>99</v>
      </c>
      <c r="BA6" s="26">
        <v>33</v>
      </c>
    </row>
    <row r="7" spans="1:53" x14ac:dyDescent="0.15">
      <c r="A7" s="77" t="s">
        <v>46</v>
      </c>
      <c r="B7" s="77" t="s">
        <v>160</v>
      </c>
      <c r="C7" s="160">
        <v>2020</v>
      </c>
      <c r="D7" s="161" t="s">
        <v>162</v>
      </c>
      <c r="E7" s="77" t="s">
        <v>285</v>
      </c>
      <c r="F7" s="77" t="s">
        <v>286</v>
      </c>
      <c r="G7" s="77" t="s">
        <v>25</v>
      </c>
      <c r="H7" s="77" t="s">
        <v>113</v>
      </c>
      <c r="I7" s="77" t="s">
        <v>111</v>
      </c>
      <c r="J7" s="77" t="s">
        <v>27</v>
      </c>
      <c r="K7" s="77" t="s">
        <v>112</v>
      </c>
      <c r="L7" s="77">
        <v>3</v>
      </c>
      <c r="N7" s="77">
        <v>4</v>
      </c>
      <c r="O7" s="77">
        <v>0.63</v>
      </c>
      <c r="P7" s="77">
        <v>0.65</v>
      </c>
      <c r="Q7" s="44">
        <f t="shared" si="2"/>
        <v>0.64</v>
      </c>
      <c r="R7" s="77">
        <v>13.7</v>
      </c>
      <c r="S7" s="77">
        <v>106</v>
      </c>
      <c r="T7" s="16">
        <f t="shared" si="0"/>
        <v>33</v>
      </c>
      <c r="U7" s="77">
        <v>350</v>
      </c>
      <c r="V7" s="16">
        <f t="shared" si="1"/>
        <v>16</v>
      </c>
      <c r="W7" s="77">
        <v>1</v>
      </c>
      <c r="X7" s="77" t="s">
        <v>35</v>
      </c>
      <c r="Y7" s="77" t="s">
        <v>76</v>
      </c>
      <c r="Z7" s="77" t="s">
        <v>36</v>
      </c>
      <c r="AA7" s="77" t="s">
        <v>72</v>
      </c>
      <c r="AB7" s="77" t="s">
        <v>161</v>
      </c>
      <c r="AE7" s="22" t="s">
        <v>48</v>
      </c>
      <c r="AG7" s="162" t="s">
        <v>302</v>
      </c>
      <c r="AH7" s="163" t="s">
        <v>303</v>
      </c>
      <c r="AL7" s="86" t="s">
        <v>137</v>
      </c>
      <c r="AP7" s="80" t="s">
        <v>45</v>
      </c>
      <c r="AR7" s="80" t="s">
        <v>304</v>
      </c>
      <c r="AV7" s="80" t="s">
        <v>51</v>
      </c>
      <c r="AX7" s="24">
        <v>109</v>
      </c>
      <c r="AY7" s="25">
        <v>33</v>
      </c>
      <c r="AZ7" s="25">
        <v>113</v>
      </c>
      <c r="BA7" s="26">
        <v>30</v>
      </c>
    </row>
    <row r="8" spans="1:53" x14ac:dyDescent="0.15">
      <c r="A8" s="77" t="s">
        <v>46</v>
      </c>
      <c r="B8" s="77" t="s">
        <v>160</v>
      </c>
      <c r="C8" s="160">
        <v>2020</v>
      </c>
      <c r="D8" s="161" t="s">
        <v>162</v>
      </c>
      <c r="E8" s="77" t="s">
        <v>287</v>
      </c>
      <c r="F8" s="77" t="s">
        <v>288</v>
      </c>
      <c r="G8" s="77" t="s">
        <v>25</v>
      </c>
      <c r="H8" s="77" t="s">
        <v>164</v>
      </c>
      <c r="I8" s="77" t="s">
        <v>111</v>
      </c>
      <c r="J8" s="77" t="s">
        <v>27</v>
      </c>
      <c r="K8" s="77" t="s">
        <v>112</v>
      </c>
      <c r="L8" s="77">
        <v>1</v>
      </c>
      <c r="N8" s="77">
        <v>4</v>
      </c>
      <c r="O8" s="77">
        <v>0.63</v>
      </c>
      <c r="P8" s="77">
        <v>0.7</v>
      </c>
      <c r="Q8" s="44">
        <f t="shared" si="2"/>
        <v>0.66500000000000004</v>
      </c>
      <c r="R8" s="77">
        <v>14.5</v>
      </c>
      <c r="S8" s="77">
        <v>103</v>
      </c>
      <c r="T8" s="16">
        <f t="shared" si="0"/>
        <v>33</v>
      </c>
      <c r="U8" s="77">
        <v>397</v>
      </c>
      <c r="V8" s="16">
        <f t="shared" si="1"/>
        <v>16</v>
      </c>
      <c r="W8" s="77">
        <v>4</v>
      </c>
      <c r="X8" s="77" t="s">
        <v>35</v>
      </c>
      <c r="Y8" s="77" t="s">
        <v>82</v>
      </c>
      <c r="Z8" s="77" t="s">
        <v>72</v>
      </c>
      <c r="AA8" s="77" t="s">
        <v>55</v>
      </c>
      <c r="AB8" s="77" t="s">
        <v>161</v>
      </c>
      <c r="AE8" s="22" t="s">
        <v>46</v>
      </c>
      <c r="AG8" s="164" t="s">
        <v>305</v>
      </c>
      <c r="AH8" s="163" t="s">
        <v>306</v>
      </c>
      <c r="AL8" s="86" t="s">
        <v>110</v>
      </c>
      <c r="AP8" s="80" t="s">
        <v>49</v>
      </c>
      <c r="AR8" s="80" t="s">
        <v>67</v>
      </c>
      <c r="AV8" s="80" t="s">
        <v>82</v>
      </c>
      <c r="AX8" s="24">
        <v>119</v>
      </c>
      <c r="AY8" s="25">
        <v>30</v>
      </c>
      <c r="AZ8" s="25">
        <v>121</v>
      </c>
      <c r="BA8" s="26">
        <v>27</v>
      </c>
    </row>
    <row r="9" spans="1:53" x14ac:dyDescent="0.15">
      <c r="A9" s="77" t="s">
        <v>46</v>
      </c>
      <c r="B9" s="77" t="s">
        <v>160</v>
      </c>
      <c r="C9" s="160">
        <v>2020</v>
      </c>
      <c r="D9" s="161" t="s">
        <v>162</v>
      </c>
      <c r="E9" s="77" t="s">
        <v>287</v>
      </c>
      <c r="F9" s="77" t="s">
        <v>288</v>
      </c>
      <c r="G9" s="77" t="s">
        <v>25</v>
      </c>
      <c r="H9" s="77" t="s">
        <v>164</v>
      </c>
      <c r="I9" s="77" t="s">
        <v>111</v>
      </c>
      <c r="J9" s="77" t="s">
        <v>27</v>
      </c>
      <c r="K9" s="77" t="s">
        <v>112</v>
      </c>
      <c r="L9" s="77">
        <v>2</v>
      </c>
      <c r="N9" s="77">
        <v>4</v>
      </c>
      <c r="O9" s="77">
        <v>0.4</v>
      </c>
      <c r="P9" s="77">
        <v>0.42</v>
      </c>
      <c r="Q9" s="44">
        <f t="shared" si="2"/>
        <v>0.41000000000000003</v>
      </c>
      <c r="R9" s="77">
        <v>16.100000000000001</v>
      </c>
      <c r="S9" s="77">
        <v>100</v>
      </c>
      <c r="T9" s="16">
        <f t="shared" si="0"/>
        <v>33</v>
      </c>
      <c r="U9" s="77">
        <v>397</v>
      </c>
      <c r="V9" s="16">
        <f t="shared" si="1"/>
        <v>16</v>
      </c>
      <c r="W9" s="77">
        <v>4</v>
      </c>
      <c r="X9" s="77" t="s">
        <v>35</v>
      </c>
      <c r="Y9" s="77" t="s">
        <v>82</v>
      </c>
      <c r="Z9" s="77" t="s">
        <v>72</v>
      </c>
      <c r="AA9" s="77" t="s">
        <v>55</v>
      </c>
      <c r="AB9" s="77" t="s">
        <v>161</v>
      </c>
      <c r="AE9" s="22" t="s">
        <v>83</v>
      </c>
      <c r="AG9" s="164" t="s">
        <v>307</v>
      </c>
      <c r="AH9" s="163" t="s">
        <v>306</v>
      </c>
      <c r="AL9" s="80" t="s">
        <v>139</v>
      </c>
      <c r="AP9" s="80" t="s">
        <v>308</v>
      </c>
      <c r="AR9" s="80" t="s">
        <v>75</v>
      </c>
      <c r="AV9" s="80" t="s">
        <v>86</v>
      </c>
      <c r="AX9" s="24">
        <v>128</v>
      </c>
      <c r="AY9" s="25">
        <v>27</v>
      </c>
      <c r="AZ9" s="25">
        <v>129</v>
      </c>
      <c r="BA9" s="26">
        <v>25</v>
      </c>
    </row>
    <row r="10" spans="1:53" x14ac:dyDescent="0.15">
      <c r="A10" s="77" t="s">
        <v>46</v>
      </c>
      <c r="B10" s="77" t="s">
        <v>160</v>
      </c>
      <c r="C10" s="160">
        <v>2020</v>
      </c>
      <c r="D10" s="161" t="s">
        <v>162</v>
      </c>
      <c r="E10" s="77" t="s">
        <v>287</v>
      </c>
      <c r="F10" s="77" t="s">
        <v>288</v>
      </c>
      <c r="G10" s="77" t="s">
        <v>25</v>
      </c>
      <c r="H10" s="77" t="s">
        <v>164</v>
      </c>
      <c r="I10" s="77" t="s">
        <v>111</v>
      </c>
      <c r="J10" s="77" t="s">
        <v>27</v>
      </c>
      <c r="K10" s="77" t="s">
        <v>112</v>
      </c>
      <c r="L10" s="77">
        <v>3</v>
      </c>
      <c r="N10" s="77">
        <v>4</v>
      </c>
      <c r="O10" s="77">
        <v>0.61</v>
      </c>
      <c r="P10" s="77">
        <v>0.66</v>
      </c>
      <c r="Q10" s="44">
        <f t="shared" si="2"/>
        <v>0.63500000000000001</v>
      </c>
      <c r="R10" s="77">
        <v>14.2</v>
      </c>
      <c r="S10" s="77">
        <v>100</v>
      </c>
      <c r="T10" s="16">
        <f t="shared" si="0"/>
        <v>33</v>
      </c>
      <c r="U10" s="77">
        <v>397</v>
      </c>
      <c r="V10" s="16">
        <f t="shared" si="1"/>
        <v>16</v>
      </c>
      <c r="W10" s="77">
        <v>4</v>
      </c>
      <c r="X10" s="77" t="s">
        <v>35</v>
      </c>
      <c r="Y10" s="77" t="s">
        <v>82</v>
      </c>
      <c r="Z10" s="77" t="s">
        <v>72</v>
      </c>
      <c r="AA10" s="77" t="s">
        <v>55</v>
      </c>
      <c r="AB10" s="77" t="s">
        <v>161</v>
      </c>
      <c r="AE10" s="22" t="s">
        <v>87</v>
      </c>
      <c r="AG10" s="162" t="s">
        <v>309</v>
      </c>
      <c r="AH10" s="163" t="s">
        <v>296</v>
      </c>
      <c r="AL10" s="165"/>
      <c r="AP10" s="80" t="s">
        <v>84</v>
      </c>
      <c r="AR10" s="80" t="s">
        <v>103</v>
      </c>
      <c r="AV10" s="80" t="s">
        <v>90</v>
      </c>
      <c r="AX10" s="24">
        <v>138</v>
      </c>
      <c r="AY10" s="25">
        <v>25</v>
      </c>
      <c r="AZ10" s="25">
        <v>138</v>
      </c>
      <c r="BA10" s="26">
        <v>22</v>
      </c>
    </row>
    <row r="11" spans="1:53" x14ac:dyDescent="0.15">
      <c r="A11" s="77" t="s">
        <v>46</v>
      </c>
      <c r="B11" s="77" t="s">
        <v>160</v>
      </c>
      <c r="C11" s="160">
        <v>2020</v>
      </c>
      <c r="D11" s="161" t="s">
        <v>162</v>
      </c>
      <c r="E11" s="77" t="s">
        <v>287</v>
      </c>
      <c r="F11" s="77" t="s">
        <v>288</v>
      </c>
      <c r="G11" s="77" t="s">
        <v>25</v>
      </c>
      <c r="H11" s="77" t="s">
        <v>113</v>
      </c>
      <c r="I11" s="77" t="s">
        <v>111</v>
      </c>
      <c r="J11" s="77" t="s">
        <v>27</v>
      </c>
      <c r="K11" s="77" t="s">
        <v>112</v>
      </c>
      <c r="L11" s="77">
        <v>1</v>
      </c>
      <c r="N11" s="77">
        <v>5</v>
      </c>
      <c r="O11" s="77">
        <v>0.7</v>
      </c>
      <c r="P11" s="77">
        <v>0.62</v>
      </c>
      <c r="Q11" s="44">
        <f t="shared" si="2"/>
        <v>0.65999999999999992</v>
      </c>
      <c r="R11" s="77">
        <v>13.6</v>
      </c>
      <c r="S11" s="77">
        <v>91</v>
      </c>
      <c r="T11" s="16">
        <f t="shared" si="0"/>
        <v>36</v>
      </c>
      <c r="U11" s="77">
        <v>297</v>
      </c>
      <c r="V11" s="16">
        <f t="shared" si="1"/>
        <v>16</v>
      </c>
      <c r="W11" s="77">
        <v>4</v>
      </c>
      <c r="X11" s="77" t="s">
        <v>35</v>
      </c>
      <c r="Y11" s="77" t="s">
        <v>82</v>
      </c>
      <c r="Z11" s="77" t="s">
        <v>72</v>
      </c>
      <c r="AA11" s="77" t="s">
        <v>55</v>
      </c>
      <c r="AB11" s="77" t="s">
        <v>161</v>
      </c>
      <c r="AE11" s="22" t="s">
        <v>52</v>
      </c>
      <c r="AG11" s="164" t="s">
        <v>310</v>
      </c>
      <c r="AH11" s="163" t="s">
        <v>311</v>
      </c>
      <c r="AL11" s="165"/>
      <c r="AP11" s="80" t="s">
        <v>312</v>
      </c>
      <c r="AR11" s="80" t="s">
        <v>313</v>
      </c>
      <c r="AV11" s="80" t="s">
        <v>314</v>
      </c>
      <c r="AX11" s="24">
        <v>151</v>
      </c>
      <c r="AY11" s="25">
        <v>22</v>
      </c>
      <c r="AZ11" s="25">
        <v>152</v>
      </c>
      <c r="BA11" s="26">
        <v>18</v>
      </c>
    </row>
    <row r="12" spans="1:53" x14ac:dyDescent="0.15">
      <c r="A12" s="77" t="s">
        <v>46</v>
      </c>
      <c r="B12" s="77" t="s">
        <v>160</v>
      </c>
      <c r="C12" s="160">
        <v>2020</v>
      </c>
      <c r="D12" s="161" t="s">
        <v>162</v>
      </c>
      <c r="E12" s="77" t="s">
        <v>287</v>
      </c>
      <c r="F12" s="77" t="s">
        <v>288</v>
      </c>
      <c r="G12" s="77" t="s">
        <v>25</v>
      </c>
      <c r="H12" s="77" t="s">
        <v>113</v>
      </c>
      <c r="I12" s="77" t="s">
        <v>111</v>
      </c>
      <c r="J12" s="77" t="s">
        <v>27</v>
      </c>
      <c r="K12" s="77" t="s">
        <v>112</v>
      </c>
      <c r="L12" s="77">
        <v>2</v>
      </c>
      <c r="N12" s="77">
        <v>5</v>
      </c>
      <c r="O12" s="77">
        <v>0.6</v>
      </c>
      <c r="P12" s="77">
        <v>0.67</v>
      </c>
      <c r="Q12" s="44">
        <f t="shared" si="2"/>
        <v>0.63500000000000001</v>
      </c>
      <c r="R12" s="77">
        <v>13.8</v>
      </c>
      <c r="S12" s="77">
        <v>88</v>
      </c>
      <c r="T12" s="16">
        <f t="shared" si="0"/>
        <v>36</v>
      </c>
      <c r="U12" s="77">
        <v>297</v>
      </c>
      <c r="V12" s="16">
        <f t="shared" si="1"/>
        <v>16</v>
      </c>
      <c r="W12" s="77">
        <v>4</v>
      </c>
      <c r="X12" s="77" t="s">
        <v>35</v>
      </c>
      <c r="Y12" s="77" t="s">
        <v>82</v>
      </c>
      <c r="Z12" s="77" t="s">
        <v>72</v>
      </c>
      <c r="AA12" s="77" t="s">
        <v>55</v>
      </c>
      <c r="AB12" s="77" t="s">
        <v>161</v>
      </c>
      <c r="AE12" s="22" t="s">
        <v>56</v>
      </c>
      <c r="AG12" s="80"/>
      <c r="AH12" s="166"/>
      <c r="AL12" s="165"/>
      <c r="AP12" s="80" t="s">
        <v>53</v>
      </c>
      <c r="AR12" s="80" t="s">
        <v>104</v>
      </c>
      <c r="AV12" s="80" t="s">
        <v>58</v>
      </c>
      <c r="AX12" s="31">
        <v>180</v>
      </c>
      <c r="AY12" s="32">
        <v>18</v>
      </c>
      <c r="AZ12" s="32">
        <v>181</v>
      </c>
      <c r="BA12" s="33">
        <v>16</v>
      </c>
    </row>
    <row r="13" spans="1:53" x14ac:dyDescent="0.15">
      <c r="A13" s="77" t="s">
        <v>46</v>
      </c>
      <c r="B13" s="77" t="s">
        <v>160</v>
      </c>
      <c r="C13" s="160">
        <v>2020</v>
      </c>
      <c r="D13" s="161" t="s">
        <v>162</v>
      </c>
      <c r="E13" s="77" t="s">
        <v>287</v>
      </c>
      <c r="F13" s="77" t="s">
        <v>288</v>
      </c>
      <c r="G13" s="77" t="s">
        <v>25</v>
      </c>
      <c r="H13" s="77" t="s">
        <v>113</v>
      </c>
      <c r="I13" s="77" t="s">
        <v>111</v>
      </c>
      <c r="J13" s="77" t="s">
        <v>27</v>
      </c>
      <c r="K13" s="77" t="s">
        <v>112</v>
      </c>
      <c r="L13" s="77">
        <v>3</v>
      </c>
      <c r="N13" s="77">
        <v>5</v>
      </c>
      <c r="O13" s="77">
        <v>0.68</v>
      </c>
      <c r="P13" s="77">
        <v>0.62</v>
      </c>
      <c r="Q13" s="44">
        <f t="shared" si="2"/>
        <v>0.65</v>
      </c>
      <c r="R13" s="77">
        <v>13.5</v>
      </c>
      <c r="S13" s="77">
        <v>95</v>
      </c>
      <c r="T13" s="16">
        <f t="shared" si="0"/>
        <v>36</v>
      </c>
      <c r="U13" s="77">
        <v>297</v>
      </c>
      <c r="V13" s="16">
        <f t="shared" si="1"/>
        <v>16</v>
      </c>
      <c r="W13" s="77">
        <v>4</v>
      </c>
      <c r="X13" s="77" t="s">
        <v>35</v>
      </c>
      <c r="Y13" s="77" t="s">
        <v>82</v>
      </c>
      <c r="Z13" s="77" t="s">
        <v>72</v>
      </c>
      <c r="AA13" s="77" t="s">
        <v>55</v>
      </c>
      <c r="AB13" s="77" t="s">
        <v>161</v>
      </c>
      <c r="AE13" s="22" t="s">
        <v>59</v>
      </c>
      <c r="AG13" s="80"/>
      <c r="AH13" s="80"/>
      <c r="AP13" s="80" t="s">
        <v>57</v>
      </c>
      <c r="AR13" s="80" t="s">
        <v>87</v>
      </c>
      <c r="AV13" s="80" t="s">
        <v>61</v>
      </c>
    </row>
    <row r="14" spans="1:53" x14ac:dyDescent="0.15">
      <c r="A14" s="77" t="s">
        <v>46</v>
      </c>
      <c r="B14" s="77" t="s">
        <v>160</v>
      </c>
      <c r="C14" s="160">
        <v>2020</v>
      </c>
      <c r="D14" s="161" t="s">
        <v>162</v>
      </c>
      <c r="E14" s="77" t="s">
        <v>287</v>
      </c>
      <c r="F14" s="77" t="s">
        <v>288</v>
      </c>
      <c r="G14" s="77" t="s">
        <v>25</v>
      </c>
      <c r="H14" s="77" t="s">
        <v>113</v>
      </c>
      <c r="I14" s="77" t="s">
        <v>111</v>
      </c>
      <c r="J14" s="77" t="s">
        <v>27</v>
      </c>
      <c r="K14" s="77" t="s">
        <v>112</v>
      </c>
      <c r="L14" s="77">
        <v>1</v>
      </c>
      <c r="N14" s="77">
        <v>1</v>
      </c>
      <c r="O14" s="77">
        <v>0.39</v>
      </c>
      <c r="P14" s="77">
        <v>0.35</v>
      </c>
      <c r="Q14" s="44">
        <f t="shared" si="2"/>
        <v>0.37</v>
      </c>
      <c r="R14" s="77">
        <v>15.2</v>
      </c>
      <c r="S14" s="77">
        <v>137</v>
      </c>
      <c r="T14" s="16">
        <f t="shared" si="0"/>
        <v>25</v>
      </c>
      <c r="U14" s="77">
        <v>117</v>
      </c>
      <c r="V14" s="16">
        <f t="shared" si="1"/>
        <v>30</v>
      </c>
      <c r="W14" s="77">
        <v>3</v>
      </c>
      <c r="X14" s="77" t="s">
        <v>35</v>
      </c>
      <c r="Y14" s="77" t="s">
        <v>82</v>
      </c>
      <c r="Z14" s="77" t="s">
        <v>72</v>
      </c>
      <c r="AA14" s="77" t="s">
        <v>55</v>
      </c>
      <c r="AB14" s="77" t="s">
        <v>161</v>
      </c>
      <c r="AE14" s="22" t="s">
        <v>62</v>
      </c>
      <c r="AG14" s="80"/>
      <c r="AH14" s="80"/>
      <c r="AP14" s="80" t="s">
        <v>315</v>
      </c>
      <c r="AR14" s="80" t="s">
        <v>105</v>
      </c>
      <c r="AV14" s="80" t="s">
        <v>64</v>
      </c>
    </row>
    <row r="15" spans="1:53" x14ac:dyDescent="0.15">
      <c r="A15" s="77" t="s">
        <v>46</v>
      </c>
      <c r="B15" s="77" t="s">
        <v>160</v>
      </c>
      <c r="C15" s="160">
        <v>2020</v>
      </c>
      <c r="D15" s="161" t="s">
        <v>162</v>
      </c>
      <c r="E15" s="77" t="s">
        <v>287</v>
      </c>
      <c r="F15" s="77" t="s">
        <v>288</v>
      </c>
      <c r="G15" s="77" t="s">
        <v>25</v>
      </c>
      <c r="H15" s="77" t="s">
        <v>113</v>
      </c>
      <c r="I15" s="77" t="s">
        <v>111</v>
      </c>
      <c r="J15" s="77" t="s">
        <v>27</v>
      </c>
      <c r="K15" s="77" t="s">
        <v>112</v>
      </c>
      <c r="L15" s="77">
        <v>2</v>
      </c>
      <c r="N15" s="77">
        <v>1</v>
      </c>
      <c r="O15" s="77">
        <v>0.31</v>
      </c>
      <c r="P15" s="77">
        <v>0.28000000000000003</v>
      </c>
      <c r="Q15" s="44">
        <f t="shared" si="2"/>
        <v>0.29500000000000004</v>
      </c>
      <c r="R15" s="77">
        <v>16.399999999999999</v>
      </c>
      <c r="S15" s="77">
        <v>133</v>
      </c>
      <c r="T15" s="16">
        <f t="shared" si="0"/>
        <v>25</v>
      </c>
      <c r="U15" s="77">
        <v>117</v>
      </c>
      <c r="V15" s="16">
        <f t="shared" si="1"/>
        <v>30</v>
      </c>
      <c r="W15" s="77">
        <v>3</v>
      </c>
      <c r="X15" s="77" t="s">
        <v>35</v>
      </c>
      <c r="Y15" s="77" t="s">
        <v>82</v>
      </c>
      <c r="Z15" s="77" t="s">
        <v>72</v>
      </c>
      <c r="AA15" s="77" t="s">
        <v>55</v>
      </c>
      <c r="AB15" s="77" t="s">
        <v>161</v>
      </c>
      <c r="AE15" s="22" t="s">
        <v>65</v>
      </c>
      <c r="AG15" s="80"/>
      <c r="AH15" s="80"/>
      <c r="AP15" s="80" t="s">
        <v>316</v>
      </c>
      <c r="AR15" s="80" t="s">
        <v>79</v>
      </c>
      <c r="AV15" s="80" t="s">
        <v>91</v>
      </c>
    </row>
    <row r="16" spans="1:53" x14ac:dyDescent="0.15">
      <c r="A16" s="77" t="s">
        <v>46</v>
      </c>
      <c r="B16" s="77" t="s">
        <v>160</v>
      </c>
      <c r="C16" s="160">
        <v>2020</v>
      </c>
      <c r="D16" s="161" t="s">
        <v>162</v>
      </c>
      <c r="E16" s="77" t="s">
        <v>287</v>
      </c>
      <c r="F16" s="77" t="s">
        <v>288</v>
      </c>
      <c r="G16" s="77" t="s">
        <v>25</v>
      </c>
      <c r="H16" s="77" t="s">
        <v>113</v>
      </c>
      <c r="I16" s="77" t="s">
        <v>111</v>
      </c>
      <c r="J16" s="77" t="s">
        <v>27</v>
      </c>
      <c r="K16" s="77" t="s">
        <v>112</v>
      </c>
      <c r="L16" s="77">
        <v>3</v>
      </c>
      <c r="N16" s="77">
        <v>1</v>
      </c>
      <c r="O16" s="77">
        <v>0.35</v>
      </c>
      <c r="P16" s="77">
        <v>0.38</v>
      </c>
      <c r="Q16" s="44">
        <f t="shared" si="2"/>
        <v>0.36499999999999999</v>
      </c>
      <c r="R16" s="77">
        <v>15.6</v>
      </c>
      <c r="S16" s="77">
        <v>138</v>
      </c>
      <c r="T16" s="16">
        <f t="shared" si="0"/>
        <v>22</v>
      </c>
      <c r="U16" s="77">
        <v>117</v>
      </c>
      <c r="V16" s="16">
        <f t="shared" si="1"/>
        <v>30</v>
      </c>
      <c r="W16" s="77">
        <v>3</v>
      </c>
      <c r="X16" s="77" t="s">
        <v>35</v>
      </c>
      <c r="Y16" s="77" t="s">
        <v>82</v>
      </c>
      <c r="Z16" s="77" t="s">
        <v>72</v>
      </c>
      <c r="AA16" s="77" t="s">
        <v>55</v>
      </c>
      <c r="AB16" s="77" t="s">
        <v>161</v>
      </c>
      <c r="AE16" s="22" t="s">
        <v>68</v>
      </c>
      <c r="AG16" s="28"/>
      <c r="AH16" s="28"/>
      <c r="AP16" s="80" t="s">
        <v>66</v>
      </c>
      <c r="AR16" s="80" t="s">
        <v>50</v>
      </c>
      <c r="AV16" s="80" t="s">
        <v>70</v>
      </c>
    </row>
    <row r="17" spans="1:48" x14ac:dyDescent="0.15">
      <c r="A17" s="77" t="s">
        <v>46</v>
      </c>
      <c r="B17" s="77" t="s">
        <v>160</v>
      </c>
      <c r="C17" s="160">
        <v>2020</v>
      </c>
      <c r="D17" s="161" t="s">
        <v>162</v>
      </c>
      <c r="E17" s="77" t="s">
        <v>295</v>
      </c>
      <c r="F17" s="77" t="s">
        <v>296</v>
      </c>
      <c r="G17" s="77" t="s">
        <v>25</v>
      </c>
      <c r="H17" s="77" t="s">
        <v>164</v>
      </c>
      <c r="I17" s="77" t="s">
        <v>111</v>
      </c>
      <c r="J17" s="77" t="s">
        <v>27</v>
      </c>
      <c r="K17" s="77" t="s">
        <v>112</v>
      </c>
      <c r="L17" s="77">
        <v>1</v>
      </c>
      <c r="N17" s="77">
        <v>4</v>
      </c>
      <c r="O17" s="77">
        <v>0.47</v>
      </c>
      <c r="P17" s="77">
        <v>0.47</v>
      </c>
      <c r="Q17" s="44">
        <f t="shared" si="2"/>
        <v>0.47</v>
      </c>
      <c r="R17" s="77">
        <v>14.7</v>
      </c>
      <c r="S17" s="77">
        <v>100</v>
      </c>
      <c r="T17" s="16">
        <f t="shared" si="0"/>
        <v>33</v>
      </c>
      <c r="U17" s="77">
        <v>399</v>
      </c>
      <c r="V17" s="16">
        <f t="shared" si="1"/>
        <v>16</v>
      </c>
      <c r="W17" s="77">
        <v>4</v>
      </c>
      <c r="X17" s="77" t="s">
        <v>35</v>
      </c>
      <c r="Y17" s="77" t="s">
        <v>43</v>
      </c>
      <c r="Z17" s="77" t="s">
        <v>76</v>
      </c>
      <c r="AA17" s="77" t="s">
        <v>55</v>
      </c>
      <c r="AB17" s="77" t="s">
        <v>161</v>
      </c>
      <c r="AE17" s="22" t="s">
        <v>71</v>
      </c>
      <c r="AP17" s="27" t="s">
        <v>93</v>
      </c>
      <c r="AR17" s="80" t="s">
        <v>81</v>
      </c>
      <c r="AV17" s="80" t="s">
        <v>72</v>
      </c>
    </row>
    <row r="18" spans="1:48" x14ac:dyDescent="0.15">
      <c r="A18" s="77" t="s">
        <v>46</v>
      </c>
      <c r="B18" s="77" t="s">
        <v>160</v>
      </c>
      <c r="C18" s="160">
        <v>2020</v>
      </c>
      <c r="D18" s="161" t="s">
        <v>162</v>
      </c>
      <c r="E18" s="77" t="s">
        <v>295</v>
      </c>
      <c r="F18" s="77" t="s">
        <v>296</v>
      </c>
      <c r="G18" s="77" t="s">
        <v>25</v>
      </c>
      <c r="H18" s="77" t="s">
        <v>164</v>
      </c>
      <c r="I18" s="77" t="s">
        <v>111</v>
      </c>
      <c r="J18" s="77" t="s">
        <v>27</v>
      </c>
      <c r="K18" s="77" t="s">
        <v>112</v>
      </c>
      <c r="L18" s="77">
        <v>2</v>
      </c>
      <c r="N18" s="77">
        <v>4</v>
      </c>
      <c r="O18" s="77">
        <v>0.39</v>
      </c>
      <c r="P18" s="77">
        <v>0.46</v>
      </c>
      <c r="Q18" s="44">
        <f t="shared" si="2"/>
        <v>0.42500000000000004</v>
      </c>
      <c r="R18" s="77">
        <v>14.7</v>
      </c>
      <c r="S18" s="77">
        <v>104</v>
      </c>
      <c r="T18" s="16">
        <f t="shared" si="0"/>
        <v>33</v>
      </c>
      <c r="U18" s="77">
        <v>399</v>
      </c>
      <c r="V18" s="16">
        <f t="shared" si="1"/>
        <v>16</v>
      </c>
      <c r="W18" s="77">
        <v>4</v>
      </c>
      <c r="X18" s="77" t="s">
        <v>35</v>
      </c>
      <c r="Y18" s="77" t="s">
        <v>43</v>
      </c>
      <c r="Z18" s="77" t="s">
        <v>76</v>
      </c>
      <c r="AA18" s="77" t="s">
        <v>55</v>
      </c>
      <c r="AB18" s="77" t="s">
        <v>161</v>
      </c>
      <c r="AE18" s="22" t="s">
        <v>73</v>
      </c>
      <c r="AP18" s="27" t="s">
        <v>317</v>
      </c>
      <c r="AR18" s="80" t="s">
        <v>85</v>
      </c>
      <c r="AV18" s="80" t="s">
        <v>74</v>
      </c>
    </row>
    <row r="19" spans="1:48" x14ac:dyDescent="0.15">
      <c r="A19" s="77" t="s">
        <v>46</v>
      </c>
      <c r="B19" s="77" t="s">
        <v>160</v>
      </c>
      <c r="C19" s="160">
        <v>2020</v>
      </c>
      <c r="D19" s="161" t="s">
        <v>162</v>
      </c>
      <c r="E19" s="77" t="s">
        <v>295</v>
      </c>
      <c r="F19" s="77" t="s">
        <v>296</v>
      </c>
      <c r="G19" s="77" t="s">
        <v>25</v>
      </c>
      <c r="H19" s="77" t="s">
        <v>164</v>
      </c>
      <c r="I19" s="77" t="s">
        <v>111</v>
      </c>
      <c r="J19" s="77" t="s">
        <v>27</v>
      </c>
      <c r="K19" s="77" t="s">
        <v>112</v>
      </c>
      <c r="L19" s="77">
        <v>3</v>
      </c>
      <c r="N19" s="77">
        <v>4</v>
      </c>
      <c r="O19" s="77">
        <v>0.41</v>
      </c>
      <c r="P19" s="77">
        <v>0.46</v>
      </c>
      <c r="Q19" s="44">
        <f t="shared" si="2"/>
        <v>0.435</v>
      </c>
      <c r="R19" s="77">
        <v>15.2</v>
      </c>
      <c r="S19" s="77">
        <v>105</v>
      </c>
      <c r="T19" s="16">
        <f t="shared" si="0"/>
        <v>33</v>
      </c>
      <c r="U19" s="77">
        <v>399</v>
      </c>
      <c r="V19" s="16">
        <f t="shared" si="1"/>
        <v>16</v>
      </c>
      <c r="W19" s="77">
        <v>4</v>
      </c>
      <c r="X19" s="77" t="s">
        <v>35</v>
      </c>
      <c r="Y19" s="77" t="s">
        <v>43</v>
      </c>
      <c r="Z19" s="77" t="s">
        <v>76</v>
      </c>
      <c r="AA19" s="77" t="s">
        <v>55</v>
      </c>
      <c r="AB19" s="77" t="s">
        <v>161</v>
      </c>
      <c r="AE19" s="35" t="s">
        <v>75</v>
      </c>
      <c r="AP19" s="27" t="s">
        <v>95</v>
      </c>
      <c r="AR19" s="80" t="s">
        <v>106</v>
      </c>
      <c r="AV19" s="80" t="s">
        <v>318</v>
      </c>
    </row>
    <row r="20" spans="1:48" x14ac:dyDescent="0.15">
      <c r="A20" s="77" t="s">
        <v>46</v>
      </c>
      <c r="B20" s="77" t="s">
        <v>160</v>
      </c>
      <c r="C20" s="160">
        <v>2020</v>
      </c>
      <c r="D20" s="161" t="s">
        <v>162</v>
      </c>
      <c r="E20" s="77" t="s">
        <v>295</v>
      </c>
      <c r="F20" s="77" t="s">
        <v>296</v>
      </c>
      <c r="G20" s="77" t="s">
        <v>25</v>
      </c>
      <c r="H20" s="77" t="s">
        <v>164</v>
      </c>
      <c r="I20" s="77" t="s">
        <v>111</v>
      </c>
      <c r="J20" s="77" t="s">
        <v>27</v>
      </c>
      <c r="K20" s="77" t="s">
        <v>112</v>
      </c>
      <c r="L20" s="77">
        <v>1</v>
      </c>
      <c r="N20" s="77">
        <v>3</v>
      </c>
      <c r="O20" s="77">
        <v>0.45</v>
      </c>
      <c r="P20" s="77">
        <v>0.48</v>
      </c>
      <c r="Q20" s="44">
        <f t="shared" si="2"/>
        <v>0.46499999999999997</v>
      </c>
      <c r="R20" s="77">
        <v>16.2</v>
      </c>
      <c r="S20" s="77">
        <v>126</v>
      </c>
      <c r="T20" s="16">
        <f t="shared" si="0"/>
        <v>27</v>
      </c>
      <c r="U20" s="77">
        <v>399</v>
      </c>
      <c r="V20" s="16">
        <f t="shared" si="1"/>
        <v>16</v>
      </c>
      <c r="W20" s="77">
        <v>2</v>
      </c>
      <c r="X20" s="77" t="s">
        <v>35</v>
      </c>
      <c r="Y20" s="77" t="s">
        <v>43</v>
      </c>
      <c r="Z20" s="77" t="s">
        <v>76</v>
      </c>
      <c r="AA20" s="77" t="s">
        <v>55</v>
      </c>
      <c r="AB20" s="77" t="s">
        <v>161</v>
      </c>
      <c r="AE20" s="35"/>
      <c r="AP20" s="27" t="s">
        <v>96</v>
      </c>
      <c r="AR20" s="80" t="s">
        <v>89</v>
      </c>
      <c r="AV20" s="27" t="s">
        <v>114</v>
      </c>
    </row>
    <row r="21" spans="1:48" x14ac:dyDescent="0.15">
      <c r="A21" s="77" t="s">
        <v>46</v>
      </c>
      <c r="B21" s="77" t="s">
        <v>160</v>
      </c>
      <c r="C21" s="160">
        <v>2020</v>
      </c>
      <c r="D21" s="161" t="s">
        <v>162</v>
      </c>
      <c r="E21" s="77" t="s">
        <v>295</v>
      </c>
      <c r="F21" s="77" t="s">
        <v>296</v>
      </c>
      <c r="G21" s="77" t="s">
        <v>25</v>
      </c>
      <c r="H21" s="77" t="s">
        <v>164</v>
      </c>
      <c r="I21" s="77" t="s">
        <v>111</v>
      </c>
      <c r="J21" s="77" t="s">
        <v>27</v>
      </c>
      <c r="K21" s="77" t="s">
        <v>112</v>
      </c>
      <c r="L21" s="77">
        <v>2</v>
      </c>
      <c r="N21" s="77">
        <v>3</v>
      </c>
      <c r="O21" s="77">
        <v>0.46</v>
      </c>
      <c r="P21" s="77">
        <v>0.47</v>
      </c>
      <c r="Q21" s="44">
        <f t="shared" si="2"/>
        <v>0.46499999999999997</v>
      </c>
      <c r="R21" s="77">
        <v>15.3</v>
      </c>
      <c r="S21" s="77">
        <v>126</v>
      </c>
      <c r="T21" s="16">
        <f t="shared" si="0"/>
        <v>27</v>
      </c>
      <c r="U21" s="77">
        <v>399</v>
      </c>
      <c r="V21" s="16">
        <f t="shared" si="1"/>
        <v>16</v>
      </c>
      <c r="W21" s="77">
        <v>2</v>
      </c>
      <c r="X21" s="77" t="s">
        <v>35</v>
      </c>
      <c r="Y21" s="77" t="s">
        <v>43</v>
      </c>
      <c r="Z21" s="77" t="s">
        <v>76</v>
      </c>
      <c r="AA21" s="77" t="s">
        <v>55</v>
      </c>
      <c r="AB21" s="77" t="s">
        <v>161</v>
      </c>
      <c r="AE21" s="28"/>
      <c r="AP21" s="27" t="s">
        <v>319</v>
      </c>
      <c r="AR21" s="80" t="s">
        <v>54</v>
      </c>
      <c r="AV21" s="27" t="s">
        <v>115</v>
      </c>
    </row>
    <row r="22" spans="1:48" x14ac:dyDescent="0.15">
      <c r="A22" s="77" t="s">
        <v>46</v>
      </c>
      <c r="B22" s="77" t="s">
        <v>160</v>
      </c>
      <c r="C22" s="160">
        <v>2020</v>
      </c>
      <c r="D22" s="161" t="s">
        <v>162</v>
      </c>
      <c r="E22" s="77" t="s">
        <v>295</v>
      </c>
      <c r="F22" s="77" t="s">
        <v>296</v>
      </c>
      <c r="G22" s="77" t="s">
        <v>25</v>
      </c>
      <c r="H22" s="77" t="s">
        <v>164</v>
      </c>
      <c r="I22" s="77" t="s">
        <v>111</v>
      </c>
      <c r="J22" s="77" t="s">
        <v>27</v>
      </c>
      <c r="K22" s="77" t="s">
        <v>112</v>
      </c>
      <c r="L22" s="77">
        <v>3</v>
      </c>
      <c r="N22" s="77">
        <v>3</v>
      </c>
      <c r="O22" s="77">
        <v>0.46</v>
      </c>
      <c r="P22" s="77">
        <v>0.49</v>
      </c>
      <c r="Q22" s="44">
        <f t="shared" si="2"/>
        <v>0.47499999999999998</v>
      </c>
      <c r="R22" s="77">
        <v>15.1</v>
      </c>
      <c r="S22" s="77">
        <v>130</v>
      </c>
      <c r="T22" s="16">
        <f t="shared" si="0"/>
        <v>25</v>
      </c>
      <c r="U22" s="77">
        <v>399</v>
      </c>
      <c r="V22" s="16">
        <f t="shared" si="1"/>
        <v>16</v>
      </c>
      <c r="W22" s="77">
        <v>2</v>
      </c>
      <c r="X22" s="77" t="s">
        <v>35</v>
      </c>
      <c r="Y22" s="77" t="s">
        <v>43</v>
      </c>
      <c r="Z22" s="77" t="s">
        <v>76</v>
      </c>
      <c r="AA22" s="77" t="s">
        <v>55</v>
      </c>
      <c r="AB22" s="77" t="s">
        <v>161</v>
      </c>
      <c r="AP22" s="27" t="s">
        <v>320</v>
      </c>
      <c r="AR22" s="80" t="s">
        <v>69</v>
      </c>
      <c r="AV22" s="27" t="s">
        <v>321</v>
      </c>
    </row>
    <row r="23" spans="1:48" x14ac:dyDescent="0.15">
      <c r="A23" s="77" t="s">
        <v>46</v>
      </c>
      <c r="B23" s="77" t="s">
        <v>160</v>
      </c>
      <c r="C23" s="160">
        <v>2020</v>
      </c>
      <c r="D23" s="161" t="s">
        <v>162</v>
      </c>
      <c r="E23" s="77" t="s">
        <v>295</v>
      </c>
      <c r="F23" s="77" t="s">
        <v>296</v>
      </c>
      <c r="G23" s="77" t="s">
        <v>25</v>
      </c>
      <c r="H23" s="77" t="s">
        <v>164</v>
      </c>
      <c r="I23" s="77" t="s">
        <v>111</v>
      </c>
      <c r="J23" s="77" t="s">
        <v>27</v>
      </c>
      <c r="K23" s="77" t="s">
        <v>112</v>
      </c>
      <c r="L23" s="77">
        <v>1</v>
      </c>
      <c r="N23" s="77">
        <v>2</v>
      </c>
      <c r="O23" s="77">
        <v>0.38</v>
      </c>
      <c r="P23" s="77">
        <v>0.38</v>
      </c>
      <c r="Q23" s="44">
        <f t="shared" si="2"/>
        <v>0.38</v>
      </c>
      <c r="R23" s="77">
        <v>14.8</v>
      </c>
      <c r="S23" s="77">
        <v>134</v>
      </c>
      <c r="T23" s="16">
        <f t="shared" si="0"/>
        <v>25</v>
      </c>
      <c r="U23" s="77">
        <v>269</v>
      </c>
      <c r="V23" s="16">
        <f t="shared" si="1"/>
        <v>16</v>
      </c>
      <c r="W23" s="77">
        <v>2</v>
      </c>
      <c r="X23" s="77" t="s">
        <v>35</v>
      </c>
      <c r="Y23" s="77" t="s">
        <v>43</v>
      </c>
      <c r="Z23" s="77" t="s">
        <v>76</v>
      </c>
      <c r="AA23" s="77" t="s">
        <v>55</v>
      </c>
      <c r="AB23" s="77" t="s">
        <v>161</v>
      </c>
      <c r="AP23" s="27" t="s">
        <v>116</v>
      </c>
      <c r="AR23" s="80" t="s">
        <v>48</v>
      </c>
      <c r="AV23" s="27" t="s">
        <v>322</v>
      </c>
    </row>
    <row r="24" spans="1:48" x14ac:dyDescent="0.15">
      <c r="A24" s="77" t="s">
        <v>46</v>
      </c>
      <c r="B24" s="77" t="s">
        <v>160</v>
      </c>
      <c r="C24" s="160">
        <v>2020</v>
      </c>
      <c r="D24" s="161" t="s">
        <v>162</v>
      </c>
      <c r="E24" s="77" t="s">
        <v>295</v>
      </c>
      <c r="F24" s="77" t="s">
        <v>296</v>
      </c>
      <c r="G24" s="77" t="s">
        <v>25</v>
      </c>
      <c r="H24" s="77" t="s">
        <v>164</v>
      </c>
      <c r="I24" s="77" t="s">
        <v>111</v>
      </c>
      <c r="J24" s="77" t="s">
        <v>27</v>
      </c>
      <c r="K24" s="77" t="s">
        <v>112</v>
      </c>
      <c r="L24" s="77">
        <v>2</v>
      </c>
      <c r="N24" s="77">
        <v>2</v>
      </c>
      <c r="O24" s="77">
        <v>0.31</v>
      </c>
      <c r="P24" s="77">
        <v>0.27</v>
      </c>
      <c r="Q24" s="44">
        <f t="shared" si="2"/>
        <v>0.29000000000000004</v>
      </c>
      <c r="R24" s="77">
        <v>15</v>
      </c>
      <c r="S24" s="77">
        <v>136</v>
      </c>
      <c r="T24" s="16">
        <f t="shared" si="0"/>
        <v>25</v>
      </c>
      <c r="U24" s="77">
        <v>269</v>
      </c>
      <c r="V24" s="16">
        <f t="shared" si="1"/>
        <v>16</v>
      </c>
      <c r="W24" s="77">
        <v>2</v>
      </c>
      <c r="X24" s="77" t="s">
        <v>35</v>
      </c>
      <c r="Y24" s="77" t="s">
        <v>43</v>
      </c>
      <c r="Z24" s="77" t="s">
        <v>76</v>
      </c>
      <c r="AA24" s="77" t="s">
        <v>55</v>
      </c>
      <c r="AB24" s="77" t="s">
        <v>161</v>
      </c>
      <c r="AP24" s="27" t="s">
        <v>117</v>
      </c>
      <c r="AR24" s="80" t="s">
        <v>77</v>
      </c>
      <c r="AV24" s="27" t="s">
        <v>323</v>
      </c>
    </row>
    <row r="25" spans="1:48" x14ac:dyDescent="0.15">
      <c r="A25" s="77" t="s">
        <v>46</v>
      </c>
      <c r="B25" s="77" t="s">
        <v>160</v>
      </c>
      <c r="C25" s="160">
        <v>2020</v>
      </c>
      <c r="D25" s="161" t="s">
        <v>162</v>
      </c>
      <c r="E25" s="77" t="s">
        <v>295</v>
      </c>
      <c r="F25" s="77" t="s">
        <v>296</v>
      </c>
      <c r="G25" s="77" t="s">
        <v>25</v>
      </c>
      <c r="H25" s="77" t="s">
        <v>164</v>
      </c>
      <c r="I25" s="77" t="s">
        <v>111</v>
      </c>
      <c r="J25" s="77" t="s">
        <v>27</v>
      </c>
      <c r="K25" s="77" t="s">
        <v>112</v>
      </c>
      <c r="L25" s="77">
        <v>3</v>
      </c>
      <c r="N25" s="77">
        <v>2</v>
      </c>
      <c r="O25" s="77">
        <v>0.39</v>
      </c>
      <c r="P25" s="77">
        <v>0.37</v>
      </c>
      <c r="Q25" s="44">
        <f t="shared" si="2"/>
        <v>0.38</v>
      </c>
      <c r="R25" s="77">
        <v>14.7</v>
      </c>
      <c r="S25" s="77">
        <v>135</v>
      </c>
      <c r="T25" s="16">
        <f t="shared" si="0"/>
        <v>25</v>
      </c>
      <c r="U25" s="77">
        <v>269</v>
      </c>
      <c r="V25" s="16">
        <f t="shared" si="1"/>
        <v>16</v>
      </c>
      <c r="W25" s="77">
        <v>2</v>
      </c>
      <c r="X25" s="77" t="s">
        <v>35</v>
      </c>
      <c r="Y25" s="77" t="s">
        <v>43</v>
      </c>
      <c r="Z25" s="77" t="s">
        <v>76</v>
      </c>
      <c r="AA25" s="77" t="s">
        <v>55</v>
      </c>
      <c r="AB25" s="77" t="s">
        <v>161</v>
      </c>
      <c r="AP25" s="27" t="s">
        <v>99</v>
      </c>
      <c r="AR25" s="27" t="s">
        <v>78</v>
      </c>
      <c r="AV25" s="27" t="s">
        <v>324</v>
      </c>
    </row>
    <row r="26" spans="1:48" x14ac:dyDescent="0.15">
      <c r="A26" s="77" t="s">
        <v>46</v>
      </c>
      <c r="B26" s="77" t="s">
        <v>160</v>
      </c>
      <c r="C26" s="160">
        <v>2020</v>
      </c>
      <c r="D26" s="161" t="s">
        <v>162</v>
      </c>
      <c r="E26" s="77" t="s">
        <v>295</v>
      </c>
      <c r="F26" s="77" t="s">
        <v>296</v>
      </c>
      <c r="G26" s="77" t="s">
        <v>25</v>
      </c>
      <c r="H26" s="77" t="s">
        <v>113</v>
      </c>
      <c r="I26" s="77" t="s">
        <v>111</v>
      </c>
      <c r="J26" s="77" t="s">
        <v>27</v>
      </c>
      <c r="K26" s="77" t="s">
        <v>112</v>
      </c>
      <c r="L26" s="77">
        <v>1</v>
      </c>
      <c r="N26" s="77">
        <v>5</v>
      </c>
      <c r="O26" s="77">
        <v>0.83</v>
      </c>
      <c r="P26" s="77">
        <v>0.88</v>
      </c>
      <c r="Q26" s="44">
        <f t="shared" si="2"/>
        <v>0.85499999999999998</v>
      </c>
      <c r="R26" s="77">
        <v>13</v>
      </c>
      <c r="S26" s="77">
        <v>86</v>
      </c>
      <c r="T26" s="16">
        <f t="shared" si="0"/>
        <v>36</v>
      </c>
      <c r="U26" s="77">
        <v>380</v>
      </c>
      <c r="V26" s="16">
        <f t="shared" si="1"/>
        <v>16</v>
      </c>
      <c r="W26" s="77">
        <v>1</v>
      </c>
      <c r="X26" s="77" t="s">
        <v>35</v>
      </c>
      <c r="Y26" s="77" t="s">
        <v>43</v>
      </c>
      <c r="Z26" s="77" t="s">
        <v>76</v>
      </c>
      <c r="AA26" s="77" t="s">
        <v>55</v>
      </c>
      <c r="AB26" s="77" t="s">
        <v>161</v>
      </c>
      <c r="AP26" s="27" t="s">
        <v>100</v>
      </c>
      <c r="AR26" s="27" t="s">
        <v>325</v>
      </c>
      <c r="AV26" s="27"/>
    </row>
    <row r="27" spans="1:48" x14ac:dyDescent="0.15">
      <c r="A27" s="77" t="s">
        <v>46</v>
      </c>
      <c r="B27" s="77" t="s">
        <v>160</v>
      </c>
      <c r="C27" s="160">
        <v>2020</v>
      </c>
      <c r="D27" s="161" t="s">
        <v>162</v>
      </c>
      <c r="E27" s="77" t="s">
        <v>295</v>
      </c>
      <c r="F27" s="77" t="s">
        <v>296</v>
      </c>
      <c r="G27" s="77" t="s">
        <v>25</v>
      </c>
      <c r="H27" s="77" t="s">
        <v>113</v>
      </c>
      <c r="I27" s="77" t="s">
        <v>111</v>
      </c>
      <c r="J27" s="77" t="s">
        <v>27</v>
      </c>
      <c r="K27" s="77" t="s">
        <v>112</v>
      </c>
      <c r="L27" s="77">
        <v>2</v>
      </c>
      <c r="N27" s="77">
        <v>5</v>
      </c>
      <c r="O27" s="77">
        <v>0.86</v>
      </c>
      <c r="P27" s="77">
        <v>0.93</v>
      </c>
      <c r="Q27" s="44">
        <f t="shared" si="2"/>
        <v>0.89500000000000002</v>
      </c>
      <c r="R27" s="77">
        <v>13.8</v>
      </c>
      <c r="S27" s="77">
        <v>91</v>
      </c>
      <c r="T27" s="16">
        <f t="shared" si="0"/>
        <v>36</v>
      </c>
      <c r="U27" s="77">
        <v>380</v>
      </c>
      <c r="V27" s="16">
        <f t="shared" si="1"/>
        <v>16</v>
      </c>
      <c r="W27" s="77">
        <v>1</v>
      </c>
      <c r="X27" s="77" t="s">
        <v>35</v>
      </c>
      <c r="Y27" s="77" t="s">
        <v>43</v>
      </c>
      <c r="Z27" s="77" t="s">
        <v>76</v>
      </c>
      <c r="AA27" s="77" t="s">
        <v>55</v>
      </c>
      <c r="AB27" s="77" t="s">
        <v>161</v>
      </c>
      <c r="AP27" s="27" t="s">
        <v>101</v>
      </c>
      <c r="AR27" s="80" t="s">
        <v>138</v>
      </c>
      <c r="AV27" s="27"/>
    </row>
    <row r="28" spans="1:48" x14ac:dyDescent="0.15">
      <c r="A28" s="77" t="s">
        <v>46</v>
      </c>
      <c r="B28" s="77" t="s">
        <v>160</v>
      </c>
      <c r="C28" s="160">
        <v>2020</v>
      </c>
      <c r="D28" s="161" t="s">
        <v>162</v>
      </c>
      <c r="E28" s="77" t="s">
        <v>295</v>
      </c>
      <c r="F28" s="77" t="s">
        <v>296</v>
      </c>
      <c r="G28" s="77" t="s">
        <v>25</v>
      </c>
      <c r="H28" s="77" t="s">
        <v>113</v>
      </c>
      <c r="I28" s="77" t="s">
        <v>111</v>
      </c>
      <c r="J28" s="77" t="s">
        <v>27</v>
      </c>
      <c r="K28" s="77" t="s">
        <v>112</v>
      </c>
      <c r="L28" s="77">
        <v>3</v>
      </c>
      <c r="N28" s="77">
        <v>5</v>
      </c>
      <c r="O28" s="77">
        <v>0.88</v>
      </c>
      <c r="P28" s="77">
        <v>0.85</v>
      </c>
      <c r="Q28" s="44">
        <f t="shared" si="2"/>
        <v>0.86499999999999999</v>
      </c>
      <c r="R28" s="77">
        <v>13.6</v>
      </c>
      <c r="S28" s="77">
        <v>88</v>
      </c>
      <c r="T28" s="16">
        <f t="shared" si="0"/>
        <v>36</v>
      </c>
      <c r="U28" s="77">
        <v>380</v>
      </c>
      <c r="V28" s="16">
        <f t="shared" si="1"/>
        <v>16</v>
      </c>
      <c r="W28" s="77">
        <v>1</v>
      </c>
      <c r="X28" s="77" t="s">
        <v>35</v>
      </c>
      <c r="Y28" s="77" t="s">
        <v>43</v>
      </c>
      <c r="Z28" s="77" t="s">
        <v>76</v>
      </c>
      <c r="AA28" s="77" t="s">
        <v>55</v>
      </c>
      <c r="AB28" s="77" t="s">
        <v>161</v>
      </c>
      <c r="AP28" s="27" t="s">
        <v>156</v>
      </c>
      <c r="AR28" s="80" t="s">
        <v>159</v>
      </c>
      <c r="AV28" s="27"/>
    </row>
    <row r="29" spans="1:48" x14ac:dyDescent="0.15">
      <c r="A29" s="77" t="s">
        <v>46</v>
      </c>
      <c r="B29" s="77" t="s">
        <v>160</v>
      </c>
      <c r="C29" s="160">
        <v>2020</v>
      </c>
      <c r="D29" s="161" t="s">
        <v>162</v>
      </c>
      <c r="E29" s="77" t="s">
        <v>295</v>
      </c>
      <c r="F29" s="77" t="s">
        <v>296</v>
      </c>
      <c r="G29" s="77" t="s">
        <v>25</v>
      </c>
      <c r="H29" s="77" t="s">
        <v>113</v>
      </c>
      <c r="I29" s="77" t="s">
        <v>111</v>
      </c>
      <c r="J29" s="77" t="s">
        <v>27</v>
      </c>
      <c r="K29" s="77" t="s">
        <v>112</v>
      </c>
      <c r="L29" s="77">
        <v>1</v>
      </c>
      <c r="N29" s="77">
        <v>4</v>
      </c>
      <c r="O29" s="77">
        <v>0.28000000000000003</v>
      </c>
      <c r="P29" s="77">
        <v>0.33</v>
      </c>
      <c r="Q29" s="44">
        <f t="shared" si="2"/>
        <v>0.30500000000000005</v>
      </c>
      <c r="R29" s="77">
        <v>13.3</v>
      </c>
      <c r="S29" s="77">
        <v>103</v>
      </c>
      <c r="T29" s="16">
        <f t="shared" si="0"/>
        <v>33</v>
      </c>
      <c r="U29" s="77">
        <v>380</v>
      </c>
      <c r="V29" s="16">
        <f t="shared" si="1"/>
        <v>16</v>
      </c>
      <c r="W29" s="77">
        <v>1</v>
      </c>
      <c r="X29" s="77" t="s">
        <v>35</v>
      </c>
      <c r="Y29" s="77" t="s">
        <v>43</v>
      </c>
      <c r="Z29" s="77" t="s">
        <v>76</v>
      </c>
      <c r="AA29" s="77" t="s">
        <v>55</v>
      </c>
      <c r="AB29" s="77" t="s">
        <v>161</v>
      </c>
      <c r="AP29" s="27" t="s">
        <v>157</v>
      </c>
      <c r="AR29" s="80" t="s">
        <v>158</v>
      </c>
      <c r="AV29" s="27"/>
    </row>
    <row r="30" spans="1:48" x14ac:dyDescent="0.15">
      <c r="A30" s="77" t="s">
        <v>46</v>
      </c>
      <c r="B30" s="77" t="s">
        <v>160</v>
      </c>
      <c r="C30" s="160">
        <v>2020</v>
      </c>
      <c r="D30" s="161" t="s">
        <v>162</v>
      </c>
      <c r="E30" s="77" t="s">
        <v>295</v>
      </c>
      <c r="F30" s="77" t="s">
        <v>296</v>
      </c>
      <c r="G30" s="77" t="s">
        <v>25</v>
      </c>
      <c r="H30" s="77" t="s">
        <v>113</v>
      </c>
      <c r="I30" s="77" t="s">
        <v>111</v>
      </c>
      <c r="J30" s="77" t="s">
        <v>27</v>
      </c>
      <c r="K30" s="77" t="s">
        <v>112</v>
      </c>
      <c r="L30" s="77">
        <v>2</v>
      </c>
      <c r="N30" s="77">
        <v>4</v>
      </c>
      <c r="O30" s="77">
        <v>0.71</v>
      </c>
      <c r="P30" s="77">
        <v>0.63</v>
      </c>
      <c r="Q30" s="44">
        <f t="shared" si="2"/>
        <v>0.66999999999999993</v>
      </c>
      <c r="R30" s="77">
        <v>14.4</v>
      </c>
      <c r="S30" s="77">
        <v>104</v>
      </c>
      <c r="T30" s="16">
        <f t="shared" si="0"/>
        <v>33</v>
      </c>
      <c r="U30" s="77">
        <v>380</v>
      </c>
      <c r="V30" s="16">
        <f t="shared" si="1"/>
        <v>16</v>
      </c>
      <c r="W30" s="77">
        <v>1</v>
      </c>
      <c r="X30" s="77" t="s">
        <v>35</v>
      </c>
      <c r="Y30" s="77" t="s">
        <v>43</v>
      </c>
      <c r="Z30" s="77" t="s">
        <v>76</v>
      </c>
      <c r="AA30" s="77" t="s">
        <v>55</v>
      </c>
      <c r="AB30" s="77" t="s">
        <v>161</v>
      </c>
      <c r="AR30" s="28"/>
      <c r="AV30" s="27"/>
    </row>
    <row r="31" spans="1:48" x14ac:dyDescent="0.15">
      <c r="A31" s="77" t="s">
        <v>46</v>
      </c>
      <c r="B31" s="77" t="s">
        <v>160</v>
      </c>
      <c r="C31" s="160">
        <v>2020</v>
      </c>
      <c r="D31" s="161" t="s">
        <v>162</v>
      </c>
      <c r="E31" s="77" t="s">
        <v>295</v>
      </c>
      <c r="F31" s="77" t="s">
        <v>296</v>
      </c>
      <c r="G31" s="77" t="s">
        <v>25</v>
      </c>
      <c r="H31" s="77" t="s">
        <v>113</v>
      </c>
      <c r="I31" s="77" t="s">
        <v>111</v>
      </c>
      <c r="J31" s="77" t="s">
        <v>27</v>
      </c>
      <c r="K31" s="77" t="s">
        <v>112</v>
      </c>
      <c r="L31" s="77">
        <v>3</v>
      </c>
      <c r="N31" s="77">
        <v>4</v>
      </c>
      <c r="O31" s="77">
        <v>0.35</v>
      </c>
      <c r="P31" s="77">
        <v>0.32</v>
      </c>
      <c r="Q31" s="44">
        <f t="shared" si="2"/>
        <v>0.33499999999999996</v>
      </c>
      <c r="R31" s="77">
        <v>13.8</v>
      </c>
      <c r="S31" s="77">
        <v>100</v>
      </c>
      <c r="T31" s="16">
        <f t="shared" si="0"/>
        <v>33</v>
      </c>
      <c r="U31" s="77">
        <v>380</v>
      </c>
      <c r="V31" s="16">
        <f t="shared" si="1"/>
        <v>16</v>
      </c>
      <c r="W31" s="77">
        <v>1</v>
      </c>
      <c r="X31" s="77" t="s">
        <v>35</v>
      </c>
      <c r="Y31" s="77" t="s">
        <v>43</v>
      </c>
      <c r="Z31" s="77" t="s">
        <v>76</v>
      </c>
      <c r="AA31" s="77" t="s">
        <v>55</v>
      </c>
      <c r="AB31" s="77" t="s">
        <v>161</v>
      </c>
      <c r="AV31" s="27"/>
    </row>
    <row r="32" spans="1:48" x14ac:dyDescent="0.15">
      <c r="A32" s="77" t="s">
        <v>46</v>
      </c>
      <c r="B32" s="77" t="s">
        <v>160</v>
      </c>
      <c r="C32" s="160">
        <v>2020</v>
      </c>
      <c r="D32" s="161" t="s">
        <v>162</v>
      </c>
      <c r="E32" s="77" t="s">
        <v>295</v>
      </c>
      <c r="F32" s="77" t="s">
        <v>296</v>
      </c>
      <c r="G32" s="77" t="s">
        <v>25</v>
      </c>
      <c r="H32" s="77" t="s">
        <v>113</v>
      </c>
      <c r="I32" s="77" t="s">
        <v>111</v>
      </c>
      <c r="J32" s="77" t="s">
        <v>27</v>
      </c>
      <c r="K32" s="77" t="s">
        <v>112</v>
      </c>
      <c r="L32" s="77">
        <v>1</v>
      </c>
      <c r="N32" s="77">
        <v>1</v>
      </c>
      <c r="O32" s="77">
        <v>0.34</v>
      </c>
      <c r="P32" s="77">
        <v>0.3</v>
      </c>
      <c r="Q32" s="44">
        <f t="shared" si="2"/>
        <v>0.32</v>
      </c>
      <c r="R32" s="77">
        <v>14.4</v>
      </c>
      <c r="S32" s="77">
        <v>140</v>
      </c>
      <c r="T32" s="16">
        <f t="shared" si="0"/>
        <v>22</v>
      </c>
      <c r="U32" s="77">
        <v>139</v>
      </c>
      <c r="V32" s="16">
        <f t="shared" si="1"/>
        <v>22</v>
      </c>
      <c r="W32" s="77">
        <v>2</v>
      </c>
      <c r="X32" s="77" t="s">
        <v>35</v>
      </c>
      <c r="Y32" s="77" t="s">
        <v>43</v>
      </c>
      <c r="Z32" s="77" t="s">
        <v>76</v>
      </c>
      <c r="AA32" s="77" t="s">
        <v>55</v>
      </c>
      <c r="AB32" s="77" t="s">
        <v>161</v>
      </c>
      <c r="AV32" s="27"/>
    </row>
    <row r="33" spans="1:48" x14ac:dyDescent="0.15">
      <c r="A33" s="77" t="s">
        <v>46</v>
      </c>
      <c r="B33" s="77" t="s">
        <v>160</v>
      </c>
      <c r="C33" s="160">
        <v>2020</v>
      </c>
      <c r="D33" s="161" t="s">
        <v>162</v>
      </c>
      <c r="E33" s="77" t="s">
        <v>295</v>
      </c>
      <c r="F33" s="77" t="s">
        <v>296</v>
      </c>
      <c r="G33" s="77" t="s">
        <v>25</v>
      </c>
      <c r="H33" s="77" t="s">
        <v>113</v>
      </c>
      <c r="I33" s="77" t="s">
        <v>111</v>
      </c>
      <c r="J33" s="77" t="s">
        <v>27</v>
      </c>
      <c r="K33" s="77" t="s">
        <v>112</v>
      </c>
      <c r="L33" s="77">
        <v>2</v>
      </c>
      <c r="N33" s="77">
        <v>1</v>
      </c>
      <c r="O33" s="77">
        <v>0.45</v>
      </c>
      <c r="P33" s="77">
        <v>0.47</v>
      </c>
      <c r="Q33" s="44">
        <f t="shared" si="2"/>
        <v>0.45999999999999996</v>
      </c>
      <c r="R33" s="77">
        <v>14.7</v>
      </c>
      <c r="S33" s="77">
        <v>135</v>
      </c>
      <c r="T33" s="16">
        <f t="shared" si="0"/>
        <v>25</v>
      </c>
      <c r="U33" s="77">
        <v>139</v>
      </c>
      <c r="V33" s="16">
        <f t="shared" si="1"/>
        <v>22</v>
      </c>
      <c r="W33" s="77">
        <v>2</v>
      </c>
      <c r="X33" s="77" t="s">
        <v>35</v>
      </c>
      <c r="Y33" s="77" t="s">
        <v>43</v>
      </c>
      <c r="Z33" s="77" t="s">
        <v>76</v>
      </c>
      <c r="AA33" s="77" t="s">
        <v>55</v>
      </c>
      <c r="AB33" s="77" t="s">
        <v>161</v>
      </c>
      <c r="AV33" s="27"/>
    </row>
    <row r="34" spans="1:48" x14ac:dyDescent="0.15">
      <c r="A34" s="77" t="s">
        <v>46</v>
      </c>
      <c r="B34" s="77" t="s">
        <v>160</v>
      </c>
      <c r="C34" s="160">
        <v>2020</v>
      </c>
      <c r="D34" s="161" t="s">
        <v>162</v>
      </c>
      <c r="E34" s="77" t="s">
        <v>295</v>
      </c>
      <c r="F34" s="77" t="s">
        <v>296</v>
      </c>
      <c r="G34" s="77" t="s">
        <v>25</v>
      </c>
      <c r="H34" s="77" t="s">
        <v>113</v>
      </c>
      <c r="I34" s="77" t="s">
        <v>111</v>
      </c>
      <c r="J34" s="77" t="s">
        <v>27</v>
      </c>
      <c r="K34" s="77" t="s">
        <v>112</v>
      </c>
      <c r="L34" s="77">
        <v>3</v>
      </c>
      <c r="N34" s="77">
        <v>1</v>
      </c>
      <c r="O34" s="77">
        <v>0.42</v>
      </c>
      <c r="P34" s="77">
        <v>0.44</v>
      </c>
      <c r="Q34" s="44">
        <f t="shared" si="2"/>
        <v>0.43</v>
      </c>
      <c r="R34" s="77">
        <v>14.1</v>
      </c>
      <c r="S34" s="77">
        <v>136</v>
      </c>
      <c r="T34" s="16">
        <f t="shared" si="0"/>
        <v>25</v>
      </c>
      <c r="U34" s="77">
        <v>139</v>
      </c>
      <c r="V34" s="16">
        <f t="shared" si="1"/>
        <v>22</v>
      </c>
      <c r="W34" s="77">
        <v>2</v>
      </c>
      <c r="X34" s="77" t="s">
        <v>35</v>
      </c>
      <c r="Y34" s="77" t="s">
        <v>43</v>
      </c>
      <c r="Z34" s="77" t="s">
        <v>76</v>
      </c>
      <c r="AA34" s="77" t="s">
        <v>55</v>
      </c>
      <c r="AB34" s="77" t="s">
        <v>161</v>
      </c>
      <c r="AV34" s="27"/>
    </row>
    <row r="35" spans="1:48" x14ac:dyDescent="0.15">
      <c r="A35" s="77" t="s">
        <v>46</v>
      </c>
      <c r="B35" s="77" t="s">
        <v>160</v>
      </c>
      <c r="C35" s="160">
        <v>2020</v>
      </c>
      <c r="D35" s="161" t="s">
        <v>162</v>
      </c>
      <c r="E35" s="77" t="s">
        <v>295</v>
      </c>
      <c r="F35" s="77" t="s">
        <v>296</v>
      </c>
      <c r="G35" s="77" t="s">
        <v>25</v>
      </c>
      <c r="H35" s="77" t="s">
        <v>165</v>
      </c>
      <c r="I35" s="77" t="s">
        <v>111</v>
      </c>
      <c r="J35" s="77" t="s">
        <v>27</v>
      </c>
      <c r="K35" s="77" t="s">
        <v>112</v>
      </c>
      <c r="L35" s="77">
        <v>1</v>
      </c>
      <c r="N35" s="77">
        <v>4</v>
      </c>
      <c r="O35" s="77">
        <v>0.46</v>
      </c>
      <c r="P35" s="77">
        <v>0.45</v>
      </c>
      <c r="Q35" s="44">
        <f t="shared" si="2"/>
        <v>0.45500000000000002</v>
      </c>
      <c r="R35" s="77">
        <v>16.7</v>
      </c>
      <c r="S35" s="77">
        <v>102</v>
      </c>
      <c r="T35" s="16">
        <f t="shared" si="0"/>
        <v>33</v>
      </c>
      <c r="U35" s="77">
        <v>399</v>
      </c>
      <c r="V35" s="16">
        <f t="shared" si="1"/>
        <v>16</v>
      </c>
      <c r="W35" s="77">
        <v>1</v>
      </c>
      <c r="X35" s="77" t="s">
        <v>35</v>
      </c>
      <c r="Y35" s="77" t="s">
        <v>43</v>
      </c>
      <c r="Z35" s="77" t="s">
        <v>76</v>
      </c>
      <c r="AA35" s="77" t="s">
        <v>55</v>
      </c>
      <c r="AB35" s="77" t="s">
        <v>161</v>
      </c>
      <c r="AV35" s="27"/>
    </row>
    <row r="36" spans="1:48" x14ac:dyDescent="0.15">
      <c r="A36" s="77" t="s">
        <v>46</v>
      </c>
      <c r="B36" s="77" t="s">
        <v>160</v>
      </c>
      <c r="C36" s="160">
        <v>2020</v>
      </c>
      <c r="D36" s="161" t="s">
        <v>162</v>
      </c>
      <c r="E36" s="77" t="s">
        <v>295</v>
      </c>
      <c r="F36" s="77" t="s">
        <v>296</v>
      </c>
      <c r="G36" s="77" t="s">
        <v>25</v>
      </c>
      <c r="H36" s="77" t="s">
        <v>165</v>
      </c>
      <c r="I36" s="77" t="s">
        <v>111</v>
      </c>
      <c r="J36" s="77" t="s">
        <v>27</v>
      </c>
      <c r="K36" s="77" t="s">
        <v>112</v>
      </c>
      <c r="L36" s="77">
        <v>2</v>
      </c>
      <c r="N36" s="77">
        <v>4</v>
      </c>
      <c r="O36" s="77">
        <v>0.41</v>
      </c>
      <c r="P36" s="77">
        <v>0.4</v>
      </c>
      <c r="Q36" s="44">
        <f t="shared" si="2"/>
        <v>0.40500000000000003</v>
      </c>
      <c r="R36" s="77">
        <v>16</v>
      </c>
      <c r="S36" s="77">
        <v>89</v>
      </c>
      <c r="T36" s="16">
        <f t="shared" si="0"/>
        <v>36</v>
      </c>
      <c r="U36" s="77">
        <v>399</v>
      </c>
      <c r="V36" s="16">
        <f t="shared" si="1"/>
        <v>16</v>
      </c>
      <c r="W36" s="77">
        <v>1</v>
      </c>
      <c r="X36" s="77" t="s">
        <v>35</v>
      </c>
      <c r="Y36" s="77" t="s">
        <v>43</v>
      </c>
      <c r="Z36" s="77" t="s">
        <v>76</v>
      </c>
      <c r="AA36" s="77" t="s">
        <v>55</v>
      </c>
      <c r="AB36" s="77" t="s">
        <v>161</v>
      </c>
      <c r="AV36" s="27"/>
    </row>
    <row r="37" spans="1:48" x14ac:dyDescent="0.15">
      <c r="A37" s="77" t="s">
        <v>46</v>
      </c>
      <c r="B37" s="77" t="s">
        <v>160</v>
      </c>
      <c r="C37" s="160">
        <v>2020</v>
      </c>
      <c r="D37" s="161" t="s">
        <v>162</v>
      </c>
      <c r="E37" s="77" t="s">
        <v>295</v>
      </c>
      <c r="F37" s="77" t="s">
        <v>296</v>
      </c>
      <c r="G37" s="77" t="s">
        <v>25</v>
      </c>
      <c r="H37" s="77" t="s">
        <v>165</v>
      </c>
      <c r="I37" s="77" t="s">
        <v>111</v>
      </c>
      <c r="J37" s="77" t="s">
        <v>27</v>
      </c>
      <c r="K37" s="77" t="s">
        <v>112</v>
      </c>
      <c r="L37" s="77">
        <v>3</v>
      </c>
      <c r="N37" s="77">
        <v>4</v>
      </c>
      <c r="O37" s="77">
        <v>0.43</v>
      </c>
      <c r="P37" s="77">
        <v>0.46</v>
      </c>
      <c r="Q37" s="44">
        <f t="shared" si="2"/>
        <v>0.44500000000000001</v>
      </c>
      <c r="R37" s="77">
        <v>16.600000000000001</v>
      </c>
      <c r="S37" s="77">
        <v>95</v>
      </c>
      <c r="T37" s="16">
        <f t="shared" si="0"/>
        <v>36</v>
      </c>
      <c r="U37" s="77">
        <v>399</v>
      </c>
      <c r="V37" s="16">
        <f t="shared" si="1"/>
        <v>16</v>
      </c>
      <c r="W37" s="77">
        <v>1</v>
      </c>
      <c r="X37" s="77" t="s">
        <v>35</v>
      </c>
      <c r="Y37" s="77" t="s">
        <v>43</v>
      </c>
      <c r="Z37" s="77" t="s">
        <v>76</v>
      </c>
      <c r="AA37" s="77" t="s">
        <v>55</v>
      </c>
      <c r="AB37" s="77" t="s">
        <v>161</v>
      </c>
      <c r="AV37" s="27"/>
    </row>
    <row r="38" spans="1:48" x14ac:dyDescent="0.15">
      <c r="A38" s="77" t="s">
        <v>46</v>
      </c>
      <c r="B38" s="77" t="s">
        <v>160</v>
      </c>
      <c r="C38" s="160">
        <v>2020</v>
      </c>
      <c r="D38" s="161" t="s">
        <v>162</v>
      </c>
      <c r="E38" s="77" t="s">
        <v>309</v>
      </c>
      <c r="F38" s="77" t="s">
        <v>296</v>
      </c>
      <c r="G38" s="77" t="s">
        <v>25</v>
      </c>
      <c r="H38" s="77" t="s">
        <v>164</v>
      </c>
      <c r="I38" s="77" t="s">
        <v>111</v>
      </c>
      <c r="J38" s="77" t="s">
        <v>27</v>
      </c>
      <c r="K38" s="77" t="s">
        <v>112</v>
      </c>
      <c r="L38" s="77">
        <v>1</v>
      </c>
      <c r="N38" s="77">
        <v>4</v>
      </c>
      <c r="O38" s="77">
        <v>0.45</v>
      </c>
      <c r="P38" s="77">
        <v>0.43</v>
      </c>
      <c r="Q38" s="44">
        <f t="shared" si="2"/>
        <v>0.44</v>
      </c>
      <c r="R38" s="77">
        <v>15.3</v>
      </c>
      <c r="S38" s="77">
        <v>99</v>
      </c>
      <c r="T38" s="16">
        <f t="shared" si="0"/>
        <v>33</v>
      </c>
      <c r="U38" s="77">
        <v>598</v>
      </c>
      <c r="V38" s="16">
        <f t="shared" si="1"/>
        <v>16</v>
      </c>
      <c r="W38" s="77">
        <v>4</v>
      </c>
      <c r="X38" s="77" t="s">
        <v>35</v>
      </c>
      <c r="Y38" s="77" t="s">
        <v>47</v>
      </c>
      <c r="Z38" s="77" t="s">
        <v>43</v>
      </c>
      <c r="AA38" s="77" t="s">
        <v>76</v>
      </c>
      <c r="AB38" s="77" t="s">
        <v>161</v>
      </c>
      <c r="AV38" s="28"/>
    </row>
    <row r="39" spans="1:48" x14ac:dyDescent="0.15">
      <c r="A39" s="77" t="s">
        <v>46</v>
      </c>
      <c r="B39" s="77" t="s">
        <v>160</v>
      </c>
      <c r="C39" s="160">
        <v>2020</v>
      </c>
      <c r="D39" s="161" t="s">
        <v>162</v>
      </c>
      <c r="E39" s="77" t="s">
        <v>309</v>
      </c>
      <c r="F39" s="77" t="s">
        <v>296</v>
      </c>
      <c r="G39" s="77" t="s">
        <v>25</v>
      </c>
      <c r="H39" s="77" t="s">
        <v>164</v>
      </c>
      <c r="I39" s="77" t="s">
        <v>111</v>
      </c>
      <c r="J39" s="77" t="s">
        <v>27</v>
      </c>
      <c r="K39" s="77" t="s">
        <v>112</v>
      </c>
      <c r="L39" s="77">
        <v>2</v>
      </c>
      <c r="N39" s="77">
        <v>4</v>
      </c>
      <c r="O39" s="77">
        <v>0.5</v>
      </c>
      <c r="P39" s="77">
        <v>0.52</v>
      </c>
      <c r="Q39" s="44">
        <f t="shared" si="2"/>
        <v>0.51</v>
      </c>
      <c r="R39" s="77">
        <v>16.8</v>
      </c>
      <c r="S39" s="77">
        <v>105</v>
      </c>
      <c r="T39" s="16">
        <f t="shared" si="0"/>
        <v>33</v>
      </c>
      <c r="U39" s="77">
        <v>598</v>
      </c>
      <c r="V39" s="16">
        <f t="shared" si="1"/>
        <v>16</v>
      </c>
      <c r="W39" s="77">
        <v>4</v>
      </c>
      <c r="X39" s="77" t="s">
        <v>35</v>
      </c>
      <c r="Y39" s="77" t="s">
        <v>47</v>
      </c>
      <c r="Z39" s="77" t="s">
        <v>43</v>
      </c>
      <c r="AA39" s="77" t="s">
        <v>76</v>
      </c>
      <c r="AB39" s="77" t="s">
        <v>161</v>
      </c>
    </row>
    <row r="40" spans="1:48" x14ac:dyDescent="0.15">
      <c r="A40" s="77" t="s">
        <v>46</v>
      </c>
      <c r="B40" s="77" t="s">
        <v>160</v>
      </c>
      <c r="C40" s="160">
        <v>2020</v>
      </c>
      <c r="D40" s="161" t="s">
        <v>162</v>
      </c>
      <c r="E40" s="77" t="s">
        <v>309</v>
      </c>
      <c r="F40" s="77" t="s">
        <v>296</v>
      </c>
      <c r="G40" s="77" t="s">
        <v>25</v>
      </c>
      <c r="H40" s="77" t="s">
        <v>164</v>
      </c>
      <c r="I40" s="77" t="s">
        <v>111</v>
      </c>
      <c r="J40" s="77" t="s">
        <v>27</v>
      </c>
      <c r="K40" s="77" t="s">
        <v>112</v>
      </c>
      <c r="L40" s="77">
        <v>3</v>
      </c>
      <c r="N40" s="77">
        <v>4</v>
      </c>
      <c r="O40" s="77">
        <v>0.51</v>
      </c>
      <c r="P40" s="77">
        <v>0.49</v>
      </c>
      <c r="Q40" s="44">
        <f t="shared" si="2"/>
        <v>0.5</v>
      </c>
      <c r="R40" s="77">
        <v>15.9</v>
      </c>
      <c r="S40" s="77">
        <v>95</v>
      </c>
      <c r="T40" s="16">
        <f t="shared" si="0"/>
        <v>36</v>
      </c>
      <c r="U40" s="77">
        <v>598</v>
      </c>
      <c r="V40" s="16">
        <f t="shared" si="1"/>
        <v>16</v>
      </c>
      <c r="W40" s="77">
        <v>4</v>
      </c>
      <c r="X40" s="77" t="s">
        <v>35</v>
      </c>
      <c r="Y40" s="77" t="s">
        <v>47</v>
      </c>
      <c r="Z40" s="77" t="s">
        <v>43</v>
      </c>
      <c r="AA40" s="77" t="s">
        <v>76</v>
      </c>
      <c r="AB40" s="77" t="s">
        <v>161</v>
      </c>
    </row>
    <row r="41" spans="1:48" x14ac:dyDescent="0.15">
      <c r="A41" s="77" t="s">
        <v>46</v>
      </c>
      <c r="B41" s="77" t="s">
        <v>160</v>
      </c>
      <c r="C41" s="160">
        <v>2020</v>
      </c>
      <c r="D41" s="161" t="s">
        <v>162</v>
      </c>
      <c r="E41" s="77" t="s">
        <v>309</v>
      </c>
      <c r="F41" s="77" t="s">
        <v>296</v>
      </c>
      <c r="G41" s="77" t="s">
        <v>25</v>
      </c>
      <c r="H41" s="77" t="s">
        <v>164</v>
      </c>
      <c r="I41" s="77" t="s">
        <v>111</v>
      </c>
      <c r="J41" s="77" t="s">
        <v>27</v>
      </c>
      <c r="K41" s="77" t="s">
        <v>112</v>
      </c>
      <c r="L41" s="77">
        <v>1</v>
      </c>
      <c r="N41" s="77">
        <v>1</v>
      </c>
      <c r="O41" s="77">
        <v>0.33</v>
      </c>
      <c r="P41" s="77">
        <v>0.28999999999999998</v>
      </c>
      <c r="Q41" s="44">
        <f t="shared" si="2"/>
        <v>0.31</v>
      </c>
      <c r="R41" s="77">
        <v>16.899999999999999</v>
      </c>
      <c r="S41" s="77">
        <v>131</v>
      </c>
      <c r="T41" s="16">
        <f t="shared" si="0"/>
        <v>25</v>
      </c>
      <c r="U41" s="77">
        <v>150</v>
      </c>
      <c r="V41" s="16">
        <f t="shared" si="1"/>
        <v>22</v>
      </c>
      <c r="W41" s="77">
        <v>1</v>
      </c>
      <c r="X41" s="77" t="s">
        <v>35</v>
      </c>
      <c r="Y41" s="77" t="s">
        <v>47</v>
      </c>
      <c r="Z41" s="77" t="s">
        <v>43</v>
      </c>
      <c r="AA41" s="77" t="s">
        <v>76</v>
      </c>
      <c r="AB41" s="77" t="s">
        <v>161</v>
      </c>
    </row>
    <row r="42" spans="1:48" x14ac:dyDescent="0.15">
      <c r="A42" s="77" t="s">
        <v>46</v>
      </c>
      <c r="B42" s="77" t="s">
        <v>160</v>
      </c>
      <c r="C42" s="160">
        <v>2020</v>
      </c>
      <c r="D42" s="161" t="s">
        <v>162</v>
      </c>
      <c r="E42" s="77" t="s">
        <v>309</v>
      </c>
      <c r="F42" s="77" t="s">
        <v>296</v>
      </c>
      <c r="G42" s="77" t="s">
        <v>25</v>
      </c>
      <c r="H42" s="77" t="s">
        <v>164</v>
      </c>
      <c r="I42" s="77" t="s">
        <v>111</v>
      </c>
      <c r="J42" s="77" t="s">
        <v>27</v>
      </c>
      <c r="K42" s="77" t="s">
        <v>112</v>
      </c>
      <c r="L42" s="77">
        <v>2</v>
      </c>
      <c r="N42" s="77">
        <v>1</v>
      </c>
      <c r="O42" s="77">
        <v>0.32</v>
      </c>
      <c r="P42" s="77">
        <v>0.31</v>
      </c>
      <c r="Q42" s="44">
        <f t="shared" si="2"/>
        <v>0.315</v>
      </c>
      <c r="R42" s="77">
        <v>19.2</v>
      </c>
      <c r="S42" s="77">
        <v>132</v>
      </c>
      <c r="T42" s="16">
        <f t="shared" si="0"/>
        <v>25</v>
      </c>
      <c r="U42" s="77">
        <v>150</v>
      </c>
      <c r="V42" s="16">
        <f t="shared" si="1"/>
        <v>22</v>
      </c>
      <c r="W42" s="77">
        <v>1</v>
      </c>
      <c r="X42" s="77" t="s">
        <v>35</v>
      </c>
      <c r="Y42" s="77" t="s">
        <v>47</v>
      </c>
      <c r="Z42" s="77" t="s">
        <v>43</v>
      </c>
      <c r="AA42" s="77" t="s">
        <v>76</v>
      </c>
      <c r="AB42" s="77" t="s">
        <v>161</v>
      </c>
    </row>
    <row r="43" spans="1:48" x14ac:dyDescent="0.15">
      <c r="A43" s="77" t="s">
        <v>46</v>
      </c>
      <c r="B43" s="77" t="s">
        <v>160</v>
      </c>
      <c r="C43" s="160">
        <v>2020</v>
      </c>
      <c r="D43" s="161" t="s">
        <v>162</v>
      </c>
      <c r="E43" s="77" t="s">
        <v>309</v>
      </c>
      <c r="F43" s="77" t="s">
        <v>296</v>
      </c>
      <c r="G43" s="77" t="s">
        <v>25</v>
      </c>
      <c r="H43" s="77" t="s">
        <v>164</v>
      </c>
      <c r="I43" s="77" t="s">
        <v>111</v>
      </c>
      <c r="J43" s="77" t="s">
        <v>27</v>
      </c>
      <c r="K43" s="77" t="s">
        <v>112</v>
      </c>
      <c r="L43" s="77">
        <v>3</v>
      </c>
      <c r="N43" s="77">
        <v>1</v>
      </c>
      <c r="O43" s="77">
        <v>0.35</v>
      </c>
      <c r="P43" s="77">
        <v>0.33</v>
      </c>
      <c r="Q43" s="44">
        <f t="shared" si="2"/>
        <v>0.33999999999999997</v>
      </c>
      <c r="R43" s="77">
        <v>16.8</v>
      </c>
      <c r="S43" s="77">
        <v>131</v>
      </c>
      <c r="T43" s="16">
        <f t="shared" si="0"/>
        <v>25</v>
      </c>
      <c r="U43" s="77">
        <v>150</v>
      </c>
      <c r="V43" s="16">
        <f t="shared" si="1"/>
        <v>22</v>
      </c>
      <c r="W43" s="77">
        <v>1</v>
      </c>
      <c r="X43" s="77" t="s">
        <v>35</v>
      </c>
      <c r="Y43" s="77" t="s">
        <v>47</v>
      </c>
      <c r="Z43" s="77" t="s">
        <v>43</v>
      </c>
      <c r="AA43" s="77" t="s">
        <v>76</v>
      </c>
      <c r="AB43" s="77" t="s">
        <v>161</v>
      </c>
    </row>
    <row r="44" spans="1:48" x14ac:dyDescent="0.15">
      <c r="A44" s="77" t="s">
        <v>46</v>
      </c>
      <c r="B44" s="77" t="s">
        <v>160</v>
      </c>
      <c r="C44" s="160">
        <v>2020</v>
      </c>
      <c r="D44" s="161" t="s">
        <v>162</v>
      </c>
      <c r="E44" s="77" t="s">
        <v>309</v>
      </c>
      <c r="F44" s="77" t="s">
        <v>296</v>
      </c>
      <c r="G44" s="77" t="s">
        <v>25</v>
      </c>
      <c r="H44" s="77" t="s">
        <v>113</v>
      </c>
      <c r="I44" s="77" t="s">
        <v>111</v>
      </c>
      <c r="J44" s="77" t="s">
        <v>27</v>
      </c>
      <c r="K44" s="77" t="s">
        <v>112</v>
      </c>
      <c r="L44" s="77">
        <v>1</v>
      </c>
      <c r="N44" s="77">
        <v>4</v>
      </c>
      <c r="O44" s="77">
        <v>0.46</v>
      </c>
      <c r="P44" s="77">
        <v>0.38</v>
      </c>
      <c r="Q44" s="44">
        <f t="shared" si="2"/>
        <v>0.42000000000000004</v>
      </c>
      <c r="R44" s="77">
        <v>13.5</v>
      </c>
      <c r="S44" s="77">
        <v>102</v>
      </c>
      <c r="T44" s="16">
        <f t="shared" si="0"/>
        <v>33</v>
      </c>
      <c r="U44" s="77">
        <v>398</v>
      </c>
      <c r="V44" s="16">
        <f t="shared" si="1"/>
        <v>16</v>
      </c>
      <c r="W44" s="77">
        <v>2</v>
      </c>
      <c r="X44" s="77" t="s">
        <v>35</v>
      </c>
      <c r="Y44" s="77" t="s">
        <v>47</v>
      </c>
      <c r="Z44" s="77" t="s">
        <v>43</v>
      </c>
      <c r="AA44" s="77" t="s">
        <v>76</v>
      </c>
      <c r="AB44" s="77" t="s">
        <v>161</v>
      </c>
    </row>
    <row r="45" spans="1:48" x14ac:dyDescent="0.15">
      <c r="A45" s="77" t="s">
        <v>46</v>
      </c>
      <c r="B45" s="77" t="s">
        <v>160</v>
      </c>
      <c r="C45" s="160">
        <v>2020</v>
      </c>
      <c r="D45" s="161" t="s">
        <v>162</v>
      </c>
      <c r="E45" s="77" t="s">
        <v>309</v>
      </c>
      <c r="F45" s="77" t="s">
        <v>296</v>
      </c>
      <c r="G45" s="77" t="s">
        <v>25</v>
      </c>
      <c r="H45" s="77" t="s">
        <v>113</v>
      </c>
      <c r="I45" s="77" t="s">
        <v>111</v>
      </c>
      <c r="J45" s="77" t="s">
        <v>27</v>
      </c>
      <c r="K45" s="77" t="s">
        <v>112</v>
      </c>
      <c r="L45" s="77">
        <v>2</v>
      </c>
      <c r="N45" s="77">
        <v>4</v>
      </c>
      <c r="O45" s="77">
        <v>0.43</v>
      </c>
      <c r="P45" s="77">
        <v>0.37</v>
      </c>
      <c r="Q45" s="44">
        <f t="shared" si="2"/>
        <v>0.4</v>
      </c>
      <c r="R45" s="77">
        <v>13.7</v>
      </c>
      <c r="S45" s="77">
        <v>100</v>
      </c>
      <c r="T45" s="16">
        <f t="shared" si="0"/>
        <v>33</v>
      </c>
      <c r="U45" s="77">
        <v>398</v>
      </c>
      <c r="V45" s="16">
        <f t="shared" si="1"/>
        <v>16</v>
      </c>
      <c r="W45" s="77">
        <v>2</v>
      </c>
      <c r="X45" s="77" t="s">
        <v>35</v>
      </c>
      <c r="Y45" s="77" t="s">
        <v>47</v>
      </c>
      <c r="Z45" s="77" t="s">
        <v>43</v>
      </c>
      <c r="AA45" s="77" t="s">
        <v>76</v>
      </c>
      <c r="AB45" s="77" t="s">
        <v>161</v>
      </c>
    </row>
    <row r="46" spans="1:48" x14ac:dyDescent="0.15">
      <c r="A46" s="77" t="s">
        <v>46</v>
      </c>
      <c r="B46" s="77" t="s">
        <v>160</v>
      </c>
      <c r="C46" s="160">
        <v>2020</v>
      </c>
      <c r="D46" s="161" t="s">
        <v>162</v>
      </c>
      <c r="E46" s="77" t="s">
        <v>309</v>
      </c>
      <c r="F46" s="77" t="s">
        <v>296</v>
      </c>
      <c r="G46" s="77" t="s">
        <v>25</v>
      </c>
      <c r="H46" s="77" t="s">
        <v>113</v>
      </c>
      <c r="I46" s="77" t="s">
        <v>111</v>
      </c>
      <c r="J46" s="77" t="s">
        <v>27</v>
      </c>
      <c r="K46" s="77" t="s">
        <v>112</v>
      </c>
      <c r="L46" s="77">
        <v>3</v>
      </c>
      <c r="N46" s="77">
        <v>4</v>
      </c>
      <c r="O46" s="77">
        <v>0.49</v>
      </c>
      <c r="P46" s="77">
        <v>0.47</v>
      </c>
      <c r="Q46" s="44">
        <f t="shared" si="2"/>
        <v>0.48</v>
      </c>
      <c r="R46" s="77">
        <v>13.5</v>
      </c>
      <c r="S46" s="77">
        <v>99</v>
      </c>
      <c r="T46" s="16">
        <f t="shared" si="0"/>
        <v>33</v>
      </c>
      <c r="U46" s="77">
        <v>398</v>
      </c>
      <c r="V46" s="16">
        <f t="shared" si="1"/>
        <v>16</v>
      </c>
      <c r="W46" s="77">
        <v>2</v>
      </c>
      <c r="X46" s="77" t="s">
        <v>35</v>
      </c>
      <c r="Y46" s="77" t="s">
        <v>47</v>
      </c>
      <c r="Z46" s="77" t="s">
        <v>43</v>
      </c>
      <c r="AA46" s="77" t="s">
        <v>76</v>
      </c>
      <c r="AB46" s="77" t="s">
        <v>161</v>
      </c>
    </row>
    <row r="47" spans="1:48" x14ac:dyDescent="0.15">
      <c r="A47" s="77" t="s">
        <v>46</v>
      </c>
      <c r="B47" s="77" t="s">
        <v>160</v>
      </c>
      <c r="C47" s="160">
        <v>2020</v>
      </c>
      <c r="D47" s="161" t="s">
        <v>162</v>
      </c>
      <c r="E47" s="77" t="s">
        <v>309</v>
      </c>
      <c r="F47" s="77" t="s">
        <v>296</v>
      </c>
      <c r="G47" s="77" t="s">
        <v>25</v>
      </c>
      <c r="H47" s="77" t="s">
        <v>113</v>
      </c>
      <c r="I47" s="77" t="s">
        <v>111</v>
      </c>
      <c r="J47" s="77" t="s">
        <v>27</v>
      </c>
      <c r="K47" s="77" t="s">
        <v>112</v>
      </c>
      <c r="L47" s="77">
        <v>1</v>
      </c>
      <c r="N47" s="77">
        <v>1</v>
      </c>
      <c r="O47" s="77">
        <v>0.22</v>
      </c>
      <c r="P47" s="77">
        <v>0.25</v>
      </c>
      <c r="Q47" s="44">
        <f t="shared" si="2"/>
        <v>0.23499999999999999</v>
      </c>
      <c r="R47" s="77">
        <v>15.7</v>
      </c>
      <c r="S47" s="77">
        <v>150</v>
      </c>
      <c r="T47" s="16">
        <f t="shared" si="0"/>
        <v>22</v>
      </c>
      <c r="U47" s="77">
        <v>158</v>
      </c>
      <c r="V47" s="16">
        <f t="shared" si="1"/>
        <v>18</v>
      </c>
      <c r="W47" s="77">
        <v>1</v>
      </c>
      <c r="X47" s="77" t="s">
        <v>35</v>
      </c>
      <c r="Y47" s="77" t="s">
        <v>47</v>
      </c>
      <c r="Z47" s="77" t="s">
        <v>43</v>
      </c>
      <c r="AA47" s="77" t="s">
        <v>76</v>
      </c>
      <c r="AB47" s="77" t="s">
        <v>161</v>
      </c>
    </row>
    <row r="48" spans="1:48" x14ac:dyDescent="0.15">
      <c r="A48" s="77" t="s">
        <v>46</v>
      </c>
      <c r="B48" s="77" t="s">
        <v>160</v>
      </c>
      <c r="C48" s="160">
        <v>2020</v>
      </c>
      <c r="D48" s="161" t="s">
        <v>162</v>
      </c>
      <c r="E48" s="77" t="s">
        <v>309</v>
      </c>
      <c r="F48" s="77" t="s">
        <v>296</v>
      </c>
      <c r="G48" s="77" t="s">
        <v>25</v>
      </c>
      <c r="H48" s="77" t="s">
        <v>113</v>
      </c>
      <c r="I48" s="77" t="s">
        <v>111</v>
      </c>
      <c r="J48" s="77" t="s">
        <v>27</v>
      </c>
      <c r="K48" s="77" t="s">
        <v>112</v>
      </c>
      <c r="L48" s="77">
        <v>2</v>
      </c>
      <c r="N48" s="77">
        <v>1</v>
      </c>
      <c r="O48" s="77">
        <v>0.35</v>
      </c>
      <c r="P48" s="77">
        <v>0.37</v>
      </c>
      <c r="Q48" s="44">
        <f t="shared" si="2"/>
        <v>0.36</v>
      </c>
      <c r="R48" s="77">
        <v>14.5</v>
      </c>
      <c r="S48" s="77">
        <v>145</v>
      </c>
      <c r="T48" s="16">
        <f t="shared" si="0"/>
        <v>22</v>
      </c>
      <c r="U48" s="77">
        <v>158</v>
      </c>
      <c r="V48" s="16">
        <f t="shared" si="1"/>
        <v>18</v>
      </c>
      <c r="W48" s="77">
        <v>1</v>
      </c>
      <c r="X48" s="77" t="s">
        <v>35</v>
      </c>
      <c r="Y48" s="77" t="s">
        <v>47</v>
      </c>
      <c r="Z48" s="77" t="s">
        <v>43</v>
      </c>
      <c r="AA48" s="77" t="s">
        <v>76</v>
      </c>
      <c r="AB48" s="77" t="s">
        <v>161</v>
      </c>
    </row>
    <row r="49" spans="1:28" x14ac:dyDescent="0.15">
      <c r="A49" s="77" t="s">
        <v>46</v>
      </c>
      <c r="B49" s="77" t="s">
        <v>160</v>
      </c>
      <c r="C49" s="160">
        <v>2020</v>
      </c>
      <c r="D49" s="161" t="s">
        <v>162</v>
      </c>
      <c r="E49" s="77" t="s">
        <v>309</v>
      </c>
      <c r="F49" s="77" t="s">
        <v>296</v>
      </c>
      <c r="G49" s="77" t="s">
        <v>25</v>
      </c>
      <c r="H49" s="77" t="s">
        <v>113</v>
      </c>
      <c r="I49" s="77" t="s">
        <v>111</v>
      </c>
      <c r="J49" s="77" t="s">
        <v>27</v>
      </c>
      <c r="K49" s="77" t="s">
        <v>112</v>
      </c>
      <c r="L49" s="77">
        <v>3</v>
      </c>
      <c r="N49" s="77">
        <v>1</v>
      </c>
      <c r="O49" s="77">
        <v>0.32</v>
      </c>
      <c r="P49" s="77">
        <v>0.28999999999999998</v>
      </c>
      <c r="Q49" s="44">
        <f t="shared" si="2"/>
        <v>0.30499999999999999</v>
      </c>
      <c r="R49" s="77">
        <v>15.1</v>
      </c>
      <c r="S49" s="77">
        <v>144</v>
      </c>
      <c r="T49" s="16">
        <f t="shared" si="0"/>
        <v>22</v>
      </c>
      <c r="U49" s="77">
        <v>158</v>
      </c>
      <c r="V49" s="16">
        <f t="shared" si="1"/>
        <v>18</v>
      </c>
      <c r="W49" s="77">
        <v>1</v>
      </c>
      <c r="X49" s="77" t="s">
        <v>35</v>
      </c>
      <c r="Y49" s="77" t="s">
        <v>47</v>
      </c>
      <c r="Z49" s="77" t="s">
        <v>43</v>
      </c>
      <c r="AA49" s="77" t="s">
        <v>76</v>
      </c>
      <c r="AB49" s="77" t="s">
        <v>161</v>
      </c>
    </row>
    <row r="50" spans="1:28" x14ac:dyDescent="0.15">
      <c r="A50" s="77" t="s">
        <v>46</v>
      </c>
      <c r="B50" s="77" t="s">
        <v>160</v>
      </c>
      <c r="C50" s="160">
        <v>2020</v>
      </c>
      <c r="D50" s="161" t="s">
        <v>162</v>
      </c>
      <c r="E50" s="77" t="s">
        <v>309</v>
      </c>
      <c r="F50" s="77" t="s">
        <v>296</v>
      </c>
      <c r="G50" s="77" t="s">
        <v>25</v>
      </c>
      <c r="H50" s="77" t="s">
        <v>165</v>
      </c>
      <c r="I50" s="77" t="s">
        <v>111</v>
      </c>
      <c r="J50" s="77" t="s">
        <v>27</v>
      </c>
      <c r="K50" s="77" t="s">
        <v>112</v>
      </c>
      <c r="L50" s="77">
        <v>1</v>
      </c>
      <c r="N50" s="77">
        <v>5</v>
      </c>
      <c r="O50" s="77">
        <v>0.35</v>
      </c>
      <c r="P50" s="77">
        <v>0.36</v>
      </c>
      <c r="Q50" s="44">
        <f t="shared" si="2"/>
        <v>0.35499999999999998</v>
      </c>
      <c r="R50" s="77">
        <v>19</v>
      </c>
      <c r="S50" s="77">
        <v>98</v>
      </c>
      <c r="T50" s="16">
        <f t="shared" si="0"/>
        <v>36</v>
      </c>
      <c r="U50" s="77">
        <v>398</v>
      </c>
      <c r="V50" s="16">
        <f t="shared" si="1"/>
        <v>16</v>
      </c>
      <c r="W50" s="77">
        <v>2</v>
      </c>
      <c r="X50" s="77" t="s">
        <v>35</v>
      </c>
      <c r="Y50" s="77" t="s">
        <v>47</v>
      </c>
      <c r="Z50" s="77" t="s">
        <v>43</v>
      </c>
      <c r="AA50" s="77" t="s">
        <v>76</v>
      </c>
      <c r="AB50" s="77" t="s">
        <v>161</v>
      </c>
    </row>
    <row r="51" spans="1:28" x14ac:dyDescent="0.15">
      <c r="A51" s="77" t="s">
        <v>46</v>
      </c>
      <c r="B51" s="77" t="s">
        <v>160</v>
      </c>
      <c r="C51" s="160">
        <v>2020</v>
      </c>
      <c r="D51" s="161" t="s">
        <v>162</v>
      </c>
      <c r="E51" s="77" t="s">
        <v>309</v>
      </c>
      <c r="F51" s="77" t="s">
        <v>296</v>
      </c>
      <c r="G51" s="77" t="s">
        <v>25</v>
      </c>
      <c r="H51" s="77" t="s">
        <v>165</v>
      </c>
      <c r="I51" s="77" t="s">
        <v>111</v>
      </c>
      <c r="J51" s="77" t="s">
        <v>27</v>
      </c>
      <c r="K51" s="77" t="s">
        <v>112</v>
      </c>
      <c r="L51" s="77">
        <v>2</v>
      </c>
      <c r="N51" s="77">
        <v>5</v>
      </c>
      <c r="O51" s="77">
        <v>0.43</v>
      </c>
      <c r="P51" s="77">
        <v>0.46</v>
      </c>
      <c r="Q51" s="44">
        <f t="shared" si="2"/>
        <v>0.44500000000000001</v>
      </c>
      <c r="R51" s="77">
        <v>18.3</v>
      </c>
      <c r="S51" s="77">
        <v>96</v>
      </c>
      <c r="T51" s="16">
        <f t="shared" si="0"/>
        <v>36</v>
      </c>
      <c r="U51" s="77">
        <v>398</v>
      </c>
      <c r="V51" s="16">
        <f t="shared" si="1"/>
        <v>16</v>
      </c>
      <c r="W51" s="77">
        <v>2</v>
      </c>
      <c r="X51" s="77" t="s">
        <v>35</v>
      </c>
      <c r="Y51" s="77" t="s">
        <v>47</v>
      </c>
      <c r="Z51" s="77" t="s">
        <v>43</v>
      </c>
      <c r="AA51" s="77" t="s">
        <v>76</v>
      </c>
      <c r="AB51" s="77" t="s">
        <v>161</v>
      </c>
    </row>
    <row r="52" spans="1:28" x14ac:dyDescent="0.15">
      <c r="A52" s="77" t="s">
        <v>46</v>
      </c>
      <c r="B52" s="77" t="s">
        <v>160</v>
      </c>
      <c r="C52" s="160">
        <v>2020</v>
      </c>
      <c r="D52" s="161" t="s">
        <v>162</v>
      </c>
      <c r="E52" s="77" t="s">
        <v>309</v>
      </c>
      <c r="F52" s="77" t="s">
        <v>296</v>
      </c>
      <c r="G52" s="77" t="s">
        <v>25</v>
      </c>
      <c r="H52" s="77" t="s">
        <v>165</v>
      </c>
      <c r="I52" s="77" t="s">
        <v>111</v>
      </c>
      <c r="J52" s="77" t="s">
        <v>27</v>
      </c>
      <c r="K52" s="77" t="s">
        <v>112</v>
      </c>
      <c r="L52" s="77">
        <v>3</v>
      </c>
      <c r="N52" s="77">
        <v>5</v>
      </c>
      <c r="O52" s="77">
        <v>0.44</v>
      </c>
      <c r="P52" s="77">
        <v>0.45</v>
      </c>
      <c r="Q52" s="44">
        <f t="shared" si="2"/>
        <v>0.44500000000000001</v>
      </c>
      <c r="R52" s="77">
        <v>17.899999999999999</v>
      </c>
      <c r="S52" s="77">
        <v>91</v>
      </c>
      <c r="T52" s="16">
        <f t="shared" si="0"/>
        <v>36</v>
      </c>
      <c r="U52" s="77">
        <v>398</v>
      </c>
      <c r="V52" s="16">
        <f t="shared" si="1"/>
        <v>16</v>
      </c>
      <c r="W52" s="77">
        <v>2</v>
      </c>
      <c r="X52" s="77" t="s">
        <v>35</v>
      </c>
      <c r="Y52" s="77" t="s">
        <v>47</v>
      </c>
      <c r="Z52" s="77" t="s">
        <v>43</v>
      </c>
      <c r="AA52" s="77" t="s">
        <v>76</v>
      </c>
      <c r="AB52" s="77" t="s">
        <v>161</v>
      </c>
    </row>
    <row r="53" spans="1:28" x14ac:dyDescent="0.15">
      <c r="A53" s="77" t="s">
        <v>46</v>
      </c>
      <c r="B53" s="77" t="s">
        <v>160</v>
      </c>
      <c r="C53" s="160">
        <v>2020</v>
      </c>
      <c r="D53" s="161" t="s">
        <v>162</v>
      </c>
      <c r="E53" s="77" t="s">
        <v>307</v>
      </c>
      <c r="F53" s="77" t="s">
        <v>306</v>
      </c>
      <c r="G53" s="77" t="s">
        <v>31</v>
      </c>
      <c r="H53" s="77" t="s">
        <v>164</v>
      </c>
      <c r="I53" s="77" t="s">
        <v>111</v>
      </c>
      <c r="J53" s="77" t="s">
        <v>27</v>
      </c>
      <c r="K53" s="77" t="s">
        <v>112</v>
      </c>
      <c r="L53" s="77">
        <v>1</v>
      </c>
      <c r="N53" s="77">
        <v>1</v>
      </c>
      <c r="O53" s="77">
        <v>0.35</v>
      </c>
      <c r="P53" s="77">
        <v>0.38</v>
      </c>
      <c r="Q53" s="44">
        <f t="shared" si="2"/>
        <v>0.36499999999999999</v>
      </c>
      <c r="R53" s="77">
        <v>17.399999999999999</v>
      </c>
      <c r="S53" s="77">
        <v>135</v>
      </c>
      <c r="T53" s="16">
        <f t="shared" si="0"/>
        <v>25</v>
      </c>
      <c r="U53" s="77">
        <v>138</v>
      </c>
      <c r="V53" s="16">
        <f t="shared" si="1"/>
        <v>22</v>
      </c>
      <c r="W53" s="77">
        <v>2</v>
      </c>
      <c r="X53" s="77" t="s">
        <v>28</v>
      </c>
      <c r="Y53" s="77" t="s">
        <v>72</v>
      </c>
      <c r="Z53" s="77" t="s">
        <v>76</v>
      </c>
      <c r="AA53" s="77" t="s">
        <v>29</v>
      </c>
      <c r="AB53" s="77" t="s">
        <v>161</v>
      </c>
    </row>
    <row r="54" spans="1:28" x14ac:dyDescent="0.15">
      <c r="A54" s="77" t="s">
        <v>46</v>
      </c>
      <c r="B54" s="77" t="s">
        <v>160</v>
      </c>
      <c r="C54" s="160">
        <v>2020</v>
      </c>
      <c r="D54" s="161" t="s">
        <v>162</v>
      </c>
      <c r="E54" s="77" t="s">
        <v>307</v>
      </c>
      <c r="F54" s="77" t="s">
        <v>306</v>
      </c>
      <c r="G54" s="77" t="s">
        <v>31</v>
      </c>
      <c r="H54" s="77" t="s">
        <v>164</v>
      </c>
      <c r="I54" s="77" t="s">
        <v>111</v>
      </c>
      <c r="J54" s="77" t="s">
        <v>27</v>
      </c>
      <c r="K54" s="77" t="s">
        <v>112</v>
      </c>
      <c r="L54" s="77">
        <v>2</v>
      </c>
      <c r="N54" s="77">
        <v>1</v>
      </c>
      <c r="O54" s="77">
        <v>0.36</v>
      </c>
      <c r="P54" s="77">
        <v>0.31</v>
      </c>
      <c r="Q54" s="44">
        <f t="shared" si="2"/>
        <v>0.33499999999999996</v>
      </c>
      <c r="R54" s="77">
        <v>16</v>
      </c>
      <c r="S54" s="77">
        <v>133</v>
      </c>
      <c r="T54" s="16">
        <f t="shared" si="0"/>
        <v>25</v>
      </c>
      <c r="U54" s="77">
        <v>138</v>
      </c>
      <c r="V54" s="16">
        <f t="shared" si="1"/>
        <v>22</v>
      </c>
      <c r="W54" s="77">
        <v>2</v>
      </c>
      <c r="X54" s="77" t="s">
        <v>28</v>
      </c>
      <c r="Y54" s="77" t="s">
        <v>72</v>
      </c>
      <c r="Z54" s="77" t="s">
        <v>76</v>
      </c>
      <c r="AA54" s="77" t="s">
        <v>29</v>
      </c>
      <c r="AB54" s="77" t="s">
        <v>161</v>
      </c>
    </row>
    <row r="55" spans="1:28" x14ac:dyDescent="0.15">
      <c r="A55" s="77" t="s">
        <v>46</v>
      </c>
      <c r="B55" s="77" t="s">
        <v>160</v>
      </c>
      <c r="C55" s="160">
        <v>2020</v>
      </c>
      <c r="D55" s="161" t="s">
        <v>162</v>
      </c>
      <c r="E55" s="77" t="s">
        <v>307</v>
      </c>
      <c r="F55" s="77" t="s">
        <v>306</v>
      </c>
      <c r="G55" s="77" t="s">
        <v>31</v>
      </c>
      <c r="H55" s="77" t="s">
        <v>164</v>
      </c>
      <c r="I55" s="77" t="s">
        <v>111</v>
      </c>
      <c r="J55" s="77" t="s">
        <v>27</v>
      </c>
      <c r="K55" s="77" t="s">
        <v>112</v>
      </c>
      <c r="L55" s="77">
        <v>3</v>
      </c>
      <c r="N55" s="77">
        <v>1</v>
      </c>
      <c r="O55" s="77">
        <v>0.34</v>
      </c>
      <c r="P55" s="77">
        <v>0.37</v>
      </c>
      <c r="Q55" s="44">
        <f t="shared" si="2"/>
        <v>0.35499999999999998</v>
      </c>
      <c r="R55" s="77">
        <v>16.5</v>
      </c>
      <c r="S55" s="77">
        <v>133</v>
      </c>
      <c r="T55" s="16">
        <f t="shared" si="0"/>
        <v>25</v>
      </c>
      <c r="U55" s="77">
        <v>138</v>
      </c>
      <c r="V55" s="16">
        <f t="shared" si="1"/>
        <v>22</v>
      </c>
      <c r="W55" s="77">
        <v>2</v>
      </c>
      <c r="X55" s="77" t="s">
        <v>28</v>
      </c>
      <c r="Y55" s="77" t="s">
        <v>72</v>
      </c>
      <c r="Z55" s="77" t="s">
        <v>76</v>
      </c>
      <c r="AA55" s="77" t="s">
        <v>29</v>
      </c>
      <c r="AB55" s="77" t="s">
        <v>161</v>
      </c>
    </row>
    <row r="56" spans="1:28" x14ac:dyDescent="0.15">
      <c r="A56" s="77" t="s">
        <v>46</v>
      </c>
      <c r="B56" s="77" t="s">
        <v>160</v>
      </c>
      <c r="C56" s="160">
        <v>2020</v>
      </c>
      <c r="D56" s="161" t="s">
        <v>162</v>
      </c>
      <c r="E56" s="77" t="s">
        <v>307</v>
      </c>
      <c r="F56" s="77" t="s">
        <v>306</v>
      </c>
      <c r="G56" s="77" t="s">
        <v>31</v>
      </c>
      <c r="H56" s="77" t="s">
        <v>113</v>
      </c>
      <c r="I56" s="77" t="s">
        <v>111</v>
      </c>
      <c r="J56" s="77" t="s">
        <v>27</v>
      </c>
      <c r="K56" s="77" t="s">
        <v>112</v>
      </c>
      <c r="L56" s="77">
        <v>1</v>
      </c>
      <c r="N56" s="77">
        <v>5</v>
      </c>
      <c r="O56" s="77">
        <v>0.46</v>
      </c>
      <c r="P56" s="77">
        <v>0.51</v>
      </c>
      <c r="Q56" s="44">
        <f t="shared" si="2"/>
        <v>0.48499999999999999</v>
      </c>
      <c r="R56" s="77">
        <v>13.7</v>
      </c>
      <c r="S56" s="77">
        <v>76</v>
      </c>
      <c r="T56" s="16">
        <f t="shared" si="0"/>
        <v>39</v>
      </c>
      <c r="U56" s="77">
        <v>398</v>
      </c>
      <c r="V56" s="16">
        <f t="shared" si="1"/>
        <v>16</v>
      </c>
      <c r="W56" s="77">
        <v>1</v>
      </c>
      <c r="X56" s="77" t="s">
        <v>28</v>
      </c>
      <c r="Y56" s="77" t="s">
        <v>72</v>
      </c>
      <c r="Z56" s="77" t="s">
        <v>76</v>
      </c>
      <c r="AA56" s="77" t="s">
        <v>29</v>
      </c>
      <c r="AB56" s="77" t="s">
        <v>161</v>
      </c>
    </row>
    <row r="57" spans="1:28" x14ac:dyDescent="0.15">
      <c r="A57" s="77" t="s">
        <v>46</v>
      </c>
      <c r="B57" s="77" t="s">
        <v>160</v>
      </c>
      <c r="C57" s="160">
        <v>2020</v>
      </c>
      <c r="D57" s="161" t="s">
        <v>162</v>
      </c>
      <c r="E57" s="77" t="s">
        <v>307</v>
      </c>
      <c r="F57" s="77" t="s">
        <v>306</v>
      </c>
      <c r="G57" s="77" t="s">
        <v>31</v>
      </c>
      <c r="H57" s="77" t="s">
        <v>113</v>
      </c>
      <c r="I57" s="77" t="s">
        <v>111</v>
      </c>
      <c r="J57" s="77" t="s">
        <v>27</v>
      </c>
      <c r="K57" s="77" t="s">
        <v>112</v>
      </c>
      <c r="L57" s="77">
        <v>2</v>
      </c>
      <c r="N57" s="77">
        <v>5</v>
      </c>
      <c r="O57" s="77">
        <v>0.4</v>
      </c>
      <c r="P57" s="77">
        <v>0.45</v>
      </c>
      <c r="Q57" s="44">
        <f t="shared" si="2"/>
        <v>0.42500000000000004</v>
      </c>
      <c r="R57" s="77">
        <v>15.8</v>
      </c>
      <c r="S57" s="77">
        <v>84</v>
      </c>
      <c r="T57" s="16">
        <f t="shared" si="0"/>
        <v>36</v>
      </c>
      <c r="U57" s="77">
        <v>398</v>
      </c>
      <c r="V57" s="16">
        <f t="shared" si="1"/>
        <v>16</v>
      </c>
      <c r="W57" s="77">
        <v>1</v>
      </c>
      <c r="X57" s="77" t="s">
        <v>28</v>
      </c>
      <c r="Y57" s="77" t="s">
        <v>72</v>
      </c>
      <c r="Z57" s="77" t="s">
        <v>76</v>
      </c>
      <c r="AA57" s="77" t="s">
        <v>29</v>
      </c>
      <c r="AB57" s="77" t="s">
        <v>161</v>
      </c>
    </row>
    <row r="58" spans="1:28" x14ac:dyDescent="0.15">
      <c r="A58" s="77" t="s">
        <v>46</v>
      </c>
      <c r="B58" s="77" t="s">
        <v>160</v>
      </c>
      <c r="C58" s="160">
        <v>2020</v>
      </c>
      <c r="D58" s="161" t="s">
        <v>162</v>
      </c>
      <c r="E58" s="77" t="s">
        <v>307</v>
      </c>
      <c r="F58" s="77" t="s">
        <v>306</v>
      </c>
      <c r="G58" s="77" t="s">
        <v>31</v>
      </c>
      <c r="H58" s="77" t="s">
        <v>113</v>
      </c>
      <c r="I58" s="77" t="s">
        <v>111</v>
      </c>
      <c r="J58" s="77" t="s">
        <v>27</v>
      </c>
      <c r="K58" s="77" t="s">
        <v>112</v>
      </c>
      <c r="L58" s="77">
        <v>3</v>
      </c>
      <c r="N58" s="77">
        <v>5</v>
      </c>
      <c r="O58" s="77">
        <v>0.48</v>
      </c>
      <c r="P58" s="77">
        <v>0.5</v>
      </c>
      <c r="Q58" s="44">
        <f t="shared" si="2"/>
        <v>0.49</v>
      </c>
      <c r="R58" s="77">
        <v>13.9</v>
      </c>
      <c r="S58" s="77">
        <v>79</v>
      </c>
      <c r="T58" s="16">
        <f>IF(H58="","",IF(OR(H58="GREEN",H58="GK"),IF(S58&gt;=$AX$2,VLOOKUP(S58,$AX$2:$AY$12,2,1),""),IF(S58&gt;=$AZ$2,VLOOKUP(S58,$AZ$2:$BA$12,2,1),"")))</f>
        <v>39</v>
      </c>
      <c r="U58" s="77">
        <v>398</v>
      </c>
      <c r="V58" s="16">
        <f t="shared" si="1"/>
        <v>16</v>
      </c>
      <c r="W58" s="77">
        <v>1</v>
      </c>
      <c r="X58" s="77" t="s">
        <v>28</v>
      </c>
      <c r="Y58" s="77" t="s">
        <v>72</v>
      </c>
      <c r="Z58" s="77" t="s">
        <v>76</v>
      </c>
      <c r="AA58" s="77" t="s">
        <v>29</v>
      </c>
      <c r="AB58" s="77" t="s">
        <v>161</v>
      </c>
    </row>
    <row r="59" spans="1:28" x14ac:dyDescent="0.15">
      <c r="A59" s="77" t="s">
        <v>46</v>
      </c>
      <c r="B59" s="77" t="s">
        <v>160</v>
      </c>
      <c r="C59" s="160">
        <v>2020</v>
      </c>
      <c r="D59" s="161" t="s">
        <v>162</v>
      </c>
      <c r="E59" s="77" t="s">
        <v>307</v>
      </c>
      <c r="F59" s="77" t="s">
        <v>306</v>
      </c>
      <c r="G59" s="77" t="s">
        <v>31</v>
      </c>
      <c r="H59" s="77" t="s">
        <v>113</v>
      </c>
      <c r="I59" s="77" t="s">
        <v>111</v>
      </c>
      <c r="J59" s="77" t="s">
        <v>27</v>
      </c>
      <c r="K59" s="77" t="s">
        <v>112</v>
      </c>
      <c r="L59" s="77">
        <v>1</v>
      </c>
      <c r="N59" s="77">
        <v>1</v>
      </c>
      <c r="O59" s="77">
        <v>0.36</v>
      </c>
      <c r="P59" s="77">
        <v>0.41</v>
      </c>
      <c r="Q59" s="44">
        <f t="shared" si="2"/>
        <v>0.38500000000000001</v>
      </c>
      <c r="R59" s="77">
        <v>13.2</v>
      </c>
      <c r="S59" s="77">
        <v>150</v>
      </c>
      <c r="T59" s="16">
        <f>IF(H59="","",IF(OR(H59="GREEN",H59="GK"),IF(S59&gt;=$AX$2,VLOOKUP(S59,$AX$2:$AY$12,2,1),""),IF(S59&gt;=$AZ$2,VLOOKUP(S59,$AZ$2:$BA$12,2,1),"")))</f>
        <v>22</v>
      </c>
      <c r="U59" s="77">
        <v>138</v>
      </c>
      <c r="V59" s="16">
        <f t="shared" si="1"/>
        <v>22</v>
      </c>
      <c r="W59" s="77">
        <v>2</v>
      </c>
      <c r="X59" s="77" t="s">
        <v>28</v>
      </c>
      <c r="Y59" s="77" t="s">
        <v>72</v>
      </c>
      <c r="Z59" s="77" t="s">
        <v>76</v>
      </c>
      <c r="AA59" s="77" t="s">
        <v>29</v>
      </c>
      <c r="AB59" s="77" t="s">
        <v>161</v>
      </c>
    </row>
    <row r="60" spans="1:28" x14ac:dyDescent="0.15">
      <c r="A60" s="77" t="s">
        <v>46</v>
      </c>
      <c r="B60" s="77" t="s">
        <v>160</v>
      </c>
      <c r="C60" s="160">
        <v>2020</v>
      </c>
      <c r="D60" s="161" t="s">
        <v>162</v>
      </c>
      <c r="E60" s="77" t="s">
        <v>307</v>
      </c>
      <c r="F60" s="77" t="s">
        <v>306</v>
      </c>
      <c r="G60" s="77" t="s">
        <v>31</v>
      </c>
      <c r="H60" s="77" t="s">
        <v>113</v>
      </c>
      <c r="I60" s="77" t="s">
        <v>111</v>
      </c>
      <c r="J60" s="77" t="s">
        <v>27</v>
      </c>
      <c r="K60" s="77" t="s">
        <v>112</v>
      </c>
      <c r="L60" s="77">
        <v>2</v>
      </c>
      <c r="N60" s="77">
        <v>1</v>
      </c>
      <c r="O60" s="77">
        <v>0.3</v>
      </c>
      <c r="P60" s="77">
        <v>0.28000000000000003</v>
      </c>
      <c r="Q60" s="44">
        <f t="shared" si="2"/>
        <v>0.29000000000000004</v>
      </c>
      <c r="R60" s="77">
        <v>14.5</v>
      </c>
      <c r="S60" s="77">
        <v>143</v>
      </c>
      <c r="T60" s="16">
        <f>IF(H60="","",IF(OR(H60="GREEN",H60="GK"),IF(S60&gt;=$AX$2,VLOOKUP(S60,$AX$2:$AY$12,2,1),""),IF(S60&gt;=$AZ$2,VLOOKUP(S60,$AZ$2:$BA$12,2,1),"")))</f>
        <v>22</v>
      </c>
      <c r="U60" s="77">
        <v>138</v>
      </c>
      <c r="V60" s="16">
        <f t="shared" si="1"/>
        <v>22</v>
      </c>
      <c r="W60" s="77">
        <v>2</v>
      </c>
      <c r="X60" s="77" t="s">
        <v>28</v>
      </c>
      <c r="Y60" s="77" t="s">
        <v>72</v>
      </c>
      <c r="Z60" s="77" t="s">
        <v>76</v>
      </c>
      <c r="AA60" s="77" t="s">
        <v>29</v>
      </c>
      <c r="AB60" s="77" t="s">
        <v>161</v>
      </c>
    </row>
    <row r="61" spans="1:28" x14ac:dyDescent="0.15">
      <c r="A61" s="77" t="s">
        <v>46</v>
      </c>
      <c r="B61" s="77" t="s">
        <v>160</v>
      </c>
      <c r="C61" s="160">
        <v>2020</v>
      </c>
      <c r="D61" s="161" t="s">
        <v>162</v>
      </c>
      <c r="E61" s="77" t="s">
        <v>307</v>
      </c>
      <c r="F61" s="77" t="s">
        <v>306</v>
      </c>
      <c r="G61" s="77" t="s">
        <v>31</v>
      </c>
      <c r="H61" s="77" t="s">
        <v>113</v>
      </c>
      <c r="I61" s="77" t="s">
        <v>111</v>
      </c>
      <c r="J61" s="77" t="s">
        <v>27</v>
      </c>
      <c r="K61" s="77" t="s">
        <v>112</v>
      </c>
      <c r="L61" s="77">
        <v>3</v>
      </c>
      <c r="N61" s="77">
        <v>1</v>
      </c>
      <c r="O61" s="77">
        <v>0.4</v>
      </c>
      <c r="P61" s="77">
        <v>0.36</v>
      </c>
      <c r="Q61" s="44">
        <f t="shared" si="2"/>
        <v>0.38</v>
      </c>
      <c r="R61" s="77">
        <v>14.6</v>
      </c>
      <c r="S61" s="77">
        <v>141</v>
      </c>
      <c r="T61" s="16">
        <f>IF(H61="","",IF(OR(H61="GREEN",H61="GK"),IF(S61&gt;=$AX$2,VLOOKUP(S61,$AX$2:$AY$12,2,1),""),IF(S61&gt;=$AZ$2,VLOOKUP(S61,$AZ$2:$BA$12,2,1),"")))</f>
        <v>22</v>
      </c>
      <c r="U61" s="77">
        <v>138</v>
      </c>
      <c r="V61" s="16">
        <f t="shared" si="1"/>
        <v>22</v>
      </c>
      <c r="W61" s="77">
        <v>2</v>
      </c>
      <c r="X61" s="77" t="s">
        <v>28</v>
      </c>
      <c r="Y61" s="77" t="s">
        <v>72</v>
      </c>
      <c r="Z61" s="77" t="s">
        <v>76</v>
      </c>
      <c r="AA61" s="77" t="s">
        <v>29</v>
      </c>
      <c r="AB61" s="77" t="s">
        <v>161</v>
      </c>
    </row>
    <row r="62" spans="1:28" x14ac:dyDescent="0.15">
      <c r="A62" s="77" t="s">
        <v>46</v>
      </c>
      <c r="B62" s="77" t="s">
        <v>160</v>
      </c>
      <c r="C62" s="160">
        <v>2020</v>
      </c>
      <c r="D62" s="161" t="s">
        <v>162</v>
      </c>
      <c r="E62" s="77" t="s">
        <v>305</v>
      </c>
      <c r="F62" s="77" t="s">
        <v>306</v>
      </c>
      <c r="G62" s="77" t="s">
        <v>25</v>
      </c>
      <c r="H62" s="77" t="s">
        <v>164</v>
      </c>
      <c r="I62" s="77" t="s">
        <v>111</v>
      </c>
      <c r="J62" s="77" t="s">
        <v>27</v>
      </c>
      <c r="K62" s="77" t="s">
        <v>112</v>
      </c>
      <c r="L62" s="77">
        <v>1</v>
      </c>
      <c r="N62" s="77">
        <v>3</v>
      </c>
      <c r="O62" s="77">
        <v>0.62</v>
      </c>
      <c r="P62" s="77">
        <v>0.55000000000000004</v>
      </c>
      <c r="Q62" s="44">
        <f t="shared" si="2"/>
        <v>0.58499999999999996</v>
      </c>
      <c r="R62" s="77">
        <v>16.600000000000001</v>
      </c>
      <c r="S62" s="77">
        <v>162</v>
      </c>
      <c r="T62" s="16">
        <f>IF(H62="","",IF(OR(H62="GREEN",H62="GK"),IF(S62&gt;=$AX$2,VLOOKUP(S62,$AX$2:$AY$12,2,1),""),IF(S62&gt;=$AZ$2,VLOOKUP(S62,$AZ$2:$BA$12,2,1),"")))</f>
        <v>18</v>
      </c>
      <c r="U62" s="77">
        <v>398</v>
      </c>
      <c r="V62" s="16">
        <f t="shared" si="1"/>
        <v>16</v>
      </c>
      <c r="W62" s="77">
        <v>1</v>
      </c>
      <c r="X62" s="77" t="s">
        <v>35</v>
      </c>
      <c r="Y62" s="77" t="s">
        <v>55</v>
      </c>
      <c r="Z62" s="77" t="s">
        <v>43</v>
      </c>
      <c r="AA62" s="77" t="s">
        <v>76</v>
      </c>
      <c r="AB62" s="77" t="s">
        <v>161</v>
      </c>
    </row>
    <row r="63" spans="1:28" x14ac:dyDescent="0.15">
      <c r="A63" s="77" t="s">
        <v>46</v>
      </c>
      <c r="B63" s="77" t="s">
        <v>160</v>
      </c>
      <c r="C63" s="160">
        <v>2020</v>
      </c>
      <c r="D63" s="161" t="s">
        <v>162</v>
      </c>
      <c r="E63" s="77" t="s">
        <v>305</v>
      </c>
      <c r="F63" s="77" t="s">
        <v>306</v>
      </c>
      <c r="G63" s="77" t="s">
        <v>25</v>
      </c>
      <c r="H63" s="77" t="s">
        <v>164</v>
      </c>
      <c r="I63" s="77" t="s">
        <v>111</v>
      </c>
      <c r="J63" s="77" t="s">
        <v>27</v>
      </c>
      <c r="K63" s="77" t="s">
        <v>112</v>
      </c>
      <c r="L63" s="77">
        <v>2</v>
      </c>
      <c r="N63" s="77">
        <v>3</v>
      </c>
      <c r="O63" s="77">
        <v>0.46</v>
      </c>
      <c r="P63" s="77">
        <v>0.35</v>
      </c>
      <c r="Q63" s="44">
        <f t="shared" si="2"/>
        <v>0.40500000000000003</v>
      </c>
      <c r="R63" s="77">
        <v>16.8</v>
      </c>
      <c r="S63" s="77">
        <v>181</v>
      </c>
      <c r="T63" s="16">
        <f t="shared" ref="T63:T137" si="3">IF(H63="","",IF(OR(H63="GREEN",H63="GK"),IF(S63&gt;=$AX$2,VLOOKUP(S63,$AX$2:$AY$12,2,1),""),IF(S63&gt;=$AZ$2,VLOOKUP(S63,$AZ$2:$BA$12,2,1),"")))</f>
        <v>16</v>
      </c>
      <c r="U63" s="77">
        <v>398</v>
      </c>
      <c r="V63" s="16">
        <f t="shared" si="1"/>
        <v>16</v>
      </c>
      <c r="W63" s="77">
        <v>1</v>
      </c>
      <c r="X63" s="77" t="s">
        <v>35</v>
      </c>
      <c r="Y63" s="77" t="s">
        <v>55</v>
      </c>
      <c r="Z63" s="77" t="s">
        <v>43</v>
      </c>
      <c r="AA63" s="77" t="s">
        <v>76</v>
      </c>
      <c r="AB63" s="77" t="s">
        <v>161</v>
      </c>
    </row>
    <row r="64" spans="1:28" x14ac:dyDescent="0.15">
      <c r="A64" s="77" t="s">
        <v>46</v>
      </c>
      <c r="B64" s="77" t="s">
        <v>160</v>
      </c>
      <c r="C64" s="160">
        <v>2020</v>
      </c>
      <c r="D64" s="161" t="s">
        <v>162</v>
      </c>
      <c r="E64" s="77" t="s">
        <v>305</v>
      </c>
      <c r="F64" s="77" t="s">
        <v>306</v>
      </c>
      <c r="G64" s="77" t="s">
        <v>25</v>
      </c>
      <c r="H64" s="77" t="s">
        <v>164</v>
      </c>
      <c r="I64" s="77" t="s">
        <v>111</v>
      </c>
      <c r="J64" s="77" t="s">
        <v>27</v>
      </c>
      <c r="K64" s="77" t="s">
        <v>112</v>
      </c>
      <c r="L64" s="77">
        <v>3</v>
      </c>
      <c r="N64" s="77">
        <v>3</v>
      </c>
      <c r="O64" s="77">
        <v>0.49</v>
      </c>
      <c r="P64" s="77">
        <v>0.44</v>
      </c>
      <c r="Q64" s="44">
        <f t="shared" si="2"/>
        <v>0.46499999999999997</v>
      </c>
      <c r="R64" s="77">
        <v>17.3</v>
      </c>
      <c r="S64" s="77">
        <v>156</v>
      </c>
      <c r="T64" s="16">
        <f t="shared" si="3"/>
        <v>18</v>
      </c>
      <c r="U64" s="77">
        <v>398</v>
      </c>
      <c r="V64" s="16">
        <f t="shared" si="1"/>
        <v>16</v>
      </c>
      <c r="W64" s="77">
        <v>1</v>
      </c>
      <c r="X64" s="77" t="s">
        <v>35</v>
      </c>
      <c r="Y64" s="77" t="s">
        <v>55</v>
      </c>
      <c r="Z64" s="77" t="s">
        <v>43</v>
      </c>
      <c r="AA64" s="77" t="s">
        <v>76</v>
      </c>
      <c r="AB64" s="77" t="s">
        <v>161</v>
      </c>
    </row>
    <row r="65" spans="1:28" x14ac:dyDescent="0.15">
      <c r="A65" s="77" t="s">
        <v>46</v>
      </c>
      <c r="B65" s="77" t="s">
        <v>160</v>
      </c>
      <c r="C65" s="160">
        <v>2020</v>
      </c>
      <c r="D65" s="161" t="s">
        <v>162</v>
      </c>
      <c r="E65" s="77" t="s">
        <v>305</v>
      </c>
      <c r="F65" s="77" t="s">
        <v>306</v>
      </c>
      <c r="G65" s="77" t="s">
        <v>25</v>
      </c>
      <c r="H65" s="77" t="s">
        <v>164</v>
      </c>
      <c r="I65" s="77" t="s">
        <v>111</v>
      </c>
      <c r="J65" s="77" t="s">
        <v>27</v>
      </c>
      <c r="K65" s="77" t="s">
        <v>112</v>
      </c>
      <c r="L65" s="77">
        <v>1</v>
      </c>
      <c r="N65" s="77">
        <v>1</v>
      </c>
      <c r="O65" s="77">
        <v>0.92</v>
      </c>
      <c r="P65" s="77">
        <v>0.99</v>
      </c>
      <c r="Q65" s="44">
        <f t="shared" si="2"/>
        <v>0.95500000000000007</v>
      </c>
      <c r="R65" s="77">
        <v>13.4</v>
      </c>
      <c r="S65" s="77">
        <v>152</v>
      </c>
      <c r="T65" s="16">
        <f t="shared" si="3"/>
        <v>18</v>
      </c>
      <c r="U65" s="77">
        <v>98</v>
      </c>
      <c r="V65" s="16">
        <f t="shared" si="1"/>
        <v>36</v>
      </c>
      <c r="W65" s="77">
        <v>6</v>
      </c>
      <c r="X65" s="77" t="s">
        <v>35</v>
      </c>
      <c r="Y65" s="77" t="s">
        <v>55</v>
      </c>
      <c r="Z65" s="77" t="s">
        <v>43</v>
      </c>
      <c r="AA65" s="77" t="s">
        <v>76</v>
      </c>
      <c r="AB65" s="77" t="s">
        <v>161</v>
      </c>
    </row>
    <row r="66" spans="1:28" x14ac:dyDescent="0.15">
      <c r="A66" s="77" t="s">
        <v>46</v>
      </c>
      <c r="B66" s="77" t="s">
        <v>160</v>
      </c>
      <c r="C66" s="160">
        <v>2020</v>
      </c>
      <c r="D66" s="161" t="s">
        <v>162</v>
      </c>
      <c r="E66" s="77" t="s">
        <v>305</v>
      </c>
      <c r="F66" s="77" t="s">
        <v>306</v>
      </c>
      <c r="G66" s="77" t="s">
        <v>25</v>
      </c>
      <c r="H66" s="77" t="s">
        <v>164</v>
      </c>
      <c r="I66" s="77" t="s">
        <v>111</v>
      </c>
      <c r="J66" s="77" t="s">
        <v>27</v>
      </c>
      <c r="K66" s="77" t="s">
        <v>112</v>
      </c>
      <c r="L66" s="77">
        <v>2</v>
      </c>
      <c r="N66" s="77">
        <v>1</v>
      </c>
      <c r="O66" s="77">
        <v>0.81</v>
      </c>
      <c r="P66" s="77">
        <v>0.79</v>
      </c>
      <c r="Q66" s="44">
        <f t="shared" si="2"/>
        <v>0.8</v>
      </c>
      <c r="R66" s="77">
        <v>14.9</v>
      </c>
      <c r="S66" s="77">
        <v>160</v>
      </c>
      <c r="T66" s="16">
        <f t="shared" si="3"/>
        <v>18</v>
      </c>
      <c r="U66" s="77">
        <v>98</v>
      </c>
      <c r="V66" s="16">
        <f t="shared" ref="V66:V152" si="4">IF(J66="","",IF(OR(J66="GREEN",J66="GK"),IF(U66&gt;=$AX$2,VLOOKUP(U66,$AX$2:$AY$12,2,1),""),IF(U66&gt;=$AZ$2,VLOOKUP(U66,$AZ$2:$BA$12,2,1),"")))</f>
        <v>36</v>
      </c>
      <c r="W66" s="77">
        <v>6</v>
      </c>
      <c r="X66" s="77" t="s">
        <v>35</v>
      </c>
      <c r="Y66" s="77" t="s">
        <v>55</v>
      </c>
      <c r="Z66" s="77" t="s">
        <v>43</v>
      </c>
      <c r="AA66" s="77" t="s">
        <v>76</v>
      </c>
      <c r="AB66" s="77" t="s">
        <v>161</v>
      </c>
    </row>
    <row r="67" spans="1:28" x14ac:dyDescent="0.15">
      <c r="A67" s="77" t="s">
        <v>46</v>
      </c>
      <c r="B67" s="77" t="s">
        <v>160</v>
      </c>
      <c r="C67" s="160">
        <v>2020</v>
      </c>
      <c r="D67" s="161" t="s">
        <v>162</v>
      </c>
      <c r="E67" s="77" t="s">
        <v>305</v>
      </c>
      <c r="F67" s="77" t="s">
        <v>306</v>
      </c>
      <c r="G67" s="77" t="s">
        <v>25</v>
      </c>
      <c r="H67" s="77" t="s">
        <v>164</v>
      </c>
      <c r="I67" s="77" t="s">
        <v>111</v>
      </c>
      <c r="J67" s="77" t="s">
        <v>27</v>
      </c>
      <c r="K67" s="77" t="s">
        <v>112</v>
      </c>
      <c r="L67" s="77">
        <v>3</v>
      </c>
      <c r="N67" s="77">
        <v>1</v>
      </c>
      <c r="O67" s="77">
        <v>0.82</v>
      </c>
      <c r="P67" s="77">
        <v>0.77</v>
      </c>
      <c r="Q67" s="44">
        <f t="shared" ref="Q67:Q150" si="5">IF(OR(O67="",P67=""),"",AVERAGE(O67,P67))</f>
        <v>0.79499999999999993</v>
      </c>
      <c r="R67" s="77">
        <v>14.5</v>
      </c>
      <c r="S67" s="77">
        <v>159</v>
      </c>
      <c r="T67" s="16">
        <f t="shared" si="3"/>
        <v>18</v>
      </c>
      <c r="U67" s="77">
        <v>98</v>
      </c>
      <c r="V67" s="16">
        <f t="shared" si="4"/>
        <v>36</v>
      </c>
      <c r="W67" s="77">
        <v>6</v>
      </c>
      <c r="X67" s="77" t="s">
        <v>35</v>
      </c>
      <c r="Y67" s="77" t="s">
        <v>55</v>
      </c>
      <c r="Z67" s="77" t="s">
        <v>43</v>
      </c>
      <c r="AA67" s="77" t="s">
        <v>76</v>
      </c>
      <c r="AB67" s="77" t="s">
        <v>161</v>
      </c>
    </row>
    <row r="68" spans="1:28" x14ac:dyDescent="0.15">
      <c r="A68" s="77" t="s">
        <v>46</v>
      </c>
      <c r="B68" s="77" t="s">
        <v>160</v>
      </c>
      <c r="C68" s="160">
        <v>2020</v>
      </c>
      <c r="D68" s="161" t="s">
        <v>162</v>
      </c>
      <c r="E68" s="77" t="s">
        <v>305</v>
      </c>
      <c r="F68" s="77" t="s">
        <v>306</v>
      </c>
      <c r="G68" s="77" t="s">
        <v>25</v>
      </c>
      <c r="H68" s="77" t="s">
        <v>113</v>
      </c>
      <c r="I68" s="77" t="s">
        <v>111</v>
      </c>
      <c r="J68" s="77" t="s">
        <v>27</v>
      </c>
      <c r="K68" s="77" t="s">
        <v>112</v>
      </c>
      <c r="L68" s="77">
        <v>1</v>
      </c>
      <c r="N68" s="77">
        <v>10</v>
      </c>
      <c r="O68" s="77">
        <v>0.3</v>
      </c>
      <c r="P68" s="77">
        <v>0.28999999999999998</v>
      </c>
      <c r="Q68" s="44">
        <f t="shared" si="5"/>
        <v>0.29499999999999998</v>
      </c>
      <c r="R68" s="77">
        <v>13.8</v>
      </c>
      <c r="S68" s="77">
        <v>90</v>
      </c>
      <c r="T68" s="16">
        <f t="shared" si="3"/>
        <v>36</v>
      </c>
      <c r="U68" s="77">
        <v>598</v>
      </c>
      <c r="V68" s="16">
        <f t="shared" si="4"/>
        <v>16</v>
      </c>
      <c r="W68" s="77">
        <v>1</v>
      </c>
      <c r="X68" s="77" t="s">
        <v>35</v>
      </c>
      <c r="Y68" s="77" t="s">
        <v>55</v>
      </c>
      <c r="Z68" s="77" t="s">
        <v>43</v>
      </c>
      <c r="AA68" s="77" t="s">
        <v>76</v>
      </c>
      <c r="AB68" s="77" t="s">
        <v>161</v>
      </c>
    </row>
    <row r="69" spans="1:28" x14ac:dyDescent="0.15">
      <c r="A69" s="77" t="s">
        <v>46</v>
      </c>
      <c r="B69" s="77" t="s">
        <v>160</v>
      </c>
      <c r="C69" s="160">
        <v>2020</v>
      </c>
      <c r="D69" s="161" t="s">
        <v>162</v>
      </c>
      <c r="E69" s="77" t="s">
        <v>305</v>
      </c>
      <c r="F69" s="77" t="s">
        <v>306</v>
      </c>
      <c r="G69" s="77" t="s">
        <v>25</v>
      </c>
      <c r="H69" s="77" t="s">
        <v>113</v>
      </c>
      <c r="I69" s="77" t="s">
        <v>111</v>
      </c>
      <c r="J69" s="77" t="s">
        <v>27</v>
      </c>
      <c r="K69" s="77" t="s">
        <v>112</v>
      </c>
      <c r="L69" s="77">
        <v>2</v>
      </c>
      <c r="N69" s="77">
        <v>10</v>
      </c>
      <c r="O69" s="77">
        <v>0.35</v>
      </c>
      <c r="P69" s="77">
        <v>0.38</v>
      </c>
      <c r="Q69" s="44">
        <f t="shared" si="5"/>
        <v>0.36499999999999999</v>
      </c>
      <c r="R69" s="77">
        <v>12.5</v>
      </c>
      <c r="S69" s="77">
        <v>94</v>
      </c>
      <c r="T69" s="16">
        <f t="shared" si="3"/>
        <v>36</v>
      </c>
      <c r="U69" s="77">
        <v>598</v>
      </c>
      <c r="V69" s="16">
        <f t="shared" si="4"/>
        <v>16</v>
      </c>
      <c r="W69" s="77">
        <v>1</v>
      </c>
      <c r="X69" s="77" t="s">
        <v>35</v>
      </c>
      <c r="Y69" s="77" t="s">
        <v>55</v>
      </c>
      <c r="Z69" s="77" t="s">
        <v>43</v>
      </c>
      <c r="AA69" s="77" t="s">
        <v>76</v>
      </c>
      <c r="AB69" s="77" t="s">
        <v>161</v>
      </c>
    </row>
    <row r="70" spans="1:28" x14ac:dyDescent="0.15">
      <c r="A70" s="77" t="s">
        <v>46</v>
      </c>
      <c r="B70" s="77" t="s">
        <v>160</v>
      </c>
      <c r="C70" s="160">
        <v>2020</v>
      </c>
      <c r="D70" s="161" t="s">
        <v>162</v>
      </c>
      <c r="E70" s="77" t="s">
        <v>305</v>
      </c>
      <c r="F70" s="77" t="s">
        <v>306</v>
      </c>
      <c r="G70" s="77" t="s">
        <v>25</v>
      </c>
      <c r="H70" s="77" t="s">
        <v>113</v>
      </c>
      <c r="I70" s="77" t="s">
        <v>111</v>
      </c>
      <c r="J70" s="77" t="s">
        <v>27</v>
      </c>
      <c r="K70" s="77" t="s">
        <v>112</v>
      </c>
      <c r="L70" s="77">
        <v>3</v>
      </c>
      <c r="N70" s="77">
        <v>10</v>
      </c>
      <c r="O70" s="77">
        <v>0.32</v>
      </c>
      <c r="P70" s="77">
        <v>0.36</v>
      </c>
      <c r="Q70" s="44">
        <f t="shared" si="5"/>
        <v>0.33999999999999997</v>
      </c>
      <c r="R70" s="77">
        <v>13.4</v>
      </c>
      <c r="S70" s="77">
        <v>90</v>
      </c>
      <c r="T70" s="16">
        <f t="shared" si="3"/>
        <v>36</v>
      </c>
      <c r="U70" s="77">
        <v>598</v>
      </c>
      <c r="V70" s="16">
        <f t="shared" si="4"/>
        <v>16</v>
      </c>
      <c r="W70" s="77">
        <v>1</v>
      </c>
      <c r="X70" s="77" t="s">
        <v>35</v>
      </c>
      <c r="Y70" s="77" t="s">
        <v>55</v>
      </c>
      <c r="Z70" s="77" t="s">
        <v>43</v>
      </c>
      <c r="AA70" s="77" t="s">
        <v>76</v>
      </c>
      <c r="AB70" s="77" t="s">
        <v>161</v>
      </c>
    </row>
    <row r="71" spans="1:28" x14ac:dyDescent="0.15">
      <c r="A71" s="77" t="s">
        <v>46</v>
      </c>
      <c r="B71" s="77" t="s">
        <v>160</v>
      </c>
      <c r="C71" s="160">
        <v>2020</v>
      </c>
      <c r="D71" s="161" t="s">
        <v>162</v>
      </c>
      <c r="E71" s="77" t="s">
        <v>305</v>
      </c>
      <c r="F71" s="77" t="s">
        <v>306</v>
      </c>
      <c r="G71" s="77" t="s">
        <v>25</v>
      </c>
      <c r="H71" s="77" t="s">
        <v>113</v>
      </c>
      <c r="I71" s="77" t="s">
        <v>111</v>
      </c>
      <c r="J71" s="77" t="s">
        <v>27</v>
      </c>
      <c r="K71" s="77" t="s">
        <v>112</v>
      </c>
      <c r="L71" s="77">
        <v>1</v>
      </c>
      <c r="N71" s="77">
        <v>1</v>
      </c>
      <c r="O71" s="77">
        <v>0.56999999999999995</v>
      </c>
      <c r="P71" s="77">
        <v>0.56000000000000005</v>
      </c>
      <c r="Q71" s="44">
        <f t="shared" si="5"/>
        <v>0.56499999999999995</v>
      </c>
      <c r="R71" s="77">
        <v>14.5</v>
      </c>
      <c r="S71" s="77">
        <v>88</v>
      </c>
      <c r="T71" s="16">
        <f t="shared" si="3"/>
        <v>36</v>
      </c>
      <c r="U71" s="77">
        <v>98</v>
      </c>
      <c r="V71" s="16">
        <f t="shared" si="4"/>
        <v>36</v>
      </c>
      <c r="W71" s="77">
        <v>1</v>
      </c>
      <c r="X71" s="77" t="s">
        <v>35</v>
      </c>
      <c r="Y71" s="77" t="s">
        <v>55</v>
      </c>
      <c r="Z71" s="77" t="s">
        <v>43</v>
      </c>
      <c r="AA71" s="77" t="s">
        <v>76</v>
      </c>
      <c r="AB71" s="77" t="s">
        <v>161</v>
      </c>
    </row>
    <row r="72" spans="1:28" x14ac:dyDescent="0.15">
      <c r="A72" s="77" t="s">
        <v>46</v>
      </c>
      <c r="B72" s="77" t="s">
        <v>160</v>
      </c>
      <c r="C72" s="160">
        <v>2020</v>
      </c>
      <c r="D72" s="161" t="s">
        <v>162</v>
      </c>
      <c r="E72" s="77" t="s">
        <v>305</v>
      </c>
      <c r="F72" s="77" t="s">
        <v>306</v>
      </c>
      <c r="G72" s="77" t="s">
        <v>25</v>
      </c>
      <c r="H72" s="77" t="s">
        <v>113</v>
      </c>
      <c r="I72" s="77" t="s">
        <v>111</v>
      </c>
      <c r="J72" s="77" t="s">
        <v>27</v>
      </c>
      <c r="K72" s="77" t="s">
        <v>112</v>
      </c>
      <c r="L72" s="77">
        <v>2</v>
      </c>
      <c r="N72" s="77">
        <v>1</v>
      </c>
      <c r="O72" s="77">
        <v>0.3</v>
      </c>
      <c r="P72" s="77">
        <v>0.28000000000000003</v>
      </c>
      <c r="Q72" s="44">
        <f t="shared" si="5"/>
        <v>0.29000000000000004</v>
      </c>
      <c r="R72" s="77">
        <v>13.9</v>
      </c>
      <c r="S72" s="77">
        <v>93</v>
      </c>
      <c r="T72" s="16">
        <f t="shared" si="3"/>
        <v>36</v>
      </c>
      <c r="U72" s="77">
        <v>98</v>
      </c>
      <c r="V72" s="16">
        <f t="shared" si="4"/>
        <v>36</v>
      </c>
      <c r="W72" s="77">
        <v>1</v>
      </c>
      <c r="X72" s="77" t="s">
        <v>35</v>
      </c>
      <c r="Y72" s="77" t="s">
        <v>55</v>
      </c>
      <c r="Z72" s="77" t="s">
        <v>43</v>
      </c>
      <c r="AA72" s="77" t="s">
        <v>76</v>
      </c>
      <c r="AB72" s="77" t="s">
        <v>161</v>
      </c>
    </row>
    <row r="73" spans="1:28" x14ac:dyDescent="0.15">
      <c r="A73" s="77" t="s">
        <v>46</v>
      </c>
      <c r="B73" s="77" t="s">
        <v>160</v>
      </c>
      <c r="C73" s="160">
        <v>2020</v>
      </c>
      <c r="D73" s="161" t="s">
        <v>162</v>
      </c>
      <c r="E73" s="77" t="s">
        <v>305</v>
      </c>
      <c r="F73" s="77" t="s">
        <v>306</v>
      </c>
      <c r="G73" s="77" t="s">
        <v>25</v>
      </c>
      <c r="H73" s="77" t="s">
        <v>113</v>
      </c>
      <c r="I73" s="77" t="s">
        <v>111</v>
      </c>
      <c r="J73" s="77" t="s">
        <v>27</v>
      </c>
      <c r="K73" s="77" t="s">
        <v>112</v>
      </c>
      <c r="L73" s="77">
        <v>3</v>
      </c>
      <c r="N73" s="77">
        <v>1</v>
      </c>
      <c r="O73" s="77">
        <v>0.55000000000000004</v>
      </c>
      <c r="P73" s="77">
        <v>0.53</v>
      </c>
      <c r="Q73" s="44">
        <f t="shared" si="5"/>
        <v>0.54</v>
      </c>
      <c r="R73" s="77">
        <v>14</v>
      </c>
      <c r="S73" s="77">
        <v>89</v>
      </c>
      <c r="T73" s="16">
        <f t="shared" si="3"/>
        <v>36</v>
      </c>
      <c r="U73" s="77">
        <v>98</v>
      </c>
      <c r="V73" s="16">
        <f t="shared" si="4"/>
        <v>36</v>
      </c>
      <c r="W73" s="77">
        <v>1</v>
      </c>
      <c r="X73" s="77" t="s">
        <v>35</v>
      </c>
      <c r="Y73" s="77" t="s">
        <v>55</v>
      </c>
      <c r="Z73" s="77" t="s">
        <v>43</v>
      </c>
      <c r="AA73" s="77" t="s">
        <v>76</v>
      </c>
      <c r="AB73" s="77" t="s">
        <v>161</v>
      </c>
    </row>
    <row r="74" spans="1:28" x14ac:dyDescent="0.15">
      <c r="A74" s="77" t="s">
        <v>46</v>
      </c>
      <c r="B74" s="77" t="s">
        <v>160</v>
      </c>
      <c r="C74" s="160">
        <v>2020</v>
      </c>
      <c r="D74" s="161" t="s">
        <v>162</v>
      </c>
      <c r="E74" s="77" t="s">
        <v>305</v>
      </c>
      <c r="F74" s="77" t="s">
        <v>306</v>
      </c>
      <c r="G74" s="77" t="s">
        <v>25</v>
      </c>
      <c r="H74" s="77" t="s">
        <v>164</v>
      </c>
      <c r="I74" s="77" t="s">
        <v>166</v>
      </c>
      <c r="J74" s="77" t="s">
        <v>27</v>
      </c>
      <c r="K74" s="77" t="s">
        <v>112</v>
      </c>
      <c r="L74" s="77">
        <v>1</v>
      </c>
      <c r="N74" s="77">
        <v>4</v>
      </c>
      <c r="O74" s="77">
        <v>0.4</v>
      </c>
      <c r="P74" s="77">
        <v>0.38500000000000001</v>
      </c>
      <c r="Q74" s="44">
        <f t="shared" si="5"/>
        <v>0.39250000000000002</v>
      </c>
      <c r="R74" s="77">
        <v>15.3</v>
      </c>
      <c r="S74" s="77">
        <v>105</v>
      </c>
      <c r="T74" s="16">
        <f t="shared" si="3"/>
        <v>33</v>
      </c>
      <c r="U74" s="77">
        <v>398</v>
      </c>
      <c r="V74" s="16">
        <f t="shared" si="4"/>
        <v>16</v>
      </c>
      <c r="W74" s="77">
        <v>1</v>
      </c>
      <c r="X74" s="77" t="s">
        <v>35</v>
      </c>
      <c r="Y74" s="77" t="s">
        <v>55</v>
      </c>
      <c r="Z74" s="77" t="s">
        <v>43</v>
      </c>
      <c r="AA74" s="77" t="s">
        <v>76</v>
      </c>
      <c r="AB74" s="77" t="s">
        <v>161</v>
      </c>
    </row>
    <row r="75" spans="1:28" x14ac:dyDescent="0.15">
      <c r="A75" s="77" t="s">
        <v>46</v>
      </c>
      <c r="B75" s="77" t="s">
        <v>160</v>
      </c>
      <c r="C75" s="160">
        <v>2020</v>
      </c>
      <c r="D75" s="161" t="s">
        <v>162</v>
      </c>
      <c r="E75" s="77" t="s">
        <v>305</v>
      </c>
      <c r="F75" s="77" t="s">
        <v>306</v>
      </c>
      <c r="G75" s="77" t="s">
        <v>25</v>
      </c>
      <c r="H75" s="77" t="s">
        <v>164</v>
      </c>
      <c r="I75" s="77" t="s">
        <v>166</v>
      </c>
      <c r="J75" s="77" t="s">
        <v>27</v>
      </c>
      <c r="K75" s="77" t="s">
        <v>112</v>
      </c>
      <c r="L75" s="77">
        <v>2</v>
      </c>
      <c r="N75" s="77">
        <v>4</v>
      </c>
      <c r="O75" s="77">
        <v>0.35</v>
      </c>
      <c r="P75" s="77">
        <v>0.4</v>
      </c>
      <c r="Q75" s="44">
        <f t="shared" si="5"/>
        <v>0.375</v>
      </c>
      <c r="R75" s="77">
        <v>14.2</v>
      </c>
      <c r="S75" s="77">
        <v>104</v>
      </c>
      <c r="T75" s="16">
        <f t="shared" si="3"/>
        <v>33</v>
      </c>
      <c r="U75" s="77">
        <v>398</v>
      </c>
      <c r="V75" s="16">
        <f t="shared" si="4"/>
        <v>16</v>
      </c>
      <c r="W75" s="77">
        <v>1</v>
      </c>
      <c r="X75" s="77" t="s">
        <v>35</v>
      </c>
      <c r="Y75" s="77" t="s">
        <v>55</v>
      </c>
      <c r="Z75" s="77" t="s">
        <v>43</v>
      </c>
      <c r="AA75" s="77" t="s">
        <v>76</v>
      </c>
      <c r="AB75" s="77" t="s">
        <v>161</v>
      </c>
    </row>
    <row r="76" spans="1:28" x14ac:dyDescent="0.15">
      <c r="A76" s="77" t="s">
        <v>46</v>
      </c>
      <c r="B76" s="77" t="s">
        <v>160</v>
      </c>
      <c r="C76" s="160">
        <v>2020</v>
      </c>
      <c r="D76" s="161" t="s">
        <v>162</v>
      </c>
      <c r="E76" s="77" t="s">
        <v>305</v>
      </c>
      <c r="F76" s="77" t="s">
        <v>306</v>
      </c>
      <c r="G76" s="77" t="s">
        <v>25</v>
      </c>
      <c r="H76" s="77" t="s">
        <v>164</v>
      </c>
      <c r="I76" s="77" t="s">
        <v>166</v>
      </c>
      <c r="J76" s="77" t="s">
        <v>27</v>
      </c>
      <c r="K76" s="77" t="s">
        <v>112</v>
      </c>
      <c r="L76" s="77">
        <v>3</v>
      </c>
      <c r="N76" s="77">
        <v>4</v>
      </c>
      <c r="O76" s="77">
        <v>0.39</v>
      </c>
      <c r="P76" s="77">
        <v>0.44</v>
      </c>
      <c r="Q76" s="44">
        <f t="shared" si="5"/>
        <v>0.41500000000000004</v>
      </c>
      <c r="R76" s="77">
        <v>15.2</v>
      </c>
      <c r="S76" s="77">
        <v>100</v>
      </c>
      <c r="T76" s="16">
        <f t="shared" si="3"/>
        <v>33</v>
      </c>
      <c r="U76" s="77">
        <v>398</v>
      </c>
      <c r="V76" s="16">
        <f t="shared" si="4"/>
        <v>16</v>
      </c>
      <c r="W76" s="77">
        <v>1</v>
      </c>
      <c r="X76" s="77" t="s">
        <v>35</v>
      </c>
      <c r="Y76" s="77" t="s">
        <v>55</v>
      </c>
      <c r="Z76" s="77" t="s">
        <v>43</v>
      </c>
      <c r="AA76" s="77" t="s">
        <v>76</v>
      </c>
      <c r="AB76" s="77" t="s">
        <v>161</v>
      </c>
    </row>
    <row r="77" spans="1:28" x14ac:dyDescent="0.15">
      <c r="A77" s="77" t="s">
        <v>46</v>
      </c>
      <c r="B77" s="77" t="s">
        <v>160</v>
      </c>
      <c r="C77" s="160">
        <v>2020</v>
      </c>
      <c r="D77" s="161" t="s">
        <v>162</v>
      </c>
      <c r="E77" s="77" t="s">
        <v>302</v>
      </c>
      <c r="F77" s="77" t="s">
        <v>303</v>
      </c>
      <c r="G77" s="77" t="s">
        <v>25</v>
      </c>
      <c r="H77" s="77" t="s">
        <v>164</v>
      </c>
      <c r="I77" s="77" t="s">
        <v>111</v>
      </c>
      <c r="J77" s="77" t="s">
        <v>27</v>
      </c>
      <c r="K77" s="77" t="s">
        <v>112</v>
      </c>
      <c r="L77" s="77">
        <v>1</v>
      </c>
      <c r="N77" s="77">
        <v>4</v>
      </c>
      <c r="O77" s="77">
        <v>0.35</v>
      </c>
      <c r="P77" s="77">
        <v>0.33</v>
      </c>
      <c r="Q77" s="44">
        <f t="shared" si="5"/>
        <v>0.33999999999999997</v>
      </c>
      <c r="R77" s="77">
        <v>15.6</v>
      </c>
      <c r="S77" s="77">
        <v>115</v>
      </c>
      <c r="T77" s="16">
        <f t="shared" si="3"/>
        <v>30</v>
      </c>
      <c r="U77" s="77">
        <v>380</v>
      </c>
      <c r="V77" s="16">
        <f t="shared" si="4"/>
        <v>16</v>
      </c>
      <c r="W77" s="77">
        <v>3</v>
      </c>
      <c r="X77" s="77" t="s">
        <v>35</v>
      </c>
      <c r="Y77" s="77" t="s">
        <v>55</v>
      </c>
      <c r="Z77" s="77" t="s">
        <v>82</v>
      </c>
      <c r="AA77" s="77" t="s">
        <v>76</v>
      </c>
      <c r="AB77" s="77" t="s">
        <v>161</v>
      </c>
    </row>
    <row r="78" spans="1:28" x14ac:dyDescent="0.15">
      <c r="A78" s="77" t="s">
        <v>46</v>
      </c>
      <c r="B78" s="77" t="s">
        <v>160</v>
      </c>
      <c r="C78" s="160">
        <v>2020</v>
      </c>
      <c r="D78" s="161" t="s">
        <v>162</v>
      </c>
      <c r="E78" s="77" t="s">
        <v>302</v>
      </c>
      <c r="F78" s="77" t="s">
        <v>303</v>
      </c>
      <c r="G78" s="77" t="s">
        <v>25</v>
      </c>
      <c r="H78" s="77" t="s">
        <v>164</v>
      </c>
      <c r="I78" s="77" t="s">
        <v>111</v>
      </c>
      <c r="J78" s="77" t="s">
        <v>27</v>
      </c>
      <c r="K78" s="77" t="s">
        <v>112</v>
      </c>
      <c r="L78" s="77">
        <v>2</v>
      </c>
      <c r="N78" s="77">
        <v>4</v>
      </c>
      <c r="O78" s="77">
        <v>0.38</v>
      </c>
      <c r="P78" s="77">
        <v>0.36</v>
      </c>
      <c r="Q78" s="44">
        <f t="shared" si="5"/>
        <v>0.37</v>
      </c>
      <c r="R78" s="77">
        <v>15.4</v>
      </c>
      <c r="S78" s="77">
        <v>110</v>
      </c>
      <c r="T78" s="16">
        <f t="shared" si="3"/>
        <v>33</v>
      </c>
      <c r="U78" s="77">
        <v>380</v>
      </c>
      <c r="V78" s="16">
        <f t="shared" si="4"/>
        <v>16</v>
      </c>
      <c r="W78" s="77">
        <v>3</v>
      </c>
      <c r="X78" s="77" t="s">
        <v>35</v>
      </c>
      <c r="Y78" s="77" t="s">
        <v>55</v>
      </c>
      <c r="Z78" s="77" t="s">
        <v>82</v>
      </c>
      <c r="AA78" s="77" t="s">
        <v>76</v>
      </c>
      <c r="AB78" s="77" t="s">
        <v>161</v>
      </c>
    </row>
    <row r="79" spans="1:28" x14ac:dyDescent="0.15">
      <c r="A79" s="77" t="s">
        <v>46</v>
      </c>
      <c r="B79" s="77" t="s">
        <v>160</v>
      </c>
      <c r="C79" s="160">
        <v>2020</v>
      </c>
      <c r="D79" s="161" t="s">
        <v>162</v>
      </c>
      <c r="E79" s="77" t="s">
        <v>302</v>
      </c>
      <c r="F79" s="77" t="s">
        <v>303</v>
      </c>
      <c r="G79" s="77" t="s">
        <v>25</v>
      </c>
      <c r="H79" s="77" t="s">
        <v>164</v>
      </c>
      <c r="I79" s="77" t="s">
        <v>111</v>
      </c>
      <c r="J79" s="77" t="s">
        <v>27</v>
      </c>
      <c r="K79" s="77" t="s">
        <v>112</v>
      </c>
      <c r="L79" s="77">
        <v>3</v>
      </c>
      <c r="N79" s="77">
        <v>4</v>
      </c>
      <c r="O79" s="77">
        <v>0.37</v>
      </c>
      <c r="P79" s="77">
        <v>0.35</v>
      </c>
      <c r="Q79" s="44">
        <f t="shared" si="5"/>
        <v>0.36</v>
      </c>
      <c r="R79" s="77">
        <v>15.7</v>
      </c>
      <c r="S79" s="77">
        <v>112</v>
      </c>
      <c r="T79" s="16">
        <f t="shared" si="3"/>
        <v>33</v>
      </c>
      <c r="U79" s="77">
        <v>380</v>
      </c>
      <c r="V79" s="16">
        <f t="shared" si="4"/>
        <v>16</v>
      </c>
      <c r="W79" s="77">
        <v>3</v>
      </c>
      <c r="X79" s="77" t="s">
        <v>35</v>
      </c>
      <c r="Y79" s="77" t="s">
        <v>55</v>
      </c>
      <c r="Z79" s="77" t="s">
        <v>82</v>
      </c>
      <c r="AA79" s="77" t="s">
        <v>76</v>
      </c>
      <c r="AB79" s="77" t="s">
        <v>161</v>
      </c>
    </row>
    <row r="80" spans="1:28" x14ac:dyDescent="0.15">
      <c r="A80" s="77" t="s">
        <v>46</v>
      </c>
      <c r="B80" s="77" t="s">
        <v>160</v>
      </c>
      <c r="C80" s="160">
        <v>2020</v>
      </c>
      <c r="D80" s="161" t="s">
        <v>162</v>
      </c>
      <c r="E80" s="77" t="s">
        <v>302</v>
      </c>
      <c r="F80" s="77" t="s">
        <v>303</v>
      </c>
      <c r="G80" s="77" t="s">
        <v>25</v>
      </c>
      <c r="H80" s="77" t="s">
        <v>164</v>
      </c>
      <c r="I80" s="77" t="s">
        <v>111</v>
      </c>
      <c r="J80" s="77" t="s">
        <v>27</v>
      </c>
      <c r="K80" s="77" t="s">
        <v>112</v>
      </c>
      <c r="L80" s="77">
        <v>1</v>
      </c>
      <c r="N80" s="77">
        <v>3</v>
      </c>
      <c r="O80" s="77">
        <v>0.41</v>
      </c>
      <c r="P80" s="77">
        <v>0.42</v>
      </c>
      <c r="Q80" s="44">
        <f t="shared" si="5"/>
        <v>0.41499999999999998</v>
      </c>
      <c r="R80" s="77">
        <v>16.399999999999999</v>
      </c>
      <c r="S80" s="77">
        <v>134</v>
      </c>
      <c r="T80" s="16">
        <f t="shared" si="3"/>
        <v>25</v>
      </c>
      <c r="U80" s="77">
        <v>399</v>
      </c>
      <c r="V80" s="16">
        <f t="shared" si="4"/>
        <v>16</v>
      </c>
      <c r="W80" s="77">
        <v>4</v>
      </c>
      <c r="X80" s="77" t="s">
        <v>35</v>
      </c>
      <c r="Y80" s="77" t="s">
        <v>55</v>
      </c>
      <c r="Z80" s="77" t="s">
        <v>82</v>
      </c>
      <c r="AA80" s="77" t="s">
        <v>76</v>
      </c>
      <c r="AB80" s="77" t="s">
        <v>161</v>
      </c>
    </row>
    <row r="81" spans="1:28" x14ac:dyDescent="0.15">
      <c r="A81" s="77" t="s">
        <v>46</v>
      </c>
      <c r="B81" s="77" t="s">
        <v>160</v>
      </c>
      <c r="C81" s="160">
        <v>2020</v>
      </c>
      <c r="D81" s="161" t="s">
        <v>162</v>
      </c>
      <c r="E81" s="77" t="s">
        <v>302</v>
      </c>
      <c r="F81" s="77" t="s">
        <v>303</v>
      </c>
      <c r="G81" s="77" t="s">
        <v>25</v>
      </c>
      <c r="H81" s="77" t="s">
        <v>164</v>
      </c>
      <c r="I81" s="77" t="s">
        <v>111</v>
      </c>
      <c r="J81" s="77" t="s">
        <v>27</v>
      </c>
      <c r="K81" s="77" t="s">
        <v>112</v>
      </c>
      <c r="L81" s="77">
        <v>2</v>
      </c>
      <c r="N81" s="77">
        <v>3</v>
      </c>
      <c r="O81" s="77">
        <v>0.46</v>
      </c>
      <c r="P81" s="77">
        <v>0.55000000000000004</v>
      </c>
      <c r="Q81" s="44">
        <f t="shared" si="5"/>
        <v>0.505</v>
      </c>
      <c r="R81" s="77">
        <v>14.8</v>
      </c>
      <c r="S81" s="77">
        <v>135</v>
      </c>
      <c r="T81" s="16">
        <f t="shared" ref="T81:T94" si="6">IF(H81="","",IF(OR(H81="GREEN",H81="GK"),IF(S87&gt;=$AX$2,VLOOKUP(S87,$AX$2:$AY$12,2,1),""),IF(S87&gt;=$AZ$2,VLOOKUP(S87,$AZ$2:$BA$12,2,1),"")))</f>
        <v>36</v>
      </c>
      <c r="U81" s="77">
        <v>399</v>
      </c>
      <c r="V81" s="16">
        <f t="shared" si="4"/>
        <v>16</v>
      </c>
      <c r="W81" s="77">
        <v>4</v>
      </c>
      <c r="X81" s="77" t="s">
        <v>35</v>
      </c>
      <c r="Y81" s="77" t="s">
        <v>55</v>
      </c>
      <c r="Z81" s="77" t="s">
        <v>82</v>
      </c>
      <c r="AA81" s="77" t="s">
        <v>76</v>
      </c>
      <c r="AB81" s="77" t="s">
        <v>161</v>
      </c>
    </row>
    <row r="82" spans="1:28" x14ac:dyDescent="0.15">
      <c r="A82" s="77" t="s">
        <v>46</v>
      </c>
      <c r="B82" s="77" t="s">
        <v>160</v>
      </c>
      <c r="C82" s="160">
        <v>2020</v>
      </c>
      <c r="D82" s="161" t="s">
        <v>162</v>
      </c>
      <c r="E82" s="77" t="s">
        <v>302</v>
      </c>
      <c r="F82" s="77" t="s">
        <v>303</v>
      </c>
      <c r="G82" s="77" t="s">
        <v>25</v>
      </c>
      <c r="H82" s="77" t="s">
        <v>164</v>
      </c>
      <c r="I82" s="77" t="s">
        <v>111</v>
      </c>
      <c r="J82" s="77" t="s">
        <v>27</v>
      </c>
      <c r="K82" s="77" t="s">
        <v>112</v>
      </c>
      <c r="L82" s="77">
        <v>3</v>
      </c>
      <c r="N82" s="77">
        <v>3</v>
      </c>
      <c r="O82" s="77">
        <v>0.48</v>
      </c>
      <c r="P82" s="77">
        <v>0.51</v>
      </c>
      <c r="Q82" s="44">
        <f t="shared" si="5"/>
        <v>0.495</v>
      </c>
      <c r="R82" s="77">
        <v>15.2</v>
      </c>
      <c r="S82" s="77">
        <v>136</v>
      </c>
      <c r="T82" s="16">
        <f t="shared" si="6"/>
        <v>36</v>
      </c>
      <c r="U82" s="77">
        <v>399</v>
      </c>
      <c r="V82" s="16">
        <f t="shared" si="4"/>
        <v>16</v>
      </c>
      <c r="W82" s="77">
        <v>4</v>
      </c>
      <c r="X82" s="77" t="s">
        <v>35</v>
      </c>
      <c r="Y82" s="77" t="s">
        <v>55</v>
      </c>
      <c r="Z82" s="77" t="s">
        <v>82</v>
      </c>
      <c r="AA82" s="77" t="s">
        <v>76</v>
      </c>
      <c r="AB82" s="77" t="s">
        <v>161</v>
      </c>
    </row>
    <row r="83" spans="1:28" x14ac:dyDescent="0.15">
      <c r="A83" s="77" t="s">
        <v>46</v>
      </c>
      <c r="B83" s="77" t="s">
        <v>160</v>
      </c>
      <c r="C83" s="160">
        <v>2020</v>
      </c>
      <c r="D83" s="161" t="s">
        <v>162</v>
      </c>
      <c r="E83" s="77" t="s">
        <v>302</v>
      </c>
      <c r="F83" s="77" t="s">
        <v>303</v>
      </c>
      <c r="G83" s="77" t="s">
        <v>25</v>
      </c>
      <c r="H83" s="77" t="s">
        <v>164</v>
      </c>
      <c r="I83" s="77" t="s">
        <v>111</v>
      </c>
      <c r="J83" s="77" t="s">
        <v>27</v>
      </c>
      <c r="K83" s="77" t="s">
        <v>112</v>
      </c>
      <c r="L83" s="77">
        <v>1</v>
      </c>
      <c r="N83" s="77">
        <v>1</v>
      </c>
      <c r="O83" s="77">
        <v>0.45</v>
      </c>
      <c r="P83" s="77">
        <v>0.4</v>
      </c>
      <c r="Q83" s="44">
        <f t="shared" si="5"/>
        <v>0.42500000000000004</v>
      </c>
      <c r="R83" s="77">
        <v>16</v>
      </c>
      <c r="S83" s="77">
        <v>144</v>
      </c>
      <c r="T83" s="16">
        <f t="shared" si="6"/>
        <v>25</v>
      </c>
      <c r="U83" s="77">
        <v>139</v>
      </c>
      <c r="V83" s="16">
        <f t="shared" si="4"/>
        <v>22</v>
      </c>
      <c r="W83" s="77">
        <v>2</v>
      </c>
      <c r="X83" s="77" t="s">
        <v>35</v>
      </c>
      <c r="Y83" s="77" t="s">
        <v>55</v>
      </c>
      <c r="Z83" s="77" t="s">
        <v>82</v>
      </c>
      <c r="AA83" s="77" t="s">
        <v>76</v>
      </c>
      <c r="AB83" s="77" t="s">
        <v>161</v>
      </c>
    </row>
    <row r="84" spans="1:28" x14ac:dyDescent="0.15">
      <c r="A84" s="77" t="s">
        <v>46</v>
      </c>
      <c r="B84" s="77" t="s">
        <v>160</v>
      </c>
      <c r="C84" s="160">
        <v>2020</v>
      </c>
      <c r="D84" s="161" t="s">
        <v>162</v>
      </c>
      <c r="E84" s="77" t="s">
        <v>302</v>
      </c>
      <c r="F84" s="77" t="s">
        <v>303</v>
      </c>
      <c r="G84" s="77" t="s">
        <v>25</v>
      </c>
      <c r="H84" s="77" t="s">
        <v>164</v>
      </c>
      <c r="I84" s="77" t="s">
        <v>111</v>
      </c>
      <c r="J84" s="77" t="s">
        <v>27</v>
      </c>
      <c r="K84" s="77" t="s">
        <v>112</v>
      </c>
      <c r="L84" s="77">
        <v>2</v>
      </c>
      <c r="N84" s="77">
        <v>1</v>
      </c>
      <c r="O84" s="77">
        <v>0.39</v>
      </c>
      <c r="P84" s="77">
        <v>0.44</v>
      </c>
      <c r="Q84" s="44">
        <f t="shared" si="5"/>
        <v>0.41500000000000004</v>
      </c>
      <c r="R84" s="77">
        <v>16.100000000000001</v>
      </c>
      <c r="S84" s="77">
        <v>146</v>
      </c>
      <c r="T84" s="16">
        <f t="shared" si="6"/>
        <v>25</v>
      </c>
      <c r="U84" s="77">
        <v>139</v>
      </c>
      <c r="V84" s="16">
        <f t="shared" si="4"/>
        <v>22</v>
      </c>
      <c r="W84" s="77">
        <v>2</v>
      </c>
      <c r="X84" s="77" t="s">
        <v>35</v>
      </c>
      <c r="Y84" s="77" t="s">
        <v>55</v>
      </c>
      <c r="Z84" s="77" t="s">
        <v>82</v>
      </c>
      <c r="AA84" s="77" t="s">
        <v>76</v>
      </c>
      <c r="AB84" s="77" t="s">
        <v>161</v>
      </c>
    </row>
    <row r="85" spans="1:28" x14ac:dyDescent="0.15">
      <c r="A85" s="77" t="s">
        <v>46</v>
      </c>
      <c r="B85" s="77" t="s">
        <v>160</v>
      </c>
      <c r="C85" s="160">
        <v>2020</v>
      </c>
      <c r="D85" s="161" t="s">
        <v>162</v>
      </c>
      <c r="E85" s="77" t="s">
        <v>302</v>
      </c>
      <c r="F85" s="77" t="s">
        <v>303</v>
      </c>
      <c r="G85" s="77" t="s">
        <v>25</v>
      </c>
      <c r="H85" s="77" t="s">
        <v>164</v>
      </c>
      <c r="I85" s="77" t="s">
        <v>111</v>
      </c>
      <c r="J85" s="77" t="s">
        <v>27</v>
      </c>
      <c r="K85" s="77" t="s">
        <v>112</v>
      </c>
      <c r="L85" s="77">
        <v>3</v>
      </c>
      <c r="N85" s="77">
        <v>1</v>
      </c>
      <c r="O85" s="77">
        <v>0.42</v>
      </c>
      <c r="P85" s="77">
        <v>0.44</v>
      </c>
      <c r="Q85" s="44">
        <f t="shared" si="5"/>
        <v>0.43</v>
      </c>
      <c r="R85" s="77">
        <v>16.8</v>
      </c>
      <c r="S85" s="77">
        <v>152</v>
      </c>
      <c r="T85" s="16">
        <f t="shared" si="6"/>
        <v>25</v>
      </c>
      <c r="U85" s="77">
        <v>139</v>
      </c>
      <c r="V85" s="16">
        <f t="shared" si="4"/>
        <v>22</v>
      </c>
      <c r="W85" s="77">
        <v>2</v>
      </c>
      <c r="X85" s="77" t="s">
        <v>35</v>
      </c>
      <c r="Y85" s="77" t="s">
        <v>55</v>
      </c>
      <c r="Z85" s="77" t="s">
        <v>82</v>
      </c>
      <c r="AA85" s="77" t="s">
        <v>76</v>
      </c>
      <c r="AB85" s="77" t="s">
        <v>161</v>
      </c>
    </row>
    <row r="86" spans="1:28" x14ac:dyDescent="0.15">
      <c r="A86" s="77" t="s">
        <v>46</v>
      </c>
      <c r="B86" s="77" t="s">
        <v>160</v>
      </c>
      <c r="C86" s="160">
        <v>2020</v>
      </c>
      <c r="D86" s="161" t="s">
        <v>162</v>
      </c>
      <c r="E86" s="77" t="s">
        <v>302</v>
      </c>
      <c r="F86" s="77" t="s">
        <v>303</v>
      </c>
      <c r="G86" s="77" t="s">
        <v>25</v>
      </c>
      <c r="H86" s="77" t="s">
        <v>113</v>
      </c>
      <c r="I86" s="77" t="s">
        <v>111</v>
      </c>
      <c r="J86" s="77" t="s">
        <v>27</v>
      </c>
      <c r="K86" s="77" t="s">
        <v>112</v>
      </c>
      <c r="L86" s="77">
        <v>1</v>
      </c>
      <c r="N86" s="77">
        <v>6</v>
      </c>
      <c r="O86" s="77">
        <v>0.4</v>
      </c>
      <c r="P86" s="77">
        <v>0.48</v>
      </c>
      <c r="Q86" s="44">
        <f t="shared" si="5"/>
        <v>0.44</v>
      </c>
      <c r="R86" s="77">
        <v>14.2</v>
      </c>
      <c r="S86" s="77">
        <v>86</v>
      </c>
      <c r="T86" s="16">
        <f t="shared" si="6"/>
        <v>22</v>
      </c>
      <c r="U86" s="77">
        <v>399</v>
      </c>
      <c r="V86" s="16">
        <f t="shared" si="4"/>
        <v>16</v>
      </c>
      <c r="W86" s="77">
        <v>2</v>
      </c>
      <c r="X86" s="77" t="s">
        <v>35</v>
      </c>
      <c r="Y86" s="77" t="s">
        <v>55</v>
      </c>
      <c r="Z86" s="77" t="s">
        <v>82</v>
      </c>
      <c r="AA86" s="77" t="s">
        <v>76</v>
      </c>
      <c r="AB86" s="77" t="s">
        <v>161</v>
      </c>
    </row>
    <row r="87" spans="1:28" x14ac:dyDescent="0.15">
      <c r="A87" s="77" t="s">
        <v>46</v>
      </c>
      <c r="B87" s="77" t="s">
        <v>160</v>
      </c>
      <c r="C87" s="160">
        <v>2020</v>
      </c>
      <c r="D87" s="161" t="s">
        <v>162</v>
      </c>
      <c r="E87" s="77" t="s">
        <v>302</v>
      </c>
      <c r="F87" s="77" t="s">
        <v>303</v>
      </c>
      <c r="G87" s="77" t="s">
        <v>25</v>
      </c>
      <c r="H87" s="77" t="s">
        <v>113</v>
      </c>
      <c r="I87" s="77" t="s">
        <v>111</v>
      </c>
      <c r="J87" s="77" t="s">
        <v>27</v>
      </c>
      <c r="K87" s="77" t="s">
        <v>112</v>
      </c>
      <c r="L87" s="77">
        <v>2</v>
      </c>
      <c r="N87" s="77">
        <v>6</v>
      </c>
      <c r="O87" s="77">
        <v>0.46</v>
      </c>
      <c r="P87" s="77">
        <v>0.52</v>
      </c>
      <c r="Q87" s="44">
        <f t="shared" si="5"/>
        <v>0.49</v>
      </c>
      <c r="R87" s="77">
        <v>14.3</v>
      </c>
      <c r="S87" s="77">
        <v>96</v>
      </c>
      <c r="T87" s="16">
        <f t="shared" si="6"/>
        <v>22</v>
      </c>
      <c r="U87" s="77">
        <v>399</v>
      </c>
      <c r="V87" s="16">
        <f t="shared" si="4"/>
        <v>16</v>
      </c>
      <c r="W87" s="77">
        <v>2</v>
      </c>
      <c r="X87" s="77" t="s">
        <v>35</v>
      </c>
      <c r="Y87" s="77" t="s">
        <v>55</v>
      </c>
      <c r="Z87" s="77" t="s">
        <v>82</v>
      </c>
      <c r="AA87" s="77" t="s">
        <v>76</v>
      </c>
      <c r="AB87" s="77" t="s">
        <v>161</v>
      </c>
    </row>
    <row r="88" spans="1:28" x14ac:dyDescent="0.15">
      <c r="A88" s="77" t="s">
        <v>46</v>
      </c>
      <c r="B88" s="77" t="s">
        <v>160</v>
      </c>
      <c r="C88" s="160">
        <v>2020</v>
      </c>
      <c r="D88" s="161" t="s">
        <v>162</v>
      </c>
      <c r="E88" s="77" t="s">
        <v>302</v>
      </c>
      <c r="F88" s="77" t="s">
        <v>303</v>
      </c>
      <c r="G88" s="77" t="s">
        <v>25</v>
      </c>
      <c r="H88" s="77" t="s">
        <v>113</v>
      </c>
      <c r="I88" s="77" t="s">
        <v>111</v>
      </c>
      <c r="J88" s="77" t="s">
        <v>27</v>
      </c>
      <c r="K88" s="77" t="s">
        <v>112</v>
      </c>
      <c r="L88" s="77">
        <v>3</v>
      </c>
      <c r="N88" s="77">
        <v>6</v>
      </c>
      <c r="O88" s="77">
        <v>0.41</v>
      </c>
      <c r="P88" s="77">
        <v>0.44</v>
      </c>
      <c r="Q88" s="44">
        <f t="shared" si="5"/>
        <v>0.42499999999999999</v>
      </c>
      <c r="R88" s="77">
        <v>14.2</v>
      </c>
      <c r="S88" s="77">
        <v>92</v>
      </c>
      <c r="T88" s="16">
        <f t="shared" si="6"/>
        <v>25</v>
      </c>
      <c r="U88" s="77">
        <v>399</v>
      </c>
      <c r="V88" s="16">
        <f t="shared" si="4"/>
        <v>16</v>
      </c>
      <c r="W88" s="77">
        <v>2</v>
      </c>
      <c r="X88" s="77" t="s">
        <v>35</v>
      </c>
      <c r="Y88" s="77" t="s">
        <v>55</v>
      </c>
      <c r="Z88" s="77" t="s">
        <v>82</v>
      </c>
      <c r="AA88" s="77" t="s">
        <v>76</v>
      </c>
      <c r="AB88" s="77" t="s">
        <v>161</v>
      </c>
    </row>
    <row r="89" spans="1:28" x14ac:dyDescent="0.15">
      <c r="A89" s="77" t="s">
        <v>46</v>
      </c>
      <c r="B89" s="77" t="s">
        <v>160</v>
      </c>
      <c r="C89" s="160">
        <v>2020</v>
      </c>
      <c r="D89" s="161" t="s">
        <v>162</v>
      </c>
      <c r="E89" s="77" t="s">
        <v>302</v>
      </c>
      <c r="F89" s="77" t="s">
        <v>303</v>
      </c>
      <c r="G89" s="77" t="s">
        <v>25</v>
      </c>
      <c r="H89" s="77" t="s">
        <v>113</v>
      </c>
      <c r="I89" s="77" t="s">
        <v>111</v>
      </c>
      <c r="J89" s="77" t="s">
        <v>27</v>
      </c>
      <c r="K89" s="77" t="s">
        <v>112</v>
      </c>
      <c r="L89" s="77">
        <v>1</v>
      </c>
      <c r="N89" s="77">
        <v>3</v>
      </c>
      <c r="O89" s="77">
        <v>0.72</v>
      </c>
      <c r="P89" s="77">
        <v>0.85</v>
      </c>
      <c r="Q89" s="44">
        <f t="shared" si="5"/>
        <v>0.78499999999999992</v>
      </c>
      <c r="R89" s="77">
        <v>13.8</v>
      </c>
      <c r="S89" s="77">
        <v>130</v>
      </c>
      <c r="T89" s="16">
        <f t="shared" si="6"/>
        <v>30</v>
      </c>
      <c r="U89" s="77">
        <v>399</v>
      </c>
      <c r="V89" s="16">
        <f t="shared" si="4"/>
        <v>16</v>
      </c>
      <c r="W89" s="77">
        <v>4</v>
      </c>
      <c r="X89" s="77" t="s">
        <v>35</v>
      </c>
      <c r="Y89" s="77" t="s">
        <v>55</v>
      </c>
      <c r="Z89" s="77" t="s">
        <v>82</v>
      </c>
      <c r="AA89" s="77" t="s">
        <v>76</v>
      </c>
      <c r="AB89" s="77" t="s">
        <v>161</v>
      </c>
    </row>
    <row r="90" spans="1:28" x14ac:dyDescent="0.15">
      <c r="A90" s="77" t="s">
        <v>46</v>
      </c>
      <c r="B90" s="77" t="s">
        <v>160</v>
      </c>
      <c r="C90" s="160">
        <v>2020</v>
      </c>
      <c r="D90" s="161" t="s">
        <v>162</v>
      </c>
      <c r="E90" s="77" t="s">
        <v>302</v>
      </c>
      <c r="F90" s="77" t="s">
        <v>303</v>
      </c>
      <c r="G90" s="77" t="s">
        <v>25</v>
      </c>
      <c r="H90" s="77" t="s">
        <v>113</v>
      </c>
      <c r="I90" s="77" t="s">
        <v>111</v>
      </c>
      <c r="J90" s="77" t="s">
        <v>27</v>
      </c>
      <c r="K90" s="77" t="s">
        <v>112</v>
      </c>
      <c r="L90" s="77">
        <v>2</v>
      </c>
      <c r="N90" s="77">
        <v>3</v>
      </c>
      <c r="O90" s="77">
        <v>0.69</v>
      </c>
      <c r="P90" s="77">
        <v>0.6</v>
      </c>
      <c r="Q90" s="44">
        <f t="shared" si="5"/>
        <v>0.64500000000000002</v>
      </c>
      <c r="R90" s="77">
        <v>14.1</v>
      </c>
      <c r="S90" s="77">
        <v>131</v>
      </c>
      <c r="T90" s="16">
        <f t="shared" si="6"/>
        <v>30</v>
      </c>
      <c r="U90" s="77">
        <v>399</v>
      </c>
      <c r="V90" s="16">
        <f t="shared" si="4"/>
        <v>16</v>
      </c>
      <c r="W90" s="77">
        <v>4</v>
      </c>
      <c r="X90" s="77" t="s">
        <v>35</v>
      </c>
      <c r="Y90" s="77" t="s">
        <v>55</v>
      </c>
      <c r="Z90" s="77" t="s">
        <v>82</v>
      </c>
      <c r="AA90" s="77" t="s">
        <v>76</v>
      </c>
      <c r="AB90" s="77" t="s">
        <v>161</v>
      </c>
    </row>
    <row r="91" spans="1:28" x14ac:dyDescent="0.15">
      <c r="A91" s="77" t="s">
        <v>46</v>
      </c>
      <c r="B91" s="77" t="s">
        <v>160</v>
      </c>
      <c r="C91" s="160">
        <v>2020</v>
      </c>
      <c r="D91" s="161" t="s">
        <v>162</v>
      </c>
      <c r="E91" s="77" t="s">
        <v>302</v>
      </c>
      <c r="F91" s="77" t="s">
        <v>303</v>
      </c>
      <c r="G91" s="77" t="s">
        <v>25</v>
      </c>
      <c r="H91" s="77" t="s">
        <v>113</v>
      </c>
      <c r="I91" s="77" t="s">
        <v>111</v>
      </c>
      <c r="J91" s="77" t="s">
        <v>27</v>
      </c>
      <c r="K91" s="77" t="s">
        <v>112</v>
      </c>
      <c r="L91" s="77">
        <v>3</v>
      </c>
      <c r="N91" s="77">
        <v>3</v>
      </c>
      <c r="O91" s="77">
        <v>0.73</v>
      </c>
      <c r="P91" s="77">
        <v>0.79</v>
      </c>
      <c r="Q91" s="44">
        <f t="shared" si="5"/>
        <v>0.76</v>
      </c>
      <c r="R91" s="77">
        <v>13.6</v>
      </c>
      <c r="S91" s="77">
        <v>137</v>
      </c>
      <c r="T91" s="16">
        <f t="shared" si="6"/>
        <v>30</v>
      </c>
      <c r="U91" s="77">
        <v>399</v>
      </c>
      <c r="V91" s="16">
        <f t="shared" si="4"/>
        <v>16</v>
      </c>
      <c r="W91" s="77">
        <v>4</v>
      </c>
      <c r="X91" s="77" t="s">
        <v>35</v>
      </c>
      <c r="Y91" s="77" t="s">
        <v>55</v>
      </c>
      <c r="Z91" s="77" t="s">
        <v>82</v>
      </c>
      <c r="AA91" s="77" t="s">
        <v>76</v>
      </c>
      <c r="AB91" s="77" t="s">
        <v>161</v>
      </c>
    </row>
    <row r="92" spans="1:28" x14ac:dyDescent="0.15">
      <c r="A92" s="77" t="s">
        <v>46</v>
      </c>
      <c r="B92" s="77" t="s">
        <v>160</v>
      </c>
      <c r="C92" s="160">
        <v>2020</v>
      </c>
      <c r="D92" s="161" t="s">
        <v>162</v>
      </c>
      <c r="E92" s="77" t="s">
        <v>302</v>
      </c>
      <c r="F92" s="77" t="s">
        <v>303</v>
      </c>
      <c r="G92" s="77" t="s">
        <v>25</v>
      </c>
      <c r="H92" s="77" t="s">
        <v>113</v>
      </c>
      <c r="I92" s="77" t="s">
        <v>111</v>
      </c>
      <c r="J92" s="77" t="s">
        <v>27</v>
      </c>
      <c r="K92" s="77" t="s">
        <v>112</v>
      </c>
      <c r="L92" s="77">
        <v>1</v>
      </c>
      <c r="N92" s="77">
        <v>1</v>
      </c>
      <c r="O92" s="77">
        <v>0.56000000000000005</v>
      </c>
      <c r="P92" s="77">
        <v>0.46</v>
      </c>
      <c r="Q92" s="44">
        <f t="shared" si="5"/>
        <v>0.51</v>
      </c>
      <c r="R92" s="77">
        <v>13.8</v>
      </c>
      <c r="S92" s="77">
        <v>139</v>
      </c>
      <c r="T92" s="16">
        <f t="shared" si="6"/>
        <v>30</v>
      </c>
      <c r="U92" s="77">
        <v>129</v>
      </c>
      <c r="V92" s="16">
        <f t="shared" si="4"/>
        <v>25</v>
      </c>
      <c r="W92" s="77">
        <v>4</v>
      </c>
      <c r="X92" s="77" t="s">
        <v>35</v>
      </c>
      <c r="Y92" s="77" t="s">
        <v>55</v>
      </c>
      <c r="Z92" s="77" t="s">
        <v>82</v>
      </c>
      <c r="AA92" s="77" t="s">
        <v>76</v>
      </c>
      <c r="AB92" s="77" t="s">
        <v>161</v>
      </c>
    </row>
    <row r="93" spans="1:28" x14ac:dyDescent="0.15">
      <c r="A93" s="77" t="s">
        <v>46</v>
      </c>
      <c r="B93" s="77" t="s">
        <v>160</v>
      </c>
      <c r="C93" s="160">
        <v>2020</v>
      </c>
      <c r="D93" s="161" t="s">
        <v>162</v>
      </c>
      <c r="E93" s="77" t="s">
        <v>302</v>
      </c>
      <c r="F93" s="77" t="s">
        <v>303</v>
      </c>
      <c r="G93" s="77" t="s">
        <v>25</v>
      </c>
      <c r="H93" s="77" t="s">
        <v>113</v>
      </c>
      <c r="I93" s="77" t="s">
        <v>111</v>
      </c>
      <c r="J93" s="77" t="s">
        <v>27</v>
      </c>
      <c r="K93" s="77" t="s">
        <v>112</v>
      </c>
      <c r="L93" s="77">
        <v>2</v>
      </c>
      <c r="N93" s="77">
        <v>1</v>
      </c>
      <c r="O93" s="77">
        <v>0.3</v>
      </c>
      <c r="P93" s="77">
        <v>0.35</v>
      </c>
      <c r="Q93" s="44">
        <f t="shared" si="5"/>
        <v>0.32499999999999996</v>
      </c>
      <c r="R93" s="77">
        <v>14.6</v>
      </c>
      <c r="S93" s="77">
        <v>143</v>
      </c>
      <c r="T93" s="16">
        <f t="shared" si="6"/>
        <v>27</v>
      </c>
      <c r="U93" s="77">
        <v>129</v>
      </c>
      <c r="V93" s="16">
        <f t="shared" si="4"/>
        <v>25</v>
      </c>
      <c r="W93" s="77">
        <v>4</v>
      </c>
      <c r="X93" s="77" t="s">
        <v>35</v>
      </c>
      <c r="Y93" s="77" t="s">
        <v>55</v>
      </c>
      <c r="Z93" s="77" t="s">
        <v>82</v>
      </c>
      <c r="AA93" s="77" t="s">
        <v>76</v>
      </c>
      <c r="AB93" s="77" t="s">
        <v>161</v>
      </c>
    </row>
    <row r="94" spans="1:28" x14ac:dyDescent="0.15">
      <c r="A94" s="77" t="s">
        <v>46</v>
      </c>
      <c r="B94" s="77" t="s">
        <v>160</v>
      </c>
      <c r="C94" s="160">
        <v>2020</v>
      </c>
      <c r="D94" s="161" t="s">
        <v>162</v>
      </c>
      <c r="E94" s="77" t="s">
        <v>302</v>
      </c>
      <c r="F94" s="77" t="s">
        <v>303</v>
      </c>
      <c r="G94" s="77" t="s">
        <v>25</v>
      </c>
      <c r="H94" s="77" t="s">
        <v>113</v>
      </c>
      <c r="I94" s="77" t="s">
        <v>111</v>
      </c>
      <c r="J94" s="77" t="s">
        <v>27</v>
      </c>
      <c r="K94" s="77" t="s">
        <v>112</v>
      </c>
      <c r="L94" s="77">
        <v>3</v>
      </c>
      <c r="N94" s="77">
        <v>1</v>
      </c>
      <c r="O94" s="77">
        <v>0.5</v>
      </c>
      <c r="P94" s="77">
        <v>0.47</v>
      </c>
      <c r="Q94" s="44">
        <f t="shared" si="5"/>
        <v>0.48499999999999999</v>
      </c>
      <c r="R94" s="77">
        <v>14.9</v>
      </c>
      <c r="S94" s="77">
        <v>134</v>
      </c>
      <c r="T94" s="16">
        <f t="shared" si="6"/>
        <v>27</v>
      </c>
      <c r="U94" s="77">
        <v>129</v>
      </c>
      <c r="V94" s="16">
        <f t="shared" si="4"/>
        <v>25</v>
      </c>
      <c r="W94" s="77">
        <v>4</v>
      </c>
      <c r="X94" s="77" t="s">
        <v>35</v>
      </c>
      <c r="Y94" s="77" t="s">
        <v>55</v>
      </c>
      <c r="Z94" s="77" t="s">
        <v>82</v>
      </c>
      <c r="AA94" s="77" t="s">
        <v>76</v>
      </c>
      <c r="AB94" s="77" t="s">
        <v>161</v>
      </c>
    </row>
    <row r="95" spans="1:28" x14ac:dyDescent="0.15">
      <c r="A95" s="77" t="s">
        <v>46</v>
      </c>
      <c r="B95" s="77" t="s">
        <v>160</v>
      </c>
      <c r="C95" s="160">
        <v>2020</v>
      </c>
      <c r="D95" s="161" t="s">
        <v>162</v>
      </c>
      <c r="E95" s="77" t="s">
        <v>291</v>
      </c>
      <c r="F95" s="77" t="s">
        <v>292</v>
      </c>
      <c r="G95" s="77" t="s">
        <v>31</v>
      </c>
      <c r="H95" s="77" t="s">
        <v>164</v>
      </c>
      <c r="I95" s="77" t="s">
        <v>111</v>
      </c>
      <c r="J95" s="77" t="s">
        <v>27</v>
      </c>
      <c r="K95" s="77" t="s">
        <v>112</v>
      </c>
      <c r="L95" s="77">
        <v>1</v>
      </c>
      <c r="N95" s="77">
        <v>4</v>
      </c>
      <c r="O95" s="77">
        <v>0.5</v>
      </c>
      <c r="P95" s="77">
        <v>0.53</v>
      </c>
      <c r="Q95" s="44">
        <f t="shared" si="5"/>
        <v>0.51500000000000001</v>
      </c>
      <c r="R95" s="77">
        <v>16.7</v>
      </c>
      <c r="S95" s="77">
        <v>115</v>
      </c>
      <c r="T95" s="16">
        <f t="shared" ref="T95:T118" si="7">IF(H95="","",IF(OR(H95="GREEN",H95="GK"),IF(S95&gt;=$AX$2,VLOOKUP(S95,$AX$2:$AY$12,2,1),""),IF(S95&gt;=$AZ$2,VLOOKUP(S95,$AZ$2:$BA$12,2,1),"")))</f>
        <v>30</v>
      </c>
      <c r="U95" s="77">
        <v>378</v>
      </c>
      <c r="V95" s="16">
        <f t="shared" si="4"/>
        <v>16</v>
      </c>
      <c r="W95" s="77">
        <v>1</v>
      </c>
      <c r="X95" s="77" t="s">
        <v>28</v>
      </c>
      <c r="Y95" s="77" t="s">
        <v>55</v>
      </c>
      <c r="Z95" s="77" t="s">
        <v>36</v>
      </c>
      <c r="AA95" s="77" t="s">
        <v>47</v>
      </c>
      <c r="AB95" s="77" t="s">
        <v>161</v>
      </c>
    </row>
    <row r="96" spans="1:28" x14ac:dyDescent="0.15">
      <c r="A96" s="77" t="s">
        <v>46</v>
      </c>
      <c r="B96" s="77" t="s">
        <v>160</v>
      </c>
      <c r="C96" s="160">
        <v>2020</v>
      </c>
      <c r="D96" s="161" t="s">
        <v>162</v>
      </c>
      <c r="E96" s="77" t="s">
        <v>291</v>
      </c>
      <c r="F96" s="77" t="s">
        <v>292</v>
      </c>
      <c r="G96" s="77" t="s">
        <v>31</v>
      </c>
      <c r="H96" s="77" t="s">
        <v>164</v>
      </c>
      <c r="I96" s="77" t="s">
        <v>111</v>
      </c>
      <c r="J96" s="77" t="s">
        <v>27</v>
      </c>
      <c r="K96" s="77" t="s">
        <v>112</v>
      </c>
      <c r="L96" s="77">
        <v>2</v>
      </c>
      <c r="N96" s="77">
        <v>4</v>
      </c>
      <c r="O96" s="77">
        <v>0.42</v>
      </c>
      <c r="P96" s="77">
        <v>0.47</v>
      </c>
      <c r="Q96" s="44">
        <f t="shared" si="5"/>
        <v>0.44499999999999995</v>
      </c>
      <c r="R96" s="77">
        <v>15.3</v>
      </c>
      <c r="S96" s="77">
        <v>117</v>
      </c>
      <c r="T96" s="16">
        <f t="shared" si="7"/>
        <v>30</v>
      </c>
      <c r="U96" s="77">
        <v>378</v>
      </c>
      <c r="V96" s="16">
        <f t="shared" si="4"/>
        <v>16</v>
      </c>
      <c r="W96" s="77">
        <v>1</v>
      </c>
      <c r="X96" s="77" t="s">
        <v>28</v>
      </c>
      <c r="Y96" s="77" t="s">
        <v>55</v>
      </c>
      <c r="Z96" s="77" t="s">
        <v>36</v>
      </c>
      <c r="AA96" s="77" t="s">
        <v>47</v>
      </c>
      <c r="AB96" s="77" t="s">
        <v>161</v>
      </c>
    </row>
    <row r="97" spans="1:28" x14ac:dyDescent="0.15">
      <c r="A97" s="77" t="s">
        <v>46</v>
      </c>
      <c r="B97" s="77" t="s">
        <v>160</v>
      </c>
      <c r="C97" s="160">
        <v>2020</v>
      </c>
      <c r="D97" s="161" t="s">
        <v>162</v>
      </c>
      <c r="E97" s="77" t="s">
        <v>291</v>
      </c>
      <c r="F97" s="77" t="s">
        <v>292</v>
      </c>
      <c r="G97" s="77" t="s">
        <v>31</v>
      </c>
      <c r="H97" s="77" t="s">
        <v>164</v>
      </c>
      <c r="I97" s="77" t="s">
        <v>111</v>
      </c>
      <c r="J97" s="77" t="s">
        <v>27</v>
      </c>
      <c r="K97" s="77" t="s">
        <v>112</v>
      </c>
      <c r="L97" s="77">
        <v>3</v>
      </c>
      <c r="N97" s="77">
        <v>4</v>
      </c>
      <c r="O97" s="77">
        <v>0.53</v>
      </c>
      <c r="P97" s="77">
        <v>0.52</v>
      </c>
      <c r="Q97" s="16">
        <f t="shared" si="5"/>
        <v>0.52500000000000002</v>
      </c>
      <c r="R97" s="77">
        <v>15.9</v>
      </c>
      <c r="S97" s="77">
        <v>115</v>
      </c>
      <c r="T97" s="16">
        <f t="shared" si="7"/>
        <v>30</v>
      </c>
      <c r="U97" s="77">
        <v>378</v>
      </c>
      <c r="V97" s="16">
        <f t="shared" si="4"/>
        <v>16</v>
      </c>
      <c r="W97" s="77">
        <v>1</v>
      </c>
      <c r="X97" s="77" t="s">
        <v>28</v>
      </c>
      <c r="Y97" s="77" t="s">
        <v>55</v>
      </c>
      <c r="Z97" s="77" t="s">
        <v>36</v>
      </c>
      <c r="AA97" s="77" t="s">
        <v>47</v>
      </c>
      <c r="AB97" s="77" t="s">
        <v>161</v>
      </c>
    </row>
    <row r="98" spans="1:28" x14ac:dyDescent="0.15">
      <c r="A98" s="77" t="s">
        <v>46</v>
      </c>
      <c r="B98" s="77" t="s">
        <v>160</v>
      </c>
      <c r="C98" s="160">
        <v>2020</v>
      </c>
      <c r="D98" s="161" t="s">
        <v>162</v>
      </c>
      <c r="E98" s="77" t="s">
        <v>291</v>
      </c>
      <c r="F98" s="77" t="s">
        <v>292</v>
      </c>
      <c r="G98" s="77" t="s">
        <v>31</v>
      </c>
      <c r="H98" s="77" t="s">
        <v>164</v>
      </c>
      <c r="I98" s="77" t="s">
        <v>111</v>
      </c>
      <c r="J98" s="77" t="s">
        <v>27</v>
      </c>
      <c r="K98" s="77" t="s">
        <v>112</v>
      </c>
      <c r="L98" s="77">
        <v>1</v>
      </c>
      <c r="N98" s="77">
        <v>1</v>
      </c>
      <c r="O98" s="77">
        <v>0.36</v>
      </c>
      <c r="P98" s="77">
        <v>0.33</v>
      </c>
      <c r="Q98" s="16">
        <f t="shared" si="5"/>
        <v>0.34499999999999997</v>
      </c>
      <c r="R98" s="77">
        <v>18.5</v>
      </c>
      <c r="S98" s="77">
        <v>120</v>
      </c>
      <c r="T98" s="16">
        <f t="shared" si="7"/>
        <v>30</v>
      </c>
      <c r="U98" s="77">
        <v>128</v>
      </c>
      <c r="V98" s="16">
        <f t="shared" si="4"/>
        <v>27</v>
      </c>
      <c r="W98" s="77">
        <v>1</v>
      </c>
      <c r="X98" s="77" t="s">
        <v>28</v>
      </c>
      <c r="Y98" s="77" t="s">
        <v>55</v>
      </c>
      <c r="Z98" s="77" t="s">
        <v>36</v>
      </c>
      <c r="AA98" s="77" t="s">
        <v>47</v>
      </c>
      <c r="AB98" s="77" t="s">
        <v>161</v>
      </c>
    </row>
    <row r="99" spans="1:28" x14ac:dyDescent="0.15">
      <c r="A99" s="77" t="s">
        <v>46</v>
      </c>
      <c r="B99" s="77" t="s">
        <v>160</v>
      </c>
      <c r="C99" s="160">
        <v>2020</v>
      </c>
      <c r="D99" s="161" t="s">
        <v>162</v>
      </c>
      <c r="E99" s="77" t="s">
        <v>291</v>
      </c>
      <c r="F99" s="77" t="s">
        <v>292</v>
      </c>
      <c r="G99" s="77" t="s">
        <v>31</v>
      </c>
      <c r="H99" s="77" t="s">
        <v>164</v>
      </c>
      <c r="I99" s="77" t="s">
        <v>111</v>
      </c>
      <c r="J99" s="77" t="s">
        <v>27</v>
      </c>
      <c r="K99" s="77" t="s">
        <v>112</v>
      </c>
      <c r="L99" s="77">
        <v>2</v>
      </c>
      <c r="N99" s="77">
        <v>1</v>
      </c>
      <c r="O99" s="77">
        <v>0.4</v>
      </c>
      <c r="P99" s="77">
        <v>0.35</v>
      </c>
      <c r="Q99" s="16">
        <f t="shared" si="5"/>
        <v>0.375</v>
      </c>
      <c r="R99" s="77">
        <v>17.3</v>
      </c>
      <c r="S99" s="77">
        <v>124</v>
      </c>
      <c r="T99" s="16">
        <f t="shared" si="7"/>
        <v>27</v>
      </c>
      <c r="U99" s="77">
        <v>128</v>
      </c>
      <c r="V99" s="16">
        <f t="shared" si="4"/>
        <v>27</v>
      </c>
      <c r="W99" s="77">
        <v>1</v>
      </c>
      <c r="X99" s="77" t="s">
        <v>28</v>
      </c>
      <c r="Y99" s="77" t="s">
        <v>55</v>
      </c>
      <c r="Z99" s="77" t="s">
        <v>36</v>
      </c>
      <c r="AA99" s="77" t="s">
        <v>47</v>
      </c>
      <c r="AB99" s="77" t="s">
        <v>161</v>
      </c>
    </row>
    <row r="100" spans="1:28" x14ac:dyDescent="0.15">
      <c r="A100" s="77" t="s">
        <v>46</v>
      </c>
      <c r="B100" s="77" t="s">
        <v>160</v>
      </c>
      <c r="C100" s="160">
        <v>2020</v>
      </c>
      <c r="D100" s="161" t="s">
        <v>162</v>
      </c>
      <c r="E100" s="77" t="s">
        <v>291</v>
      </c>
      <c r="F100" s="77" t="s">
        <v>292</v>
      </c>
      <c r="G100" s="77" t="s">
        <v>31</v>
      </c>
      <c r="H100" s="77" t="s">
        <v>164</v>
      </c>
      <c r="I100" s="77" t="s">
        <v>111</v>
      </c>
      <c r="J100" s="77" t="s">
        <v>27</v>
      </c>
      <c r="K100" s="77" t="s">
        <v>112</v>
      </c>
      <c r="L100" s="77">
        <v>3</v>
      </c>
      <c r="N100" s="77">
        <v>1</v>
      </c>
      <c r="O100" s="77">
        <v>0.42</v>
      </c>
      <c r="P100" s="77">
        <v>0.38</v>
      </c>
      <c r="Q100" s="16">
        <f t="shared" si="5"/>
        <v>0.4</v>
      </c>
      <c r="R100" s="77">
        <v>17.600000000000001</v>
      </c>
      <c r="S100" s="77">
        <v>124</v>
      </c>
      <c r="T100" s="16">
        <f t="shared" si="7"/>
        <v>27</v>
      </c>
      <c r="U100" s="77">
        <v>128</v>
      </c>
      <c r="V100" s="16">
        <f t="shared" si="4"/>
        <v>27</v>
      </c>
      <c r="W100" s="77">
        <v>1</v>
      </c>
      <c r="X100" s="77" t="s">
        <v>28</v>
      </c>
      <c r="Y100" s="77" t="s">
        <v>55</v>
      </c>
      <c r="Z100" s="77" t="s">
        <v>36</v>
      </c>
      <c r="AA100" s="77" t="s">
        <v>47</v>
      </c>
      <c r="AB100" s="77" t="s">
        <v>161</v>
      </c>
    </row>
    <row r="101" spans="1:28" x14ac:dyDescent="0.15">
      <c r="A101" s="77" t="s">
        <v>46</v>
      </c>
      <c r="B101" s="77" t="s">
        <v>160</v>
      </c>
      <c r="C101" s="160">
        <v>2020</v>
      </c>
      <c r="D101" s="161" t="s">
        <v>162</v>
      </c>
      <c r="E101" s="77" t="s">
        <v>291</v>
      </c>
      <c r="F101" s="77" t="s">
        <v>292</v>
      </c>
      <c r="G101" s="77" t="s">
        <v>31</v>
      </c>
      <c r="H101" s="77" t="s">
        <v>113</v>
      </c>
      <c r="I101" s="77" t="s">
        <v>111</v>
      </c>
      <c r="J101" s="77" t="s">
        <v>27</v>
      </c>
      <c r="K101" s="77" t="s">
        <v>112</v>
      </c>
      <c r="L101" s="77">
        <v>1</v>
      </c>
      <c r="N101" s="77">
        <v>1</v>
      </c>
      <c r="O101" s="77">
        <v>0.81</v>
      </c>
      <c r="P101" s="77">
        <v>0.82</v>
      </c>
      <c r="Q101" s="16">
        <f t="shared" si="5"/>
        <v>0.81499999999999995</v>
      </c>
      <c r="R101" s="77">
        <v>13.5</v>
      </c>
      <c r="S101" s="77">
        <v>127</v>
      </c>
      <c r="T101" s="16">
        <f t="shared" si="7"/>
        <v>27</v>
      </c>
      <c r="U101" s="77">
        <v>98</v>
      </c>
      <c r="V101" s="16">
        <f t="shared" si="4"/>
        <v>36</v>
      </c>
      <c r="W101" s="77">
        <v>1</v>
      </c>
      <c r="X101" s="77" t="s">
        <v>28</v>
      </c>
      <c r="Y101" s="77" t="s">
        <v>55</v>
      </c>
      <c r="Z101" s="77" t="s">
        <v>36</v>
      </c>
      <c r="AA101" s="77" t="s">
        <v>47</v>
      </c>
      <c r="AB101" s="77" t="s">
        <v>161</v>
      </c>
    </row>
    <row r="102" spans="1:28" x14ac:dyDescent="0.15">
      <c r="A102" s="77" t="s">
        <v>46</v>
      </c>
      <c r="B102" s="77" t="s">
        <v>160</v>
      </c>
      <c r="C102" s="160">
        <v>2020</v>
      </c>
      <c r="D102" s="161" t="s">
        <v>162</v>
      </c>
      <c r="E102" s="77" t="s">
        <v>291</v>
      </c>
      <c r="F102" s="77" t="s">
        <v>292</v>
      </c>
      <c r="G102" s="77" t="s">
        <v>31</v>
      </c>
      <c r="H102" s="77" t="s">
        <v>113</v>
      </c>
      <c r="I102" s="77" t="s">
        <v>111</v>
      </c>
      <c r="J102" s="77" t="s">
        <v>27</v>
      </c>
      <c r="K102" s="77" t="s">
        <v>112</v>
      </c>
      <c r="L102" s="77">
        <v>2</v>
      </c>
      <c r="N102" s="77">
        <v>1</v>
      </c>
      <c r="O102" s="77">
        <v>0.68</v>
      </c>
      <c r="P102" s="77">
        <v>0.74</v>
      </c>
      <c r="Q102" s="16">
        <f t="shared" si="5"/>
        <v>0.71</v>
      </c>
      <c r="R102" s="77">
        <v>13.2</v>
      </c>
      <c r="S102" s="77">
        <v>130</v>
      </c>
      <c r="T102" s="16">
        <f t="shared" si="7"/>
        <v>25</v>
      </c>
      <c r="U102" s="77">
        <v>98</v>
      </c>
      <c r="V102" s="16">
        <f t="shared" si="4"/>
        <v>36</v>
      </c>
      <c r="W102" s="77">
        <v>1</v>
      </c>
      <c r="X102" s="77" t="s">
        <v>28</v>
      </c>
      <c r="Y102" s="77" t="s">
        <v>55</v>
      </c>
      <c r="Z102" s="77" t="s">
        <v>36</v>
      </c>
      <c r="AA102" s="77" t="s">
        <v>47</v>
      </c>
      <c r="AB102" s="77" t="s">
        <v>161</v>
      </c>
    </row>
    <row r="103" spans="1:28" x14ac:dyDescent="0.15">
      <c r="A103" s="77" t="s">
        <v>46</v>
      </c>
      <c r="B103" s="77" t="s">
        <v>160</v>
      </c>
      <c r="C103" s="160">
        <v>2020</v>
      </c>
      <c r="D103" s="161" t="s">
        <v>162</v>
      </c>
      <c r="E103" s="77" t="s">
        <v>291</v>
      </c>
      <c r="F103" s="77" t="s">
        <v>292</v>
      </c>
      <c r="G103" s="77" t="s">
        <v>31</v>
      </c>
      <c r="H103" s="77" t="s">
        <v>113</v>
      </c>
      <c r="I103" s="77" t="s">
        <v>111</v>
      </c>
      <c r="J103" s="77" t="s">
        <v>27</v>
      </c>
      <c r="K103" s="77" t="s">
        <v>112</v>
      </c>
      <c r="L103" s="77">
        <v>3</v>
      </c>
      <c r="N103" s="77">
        <v>1</v>
      </c>
      <c r="O103" s="77">
        <v>0.77</v>
      </c>
      <c r="P103" s="77">
        <v>0.82</v>
      </c>
      <c r="Q103" s="16">
        <f t="shared" si="5"/>
        <v>0.79499999999999993</v>
      </c>
      <c r="R103" s="77">
        <v>13.3</v>
      </c>
      <c r="S103" s="77">
        <v>135</v>
      </c>
      <c r="T103" s="16">
        <f t="shared" si="7"/>
        <v>25</v>
      </c>
      <c r="U103" s="77">
        <v>98</v>
      </c>
      <c r="V103" s="16">
        <f t="shared" si="4"/>
        <v>36</v>
      </c>
      <c r="W103" s="77">
        <v>1</v>
      </c>
      <c r="X103" s="77" t="s">
        <v>28</v>
      </c>
      <c r="Y103" s="77" t="s">
        <v>55</v>
      </c>
      <c r="Z103" s="77" t="s">
        <v>36</v>
      </c>
      <c r="AA103" s="77" t="s">
        <v>47</v>
      </c>
      <c r="AB103" s="77" t="s">
        <v>161</v>
      </c>
    </row>
    <row r="104" spans="1:28" x14ac:dyDescent="0.15">
      <c r="A104" s="77" t="s">
        <v>46</v>
      </c>
      <c r="B104" s="77" t="s">
        <v>160</v>
      </c>
      <c r="C104" s="160">
        <v>2020</v>
      </c>
      <c r="D104" s="161" t="s">
        <v>162</v>
      </c>
      <c r="E104" s="77" t="s">
        <v>310</v>
      </c>
      <c r="F104" s="77" t="s">
        <v>311</v>
      </c>
      <c r="G104" s="77" t="s">
        <v>31</v>
      </c>
      <c r="H104" s="77" t="s">
        <v>164</v>
      </c>
      <c r="I104" s="77" t="s">
        <v>111</v>
      </c>
      <c r="J104" s="77" t="s">
        <v>27</v>
      </c>
      <c r="K104" s="77" t="s">
        <v>112</v>
      </c>
      <c r="L104" s="77">
        <v>1</v>
      </c>
      <c r="N104" s="77">
        <v>4</v>
      </c>
      <c r="O104" s="77">
        <v>0.42</v>
      </c>
      <c r="P104" s="77">
        <v>0.3</v>
      </c>
      <c r="Q104" s="16">
        <f t="shared" si="5"/>
        <v>0.36</v>
      </c>
      <c r="R104" s="77">
        <v>17.600000000000001</v>
      </c>
      <c r="S104" s="77">
        <v>104</v>
      </c>
      <c r="T104" s="16">
        <f t="shared" si="7"/>
        <v>33</v>
      </c>
      <c r="U104" s="77">
        <v>480</v>
      </c>
      <c r="V104" s="16">
        <f t="shared" si="4"/>
        <v>16</v>
      </c>
      <c r="W104" s="77">
        <v>4</v>
      </c>
      <c r="X104" s="77" t="s">
        <v>35</v>
      </c>
      <c r="Y104" s="77" t="s">
        <v>43</v>
      </c>
      <c r="Z104" s="77" t="s">
        <v>82</v>
      </c>
      <c r="AA104" s="77" t="s">
        <v>72</v>
      </c>
      <c r="AB104" s="77" t="s">
        <v>161</v>
      </c>
    </row>
    <row r="105" spans="1:28" x14ac:dyDescent="0.15">
      <c r="A105" s="77" t="s">
        <v>46</v>
      </c>
      <c r="B105" s="77" t="s">
        <v>160</v>
      </c>
      <c r="C105" s="160">
        <v>2020</v>
      </c>
      <c r="D105" s="161" t="s">
        <v>162</v>
      </c>
      <c r="E105" s="77" t="s">
        <v>310</v>
      </c>
      <c r="F105" s="77" t="s">
        <v>311</v>
      </c>
      <c r="G105" s="77" t="s">
        <v>31</v>
      </c>
      <c r="H105" s="77" t="s">
        <v>164</v>
      </c>
      <c r="I105" s="77" t="s">
        <v>111</v>
      </c>
      <c r="J105" s="77" t="s">
        <v>27</v>
      </c>
      <c r="K105" s="77" t="s">
        <v>112</v>
      </c>
      <c r="L105" s="77">
        <v>2</v>
      </c>
      <c r="N105" s="77">
        <v>4</v>
      </c>
      <c r="O105" s="77">
        <v>0.35</v>
      </c>
      <c r="P105" s="77">
        <v>0.35</v>
      </c>
      <c r="Q105" s="16">
        <f t="shared" si="5"/>
        <v>0.35</v>
      </c>
      <c r="R105" s="77">
        <v>17.5</v>
      </c>
      <c r="S105" s="77">
        <v>107</v>
      </c>
      <c r="T105" s="16">
        <f t="shared" si="7"/>
        <v>33</v>
      </c>
      <c r="U105" s="77">
        <v>480</v>
      </c>
      <c r="V105" s="16">
        <f t="shared" si="4"/>
        <v>16</v>
      </c>
      <c r="W105" s="77">
        <v>4</v>
      </c>
      <c r="X105" s="77" t="s">
        <v>35</v>
      </c>
      <c r="Y105" s="77" t="s">
        <v>43</v>
      </c>
      <c r="Z105" s="77" t="s">
        <v>82</v>
      </c>
      <c r="AA105" s="77" t="s">
        <v>72</v>
      </c>
      <c r="AB105" s="77" t="s">
        <v>161</v>
      </c>
    </row>
    <row r="106" spans="1:28" x14ac:dyDescent="0.15">
      <c r="A106" s="77" t="s">
        <v>46</v>
      </c>
      <c r="B106" s="77" t="s">
        <v>160</v>
      </c>
      <c r="C106" s="160">
        <v>2020</v>
      </c>
      <c r="D106" s="161" t="s">
        <v>162</v>
      </c>
      <c r="E106" s="77" t="s">
        <v>310</v>
      </c>
      <c r="F106" s="77" t="s">
        <v>311</v>
      </c>
      <c r="G106" s="77" t="s">
        <v>31</v>
      </c>
      <c r="H106" s="77" t="s">
        <v>164</v>
      </c>
      <c r="I106" s="77" t="s">
        <v>111</v>
      </c>
      <c r="J106" s="77" t="s">
        <v>27</v>
      </c>
      <c r="K106" s="77" t="s">
        <v>112</v>
      </c>
      <c r="L106" s="77">
        <v>3</v>
      </c>
      <c r="N106" s="77">
        <v>4</v>
      </c>
      <c r="O106" s="77">
        <v>0.36</v>
      </c>
      <c r="P106" s="77">
        <v>0.36</v>
      </c>
      <c r="Q106" s="16">
        <f t="shared" si="5"/>
        <v>0.36</v>
      </c>
      <c r="R106" s="77">
        <v>17.399999999999999</v>
      </c>
      <c r="S106" s="77">
        <v>105</v>
      </c>
      <c r="T106" s="16">
        <f t="shared" si="7"/>
        <v>33</v>
      </c>
      <c r="U106" s="77">
        <v>480</v>
      </c>
      <c r="V106" s="16">
        <f t="shared" si="4"/>
        <v>16</v>
      </c>
      <c r="W106" s="77">
        <v>4</v>
      </c>
      <c r="X106" s="77" t="s">
        <v>35</v>
      </c>
      <c r="Y106" s="77" t="s">
        <v>43</v>
      </c>
      <c r="Z106" s="77" t="s">
        <v>82</v>
      </c>
      <c r="AA106" s="77" t="s">
        <v>72</v>
      </c>
      <c r="AB106" s="77" t="s">
        <v>161</v>
      </c>
    </row>
    <row r="107" spans="1:28" x14ac:dyDescent="0.15">
      <c r="A107" s="77" t="s">
        <v>46</v>
      </c>
      <c r="B107" s="77" t="s">
        <v>160</v>
      </c>
      <c r="C107" s="160">
        <v>2020</v>
      </c>
      <c r="D107" s="161" t="s">
        <v>162</v>
      </c>
      <c r="E107" s="77" t="s">
        <v>310</v>
      </c>
      <c r="F107" s="77" t="s">
        <v>311</v>
      </c>
      <c r="G107" s="77" t="s">
        <v>31</v>
      </c>
      <c r="H107" s="77" t="s">
        <v>164</v>
      </c>
      <c r="I107" s="77" t="s">
        <v>111</v>
      </c>
      <c r="J107" s="77" t="s">
        <v>27</v>
      </c>
      <c r="K107" s="77" t="s">
        <v>112</v>
      </c>
      <c r="L107" s="77">
        <v>1</v>
      </c>
      <c r="N107" s="77">
        <v>1</v>
      </c>
      <c r="O107" s="77">
        <v>0.39</v>
      </c>
      <c r="P107" s="77">
        <v>0.31</v>
      </c>
      <c r="Q107" s="16">
        <f t="shared" si="5"/>
        <v>0.35</v>
      </c>
      <c r="R107" s="77">
        <v>17.5</v>
      </c>
      <c r="S107" s="77">
        <v>134</v>
      </c>
      <c r="T107" s="16">
        <f t="shared" si="7"/>
        <v>25</v>
      </c>
      <c r="U107" s="77">
        <v>138</v>
      </c>
      <c r="V107" s="16">
        <f t="shared" si="4"/>
        <v>22</v>
      </c>
      <c r="W107" s="77">
        <v>4</v>
      </c>
      <c r="X107" s="77" t="s">
        <v>35</v>
      </c>
      <c r="Y107" s="77" t="s">
        <v>43</v>
      </c>
      <c r="Z107" s="77" t="s">
        <v>82</v>
      </c>
      <c r="AA107" s="77" t="s">
        <v>72</v>
      </c>
      <c r="AB107" s="77" t="s">
        <v>161</v>
      </c>
    </row>
    <row r="108" spans="1:28" x14ac:dyDescent="0.15">
      <c r="A108" s="77" t="s">
        <v>46</v>
      </c>
      <c r="B108" s="77" t="s">
        <v>160</v>
      </c>
      <c r="C108" s="160">
        <v>2020</v>
      </c>
      <c r="D108" s="161" t="s">
        <v>162</v>
      </c>
      <c r="E108" s="77" t="s">
        <v>310</v>
      </c>
      <c r="F108" s="77" t="s">
        <v>311</v>
      </c>
      <c r="G108" s="77" t="s">
        <v>31</v>
      </c>
      <c r="H108" s="77" t="s">
        <v>164</v>
      </c>
      <c r="I108" s="77" t="s">
        <v>111</v>
      </c>
      <c r="J108" s="77" t="s">
        <v>27</v>
      </c>
      <c r="K108" s="77" t="s">
        <v>112</v>
      </c>
      <c r="L108" s="77">
        <v>2</v>
      </c>
      <c r="N108" s="77">
        <v>1</v>
      </c>
      <c r="O108" s="77">
        <v>0.32</v>
      </c>
      <c r="P108" s="77">
        <v>0.32</v>
      </c>
      <c r="Q108" s="16">
        <f t="shared" si="5"/>
        <v>0.32</v>
      </c>
      <c r="R108" s="77">
        <v>16</v>
      </c>
      <c r="S108" s="77">
        <v>136</v>
      </c>
      <c r="T108" s="16">
        <f t="shared" si="7"/>
        <v>25</v>
      </c>
      <c r="U108" s="77">
        <v>138</v>
      </c>
      <c r="V108" s="16">
        <f t="shared" si="4"/>
        <v>22</v>
      </c>
      <c r="W108" s="77">
        <v>4</v>
      </c>
      <c r="X108" s="77" t="s">
        <v>35</v>
      </c>
      <c r="Y108" s="77" t="s">
        <v>43</v>
      </c>
      <c r="Z108" s="77" t="s">
        <v>82</v>
      </c>
      <c r="AA108" s="77" t="s">
        <v>72</v>
      </c>
      <c r="AB108" s="77" t="s">
        <v>161</v>
      </c>
    </row>
    <row r="109" spans="1:28" x14ac:dyDescent="0.15">
      <c r="A109" s="77" t="s">
        <v>46</v>
      </c>
      <c r="B109" s="77" t="s">
        <v>160</v>
      </c>
      <c r="C109" s="160">
        <v>2020</v>
      </c>
      <c r="D109" s="161" t="s">
        <v>162</v>
      </c>
      <c r="E109" s="77" t="s">
        <v>310</v>
      </c>
      <c r="F109" s="77" t="s">
        <v>311</v>
      </c>
      <c r="G109" s="77" t="s">
        <v>31</v>
      </c>
      <c r="H109" s="77" t="s">
        <v>164</v>
      </c>
      <c r="I109" s="77" t="s">
        <v>111</v>
      </c>
      <c r="J109" s="77" t="s">
        <v>27</v>
      </c>
      <c r="K109" s="77" t="s">
        <v>112</v>
      </c>
      <c r="L109" s="77">
        <v>3</v>
      </c>
      <c r="N109" s="77">
        <v>1</v>
      </c>
      <c r="O109" s="77">
        <v>0.38</v>
      </c>
      <c r="P109" s="77">
        <v>0.35</v>
      </c>
      <c r="Q109" s="16">
        <f t="shared" si="5"/>
        <v>0.36499999999999999</v>
      </c>
      <c r="R109" s="77">
        <v>16.8</v>
      </c>
      <c r="S109" s="77">
        <v>135</v>
      </c>
      <c r="T109" s="16">
        <f t="shared" si="7"/>
        <v>25</v>
      </c>
      <c r="U109" s="77">
        <v>138</v>
      </c>
      <c r="V109" s="16">
        <f t="shared" si="4"/>
        <v>22</v>
      </c>
      <c r="W109" s="77">
        <v>4</v>
      </c>
      <c r="X109" s="77" t="s">
        <v>35</v>
      </c>
      <c r="Y109" s="77" t="s">
        <v>43</v>
      </c>
      <c r="Z109" s="77" t="s">
        <v>82</v>
      </c>
      <c r="AA109" s="77" t="s">
        <v>72</v>
      </c>
      <c r="AB109" s="77" t="s">
        <v>161</v>
      </c>
    </row>
    <row r="110" spans="1:28" x14ac:dyDescent="0.15">
      <c r="A110" s="77" t="s">
        <v>46</v>
      </c>
      <c r="B110" s="77" t="s">
        <v>160</v>
      </c>
      <c r="C110" s="160">
        <v>2020</v>
      </c>
      <c r="D110" s="161" t="s">
        <v>162</v>
      </c>
      <c r="E110" s="77" t="s">
        <v>310</v>
      </c>
      <c r="F110" s="77" t="s">
        <v>311</v>
      </c>
      <c r="G110" s="77" t="s">
        <v>31</v>
      </c>
      <c r="H110" s="77" t="s">
        <v>113</v>
      </c>
      <c r="I110" s="77" t="s">
        <v>111</v>
      </c>
      <c r="J110" s="77" t="s">
        <v>27</v>
      </c>
      <c r="K110" s="77" t="s">
        <v>112</v>
      </c>
      <c r="L110" s="77">
        <v>1</v>
      </c>
      <c r="N110" s="77">
        <v>4</v>
      </c>
      <c r="O110" s="77">
        <v>0.41</v>
      </c>
      <c r="P110" s="77">
        <v>0.37</v>
      </c>
      <c r="Q110" s="16">
        <f t="shared" si="5"/>
        <v>0.39</v>
      </c>
      <c r="R110" s="77">
        <v>15.7</v>
      </c>
      <c r="S110" s="77">
        <v>103</v>
      </c>
      <c r="T110" s="16">
        <f t="shared" si="7"/>
        <v>33</v>
      </c>
      <c r="U110" s="77">
        <v>398</v>
      </c>
      <c r="V110" s="16">
        <f t="shared" si="4"/>
        <v>16</v>
      </c>
      <c r="W110" s="77">
        <v>2</v>
      </c>
      <c r="X110" s="77" t="s">
        <v>35</v>
      </c>
      <c r="Y110" s="77" t="s">
        <v>43</v>
      </c>
      <c r="Z110" s="77" t="s">
        <v>82</v>
      </c>
      <c r="AA110" s="77" t="s">
        <v>72</v>
      </c>
      <c r="AB110" s="77" t="s">
        <v>161</v>
      </c>
    </row>
    <row r="111" spans="1:28" x14ac:dyDescent="0.15">
      <c r="A111" s="77" t="s">
        <v>46</v>
      </c>
      <c r="B111" s="77" t="s">
        <v>160</v>
      </c>
      <c r="C111" s="160">
        <v>2020</v>
      </c>
      <c r="D111" s="161" t="s">
        <v>162</v>
      </c>
      <c r="E111" s="77" t="s">
        <v>310</v>
      </c>
      <c r="F111" s="77" t="s">
        <v>311</v>
      </c>
      <c r="G111" s="77" t="s">
        <v>31</v>
      </c>
      <c r="H111" s="77" t="s">
        <v>113</v>
      </c>
      <c r="I111" s="77" t="s">
        <v>111</v>
      </c>
      <c r="J111" s="77" t="s">
        <v>27</v>
      </c>
      <c r="K111" s="77" t="s">
        <v>112</v>
      </c>
      <c r="L111" s="77">
        <v>2</v>
      </c>
      <c r="N111" s="77">
        <v>4</v>
      </c>
      <c r="O111" s="77">
        <v>0.56000000000000005</v>
      </c>
      <c r="P111" s="77">
        <v>0.59</v>
      </c>
      <c r="Q111" s="16">
        <f t="shared" si="5"/>
        <v>0.57499999999999996</v>
      </c>
      <c r="R111" s="77">
        <v>15.1</v>
      </c>
      <c r="S111" s="77">
        <v>95</v>
      </c>
      <c r="T111" s="16">
        <f t="shared" si="7"/>
        <v>36</v>
      </c>
      <c r="U111" s="77">
        <v>398</v>
      </c>
      <c r="V111" s="16">
        <f t="shared" si="4"/>
        <v>16</v>
      </c>
      <c r="W111" s="77">
        <v>2</v>
      </c>
      <c r="X111" s="77" t="s">
        <v>35</v>
      </c>
      <c r="Y111" s="77" t="s">
        <v>43</v>
      </c>
      <c r="Z111" s="77" t="s">
        <v>82</v>
      </c>
      <c r="AA111" s="77" t="s">
        <v>72</v>
      </c>
      <c r="AB111" s="77" t="s">
        <v>161</v>
      </c>
    </row>
    <row r="112" spans="1:28" x14ac:dyDescent="0.15">
      <c r="A112" s="77" t="s">
        <v>46</v>
      </c>
      <c r="B112" s="77" t="s">
        <v>160</v>
      </c>
      <c r="C112" s="160">
        <v>2020</v>
      </c>
      <c r="D112" s="161" t="s">
        <v>162</v>
      </c>
      <c r="E112" s="77" t="s">
        <v>310</v>
      </c>
      <c r="F112" s="77" t="s">
        <v>311</v>
      </c>
      <c r="G112" s="77" t="s">
        <v>31</v>
      </c>
      <c r="H112" s="77" t="s">
        <v>113</v>
      </c>
      <c r="I112" s="77" t="s">
        <v>111</v>
      </c>
      <c r="J112" s="77" t="s">
        <v>27</v>
      </c>
      <c r="K112" s="77" t="s">
        <v>112</v>
      </c>
      <c r="L112" s="77">
        <v>3</v>
      </c>
      <c r="N112" s="77">
        <v>4</v>
      </c>
      <c r="O112" s="77">
        <v>0.46</v>
      </c>
      <c r="P112" s="77">
        <v>0.48</v>
      </c>
      <c r="Q112" s="16">
        <f t="shared" si="5"/>
        <v>0.47</v>
      </c>
      <c r="R112" s="77">
        <v>15.2</v>
      </c>
      <c r="S112" s="77">
        <v>98</v>
      </c>
      <c r="T112" s="16">
        <f t="shared" si="7"/>
        <v>36</v>
      </c>
      <c r="U112" s="77">
        <v>398</v>
      </c>
      <c r="V112" s="16">
        <f t="shared" si="4"/>
        <v>16</v>
      </c>
      <c r="W112" s="77">
        <v>2</v>
      </c>
      <c r="X112" s="77" t="s">
        <v>35</v>
      </c>
      <c r="Y112" s="77" t="s">
        <v>43</v>
      </c>
      <c r="Z112" s="77" t="s">
        <v>82</v>
      </c>
      <c r="AA112" s="77" t="s">
        <v>72</v>
      </c>
      <c r="AB112" s="77" t="s">
        <v>161</v>
      </c>
    </row>
    <row r="113" spans="1:28" x14ac:dyDescent="0.15">
      <c r="A113" s="77" t="s">
        <v>46</v>
      </c>
      <c r="B113" s="77" t="s">
        <v>160</v>
      </c>
      <c r="C113" s="160">
        <v>2020</v>
      </c>
      <c r="D113" s="161" t="s">
        <v>162</v>
      </c>
      <c r="E113" s="77" t="s">
        <v>310</v>
      </c>
      <c r="F113" s="77" t="s">
        <v>311</v>
      </c>
      <c r="G113" s="77" t="s">
        <v>31</v>
      </c>
      <c r="H113" s="77" t="s">
        <v>113</v>
      </c>
      <c r="I113" s="77" t="s">
        <v>111</v>
      </c>
      <c r="J113" s="77" t="s">
        <v>27</v>
      </c>
      <c r="K113" s="77" t="s">
        <v>112</v>
      </c>
      <c r="L113" s="77">
        <v>1</v>
      </c>
      <c r="N113" s="77">
        <v>1</v>
      </c>
      <c r="O113" s="77">
        <v>0.57999999999999996</v>
      </c>
      <c r="P113" s="77">
        <v>0.63</v>
      </c>
      <c r="Q113" s="16">
        <f t="shared" si="5"/>
        <v>0.60499999999999998</v>
      </c>
      <c r="R113" s="77">
        <v>15.2</v>
      </c>
      <c r="S113" s="77">
        <v>137</v>
      </c>
      <c r="T113" s="16">
        <f t="shared" si="7"/>
        <v>25</v>
      </c>
      <c r="U113" s="77">
        <v>108</v>
      </c>
      <c r="V113" s="16">
        <f t="shared" si="4"/>
        <v>33</v>
      </c>
      <c r="W113" s="77">
        <v>3</v>
      </c>
      <c r="X113" s="77" t="s">
        <v>35</v>
      </c>
      <c r="Y113" s="77" t="s">
        <v>43</v>
      </c>
      <c r="Z113" s="77" t="s">
        <v>82</v>
      </c>
      <c r="AA113" s="77" t="s">
        <v>72</v>
      </c>
      <c r="AB113" s="77" t="s">
        <v>161</v>
      </c>
    </row>
    <row r="114" spans="1:28" x14ac:dyDescent="0.15">
      <c r="A114" s="77" t="s">
        <v>46</v>
      </c>
      <c r="B114" s="77" t="s">
        <v>160</v>
      </c>
      <c r="C114" s="160">
        <v>2020</v>
      </c>
      <c r="D114" s="161" t="s">
        <v>162</v>
      </c>
      <c r="E114" s="77" t="s">
        <v>310</v>
      </c>
      <c r="F114" s="77" t="s">
        <v>311</v>
      </c>
      <c r="G114" s="77" t="s">
        <v>31</v>
      </c>
      <c r="H114" s="77" t="s">
        <v>113</v>
      </c>
      <c r="I114" s="77" t="s">
        <v>111</v>
      </c>
      <c r="J114" s="77" t="s">
        <v>27</v>
      </c>
      <c r="K114" s="77" t="s">
        <v>112</v>
      </c>
      <c r="L114" s="77">
        <v>2</v>
      </c>
      <c r="N114" s="77">
        <v>1</v>
      </c>
      <c r="O114" s="77">
        <v>0.65</v>
      </c>
      <c r="P114" s="77">
        <v>0.72</v>
      </c>
      <c r="Q114" s="16">
        <f t="shared" si="5"/>
        <v>0.68500000000000005</v>
      </c>
      <c r="R114" s="77">
        <v>14.3</v>
      </c>
      <c r="S114" s="77">
        <v>140</v>
      </c>
      <c r="T114" s="16">
        <f t="shared" si="7"/>
        <v>22</v>
      </c>
      <c r="U114" s="77">
        <v>108</v>
      </c>
      <c r="V114" s="16">
        <f t="shared" si="4"/>
        <v>33</v>
      </c>
      <c r="W114" s="77">
        <v>3</v>
      </c>
      <c r="X114" s="77" t="s">
        <v>35</v>
      </c>
      <c r="Y114" s="77" t="s">
        <v>43</v>
      </c>
      <c r="Z114" s="77" t="s">
        <v>82</v>
      </c>
      <c r="AA114" s="77" t="s">
        <v>72</v>
      </c>
      <c r="AB114" s="77" t="s">
        <v>161</v>
      </c>
    </row>
    <row r="115" spans="1:28" x14ac:dyDescent="0.15">
      <c r="A115" s="77" t="s">
        <v>46</v>
      </c>
      <c r="B115" s="77" t="s">
        <v>160</v>
      </c>
      <c r="C115" s="160">
        <v>2020</v>
      </c>
      <c r="D115" s="161" t="s">
        <v>162</v>
      </c>
      <c r="E115" s="77" t="s">
        <v>310</v>
      </c>
      <c r="F115" s="77" t="s">
        <v>311</v>
      </c>
      <c r="G115" s="77" t="s">
        <v>31</v>
      </c>
      <c r="H115" s="77" t="s">
        <v>113</v>
      </c>
      <c r="I115" s="77" t="s">
        <v>111</v>
      </c>
      <c r="J115" s="77" t="s">
        <v>27</v>
      </c>
      <c r="K115" s="77" t="s">
        <v>112</v>
      </c>
      <c r="L115" s="77">
        <v>3</v>
      </c>
      <c r="N115" s="77">
        <v>1</v>
      </c>
      <c r="O115" s="77">
        <v>0.62</v>
      </c>
      <c r="P115" s="77">
        <v>0.59</v>
      </c>
      <c r="Q115" s="16">
        <f t="shared" si="5"/>
        <v>0.60499999999999998</v>
      </c>
      <c r="R115" s="77">
        <v>15.3</v>
      </c>
      <c r="S115" s="77">
        <v>136</v>
      </c>
      <c r="T115" s="16">
        <f t="shared" si="7"/>
        <v>25</v>
      </c>
      <c r="U115" s="77">
        <v>108</v>
      </c>
      <c r="V115" s="16">
        <f t="shared" si="4"/>
        <v>33</v>
      </c>
      <c r="W115" s="77">
        <v>3</v>
      </c>
      <c r="X115" s="77" t="s">
        <v>35</v>
      </c>
      <c r="Y115" s="77" t="s">
        <v>43</v>
      </c>
      <c r="Z115" s="77" t="s">
        <v>82</v>
      </c>
      <c r="AA115" s="77" t="s">
        <v>72</v>
      </c>
      <c r="AB115" s="77" t="s">
        <v>161</v>
      </c>
    </row>
    <row r="116" spans="1:28" x14ac:dyDescent="0.15">
      <c r="A116" s="77" t="s">
        <v>46</v>
      </c>
      <c r="B116" s="77" t="s">
        <v>160</v>
      </c>
      <c r="C116" s="160">
        <v>2020</v>
      </c>
      <c r="D116" s="161" t="s">
        <v>162</v>
      </c>
      <c r="E116" s="77" t="s">
        <v>299</v>
      </c>
      <c r="F116" s="77" t="s">
        <v>300</v>
      </c>
      <c r="G116" s="77" t="s">
        <v>25</v>
      </c>
      <c r="H116" s="77" t="s">
        <v>164</v>
      </c>
      <c r="I116" s="77" t="s">
        <v>111</v>
      </c>
      <c r="J116" s="77" t="s">
        <v>27</v>
      </c>
      <c r="K116" s="77" t="s">
        <v>112</v>
      </c>
      <c r="L116" s="77">
        <v>1</v>
      </c>
      <c r="N116" s="77">
        <v>8</v>
      </c>
      <c r="O116" s="77">
        <v>0.28999999999999998</v>
      </c>
      <c r="P116" s="77">
        <v>0.26</v>
      </c>
      <c r="Q116" s="16">
        <f t="shared" si="5"/>
        <v>0.27500000000000002</v>
      </c>
      <c r="R116" s="77">
        <v>17.600000000000001</v>
      </c>
      <c r="S116" s="77">
        <v>84</v>
      </c>
      <c r="T116" s="16">
        <f t="shared" si="7"/>
        <v>36</v>
      </c>
      <c r="U116" s="77">
        <v>880</v>
      </c>
      <c r="V116" s="16">
        <f t="shared" si="4"/>
        <v>16</v>
      </c>
      <c r="W116" s="77">
        <v>2</v>
      </c>
      <c r="X116" s="77" t="s">
        <v>35</v>
      </c>
      <c r="Y116" s="77" t="s">
        <v>55</v>
      </c>
      <c r="Z116" s="77" t="s">
        <v>72</v>
      </c>
      <c r="AA116" s="77" t="s">
        <v>43</v>
      </c>
      <c r="AB116" s="77" t="s">
        <v>161</v>
      </c>
    </row>
    <row r="117" spans="1:28" x14ac:dyDescent="0.15">
      <c r="A117" s="77" t="s">
        <v>46</v>
      </c>
      <c r="B117" s="77" t="s">
        <v>160</v>
      </c>
      <c r="C117" s="160">
        <v>2020</v>
      </c>
      <c r="D117" s="161" t="s">
        <v>162</v>
      </c>
      <c r="E117" s="77" t="s">
        <v>299</v>
      </c>
      <c r="F117" s="77" t="s">
        <v>300</v>
      </c>
      <c r="G117" s="77" t="s">
        <v>25</v>
      </c>
      <c r="H117" s="77" t="s">
        <v>164</v>
      </c>
      <c r="I117" s="77" t="s">
        <v>111</v>
      </c>
      <c r="J117" s="77" t="s">
        <v>27</v>
      </c>
      <c r="K117" s="77" t="s">
        <v>112</v>
      </c>
      <c r="L117" s="77">
        <v>2</v>
      </c>
      <c r="N117" s="77">
        <v>8</v>
      </c>
      <c r="O117" s="77">
        <v>0.36</v>
      </c>
      <c r="P117" s="77">
        <v>0.31</v>
      </c>
      <c r="Q117" s="16">
        <f t="shared" si="5"/>
        <v>0.33499999999999996</v>
      </c>
      <c r="R117" s="77">
        <v>16.7</v>
      </c>
      <c r="S117" s="77">
        <v>80</v>
      </c>
      <c r="T117" s="16">
        <f t="shared" si="7"/>
        <v>39</v>
      </c>
      <c r="U117" s="77">
        <v>880</v>
      </c>
      <c r="V117" s="16">
        <f t="shared" si="4"/>
        <v>16</v>
      </c>
      <c r="W117" s="77">
        <v>2</v>
      </c>
      <c r="X117" s="77" t="s">
        <v>35</v>
      </c>
      <c r="Y117" s="77" t="s">
        <v>55</v>
      </c>
      <c r="Z117" s="77" t="s">
        <v>72</v>
      </c>
      <c r="AA117" s="77" t="s">
        <v>43</v>
      </c>
      <c r="AB117" s="77" t="s">
        <v>161</v>
      </c>
    </row>
    <row r="118" spans="1:28" x14ac:dyDescent="0.15">
      <c r="A118" s="77" t="s">
        <v>46</v>
      </c>
      <c r="B118" s="77" t="s">
        <v>160</v>
      </c>
      <c r="C118" s="160">
        <v>2020</v>
      </c>
      <c r="D118" s="161" t="s">
        <v>162</v>
      </c>
      <c r="E118" s="77" t="s">
        <v>299</v>
      </c>
      <c r="F118" s="77" t="s">
        <v>300</v>
      </c>
      <c r="G118" s="77" t="s">
        <v>25</v>
      </c>
      <c r="H118" s="77" t="s">
        <v>164</v>
      </c>
      <c r="I118" s="77" t="s">
        <v>111</v>
      </c>
      <c r="J118" s="77" t="s">
        <v>27</v>
      </c>
      <c r="K118" s="77" t="s">
        <v>112</v>
      </c>
      <c r="L118" s="77">
        <v>3</v>
      </c>
      <c r="N118" s="77">
        <v>8</v>
      </c>
      <c r="O118" s="77">
        <v>0.35</v>
      </c>
      <c r="P118" s="77">
        <v>0.33</v>
      </c>
      <c r="Q118" s="16">
        <f t="shared" si="5"/>
        <v>0.33999999999999997</v>
      </c>
      <c r="R118" s="77">
        <v>16.5</v>
      </c>
      <c r="S118" s="77">
        <v>84</v>
      </c>
      <c r="T118" s="16">
        <f t="shared" si="7"/>
        <v>36</v>
      </c>
      <c r="U118" s="77">
        <v>880</v>
      </c>
      <c r="V118" s="16">
        <f t="shared" si="4"/>
        <v>16</v>
      </c>
      <c r="W118" s="77">
        <v>2</v>
      </c>
      <c r="X118" s="77" t="s">
        <v>35</v>
      </c>
      <c r="Y118" s="77" t="s">
        <v>55</v>
      </c>
      <c r="Z118" s="77" t="s">
        <v>72</v>
      </c>
      <c r="AA118" s="77" t="s">
        <v>43</v>
      </c>
      <c r="AB118" s="77" t="s">
        <v>161</v>
      </c>
    </row>
    <row r="119" spans="1:28" x14ac:dyDescent="0.15">
      <c r="A119" s="77" t="s">
        <v>46</v>
      </c>
      <c r="B119" s="77" t="s">
        <v>160</v>
      </c>
      <c r="C119" s="160">
        <v>2020</v>
      </c>
      <c r="D119" s="161" t="s">
        <v>162</v>
      </c>
      <c r="E119" s="77" t="s">
        <v>299</v>
      </c>
      <c r="F119" s="77" t="s">
        <v>300</v>
      </c>
      <c r="G119" s="77" t="s">
        <v>25</v>
      </c>
      <c r="H119" s="77" t="s">
        <v>164</v>
      </c>
      <c r="I119" s="77" t="s">
        <v>111</v>
      </c>
      <c r="J119" s="77" t="s">
        <v>27</v>
      </c>
      <c r="K119" s="77" t="s">
        <v>112</v>
      </c>
      <c r="L119" s="77">
        <v>1</v>
      </c>
      <c r="N119" s="77">
        <v>1</v>
      </c>
      <c r="O119" s="77">
        <v>0.98</v>
      </c>
      <c r="P119" s="77">
        <v>1</v>
      </c>
      <c r="Q119" s="16">
        <f t="shared" si="5"/>
        <v>0.99</v>
      </c>
      <c r="R119" s="77">
        <v>12.9</v>
      </c>
      <c r="S119" s="77">
        <v>160</v>
      </c>
      <c r="T119" s="16">
        <f t="shared" si="3"/>
        <v>18</v>
      </c>
      <c r="U119" s="77">
        <v>98</v>
      </c>
      <c r="V119" s="16">
        <f t="shared" si="4"/>
        <v>36</v>
      </c>
      <c r="W119" s="77">
        <v>6</v>
      </c>
      <c r="X119" s="77" t="s">
        <v>35</v>
      </c>
      <c r="Y119" s="77" t="s">
        <v>55</v>
      </c>
      <c r="Z119" s="77" t="s">
        <v>72</v>
      </c>
      <c r="AA119" s="77" t="s">
        <v>43</v>
      </c>
      <c r="AB119" s="77" t="s">
        <v>161</v>
      </c>
    </row>
    <row r="120" spans="1:28" x14ac:dyDescent="0.15">
      <c r="A120" s="77" t="s">
        <v>46</v>
      </c>
      <c r="B120" s="77" t="s">
        <v>160</v>
      </c>
      <c r="C120" s="160">
        <v>2020</v>
      </c>
      <c r="D120" s="161" t="s">
        <v>162</v>
      </c>
      <c r="E120" s="77" t="s">
        <v>299</v>
      </c>
      <c r="F120" s="77" t="s">
        <v>300</v>
      </c>
      <c r="G120" s="77" t="s">
        <v>25</v>
      </c>
      <c r="H120" s="77" t="s">
        <v>164</v>
      </c>
      <c r="I120" s="77" t="s">
        <v>111</v>
      </c>
      <c r="J120" s="77" t="s">
        <v>27</v>
      </c>
      <c r="K120" s="77" t="s">
        <v>112</v>
      </c>
      <c r="L120" s="77">
        <v>2</v>
      </c>
      <c r="N120" s="77">
        <v>1</v>
      </c>
      <c r="O120" s="77">
        <v>0.66</v>
      </c>
      <c r="P120" s="77">
        <v>0.74</v>
      </c>
      <c r="Q120" s="16">
        <f t="shared" si="5"/>
        <v>0.7</v>
      </c>
      <c r="R120" s="77">
        <v>13.5</v>
      </c>
      <c r="S120" s="77">
        <v>155</v>
      </c>
      <c r="T120" s="16">
        <f t="shared" si="3"/>
        <v>18</v>
      </c>
      <c r="U120" s="77">
        <v>98</v>
      </c>
      <c r="V120" s="16">
        <f t="shared" si="4"/>
        <v>36</v>
      </c>
      <c r="W120" s="77">
        <v>6</v>
      </c>
      <c r="X120" s="77" t="s">
        <v>35</v>
      </c>
      <c r="Y120" s="77" t="s">
        <v>55</v>
      </c>
      <c r="Z120" s="77" t="s">
        <v>72</v>
      </c>
      <c r="AA120" s="77" t="s">
        <v>43</v>
      </c>
      <c r="AB120" s="77" t="s">
        <v>161</v>
      </c>
    </row>
    <row r="121" spans="1:28" x14ac:dyDescent="0.15">
      <c r="A121" s="77" t="s">
        <v>46</v>
      </c>
      <c r="B121" s="77" t="s">
        <v>160</v>
      </c>
      <c r="C121" s="160">
        <v>2020</v>
      </c>
      <c r="D121" s="161" t="s">
        <v>162</v>
      </c>
      <c r="E121" s="77" t="s">
        <v>299</v>
      </c>
      <c r="F121" s="77" t="s">
        <v>300</v>
      </c>
      <c r="G121" s="77" t="s">
        <v>25</v>
      </c>
      <c r="H121" s="77" t="s">
        <v>164</v>
      </c>
      <c r="I121" s="77" t="s">
        <v>111</v>
      </c>
      <c r="J121" s="77" t="s">
        <v>27</v>
      </c>
      <c r="K121" s="77" t="s">
        <v>112</v>
      </c>
      <c r="L121" s="77">
        <v>3</v>
      </c>
      <c r="N121" s="77">
        <v>1</v>
      </c>
      <c r="O121" s="77">
        <v>0.88</v>
      </c>
      <c r="P121" s="77">
        <v>0.95</v>
      </c>
      <c r="Q121" s="16">
        <f t="shared" si="5"/>
        <v>0.91500000000000004</v>
      </c>
      <c r="R121" s="77">
        <v>13.1</v>
      </c>
      <c r="S121" s="77">
        <v>179</v>
      </c>
      <c r="T121" s="16">
        <f t="shared" si="3"/>
        <v>18</v>
      </c>
      <c r="U121" s="77">
        <v>98</v>
      </c>
      <c r="V121" s="16">
        <f t="shared" si="4"/>
        <v>36</v>
      </c>
      <c r="W121" s="77">
        <v>6</v>
      </c>
      <c r="X121" s="77" t="s">
        <v>35</v>
      </c>
      <c r="Y121" s="77" t="s">
        <v>55</v>
      </c>
      <c r="Z121" s="77" t="s">
        <v>72</v>
      </c>
      <c r="AA121" s="77" t="s">
        <v>43</v>
      </c>
      <c r="AB121" s="77" t="s">
        <v>161</v>
      </c>
    </row>
    <row r="122" spans="1:28" x14ac:dyDescent="0.15">
      <c r="A122" s="77" t="s">
        <v>46</v>
      </c>
      <c r="B122" s="77" t="s">
        <v>160</v>
      </c>
      <c r="C122" s="160">
        <v>2020</v>
      </c>
      <c r="D122" s="161" t="s">
        <v>162</v>
      </c>
      <c r="E122" s="77" t="s">
        <v>299</v>
      </c>
      <c r="F122" s="77" t="s">
        <v>300</v>
      </c>
      <c r="G122" s="77" t="s">
        <v>25</v>
      </c>
      <c r="H122" s="77" t="s">
        <v>113</v>
      </c>
      <c r="I122" s="77" t="s">
        <v>111</v>
      </c>
      <c r="J122" s="77" t="s">
        <v>27</v>
      </c>
      <c r="K122" s="77" t="s">
        <v>112</v>
      </c>
      <c r="L122" s="77">
        <v>1</v>
      </c>
      <c r="N122" s="77">
        <v>10</v>
      </c>
      <c r="O122" s="77">
        <v>0.55000000000000004</v>
      </c>
      <c r="P122" s="77">
        <v>0.56000000000000005</v>
      </c>
      <c r="Q122" s="16">
        <f t="shared" si="5"/>
        <v>0.55500000000000005</v>
      </c>
      <c r="R122" s="77">
        <v>13.7</v>
      </c>
      <c r="S122" s="77">
        <v>97</v>
      </c>
      <c r="T122" s="16">
        <f t="shared" si="3"/>
        <v>36</v>
      </c>
      <c r="U122" s="77">
        <v>580</v>
      </c>
      <c r="V122" s="16">
        <f t="shared" si="4"/>
        <v>16</v>
      </c>
      <c r="W122" s="77">
        <v>3</v>
      </c>
      <c r="X122" s="77" t="s">
        <v>35</v>
      </c>
      <c r="Y122" s="77" t="s">
        <v>55</v>
      </c>
      <c r="Z122" s="77" t="s">
        <v>72</v>
      </c>
      <c r="AA122" s="77" t="s">
        <v>43</v>
      </c>
      <c r="AB122" s="77" t="s">
        <v>161</v>
      </c>
    </row>
    <row r="123" spans="1:28" x14ac:dyDescent="0.15">
      <c r="A123" s="77" t="s">
        <v>46</v>
      </c>
      <c r="B123" s="77" t="s">
        <v>160</v>
      </c>
      <c r="C123" s="160">
        <v>2020</v>
      </c>
      <c r="D123" s="161" t="s">
        <v>162</v>
      </c>
      <c r="E123" s="77" t="s">
        <v>299</v>
      </c>
      <c r="F123" s="77" t="s">
        <v>300</v>
      </c>
      <c r="G123" s="77" t="s">
        <v>25</v>
      </c>
      <c r="H123" s="77" t="s">
        <v>113</v>
      </c>
      <c r="I123" s="77" t="s">
        <v>111</v>
      </c>
      <c r="J123" s="77" t="s">
        <v>27</v>
      </c>
      <c r="K123" s="77" t="s">
        <v>112</v>
      </c>
      <c r="L123" s="77">
        <v>2</v>
      </c>
      <c r="N123" s="77">
        <v>10</v>
      </c>
      <c r="O123" s="77">
        <v>0.59</v>
      </c>
      <c r="P123" s="77">
        <v>0.6</v>
      </c>
      <c r="Q123" s="16">
        <f t="shared" si="5"/>
        <v>0.59499999999999997</v>
      </c>
      <c r="R123" s="77">
        <v>13.3</v>
      </c>
      <c r="S123" s="77">
        <v>94</v>
      </c>
      <c r="T123" s="16">
        <f t="shared" si="3"/>
        <v>36</v>
      </c>
      <c r="U123" s="77">
        <v>580</v>
      </c>
      <c r="V123" s="16">
        <f t="shared" si="4"/>
        <v>16</v>
      </c>
      <c r="W123" s="77">
        <v>3</v>
      </c>
      <c r="X123" s="77" t="s">
        <v>35</v>
      </c>
      <c r="Y123" s="77" t="s">
        <v>55</v>
      </c>
      <c r="Z123" s="77" t="s">
        <v>72</v>
      </c>
      <c r="AA123" s="77" t="s">
        <v>43</v>
      </c>
      <c r="AB123" s="77" t="s">
        <v>161</v>
      </c>
    </row>
    <row r="124" spans="1:28" x14ac:dyDescent="0.15">
      <c r="A124" s="77" t="s">
        <v>46</v>
      </c>
      <c r="B124" s="77" t="s">
        <v>160</v>
      </c>
      <c r="C124" s="160">
        <v>2020</v>
      </c>
      <c r="D124" s="161" t="s">
        <v>162</v>
      </c>
      <c r="E124" s="77" t="s">
        <v>299</v>
      </c>
      <c r="F124" s="77" t="s">
        <v>300</v>
      </c>
      <c r="G124" s="77" t="s">
        <v>25</v>
      </c>
      <c r="H124" s="77" t="s">
        <v>113</v>
      </c>
      <c r="I124" s="77" t="s">
        <v>111</v>
      </c>
      <c r="J124" s="77" t="s">
        <v>27</v>
      </c>
      <c r="K124" s="77" t="s">
        <v>112</v>
      </c>
      <c r="L124" s="77">
        <v>3</v>
      </c>
      <c r="N124" s="77">
        <v>10</v>
      </c>
      <c r="O124" s="77">
        <v>0.56000000000000005</v>
      </c>
      <c r="P124" s="77">
        <v>0.54</v>
      </c>
      <c r="Q124" s="16">
        <f t="shared" si="5"/>
        <v>0.55000000000000004</v>
      </c>
      <c r="R124" s="77">
        <v>13.8</v>
      </c>
      <c r="S124" s="77">
        <v>91</v>
      </c>
      <c r="T124" s="16">
        <f t="shared" si="3"/>
        <v>36</v>
      </c>
      <c r="U124" s="77">
        <v>580</v>
      </c>
      <c r="V124" s="16">
        <f t="shared" si="4"/>
        <v>16</v>
      </c>
      <c r="W124" s="77">
        <v>3</v>
      </c>
      <c r="X124" s="77" t="s">
        <v>35</v>
      </c>
      <c r="Y124" s="77" t="s">
        <v>55</v>
      </c>
      <c r="Z124" s="77" t="s">
        <v>72</v>
      </c>
      <c r="AA124" s="77" t="s">
        <v>43</v>
      </c>
      <c r="AB124" s="77" t="s">
        <v>161</v>
      </c>
    </row>
    <row r="125" spans="1:28" x14ac:dyDescent="0.15">
      <c r="C125" s="160"/>
      <c r="D125" s="161"/>
      <c r="Q125" s="16" t="str">
        <f t="shared" si="5"/>
        <v/>
      </c>
      <c r="T125" s="16" t="str">
        <f t="shared" si="3"/>
        <v/>
      </c>
      <c r="V125" s="16" t="str">
        <f t="shared" si="4"/>
        <v/>
      </c>
    </row>
    <row r="126" spans="1:28" x14ac:dyDescent="0.15">
      <c r="D126" s="161"/>
      <c r="Q126" s="16" t="str">
        <f t="shared" si="5"/>
        <v/>
      </c>
      <c r="T126" s="16" t="str">
        <f t="shared" si="3"/>
        <v/>
      </c>
      <c r="V126" s="16" t="str">
        <f t="shared" si="4"/>
        <v/>
      </c>
    </row>
    <row r="127" spans="1:28" x14ac:dyDescent="0.15">
      <c r="D127" s="161"/>
      <c r="Q127" s="16" t="str">
        <f t="shared" si="5"/>
        <v/>
      </c>
      <c r="T127" s="16" t="str">
        <f t="shared" si="3"/>
        <v/>
      </c>
      <c r="V127" s="16" t="str">
        <f t="shared" si="4"/>
        <v/>
      </c>
    </row>
    <row r="128" spans="1:28" x14ac:dyDescent="0.15">
      <c r="D128" s="161"/>
      <c r="Q128" s="16" t="str">
        <f t="shared" si="5"/>
        <v/>
      </c>
      <c r="T128" s="16" t="str">
        <f t="shared" si="3"/>
        <v/>
      </c>
      <c r="V128" s="16" t="str">
        <f t="shared" si="4"/>
        <v/>
      </c>
    </row>
    <row r="129" spans="4:22" x14ac:dyDescent="0.15">
      <c r="D129" s="161"/>
      <c r="Q129" s="16" t="str">
        <f t="shared" si="5"/>
        <v/>
      </c>
      <c r="T129" s="16" t="str">
        <f t="shared" si="3"/>
        <v/>
      </c>
      <c r="V129" s="16" t="str">
        <f t="shared" si="4"/>
        <v/>
      </c>
    </row>
    <row r="130" spans="4:22" x14ac:dyDescent="0.15">
      <c r="Q130" s="16" t="str">
        <f t="shared" si="5"/>
        <v/>
      </c>
      <c r="T130" s="16" t="str">
        <f t="shared" si="3"/>
        <v/>
      </c>
      <c r="V130" s="16" t="str">
        <f t="shared" si="4"/>
        <v/>
      </c>
    </row>
    <row r="131" spans="4:22" x14ac:dyDescent="0.15">
      <c r="Q131" s="16" t="str">
        <f t="shared" si="5"/>
        <v/>
      </c>
      <c r="T131" s="16" t="str">
        <f t="shared" si="3"/>
        <v/>
      </c>
      <c r="V131" s="16" t="str">
        <f t="shared" si="4"/>
        <v/>
      </c>
    </row>
    <row r="132" spans="4:22" x14ac:dyDescent="0.15">
      <c r="Q132" s="16" t="str">
        <f t="shared" si="5"/>
        <v/>
      </c>
      <c r="T132" s="16" t="str">
        <f t="shared" si="3"/>
        <v/>
      </c>
      <c r="V132" s="16" t="str">
        <f t="shared" si="4"/>
        <v/>
      </c>
    </row>
    <row r="133" spans="4:22" x14ac:dyDescent="0.15">
      <c r="Q133" s="16" t="str">
        <f t="shared" si="5"/>
        <v/>
      </c>
      <c r="T133" s="16" t="str">
        <f t="shared" si="3"/>
        <v/>
      </c>
      <c r="V133" s="16" t="str">
        <f t="shared" si="4"/>
        <v/>
      </c>
    </row>
    <row r="134" spans="4:22" x14ac:dyDescent="0.15">
      <c r="Q134" s="16" t="str">
        <f t="shared" si="5"/>
        <v/>
      </c>
      <c r="T134" s="16" t="str">
        <f t="shared" si="3"/>
        <v/>
      </c>
      <c r="V134" s="16" t="str">
        <f t="shared" si="4"/>
        <v/>
      </c>
    </row>
    <row r="135" spans="4:22" x14ac:dyDescent="0.15">
      <c r="Q135" s="16" t="str">
        <f t="shared" si="5"/>
        <v/>
      </c>
      <c r="T135" s="16" t="str">
        <f t="shared" si="3"/>
        <v/>
      </c>
      <c r="V135" s="16" t="str">
        <f t="shared" si="4"/>
        <v/>
      </c>
    </row>
    <row r="136" spans="4:22" x14ac:dyDescent="0.15">
      <c r="Q136" s="16" t="str">
        <f t="shared" si="5"/>
        <v/>
      </c>
      <c r="T136" s="16" t="str">
        <f t="shared" si="3"/>
        <v/>
      </c>
      <c r="V136" s="16" t="str">
        <f t="shared" si="4"/>
        <v/>
      </c>
    </row>
    <row r="137" spans="4:22" x14ac:dyDescent="0.15">
      <c r="Q137" s="16" t="str">
        <f t="shared" si="5"/>
        <v/>
      </c>
      <c r="T137" s="16" t="str">
        <f t="shared" si="3"/>
        <v/>
      </c>
      <c r="V137" s="16" t="str">
        <f t="shared" si="4"/>
        <v/>
      </c>
    </row>
    <row r="138" spans="4:22" x14ac:dyDescent="0.15">
      <c r="Q138" s="16" t="str">
        <f t="shared" si="5"/>
        <v/>
      </c>
      <c r="T138" s="16" t="str">
        <f t="shared" ref="T138:T152" si="8">IF(H138="","",IF(OR(H138="GREEN",H138="GK"),IF(S138&gt;=$AX$2,VLOOKUP(S138,$AX$2:$AY$12,2,1),""),IF(S138&gt;=$AZ$2,VLOOKUP(S138,$AZ$2:$BA$12,2,1),"")))</f>
        <v/>
      </c>
      <c r="V138" s="16" t="str">
        <f t="shared" si="4"/>
        <v/>
      </c>
    </row>
    <row r="139" spans="4:22" x14ac:dyDescent="0.15">
      <c r="Q139" s="16" t="str">
        <f t="shared" si="5"/>
        <v/>
      </c>
      <c r="T139" s="16" t="str">
        <f t="shared" si="8"/>
        <v/>
      </c>
      <c r="V139" s="16" t="str">
        <f t="shared" si="4"/>
        <v/>
      </c>
    </row>
    <row r="140" spans="4:22" x14ac:dyDescent="0.15">
      <c r="Q140" s="16" t="str">
        <f t="shared" si="5"/>
        <v/>
      </c>
      <c r="T140" s="16" t="str">
        <f t="shared" si="8"/>
        <v/>
      </c>
      <c r="V140" s="16" t="str">
        <f t="shared" si="4"/>
        <v/>
      </c>
    </row>
    <row r="141" spans="4:22" x14ac:dyDescent="0.15">
      <c r="Q141" s="16" t="str">
        <f t="shared" si="5"/>
        <v/>
      </c>
      <c r="T141" s="16" t="str">
        <f t="shared" si="8"/>
        <v/>
      </c>
      <c r="V141" s="16" t="str">
        <f t="shared" si="4"/>
        <v/>
      </c>
    </row>
    <row r="142" spans="4:22" x14ac:dyDescent="0.15">
      <c r="Q142" s="16" t="str">
        <f t="shared" si="5"/>
        <v/>
      </c>
      <c r="T142" s="16" t="str">
        <f t="shared" si="8"/>
        <v/>
      </c>
      <c r="V142" s="16" t="str">
        <f t="shared" si="4"/>
        <v/>
      </c>
    </row>
    <row r="143" spans="4:22" x14ac:dyDescent="0.15">
      <c r="Q143" s="16" t="str">
        <f t="shared" si="5"/>
        <v/>
      </c>
      <c r="T143" s="16" t="str">
        <f t="shared" si="8"/>
        <v/>
      </c>
      <c r="V143" s="16" t="str">
        <f t="shared" si="4"/>
        <v/>
      </c>
    </row>
    <row r="144" spans="4:22" x14ac:dyDescent="0.15">
      <c r="Q144" s="16" t="str">
        <f t="shared" si="5"/>
        <v/>
      </c>
      <c r="T144" s="16" t="str">
        <f t="shared" si="8"/>
        <v/>
      </c>
      <c r="V144" s="16" t="str">
        <f t="shared" si="4"/>
        <v/>
      </c>
    </row>
    <row r="145" spans="17:22" x14ac:dyDescent="0.15">
      <c r="Q145" s="16" t="str">
        <f t="shared" si="5"/>
        <v/>
      </c>
      <c r="T145" s="16" t="str">
        <f t="shared" si="8"/>
        <v/>
      </c>
      <c r="V145" s="16" t="str">
        <f t="shared" si="4"/>
        <v/>
      </c>
    </row>
    <row r="146" spans="17:22" x14ac:dyDescent="0.15">
      <c r="Q146" s="16" t="str">
        <f t="shared" si="5"/>
        <v/>
      </c>
      <c r="T146" s="16" t="str">
        <f t="shared" si="8"/>
        <v/>
      </c>
      <c r="V146" s="16" t="str">
        <f t="shared" si="4"/>
        <v/>
      </c>
    </row>
    <row r="147" spans="17:22" x14ac:dyDescent="0.15">
      <c r="Q147" s="16" t="str">
        <f t="shared" si="5"/>
        <v/>
      </c>
      <c r="T147" s="16" t="str">
        <f t="shared" si="8"/>
        <v/>
      </c>
      <c r="V147" s="16" t="str">
        <f t="shared" si="4"/>
        <v/>
      </c>
    </row>
    <row r="148" spans="17:22" x14ac:dyDescent="0.15">
      <c r="Q148" s="16" t="str">
        <f t="shared" si="5"/>
        <v/>
      </c>
      <c r="T148" s="16" t="str">
        <f t="shared" si="8"/>
        <v/>
      </c>
      <c r="V148" s="16" t="str">
        <f t="shared" si="4"/>
        <v/>
      </c>
    </row>
    <row r="149" spans="17:22" x14ac:dyDescent="0.15">
      <c r="Q149" s="16" t="str">
        <f t="shared" si="5"/>
        <v/>
      </c>
      <c r="T149" s="16" t="str">
        <f t="shared" si="8"/>
        <v/>
      </c>
      <c r="V149" s="16" t="str">
        <f t="shared" si="4"/>
        <v/>
      </c>
    </row>
    <row r="150" spans="17:22" x14ac:dyDescent="0.15">
      <c r="Q150" s="16" t="str">
        <f t="shared" si="5"/>
        <v/>
      </c>
      <c r="T150" s="16" t="str">
        <f t="shared" si="8"/>
        <v/>
      </c>
      <c r="V150" s="16" t="str">
        <f t="shared" si="4"/>
        <v/>
      </c>
    </row>
    <row r="151" spans="17:22" x14ac:dyDescent="0.15">
      <c r="Q151" s="16" t="str">
        <f t="shared" ref="Q151:Q152" si="9">IF(OR(O151="",P151=""),"",AVERAGE(O151,P151))</f>
        <v/>
      </c>
      <c r="T151" s="16" t="str">
        <f t="shared" si="8"/>
        <v/>
      </c>
      <c r="V151" s="16" t="str">
        <f t="shared" si="4"/>
        <v/>
      </c>
    </row>
    <row r="152" spans="17:22" x14ac:dyDescent="0.15">
      <c r="Q152" s="16" t="str">
        <f t="shared" si="9"/>
        <v/>
      </c>
      <c r="T152" s="16" t="str">
        <f t="shared" si="8"/>
        <v/>
      </c>
      <c r="V152" s="16" t="str">
        <f t="shared" si="4"/>
        <v/>
      </c>
    </row>
  </sheetData>
  <autoFilter ref="A1:BA152" xr:uid="{00000000-0009-0000-0000-000005000000}"/>
  <phoneticPr fontId="3"/>
  <dataValidations count="20">
    <dataValidation type="list" allowBlank="1" showInputMessage="1" showErrorMessage="1" sqref="K2:K1000" xr:uid="{8A441318-5745-43F6-B9E6-855656EACD50}">
      <formula1>$AR$2:$AR$29</formula1>
    </dataValidation>
    <dataValidation type="list" allowBlank="1" showInputMessage="1" showErrorMessage="1" sqref="J2:J1000" xr:uid="{4ED5AA5C-E370-43C4-9CE6-CE6567F67065}">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1BFB91EE-7BA3-4512-9905-795F3D49187A}">
      <formula1>$AR$2:$AR$30</formula1>
    </dataValidation>
    <dataValidation type="list" allowBlank="1" showInputMessage="1" showErrorMessage="1" sqref="H2:H1307" xr:uid="{E803642A-9EBB-49C7-AE12-40D0E230E526}">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721141E4-9A4E-482D-8DC4-498C189A2BAA}">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E00C8423-16B4-44C0-B20D-1D47E0DC3806}">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4992711D-77E4-4E59-AD7B-7D78EBE83EF1}">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39372E91-E944-4381-AE92-0E08AB155A8D}">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E793CE31-19C5-4C10-9428-18E9DD585EA4}">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4E6A6E24-8CC3-4FDE-9513-2491BD4B066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804795D-ECBF-47C9-BA73-91FA959937C2}">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82DD347A-75F6-43E0-BE71-192609831E34}">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4C91DD48-F61F-4034-A10C-6F5EC99C8BD2}">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666F235-0160-4CF4-BB48-9B0E0C294163}">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B4E09131-2B31-4FDB-ABF7-7FA396EEBE11}">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5F58D001-938B-43E4-972A-7F8D6706A3CF}">
      <formula1>#REF!</formula1>
    </dataValidation>
    <dataValidation type="list" allowBlank="1" showInputMessage="1" showErrorMessage="1" sqref="E2:E492" xr:uid="{B9E2E4A8-79E8-462A-B314-A36D98A1E3FB}">
      <formula1>$AG$2:$AG$11</formula1>
    </dataValidation>
    <dataValidation type="decimal" allowBlank="1" showInputMessage="1" showErrorMessage="1" error="硬度を正しく入力して下さい。" sqref="O2:P492" xr:uid="{51EE3BE1-1A70-4DF2-814F-D921C3F0DBDC}">
      <formula1>0</formula1>
      <formula2>7</formula2>
    </dataValidation>
    <dataValidation type="list" allowBlank="1" showInputMessage="1" showErrorMessage="1" sqref="F2:F1446" xr:uid="{B6278CC3-0786-45A3-952F-3A600B20169D}">
      <formula1>$AH$2:$AH$11</formula1>
    </dataValidation>
    <dataValidation type="list" allowBlank="1" showInputMessage="1" showErrorMessage="1" sqref="AC38 Y2:AA583" xr:uid="{B0A3EBD9-3337-4D6A-92DE-FEE68566133A}">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BA1317"/>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162</v>
      </c>
      <c r="E2" s="84" t="s">
        <v>163</v>
      </c>
      <c r="F2" s="84" t="s">
        <v>155</v>
      </c>
      <c r="G2" s="84" t="s">
        <v>25</v>
      </c>
      <c r="H2" s="84" t="s">
        <v>113</v>
      </c>
      <c r="I2" s="84" t="s">
        <v>111</v>
      </c>
      <c r="J2" s="78" t="s">
        <v>27</v>
      </c>
      <c r="K2" s="77" t="s">
        <v>112</v>
      </c>
      <c r="L2" s="84">
        <v>1</v>
      </c>
      <c r="M2" s="55"/>
      <c r="N2" s="55">
        <v>1</v>
      </c>
      <c r="O2" s="55">
        <v>0.5</v>
      </c>
      <c r="P2" s="55">
        <v>0.5</v>
      </c>
      <c r="Q2" s="56">
        <f t="shared" ref="Q2:Q65" si="0">IF(OR(O2="",P2=""),"",AVERAGE(O2,P2))</f>
        <v>0.5</v>
      </c>
      <c r="R2" s="57">
        <v>14.6</v>
      </c>
      <c r="S2" s="54">
        <v>132</v>
      </c>
      <c r="T2" s="58">
        <f t="shared" ref="T2:T65" si="1">IF(H2="","",IF(OR(H2="GREEN",H2="GK"),IF(S2&gt;=$AX$2,VLOOKUP(S2,$AX$2:$AY$7,2,1),""),IF(S2&gt;=$AZ$2,VLOOKUP(S2,$AZ$2:$BA$7,2,1),"")))</f>
        <v>30</v>
      </c>
      <c r="U2" s="46">
        <v>138</v>
      </c>
      <c r="V2" s="58">
        <f t="shared" ref="V2:V65" si="2">IF(OR(N2="",U2="",T2=""),"",U2/N2*T2)</f>
        <v>4140</v>
      </c>
      <c r="W2" s="59">
        <v>10</v>
      </c>
      <c r="X2" s="60" t="s">
        <v>35</v>
      </c>
      <c r="Y2" s="60" t="s">
        <v>29</v>
      </c>
      <c r="Z2" s="60" t="s">
        <v>72</v>
      </c>
      <c r="AA2" s="61" t="s">
        <v>76</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162</v>
      </c>
      <c r="E3" s="84" t="s">
        <v>163</v>
      </c>
      <c r="F3" s="84" t="s">
        <v>155</v>
      </c>
      <c r="G3" s="84" t="s">
        <v>25</v>
      </c>
      <c r="H3" s="84" t="s">
        <v>113</v>
      </c>
      <c r="I3" s="84" t="s">
        <v>111</v>
      </c>
      <c r="J3" s="78" t="s">
        <v>27</v>
      </c>
      <c r="K3" s="77" t="s">
        <v>112</v>
      </c>
      <c r="L3" s="84">
        <v>2</v>
      </c>
      <c r="N3" s="7">
        <v>1</v>
      </c>
      <c r="O3" s="7">
        <v>0.5</v>
      </c>
      <c r="P3" s="34">
        <v>0.7</v>
      </c>
      <c r="Q3" s="62">
        <f t="shared" si="0"/>
        <v>0.6</v>
      </c>
      <c r="R3" s="63">
        <v>13.9</v>
      </c>
      <c r="S3" s="63">
        <v>128</v>
      </c>
      <c r="T3" s="16">
        <f t="shared" si="1"/>
        <v>30</v>
      </c>
      <c r="U3" s="46">
        <v>138</v>
      </c>
      <c r="V3" s="64">
        <f t="shared" si="2"/>
        <v>4140</v>
      </c>
      <c r="W3" s="59">
        <v>10</v>
      </c>
      <c r="X3" s="60" t="s">
        <v>35</v>
      </c>
      <c r="Y3" s="60" t="s">
        <v>29</v>
      </c>
      <c r="Z3" s="60" t="s">
        <v>72</v>
      </c>
      <c r="AA3" s="61" t="s">
        <v>76</v>
      </c>
      <c r="AB3" s="43" t="s">
        <v>161</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162</v>
      </c>
      <c r="E4" s="84" t="s">
        <v>163</v>
      </c>
      <c r="F4" s="84" t="s">
        <v>155</v>
      </c>
      <c r="G4" s="84" t="s">
        <v>25</v>
      </c>
      <c r="H4" s="84" t="s">
        <v>113</v>
      </c>
      <c r="I4" s="84" t="s">
        <v>111</v>
      </c>
      <c r="J4" s="78" t="s">
        <v>27</v>
      </c>
      <c r="K4" s="77" t="s">
        <v>112</v>
      </c>
      <c r="L4" s="84">
        <v>3</v>
      </c>
      <c r="N4" s="7">
        <v>1</v>
      </c>
      <c r="O4" s="7">
        <v>0.55000000000000004</v>
      </c>
      <c r="P4" s="34">
        <v>0.6</v>
      </c>
      <c r="Q4" s="44">
        <f t="shared" si="0"/>
        <v>0.57499999999999996</v>
      </c>
      <c r="R4" s="67">
        <v>14.3</v>
      </c>
      <c r="S4" s="67">
        <v>127</v>
      </c>
      <c r="T4" s="16">
        <f t="shared" si="1"/>
        <v>30</v>
      </c>
      <c r="U4" s="46">
        <v>138</v>
      </c>
      <c r="V4" s="64">
        <f t="shared" si="2"/>
        <v>4140</v>
      </c>
      <c r="W4" s="59">
        <v>10</v>
      </c>
      <c r="X4" s="60" t="s">
        <v>35</v>
      </c>
      <c r="Y4" s="60" t="s">
        <v>29</v>
      </c>
      <c r="Z4" s="60" t="s">
        <v>72</v>
      </c>
      <c r="AA4" s="61" t="s">
        <v>76</v>
      </c>
      <c r="AB4" s="43" t="s">
        <v>161</v>
      </c>
      <c r="AE4" s="22" t="s">
        <v>23</v>
      </c>
      <c r="AG4" s="88" t="s">
        <v>144</v>
      </c>
      <c r="AH4" s="88" t="s">
        <v>145</v>
      </c>
      <c r="AJ4" s="70"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162</v>
      </c>
      <c r="E5" s="84" t="s">
        <v>163</v>
      </c>
      <c r="F5" s="84" t="s">
        <v>155</v>
      </c>
      <c r="G5" s="84" t="s">
        <v>25</v>
      </c>
      <c r="H5" s="84" t="s">
        <v>113</v>
      </c>
      <c r="I5" s="84" t="s">
        <v>111</v>
      </c>
      <c r="J5" s="78" t="s">
        <v>27</v>
      </c>
      <c r="K5" s="77" t="s">
        <v>112</v>
      </c>
      <c r="L5" s="84">
        <v>1</v>
      </c>
      <c r="N5" s="7">
        <v>6</v>
      </c>
      <c r="O5" s="7">
        <v>0.7</v>
      </c>
      <c r="P5" s="77">
        <v>0.7</v>
      </c>
      <c r="Q5" s="44">
        <f t="shared" si="0"/>
        <v>0.7</v>
      </c>
      <c r="R5" s="67">
        <v>15.3</v>
      </c>
      <c r="S5" s="67">
        <v>127</v>
      </c>
      <c r="T5" s="16">
        <f t="shared" si="1"/>
        <v>30</v>
      </c>
      <c r="U5" s="68">
        <v>580</v>
      </c>
      <c r="V5" s="64">
        <f t="shared" si="2"/>
        <v>2900</v>
      </c>
      <c r="W5" s="59">
        <v>10</v>
      </c>
      <c r="X5" s="60" t="s">
        <v>35</v>
      </c>
      <c r="Y5" s="60" t="s">
        <v>29</v>
      </c>
      <c r="Z5" s="60" t="s">
        <v>72</v>
      </c>
      <c r="AA5" s="61" t="s">
        <v>76</v>
      </c>
      <c r="AB5" s="43" t="s">
        <v>161</v>
      </c>
      <c r="AE5" s="22" t="s">
        <v>40</v>
      </c>
      <c r="AG5" s="88" t="s">
        <v>146</v>
      </c>
      <c r="AH5" s="88" t="s">
        <v>147</v>
      </c>
      <c r="AJ5" s="71"/>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162</v>
      </c>
      <c r="E6" s="84" t="s">
        <v>163</v>
      </c>
      <c r="F6" s="84" t="s">
        <v>155</v>
      </c>
      <c r="G6" s="84" t="s">
        <v>25</v>
      </c>
      <c r="H6" s="84" t="s">
        <v>113</v>
      </c>
      <c r="I6" s="84" t="s">
        <v>111</v>
      </c>
      <c r="J6" s="78" t="s">
        <v>27</v>
      </c>
      <c r="K6" s="77" t="s">
        <v>112</v>
      </c>
      <c r="L6" s="84">
        <v>2</v>
      </c>
      <c r="N6" s="7">
        <v>6</v>
      </c>
      <c r="O6" s="77">
        <v>0.7</v>
      </c>
      <c r="P6" s="36">
        <v>0.6</v>
      </c>
      <c r="Q6" s="44">
        <f t="shared" si="0"/>
        <v>0.64999999999999991</v>
      </c>
      <c r="R6" s="67">
        <v>14</v>
      </c>
      <c r="S6" s="67">
        <v>128</v>
      </c>
      <c r="T6" s="16">
        <f t="shared" si="1"/>
        <v>30</v>
      </c>
      <c r="U6" s="68">
        <v>580</v>
      </c>
      <c r="V6" s="64">
        <f t="shared" si="2"/>
        <v>2900</v>
      </c>
      <c r="W6" s="59">
        <v>10</v>
      </c>
      <c r="X6" s="60" t="s">
        <v>35</v>
      </c>
      <c r="Y6" s="60" t="s">
        <v>29</v>
      </c>
      <c r="Z6" s="60" t="s">
        <v>72</v>
      </c>
      <c r="AA6" s="61" t="s">
        <v>76</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162</v>
      </c>
      <c r="E7" s="84" t="s">
        <v>163</v>
      </c>
      <c r="F7" s="84" t="s">
        <v>155</v>
      </c>
      <c r="G7" s="84" t="s">
        <v>25</v>
      </c>
      <c r="H7" s="84" t="s">
        <v>113</v>
      </c>
      <c r="I7" s="84" t="s">
        <v>111</v>
      </c>
      <c r="J7" s="78" t="s">
        <v>27</v>
      </c>
      <c r="K7" s="77" t="s">
        <v>112</v>
      </c>
      <c r="L7" s="84">
        <v>3</v>
      </c>
      <c r="N7" s="7">
        <v>6</v>
      </c>
      <c r="O7" s="7">
        <v>0.55000000000000004</v>
      </c>
      <c r="P7" s="36">
        <v>0.65</v>
      </c>
      <c r="Q7" s="44">
        <f t="shared" si="0"/>
        <v>0.60000000000000009</v>
      </c>
      <c r="R7" s="67">
        <v>13.4</v>
      </c>
      <c r="S7" s="67">
        <v>125</v>
      </c>
      <c r="T7" s="16">
        <f t="shared" si="1"/>
        <v>30</v>
      </c>
      <c r="U7" s="68">
        <v>580</v>
      </c>
      <c r="V7" s="64">
        <f t="shared" si="2"/>
        <v>2900</v>
      </c>
      <c r="W7" s="59">
        <v>10</v>
      </c>
      <c r="X7" s="60" t="s">
        <v>35</v>
      </c>
      <c r="Y7" s="60" t="s">
        <v>29</v>
      </c>
      <c r="Z7" s="60" t="s">
        <v>72</v>
      </c>
      <c r="AA7" s="61" t="s">
        <v>76</v>
      </c>
      <c r="AB7" s="43" t="s">
        <v>161</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162</v>
      </c>
      <c r="E8" s="84" t="s">
        <v>163</v>
      </c>
      <c r="F8" s="84" t="s">
        <v>155</v>
      </c>
      <c r="G8" s="84" t="s">
        <v>25</v>
      </c>
      <c r="H8" s="84" t="s">
        <v>164</v>
      </c>
      <c r="I8" s="84" t="s">
        <v>111</v>
      </c>
      <c r="J8" s="78" t="s">
        <v>27</v>
      </c>
      <c r="K8" s="77" t="s">
        <v>112</v>
      </c>
      <c r="L8" s="84">
        <v>1</v>
      </c>
      <c r="N8" s="7">
        <v>1</v>
      </c>
      <c r="O8" s="7">
        <v>0.6</v>
      </c>
      <c r="P8" s="7">
        <v>0.6</v>
      </c>
      <c r="Q8" s="44">
        <f t="shared" si="0"/>
        <v>0.6</v>
      </c>
      <c r="R8" s="67">
        <v>16.8</v>
      </c>
      <c r="S8" s="67">
        <v>160</v>
      </c>
      <c r="T8" s="16">
        <f t="shared" si="1"/>
        <v>30</v>
      </c>
      <c r="U8" s="72">
        <v>138</v>
      </c>
      <c r="V8" s="64">
        <f t="shared" si="2"/>
        <v>4140</v>
      </c>
      <c r="W8" s="59">
        <v>10</v>
      </c>
      <c r="X8" s="60" t="s">
        <v>35</v>
      </c>
      <c r="Y8" s="60" t="s">
        <v>29</v>
      </c>
      <c r="Z8" s="60" t="s">
        <v>72</v>
      </c>
      <c r="AA8" s="61" t="s">
        <v>76</v>
      </c>
      <c r="AB8" s="43" t="s">
        <v>161</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162</v>
      </c>
      <c r="E9" s="84" t="s">
        <v>163</v>
      </c>
      <c r="F9" s="84" t="s">
        <v>155</v>
      </c>
      <c r="G9" s="84" t="s">
        <v>25</v>
      </c>
      <c r="H9" s="84" t="s">
        <v>164</v>
      </c>
      <c r="I9" s="84" t="s">
        <v>111</v>
      </c>
      <c r="J9" s="78" t="s">
        <v>27</v>
      </c>
      <c r="K9" s="77" t="s">
        <v>112</v>
      </c>
      <c r="L9" s="84">
        <v>2</v>
      </c>
      <c r="N9" s="7">
        <v>1</v>
      </c>
      <c r="O9" s="7">
        <v>0.5</v>
      </c>
      <c r="P9" s="7">
        <v>0.55000000000000004</v>
      </c>
      <c r="Q9" s="44">
        <f t="shared" si="0"/>
        <v>0.52500000000000002</v>
      </c>
      <c r="R9" s="67">
        <v>19.5</v>
      </c>
      <c r="S9" s="67">
        <v>178</v>
      </c>
      <c r="T9" s="16">
        <f t="shared" si="1"/>
        <v>30</v>
      </c>
      <c r="U9" s="72">
        <v>138</v>
      </c>
      <c r="V9" s="64">
        <f t="shared" si="2"/>
        <v>4140</v>
      </c>
      <c r="W9" s="59">
        <v>10</v>
      </c>
      <c r="X9" s="60" t="s">
        <v>35</v>
      </c>
      <c r="Y9" s="60" t="s">
        <v>29</v>
      </c>
      <c r="Z9" s="60" t="s">
        <v>72</v>
      </c>
      <c r="AA9" s="61" t="s">
        <v>76</v>
      </c>
      <c r="AB9" s="43" t="s">
        <v>161</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162</v>
      </c>
      <c r="E10" s="84" t="s">
        <v>163</v>
      </c>
      <c r="F10" s="84" t="s">
        <v>155</v>
      </c>
      <c r="G10" s="84" t="s">
        <v>25</v>
      </c>
      <c r="H10" s="84" t="s">
        <v>164</v>
      </c>
      <c r="I10" s="84" t="s">
        <v>111</v>
      </c>
      <c r="J10" s="78" t="s">
        <v>27</v>
      </c>
      <c r="K10" s="77" t="s">
        <v>112</v>
      </c>
      <c r="L10" s="84">
        <v>3</v>
      </c>
      <c r="N10" s="7">
        <v>1</v>
      </c>
      <c r="O10" s="7">
        <v>0.2</v>
      </c>
      <c r="P10" s="7">
        <v>0.2</v>
      </c>
      <c r="Q10" s="44">
        <f t="shared" si="0"/>
        <v>0.2</v>
      </c>
      <c r="R10" s="67">
        <v>16.2</v>
      </c>
      <c r="S10" s="67">
        <v>160</v>
      </c>
      <c r="T10" s="16">
        <f t="shared" si="1"/>
        <v>30</v>
      </c>
      <c r="U10" s="72">
        <v>138</v>
      </c>
      <c r="V10" s="64">
        <f t="shared" si="2"/>
        <v>4140</v>
      </c>
      <c r="W10" s="59">
        <v>10</v>
      </c>
      <c r="X10" s="60" t="s">
        <v>35</v>
      </c>
      <c r="Y10" s="60" t="s">
        <v>29</v>
      </c>
      <c r="Z10" s="60" t="s">
        <v>72</v>
      </c>
      <c r="AA10" s="61" t="s">
        <v>76</v>
      </c>
      <c r="AB10" s="43" t="s">
        <v>161</v>
      </c>
      <c r="AE10" s="22" t="s">
        <v>87</v>
      </c>
      <c r="AG10" s="88" t="s">
        <v>153</v>
      </c>
      <c r="AH10" s="88" t="s">
        <v>154</v>
      </c>
      <c r="AL10" s="34"/>
      <c r="AP10" s="23" t="s">
        <v>84</v>
      </c>
      <c r="AR10" s="30" t="s">
        <v>103</v>
      </c>
      <c r="AV10" s="23" t="s">
        <v>90</v>
      </c>
    </row>
    <row r="11" spans="1:53" x14ac:dyDescent="0.15">
      <c r="A11" s="84" t="s">
        <v>23</v>
      </c>
      <c r="B11" s="84" t="s">
        <v>160</v>
      </c>
      <c r="C11" s="84">
        <v>2020</v>
      </c>
      <c r="D11" s="45" t="s">
        <v>162</v>
      </c>
      <c r="E11" s="84" t="s">
        <v>163</v>
      </c>
      <c r="F11" s="84" t="s">
        <v>155</v>
      </c>
      <c r="G11" s="84" t="s">
        <v>25</v>
      </c>
      <c r="H11" s="84" t="s">
        <v>164</v>
      </c>
      <c r="I11" s="84" t="s">
        <v>111</v>
      </c>
      <c r="J11" s="78" t="s">
        <v>27</v>
      </c>
      <c r="K11" s="77" t="s">
        <v>112</v>
      </c>
      <c r="L11" s="84">
        <v>1</v>
      </c>
      <c r="N11" s="7">
        <v>4</v>
      </c>
      <c r="O11" s="7">
        <v>0.6</v>
      </c>
      <c r="P11" s="7">
        <v>0.65</v>
      </c>
      <c r="Q11" s="44">
        <f t="shared" si="0"/>
        <v>0.625</v>
      </c>
      <c r="R11" s="67">
        <v>16.100000000000001</v>
      </c>
      <c r="S11" s="67">
        <v>169</v>
      </c>
      <c r="T11" s="16">
        <f t="shared" si="1"/>
        <v>30</v>
      </c>
      <c r="U11" s="72">
        <v>480</v>
      </c>
      <c r="V11" s="64">
        <f t="shared" si="2"/>
        <v>3600</v>
      </c>
      <c r="W11" s="59">
        <v>10</v>
      </c>
      <c r="X11" s="60" t="s">
        <v>35</v>
      </c>
      <c r="Y11" s="60" t="s">
        <v>29</v>
      </c>
      <c r="Z11" s="60" t="s">
        <v>72</v>
      </c>
      <c r="AA11" s="61" t="s">
        <v>76</v>
      </c>
      <c r="AB11" s="43" t="s">
        <v>161</v>
      </c>
      <c r="AE11" s="22" t="s">
        <v>52</v>
      </c>
      <c r="AG11" s="88" t="s">
        <v>148</v>
      </c>
      <c r="AH11" s="88" t="s">
        <v>155</v>
      </c>
      <c r="AL11" s="34"/>
      <c r="AP11" s="23" t="s">
        <v>88</v>
      </c>
      <c r="AR11" s="30" t="s">
        <v>73</v>
      </c>
      <c r="AV11" s="23" t="s">
        <v>55</v>
      </c>
    </row>
    <row r="12" spans="1:53" x14ac:dyDescent="0.15">
      <c r="A12" s="84" t="s">
        <v>23</v>
      </c>
      <c r="B12" s="84" t="s">
        <v>160</v>
      </c>
      <c r="C12" s="84">
        <v>2020</v>
      </c>
      <c r="D12" s="45" t="s">
        <v>162</v>
      </c>
      <c r="E12" s="84" t="s">
        <v>163</v>
      </c>
      <c r="F12" s="84" t="s">
        <v>155</v>
      </c>
      <c r="G12" s="84" t="s">
        <v>25</v>
      </c>
      <c r="H12" s="84" t="s">
        <v>164</v>
      </c>
      <c r="I12" s="84" t="s">
        <v>111</v>
      </c>
      <c r="J12" s="78" t="s">
        <v>27</v>
      </c>
      <c r="K12" s="77" t="s">
        <v>112</v>
      </c>
      <c r="L12" s="84">
        <v>2</v>
      </c>
      <c r="N12" s="7">
        <v>4</v>
      </c>
      <c r="O12" s="7">
        <v>0.65</v>
      </c>
      <c r="P12" s="7">
        <v>0.7</v>
      </c>
      <c r="Q12" s="44">
        <f t="shared" si="0"/>
        <v>0.67500000000000004</v>
      </c>
      <c r="R12" s="67">
        <v>15.9</v>
      </c>
      <c r="S12" s="67">
        <v>163</v>
      </c>
      <c r="T12" s="16">
        <f t="shared" si="1"/>
        <v>30</v>
      </c>
      <c r="U12" s="72">
        <v>480</v>
      </c>
      <c r="V12" s="64">
        <f t="shared" si="2"/>
        <v>3600</v>
      </c>
      <c r="W12" s="59">
        <v>10</v>
      </c>
      <c r="X12" s="60" t="s">
        <v>35</v>
      </c>
      <c r="Y12" s="60" t="s">
        <v>29</v>
      </c>
      <c r="Z12" s="60" t="s">
        <v>72</v>
      </c>
      <c r="AA12" s="61" t="s">
        <v>76</v>
      </c>
      <c r="AB12" s="43" t="s">
        <v>161</v>
      </c>
      <c r="AE12" s="22" t="s">
        <v>56</v>
      </c>
      <c r="AG12" s="79"/>
      <c r="AH12" s="79"/>
      <c r="AL12" s="34"/>
      <c r="AP12" s="23" t="s">
        <v>53</v>
      </c>
      <c r="AR12" s="30" t="s">
        <v>104</v>
      </c>
      <c r="AV12" s="23" t="s">
        <v>58</v>
      </c>
    </row>
    <row r="13" spans="1:53" x14ac:dyDescent="0.15">
      <c r="A13" s="84" t="s">
        <v>23</v>
      </c>
      <c r="B13" s="84" t="s">
        <v>160</v>
      </c>
      <c r="C13" s="84">
        <v>2020</v>
      </c>
      <c r="D13" s="45" t="s">
        <v>162</v>
      </c>
      <c r="E13" s="84" t="s">
        <v>163</v>
      </c>
      <c r="F13" s="84" t="s">
        <v>155</v>
      </c>
      <c r="G13" s="84" t="s">
        <v>25</v>
      </c>
      <c r="H13" s="84" t="s">
        <v>164</v>
      </c>
      <c r="I13" s="84" t="s">
        <v>111</v>
      </c>
      <c r="J13" s="78" t="s">
        <v>27</v>
      </c>
      <c r="K13" s="77" t="s">
        <v>112</v>
      </c>
      <c r="L13" s="84">
        <v>3</v>
      </c>
      <c r="N13" s="77">
        <v>4</v>
      </c>
      <c r="O13" s="7">
        <v>0.75</v>
      </c>
      <c r="P13" s="7">
        <v>0.85</v>
      </c>
      <c r="Q13" s="44">
        <f t="shared" si="0"/>
        <v>0.8</v>
      </c>
      <c r="R13" s="67">
        <v>15.2</v>
      </c>
      <c r="S13" s="67">
        <v>165</v>
      </c>
      <c r="T13" s="16">
        <f t="shared" si="1"/>
        <v>30</v>
      </c>
      <c r="U13" s="72">
        <v>480</v>
      </c>
      <c r="V13" s="64">
        <f t="shared" si="2"/>
        <v>3600</v>
      </c>
      <c r="W13" s="59">
        <v>10</v>
      </c>
      <c r="X13" s="60" t="s">
        <v>35</v>
      </c>
      <c r="Y13" s="60" t="s">
        <v>29</v>
      </c>
      <c r="Z13" s="60" t="s">
        <v>72</v>
      </c>
      <c r="AA13" s="61" t="s">
        <v>76</v>
      </c>
      <c r="AB13" s="43" t="s">
        <v>161</v>
      </c>
      <c r="AE13" s="22" t="s">
        <v>59</v>
      </c>
      <c r="AG13" s="75"/>
      <c r="AH13" s="75"/>
      <c r="AP13" s="23" t="s">
        <v>57</v>
      </c>
      <c r="AR13" s="30" t="s">
        <v>87</v>
      </c>
      <c r="AV13" s="23" t="s">
        <v>61</v>
      </c>
    </row>
    <row r="14" spans="1:53" x14ac:dyDescent="0.15">
      <c r="A14" s="84" t="s">
        <v>23</v>
      </c>
      <c r="B14" s="84" t="s">
        <v>160</v>
      </c>
      <c r="C14" s="84">
        <v>2020</v>
      </c>
      <c r="D14" s="45" t="s">
        <v>162</v>
      </c>
      <c r="E14" s="84" t="s">
        <v>151</v>
      </c>
      <c r="F14" s="84" t="s">
        <v>147</v>
      </c>
      <c r="G14" s="84" t="s">
        <v>25</v>
      </c>
      <c r="H14" s="84" t="s">
        <v>113</v>
      </c>
      <c r="I14" s="84" t="s">
        <v>111</v>
      </c>
      <c r="J14" s="78" t="s">
        <v>27</v>
      </c>
      <c r="K14" s="77" t="s">
        <v>112</v>
      </c>
      <c r="L14" s="84">
        <v>1</v>
      </c>
      <c r="N14" s="7">
        <v>1</v>
      </c>
      <c r="O14" s="7">
        <v>0.65</v>
      </c>
      <c r="P14" s="7">
        <v>0.55000000000000004</v>
      </c>
      <c r="Q14" s="44">
        <f t="shared" si="0"/>
        <v>0.60000000000000009</v>
      </c>
      <c r="R14" s="67">
        <v>14.6</v>
      </c>
      <c r="S14" s="67">
        <v>118</v>
      </c>
      <c r="T14" s="16">
        <f t="shared" si="1"/>
        <v>30</v>
      </c>
      <c r="U14" s="72">
        <v>117</v>
      </c>
      <c r="V14" s="64">
        <f t="shared" si="2"/>
        <v>3510</v>
      </c>
      <c r="W14" s="69">
        <v>24</v>
      </c>
      <c r="X14" s="60" t="s">
        <v>35</v>
      </c>
      <c r="Y14" s="73" t="s">
        <v>43</v>
      </c>
      <c r="Z14" s="73" t="s">
        <v>55</v>
      </c>
      <c r="AA14" s="74" t="s">
        <v>64</v>
      </c>
      <c r="AB14" s="43" t="s">
        <v>161</v>
      </c>
      <c r="AC14" s="34"/>
      <c r="AE14" s="22" t="s">
        <v>62</v>
      </c>
      <c r="AG14" s="47"/>
      <c r="AH14" s="47"/>
      <c r="AP14" s="23" t="s">
        <v>60</v>
      </c>
      <c r="AR14" s="30" t="s">
        <v>105</v>
      </c>
      <c r="AV14" s="23" t="s">
        <v>64</v>
      </c>
    </row>
    <row r="15" spans="1:53" x14ac:dyDescent="0.15">
      <c r="A15" s="84" t="s">
        <v>23</v>
      </c>
      <c r="B15" s="84" t="s">
        <v>160</v>
      </c>
      <c r="C15" s="84">
        <v>2020</v>
      </c>
      <c r="D15" s="45" t="s">
        <v>162</v>
      </c>
      <c r="E15" s="84" t="s">
        <v>151</v>
      </c>
      <c r="F15" s="84" t="s">
        <v>147</v>
      </c>
      <c r="G15" s="84" t="s">
        <v>25</v>
      </c>
      <c r="H15" s="84" t="s">
        <v>113</v>
      </c>
      <c r="I15" s="84" t="s">
        <v>111</v>
      </c>
      <c r="J15" s="78" t="s">
        <v>27</v>
      </c>
      <c r="K15" s="77" t="s">
        <v>112</v>
      </c>
      <c r="L15" s="84">
        <v>2</v>
      </c>
      <c r="N15" s="7">
        <v>1</v>
      </c>
      <c r="O15" s="7">
        <v>0.2</v>
      </c>
      <c r="P15" s="7">
        <v>0.2</v>
      </c>
      <c r="Q15" s="44">
        <f t="shared" si="0"/>
        <v>0.2</v>
      </c>
      <c r="R15" s="67">
        <v>15</v>
      </c>
      <c r="S15" s="67">
        <v>117</v>
      </c>
      <c r="T15" s="16">
        <f t="shared" si="1"/>
        <v>30</v>
      </c>
      <c r="U15" s="72">
        <v>117</v>
      </c>
      <c r="V15" s="64">
        <f t="shared" si="2"/>
        <v>3510</v>
      </c>
      <c r="W15" s="69">
        <v>24</v>
      </c>
      <c r="X15" s="60" t="s">
        <v>35</v>
      </c>
      <c r="Y15" s="73" t="s">
        <v>43</v>
      </c>
      <c r="Z15" s="73" t="s">
        <v>55</v>
      </c>
      <c r="AA15" s="74" t="s">
        <v>64</v>
      </c>
      <c r="AB15" s="43" t="s">
        <v>161</v>
      </c>
      <c r="AC15" s="34"/>
      <c r="AE15" s="22" t="s">
        <v>65</v>
      </c>
      <c r="AP15" s="23" t="s">
        <v>63</v>
      </c>
      <c r="AR15" s="30" t="s">
        <v>79</v>
      </c>
      <c r="AV15" s="23" t="s">
        <v>91</v>
      </c>
    </row>
    <row r="16" spans="1:53" x14ac:dyDescent="0.15">
      <c r="A16" s="84" t="s">
        <v>23</v>
      </c>
      <c r="B16" s="84" t="s">
        <v>160</v>
      </c>
      <c r="C16" s="84">
        <v>2020</v>
      </c>
      <c r="D16" s="45" t="s">
        <v>162</v>
      </c>
      <c r="E16" s="84" t="s">
        <v>151</v>
      </c>
      <c r="F16" s="84" t="s">
        <v>147</v>
      </c>
      <c r="G16" s="84" t="s">
        <v>25</v>
      </c>
      <c r="H16" s="84" t="s">
        <v>113</v>
      </c>
      <c r="I16" s="84" t="s">
        <v>111</v>
      </c>
      <c r="J16" s="78" t="s">
        <v>27</v>
      </c>
      <c r="K16" s="77" t="s">
        <v>112</v>
      </c>
      <c r="L16" s="84">
        <v>3</v>
      </c>
      <c r="N16" s="7">
        <v>1</v>
      </c>
      <c r="O16" s="7">
        <v>0.45</v>
      </c>
      <c r="P16" s="7">
        <v>0.55000000000000004</v>
      </c>
      <c r="Q16" s="44">
        <f t="shared" si="0"/>
        <v>0.5</v>
      </c>
      <c r="R16" s="67">
        <v>13.7</v>
      </c>
      <c r="S16" s="67">
        <v>116</v>
      </c>
      <c r="T16" s="16">
        <f t="shared" si="1"/>
        <v>30</v>
      </c>
      <c r="U16" s="72">
        <v>117</v>
      </c>
      <c r="V16" s="64">
        <f t="shared" si="2"/>
        <v>3510</v>
      </c>
      <c r="W16" s="69">
        <v>24</v>
      </c>
      <c r="X16" s="60" t="s">
        <v>35</v>
      </c>
      <c r="Y16" s="73" t="s">
        <v>43</v>
      </c>
      <c r="Z16" s="73" t="s">
        <v>55</v>
      </c>
      <c r="AA16" s="74" t="s">
        <v>64</v>
      </c>
      <c r="AB16" s="43" t="s">
        <v>161</v>
      </c>
      <c r="AC16" s="34"/>
      <c r="AE16" s="22" t="s">
        <v>68</v>
      </c>
      <c r="AP16" s="23" t="s">
        <v>66</v>
      </c>
      <c r="AR16" s="37" t="s">
        <v>50</v>
      </c>
      <c r="AV16" s="23" t="s">
        <v>70</v>
      </c>
    </row>
    <row r="17" spans="1:48" x14ac:dyDescent="0.15">
      <c r="A17" s="84" t="s">
        <v>23</v>
      </c>
      <c r="B17" s="84" t="s">
        <v>160</v>
      </c>
      <c r="C17" s="84">
        <v>2020</v>
      </c>
      <c r="D17" s="45" t="s">
        <v>162</v>
      </c>
      <c r="E17" s="84" t="s">
        <v>151</v>
      </c>
      <c r="F17" s="84" t="s">
        <v>147</v>
      </c>
      <c r="G17" s="84" t="s">
        <v>25</v>
      </c>
      <c r="H17" s="84" t="s">
        <v>113</v>
      </c>
      <c r="I17" s="84" t="s">
        <v>111</v>
      </c>
      <c r="J17" s="78" t="s">
        <v>27</v>
      </c>
      <c r="K17" s="77" t="s">
        <v>112</v>
      </c>
      <c r="L17" s="84">
        <v>1</v>
      </c>
      <c r="N17" s="7">
        <v>5</v>
      </c>
      <c r="O17" s="7">
        <v>0.8</v>
      </c>
      <c r="P17" s="77">
        <v>0.8</v>
      </c>
      <c r="Q17" s="44">
        <f t="shared" si="0"/>
        <v>0.8</v>
      </c>
      <c r="R17" s="67">
        <v>15.2</v>
      </c>
      <c r="S17" s="67">
        <v>100</v>
      </c>
      <c r="T17" s="16">
        <f t="shared" si="1"/>
        <v>33</v>
      </c>
      <c r="U17" s="72">
        <v>297</v>
      </c>
      <c r="V17" s="64">
        <f t="shared" si="2"/>
        <v>1960.2</v>
      </c>
      <c r="W17" s="69">
        <v>24</v>
      </c>
      <c r="X17" s="60" t="s">
        <v>35</v>
      </c>
      <c r="Y17" s="73" t="s">
        <v>43</v>
      </c>
      <c r="Z17" s="73" t="s">
        <v>55</v>
      </c>
      <c r="AA17" s="74" t="s">
        <v>64</v>
      </c>
      <c r="AB17" s="43" t="s">
        <v>161</v>
      </c>
      <c r="AC17" s="34"/>
      <c r="AE17" s="22" t="s">
        <v>71</v>
      </c>
      <c r="AP17" s="39" t="s">
        <v>93</v>
      </c>
      <c r="AR17" s="37" t="s">
        <v>81</v>
      </c>
      <c r="AV17" s="23" t="s">
        <v>72</v>
      </c>
    </row>
    <row r="18" spans="1:48" x14ac:dyDescent="0.15">
      <c r="A18" s="84" t="s">
        <v>23</v>
      </c>
      <c r="B18" s="84" t="s">
        <v>160</v>
      </c>
      <c r="C18" s="84">
        <v>2020</v>
      </c>
      <c r="D18" s="45" t="s">
        <v>162</v>
      </c>
      <c r="E18" s="84" t="s">
        <v>151</v>
      </c>
      <c r="F18" s="84" t="s">
        <v>147</v>
      </c>
      <c r="G18" s="84" t="s">
        <v>25</v>
      </c>
      <c r="H18" s="84" t="s">
        <v>113</v>
      </c>
      <c r="I18" s="84" t="s">
        <v>111</v>
      </c>
      <c r="J18" s="78" t="s">
        <v>27</v>
      </c>
      <c r="K18" s="77" t="s">
        <v>112</v>
      </c>
      <c r="L18" s="84">
        <v>2</v>
      </c>
      <c r="N18" s="7">
        <v>5</v>
      </c>
      <c r="O18" s="7">
        <v>0.55000000000000004</v>
      </c>
      <c r="P18" s="7">
        <v>0.6</v>
      </c>
      <c r="Q18" s="44">
        <f t="shared" si="0"/>
        <v>0.57499999999999996</v>
      </c>
      <c r="R18" s="67">
        <v>15</v>
      </c>
      <c r="S18" s="67">
        <v>100</v>
      </c>
      <c r="T18" s="16">
        <f t="shared" si="1"/>
        <v>33</v>
      </c>
      <c r="U18" s="72">
        <v>297</v>
      </c>
      <c r="V18" s="64">
        <f t="shared" si="2"/>
        <v>1960.2</v>
      </c>
      <c r="W18" s="69">
        <v>24</v>
      </c>
      <c r="X18" s="60" t="s">
        <v>35</v>
      </c>
      <c r="Y18" s="73" t="s">
        <v>43</v>
      </c>
      <c r="Z18" s="73" t="s">
        <v>55</v>
      </c>
      <c r="AA18" s="74" t="s">
        <v>64</v>
      </c>
      <c r="AB18" s="43" t="s">
        <v>161</v>
      </c>
      <c r="AC18" s="34"/>
      <c r="AE18" s="22" t="s">
        <v>73</v>
      </c>
      <c r="AP18" s="39" t="s">
        <v>94</v>
      </c>
      <c r="AR18" s="37" t="s">
        <v>85</v>
      </c>
      <c r="AV18" s="23" t="s">
        <v>74</v>
      </c>
    </row>
    <row r="19" spans="1:48" x14ac:dyDescent="0.15">
      <c r="A19" s="84" t="s">
        <v>23</v>
      </c>
      <c r="B19" s="84" t="s">
        <v>160</v>
      </c>
      <c r="C19" s="84">
        <v>2020</v>
      </c>
      <c r="D19" s="45" t="s">
        <v>162</v>
      </c>
      <c r="E19" s="84" t="s">
        <v>151</v>
      </c>
      <c r="F19" s="84" t="s">
        <v>147</v>
      </c>
      <c r="G19" s="84" t="s">
        <v>25</v>
      </c>
      <c r="H19" s="84" t="s">
        <v>113</v>
      </c>
      <c r="I19" s="84" t="s">
        <v>111</v>
      </c>
      <c r="J19" s="78" t="s">
        <v>27</v>
      </c>
      <c r="K19" s="77" t="s">
        <v>112</v>
      </c>
      <c r="L19" s="84">
        <v>3</v>
      </c>
      <c r="N19" s="7">
        <v>5</v>
      </c>
      <c r="O19" s="77">
        <v>0.45</v>
      </c>
      <c r="P19" s="77">
        <v>0.35</v>
      </c>
      <c r="Q19" s="44">
        <f t="shared" si="0"/>
        <v>0.4</v>
      </c>
      <c r="R19" s="67">
        <v>14.8</v>
      </c>
      <c r="S19" s="76">
        <v>96</v>
      </c>
      <c r="T19" s="16">
        <f t="shared" si="1"/>
        <v>36</v>
      </c>
      <c r="U19" s="72">
        <v>297</v>
      </c>
      <c r="V19" s="64">
        <f t="shared" si="2"/>
        <v>2138.4</v>
      </c>
      <c r="W19" s="69">
        <v>24</v>
      </c>
      <c r="X19" s="60" t="s">
        <v>35</v>
      </c>
      <c r="Y19" s="73" t="s">
        <v>43</v>
      </c>
      <c r="Z19" s="73" t="s">
        <v>55</v>
      </c>
      <c r="AA19" s="74" t="s">
        <v>64</v>
      </c>
      <c r="AB19" s="43" t="s">
        <v>161</v>
      </c>
      <c r="AC19" s="34"/>
      <c r="AE19" s="35" t="s">
        <v>75</v>
      </c>
      <c r="AP19" s="39" t="s">
        <v>95</v>
      </c>
      <c r="AR19" s="30" t="s">
        <v>106</v>
      </c>
      <c r="AV19" s="23" t="s">
        <v>76</v>
      </c>
    </row>
    <row r="20" spans="1:48" x14ac:dyDescent="0.15">
      <c r="A20" s="84" t="s">
        <v>23</v>
      </c>
      <c r="B20" s="84" t="s">
        <v>160</v>
      </c>
      <c r="C20" s="84">
        <v>2020</v>
      </c>
      <c r="D20" s="45" t="s">
        <v>162</v>
      </c>
      <c r="E20" s="84" t="s">
        <v>151</v>
      </c>
      <c r="F20" s="84" t="s">
        <v>147</v>
      </c>
      <c r="G20" s="84" t="s">
        <v>25</v>
      </c>
      <c r="H20" s="84" t="s">
        <v>113</v>
      </c>
      <c r="I20" s="84" t="s">
        <v>111</v>
      </c>
      <c r="J20" s="78" t="s">
        <v>27</v>
      </c>
      <c r="K20" s="77" t="s">
        <v>112</v>
      </c>
      <c r="L20" s="84">
        <v>1</v>
      </c>
      <c r="N20" s="7">
        <v>8</v>
      </c>
      <c r="O20" s="77">
        <v>0.9</v>
      </c>
      <c r="P20" s="77">
        <v>1</v>
      </c>
      <c r="Q20" s="44">
        <f t="shared" si="0"/>
        <v>0.95</v>
      </c>
      <c r="R20" s="76">
        <v>16.899999999999999</v>
      </c>
      <c r="S20" s="67">
        <v>81</v>
      </c>
      <c r="T20" s="16">
        <f t="shared" si="1"/>
        <v>39</v>
      </c>
      <c r="U20" s="72">
        <v>447</v>
      </c>
      <c r="V20" s="64">
        <f t="shared" si="2"/>
        <v>2179.125</v>
      </c>
      <c r="W20" s="69">
        <v>24</v>
      </c>
      <c r="X20" s="60" t="s">
        <v>35</v>
      </c>
      <c r="Y20" s="73" t="s">
        <v>43</v>
      </c>
      <c r="Z20" s="73" t="s">
        <v>55</v>
      </c>
      <c r="AA20" s="74" t="s">
        <v>64</v>
      </c>
      <c r="AB20" s="43" t="s">
        <v>161</v>
      </c>
      <c r="AE20" s="35"/>
      <c r="AP20" s="39" t="s">
        <v>96</v>
      </c>
      <c r="AR20" s="37" t="s">
        <v>89</v>
      </c>
      <c r="AV20" s="27" t="s">
        <v>114</v>
      </c>
    </row>
    <row r="21" spans="1:48" x14ac:dyDescent="0.15">
      <c r="A21" s="84" t="s">
        <v>23</v>
      </c>
      <c r="B21" s="84" t="s">
        <v>160</v>
      </c>
      <c r="C21" s="84">
        <v>2020</v>
      </c>
      <c r="D21" s="45" t="s">
        <v>162</v>
      </c>
      <c r="E21" s="84" t="s">
        <v>151</v>
      </c>
      <c r="F21" s="84" t="s">
        <v>147</v>
      </c>
      <c r="G21" s="84" t="s">
        <v>25</v>
      </c>
      <c r="H21" s="84" t="s">
        <v>113</v>
      </c>
      <c r="I21" s="84" t="s">
        <v>111</v>
      </c>
      <c r="J21" s="78" t="s">
        <v>27</v>
      </c>
      <c r="K21" s="77" t="s">
        <v>112</v>
      </c>
      <c r="L21" s="84">
        <v>2</v>
      </c>
      <c r="N21" s="7">
        <v>8</v>
      </c>
      <c r="O21" s="77">
        <v>1</v>
      </c>
      <c r="P21" s="34">
        <v>1.1000000000000001</v>
      </c>
      <c r="Q21" s="44">
        <f t="shared" si="0"/>
        <v>1.05</v>
      </c>
      <c r="R21" s="67">
        <v>13.1</v>
      </c>
      <c r="S21" s="67">
        <v>82</v>
      </c>
      <c r="T21" s="16">
        <f t="shared" si="1"/>
        <v>39</v>
      </c>
      <c r="U21" s="72">
        <v>447</v>
      </c>
      <c r="V21" s="64">
        <f t="shared" si="2"/>
        <v>2179.125</v>
      </c>
      <c r="W21" s="69">
        <v>24</v>
      </c>
      <c r="X21" s="60" t="s">
        <v>35</v>
      </c>
      <c r="Y21" s="73" t="s">
        <v>43</v>
      </c>
      <c r="Z21" s="73" t="s">
        <v>55</v>
      </c>
      <c r="AA21" s="74" t="s">
        <v>64</v>
      </c>
      <c r="AB21" s="43" t="s">
        <v>161</v>
      </c>
      <c r="AE21" s="28"/>
      <c r="AP21" s="39" t="s">
        <v>97</v>
      </c>
      <c r="AR21" s="37" t="s">
        <v>54</v>
      </c>
      <c r="AV21" s="27" t="s">
        <v>115</v>
      </c>
    </row>
    <row r="22" spans="1:48" x14ac:dyDescent="0.15">
      <c r="A22" s="84" t="s">
        <v>23</v>
      </c>
      <c r="B22" s="84" t="s">
        <v>160</v>
      </c>
      <c r="C22" s="84">
        <v>2020</v>
      </c>
      <c r="D22" s="45" t="s">
        <v>162</v>
      </c>
      <c r="E22" s="84" t="s">
        <v>151</v>
      </c>
      <c r="F22" s="84" t="s">
        <v>147</v>
      </c>
      <c r="G22" s="84" t="s">
        <v>25</v>
      </c>
      <c r="H22" s="84" t="s">
        <v>113</v>
      </c>
      <c r="I22" s="84" t="s">
        <v>111</v>
      </c>
      <c r="J22" s="78" t="s">
        <v>27</v>
      </c>
      <c r="K22" s="77" t="s">
        <v>112</v>
      </c>
      <c r="L22" s="84">
        <v>3</v>
      </c>
      <c r="N22" s="7">
        <v>8</v>
      </c>
      <c r="O22" s="77">
        <v>1.05</v>
      </c>
      <c r="P22" s="34">
        <v>1.4</v>
      </c>
      <c r="Q22" s="44">
        <f t="shared" si="0"/>
        <v>1.2250000000000001</v>
      </c>
      <c r="R22" s="67">
        <v>15.1</v>
      </c>
      <c r="S22" s="67">
        <v>77</v>
      </c>
      <c r="T22" s="16">
        <f t="shared" si="1"/>
        <v>39</v>
      </c>
      <c r="U22" s="72">
        <v>447</v>
      </c>
      <c r="V22" s="64">
        <f t="shared" si="2"/>
        <v>2179.125</v>
      </c>
      <c r="W22" s="69">
        <v>24</v>
      </c>
      <c r="X22" s="60" t="s">
        <v>35</v>
      </c>
      <c r="Y22" s="73" t="s">
        <v>43</v>
      </c>
      <c r="Z22" s="73" t="s">
        <v>55</v>
      </c>
      <c r="AA22" s="74" t="s">
        <v>64</v>
      </c>
      <c r="AB22" s="43" t="s">
        <v>161</v>
      </c>
      <c r="AP22" s="39" t="s">
        <v>98</v>
      </c>
      <c r="AR22" s="37" t="s">
        <v>69</v>
      </c>
      <c r="AV22" s="23"/>
    </row>
    <row r="23" spans="1:48" x14ac:dyDescent="0.15">
      <c r="A23" s="84" t="s">
        <v>23</v>
      </c>
      <c r="B23" s="84" t="s">
        <v>160</v>
      </c>
      <c r="C23" s="84">
        <v>2020</v>
      </c>
      <c r="D23" s="45" t="s">
        <v>162</v>
      </c>
      <c r="E23" s="84" t="s">
        <v>151</v>
      </c>
      <c r="F23" s="84" t="s">
        <v>147</v>
      </c>
      <c r="G23" s="84" t="s">
        <v>25</v>
      </c>
      <c r="H23" s="84" t="s">
        <v>164</v>
      </c>
      <c r="I23" s="84" t="s">
        <v>111</v>
      </c>
      <c r="J23" s="78" t="s">
        <v>27</v>
      </c>
      <c r="K23" s="77" t="s">
        <v>112</v>
      </c>
      <c r="L23" s="84">
        <v>1</v>
      </c>
      <c r="N23" s="7">
        <v>1</v>
      </c>
      <c r="O23" s="77">
        <v>0.6</v>
      </c>
      <c r="P23" s="34">
        <v>0.7</v>
      </c>
      <c r="Q23" s="44">
        <f t="shared" si="0"/>
        <v>0.64999999999999991</v>
      </c>
      <c r="R23" s="67">
        <v>17.5</v>
      </c>
      <c r="S23" s="67">
        <v>150</v>
      </c>
      <c r="T23" s="16">
        <f t="shared" si="1"/>
        <v>30</v>
      </c>
      <c r="U23" s="72">
        <v>117</v>
      </c>
      <c r="V23" s="64">
        <f t="shared" si="2"/>
        <v>3510</v>
      </c>
      <c r="W23" s="69">
        <v>24</v>
      </c>
      <c r="X23" s="60" t="s">
        <v>35</v>
      </c>
      <c r="Y23" s="73" t="s">
        <v>43</v>
      </c>
      <c r="Z23" s="73" t="s">
        <v>55</v>
      </c>
      <c r="AA23" s="74" t="s">
        <v>64</v>
      </c>
      <c r="AB23" s="43" t="s">
        <v>161</v>
      </c>
      <c r="AP23" s="39" t="s">
        <v>116</v>
      </c>
      <c r="AR23" s="37" t="s">
        <v>48</v>
      </c>
      <c r="AV23" s="23"/>
    </row>
    <row r="24" spans="1:48" x14ac:dyDescent="0.15">
      <c r="A24" s="84" t="s">
        <v>23</v>
      </c>
      <c r="B24" s="84" t="s">
        <v>160</v>
      </c>
      <c r="C24" s="84">
        <v>2020</v>
      </c>
      <c r="D24" s="45" t="s">
        <v>162</v>
      </c>
      <c r="E24" s="84" t="s">
        <v>151</v>
      </c>
      <c r="F24" s="84" t="s">
        <v>147</v>
      </c>
      <c r="G24" s="84" t="s">
        <v>25</v>
      </c>
      <c r="H24" s="84" t="s">
        <v>164</v>
      </c>
      <c r="I24" s="84" t="s">
        <v>111</v>
      </c>
      <c r="J24" s="78" t="s">
        <v>27</v>
      </c>
      <c r="K24" s="77" t="s">
        <v>112</v>
      </c>
      <c r="L24" s="84">
        <v>2</v>
      </c>
      <c r="N24" s="7">
        <v>1</v>
      </c>
      <c r="O24" s="77">
        <v>0.7</v>
      </c>
      <c r="P24" s="34">
        <v>0.75</v>
      </c>
      <c r="Q24" s="44">
        <f t="shared" si="0"/>
        <v>0.72499999999999998</v>
      </c>
      <c r="R24" s="67">
        <v>18.7</v>
      </c>
      <c r="S24" s="67">
        <v>145</v>
      </c>
      <c r="T24" s="16">
        <f t="shared" si="1"/>
        <v>30</v>
      </c>
      <c r="U24" s="72">
        <v>117</v>
      </c>
      <c r="V24" s="64">
        <f t="shared" si="2"/>
        <v>3510</v>
      </c>
      <c r="W24" s="69">
        <v>24</v>
      </c>
      <c r="X24" s="60" t="s">
        <v>35</v>
      </c>
      <c r="Y24" s="73" t="s">
        <v>43</v>
      </c>
      <c r="Z24" s="73" t="s">
        <v>55</v>
      </c>
      <c r="AA24" s="74" t="s">
        <v>64</v>
      </c>
      <c r="AB24" s="43" t="s">
        <v>161</v>
      </c>
      <c r="AP24" s="39" t="s">
        <v>117</v>
      </c>
      <c r="AR24" s="37" t="s">
        <v>77</v>
      </c>
      <c r="AV24" s="23"/>
    </row>
    <row r="25" spans="1:48" x14ac:dyDescent="0.15">
      <c r="A25" s="84" t="s">
        <v>23</v>
      </c>
      <c r="B25" s="84" t="s">
        <v>160</v>
      </c>
      <c r="C25" s="84">
        <v>2020</v>
      </c>
      <c r="D25" s="45" t="s">
        <v>162</v>
      </c>
      <c r="E25" s="84" t="s">
        <v>151</v>
      </c>
      <c r="F25" s="84" t="s">
        <v>147</v>
      </c>
      <c r="G25" s="84" t="s">
        <v>25</v>
      </c>
      <c r="H25" s="84" t="s">
        <v>164</v>
      </c>
      <c r="I25" s="84" t="s">
        <v>111</v>
      </c>
      <c r="J25" s="78" t="s">
        <v>27</v>
      </c>
      <c r="K25" s="77" t="s">
        <v>112</v>
      </c>
      <c r="L25" s="84">
        <v>3</v>
      </c>
      <c r="N25" s="7">
        <v>1</v>
      </c>
      <c r="O25" s="77">
        <v>0.8</v>
      </c>
      <c r="P25" s="36">
        <v>0.7</v>
      </c>
      <c r="Q25" s="44">
        <f t="shared" si="0"/>
        <v>0.75</v>
      </c>
      <c r="R25" s="67">
        <v>16.5</v>
      </c>
      <c r="S25" s="67">
        <v>144</v>
      </c>
      <c r="T25" s="16">
        <f t="shared" si="1"/>
        <v>30</v>
      </c>
      <c r="U25" s="72">
        <v>117</v>
      </c>
      <c r="V25" s="64">
        <f t="shared" si="2"/>
        <v>3510</v>
      </c>
      <c r="W25" s="69">
        <v>24</v>
      </c>
      <c r="X25" s="60" t="s">
        <v>35</v>
      </c>
      <c r="Y25" s="73" t="s">
        <v>43</v>
      </c>
      <c r="Z25" s="73" t="s">
        <v>55</v>
      </c>
      <c r="AA25" s="74" t="s">
        <v>64</v>
      </c>
      <c r="AB25" s="43" t="s">
        <v>161</v>
      </c>
      <c r="AP25" s="39" t="s">
        <v>99</v>
      </c>
      <c r="AR25" s="38" t="s">
        <v>78</v>
      </c>
      <c r="AV25" s="23"/>
    </row>
    <row r="26" spans="1:48" x14ac:dyDescent="0.15">
      <c r="A26" s="84" t="s">
        <v>23</v>
      </c>
      <c r="B26" s="84" t="s">
        <v>160</v>
      </c>
      <c r="C26" s="84">
        <v>2020</v>
      </c>
      <c r="D26" s="45" t="s">
        <v>162</v>
      </c>
      <c r="E26" s="84" t="s">
        <v>151</v>
      </c>
      <c r="F26" s="84" t="s">
        <v>147</v>
      </c>
      <c r="G26" s="84" t="s">
        <v>25</v>
      </c>
      <c r="H26" s="84" t="s">
        <v>164</v>
      </c>
      <c r="I26" s="84" t="s">
        <v>111</v>
      </c>
      <c r="J26" s="78" t="s">
        <v>27</v>
      </c>
      <c r="K26" s="77" t="s">
        <v>112</v>
      </c>
      <c r="L26" s="84">
        <v>1</v>
      </c>
      <c r="N26" s="7">
        <v>4</v>
      </c>
      <c r="O26" s="34">
        <v>0.8</v>
      </c>
      <c r="P26" s="36">
        <v>0.8</v>
      </c>
      <c r="Q26" s="44">
        <f t="shared" si="0"/>
        <v>0.8</v>
      </c>
      <c r="R26" s="67">
        <v>15.6</v>
      </c>
      <c r="S26" s="67">
        <v>99</v>
      </c>
      <c r="T26" s="16">
        <f t="shared" si="1"/>
        <v>33</v>
      </c>
      <c r="U26" s="72">
        <v>397</v>
      </c>
      <c r="V26" s="64">
        <f t="shared" si="2"/>
        <v>3275.25</v>
      </c>
      <c r="W26" s="69">
        <v>24</v>
      </c>
      <c r="X26" s="60" t="s">
        <v>169</v>
      </c>
      <c r="Y26" s="73" t="s">
        <v>43</v>
      </c>
      <c r="Z26" s="73" t="s">
        <v>55</v>
      </c>
      <c r="AA26" s="74" t="s">
        <v>64</v>
      </c>
      <c r="AB26" s="43" t="s">
        <v>161</v>
      </c>
      <c r="AP26" s="39" t="s">
        <v>100</v>
      </c>
      <c r="AR26" s="23" t="s">
        <v>138</v>
      </c>
      <c r="AV26" s="27"/>
    </row>
    <row r="27" spans="1:48" x14ac:dyDescent="0.15">
      <c r="A27" s="84" t="s">
        <v>23</v>
      </c>
      <c r="B27" s="84" t="s">
        <v>160</v>
      </c>
      <c r="C27" s="84">
        <v>2020</v>
      </c>
      <c r="D27" s="45" t="s">
        <v>162</v>
      </c>
      <c r="E27" s="84" t="s">
        <v>151</v>
      </c>
      <c r="F27" s="84" t="s">
        <v>147</v>
      </c>
      <c r="G27" s="84" t="s">
        <v>25</v>
      </c>
      <c r="H27" s="84" t="s">
        <v>164</v>
      </c>
      <c r="I27" s="84" t="s">
        <v>111</v>
      </c>
      <c r="J27" s="78" t="s">
        <v>27</v>
      </c>
      <c r="K27" s="77" t="s">
        <v>112</v>
      </c>
      <c r="L27" s="84">
        <v>2</v>
      </c>
      <c r="N27" s="7">
        <v>4</v>
      </c>
      <c r="O27" s="34">
        <v>0.7</v>
      </c>
      <c r="P27" s="77">
        <v>0.75</v>
      </c>
      <c r="Q27" s="44">
        <f t="shared" si="0"/>
        <v>0.72499999999999998</v>
      </c>
      <c r="R27" s="67">
        <v>15.6</v>
      </c>
      <c r="S27" s="67">
        <v>94</v>
      </c>
      <c r="T27" s="16">
        <f t="shared" si="1"/>
        <v>36</v>
      </c>
      <c r="U27" s="72">
        <v>397</v>
      </c>
      <c r="V27" s="64">
        <f t="shared" si="2"/>
        <v>3573</v>
      </c>
      <c r="W27" s="69">
        <v>24</v>
      </c>
      <c r="X27" s="60" t="s">
        <v>35</v>
      </c>
      <c r="Y27" s="73" t="s">
        <v>43</v>
      </c>
      <c r="Z27" s="73" t="s">
        <v>55</v>
      </c>
      <c r="AA27" s="74" t="s">
        <v>64</v>
      </c>
      <c r="AB27" s="43" t="s">
        <v>161</v>
      </c>
      <c r="AP27" s="39" t="s">
        <v>101</v>
      </c>
      <c r="AR27" s="23" t="s">
        <v>159</v>
      </c>
    </row>
    <row r="28" spans="1:48" x14ac:dyDescent="0.15">
      <c r="A28" s="84" t="s">
        <v>23</v>
      </c>
      <c r="B28" s="84" t="s">
        <v>160</v>
      </c>
      <c r="C28" s="84">
        <v>2020</v>
      </c>
      <c r="D28" s="45" t="s">
        <v>162</v>
      </c>
      <c r="E28" s="84" t="s">
        <v>151</v>
      </c>
      <c r="F28" s="84" t="s">
        <v>147</v>
      </c>
      <c r="G28" s="84" t="s">
        <v>25</v>
      </c>
      <c r="H28" s="84" t="s">
        <v>164</v>
      </c>
      <c r="I28" s="84" t="s">
        <v>111</v>
      </c>
      <c r="J28" s="78" t="s">
        <v>27</v>
      </c>
      <c r="K28" s="77" t="s">
        <v>112</v>
      </c>
      <c r="L28" s="84">
        <v>3</v>
      </c>
      <c r="N28" s="7">
        <v>4</v>
      </c>
      <c r="O28" s="34">
        <v>0.6</v>
      </c>
      <c r="P28" s="7">
        <v>0.65</v>
      </c>
      <c r="Q28" s="44">
        <f t="shared" si="0"/>
        <v>0.625</v>
      </c>
      <c r="R28" s="67">
        <v>15.7</v>
      </c>
      <c r="S28" s="67">
        <v>97</v>
      </c>
      <c r="T28" s="16">
        <f t="shared" si="1"/>
        <v>36</v>
      </c>
      <c r="U28" s="72">
        <v>397</v>
      </c>
      <c r="V28" s="64">
        <f t="shared" si="2"/>
        <v>3573</v>
      </c>
      <c r="W28" s="69">
        <v>24</v>
      </c>
      <c r="X28" s="60" t="s">
        <v>35</v>
      </c>
      <c r="Y28" s="73" t="s">
        <v>43</v>
      </c>
      <c r="Z28" s="73" t="s">
        <v>55</v>
      </c>
      <c r="AA28" s="74" t="s">
        <v>64</v>
      </c>
      <c r="AB28" s="43" t="s">
        <v>161</v>
      </c>
      <c r="AP28" s="82" t="s">
        <v>156</v>
      </c>
      <c r="AR28" s="23" t="s">
        <v>158</v>
      </c>
    </row>
    <row r="29" spans="1:48" x14ac:dyDescent="0.15">
      <c r="A29" s="84" t="s">
        <v>23</v>
      </c>
      <c r="B29" s="84" t="s">
        <v>160</v>
      </c>
      <c r="C29" s="84">
        <v>2020</v>
      </c>
      <c r="D29" s="45" t="s">
        <v>162</v>
      </c>
      <c r="E29" s="84" t="s">
        <v>153</v>
      </c>
      <c r="F29" s="84" t="s">
        <v>154</v>
      </c>
      <c r="G29" s="84" t="s">
        <v>31</v>
      </c>
      <c r="H29" s="84" t="s">
        <v>164</v>
      </c>
      <c r="I29" s="84" t="s">
        <v>111</v>
      </c>
      <c r="J29" s="78" t="s">
        <v>27</v>
      </c>
      <c r="K29" s="77" t="s">
        <v>112</v>
      </c>
      <c r="L29" s="84">
        <v>1</v>
      </c>
      <c r="N29" s="77">
        <v>4</v>
      </c>
      <c r="O29" s="7">
        <v>0.45</v>
      </c>
      <c r="P29" s="7">
        <v>0.45</v>
      </c>
      <c r="Q29" s="44">
        <f t="shared" si="0"/>
        <v>0.45</v>
      </c>
      <c r="R29" s="67">
        <v>19.3</v>
      </c>
      <c r="S29" s="67">
        <v>104</v>
      </c>
      <c r="T29" s="16">
        <f t="shared" si="1"/>
        <v>33</v>
      </c>
      <c r="U29" s="72">
        <v>570</v>
      </c>
      <c r="V29" s="64">
        <f t="shared" si="2"/>
        <v>4702.5</v>
      </c>
      <c r="W29" s="69">
        <v>1</v>
      </c>
      <c r="X29" s="65" t="s">
        <v>28</v>
      </c>
      <c r="Y29" s="73" t="s">
        <v>55</v>
      </c>
      <c r="Z29" s="73" t="s">
        <v>36</v>
      </c>
      <c r="AA29" s="73" t="s">
        <v>90</v>
      </c>
      <c r="AB29" s="43" t="s">
        <v>161</v>
      </c>
      <c r="AP29" s="82" t="s">
        <v>157</v>
      </c>
      <c r="AR29" s="28"/>
    </row>
    <row r="30" spans="1:48" x14ac:dyDescent="0.15">
      <c r="A30" s="84" t="s">
        <v>23</v>
      </c>
      <c r="B30" s="84" t="s">
        <v>160</v>
      </c>
      <c r="C30" s="84">
        <v>2020</v>
      </c>
      <c r="D30" s="45" t="s">
        <v>162</v>
      </c>
      <c r="E30" s="84" t="s">
        <v>153</v>
      </c>
      <c r="F30" s="84" t="s">
        <v>154</v>
      </c>
      <c r="G30" s="84" t="s">
        <v>31</v>
      </c>
      <c r="H30" s="84" t="s">
        <v>164</v>
      </c>
      <c r="I30" s="84" t="s">
        <v>111</v>
      </c>
      <c r="J30" s="78" t="s">
        <v>27</v>
      </c>
      <c r="K30" s="77" t="s">
        <v>112</v>
      </c>
      <c r="L30" s="84">
        <v>2</v>
      </c>
      <c r="N30" s="77">
        <v>4</v>
      </c>
      <c r="O30" s="7">
        <v>0.4</v>
      </c>
      <c r="P30" s="7">
        <v>0.5</v>
      </c>
      <c r="Q30" s="44">
        <f t="shared" si="0"/>
        <v>0.45</v>
      </c>
      <c r="R30" s="67">
        <v>19.2</v>
      </c>
      <c r="S30" s="67">
        <v>101</v>
      </c>
      <c r="T30" s="16">
        <f t="shared" si="1"/>
        <v>33</v>
      </c>
      <c r="U30" s="72">
        <v>570</v>
      </c>
      <c r="V30" s="64">
        <f t="shared" si="2"/>
        <v>4702.5</v>
      </c>
      <c r="W30" s="69">
        <v>1</v>
      </c>
      <c r="X30" s="65" t="s">
        <v>28</v>
      </c>
      <c r="Y30" s="73" t="s">
        <v>55</v>
      </c>
      <c r="Z30" s="73" t="s">
        <v>36</v>
      </c>
      <c r="AA30" s="73" t="s">
        <v>90</v>
      </c>
      <c r="AB30" s="43" t="s">
        <v>161</v>
      </c>
    </row>
    <row r="31" spans="1:48" x14ac:dyDescent="0.15">
      <c r="A31" s="84" t="s">
        <v>23</v>
      </c>
      <c r="B31" s="84" t="s">
        <v>160</v>
      </c>
      <c r="C31" s="84">
        <v>2020</v>
      </c>
      <c r="D31" s="45" t="s">
        <v>162</v>
      </c>
      <c r="E31" s="84" t="s">
        <v>153</v>
      </c>
      <c r="F31" s="84" t="s">
        <v>154</v>
      </c>
      <c r="G31" s="84" t="s">
        <v>31</v>
      </c>
      <c r="H31" s="84" t="s">
        <v>164</v>
      </c>
      <c r="I31" s="84" t="s">
        <v>111</v>
      </c>
      <c r="J31" s="78" t="s">
        <v>27</v>
      </c>
      <c r="K31" s="77" t="s">
        <v>112</v>
      </c>
      <c r="L31" s="84">
        <v>3</v>
      </c>
      <c r="N31" s="77">
        <v>4</v>
      </c>
      <c r="O31" s="7">
        <v>0.4</v>
      </c>
      <c r="P31" s="77">
        <v>0.4</v>
      </c>
      <c r="Q31" s="44">
        <f t="shared" si="0"/>
        <v>0.4</v>
      </c>
      <c r="R31" s="67">
        <v>18.100000000000001</v>
      </c>
      <c r="S31" s="67">
        <v>100</v>
      </c>
      <c r="T31" s="16">
        <f t="shared" si="1"/>
        <v>33</v>
      </c>
      <c r="U31" s="72">
        <v>570</v>
      </c>
      <c r="V31" s="64">
        <f t="shared" si="2"/>
        <v>4702.5</v>
      </c>
      <c r="W31" s="69">
        <v>1</v>
      </c>
      <c r="X31" s="65" t="s">
        <v>28</v>
      </c>
      <c r="Y31" s="73" t="s">
        <v>55</v>
      </c>
      <c r="Z31" s="73" t="s">
        <v>36</v>
      </c>
      <c r="AA31" s="73" t="s">
        <v>90</v>
      </c>
      <c r="AB31" s="43" t="s">
        <v>161</v>
      </c>
    </row>
    <row r="32" spans="1:48" s="36" customFormat="1" ht="14.25" customHeight="1" x14ac:dyDescent="0.15">
      <c r="A32" s="84" t="s">
        <v>23</v>
      </c>
      <c r="B32" s="84" t="s">
        <v>160</v>
      </c>
      <c r="C32" s="84">
        <v>2020</v>
      </c>
      <c r="D32" s="45" t="s">
        <v>162</v>
      </c>
      <c r="E32" s="84" t="s">
        <v>152</v>
      </c>
      <c r="F32" s="84" t="s">
        <v>147</v>
      </c>
      <c r="G32" s="84" t="s">
        <v>25</v>
      </c>
      <c r="H32" s="84" t="s">
        <v>113</v>
      </c>
      <c r="I32" s="84" t="s">
        <v>111</v>
      </c>
      <c r="J32" s="43" t="s">
        <v>27</v>
      </c>
      <c r="K32" s="36" t="s">
        <v>112</v>
      </c>
      <c r="L32" s="84">
        <v>1</v>
      </c>
      <c r="N32" s="36">
        <v>1</v>
      </c>
      <c r="O32" s="36">
        <v>0.5</v>
      </c>
      <c r="P32" s="36">
        <v>0.6</v>
      </c>
      <c r="Q32" s="92">
        <f t="shared" si="0"/>
        <v>0.55000000000000004</v>
      </c>
      <c r="R32" s="76">
        <v>15.3</v>
      </c>
      <c r="S32" s="76">
        <v>122</v>
      </c>
      <c r="T32" s="93">
        <f t="shared" si="1"/>
        <v>30</v>
      </c>
      <c r="U32" s="94">
        <v>98</v>
      </c>
      <c r="V32" s="95">
        <f t="shared" si="2"/>
        <v>2940</v>
      </c>
      <c r="W32" s="96">
        <v>23</v>
      </c>
      <c r="X32" s="97" t="s">
        <v>35</v>
      </c>
      <c r="Y32" s="74" t="s">
        <v>55</v>
      </c>
      <c r="Z32" s="74" t="s">
        <v>43</v>
      </c>
      <c r="AA32" s="74" t="s">
        <v>72</v>
      </c>
      <c r="AB32" s="43" t="s">
        <v>161</v>
      </c>
      <c r="AI32" s="98"/>
      <c r="AJ32" s="98"/>
      <c r="AK32" s="98"/>
      <c r="AL32" s="98"/>
      <c r="AM32" s="98"/>
    </row>
    <row r="33" spans="1:44" s="36" customFormat="1" x14ac:dyDescent="0.15">
      <c r="A33" s="84" t="s">
        <v>23</v>
      </c>
      <c r="B33" s="84" t="s">
        <v>160</v>
      </c>
      <c r="C33" s="84">
        <v>2020</v>
      </c>
      <c r="D33" s="45" t="s">
        <v>162</v>
      </c>
      <c r="E33" s="84" t="s">
        <v>152</v>
      </c>
      <c r="F33" s="84" t="s">
        <v>147</v>
      </c>
      <c r="G33" s="84" t="s">
        <v>25</v>
      </c>
      <c r="H33" s="84" t="s">
        <v>113</v>
      </c>
      <c r="I33" s="84" t="s">
        <v>111</v>
      </c>
      <c r="J33" s="43" t="s">
        <v>27</v>
      </c>
      <c r="K33" s="36" t="s">
        <v>112</v>
      </c>
      <c r="L33" s="84">
        <v>2</v>
      </c>
      <c r="N33" s="36">
        <v>1</v>
      </c>
      <c r="O33" s="36">
        <v>1.1000000000000001</v>
      </c>
      <c r="P33" s="36">
        <v>0.6</v>
      </c>
      <c r="Q33" s="92">
        <f t="shared" si="0"/>
        <v>0.85000000000000009</v>
      </c>
      <c r="R33" s="76">
        <v>15.7</v>
      </c>
      <c r="S33" s="76">
        <v>115</v>
      </c>
      <c r="T33" s="93">
        <f t="shared" si="1"/>
        <v>30</v>
      </c>
      <c r="U33" s="94">
        <v>98</v>
      </c>
      <c r="V33" s="95">
        <f t="shared" si="2"/>
        <v>2940</v>
      </c>
      <c r="W33" s="96">
        <v>23</v>
      </c>
      <c r="X33" s="97" t="s">
        <v>35</v>
      </c>
      <c r="Y33" s="74" t="s">
        <v>55</v>
      </c>
      <c r="Z33" s="74" t="s">
        <v>43</v>
      </c>
      <c r="AA33" s="74" t="s">
        <v>72</v>
      </c>
      <c r="AB33" s="43" t="s">
        <v>161</v>
      </c>
      <c r="AI33" s="98"/>
      <c r="AJ33" s="98"/>
      <c r="AK33" s="98"/>
      <c r="AL33" s="98"/>
      <c r="AM33" s="98"/>
    </row>
    <row r="34" spans="1:44" s="36" customFormat="1" x14ac:dyDescent="0.15">
      <c r="A34" s="84" t="s">
        <v>23</v>
      </c>
      <c r="B34" s="84" t="s">
        <v>160</v>
      </c>
      <c r="C34" s="84">
        <v>2020</v>
      </c>
      <c r="D34" s="45" t="s">
        <v>162</v>
      </c>
      <c r="E34" s="84" t="s">
        <v>152</v>
      </c>
      <c r="F34" s="84" t="s">
        <v>147</v>
      </c>
      <c r="G34" s="84" t="s">
        <v>25</v>
      </c>
      <c r="H34" s="84" t="s">
        <v>113</v>
      </c>
      <c r="I34" s="84" t="s">
        <v>111</v>
      </c>
      <c r="J34" s="43" t="s">
        <v>27</v>
      </c>
      <c r="K34" s="36" t="s">
        <v>112</v>
      </c>
      <c r="L34" s="84">
        <v>3</v>
      </c>
      <c r="N34" s="36">
        <v>1</v>
      </c>
      <c r="O34" s="36">
        <v>0.6</v>
      </c>
      <c r="P34" s="36">
        <v>0.6</v>
      </c>
      <c r="Q34" s="92">
        <f t="shared" si="0"/>
        <v>0.6</v>
      </c>
      <c r="R34" s="76">
        <v>15.3</v>
      </c>
      <c r="S34" s="76">
        <v>128</v>
      </c>
      <c r="T34" s="93">
        <f t="shared" si="1"/>
        <v>30</v>
      </c>
      <c r="U34" s="94">
        <v>98</v>
      </c>
      <c r="V34" s="95">
        <f t="shared" si="2"/>
        <v>2940</v>
      </c>
      <c r="W34" s="96">
        <v>23</v>
      </c>
      <c r="X34" s="97" t="s">
        <v>35</v>
      </c>
      <c r="Y34" s="74" t="s">
        <v>55</v>
      </c>
      <c r="Z34" s="74" t="s">
        <v>43</v>
      </c>
      <c r="AA34" s="74" t="s">
        <v>72</v>
      </c>
      <c r="AB34" s="43" t="s">
        <v>161</v>
      </c>
      <c r="AI34" s="98"/>
      <c r="AJ34" s="98"/>
      <c r="AK34" s="98"/>
      <c r="AL34" s="98"/>
      <c r="AM34" s="98"/>
    </row>
    <row r="35" spans="1:44" s="36" customFormat="1" x14ac:dyDescent="0.15">
      <c r="A35" s="84" t="s">
        <v>23</v>
      </c>
      <c r="B35" s="84" t="s">
        <v>160</v>
      </c>
      <c r="C35" s="84">
        <v>2020</v>
      </c>
      <c r="D35" s="45" t="s">
        <v>162</v>
      </c>
      <c r="E35" s="84" t="s">
        <v>152</v>
      </c>
      <c r="F35" s="84" t="s">
        <v>147</v>
      </c>
      <c r="G35" s="84" t="s">
        <v>25</v>
      </c>
      <c r="H35" s="84" t="s">
        <v>113</v>
      </c>
      <c r="I35" s="84" t="s">
        <v>111</v>
      </c>
      <c r="J35" s="43" t="s">
        <v>27</v>
      </c>
      <c r="K35" s="36" t="s">
        <v>112</v>
      </c>
      <c r="L35" s="84">
        <v>1</v>
      </c>
      <c r="N35" s="36">
        <v>4</v>
      </c>
      <c r="O35" s="36">
        <v>0.95</v>
      </c>
      <c r="P35" s="36">
        <v>1.05</v>
      </c>
      <c r="Q35" s="92">
        <f t="shared" si="0"/>
        <v>1</v>
      </c>
      <c r="R35" s="76">
        <v>12.9</v>
      </c>
      <c r="S35" s="76">
        <v>87</v>
      </c>
      <c r="T35" s="93">
        <f t="shared" si="1"/>
        <v>36</v>
      </c>
      <c r="U35" s="94">
        <v>398</v>
      </c>
      <c r="V35" s="95">
        <f t="shared" si="2"/>
        <v>3582</v>
      </c>
      <c r="W35" s="96">
        <v>23</v>
      </c>
      <c r="X35" s="97" t="s">
        <v>35</v>
      </c>
      <c r="Y35" s="74" t="s">
        <v>55</v>
      </c>
      <c r="Z35" s="74" t="s">
        <v>43</v>
      </c>
      <c r="AA35" s="74" t="s">
        <v>72</v>
      </c>
      <c r="AB35" s="43" t="s">
        <v>161</v>
      </c>
      <c r="AI35" s="98"/>
      <c r="AJ35" s="98"/>
      <c r="AK35" s="98"/>
      <c r="AL35" s="98"/>
      <c r="AM35" s="98"/>
    </row>
    <row r="36" spans="1:44" s="36" customFormat="1" x14ac:dyDescent="0.15">
      <c r="A36" s="84" t="s">
        <v>23</v>
      </c>
      <c r="B36" s="84" t="s">
        <v>160</v>
      </c>
      <c r="C36" s="84">
        <v>2020</v>
      </c>
      <c r="D36" s="45" t="s">
        <v>162</v>
      </c>
      <c r="E36" s="84" t="s">
        <v>152</v>
      </c>
      <c r="F36" s="84" t="s">
        <v>147</v>
      </c>
      <c r="G36" s="84" t="s">
        <v>25</v>
      </c>
      <c r="H36" s="84" t="s">
        <v>113</v>
      </c>
      <c r="I36" s="84" t="s">
        <v>111</v>
      </c>
      <c r="J36" s="43" t="s">
        <v>27</v>
      </c>
      <c r="K36" s="36" t="s">
        <v>112</v>
      </c>
      <c r="L36" s="84">
        <v>2</v>
      </c>
      <c r="N36" s="36">
        <v>4</v>
      </c>
      <c r="O36" s="36">
        <v>1.1000000000000001</v>
      </c>
      <c r="P36" s="36">
        <v>1.2</v>
      </c>
      <c r="Q36" s="92">
        <f t="shared" si="0"/>
        <v>1.1499999999999999</v>
      </c>
      <c r="R36" s="76">
        <v>14.1</v>
      </c>
      <c r="S36" s="76">
        <v>83</v>
      </c>
      <c r="T36" s="93">
        <f t="shared" si="1"/>
        <v>39</v>
      </c>
      <c r="U36" s="94">
        <v>398</v>
      </c>
      <c r="V36" s="95">
        <f t="shared" si="2"/>
        <v>3880.5</v>
      </c>
      <c r="W36" s="96">
        <v>23</v>
      </c>
      <c r="X36" s="97" t="s">
        <v>35</v>
      </c>
      <c r="Y36" s="74" t="s">
        <v>55</v>
      </c>
      <c r="Z36" s="74" t="s">
        <v>43</v>
      </c>
      <c r="AA36" s="74" t="s">
        <v>72</v>
      </c>
      <c r="AB36" s="43" t="s">
        <v>161</v>
      </c>
      <c r="AI36" s="98"/>
      <c r="AJ36" s="98"/>
      <c r="AK36" s="98"/>
      <c r="AL36" s="98"/>
      <c r="AM36" s="98"/>
    </row>
    <row r="37" spans="1:44" s="36" customFormat="1" x14ac:dyDescent="0.15">
      <c r="A37" s="84" t="s">
        <v>23</v>
      </c>
      <c r="B37" s="84" t="s">
        <v>160</v>
      </c>
      <c r="C37" s="84">
        <v>2020</v>
      </c>
      <c r="D37" s="45" t="s">
        <v>162</v>
      </c>
      <c r="E37" s="84" t="s">
        <v>152</v>
      </c>
      <c r="F37" s="84" t="s">
        <v>147</v>
      </c>
      <c r="G37" s="84" t="s">
        <v>25</v>
      </c>
      <c r="H37" s="84" t="s">
        <v>113</v>
      </c>
      <c r="I37" s="84" t="s">
        <v>111</v>
      </c>
      <c r="J37" s="43" t="s">
        <v>27</v>
      </c>
      <c r="K37" s="36" t="s">
        <v>112</v>
      </c>
      <c r="L37" s="84">
        <v>3</v>
      </c>
      <c r="N37" s="36">
        <v>4</v>
      </c>
      <c r="O37" s="36">
        <v>1.4</v>
      </c>
      <c r="P37" s="36">
        <v>1.5</v>
      </c>
      <c r="Q37" s="92">
        <f t="shared" si="0"/>
        <v>1.45</v>
      </c>
      <c r="R37" s="76">
        <v>12.8</v>
      </c>
      <c r="S37" s="76">
        <v>94</v>
      </c>
      <c r="T37" s="93">
        <f t="shared" si="1"/>
        <v>36</v>
      </c>
      <c r="U37" s="94">
        <v>398</v>
      </c>
      <c r="V37" s="95">
        <f t="shared" si="2"/>
        <v>3582</v>
      </c>
      <c r="W37" s="96">
        <v>23</v>
      </c>
      <c r="X37" s="97" t="s">
        <v>35</v>
      </c>
      <c r="Y37" s="74" t="s">
        <v>55</v>
      </c>
      <c r="Z37" s="74" t="s">
        <v>43</v>
      </c>
      <c r="AA37" s="74" t="s">
        <v>72</v>
      </c>
      <c r="AB37" s="43" t="s">
        <v>161</v>
      </c>
      <c r="AI37" s="98"/>
      <c r="AJ37" s="98"/>
      <c r="AK37" s="98"/>
      <c r="AL37" s="98"/>
      <c r="AM37" s="98"/>
    </row>
    <row r="38" spans="1:44" s="36" customFormat="1" x14ac:dyDescent="0.15">
      <c r="A38" s="84" t="s">
        <v>23</v>
      </c>
      <c r="B38" s="84" t="s">
        <v>160</v>
      </c>
      <c r="C38" s="84">
        <v>2020</v>
      </c>
      <c r="D38" s="45" t="s">
        <v>162</v>
      </c>
      <c r="E38" s="84" t="s">
        <v>152</v>
      </c>
      <c r="F38" s="84" t="s">
        <v>147</v>
      </c>
      <c r="G38" s="84" t="s">
        <v>25</v>
      </c>
      <c r="H38" s="84" t="s">
        <v>165</v>
      </c>
      <c r="I38" s="84" t="s">
        <v>111</v>
      </c>
      <c r="J38" s="43" t="s">
        <v>27</v>
      </c>
      <c r="K38" s="36" t="s">
        <v>112</v>
      </c>
      <c r="L38" s="84">
        <v>1</v>
      </c>
      <c r="N38" s="36">
        <v>4</v>
      </c>
      <c r="O38" s="36">
        <v>0.95</v>
      </c>
      <c r="P38" s="36">
        <v>0.95</v>
      </c>
      <c r="Q38" s="92">
        <f t="shared" si="0"/>
        <v>0.95</v>
      </c>
      <c r="R38" s="76">
        <v>17.399999999999999</v>
      </c>
      <c r="S38" s="76">
        <v>104</v>
      </c>
      <c r="T38" s="93">
        <f t="shared" si="1"/>
        <v>33</v>
      </c>
      <c r="U38" s="94">
        <v>398</v>
      </c>
      <c r="V38" s="95">
        <f t="shared" si="2"/>
        <v>3283.5</v>
      </c>
      <c r="W38" s="96">
        <v>23</v>
      </c>
      <c r="X38" s="97" t="s">
        <v>35</v>
      </c>
      <c r="Y38" s="74" t="s">
        <v>55</v>
      </c>
      <c r="Z38" s="74" t="s">
        <v>43</v>
      </c>
      <c r="AA38" s="74" t="s">
        <v>72</v>
      </c>
      <c r="AB38" s="43" t="s">
        <v>161</v>
      </c>
      <c r="AI38" s="98"/>
      <c r="AJ38" s="98"/>
      <c r="AK38" s="98"/>
      <c r="AL38" s="98"/>
      <c r="AM38" s="98"/>
    </row>
    <row r="39" spans="1:44" s="36" customFormat="1" x14ac:dyDescent="0.15">
      <c r="A39" s="84" t="s">
        <v>23</v>
      </c>
      <c r="B39" s="84" t="s">
        <v>160</v>
      </c>
      <c r="C39" s="84">
        <v>2020</v>
      </c>
      <c r="D39" s="45" t="s">
        <v>162</v>
      </c>
      <c r="E39" s="84" t="s">
        <v>152</v>
      </c>
      <c r="F39" s="84" t="s">
        <v>147</v>
      </c>
      <c r="G39" s="84" t="s">
        <v>25</v>
      </c>
      <c r="H39" s="84" t="s">
        <v>165</v>
      </c>
      <c r="I39" s="84" t="s">
        <v>111</v>
      </c>
      <c r="J39" s="43" t="s">
        <v>27</v>
      </c>
      <c r="K39" s="36" t="s">
        <v>112</v>
      </c>
      <c r="L39" s="84">
        <v>2</v>
      </c>
      <c r="N39" s="36">
        <v>4</v>
      </c>
      <c r="O39" s="36">
        <v>0.95</v>
      </c>
      <c r="P39" s="36">
        <v>0.85</v>
      </c>
      <c r="Q39" s="92">
        <f t="shared" si="0"/>
        <v>0.89999999999999991</v>
      </c>
      <c r="R39" s="76">
        <v>16.100000000000001</v>
      </c>
      <c r="S39" s="76">
        <v>104</v>
      </c>
      <c r="T39" s="93">
        <f t="shared" si="1"/>
        <v>33</v>
      </c>
      <c r="U39" s="94">
        <v>398</v>
      </c>
      <c r="V39" s="95">
        <f t="shared" si="2"/>
        <v>3283.5</v>
      </c>
      <c r="W39" s="96">
        <v>23</v>
      </c>
      <c r="X39" s="97" t="s">
        <v>35</v>
      </c>
      <c r="Y39" s="74" t="s">
        <v>55</v>
      </c>
      <c r="Z39" s="74" t="s">
        <v>43</v>
      </c>
      <c r="AA39" s="74" t="s">
        <v>72</v>
      </c>
      <c r="AB39" s="43" t="s">
        <v>161</v>
      </c>
      <c r="AI39" s="98"/>
      <c r="AJ39" s="98"/>
      <c r="AK39" s="98"/>
      <c r="AL39" s="98"/>
      <c r="AM39" s="98"/>
    </row>
    <row r="40" spans="1:44" s="36" customFormat="1" ht="12.75" customHeight="1" x14ac:dyDescent="0.15">
      <c r="A40" s="84" t="s">
        <v>23</v>
      </c>
      <c r="B40" s="84" t="s">
        <v>160</v>
      </c>
      <c r="C40" s="84">
        <v>2020</v>
      </c>
      <c r="D40" s="45" t="s">
        <v>162</v>
      </c>
      <c r="E40" s="84" t="s">
        <v>152</v>
      </c>
      <c r="F40" s="84" t="s">
        <v>147</v>
      </c>
      <c r="G40" s="84" t="s">
        <v>25</v>
      </c>
      <c r="H40" s="84" t="s">
        <v>168</v>
      </c>
      <c r="I40" s="84" t="s">
        <v>111</v>
      </c>
      <c r="J40" s="43" t="s">
        <v>27</v>
      </c>
      <c r="K40" s="36" t="s">
        <v>112</v>
      </c>
      <c r="L40" s="84">
        <v>3</v>
      </c>
      <c r="N40" s="36">
        <v>4</v>
      </c>
      <c r="O40" s="36">
        <v>0.8</v>
      </c>
      <c r="P40" s="36">
        <v>1.1000000000000001</v>
      </c>
      <c r="Q40" s="92">
        <f t="shared" si="0"/>
        <v>0.95000000000000007</v>
      </c>
      <c r="R40" s="76">
        <v>16.2</v>
      </c>
      <c r="S40" s="76">
        <v>96</v>
      </c>
      <c r="T40" s="93">
        <f t="shared" si="1"/>
        <v>36</v>
      </c>
      <c r="U40" s="94">
        <v>398</v>
      </c>
      <c r="V40" s="95">
        <f t="shared" si="2"/>
        <v>3582</v>
      </c>
      <c r="W40" s="96">
        <v>23</v>
      </c>
      <c r="X40" s="97" t="s">
        <v>35</v>
      </c>
      <c r="Y40" s="74" t="s">
        <v>55</v>
      </c>
      <c r="Z40" s="74" t="s">
        <v>43</v>
      </c>
      <c r="AA40" s="74" t="s">
        <v>72</v>
      </c>
      <c r="AB40" s="43" t="s">
        <v>161</v>
      </c>
      <c r="AI40" s="98"/>
      <c r="AJ40" s="98"/>
      <c r="AK40" s="98"/>
      <c r="AL40" s="98"/>
      <c r="AM40" s="98"/>
    </row>
    <row r="41" spans="1:44" s="36" customFormat="1" ht="12.75" customHeight="1" x14ac:dyDescent="0.15">
      <c r="A41" s="84" t="s">
        <v>23</v>
      </c>
      <c r="B41" s="84" t="s">
        <v>160</v>
      </c>
      <c r="C41" s="84">
        <v>2020</v>
      </c>
      <c r="D41" s="45" t="s">
        <v>162</v>
      </c>
      <c r="E41" s="84" t="s">
        <v>152</v>
      </c>
      <c r="F41" s="84" t="s">
        <v>147</v>
      </c>
      <c r="G41" s="84" t="s">
        <v>25</v>
      </c>
      <c r="H41" s="84" t="s">
        <v>113</v>
      </c>
      <c r="I41" s="84" t="s">
        <v>166</v>
      </c>
      <c r="J41" s="43" t="s">
        <v>27</v>
      </c>
      <c r="K41" s="36" t="s">
        <v>112</v>
      </c>
      <c r="L41" s="84">
        <v>1</v>
      </c>
      <c r="N41" s="36">
        <v>2</v>
      </c>
      <c r="O41" s="36">
        <v>0.9</v>
      </c>
      <c r="P41" s="36">
        <v>1</v>
      </c>
      <c r="Q41" s="92">
        <f t="shared" si="0"/>
        <v>0.95</v>
      </c>
      <c r="R41" s="76">
        <v>16.2</v>
      </c>
      <c r="S41" s="76">
        <v>122</v>
      </c>
      <c r="T41" s="93">
        <f t="shared" si="1"/>
        <v>30</v>
      </c>
      <c r="U41" s="94">
        <v>298</v>
      </c>
      <c r="V41" s="95">
        <f t="shared" si="2"/>
        <v>4470</v>
      </c>
      <c r="W41" s="96">
        <v>23</v>
      </c>
      <c r="X41" s="97" t="s">
        <v>35</v>
      </c>
      <c r="Y41" s="74" t="s">
        <v>55</v>
      </c>
      <c r="Z41" s="74" t="s">
        <v>43</v>
      </c>
      <c r="AA41" s="74" t="s">
        <v>72</v>
      </c>
      <c r="AB41" s="43" t="s">
        <v>161</v>
      </c>
      <c r="AI41" s="98"/>
      <c r="AJ41" s="98"/>
      <c r="AK41" s="98"/>
      <c r="AL41" s="98"/>
      <c r="AM41" s="98"/>
    </row>
    <row r="42" spans="1:44" s="36" customFormat="1" ht="12.75" customHeight="1" x14ac:dyDescent="0.15">
      <c r="A42" s="84" t="s">
        <v>23</v>
      </c>
      <c r="B42" s="84" t="s">
        <v>160</v>
      </c>
      <c r="C42" s="84">
        <v>2020</v>
      </c>
      <c r="D42" s="45" t="s">
        <v>162</v>
      </c>
      <c r="E42" s="84" t="s">
        <v>152</v>
      </c>
      <c r="F42" s="84" t="s">
        <v>147</v>
      </c>
      <c r="G42" s="84" t="s">
        <v>25</v>
      </c>
      <c r="H42" s="84" t="s">
        <v>113</v>
      </c>
      <c r="I42" s="84" t="s">
        <v>166</v>
      </c>
      <c r="J42" s="43" t="s">
        <v>27</v>
      </c>
      <c r="K42" s="36" t="s">
        <v>112</v>
      </c>
      <c r="L42" s="84">
        <v>2</v>
      </c>
      <c r="N42" s="36">
        <v>2</v>
      </c>
      <c r="O42" s="36">
        <v>0.75</v>
      </c>
      <c r="P42" s="36">
        <v>0.6</v>
      </c>
      <c r="Q42" s="92">
        <f t="shared" si="0"/>
        <v>0.67500000000000004</v>
      </c>
      <c r="R42" s="76">
        <v>14.8</v>
      </c>
      <c r="S42" s="76">
        <v>127</v>
      </c>
      <c r="T42" s="93">
        <f t="shared" si="1"/>
        <v>30</v>
      </c>
      <c r="U42" s="94">
        <v>298</v>
      </c>
      <c r="V42" s="95">
        <f t="shared" si="2"/>
        <v>4470</v>
      </c>
      <c r="W42" s="96">
        <v>23</v>
      </c>
      <c r="X42" s="97" t="s">
        <v>35</v>
      </c>
      <c r="Y42" s="74" t="s">
        <v>55</v>
      </c>
      <c r="Z42" s="74" t="s">
        <v>43</v>
      </c>
      <c r="AA42" s="74" t="s">
        <v>72</v>
      </c>
      <c r="AB42" s="43" t="s">
        <v>161</v>
      </c>
      <c r="AI42" s="98"/>
      <c r="AJ42" s="98"/>
      <c r="AK42" s="98"/>
      <c r="AL42" s="98"/>
      <c r="AM42" s="98"/>
    </row>
    <row r="43" spans="1:44" s="36" customFormat="1" ht="12.75" customHeight="1" x14ac:dyDescent="0.15">
      <c r="A43" s="84" t="s">
        <v>23</v>
      </c>
      <c r="B43" s="84" t="s">
        <v>160</v>
      </c>
      <c r="C43" s="84">
        <v>2020</v>
      </c>
      <c r="D43" s="45" t="s">
        <v>162</v>
      </c>
      <c r="E43" s="84" t="s">
        <v>152</v>
      </c>
      <c r="F43" s="84" t="s">
        <v>147</v>
      </c>
      <c r="G43" s="84" t="s">
        <v>25</v>
      </c>
      <c r="H43" s="84" t="s">
        <v>113</v>
      </c>
      <c r="I43" s="84" t="s">
        <v>166</v>
      </c>
      <c r="J43" s="43" t="s">
        <v>27</v>
      </c>
      <c r="K43" s="36" t="s">
        <v>112</v>
      </c>
      <c r="L43" s="84">
        <v>3</v>
      </c>
      <c r="N43" s="36">
        <v>2</v>
      </c>
      <c r="O43" s="36">
        <v>0.85</v>
      </c>
      <c r="P43" s="36">
        <v>0.9</v>
      </c>
      <c r="Q43" s="92">
        <f t="shared" si="0"/>
        <v>0.875</v>
      </c>
      <c r="R43" s="76">
        <v>14.1</v>
      </c>
      <c r="S43" s="76">
        <v>126</v>
      </c>
      <c r="T43" s="93">
        <f t="shared" si="1"/>
        <v>30</v>
      </c>
      <c r="U43" s="94">
        <v>298</v>
      </c>
      <c r="V43" s="95">
        <f t="shared" si="2"/>
        <v>4470</v>
      </c>
      <c r="W43" s="96">
        <v>23</v>
      </c>
      <c r="X43" s="97" t="s">
        <v>35</v>
      </c>
      <c r="Y43" s="74" t="s">
        <v>55</v>
      </c>
      <c r="Z43" s="74" t="s">
        <v>43</v>
      </c>
      <c r="AA43" s="74" t="s">
        <v>72</v>
      </c>
      <c r="AB43" s="43" t="s">
        <v>161</v>
      </c>
      <c r="AI43" s="98"/>
      <c r="AJ43" s="98"/>
      <c r="AK43" s="98"/>
      <c r="AL43" s="98"/>
      <c r="AM43" s="98"/>
    </row>
    <row r="44" spans="1:44" x14ac:dyDescent="0.15">
      <c r="A44" s="84" t="s">
        <v>23</v>
      </c>
      <c r="B44" s="84" t="s">
        <v>160</v>
      </c>
      <c r="C44" s="84">
        <v>2020</v>
      </c>
      <c r="D44" s="45" t="s">
        <v>162</v>
      </c>
      <c r="E44" s="84" t="s">
        <v>152</v>
      </c>
      <c r="F44" s="84" t="s">
        <v>147</v>
      </c>
      <c r="G44" s="84" t="s">
        <v>25</v>
      </c>
      <c r="H44" s="84" t="s">
        <v>164</v>
      </c>
      <c r="I44" s="84" t="s">
        <v>111</v>
      </c>
      <c r="J44" s="78" t="s">
        <v>27</v>
      </c>
      <c r="K44" s="77" t="s">
        <v>112</v>
      </c>
      <c r="L44" s="84">
        <v>1</v>
      </c>
      <c r="N44" s="7">
        <v>1</v>
      </c>
      <c r="O44" s="7">
        <v>0.65</v>
      </c>
      <c r="P44" s="7">
        <v>0.75</v>
      </c>
      <c r="Q44" s="44">
        <f t="shared" si="0"/>
        <v>0.7</v>
      </c>
      <c r="R44" s="67">
        <v>17.2</v>
      </c>
      <c r="S44" s="67">
        <v>146</v>
      </c>
      <c r="T44" s="16">
        <f t="shared" si="1"/>
        <v>30</v>
      </c>
      <c r="U44" s="72">
        <v>98</v>
      </c>
      <c r="V44" s="16">
        <f t="shared" si="2"/>
        <v>2940</v>
      </c>
      <c r="W44" s="69">
        <v>23</v>
      </c>
      <c r="X44" s="65" t="s">
        <v>35</v>
      </c>
      <c r="Y44" s="73" t="s">
        <v>55</v>
      </c>
      <c r="Z44" s="73" t="s">
        <v>43</v>
      </c>
      <c r="AA44" s="73" t="s">
        <v>72</v>
      </c>
      <c r="AB44" s="43" t="s">
        <v>161</v>
      </c>
      <c r="AR44" s="77"/>
    </row>
    <row r="45" spans="1:44" x14ac:dyDescent="0.15">
      <c r="A45" s="84" t="s">
        <v>23</v>
      </c>
      <c r="B45" s="84" t="s">
        <v>160</v>
      </c>
      <c r="C45" s="84">
        <v>2020</v>
      </c>
      <c r="D45" s="45" t="s">
        <v>162</v>
      </c>
      <c r="E45" s="84" t="s">
        <v>152</v>
      </c>
      <c r="F45" s="84" t="s">
        <v>147</v>
      </c>
      <c r="G45" s="84" t="s">
        <v>25</v>
      </c>
      <c r="H45" s="84" t="s">
        <v>164</v>
      </c>
      <c r="I45" s="84" t="s">
        <v>111</v>
      </c>
      <c r="J45" s="78" t="s">
        <v>27</v>
      </c>
      <c r="K45" s="77" t="s">
        <v>112</v>
      </c>
      <c r="L45" s="84">
        <v>2</v>
      </c>
      <c r="N45" s="7">
        <v>1</v>
      </c>
      <c r="O45" s="77">
        <v>0.65</v>
      </c>
      <c r="P45" s="77">
        <v>0.75</v>
      </c>
      <c r="Q45" s="44">
        <f t="shared" si="0"/>
        <v>0.7</v>
      </c>
      <c r="R45" s="67">
        <v>16.399999999999999</v>
      </c>
      <c r="S45" s="67">
        <v>149</v>
      </c>
      <c r="T45" s="16">
        <f t="shared" si="1"/>
        <v>30</v>
      </c>
      <c r="U45" s="72">
        <v>98</v>
      </c>
      <c r="V45" s="16">
        <f t="shared" si="2"/>
        <v>2940</v>
      </c>
      <c r="W45" s="69">
        <v>23</v>
      </c>
      <c r="X45" s="65" t="s">
        <v>35</v>
      </c>
      <c r="Y45" s="73" t="s">
        <v>55</v>
      </c>
      <c r="Z45" s="73" t="s">
        <v>43</v>
      </c>
      <c r="AA45" s="73" t="s">
        <v>72</v>
      </c>
      <c r="AB45" s="43" t="s">
        <v>161</v>
      </c>
      <c r="AR45" s="77"/>
    </row>
    <row r="46" spans="1:44" x14ac:dyDescent="0.15">
      <c r="A46" s="84" t="s">
        <v>23</v>
      </c>
      <c r="B46" s="84" t="s">
        <v>160</v>
      </c>
      <c r="C46" s="84">
        <v>2020</v>
      </c>
      <c r="D46" s="45" t="s">
        <v>162</v>
      </c>
      <c r="E46" s="84" t="s">
        <v>152</v>
      </c>
      <c r="F46" s="84" t="s">
        <v>147</v>
      </c>
      <c r="G46" s="84" t="s">
        <v>25</v>
      </c>
      <c r="H46" s="84" t="s">
        <v>164</v>
      </c>
      <c r="I46" s="84" t="s">
        <v>111</v>
      </c>
      <c r="J46" s="78" t="s">
        <v>27</v>
      </c>
      <c r="K46" s="77" t="s">
        <v>112</v>
      </c>
      <c r="L46" s="84">
        <v>3</v>
      </c>
      <c r="N46" s="7">
        <v>1</v>
      </c>
      <c r="O46" s="7">
        <v>0.7</v>
      </c>
      <c r="P46" s="7">
        <v>0.7</v>
      </c>
      <c r="Q46" s="44">
        <f t="shared" si="0"/>
        <v>0.7</v>
      </c>
      <c r="R46" s="67">
        <v>16.8</v>
      </c>
      <c r="S46" s="67">
        <v>139</v>
      </c>
      <c r="T46" s="16">
        <f t="shared" si="1"/>
        <v>30</v>
      </c>
      <c r="U46" s="72">
        <v>98</v>
      </c>
      <c r="V46" s="16">
        <f t="shared" si="2"/>
        <v>2940</v>
      </c>
      <c r="W46" s="69">
        <v>23</v>
      </c>
      <c r="X46" s="65" t="s">
        <v>35</v>
      </c>
      <c r="Y46" s="73" t="s">
        <v>55</v>
      </c>
      <c r="Z46" s="73" t="s">
        <v>43</v>
      </c>
      <c r="AA46" s="73" t="s">
        <v>72</v>
      </c>
      <c r="AB46" s="43" t="s">
        <v>161</v>
      </c>
      <c r="AR46" s="77"/>
    </row>
    <row r="47" spans="1:44" x14ac:dyDescent="0.15">
      <c r="A47" s="84" t="s">
        <v>23</v>
      </c>
      <c r="B47" s="84" t="s">
        <v>160</v>
      </c>
      <c r="C47" s="84">
        <v>2020</v>
      </c>
      <c r="D47" s="45" t="s">
        <v>162</v>
      </c>
      <c r="E47" s="84" t="s">
        <v>152</v>
      </c>
      <c r="F47" s="84" t="s">
        <v>147</v>
      </c>
      <c r="G47" s="84" t="s">
        <v>25</v>
      </c>
      <c r="H47" s="84" t="s">
        <v>164</v>
      </c>
      <c r="I47" s="84" t="s">
        <v>111</v>
      </c>
      <c r="J47" s="78" t="s">
        <v>27</v>
      </c>
      <c r="K47" s="77" t="s">
        <v>112</v>
      </c>
      <c r="L47" s="84">
        <v>1</v>
      </c>
      <c r="N47" s="7">
        <v>4</v>
      </c>
      <c r="O47" s="7">
        <v>0.95</v>
      </c>
      <c r="P47" s="7">
        <v>0.95</v>
      </c>
      <c r="Q47" s="44">
        <f t="shared" si="0"/>
        <v>0.95</v>
      </c>
      <c r="R47" s="67">
        <v>16</v>
      </c>
      <c r="S47" s="67">
        <v>119</v>
      </c>
      <c r="T47" s="16">
        <f t="shared" si="1"/>
        <v>30</v>
      </c>
      <c r="U47" s="7">
        <v>498</v>
      </c>
      <c r="V47" s="16">
        <f t="shared" si="2"/>
        <v>3735</v>
      </c>
      <c r="W47" s="69">
        <v>23</v>
      </c>
      <c r="X47" s="65" t="s">
        <v>35</v>
      </c>
      <c r="Y47" s="73" t="s">
        <v>55</v>
      </c>
      <c r="Z47" s="73" t="s">
        <v>43</v>
      </c>
      <c r="AA47" s="73" t="s">
        <v>72</v>
      </c>
      <c r="AB47" s="43" t="s">
        <v>161</v>
      </c>
      <c r="AR47" s="77"/>
    </row>
    <row r="48" spans="1:44" x14ac:dyDescent="0.15">
      <c r="A48" s="84" t="s">
        <v>23</v>
      </c>
      <c r="B48" s="84" t="s">
        <v>160</v>
      </c>
      <c r="C48" s="84">
        <v>2020</v>
      </c>
      <c r="D48" s="45" t="s">
        <v>162</v>
      </c>
      <c r="E48" s="84" t="s">
        <v>152</v>
      </c>
      <c r="F48" s="84" t="s">
        <v>147</v>
      </c>
      <c r="G48" s="84" t="s">
        <v>25</v>
      </c>
      <c r="H48" s="84" t="s">
        <v>164</v>
      </c>
      <c r="I48" s="84" t="s">
        <v>111</v>
      </c>
      <c r="J48" s="78" t="s">
        <v>27</v>
      </c>
      <c r="K48" s="77" t="s">
        <v>112</v>
      </c>
      <c r="L48" s="84">
        <v>2</v>
      </c>
      <c r="N48" s="7">
        <v>4</v>
      </c>
      <c r="O48" s="7">
        <v>1</v>
      </c>
      <c r="P48" s="7">
        <v>1.1000000000000001</v>
      </c>
      <c r="Q48" s="44">
        <f t="shared" si="0"/>
        <v>1.05</v>
      </c>
      <c r="R48" s="67">
        <v>16.5</v>
      </c>
      <c r="S48" s="67">
        <v>113</v>
      </c>
      <c r="T48" s="16">
        <f t="shared" si="1"/>
        <v>30</v>
      </c>
      <c r="U48" s="77">
        <v>498</v>
      </c>
      <c r="V48" s="16">
        <f t="shared" si="2"/>
        <v>3735</v>
      </c>
      <c r="W48" s="69">
        <v>23</v>
      </c>
      <c r="X48" s="65" t="s">
        <v>35</v>
      </c>
      <c r="Y48" s="73" t="s">
        <v>55</v>
      </c>
      <c r="Z48" s="73" t="s">
        <v>43</v>
      </c>
      <c r="AA48" s="73" t="s">
        <v>72</v>
      </c>
      <c r="AB48" s="43" t="s">
        <v>161</v>
      </c>
      <c r="AR48" s="77"/>
    </row>
    <row r="49" spans="1:44" x14ac:dyDescent="0.15">
      <c r="A49" s="84" t="s">
        <v>23</v>
      </c>
      <c r="B49" s="84" t="s">
        <v>160</v>
      </c>
      <c r="C49" s="84">
        <v>2020</v>
      </c>
      <c r="D49" s="45" t="s">
        <v>162</v>
      </c>
      <c r="E49" s="84" t="s">
        <v>152</v>
      </c>
      <c r="F49" s="84" t="s">
        <v>147</v>
      </c>
      <c r="G49" s="84" t="s">
        <v>25</v>
      </c>
      <c r="H49" s="84" t="s">
        <v>164</v>
      </c>
      <c r="I49" s="84" t="s">
        <v>111</v>
      </c>
      <c r="J49" s="78" t="s">
        <v>27</v>
      </c>
      <c r="K49" s="77" t="s">
        <v>112</v>
      </c>
      <c r="L49" s="84">
        <v>3</v>
      </c>
      <c r="N49" s="7">
        <v>4</v>
      </c>
      <c r="O49" s="7">
        <v>1.1499999999999999</v>
      </c>
      <c r="P49" s="7">
        <v>1.3</v>
      </c>
      <c r="Q49" s="44">
        <f t="shared" si="0"/>
        <v>1.2250000000000001</v>
      </c>
      <c r="R49" s="67">
        <v>15.8</v>
      </c>
      <c r="S49" s="67">
        <v>112</v>
      </c>
      <c r="T49" s="16">
        <f t="shared" si="1"/>
        <v>33</v>
      </c>
      <c r="U49" s="77">
        <v>498</v>
      </c>
      <c r="V49" s="16">
        <f t="shared" si="2"/>
        <v>4108.5</v>
      </c>
      <c r="W49" s="69">
        <v>23</v>
      </c>
      <c r="X49" s="65" t="s">
        <v>35</v>
      </c>
      <c r="Y49" s="73" t="s">
        <v>55</v>
      </c>
      <c r="Z49" s="73" t="s">
        <v>43</v>
      </c>
      <c r="AA49" s="73" t="s">
        <v>72</v>
      </c>
      <c r="AB49" s="43" t="s">
        <v>161</v>
      </c>
      <c r="AR49" s="77"/>
    </row>
    <row r="50" spans="1:44" x14ac:dyDescent="0.15">
      <c r="A50" s="84" t="s">
        <v>23</v>
      </c>
      <c r="B50" s="84" t="s">
        <v>160</v>
      </c>
      <c r="C50" s="84">
        <v>2020</v>
      </c>
      <c r="D50" s="45" t="s">
        <v>162</v>
      </c>
      <c r="E50" s="84" t="s">
        <v>152</v>
      </c>
      <c r="F50" s="84" t="s">
        <v>147</v>
      </c>
      <c r="G50" s="84" t="s">
        <v>25</v>
      </c>
      <c r="H50" s="84" t="s">
        <v>164</v>
      </c>
      <c r="I50" s="84" t="s">
        <v>111</v>
      </c>
      <c r="J50" s="78" t="s">
        <v>27</v>
      </c>
      <c r="K50" s="77" t="s">
        <v>112</v>
      </c>
      <c r="L50" s="84">
        <v>1</v>
      </c>
      <c r="N50" s="7">
        <v>1</v>
      </c>
      <c r="O50" s="7">
        <v>0.9</v>
      </c>
      <c r="P50" s="7">
        <v>0.85</v>
      </c>
      <c r="Q50" s="44">
        <f t="shared" si="0"/>
        <v>0.875</v>
      </c>
      <c r="R50" s="7">
        <v>20</v>
      </c>
      <c r="S50" s="7">
        <v>151</v>
      </c>
      <c r="T50" s="16">
        <f t="shared" si="1"/>
        <v>30</v>
      </c>
      <c r="U50" s="7">
        <v>198</v>
      </c>
      <c r="V50" s="16">
        <f t="shared" si="2"/>
        <v>5940</v>
      </c>
      <c r="W50" s="69">
        <v>23</v>
      </c>
      <c r="X50" s="65" t="s">
        <v>35</v>
      </c>
      <c r="Y50" s="73" t="s">
        <v>55</v>
      </c>
      <c r="Z50" s="73" t="s">
        <v>43</v>
      </c>
      <c r="AA50" s="73" t="s">
        <v>72</v>
      </c>
      <c r="AB50" s="43" t="s">
        <v>161</v>
      </c>
      <c r="AR50" s="77"/>
    </row>
    <row r="51" spans="1:44" x14ac:dyDescent="0.15">
      <c r="A51" s="84" t="s">
        <v>23</v>
      </c>
      <c r="B51" s="84" t="s">
        <v>160</v>
      </c>
      <c r="C51" s="84">
        <v>2020</v>
      </c>
      <c r="D51" s="45" t="s">
        <v>162</v>
      </c>
      <c r="E51" s="84" t="s">
        <v>152</v>
      </c>
      <c r="F51" s="84" t="s">
        <v>147</v>
      </c>
      <c r="G51" s="84" t="s">
        <v>25</v>
      </c>
      <c r="H51" s="84" t="s">
        <v>164</v>
      </c>
      <c r="I51" s="84" t="s">
        <v>111</v>
      </c>
      <c r="J51" s="78" t="s">
        <v>27</v>
      </c>
      <c r="K51" s="77" t="s">
        <v>112</v>
      </c>
      <c r="L51" s="84">
        <v>2</v>
      </c>
      <c r="N51" s="7">
        <v>1</v>
      </c>
      <c r="O51" s="7">
        <v>0.5</v>
      </c>
      <c r="P51" s="7">
        <v>0.25</v>
      </c>
      <c r="Q51" s="44">
        <f t="shared" si="0"/>
        <v>0.375</v>
      </c>
      <c r="R51" s="7">
        <v>17.600000000000001</v>
      </c>
      <c r="S51" s="7">
        <v>157</v>
      </c>
      <c r="T51" s="16">
        <f t="shared" si="1"/>
        <v>30</v>
      </c>
      <c r="U51" s="77">
        <v>198</v>
      </c>
      <c r="V51" s="16">
        <f t="shared" si="2"/>
        <v>5940</v>
      </c>
      <c r="W51" s="69">
        <v>23</v>
      </c>
      <c r="X51" s="65" t="s">
        <v>35</v>
      </c>
      <c r="Y51" s="73" t="s">
        <v>55</v>
      </c>
      <c r="Z51" s="73" t="s">
        <v>43</v>
      </c>
      <c r="AA51" s="73" t="s">
        <v>72</v>
      </c>
      <c r="AB51" s="43" t="s">
        <v>161</v>
      </c>
      <c r="AR51" s="77"/>
    </row>
    <row r="52" spans="1:44" x14ac:dyDescent="0.15">
      <c r="A52" s="84" t="s">
        <v>23</v>
      </c>
      <c r="B52" s="84" t="s">
        <v>160</v>
      </c>
      <c r="C52" s="84">
        <v>2020</v>
      </c>
      <c r="D52" s="45" t="s">
        <v>162</v>
      </c>
      <c r="E52" s="84" t="s">
        <v>152</v>
      </c>
      <c r="F52" s="84" t="s">
        <v>147</v>
      </c>
      <c r="G52" s="84" t="s">
        <v>25</v>
      </c>
      <c r="H52" s="84" t="s">
        <v>164</v>
      </c>
      <c r="I52" s="84" t="s">
        <v>111</v>
      </c>
      <c r="J52" s="78" t="s">
        <v>27</v>
      </c>
      <c r="K52" s="77" t="s">
        <v>112</v>
      </c>
      <c r="L52" s="84">
        <v>3</v>
      </c>
      <c r="N52" s="7">
        <v>1</v>
      </c>
      <c r="O52" s="7">
        <v>0.35</v>
      </c>
      <c r="P52" s="7">
        <v>0.45</v>
      </c>
      <c r="Q52" s="44">
        <f t="shared" si="0"/>
        <v>0.4</v>
      </c>
      <c r="R52" s="7">
        <v>17.399999999999999</v>
      </c>
      <c r="S52" s="7">
        <v>147</v>
      </c>
      <c r="T52" s="16">
        <f t="shared" si="1"/>
        <v>30</v>
      </c>
      <c r="U52" s="77">
        <v>198</v>
      </c>
      <c r="V52" s="16">
        <f t="shared" si="2"/>
        <v>5940</v>
      </c>
      <c r="W52" s="69">
        <v>23</v>
      </c>
      <c r="X52" s="65" t="s">
        <v>35</v>
      </c>
      <c r="Y52" s="73" t="s">
        <v>55</v>
      </c>
      <c r="Z52" s="73" t="s">
        <v>43</v>
      </c>
      <c r="AA52" s="73" t="s">
        <v>72</v>
      </c>
      <c r="AB52" s="43" t="s">
        <v>161</v>
      </c>
      <c r="AR52" s="77"/>
    </row>
    <row r="53" spans="1:44" x14ac:dyDescent="0.15">
      <c r="A53" s="84" t="s">
        <v>23</v>
      </c>
      <c r="B53" s="84" t="s">
        <v>160</v>
      </c>
      <c r="C53" s="84">
        <v>2020</v>
      </c>
      <c r="D53" s="45" t="s">
        <v>162</v>
      </c>
      <c r="E53" s="84" t="s">
        <v>152</v>
      </c>
      <c r="F53" s="84" t="s">
        <v>147</v>
      </c>
      <c r="G53" s="84" t="s">
        <v>25</v>
      </c>
      <c r="H53" s="84" t="s">
        <v>164</v>
      </c>
      <c r="I53" s="84" t="s">
        <v>166</v>
      </c>
      <c r="J53" s="78" t="s">
        <v>27</v>
      </c>
      <c r="K53" s="77" t="s">
        <v>112</v>
      </c>
      <c r="L53" s="84">
        <v>1</v>
      </c>
      <c r="N53" s="7">
        <v>2</v>
      </c>
      <c r="O53" s="7">
        <v>0.65</v>
      </c>
      <c r="P53" s="7">
        <v>0.7</v>
      </c>
      <c r="Q53" s="44">
        <f t="shared" si="0"/>
        <v>0.67500000000000004</v>
      </c>
      <c r="R53" s="7">
        <v>16.5</v>
      </c>
      <c r="S53" s="7">
        <v>134</v>
      </c>
      <c r="T53" s="16">
        <f t="shared" si="1"/>
        <v>30</v>
      </c>
      <c r="U53" s="7">
        <v>358</v>
      </c>
      <c r="V53" s="16">
        <f t="shared" si="2"/>
        <v>5370</v>
      </c>
      <c r="W53" s="69">
        <v>23</v>
      </c>
      <c r="X53" s="65" t="s">
        <v>35</v>
      </c>
      <c r="Y53" s="73" t="s">
        <v>55</v>
      </c>
      <c r="Z53" s="73" t="s">
        <v>43</v>
      </c>
      <c r="AA53" s="73" t="s">
        <v>72</v>
      </c>
      <c r="AB53" s="43" t="s">
        <v>161</v>
      </c>
      <c r="AR53" s="77"/>
    </row>
    <row r="54" spans="1:44" x14ac:dyDescent="0.15">
      <c r="A54" s="84" t="s">
        <v>23</v>
      </c>
      <c r="B54" s="84" t="s">
        <v>160</v>
      </c>
      <c r="C54" s="84">
        <v>2020</v>
      </c>
      <c r="D54" s="45" t="s">
        <v>162</v>
      </c>
      <c r="E54" s="84" t="s">
        <v>152</v>
      </c>
      <c r="F54" s="84" t="s">
        <v>147</v>
      </c>
      <c r="G54" s="84" t="s">
        <v>25</v>
      </c>
      <c r="H54" s="84" t="s">
        <v>164</v>
      </c>
      <c r="I54" s="84" t="s">
        <v>166</v>
      </c>
      <c r="J54" s="78" t="s">
        <v>27</v>
      </c>
      <c r="K54" s="77" t="s">
        <v>112</v>
      </c>
      <c r="L54" s="84">
        <v>2</v>
      </c>
      <c r="N54" s="7">
        <v>2</v>
      </c>
      <c r="O54" s="7">
        <v>0.6</v>
      </c>
      <c r="P54" s="7">
        <v>0.7</v>
      </c>
      <c r="Q54" s="44">
        <f t="shared" si="0"/>
        <v>0.64999999999999991</v>
      </c>
      <c r="R54" s="7">
        <v>16.5</v>
      </c>
      <c r="S54" s="7">
        <v>134</v>
      </c>
      <c r="T54" s="16">
        <f t="shared" si="1"/>
        <v>30</v>
      </c>
      <c r="U54" s="77">
        <v>358</v>
      </c>
      <c r="V54" s="16">
        <f t="shared" si="2"/>
        <v>5370</v>
      </c>
      <c r="W54" s="69">
        <v>23</v>
      </c>
      <c r="X54" s="65" t="s">
        <v>35</v>
      </c>
      <c r="Y54" s="73" t="s">
        <v>55</v>
      </c>
      <c r="Z54" s="73" t="s">
        <v>43</v>
      </c>
      <c r="AA54" s="73" t="s">
        <v>72</v>
      </c>
      <c r="AB54" s="43" t="s">
        <v>161</v>
      </c>
      <c r="AR54" s="77"/>
    </row>
    <row r="55" spans="1:44" x14ac:dyDescent="0.15">
      <c r="A55" s="84" t="s">
        <v>23</v>
      </c>
      <c r="B55" s="84" t="s">
        <v>160</v>
      </c>
      <c r="C55" s="84">
        <v>2020</v>
      </c>
      <c r="D55" s="45" t="s">
        <v>162</v>
      </c>
      <c r="E55" s="84" t="s">
        <v>152</v>
      </c>
      <c r="F55" s="84" t="s">
        <v>147</v>
      </c>
      <c r="G55" s="84" t="s">
        <v>25</v>
      </c>
      <c r="H55" s="84" t="s">
        <v>164</v>
      </c>
      <c r="I55" s="84" t="s">
        <v>166</v>
      </c>
      <c r="J55" s="78" t="s">
        <v>27</v>
      </c>
      <c r="K55" s="77" t="s">
        <v>112</v>
      </c>
      <c r="L55" s="84">
        <v>3</v>
      </c>
      <c r="N55" s="7">
        <v>2</v>
      </c>
      <c r="O55" s="7">
        <v>0.7</v>
      </c>
      <c r="P55" s="7">
        <v>0.65</v>
      </c>
      <c r="Q55" s="44">
        <f t="shared" si="0"/>
        <v>0.67500000000000004</v>
      </c>
      <c r="R55" s="7">
        <v>16.5</v>
      </c>
      <c r="S55" s="7">
        <v>136</v>
      </c>
      <c r="T55" s="16">
        <f t="shared" si="1"/>
        <v>30</v>
      </c>
      <c r="U55" s="77">
        <v>358</v>
      </c>
      <c r="V55" s="16">
        <f t="shared" si="2"/>
        <v>5370</v>
      </c>
      <c r="W55" s="69">
        <v>23</v>
      </c>
      <c r="X55" s="65" t="s">
        <v>35</v>
      </c>
      <c r="Y55" s="73" t="s">
        <v>55</v>
      </c>
      <c r="Z55" s="73" t="s">
        <v>43</v>
      </c>
      <c r="AA55" s="73" t="s">
        <v>72</v>
      </c>
      <c r="AB55" s="43" t="s">
        <v>161</v>
      </c>
      <c r="AR55" s="77"/>
    </row>
    <row r="56" spans="1:44" x14ac:dyDescent="0.15">
      <c r="A56" s="84" t="s">
        <v>23</v>
      </c>
      <c r="B56" s="84" t="s">
        <v>160</v>
      </c>
      <c r="C56" s="84">
        <v>2020</v>
      </c>
      <c r="D56" s="45" t="s">
        <v>162</v>
      </c>
      <c r="E56" s="84" t="s">
        <v>170</v>
      </c>
      <c r="F56" s="84" t="s">
        <v>147</v>
      </c>
      <c r="G56" s="84" t="s">
        <v>25</v>
      </c>
      <c r="H56" s="84" t="s">
        <v>167</v>
      </c>
      <c r="I56" s="84" t="s">
        <v>111</v>
      </c>
      <c r="J56" s="78" t="s">
        <v>27</v>
      </c>
      <c r="K56" s="77" t="s">
        <v>112</v>
      </c>
      <c r="L56" s="84">
        <v>1</v>
      </c>
      <c r="N56" s="7">
        <v>1</v>
      </c>
      <c r="O56" s="7">
        <v>0.65</v>
      </c>
      <c r="P56" s="7">
        <v>0.75</v>
      </c>
      <c r="Q56" s="44">
        <f t="shared" si="0"/>
        <v>0.7</v>
      </c>
      <c r="R56" s="7">
        <v>16.3</v>
      </c>
      <c r="S56" s="7">
        <v>113</v>
      </c>
      <c r="T56" s="16">
        <f t="shared" si="1"/>
        <v>30</v>
      </c>
      <c r="U56" s="7">
        <v>98</v>
      </c>
      <c r="V56" s="16">
        <f t="shared" si="2"/>
        <v>2940</v>
      </c>
      <c r="W56" s="7">
        <v>24</v>
      </c>
      <c r="X56" s="65" t="s">
        <v>35</v>
      </c>
      <c r="Y56" s="7" t="s">
        <v>51</v>
      </c>
      <c r="Z56" s="73" t="s">
        <v>43</v>
      </c>
      <c r="AA56" s="7" t="s">
        <v>55</v>
      </c>
      <c r="AB56" s="43" t="s">
        <v>161</v>
      </c>
      <c r="AR56" s="77"/>
    </row>
    <row r="57" spans="1:44" x14ac:dyDescent="0.15">
      <c r="A57" s="84" t="s">
        <v>23</v>
      </c>
      <c r="B57" s="84" t="s">
        <v>160</v>
      </c>
      <c r="C57" s="84">
        <v>2020</v>
      </c>
      <c r="D57" s="45" t="s">
        <v>162</v>
      </c>
      <c r="E57" s="84" t="s">
        <v>170</v>
      </c>
      <c r="F57" s="84" t="s">
        <v>147</v>
      </c>
      <c r="G57" s="84" t="s">
        <v>25</v>
      </c>
      <c r="H57" s="84" t="s">
        <v>113</v>
      </c>
      <c r="I57" s="84" t="s">
        <v>111</v>
      </c>
      <c r="J57" s="78" t="s">
        <v>27</v>
      </c>
      <c r="K57" s="77" t="s">
        <v>112</v>
      </c>
      <c r="L57" s="84">
        <v>2</v>
      </c>
      <c r="N57" s="7">
        <v>1</v>
      </c>
      <c r="O57" s="7">
        <v>1.3</v>
      </c>
      <c r="P57" s="7">
        <v>1.45</v>
      </c>
      <c r="Q57" s="44">
        <f t="shared" si="0"/>
        <v>1.375</v>
      </c>
      <c r="R57" s="7">
        <v>14.6</v>
      </c>
      <c r="S57" s="7">
        <v>116</v>
      </c>
      <c r="T57" s="16">
        <f t="shared" si="1"/>
        <v>30</v>
      </c>
      <c r="U57" s="77">
        <v>98</v>
      </c>
      <c r="V57" s="16">
        <f t="shared" si="2"/>
        <v>2940</v>
      </c>
      <c r="W57" s="77">
        <v>24</v>
      </c>
      <c r="X57" s="65" t="s">
        <v>35</v>
      </c>
      <c r="Y57" s="77" t="s">
        <v>51</v>
      </c>
      <c r="Z57" s="73" t="s">
        <v>43</v>
      </c>
      <c r="AA57" s="77" t="s">
        <v>55</v>
      </c>
      <c r="AB57" s="43" t="s">
        <v>161</v>
      </c>
      <c r="AR57" s="77"/>
    </row>
    <row r="58" spans="1:44" x14ac:dyDescent="0.15">
      <c r="A58" s="84" t="s">
        <v>23</v>
      </c>
      <c r="B58" s="84" t="s">
        <v>160</v>
      </c>
      <c r="C58" s="84">
        <v>2020</v>
      </c>
      <c r="D58" s="45" t="s">
        <v>162</v>
      </c>
      <c r="E58" s="84" t="s">
        <v>170</v>
      </c>
      <c r="F58" s="84" t="s">
        <v>147</v>
      </c>
      <c r="G58" s="84" t="s">
        <v>25</v>
      </c>
      <c r="H58" s="84" t="s">
        <v>113</v>
      </c>
      <c r="I58" s="84" t="s">
        <v>111</v>
      </c>
      <c r="J58" s="78" t="s">
        <v>27</v>
      </c>
      <c r="K58" s="77" t="s">
        <v>112</v>
      </c>
      <c r="L58" s="84">
        <v>3</v>
      </c>
      <c r="N58" s="7">
        <v>1</v>
      </c>
      <c r="O58" s="7">
        <v>1.1499999999999999</v>
      </c>
      <c r="P58" s="7">
        <v>1.05</v>
      </c>
      <c r="Q58" s="44">
        <f t="shared" si="0"/>
        <v>1.1000000000000001</v>
      </c>
      <c r="R58" s="7">
        <v>15.7</v>
      </c>
      <c r="S58" s="7">
        <v>111</v>
      </c>
      <c r="T58" s="16">
        <f t="shared" si="1"/>
        <v>33</v>
      </c>
      <c r="U58" s="77">
        <v>98</v>
      </c>
      <c r="V58" s="16">
        <f t="shared" si="2"/>
        <v>3234</v>
      </c>
      <c r="W58" s="77">
        <v>24</v>
      </c>
      <c r="X58" s="65" t="s">
        <v>35</v>
      </c>
      <c r="Y58" s="77" t="s">
        <v>51</v>
      </c>
      <c r="Z58" s="73" t="s">
        <v>43</v>
      </c>
      <c r="AA58" s="77" t="s">
        <v>55</v>
      </c>
      <c r="AB58" s="43" t="s">
        <v>161</v>
      </c>
      <c r="AR58" s="77"/>
    </row>
    <row r="59" spans="1:44" x14ac:dyDescent="0.15">
      <c r="A59" s="84" t="s">
        <v>23</v>
      </c>
      <c r="B59" s="84" t="s">
        <v>160</v>
      </c>
      <c r="C59" s="84">
        <v>2020</v>
      </c>
      <c r="D59" s="45" t="s">
        <v>162</v>
      </c>
      <c r="E59" s="84" t="s">
        <v>170</v>
      </c>
      <c r="F59" s="84" t="s">
        <v>147</v>
      </c>
      <c r="G59" s="84" t="s">
        <v>25</v>
      </c>
      <c r="H59" s="84" t="s">
        <v>113</v>
      </c>
      <c r="I59" s="84" t="s">
        <v>166</v>
      </c>
      <c r="J59" s="78" t="s">
        <v>27</v>
      </c>
      <c r="K59" s="77" t="s">
        <v>112</v>
      </c>
      <c r="L59" s="84">
        <v>1</v>
      </c>
      <c r="N59" s="7">
        <v>4</v>
      </c>
      <c r="O59" s="7">
        <v>0.5</v>
      </c>
      <c r="P59" s="7">
        <v>0.6</v>
      </c>
      <c r="Q59" s="44">
        <f t="shared" si="0"/>
        <v>0.55000000000000004</v>
      </c>
      <c r="R59" s="7">
        <v>13</v>
      </c>
      <c r="S59" s="7">
        <v>88</v>
      </c>
      <c r="T59" s="16">
        <f t="shared" si="1"/>
        <v>36</v>
      </c>
      <c r="U59" s="7">
        <v>398</v>
      </c>
      <c r="V59" s="16">
        <f t="shared" si="2"/>
        <v>3582</v>
      </c>
      <c r="W59" s="77">
        <v>24</v>
      </c>
      <c r="X59" s="65" t="s">
        <v>35</v>
      </c>
      <c r="Y59" s="77" t="s">
        <v>51</v>
      </c>
      <c r="Z59" s="73" t="s">
        <v>43</v>
      </c>
      <c r="AA59" s="77" t="s">
        <v>55</v>
      </c>
      <c r="AB59" s="43" t="s">
        <v>161</v>
      </c>
      <c r="AR59" s="77"/>
    </row>
    <row r="60" spans="1:44" x14ac:dyDescent="0.15">
      <c r="A60" s="84" t="s">
        <v>23</v>
      </c>
      <c r="B60" s="84" t="s">
        <v>160</v>
      </c>
      <c r="C60" s="84">
        <v>2020</v>
      </c>
      <c r="D60" s="45" t="s">
        <v>162</v>
      </c>
      <c r="E60" s="84" t="s">
        <v>170</v>
      </c>
      <c r="F60" s="84" t="s">
        <v>147</v>
      </c>
      <c r="G60" s="84" t="s">
        <v>25</v>
      </c>
      <c r="H60" s="84" t="s">
        <v>113</v>
      </c>
      <c r="I60" s="84" t="s">
        <v>166</v>
      </c>
      <c r="J60" s="78" t="s">
        <v>27</v>
      </c>
      <c r="K60" s="77" t="s">
        <v>112</v>
      </c>
      <c r="L60" s="84">
        <v>2</v>
      </c>
      <c r="N60" s="7">
        <v>4</v>
      </c>
      <c r="O60" s="7">
        <v>0.75</v>
      </c>
      <c r="P60" s="7">
        <v>0.9</v>
      </c>
      <c r="Q60" s="44">
        <f t="shared" si="0"/>
        <v>0.82499999999999996</v>
      </c>
      <c r="R60" s="7">
        <v>14.7</v>
      </c>
      <c r="S60" s="7">
        <v>85</v>
      </c>
      <c r="T60" s="16">
        <f t="shared" si="1"/>
        <v>36</v>
      </c>
      <c r="U60" s="77">
        <v>398</v>
      </c>
      <c r="V60" s="16">
        <f t="shared" si="2"/>
        <v>3582</v>
      </c>
      <c r="W60" s="77">
        <v>24</v>
      </c>
      <c r="X60" s="65" t="s">
        <v>35</v>
      </c>
      <c r="Y60" s="77" t="s">
        <v>51</v>
      </c>
      <c r="Z60" s="73" t="s">
        <v>43</v>
      </c>
      <c r="AA60" s="77" t="s">
        <v>55</v>
      </c>
      <c r="AB60" s="43" t="s">
        <v>161</v>
      </c>
      <c r="AR60" s="77"/>
    </row>
    <row r="61" spans="1:44" x14ac:dyDescent="0.15">
      <c r="A61" s="84" t="s">
        <v>23</v>
      </c>
      <c r="B61" s="84" t="s">
        <v>160</v>
      </c>
      <c r="C61" s="84">
        <v>2020</v>
      </c>
      <c r="D61" s="45" t="s">
        <v>162</v>
      </c>
      <c r="E61" s="84" t="s">
        <v>170</v>
      </c>
      <c r="F61" s="84" t="s">
        <v>147</v>
      </c>
      <c r="G61" s="84" t="s">
        <v>25</v>
      </c>
      <c r="H61" s="84" t="s">
        <v>113</v>
      </c>
      <c r="I61" s="84" t="s">
        <v>166</v>
      </c>
      <c r="J61" s="78" t="s">
        <v>27</v>
      </c>
      <c r="K61" s="77" t="s">
        <v>112</v>
      </c>
      <c r="L61" s="84">
        <v>3</v>
      </c>
      <c r="N61" s="7">
        <v>4</v>
      </c>
      <c r="O61" s="7">
        <v>0.6</v>
      </c>
      <c r="P61" s="7">
        <v>0.75</v>
      </c>
      <c r="Q61" s="44">
        <f t="shared" si="0"/>
        <v>0.67500000000000004</v>
      </c>
      <c r="R61" s="7">
        <v>14.5</v>
      </c>
      <c r="S61" s="7">
        <v>92</v>
      </c>
      <c r="T61" s="16">
        <f t="shared" si="1"/>
        <v>36</v>
      </c>
      <c r="U61" s="77">
        <v>398</v>
      </c>
      <c r="V61" s="16">
        <f t="shared" si="2"/>
        <v>3582</v>
      </c>
      <c r="W61" s="77">
        <v>24</v>
      </c>
      <c r="X61" s="65" t="s">
        <v>35</v>
      </c>
      <c r="Y61" s="77" t="s">
        <v>51</v>
      </c>
      <c r="Z61" s="73" t="s">
        <v>43</v>
      </c>
      <c r="AA61" s="77" t="s">
        <v>55</v>
      </c>
      <c r="AB61" s="43" t="s">
        <v>161</v>
      </c>
      <c r="AR61" s="77"/>
    </row>
    <row r="62" spans="1:44" x14ac:dyDescent="0.15">
      <c r="A62" s="84" t="s">
        <v>23</v>
      </c>
      <c r="B62" s="84" t="s">
        <v>160</v>
      </c>
      <c r="C62" s="84">
        <v>2020</v>
      </c>
      <c r="D62" s="45" t="s">
        <v>162</v>
      </c>
      <c r="E62" s="84" t="s">
        <v>170</v>
      </c>
      <c r="F62" s="84" t="s">
        <v>147</v>
      </c>
      <c r="G62" s="84" t="s">
        <v>25</v>
      </c>
      <c r="H62" s="84" t="s">
        <v>113</v>
      </c>
      <c r="I62" s="84" t="s">
        <v>111</v>
      </c>
      <c r="J62" s="78" t="s">
        <v>27</v>
      </c>
      <c r="K62" s="77" t="s">
        <v>112</v>
      </c>
      <c r="L62" s="84">
        <v>1</v>
      </c>
      <c r="N62" s="7">
        <v>8</v>
      </c>
      <c r="O62" s="7">
        <v>0.45</v>
      </c>
      <c r="P62" s="7">
        <v>0.45</v>
      </c>
      <c r="Q62" s="44">
        <f t="shared" si="0"/>
        <v>0.45</v>
      </c>
      <c r="R62" s="7">
        <v>12.9</v>
      </c>
      <c r="S62" s="7">
        <v>80</v>
      </c>
      <c r="T62" s="16">
        <f t="shared" si="1"/>
        <v>39</v>
      </c>
      <c r="U62" s="77">
        <v>398</v>
      </c>
      <c r="V62" s="16">
        <f t="shared" si="2"/>
        <v>1940.25</v>
      </c>
      <c r="W62" s="77">
        <v>24</v>
      </c>
      <c r="X62" s="65" t="s">
        <v>35</v>
      </c>
      <c r="Y62" s="77" t="s">
        <v>51</v>
      </c>
      <c r="Z62" s="73" t="s">
        <v>43</v>
      </c>
      <c r="AA62" s="77" t="s">
        <v>55</v>
      </c>
      <c r="AB62" s="43" t="s">
        <v>161</v>
      </c>
      <c r="AR62" s="77"/>
    </row>
    <row r="63" spans="1:44" x14ac:dyDescent="0.15">
      <c r="A63" s="84" t="s">
        <v>23</v>
      </c>
      <c r="B63" s="84" t="s">
        <v>160</v>
      </c>
      <c r="C63" s="84">
        <v>2020</v>
      </c>
      <c r="D63" s="45" t="s">
        <v>162</v>
      </c>
      <c r="E63" s="84" t="s">
        <v>170</v>
      </c>
      <c r="F63" s="84" t="s">
        <v>147</v>
      </c>
      <c r="G63" s="84" t="s">
        <v>25</v>
      </c>
      <c r="H63" s="84" t="s">
        <v>113</v>
      </c>
      <c r="I63" s="84" t="s">
        <v>111</v>
      </c>
      <c r="J63" s="78" t="s">
        <v>27</v>
      </c>
      <c r="K63" s="77" t="s">
        <v>112</v>
      </c>
      <c r="L63" s="84">
        <v>2</v>
      </c>
      <c r="N63" s="7">
        <v>8</v>
      </c>
      <c r="O63" s="7">
        <v>0.9</v>
      </c>
      <c r="P63" s="7">
        <v>1.1000000000000001</v>
      </c>
      <c r="Q63" s="44">
        <f t="shared" si="0"/>
        <v>1</v>
      </c>
      <c r="R63" s="7">
        <v>14.1</v>
      </c>
      <c r="S63" s="7">
        <v>78</v>
      </c>
      <c r="T63" s="16">
        <f t="shared" si="1"/>
        <v>39</v>
      </c>
      <c r="U63" s="77">
        <v>398</v>
      </c>
      <c r="V63" s="16">
        <f t="shared" si="2"/>
        <v>1940.25</v>
      </c>
      <c r="W63" s="77">
        <v>24</v>
      </c>
      <c r="X63" s="65" t="s">
        <v>35</v>
      </c>
      <c r="Y63" s="77" t="s">
        <v>51</v>
      </c>
      <c r="Z63" s="73" t="s">
        <v>43</v>
      </c>
      <c r="AA63" s="77" t="s">
        <v>55</v>
      </c>
      <c r="AB63" s="43" t="s">
        <v>161</v>
      </c>
      <c r="AR63" s="77"/>
    </row>
    <row r="64" spans="1:44" x14ac:dyDescent="0.15">
      <c r="A64" s="84" t="s">
        <v>23</v>
      </c>
      <c r="B64" s="84" t="s">
        <v>160</v>
      </c>
      <c r="C64" s="84">
        <v>2020</v>
      </c>
      <c r="D64" s="45" t="s">
        <v>162</v>
      </c>
      <c r="E64" s="84" t="s">
        <v>170</v>
      </c>
      <c r="F64" s="84" t="s">
        <v>147</v>
      </c>
      <c r="G64" s="84" t="s">
        <v>25</v>
      </c>
      <c r="H64" s="84" t="s">
        <v>113</v>
      </c>
      <c r="I64" s="84" t="s">
        <v>111</v>
      </c>
      <c r="J64" s="78" t="s">
        <v>27</v>
      </c>
      <c r="K64" s="77" t="s">
        <v>112</v>
      </c>
      <c r="L64" s="84">
        <v>3</v>
      </c>
      <c r="N64" s="7">
        <v>8</v>
      </c>
      <c r="O64" s="7">
        <v>0.55000000000000004</v>
      </c>
      <c r="P64" s="7">
        <v>0.6</v>
      </c>
      <c r="Q64" s="44">
        <f t="shared" si="0"/>
        <v>0.57499999999999996</v>
      </c>
      <c r="R64" s="7">
        <v>16.8</v>
      </c>
      <c r="S64" s="7">
        <v>83</v>
      </c>
      <c r="T64" s="16">
        <f t="shared" si="1"/>
        <v>39</v>
      </c>
      <c r="U64" s="77">
        <v>398</v>
      </c>
      <c r="V64" s="16">
        <f t="shared" si="2"/>
        <v>1940.25</v>
      </c>
      <c r="W64" s="77">
        <v>24</v>
      </c>
      <c r="X64" s="65" t="s">
        <v>35</v>
      </c>
      <c r="Y64" s="77" t="s">
        <v>51</v>
      </c>
      <c r="Z64" s="73" t="s">
        <v>43</v>
      </c>
      <c r="AA64" s="77" t="s">
        <v>55</v>
      </c>
      <c r="AB64" s="43" t="s">
        <v>161</v>
      </c>
      <c r="AR64" s="77"/>
    </row>
    <row r="65" spans="1:44" x14ac:dyDescent="0.15">
      <c r="A65" s="84" t="s">
        <v>23</v>
      </c>
      <c r="B65" s="84" t="s">
        <v>160</v>
      </c>
      <c r="C65" s="84">
        <v>2020</v>
      </c>
      <c r="D65" s="45" t="s">
        <v>162</v>
      </c>
      <c r="E65" s="84" t="s">
        <v>170</v>
      </c>
      <c r="F65" s="84" t="s">
        <v>147</v>
      </c>
      <c r="G65" s="84" t="s">
        <v>25</v>
      </c>
      <c r="H65" s="84" t="s">
        <v>113</v>
      </c>
      <c r="I65" s="84" t="s">
        <v>111</v>
      </c>
      <c r="J65" s="78" t="s">
        <v>27</v>
      </c>
      <c r="K65" s="77" t="s">
        <v>112</v>
      </c>
      <c r="L65" s="84">
        <v>1</v>
      </c>
      <c r="N65" s="7">
        <v>14</v>
      </c>
      <c r="O65" s="7">
        <v>0.85</v>
      </c>
      <c r="P65" s="7">
        <v>0.95</v>
      </c>
      <c r="Q65" s="44">
        <f t="shared" si="0"/>
        <v>0.89999999999999991</v>
      </c>
      <c r="R65" s="7">
        <v>16.600000000000001</v>
      </c>
      <c r="S65" s="7">
        <v>77</v>
      </c>
      <c r="T65" s="16">
        <f t="shared" si="1"/>
        <v>39</v>
      </c>
      <c r="U65" s="7">
        <v>798</v>
      </c>
      <c r="V65" s="16">
        <f t="shared" si="2"/>
        <v>2223</v>
      </c>
      <c r="W65" s="77">
        <v>24</v>
      </c>
      <c r="X65" s="65" t="s">
        <v>35</v>
      </c>
      <c r="Y65" s="77" t="s">
        <v>51</v>
      </c>
      <c r="Z65" s="73" t="s">
        <v>43</v>
      </c>
      <c r="AA65" s="77" t="s">
        <v>55</v>
      </c>
      <c r="AB65" s="43" t="s">
        <v>161</v>
      </c>
      <c r="AR65" s="77"/>
    </row>
    <row r="66" spans="1:44" x14ac:dyDescent="0.15">
      <c r="A66" s="84" t="s">
        <v>23</v>
      </c>
      <c r="B66" s="84" t="s">
        <v>160</v>
      </c>
      <c r="C66" s="84">
        <v>2020</v>
      </c>
      <c r="D66" s="45" t="s">
        <v>162</v>
      </c>
      <c r="E66" s="84" t="s">
        <v>170</v>
      </c>
      <c r="F66" s="84" t="s">
        <v>147</v>
      </c>
      <c r="G66" s="84" t="s">
        <v>25</v>
      </c>
      <c r="H66" s="84" t="s">
        <v>113</v>
      </c>
      <c r="I66" s="84" t="s">
        <v>111</v>
      </c>
      <c r="J66" s="78" t="s">
        <v>27</v>
      </c>
      <c r="K66" s="77" t="s">
        <v>112</v>
      </c>
      <c r="L66" s="84">
        <v>2</v>
      </c>
      <c r="N66" s="7">
        <v>14</v>
      </c>
      <c r="O66" s="7">
        <v>0.65</v>
      </c>
      <c r="P66" s="7">
        <v>0.55000000000000004</v>
      </c>
      <c r="Q66" s="44">
        <f t="shared" ref="Q66:Q129" si="3">IF(OR(O66="",P66=""),"",AVERAGE(O66,P66))</f>
        <v>0.60000000000000009</v>
      </c>
      <c r="R66" s="7">
        <v>14.2</v>
      </c>
      <c r="S66" s="7">
        <v>77</v>
      </c>
      <c r="T66" s="16">
        <f t="shared" ref="T66:T129" si="4">IF(H66="","",IF(OR(H66="GREEN",H66="GK"),IF(S66&gt;=$AX$2,VLOOKUP(S66,$AX$2:$AY$7,2,1),""),IF(S66&gt;=$AZ$2,VLOOKUP(S66,$AZ$2:$BA$7,2,1),"")))</f>
        <v>39</v>
      </c>
      <c r="U66" s="77">
        <v>798</v>
      </c>
      <c r="V66" s="16">
        <f t="shared" ref="V66:V129" si="5">IF(OR(N66="",U66="",T66=""),"",U66/N66*T66)</f>
        <v>2223</v>
      </c>
      <c r="W66" s="77">
        <v>24</v>
      </c>
      <c r="X66" s="65" t="s">
        <v>35</v>
      </c>
      <c r="Y66" s="77" t="s">
        <v>51</v>
      </c>
      <c r="Z66" s="73" t="s">
        <v>43</v>
      </c>
      <c r="AA66" s="77" t="s">
        <v>55</v>
      </c>
      <c r="AB66" s="43" t="s">
        <v>161</v>
      </c>
    </row>
    <row r="67" spans="1:44" x14ac:dyDescent="0.15">
      <c r="A67" s="84" t="s">
        <v>23</v>
      </c>
      <c r="B67" s="84" t="s">
        <v>160</v>
      </c>
      <c r="C67" s="84">
        <v>2020</v>
      </c>
      <c r="D67" s="45" t="s">
        <v>162</v>
      </c>
      <c r="E67" s="84" t="s">
        <v>170</v>
      </c>
      <c r="F67" s="84" t="s">
        <v>147</v>
      </c>
      <c r="G67" s="84" t="s">
        <v>25</v>
      </c>
      <c r="H67" s="84" t="s">
        <v>113</v>
      </c>
      <c r="I67" s="84" t="s">
        <v>111</v>
      </c>
      <c r="J67" s="78" t="s">
        <v>27</v>
      </c>
      <c r="K67" s="77" t="s">
        <v>112</v>
      </c>
      <c r="L67" s="84">
        <v>3</v>
      </c>
      <c r="N67" s="7">
        <v>14</v>
      </c>
      <c r="O67" s="77">
        <v>0.65</v>
      </c>
      <c r="P67" s="7">
        <v>0.85</v>
      </c>
      <c r="Q67" s="44">
        <f t="shared" si="3"/>
        <v>0.75</v>
      </c>
      <c r="R67" s="7">
        <v>17.3</v>
      </c>
      <c r="S67" s="7">
        <v>78</v>
      </c>
      <c r="T67" s="16">
        <f t="shared" si="4"/>
        <v>39</v>
      </c>
      <c r="U67" s="77">
        <v>798</v>
      </c>
      <c r="V67" s="16">
        <f t="shared" si="5"/>
        <v>2223</v>
      </c>
      <c r="W67" s="77">
        <v>24</v>
      </c>
      <c r="X67" s="65" t="s">
        <v>35</v>
      </c>
      <c r="Y67" s="77" t="s">
        <v>51</v>
      </c>
      <c r="Z67" s="73" t="s">
        <v>43</v>
      </c>
      <c r="AA67" s="77" t="s">
        <v>55</v>
      </c>
      <c r="AB67" s="43" t="s">
        <v>161</v>
      </c>
    </row>
    <row r="68" spans="1:44" x14ac:dyDescent="0.15">
      <c r="A68" s="84" t="s">
        <v>23</v>
      </c>
      <c r="B68" s="84" t="s">
        <v>160</v>
      </c>
      <c r="C68" s="84">
        <v>2020</v>
      </c>
      <c r="D68" s="45" t="s">
        <v>162</v>
      </c>
      <c r="E68" s="84" t="s">
        <v>170</v>
      </c>
      <c r="F68" s="84" t="s">
        <v>147</v>
      </c>
      <c r="G68" s="84" t="s">
        <v>25</v>
      </c>
      <c r="H68" s="84" t="s">
        <v>164</v>
      </c>
      <c r="I68" s="84" t="s">
        <v>111</v>
      </c>
      <c r="J68" s="78" t="s">
        <v>27</v>
      </c>
      <c r="K68" s="77" t="s">
        <v>112</v>
      </c>
      <c r="L68" s="84">
        <v>1</v>
      </c>
      <c r="N68" s="7">
        <v>1</v>
      </c>
      <c r="O68" s="7">
        <v>0.7</v>
      </c>
      <c r="P68" s="7">
        <v>0.7</v>
      </c>
      <c r="Q68" s="44">
        <f t="shared" si="3"/>
        <v>0.7</v>
      </c>
      <c r="R68" s="7">
        <v>19.100000000000001</v>
      </c>
      <c r="S68" s="7">
        <v>124</v>
      </c>
      <c r="T68" s="16">
        <f t="shared" si="4"/>
        <v>30</v>
      </c>
      <c r="U68" s="7">
        <v>98</v>
      </c>
      <c r="V68" s="16">
        <f t="shared" si="5"/>
        <v>2940</v>
      </c>
      <c r="W68" s="77">
        <v>24</v>
      </c>
      <c r="X68" s="65" t="s">
        <v>35</v>
      </c>
      <c r="Y68" s="77" t="s">
        <v>51</v>
      </c>
      <c r="Z68" s="73" t="s">
        <v>43</v>
      </c>
      <c r="AA68" s="77" t="s">
        <v>55</v>
      </c>
      <c r="AB68" s="43" t="s">
        <v>161</v>
      </c>
    </row>
    <row r="69" spans="1:44" x14ac:dyDescent="0.15">
      <c r="A69" s="84" t="s">
        <v>23</v>
      </c>
      <c r="B69" s="84" t="s">
        <v>160</v>
      </c>
      <c r="C69" s="84">
        <v>2020</v>
      </c>
      <c r="D69" s="45" t="s">
        <v>162</v>
      </c>
      <c r="E69" s="84" t="s">
        <v>170</v>
      </c>
      <c r="F69" s="84" t="s">
        <v>147</v>
      </c>
      <c r="G69" s="84" t="s">
        <v>25</v>
      </c>
      <c r="H69" s="84" t="s">
        <v>164</v>
      </c>
      <c r="I69" s="84" t="s">
        <v>111</v>
      </c>
      <c r="J69" s="78" t="s">
        <v>27</v>
      </c>
      <c r="K69" s="77" t="s">
        <v>112</v>
      </c>
      <c r="L69" s="84">
        <v>2</v>
      </c>
      <c r="N69" s="7">
        <v>1</v>
      </c>
      <c r="O69" s="7">
        <v>0.75</v>
      </c>
      <c r="P69" s="7">
        <v>1</v>
      </c>
      <c r="Q69" s="44">
        <f t="shared" si="3"/>
        <v>0.875</v>
      </c>
      <c r="R69" s="7">
        <v>16.600000000000001</v>
      </c>
      <c r="S69" s="7">
        <v>120</v>
      </c>
      <c r="T69" s="16">
        <f t="shared" si="4"/>
        <v>30</v>
      </c>
      <c r="U69" s="77">
        <v>98</v>
      </c>
      <c r="V69" s="16">
        <f t="shared" si="5"/>
        <v>2940</v>
      </c>
      <c r="W69" s="77">
        <v>24</v>
      </c>
      <c r="X69" s="65" t="s">
        <v>35</v>
      </c>
      <c r="Y69" s="77" t="s">
        <v>51</v>
      </c>
      <c r="Z69" s="73" t="s">
        <v>43</v>
      </c>
      <c r="AA69" s="77" t="s">
        <v>55</v>
      </c>
      <c r="AB69" s="43" t="s">
        <v>161</v>
      </c>
    </row>
    <row r="70" spans="1:44" x14ac:dyDescent="0.15">
      <c r="A70" s="84" t="s">
        <v>23</v>
      </c>
      <c r="B70" s="84" t="s">
        <v>160</v>
      </c>
      <c r="C70" s="84">
        <v>2020</v>
      </c>
      <c r="D70" s="45" t="s">
        <v>162</v>
      </c>
      <c r="E70" s="84" t="s">
        <v>170</v>
      </c>
      <c r="F70" s="84" t="s">
        <v>147</v>
      </c>
      <c r="G70" s="84" t="s">
        <v>25</v>
      </c>
      <c r="H70" s="84" t="s">
        <v>164</v>
      </c>
      <c r="I70" s="84" t="s">
        <v>111</v>
      </c>
      <c r="J70" s="78" t="s">
        <v>27</v>
      </c>
      <c r="K70" s="77" t="s">
        <v>112</v>
      </c>
      <c r="L70" s="84">
        <v>3</v>
      </c>
      <c r="N70" s="7">
        <v>1</v>
      </c>
      <c r="O70" s="7">
        <v>0.85</v>
      </c>
      <c r="P70" s="7">
        <v>0.95</v>
      </c>
      <c r="Q70" s="44">
        <f t="shared" si="3"/>
        <v>0.89999999999999991</v>
      </c>
      <c r="R70" s="7">
        <v>17.7</v>
      </c>
      <c r="S70" s="7">
        <v>119</v>
      </c>
      <c r="T70" s="16">
        <f t="shared" si="4"/>
        <v>30</v>
      </c>
      <c r="U70" s="77">
        <v>98</v>
      </c>
      <c r="V70" s="16">
        <f t="shared" si="5"/>
        <v>2940</v>
      </c>
      <c r="W70" s="77">
        <v>24</v>
      </c>
      <c r="X70" s="65" t="s">
        <v>35</v>
      </c>
      <c r="Y70" s="77" t="s">
        <v>51</v>
      </c>
      <c r="Z70" s="73" t="s">
        <v>43</v>
      </c>
      <c r="AA70" s="77" t="s">
        <v>55</v>
      </c>
      <c r="AB70" s="43" t="s">
        <v>161</v>
      </c>
    </row>
    <row r="71" spans="1:44" x14ac:dyDescent="0.15">
      <c r="A71" s="84" t="s">
        <v>23</v>
      </c>
      <c r="B71" s="84" t="s">
        <v>160</v>
      </c>
      <c r="C71" s="84">
        <v>2020</v>
      </c>
      <c r="D71" s="45" t="s">
        <v>162</v>
      </c>
      <c r="E71" s="84" t="s">
        <v>170</v>
      </c>
      <c r="F71" s="84" t="s">
        <v>147</v>
      </c>
      <c r="G71" s="84" t="s">
        <v>25</v>
      </c>
      <c r="H71" s="84" t="s">
        <v>164</v>
      </c>
      <c r="I71" s="84" t="s">
        <v>111</v>
      </c>
      <c r="J71" s="78" t="s">
        <v>27</v>
      </c>
      <c r="K71" s="77" t="s">
        <v>112</v>
      </c>
      <c r="L71" s="84">
        <v>1</v>
      </c>
      <c r="N71" s="7">
        <v>4</v>
      </c>
      <c r="O71" s="7">
        <v>0.95</v>
      </c>
      <c r="P71" s="7">
        <v>1.1000000000000001</v>
      </c>
      <c r="Q71" s="44">
        <f t="shared" si="3"/>
        <v>1.0249999999999999</v>
      </c>
      <c r="R71" s="7">
        <v>14.5</v>
      </c>
      <c r="S71" s="7">
        <v>101</v>
      </c>
      <c r="T71" s="16">
        <f t="shared" si="4"/>
        <v>33</v>
      </c>
      <c r="U71" s="7">
        <v>398</v>
      </c>
      <c r="V71" s="16">
        <f t="shared" si="5"/>
        <v>3283.5</v>
      </c>
      <c r="W71" s="77">
        <v>24</v>
      </c>
      <c r="X71" s="65" t="s">
        <v>35</v>
      </c>
      <c r="Y71" s="77" t="s">
        <v>51</v>
      </c>
      <c r="Z71" s="73" t="s">
        <v>43</v>
      </c>
      <c r="AA71" s="77" t="s">
        <v>55</v>
      </c>
      <c r="AB71" s="43" t="s">
        <v>161</v>
      </c>
    </row>
    <row r="72" spans="1:44" x14ac:dyDescent="0.15">
      <c r="A72" s="84" t="s">
        <v>23</v>
      </c>
      <c r="B72" s="84" t="s">
        <v>160</v>
      </c>
      <c r="C72" s="84">
        <v>2020</v>
      </c>
      <c r="D72" s="45" t="s">
        <v>162</v>
      </c>
      <c r="E72" s="84" t="s">
        <v>170</v>
      </c>
      <c r="F72" s="84" t="s">
        <v>147</v>
      </c>
      <c r="G72" s="84" t="s">
        <v>25</v>
      </c>
      <c r="H72" s="84" t="s">
        <v>164</v>
      </c>
      <c r="I72" s="84" t="s">
        <v>111</v>
      </c>
      <c r="J72" s="78" t="s">
        <v>27</v>
      </c>
      <c r="K72" s="77" t="s">
        <v>112</v>
      </c>
      <c r="L72" s="84">
        <v>2</v>
      </c>
      <c r="N72" s="7">
        <v>4</v>
      </c>
      <c r="O72" s="7">
        <v>0.95</v>
      </c>
      <c r="P72" s="77">
        <v>0.95</v>
      </c>
      <c r="Q72" s="44">
        <f t="shared" si="3"/>
        <v>0.95</v>
      </c>
      <c r="R72" s="7">
        <v>15.1</v>
      </c>
      <c r="S72" s="7">
        <v>97</v>
      </c>
      <c r="T72" s="16">
        <f t="shared" si="4"/>
        <v>36</v>
      </c>
      <c r="U72" s="77">
        <v>398</v>
      </c>
      <c r="V72" s="16">
        <f t="shared" si="5"/>
        <v>3582</v>
      </c>
      <c r="W72" s="77">
        <v>24</v>
      </c>
      <c r="X72" s="65" t="s">
        <v>35</v>
      </c>
      <c r="Y72" s="77" t="s">
        <v>51</v>
      </c>
      <c r="Z72" s="73" t="s">
        <v>43</v>
      </c>
      <c r="AA72" s="77" t="s">
        <v>55</v>
      </c>
      <c r="AB72" s="43" t="s">
        <v>161</v>
      </c>
    </row>
    <row r="73" spans="1:44" x14ac:dyDescent="0.15">
      <c r="A73" s="84" t="s">
        <v>23</v>
      </c>
      <c r="B73" s="84" t="s">
        <v>160</v>
      </c>
      <c r="C73" s="84">
        <v>2020</v>
      </c>
      <c r="D73" s="45" t="s">
        <v>162</v>
      </c>
      <c r="E73" s="84" t="s">
        <v>170</v>
      </c>
      <c r="F73" s="84" t="s">
        <v>147</v>
      </c>
      <c r="G73" s="84" t="s">
        <v>25</v>
      </c>
      <c r="H73" s="84" t="s">
        <v>164</v>
      </c>
      <c r="I73" s="84" t="s">
        <v>111</v>
      </c>
      <c r="J73" s="78" t="s">
        <v>27</v>
      </c>
      <c r="K73" s="77" t="s">
        <v>112</v>
      </c>
      <c r="L73" s="84">
        <v>3</v>
      </c>
      <c r="N73" s="7">
        <v>4</v>
      </c>
      <c r="O73" s="7">
        <v>0.75</v>
      </c>
      <c r="P73" s="7">
        <v>0.85</v>
      </c>
      <c r="Q73" s="44">
        <f t="shared" si="3"/>
        <v>0.8</v>
      </c>
      <c r="R73" s="7">
        <v>16.600000000000001</v>
      </c>
      <c r="S73" s="7">
        <v>104</v>
      </c>
      <c r="T73" s="16">
        <f t="shared" si="4"/>
        <v>33</v>
      </c>
      <c r="U73" s="77">
        <v>398</v>
      </c>
      <c r="V73" s="16">
        <f t="shared" si="5"/>
        <v>3283.5</v>
      </c>
      <c r="W73" s="77">
        <v>24</v>
      </c>
      <c r="X73" s="65" t="s">
        <v>35</v>
      </c>
      <c r="Y73" s="77" t="s">
        <v>51</v>
      </c>
      <c r="Z73" s="73" t="s">
        <v>43</v>
      </c>
      <c r="AA73" s="77" t="s">
        <v>55</v>
      </c>
      <c r="AB73" s="43" t="s">
        <v>161</v>
      </c>
    </row>
    <row r="74" spans="1:44" x14ac:dyDescent="0.15">
      <c r="A74" s="84" t="s">
        <v>23</v>
      </c>
      <c r="B74" s="84" t="s">
        <v>160</v>
      </c>
      <c r="C74" s="84">
        <v>2020</v>
      </c>
      <c r="D74" s="45" t="s">
        <v>162</v>
      </c>
      <c r="E74" s="84" t="s">
        <v>170</v>
      </c>
      <c r="F74" s="84" t="s">
        <v>147</v>
      </c>
      <c r="G74" s="84" t="s">
        <v>25</v>
      </c>
      <c r="H74" s="84" t="s">
        <v>164</v>
      </c>
      <c r="I74" s="84" t="s">
        <v>111</v>
      </c>
      <c r="J74" s="78" t="s">
        <v>27</v>
      </c>
      <c r="K74" s="77" t="s">
        <v>112</v>
      </c>
      <c r="L74" s="84">
        <v>1</v>
      </c>
      <c r="N74" s="7">
        <v>13</v>
      </c>
      <c r="O74" s="7">
        <v>0.5</v>
      </c>
      <c r="P74" s="7">
        <v>0.5</v>
      </c>
      <c r="Q74" s="44">
        <f t="shared" si="3"/>
        <v>0.5</v>
      </c>
      <c r="R74" s="7">
        <v>14.9</v>
      </c>
      <c r="S74" s="7">
        <v>87</v>
      </c>
      <c r="T74" s="16">
        <f t="shared" si="4"/>
        <v>36</v>
      </c>
      <c r="U74" s="7">
        <v>1000</v>
      </c>
      <c r="V74" s="16">
        <f t="shared" si="5"/>
        <v>2769.2307692307691</v>
      </c>
      <c r="W74" s="77">
        <v>24</v>
      </c>
      <c r="X74" s="65" t="s">
        <v>35</v>
      </c>
      <c r="Y74" s="77" t="s">
        <v>51</v>
      </c>
      <c r="Z74" s="73" t="s">
        <v>43</v>
      </c>
      <c r="AA74" s="77" t="s">
        <v>55</v>
      </c>
      <c r="AB74" s="43" t="s">
        <v>161</v>
      </c>
    </row>
    <row r="75" spans="1:44" x14ac:dyDescent="0.15">
      <c r="A75" s="84" t="s">
        <v>23</v>
      </c>
      <c r="B75" s="84" t="s">
        <v>160</v>
      </c>
      <c r="C75" s="84">
        <v>2020</v>
      </c>
      <c r="D75" s="45" t="s">
        <v>162</v>
      </c>
      <c r="E75" s="84" t="s">
        <v>170</v>
      </c>
      <c r="F75" s="84" t="s">
        <v>147</v>
      </c>
      <c r="G75" s="84" t="s">
        <v>25</v>
      </c>
      <c r="H75" s="84" t="s">
        <v>164</v>
      </c>
      <c r="I75" s="84" t="s">
        <v>111</v>
      </c>
      <c r="J75" s="78" t="s">
        <v>27</v>
      </c>
      <c r="K75" s="77" t="s">
        <v>112</v>
      </c>
      <c r="L75" s="84">
        <v>2</v>
      </c>
      <c r="N75" s="7">
        <v>13</v>
      </c>
      <c r="O75" s="7">
        <v>0.55000000000000004</v>
      </c>
      <c r="P75" s="7">
        <v>0.55000000000000004</v>
      </c>
      <c r="Q75" s="44">
        <f t="shared" si="3"/>
        <v>0.55000000000000004</v>
      </c>
      <c r="R75" s="7">
        <v>15</v>
      </c>
      <c r="S75" s="7">
        <v>89</v>
      </c>
      <c r="T75" s="16">
        <f t="shared" si="4"/>
        <v>36</v>
      </c>
      <c r="U75" s="77">
        <v>1000</v>
      </c>
      <c r="V75" s="16">
        <f t="shared" si="5"/>
        <v>2769.2307692307691</v>
      </c>
      <c r="W75" s="77">
        <v>24</v>
      </c>
      <c r="X75" s="65" t="s">
        <v>35</v>
      </c>
      <c r="Y75" s="77" t="s">
        <v>51</v>
      </c>
      <c r="Z75" s="73" t="s">
        <v>43</v>
      </c>
      <c r="AA75" s="77" t="s">
        <v>55</v>
      </c>
      <c r="AB75" s="43" t="s">
        <v>161</v>
      </c>
    </row>
    <row r="76" spans="1:44" x14ac:dyDescent="0.15">
      <c r="A76" s="84" t="s">
        <v>23</v>
      </c>
      <c r="B76" s="84" t="s">
        <v>160</v>
      </c>
      <c r="C76" s="84">
        <v>2020</v>
      </c>
      <c r="D76" s="45" t="s">
        <v>162</v>
      </c>
      <c r="E76" s="84" t="s">
        <v>170</v>
      </c>
      <c r="F76" s="84" t="s">
        <v>147</v>
      </c>
      <c r="G76" s="84" t="s">
        <v>25</v>
      </c>
      <c r="H76" s="84" t="s">
        <v>164</v>
      </c>
      <c r="I76" s="84" t="s">
        <v>111</v>
      </c>
      <c r="J76" s="78" t="s">
        <v>27</v>
      </c>
      <c r="K76" s="77" t="s">
        <v>112</v>
      </c>
      <c r="L76" s="84">
        <v>3</v>
      </c>
      <c r="N76" s="7">
        <v>13</v>
      </c>
      <c r="O76" s="7">
        <v>0.6</v>
      </c>
      <c r="P76" s="7">
        <v>0.7</v>
      </c>
      <c r="Q76" s="44">
        <f t="shared" si="3"/>
        <v>0.64999999999999991</v>
      </c>
      <c r="R76" s="7">
        <v>13.6</v>
      </c>
      <c r="S76" s="7">
        <v>89</v>
      </c>
      <c r="T76" s="16">
        <f t="shared" si="4"/>
        <v>36</v>
      </c>
      <c r="U76" s="77">
        <v>1000</v>
      </c>
      <c r="V76" s="16">
        <f t="shared" si="5"/>
        <v>2769.2307692307691</v>
      </c>
      <c r="W76" s="77">
        <v>24</v>
      </c>
      <c r="X76" s="65" t="s">
        <v>35</v>
      </c>
      <c r="Y76" s="77" t="s">
        <v>51</v>
      </c>
      <c r="Z76" s="73" t="s">
        <v>43</v>
      </c>
      <c r="AA76" s="77" t="s">
        <v>55</v>
      </c>
      <c r="AB76" s="43" t="s">
        <v>161</v>
      </c>
    </row>
    <row r="77" spans="1:44" x14ac:dyDescent="0.15">
      <c r="A77" s="84" t="s">
        <v>23</v>
      </c>
      <c r="B77" s="84" t="s">
        <v>160</v>
      </c>
      <c r="C77" s="84">
        <v>2020</v>
      </c>
      <c r="D77" s="45" t="s">
        <v>162</v>
      </c>
      <c r="E77" s="84" t="s">
        <v>170</v>
      </c>
      <c r="F77" s="84" t="s">
        <v>147</v>
      </c>
      <c r="G77" s="84" t="s">
        <v>25</v>
      </c>
      <c r="H77" s="84" t="s">
        <v>164</v>
      </c>
      <c r="I77" s="84" t="s">
        <v>166</v>
      </c>
      <c r="J77" s="78" t="s">
        <v>27</v>
      </c>
      <c r="K77" s="77" t="s">
        <v>112</v>
      </c>
      <c r="L77" s="84">
        <v>1</v>
      </c>
      <c r="N77" s="7">
        <v>4</v>
      </c>
      <c r="O77" s="7">
        <v>0.5</v>
      </c>
      <c r="P77" s="7">
        <v>0.45</v>
      </c>
      <c r="Q77" s="44">
        <f t="shared" si="3"/>
        <v>0.47499999999999998</v>
      </c>
      <c r="R77" s="7">
        <v>17.100000000000001</v>
      </c>
      <c r="S77" s="7">
        <v>10</v>
      </c>
      <c r="T77" s="16">
        <v>5</v>
      </c>
      <c r="U77" s="7">
        <v>598</v>
      </c>
      <c r="V77" s="16">
        <f t="shared" si="5"/>
        <v>747.5</v>
      </c>
      <c r="W77" s="77">
        <v>24</v>
      </c>
      <c r="X77" s="65" t="s">
        <v>35</v>
      </c>
      <c r="Y77" s="77" t="s">
        <v>51</v>
      </c>
      <c r="Z77" s="73" t="s">
        <v>43</v>
      </c>
      <c r="AA77" s="77" t="s">
        <v>55</v>
      </c>
      <c r="AB77" s="43" t="s">
        <v>161</v>
      </c>
    </row>
    <row r="78" spans="1:44" x14ac:dyDescent="0.15">
      <c r="A78" s="84" t="s">
        <v>23</v>
      </c>
      <c r="B78" s="84" t="s">
        <v>160</v>
      </c>
      <c r="C78" s="84">
        <v>2020</v>
      </c>
      <c r="D78" s="45" t="s">
        <v>162</v>
      </c>
      <c r="E78" s="84" t="s">
        <v>170</v>
      </c>
      <c r="F78" s="84" t="s">
        <v>147</v>
      </c>
      <c r="G78" s="84" t="s">
        <v>25</v>
      </c>
      <c r="H78" s="84" t="s">
        <v>164</v>
      </c>
      <c r="I78" s="84" t="s">
        <v>166</v>
      </c>
      <c r="J78" s="78" t="s">
        <v>27</v>
      </c>
      <c r="K78" s="77" t="s">
        <v>112</v>
      </c>
      <c r="L78" s="84">
        <v>2</v>
      </c>
      <c r="N78" s="7">
        <v>4</v>
      </c>
      <c r="O78" s="7">
        <v>0.45</v>
      </c>
      <c r="P78" s="7">
        <v>0.55000000000000004</v>
      </c>
      <c r="Q78" s="44">
        <f t="shared" si="3"/>
        <v>0.5</v>
      </c>
      <c r="R78" s="7">
        <v>15.3</v>
      </c>
      <c r="S78" s="7">
        <v>103</v>
      </c>
      <c r="T78" s="16">
        <f t="shared" si="4"/>
        <v>33</v>
      </c>
      <c r="U78" s="77">
        <v>598</v>
      </c>
      <c r="V78" s="16">
        <f t="shared" si="5"/>
        <v>4933.5</v>
      </c>
      <c r="W78" s="77">
        <v>24</v>
      </c>
      <c r="X78" s="65" t="s">
        <v>35</v>
      </c>
      <c r="Y78" s="77" t="s">
        <v>51</v>
      </c>
      <c r="Z78" s="73" t="s">
        <v>43</v>
      </c>
      <c r="AA78" s="77" t="s">
        <v>55</v>
      </c>
      <c r="AB78" s="43" t="s">
        <v>161</v>
      </c>
    </row>
    <row r="79" spans="1:44" x14ac:dyDescent="0.15">
      <c r="A79" s="84" t="s">
        <v>23</v>
      </c>
      <c r="B79" s="84" t="s">
        <v>160</v>
      </c>
      <c r="C79" s="84">
        <v>2020</v>
      </c>
      <c r="D79" s="45" t="s">
        <v>162</v>
      </c>
      <c r="E79" s="84" t="s">
        <v>170</v>
      </c>
      <c r="F79" s="84" t="s">
        <v>147</v>
      </c>
      <c r="G79" s="84" t="s">
        <v>25</v>
      </c>
      <c r="H79" s="84" t="s">
        <v>164</v>
      </c>
      <c r="I79" s="84" t="s">
        <v>166</v>
      </c>
      <c r="J79" s="78" t="s">
        <v>27</v>
      </c>
      <c r="K79" s="77" t="s">
        <v>112</v>
      </c>
      <c r="L79" s="84">
        <v>3</v>
      </c>
      <c r="N79" s="7">
        <v>4</v>
      </c>
      <c r="O79" s="7">
        <v>0.5</v>
      </c>
      <c r="P79" s="7">
        <v>0.5</v>
      </c>
      <c r="Q79" s="44">
        <f t="shared" si="3"/>
        <v>0.5</v>
      </c>
      <c r="R79" s="7">
        <v>17.2</v>
      </c>
      <c r="S79" s="7">
        <v>104</v>
      </c>
      <c r="T79" s="16">
        <f t="shared" si="4"/>
        <v>33</v>
      </c>
      <c r="U79" s="77">
        <v>598</v>
      </c>
      <c r="V79" s="16">
        <f t="shared" si="5"/>
        <v>4933.5</v>
      </c>
      <c r="W79" s="77">
        <v>24</v>
      </c>
      <c r="X79" s="65" t="s">
        <v>35</v>
      </c>
      <c r="Y79" s="77" t="s">
        <v>51</v>
      </c>
      <c r="Z79" s="73" t="s">
        <v>43</v>
      </c>
      <c r="AA79" s="77" t="s">
        <v>55</v>
      </c>
      <c r="AB79" s="43" t="s">
        <v>161</v>
      </c>
    </row>
    <row r="80" spans="1:44" x14ac:dyDescent="0.15">
      <c r="A80" s="84" t="s">
        <v>23</v>
      </c>
      <c r="B80" s="84" t="s">
        <v>160</v>
      </c>
      <c r="C80" s="84">
        <v>2020</v>
      </c>
      <c r="D80" s="45" t="s">
        <v>162</v>
      </c>
      <c r="E80" s="84" t="s">
        <v>170</v>
      </c>
      <c r="F80" s="84" t="s">
        <v>147</v>
      </c>
      <c r="G80" s="84" t="s">
        <v>25</v>
      </c>
      <c r="H80" s="84" t="s">
        <v>165</v>
      </c>
      <c r="I80" s="84" t="s">
        <v>111</v>
      </c>
      <c r="J80" s="78" t="s">
        <v>27</v>
      </c>
      <c r="K80" s="77" t="s">
        <v>112</v>
      </c>
      <c r="L80" s="84">
        <v>1</v>
      </c>
      <c r="N80" s="7">
        <v>4</v>
      </c>
      <c r="O80" s="7">
        <v>0.45</v>
      </c>
      <c r="P80" s="7">
        <v>0.5</v>
      </c>
      <c r="Q80" s="44">
        <f t="shared" si="3"/>
        <v>0.47499999999999998</v>
      </c>
      <c r="R80" s="7">
        <v>17.600000000000001</v>
      </c>
      <c r="S80" s="7">
        <v>95</v>
      </c>
      <c r="T80" s="16">
        <f t="shared" si="4"/>
        <v>36</v>
      </c>
      <c r="U80" s="7">
        <v>398</v>
      </c>
      <c r="V80" s="16">
        <f t="shared" si="5"/>
        <v>3582</v>
      </c>
      <c r="W80" s="77">
        <v>24</v>
      </c>
      <c r="X80" s="65" t="s">
        <v>35</v>
      </c>
      <c r="Y80" s="77" t="s">
        <v>51</v>
      </c>
      <c r="Z80" s="73" t="s">
        <v>43</v>
      </c>
      <c r="AA80" s="77" t="s">
        <v>55</v>
      </c>
      <c r="AB80" s="43" t="s">
        <v>161</v>
      </c>
    </row>
    <row r="81" spans="1:28" x14ac:dyDescent="0.15">
      <c r="A81" s="84" t="s">
        <v>23</v>
      </c>
      <c r="B81" s="84" t="s">
        <v>160</v>
      </c>
      <c r="C81" s="84">
        <v>2020</v>
      </c>
      <c r="D81" s="45" t="s">
        <v>162</v>
      </c>
      <c r="E81" s="84" t="s">
        <v>170</v>
      </c>
      <c r="F81" s="84" t="s">
        <v>147</v>
      </c>
      <c r="G81" s="84" t="s">
        <v>25</v>
      </c>
      <c r="H81" s="84" t="s">
        <v>165</v>
      </c>
      <c r="I81" s="84" t="s">
        <v>111</v>
      </c>
      <c r="J81" s="78" t="s">
        <v>27</v>
      </c>
      <c r="K81" s="77" t="s">
        <v>112</v>
      </c>
      <c r="L81" s="84">
        <v>2</v>
      </c>
      <c r="N81" s="7">
        <v>4</v>
      </c>
      <c r="O81" s="7">
        <v>0.5</v>
      </c>
      <c r="P81" s="7">
        <v>0.4</v>
      </c>
      <c r="Q81" s="44">
        <f t="shared" si="3"/>
        <v>0.45</v>
      </c>
      <c r="R81" s="7">
        <v>18.2</v>
      </c>
      <c r="S81" s="7">
        <v>98</v>
      </c>
      <c r="T81" s="16">
        <f t="shared" si="4"/>
        <v>36</v>
      </c>
      <c r="U81" s="77">
        <v>398</v>
      </c>
      <c r="V81" s="16">
        <f t="shared" si="5"/>
        <v>3582</v>
      </c>
      <c r="W81" s="77">
        <v>24</v>
      </c>
      <c r="X81" s="65" t="s">
        <v>35</v>
      </c>
      <c r="Y81" s="77" t="s">
        <v>51</v>
      </c>
      <c r="Z81" s="73" t="s">
        <v>43</v>
      </c>
      <c r="AA81" s="77" t="s">
        <v>55</v>
      </c>
      <c r="AB81" s="43" t="s">
        <v>161</v>
      </c>
    </row>
    <row r="82" spans="1:28" x14ac:dyDescent="0.15">
      <c r="A82" s="84" t="s">
        <v>23</v>
      </c>
      <c r="B82" s="84" t="s">
        <v>160</v>
      </c>
      <c r="C82" s="84">
        <v>2020</v>
      </c>
      <c r="D82" s="45" t="s">
        <v>162</v>
      </c>
      <c r="E82" s="84" t="s">
        <v>170</v>
      </c>
      <c r="F82" s="84" t="s">
        <v>147</v>
      </c>
      <c r="G82" s="84" t="s">
        <v>25</v>
      </c>
      <c r="H82" s="84" t="s">
        <v>165</v>
      </c>
      <c r="I82" s="84" t="s">
        <v>111</v>
      </c>
      <c r="J82" s="78" t="s">
        <v>27</v>
      </c>
      <c r="K82" s="77" t="s">
        <v>112</v>
      </c>
      <c r="L82" s="84">
        <v>3</v>
      </c>
      <c r="N82" s="7">
        <v>4</v>
      </c>
      <c r="O82" s="7">
        <v>0.25</v>
      </c>
      <c r="P82" s="7">
        <v>0.47</v>
      </c>
      <c r="Q82" s="44">
        <f t="shared" si="3"/>
        <v>0.36</v>
      </c>
      <c r="R82" s="7">
        <v>14.8</v>
      </c>
      <c r="S82" s="7">
        <v>97</v>
      </c>
      <c r="T82" s="16">
        <f t="shared" si="4"/>
        <v>36</v>
      </c>
      <c r="U82" s="77">
        <v>398</v>
      </c>
      <c r="V82" s="16">
        <f t="shared" si="5"/>
        <v>3582</v>
      </c>
      <c r="W82" s="77">
        <v>24</v>
      </c>
      <c r="X82" s="65" t="s">
        <v>35</v>
      </c>
      <c r="Y82" s="77" t="s">
        <v>51</v>
      </c>
      <c r="Z82" s="73" t="s">
        <v>43</v>
      </c>
      <c r="AA82" s="77" t="s">
        <v>55</v>
      </c>
      <c r="AB82" s="43" t="s">
        <v>161</v>
      </c>
    </row>
    <row r="83" spans="1:28" x14ac:dyDescent="0.15">
      <c r="A83" s="84" t="s">
        <v>23</v>
      </c>
      <c r="B83" s="84" t="s">
        <v>160</v>
      </c>
      <c r="C83" s="84">
        <v>2020</v>
      </c>
      <c r="D83" s="45" t="s">
        <v>162</v>
      </c>
      <c r="E83" s="84" t="s">
        <v>171</v>
      </c>
      <c r="F83" s="84" t="s">
        <v>141</v>
      </c>
      <c r="G83" s="84" t="s">
        <v>25</v>
      </c>
      <c r="H83" s="84" t="s">
        <v>113</v>
      </c>
      <c r="I83" s="84" t="s">
        <v>111</v>
      </c>
      <c r="J83" s="78" t="s">
        <v>27</v>
      </c>
      <c r="K83" s="77" t="s">
        <v>112</v>
      </c>
      <c r="L83" s="84">
        <v>1</v>
      </c>
      <c r="N83" s="7">
        <v>1</v>
      </c>
      <c r="O83" s="7">
        <v>0.85</v>
      </c>
      <c r="P83" s="7">
        <v>0.95</v>
      </c>
      <c r="Q83" s="44">
        <f t="shared" si="3"/>
        <v>0.89999999999999991</v>
      </c>
      <c r="R83" s="7">
        <v>12.7</v>
      </c>
      <c r="S83" s="7">
        <v>104</v>
      </c>
      <c r="T83" s="16">
        <f t="shared" si="4"/>
        <v>33</v>
      </c>
      <c r="U83" s="7">
        <v>94</v>
      </c>
      <c r="V83" s="16">
        <f t="shared" si="5"/>
        <v>3102</v>
      </c>
      <c r="W83" s="7">
        <v>4</v>
      </c>
      <c r="X83" s="65" t="s">
        <v>35</v>
      </c>
      <c r="Y83" s="73" t="s">
        <v>43</v>
      </c>
      <c r="Z83" s="7" t="s">
        <v>47</v>
      </c>
      <c r="AA83" s="7" t="s">
        <v>29</v>
      </c>
      <c r="AB83" s="43" t="s">
        <v>161</v>
      </c>
    </row>
    <row r="84" spans="1:28" x14ac:dyDescent="0.15">
      <c r="A84" s="84" t="s">
        <v>23</v>
      </c>
      <c r="B84" s="84" t="s">
        <v>160</v>
      </c>
      <c r="C84" s="84">
        <v>2020</v>
      </c>
      <c r="D84" s="45" t="s">
        <v>162</v>
      </c>
      <c r="E84" s="84" t="s">
        <v>171</v>
      </c>
      <c r="F84" s="84" t="s">
        <v>141</v>
      </c>
      <c r="G84" s="84" t="s">
        <v>25</v>
      </c>
      <c r="H84" s="84" t="s">
        <v>113</v>
      </c>
      <c r="I84" s="84" t="s">
        <v>111</v>
      </c>
      <c r="J84" s="78" t="s">
        <v>27</v>
      </c>
      <c r="K84" s="77" t="s">
        <v>112</v>
      </c>
      <c r="L84" s="84">
        <v>2</v>
      </c>
      <c r="N84" s="7">
        <v>1</v>
      </c>
      <c r="O84" s="7">
        <v>1.1000000000000001</v>
      </c>
      <c r="P84" s="7">
        <v>1.05</v>
      </c>
      <c r="Q84" s="44">
        <f t="shared" si="3"/>
        <v>1.0750000000000002</v>
      </c>
      <c r="R84" s="7">
        <v>15.1</v>
      </c>
      <c r="S84" s="7">
        <v>113</v>
      </c>
      <c r="T84" s="16">
        <f t="shared" si="4"/>
        <v>30</v>
      </c>
      <c r="U84" s="77">
        <v>94</v>
      </c>
      <c r="V84" s="16">
        <f t="shared" si="5"/>
        <v>2820</v>
      </c>
      <c r="W84" s="77">
        <v>4</v>
      </c>
      <c r="X84" s="65" t="s">
        <v>35</v>
      </c>
      <c r="Y84" s="73" t="s">
        <v>43</v>
      </c>
      <c r="Z84" s="77" t="s">
        <v>47</v>
      </c>
      <c r="AA84" s="77" t="s">
        <v>29</v>
      </c>
      <c r="AB84" s="43" t="s">
        <v>161</v>
      </c>
    </row>
    <row r="85" spans="1:28" x14ac:dyDescent="0.15">
      <c r="A85" s="84" t="s">
        <v>23</v>
      </c>
      <c r="B85" s="84" t="s">
        <v>160</v>
      </c>
      <c r="C85" s="84">
        <v>2020</v>
      </c>
      <c r="D85" s="45" t="s">
        <v>162</v>
      </c>
      <c r="E85" s="84" t="s">
        <v>171</v>
      </c>
      <c r="F85" s="84" t="s">
        <v>141</v>
      </c>
      <c r="G85" s="84" t="s">
        <v>25</v>
      </c>
      <c r="H85" s="84" t="s">
        <v>113</v>
      </c>
      <c r="I85" s="84" t="s">
        <v>111</v>
      </c>
      <c r="J85" s="78" t="s">
        <v>27</v>
      </c>
      <c r="K85" s="77" t="s">
        <v>112</v>
      </c>
      <c r="L85" s="84">
        <v>3</v>
      </c>
      <c r="N85" s="7">
        <v>1</v>
      </c>
      <c r="O85" s="7">
        <v>1</v>
      </c>
      <c r="P85" s="7">
        <v>1.1499999999999999</v>
      </c>
      <c r="Q85" s="44">
        <f t="shared" si="3"/>
        <v>1.075</v>
      </c>
      <c r="R85" s="7">
        <v>15.2</v>
      </c>
      <c r="S85" s="7">
        <v>106</v>
      </c>
      <c r="T85" s="16">
        <f t="shared" si="4"/>
        <v>33</v>
      </c>
      <c r="U85" s="77">
        <v>94</v>
      </c>
      <c r="V85" s="16">
        <f t="shared" si="5"/>
        <v>3102</v>
      </c>
      <c r="W85" s="77">
        <v>4</v>
      </c>
      <c r="X85" s="65" t="s">
        <v>35</v>
      </c>
      <c r="Y85" s="73" t="s">
        <v>43</v>
      </c>
      <c r="Z85" s="77" t="s">
        <v>47</v>
      </c>
      <c r="AA85" s="77" t="s">
        <v>29</v>
      </c>
      <c r="AB85" s="43" t="s">
        <v>161</v>
      </c>
    </row>
    <row r="86" spans="1:28" x14ac:dyDescent="0.15">
      <c r="A86" s="84" t="s">
        <v>23</v>
      </c>
      <c r="B86" s="84" t="s">
        <v>160</v>
      </c>
      <c r="C86" s="84">
        <v>2020</v>
      </c>
      <c r="D86" s="45" t="s">
        <v>162</v>
      </c>
      <c r="E86" s="84" t="s">
        <v>171</v>
      </c>
      <c r="F86" s="84" t="s">
        <v>141</v>
      </c>
      <c r="G86" s="84" t="s">
        <v>25</v>
      </c>
      <c r="H86" s="84" t="s">
        <v>164</v>
      </c>
      <c r="I86" s="84" t="s">
        <v>111</v>
      </c>
      <c r="J86" s="78" t="s">
        <v>27</v>
      </c>
      <c r="K86" s="77" t="s">
        <v>112</v>
      </c>
      <c r="L86" s="84">
        <v>1</v>
      </c>
      <c r="N86" s="7">
        <v>1</v>
      </c>
      <c r="O86" s="7">
        <v>1.35</v>
      </c>
      <c r="P86" s="7">
        <v>1.1499999999999999</v>
      </c>
      <c r="Q86" s="44">
        <f t="shared" si="3"/>
        <v>1.25</v>
      </c>
      <c r="R86" s="7">
        <v>16.3</v>
      </c>
      <c r="S86" s="7">
        <v>168</v>
      </c>
      <c r="T86" s="16">
        <f t="shared" si="4"/>
        <v>30</v>
      </c>
      <c r="U86" s="77">
        <v>94</v>
      </c>
      <c r="V86" s="16">
        <f t="shared" si="5"/>
        <v>2820</v>
      </c>
      <c r="W86" s="77">
        <v>4</v>
      </c>
      <c r="X86" s="65" t="s">
        <v>35</v>
      </c>
      <c r="Y86" s="73" t="s">
        <v>43</v>
      </c>
      <c r="Z86" s="77" t="s">
        <v>47</v>
      </c>
      <c r="AA86" s="77" t="s">
        <v>29</v>
      </c>
      <c r="AB86" s="43" t="s">
        <v>161</v>
      </c>
    </row>
    <row r="87" spans="1:28" x14ac:dyDescent="0.15">
      <c r="A87" s="84" t="s">
        <v>23</v>
      </c>
      <c r="B87" s="84" t="s">
        <v>160</v>
      </c>
      <c r="C87" s="84">
        <v>2020</v>
      </c>
      <c r="D87" s="45" t="s">
        <v>162</v>
      </c>
      <c r="E87" s="84" t="s">
        <v>171</v>
      </c>
      <c r="F87" s="84" t="s">
        <v>141</v>
      </c>
      <c r="G87" s="84" t="s">
        <v>25</v>
      </c>
      <c r="H87" s="84" t="s">
        <v>164</v>
      </c>
      <c r="I87" s="84" t="s">
        <v>111</v>
      </c>
      <c r="J87" s="78" t="s">
        <v>27</v>
      </c>
      <c r="K87" s="77" t="s">
        <v>112</v>
      </c>
      <c r="L87" s="84">
        <v>2</v>
      </c>
      <c r="N87" s="7">
        <v>1</v>
      </c>
      <c r="O87" s="7">
        <v>1.3</v>
      </c>
      <c r="P87" s="7">
        <v>1</v>
      </c>
      <c r="Q87" s="44">
        <f t="shared" si="3"/>
        <v>1.1499999999999999</v>
      </c>
      <c r="R87" s="7">
        <v>18.2</v>
      </c>
      <c r="S87" s="7">
        <v>151</v>
      </c>
      <c r="T87" s="16">
        <f t="shared" si="4"/>
        <v>30</v>
      </c>
      <c r="U87" s="77">
        <v>94</v>
      </c>
      <c r="V87" s="16">
        <f t="shared" si="5"/>
        <v>2820</v>
      </c>
      <c r="W87" s="77">
        <v>4</v>
      </c>
      <c r="X87" s="65" t="s">
        <v>35</v>
      </c>
      <c r="Y87" s="73" t="s">
        <v>43</v>
      </c>
      <c r="Z87" s="77" t="s">
        <v>47</v>
      </c>
      <c r="AA87" s="77" t="s">
        <v>29</v>
      </c>
      <c r="AB87" s="43" t="s">
        <v>161</v>
      </c>
    </row>
    <row r="88" spans="1:28" x14ac:dyDescent="0.15">
      <c r="A88" s="84" t="s">
        <v>23</v>
      </c>
      <c r="B88" s="84" t="s">
        <v>160</v>
      </c>
      <c r="C88" s="84">
        <v>2020</v>
      </c>
      <c r="D88" s="45" t="s">
        <v>162</v>
      </c>
      <c r="E88" s="84" t="s">
        <v>171</v>
      </c>
      <c r="F88" s="84" t="s">
        <v>141</v>
      </c>
      <c r="G88" s="84" t="s">
        <v>25</v>
      </c>
      <c r="H88" s="84" t="s">
        <v>164</v>
      </c>
      <c r="I88" s="84" t="s">
        <v>111</v>
      </c>
      <c r="J88" s="78" t="s">
        <v>27</v>
      </c>
      <c r="K88" s="77" t="s">
        <v>112</v>
      </c>
      <c r="L88" s="84">
        <v>3</v>
      </c>
      <c r="N88" s="7">
        <v>1</v>
      </c>
      <c r="O88" s="7">
        <v>0.95</v>
      </c>
      <c r="P88" s="7">
        <v>1</v>
      </c>
      <c r="Q88" s="44">
        <f t="shared" si="3"/>
        <v>0.97499999999999998</v>
      </c>
      <c r="R88" s="7">
        <v>17.899999999999999</v>
      </c>
      <c r="S88" s="7">
        <v>157</v>
      </c>
      <c r="T88" s="16">
        <f t="shared" si="4"/>
        <v>30</v>
      </c>
      <c r="U88" s="77">
        <v>94</v>
      </c>
      <c r="V88" s="16">
        <f t="shared" si="5"/>
        <v>2820</v>
      </c>
      <c r="W88" s="77">
        <v>4</v>
      </c>
      <c r="X88" s="65" t="s">
        <v>35</v>
      </c>
      <c r="Y88" s="73" t="s">
        <v>43</v>
      </c>
      <c r="Z88" s="77" t="s">
        <v>47</v>
      </c>
      <c r="AA88" s="77" t="s">
        <v>29</v>
      </c>
      <c r="AB88" s="43" t="s">
        <v>161</v>
      </c>
    </row>
    <row r="89" spans="1:28" x14ac:dyDescent="0.15">
      <c r="A89" s="84" t="s">
        <v>23</v>
      </c>
      <c r="B89" s="84" t="s">
        <v>160</v>
      </c>
      <c r="C89" s="84">
        <v>2020</v>
      </c>
      <c r="D89" s="45" t="s">
        <v>162</v>
      </c>
      <c r="E89" s="84" t="s">
        <v>172</v>
      </c>
      <c r="F89" s="84" t="s">
        <v>145</v>
      </c>
      <c r="G89" s="84" t="s">
        <v>25</v>
      </c>
      <c r="H89" s="84" t="s">
        <v>113</v>
      </c>
      <c r="I89" s="84" t="s">
        <v>111</v>
      </c>
      <c r="J89" s="78" t="s">
        <v>27</v>
      </c>
      <c r="K89" s="77" t="s">
        <v>112</v>
      </c>
      <c r="L89" s="84">
        <v>1</v>
      </c>
      <c r="N89" s="7">
        <v>1</v>
      </c>
      <c r="O89" s="77">
        <v>0.95</v>
      </c>
      <c r="P89" s="7">
        <v>1.1000000000000001</v>
      </c>
      <c r="Q89" s="44">
        <f t="shared" si="3"/>
        <v>1.0249999999999999</v>
      </c>
      <c r="R89" s="7">
        <v>15.2</v>
      </c>
      <c r="S89" s="7">
        <v>117</v>
      </c>
      <c r="T89" s="16">
        <f t="shared" si="4"/>
        <v>30</v>
      </c>
      <c r="U89" s="7">
        <v>128</v>
      </c>
      <c r="V89" s="16">
        <f t="shared" si="5"/>
        <v>3840</v>
      </c>
      <c r="W89" s="7">
        <v>18</v>
      </c>
      <c r="X89" s="65" t="s">
        <v>35</v>
      </c>
      <c r="Y89" s="73" t="s">
        <v>43</v>
      </c>
      <c r="Z89" s="7" t="s">
        <v>51</v>
      </c>
      <c r="AA89" s="7" t="s">
        <v>64</v>
      </c>
      <c r="AB89" s="43" t="s">
        <v>161</v>
      </c>
    </row>
    <row r="90" spans="1:28" x14ac:dyDescent="0.15">
      <c r="A90" s="84" t="s">
        <v>23</v>
      </c>
      <c r="B90" s="84" t="s">
        <v>160</v>
      </c>
      <c r="C90" s="84">
        <v>2020</v>
      </c>
      <c r="D90" s="45" t="s">
        <v>162</v>
      </c>
      <c r="E90" s="84" t="s">
        <v>172</v>
      </c>
      <c r="F90" s="84" t="s">
        <v>145</v>
      </c>
      <c r="G90" s="84" t="s">
        <v>25</v>
      </c>
      <c r="H90" s="84" t="s">
        <v>113</v>
      </c>
      <c r="I90" s="84" t="s">
        <v>111</v>
      </c>
      <c r="J90" s="78" t="s">
        <v>27</v>
      </c>
      <c r="K90" s="77" t="s">
        <v>112</v>
      </c>
      <c r="L90" s="84">
        <v>2</v>
      </c>
      <c r="N90" s="7">
        <v>1</v>
      </c>
      <c r="O90" s="7">
        <v>0.25</v>
      </c>
      <c r="P90" s="7">
        <v>0.3</v>
      </c>
      <c r="Q90" s="44">
        <f t="shared" si="3"/>
        <v>0.27500000000000002</v>
      </c>
      <c r="R90" s="7">
        <v>16</v>
      </c>
      <c r="S90" s="7">
        <v>118</v>
      </c>
      <c r="T90" s="16">
        <f t="shared" si="4"/>
        <v>30</v>
      </c>
      <c r="U90" s="77">
        <v>128</v>
      </c>
      <c r="V90" s="16">
        <f t="shared" si="5"/>
        <v>3840</v>
      </c>
      <c r="W90" s="77">
        <v>18</v>
      </c>
      <c r="X90" s="65" t="s">
        <v>35</v>
      </c>
      <c r="Y90" s="73" t="s">
        <v>43</v>
      </c>
      <c r="Z90" s="77" t="s">
        <v>51</v>
      </c>
      <c r="AA90" s="77" t="s">
        <v>64</v>
      </c>
      <c r="AB90" s="43" t="s">
        <v>161</v>
      </c>
    </row>
    <row r="91" spans="1:28" x14ac:dyDescent="0.15">
      <c r="A91" s="84" t="s">
        <v>23</v>
      </c>
      <c r="B91" s="84" t="s">
        <v>160</v>
      </c>
      <c r="C91" s="84">
        <v>2020</v>
      </c>
      <c r="D91" s="45" t="s">
        <v>162</v>
      </c>
      <c r="E91" s="84" t="s">
        <v>172</v>
      </c>
      <c r="F91" s="84" t="s">
        <v>145</v>
      </c>
      <c r="G91" s="84" t="s">
        <v>25</v>
      </c>
      <c r="H91" s="84" t="s">
        <v>113</v>
      </c>
      <c r="I91" s="84" t="s">
        <v>111</v>
      </c>
      <c r="J91" s="78" t="s">
        <v>27</v>
      </c>
      <c r="K91" s="77" t="s">
        <v>112</v>
      </c>
      <c r="L91" s="84">
        <v>3</v>
      </c>
      <c r="N91" s="7">
        <v>1</v>
      </c>
      <c r="O91" s="7">
        <v>1.1499999999999999</v>
      </c>
      <c r="P91" s="7">
        <v>0.85</v>
      </c>
      <c r="Q91" s="44">
        <f t="shared" si="3"/>
        <v>1</v>
      </c>
      <c r="R91" s="7">
        <v>14.1</v>
      </c>
      <c r="S91" s="7">
        <v>115</v>
      </c>
      <c r="T91" s="16">
        <f t="shared" si="4"/>
        <v>30</v>
      </c>
      <c r="U91" s="77">
        <v>128</v>
      </c>
      <c r="V91" s="16">
        <f t="shared" si="5"/>
        <v>3840</v>
      </c>
      <c r="W91" s="77">
        <v>18</v>
      </c>
      <c r="X91" s="65" t="s">
        <v>35</v>
      </c>
      <c r="Y91" s="73" t="s">
        <v>43</v>
      </c>
      <c r="Z91" s="77" t="s">
        <v>51</v>
      </c>
      <c r="AA91" s="77" t="s">
        <v>64</v>
      </c>
      <c r="AB91" s="43" t="s">
        <v>161</v>
      </c>
    </row>
    <row r="92" spans="1:28" x14ac:dyDescent="0.15">
      <c r="A92" s="84" t="s">
        <v>23</v>
      </c>
      <c r="B92" s="84" t="s">
        <v>160</v>
      </c>
      <c r="C92" s="84">
        <v>2020</v>
      </c>
      <c r="D92" s="45" t="s">
        <v>162</v>
      </c>
      <c r="E92" s="84" t="s">
        <v>172</v>
      </c>
      <c r="F92" s="84" t="s">
        <v>145</v>
      </c>
      <c r="G92" s="84" t="s">
        <v>25</v>
      </c>
      <c r="H92" s="84" t="s">
        <v>113</v>
      </c>
      <c r="I92" s="84" t="s">
        <v>166</v>
      </c>
      <c r="J92" s="78" t="s">
        <v>27</v>
      </c>
      <c r="K92" s="77" t="s">
        <v>112</v>
      </c>
      <c r="L92" s="84">
        <v>1</v>
      </c>
      <c r="N92" s="7">
        <v>4</v>
      </c>
      <c r="O92" s="7">
        <v>0.75</v>
      </c>
      <c r="P92" s="7">
        <v>0.8</v>
      </c>
      <c r="Q92" s="44">
        <f t="shared" si="3"/>
        <v>0.77500000000000002</v>
      </c>
      <c r="R92" s="7">
        <v>13.7</v>
      </c>
      <c r="S92" s="7">
        <v>85</v>
      </c>
      <c r="T92" s="16">
        <f t="shared" si="4"/>
        <v>36</v>
      </c>
      <c r="U92" s="7">
        <v>380</v>
      </c>
      <c r="V92" s="16">
        <f t="shared" si="5"/>
        <v>3420</v>
      </c>
      <c r="W92" s="77">
        <v>18</v>
      </c>
      <c r="X92" s="65" t="s">
        <v>35</v>
      </c>
      <c r="Y92" s="73" t="s">
        <v>43</v>
      </c>
      <c r="Z92" s="77" t="s">
        <v>51</v>
      </c>
      <c r="AA92" s="77" t="s">
        <v>64</v>
      </c>
      <c r="AB92" s="43" t="s">
        <v>161</v>
      </c>
    </row>
    <row r="93" spans="1:28" x14ac:dyDescent="0.15">
      <c r="A93" s="84" t="s">
        <v>23</v>
      </c>
      <c r="B93" s="84" t="s">
        <v>160</v>
      </c>
      <c r="C93" s="84">
        <v>2020</v>
      </c>
      <c r="D93" s="45" t="s">
        <v>162</v>
      </c>
      <c r="E93" s="84" t="s">
        <v>172</v>
      </c>
      <c r="F93" s="84" t="s">
        <v>145</v>
      </c>
      <c r="G93" s="84" t="s">
        <v>25</v>
      </c>
      <c r="H93" s="84" t="s">
        <v>113</v>
      </c>
      <c r="I93" s="84" t="s">
        <v>166</v>
      </c>
      <c r="J93" s="78" t="s">
        <v>27</v>
      </c>
      <c r="K93" s="77" t="s">
        <v>112</v>
      </c>
      <c r="L93" s="84">
        <v>2</v>
      </c>
      <c r="N93" s="7">
        <v>4</v>
      </c>
      <c r="O93" s="7">
        <v>0.75</v>
      </c>
      <c r="P93" s="7">
        <v>0.9</v>
      </c>
      <c r="Q93" s="44">
        <f t="shared" si="3"/>
        <v>0.82499999999999996</v>
      </c>
      <c r="R93" s="7">
        <v>14.8</v>
      </c>
      <c r="S93" s="7">
        <v>89</v>
      </c>
      <c r="T93" s="16">
        <f t="shared" si="4"/>
        <v>36</v>
      </c>
      <c r="U93" s="77">
        <v>380</v>
      </c>
      <c r="V93" s="16">
        <f t="shared" si="5"/>
        <v>3420</v>
      </c>
      <c r="W93" s="77">
        <v>18</v>
      </c>
      <c r="X93" s="65" t="s">
        <v>35</v>
      </c>
      <c r="Y93" s="73" t="s">
        <v>43</v>
      </c>
      <c r="Z93" s="77" t="s">
        <v>51</v>
      </c>
      <c r="AA93" s="77" t="s">
        <v>64</v>
      </c>
      <c r="AB93" s="43" t="s">
        <v>161</v>
      </c>
    </row>
    <row r="94" spans="1:28" x14ac:dyDescent="0.15">
      <c r="A94" s="84" t="s">
        <v>23</v>
      </c>
      <c r="B94" s="84" t="s">
        <v>160</v>
      </c>
      <c r="C94" s="84">
        <v>2020</v>
      </c>
      <c r="D94" s="45" t="s">
        <v>162</v>
      </c>
      <c r="E94" s="84" t="s">
        <v>172</v>
      </c>
      <c r="F94" s="84" t="s">
        <v>145</v>
      </c>
      <c r="G94" s="84" t="s">
        <v>25</v>
      </c>
      <c r="H94" s="84" t="s">
        <v>113</v>
      </c>
      <c r="I94" s="84" t="s">
        <v>166</v>
      </c>
      <c r="J94" s="78" t="s">
        <v>27</v>
      </c>
      <c r="K94" s="77" t="s">
        <v>112</v>
      </c>
      <c r="L94" s="84">
        <v>3</v>
      </c>
      <c r="N94" s="7">
        <v>4</v>
      </c>
      <c r="O94" s="7">
        <v>0.95</v>
      </c>
      <c r="P94" s="7">
        <v>1.1000000000000001</v>
      </c>
      <c r="Q94" s="44">
        <f t="shared" si="3"/>
        <v>1.0249999999999999</v>
      </c>
      <c r="R94" s="7">
        <v>15.1</v>
      </c>
      <c r="S94" s="7">
        <v>83</v>
      </c>
      <c r="T94" s="16">
        <f t="shared" si="4"/>
        <v>39</v>
      </c>
      <c r="U94" s="77">
        <v>380</v>
      </c>
      <c r="V94" s="16">
        <f t="shared" si="5"/>
        <v>3705</v>
      </c>
      <c r="W94" s="77">
        <v>18</v>
      </c>
      <c r="X94" s="65" t="s">
        <v>35</v>
      </c>
      <c r="Y94" s="73" t="s">
        <v>43</v>
      </c>
      <c r="Z94" s="77" t="s">
        <v>51</v>
      </c>
      <c r="AA94" s="77" t="s">
        <v>64</v>
      </c>
      <c r="AB94" s="43" t="s">
        <v>161</v>
      </c>
    </row>
    <row r="95" spans="1:28" x14ac:dyDescent="0.15">
      <c r="A95" s="84" t="s">
        <v>23</v>
      </c>
      <c r="B95" s="84" t="s">
        <v>160</v>
      </c>
      <c r="C95" s="84">
        <v>2020</v>
      </c>
      <c r="D95" s="45" t="s">
        <v>162</v>
      </c>
      <c r="E95" s="84" t="s">
        <v>172</v>
      </c>
      <c r="F95" s="84" t="s">
        <v>145</v>
      </c>
      <c r="G95" s="84" t="s">
        <v>25</v>
      </c>
      <c r="H95" s="84" t="s">
        <v>113</v>
      </c>
      <c r="I95" s="84" t="s">
        <v>111</v>
      </c>
      <c r="J95" s="78" t="s">
        <v>27</v>
      </c>
      <c r="K95" s="77" t="s">
        <v>112</v>
      </c>
      <c r="L95" s="84">
        <v>1</v>
      </c>
      <c r="N95" s="7">
        <v>5</v>
      </c>
      <c r="O95" s="7">
        <v>1.1000000000000001</v>
      </c>
      <c r="P95" s="7">
        <v>1</v>
      </c>
      <c r="Q95" s="44">
        <f t="shared" si="3"/>
        <v>1.05</v>
      </c>
      <c r="R95" s="7">
        <v>14.8</v>
      </c>
      <c r="S95" s="7">
        <v>91</v>
      </c>
      <c r="T95" s="16">
        <f t="shared" si="4"/>
        <v>36</v>
      </c>
      <c r="U95" s="7">
        <v>358</v>
      </c>
      <c r="V95" s="16">
        <f t="shared" si="5"/>
        <v>2577.6</v>
      </c>
      <c r="W95" s="77">
        <v>18</v>
      </c>
      <c r="X95" s="65" t="s">
        <v>35</v>
      </c>
      <c r="Y95" s="73" t="s">
        <v>43</v>
      </c>
      <c r="Z95" s="77" t="s">
        <v>51</v>
      </c>
      <c r="AA95" s="77" t="s">
        <v>64</v>
      </c>
      <c r="AB95" s="43" t="s">
        <v>161</v>
      </c>
    </row>
    <row r="96" spans="1:28" x14ac:dyDescent="0.15">
      <c r="A96" s="84" t="s">
        <v>23</v>
      </c>
      <c r="B96" s="84" t="s">
        <v>160</v>
      </c>
      <c r="C96" s="84">
        <v>2020</v>
      </c>
      <c r="D96" s="45" t="s">
        <v>162</v>
      </c>
      <c r="E96" s="84" t="s">
        <v>172</v>
      </c>
      <c r="F96" s="84" t="s">
        <v>145</v>
      </c>
      <c r="G96" s="84" t="s">
        <v>25</v>
      </c>
      <c r="H96" s="84" t="s">
        <v>113</v>
      </c>
      <c r="I96" s="84" t="s">
        <v>111</v>
      </c>
      <c r="J96" s="78" t="s">
        <v>27</v>
      </c>
      <c r="K96" s="77" t="s">
        <v>112</v>
      </c>
      <c r="L96" s="84">
        <v>2</v>
      </c>
      <c r="N96" s="7">
        <v>5</v>
      </c>
      <c r="O96" s="7">
        <v>1</v>
      </c>
      <c r="P96" s="7">
        <v>1</v>
      </c>
      <c r="Q96" s="44">
        <f t="shared" si="3"/>
        <v>1</v>
      </c>
      <c r="R96" s="7">
        <v>13.6</v>
      </c>
      <c r="S96" s="7">
        <v>92</v>
      </c>
      <c r="T96" s="16">
        <f t="shared" si="4"/>
        <v>36</v>
      </c>
      <c r="U96" s="77">
        <v>358</v>
      </c>
      <c r="V96" s="16">
        <f t="shared" si="5"/>
        <v>2577.6</v>
      </c>
      <c r="W96" s="77">
        <v>18</v>
      </c>
      <c r="X96" s="65" t="s">
        <v>35</v>
      </c>
      <c r="Y96" s="73" t="s">
        <v>43</v>
      </c>
      <c r="Z96" s="77" t="s">
        <v>51</v>
      </c>
      <c r="AA96" s="77" t="s">
        <v>64</v>
      </c>
      <c r="AB96" s="43" t="s">
        <v>161</v>
      </c>
    </row>
    <row r="97" spans="1:28" x14ac:dyDescent="0.15">
      <c r="A97" s="84" t="s">
        <v>23</v>
      </c>
      <c r="B97" s="84" t="s">
        <v>160</v>
      </c>
      <c r="C97" s="84">
        <v>2020</v>
      </c>
      <c r="D97" s="45" t="s">
        <v>162</v>
      </c>
      <c r="E97" s="84" t="s">
        <v>172</v>
      </c>
      <c r="F97" s="84" t="s">
        <v>145</v>
      </c>
      <c r="G97" s="84" t="s">
        <v>25</v>
      </c>
      <c r="H97" s="84" t="s">
        <v>113</v>
      </c>
      <c r="I97" s="84" t="s">
        <v>111</v>
      </c>
      <c r="J97" s="78" t="s">
        <v>27</v>
      </c>
      <c r="K97" s="77" t="s">
        <v>112</v>
      </c>
      <c r="L97" s="84">
        <v>3</v>
      </c>
      <c r="N97" s="7">
        <v>5</v>
      </c>
      <c r="O97" s="7">
        <v>1</v>
      </c>
      <c r="P97" s="7">
        <v>1.05</v>
      </c>
      <c r="Q97" s="44">
        <f t="shared" si="3"/>
        <v>1.0249999999999999</v>
      </c>
      <c r="R97" s="7">
        <v>14</v>
      </c>
      <c r="S97" s="7">
        <v>87</v>
      </c>
      <c r="T97" s="16">
        <f t="shared" si="4"/>
        <v>36</v>
      </c>
      <c r="U97" s="77">
        <v>358</v>
      </c>
      <c r="V97" s="16">
        <f t="shared" si="5"/>
        <v>2577.6</v>
      </c>
      <c r="W97" s="77">
        <v>18</v>
      </c>
      <c r="X97" s="65" t="s">
        <v>35</v>
      </c>
      <c r="Y97" s="73" t="s">
        <v>43</v>
      </c>
      <c r="Z97" s="77" t="s">
        <v>51</v>
      </c>
      <c r="AA97" s="77" t="s">
        <v>64</v>
      </c>
      <c r="AB97" s="43" t="s">
        <v>161</v>
      </c>
    </row>
    <row r="98" spans="1:28" x14ac:dyDescent="0.15">
      <c r="A98" s="84" t="s">
        <v>23</v>
      </c>
      <c r="B98" s="84" t="s">
        <v>160</v>
      </c>
      <c r="C98" s="84">
        <v>2020</v>
      </c>
      <c r="D98" s="45" t="s">
        <v>162</v>
      </c>
      <c r="E98" s="84" t="s">
        <v>172</v>
      </c>
      <c r="F98" s="84" t="s">
        <v>145</v>
      </c>
      <c r="G98" s="84" t="s">
        <v>25</v>
      </c>
      <c r="H98" s="84" t="s">
        <v>164</v>
      </c>
      <c r="I98" s="84" t="s">
        <v>173</v>
      </c>
      <c r="J98" s="78" t="s">
        <v>27</v>
      </c>
      <c r="K98" s="77" t="s">
        <v>112</v>
      </c>
      <c r="L98" s="84">
        <v>1</v>
      </c>
      <c r="N98" s="7">
        <v>1</v>
      </c>
      <c r="O98" s="7">
        <v>0.55000000000000004</v>
      </c>
      <c r="P98" s="7">
        <v>0.6</v>
      </c>
      <c r="Q98" s="44">
        <f t="shared" si="3"/>
        <v>0.57499999999999996</v>
      </c>
      <c r="R98" s="7">
        <v>15.5</v>
      </c>
      <c r="S98" s="7">
        <v>128</v>
      </c>
      <c r="T98" s="16">
        <f t="shared" si="4"/>
        <v>30</v>
      </c>
      <c r="U98" s="77">
        <v>98</v>
      </c>
      <c r="V98" s="16">
        <f t="shared" si="5"/>
        <v>2940</v>
      </c>
      <c r="W98" s="77">
        <v>18</v>
      </c>
      <c r="X98" s="65" t="s">
        <v>35</v>
      </c>
      <c r="Y98" s="73" t="s">
        <v>43</v>
      </c>
      <c r="Z98" s="77" t="s">
        <v>51</v>
      </c>
      <c r="AA98" s="77" t="s">
        <v>64</v>
      </c>
      <c r="AB98" s="43" t="s">
        <v>161</v>
      </c>
    </row>
    <row r="99" spans="1:28" x14ac:dyDescent="0.15">
      <c r="A99" s="84" t="s">
        <v>23</v>
      </c>
      <c r="B99" s="84" t="s">
        <v>160</v>
      </c>
      <c r="C99" s="84">
        <v>2020</v>
      </c>
      <c r="D99" s="45" t="s">
        <v>162</v>
      </c>
      <c r="E99" s="84" t="s">
        <v>172</v>
      </c>
      <c r="F99" s="84" t="s">
        <v>145</v>
      </c>
      <c r="G99" s="84" t="s">
        <v>25</v>
      </c>
      <c r="H99" s="84" t="s">
        <v>164</v>
      </c>
      <c r="I99" s="84" t="s">
        <v>111</v>
      </c>
      <c r="J99" s="78" t="s">
        <v>27</v>
      </c>
      <c r="K99" s="77" t="s">
        <v>112</v>
      </c>
      <c r="L99" s="84">
        <v>2</v>
      </c>
      <c r="N99" s="7">
        <v>1</v>
      </c>
      <c r="O99" s="7">
        <v>0.75</v>
      </c>
      <c r="P99" s="7">
        <v>0.85</v>
      </c>
      <c r="Q99" s="44">
        <f t="shared" si="3"/>
        <v>0.8</v>
      </c>
      <c r="R99" s="7">
        <v>16.600000000000001</v>
      </c>
      <c r="S99" s="7">
        <v>127</v>
      </c>
      <c r="T99" s="16">
        <f t="shared" si="4"/>
        <v>30</v>
      </c>
      <c r="U99" s="77">
        <v>98</v>
      </c>
      <c r="V99" s="16">
        <f t="shared" si="5"/>
        <v>2940</v>
      </c>
      <c r="W99" s="77">
        <v>18</v>
      </c>
      <c r="X99" s="65" t="s">
        <v>35</v>
      </c>
      <c r="Y99" s="73" t="s">
        <v>43</v>
      </c>
      <c r="Z99" s="77" t="s">
        <v>51</v>
      </c>
      <c r="AA99" s="77" t="s">
        <v>64</v>
      </c>
      <c r="AB99" s="43" t="s">
        <v>161</v>
      </c>
    </row>
    <row r="100" spans="1:28" x14ac:dyDescent="0.15">
      <c r="A100" s="84" t="s">
        <v>23</v>
      </c>
      <c r="B100" s="84" t="s">
        <v>160</v>
      </c>
      <c r="C100" s="84">
        <v>2020</v>
      </c>
      <c r="D100" s="45" t="s">
        <v>162</v>
      </c>
      <c r="E100" s="84" t="s">
        <v>172</v>
      </c>
      <c r="F100" s="84" t="s">
        <v>145</v>
      </c>
      <c r="G100" s="84" t="s">
        <v>25</v>
      </c>
      <c r="H100" s="84" t="s">
        <v>164</v>
      </c>
      <c r="I100" s="84" t="s">
        <v>111</v>
      </c>
      <c r="J100" s="78" t="s">
        <v>27</v>
      </c>
      <c r="K100" s="77" t="s">
        <v>112</v>
      </c>
      <c r="L100" s="84">
        <v>3</v>
      </c>
      <c r="N100" s="7">
        <v>1</v>
      </c>
      <c r="O100" s="7">
        <v>0.4</v>
      </c>
      <c r="P100" s="7">
        <v>0.45</v>
      </c>
      <c r="Q100" s="44">
        <f t="shared" si="3"/>
        <v>0.42500000000000004</v>
      </c>
      <c r="R100" s="7">
        <v>18.899999999999999</v>
      </c>
      <c r="S100" s="7">
        <v>131</v>
      </c>
      <c r="T100" s="16">
        <f t="shared" si="4"/>
        <v>30</v>
      </c>
      <c r="U100" s="77">
        <v>98</v>
      </c>
      <c r="V100" s="16">
        <f t="shared" si="5"/>
        <v>2940</v>
      </c>
      <c r="W100" s="77">
        <v>18</v>
      </c>
      <c r="X100" s="65" t="s">
        <v>35</v>
      </c>
      <c r="Y100" s="73" t="s">
        <v>43</v>
      </c>
      <c r="Z100" s="77" t="s">
        <v>51</v>
      </c>
      <c r="AA100" s="77" t="s">
        <v>64</v>
      </c>
      <c r="AB100" s="43" t="s">
        <v>161</v>
      </c>
    </row>
    <row r="101" spans="1:28" x14ac:dyDescent="0.15">
      <c r="A101" s="84" t="s">
        <v>23</v>
      </c>
      <c r="B101" s="84" t="s">
        <v>160</v>
      </c>
      <c r="C101" s="84">
        <v>2020</v>
      </c>
      <c r="D101" s="45" t="s">
        <v>162</v>
      </c>
      <c r="E101" s="84" t="s">
        <v>172</v>
      </c>
      <c r="F101" s="84" t="s">
        <v>145</v>
      </c>
      <c r="G101" s="84" t="s">
        <v>25</v>
      </c>
      <c r="H101" s="84" t="s">
        <v>164</v>
      </c>
      <c r="I101" s="84" t="s">
        <v>111</v>
      </c>
      <c r="J101" s="78" t="s">
        <v>27</v>
      </c>
      <c r="K101" s="77" t="s">
        <v>112</v>
      </c>
      <c r="L101" s="84">
        <v>1</v>
      </c>
      <c r="N101" s="7">
        <v>6</v>
      </c>
      <c r="O101" s="7">
        <v>0.75</v>
      </c>
      <c r="P101" s="7">
        <v>0.75</v>
      </c>
      <c r="Q101" s="44">
        <f t="shared" si="3"/>
        <v>0.75</v>
      </c>
      <c r="R101" s="7">
        <v>16</v>
      </c>
      <c r="S101" s="7">
        <v>114</v>
      </c>
      <c r="T101" s="16">
        <f t="shared" si="4"/>
        <v>30</v>
      </c>
      <c r="U101" s="7">
        <v>498</v>
      </c>
      <c r="V101" s="16">
        <f t="shared" si="5"/>
        <v>2490</v>
      </c>
      <c r="W101" s="77">
        <v>18</v>
      </c>
      <c r="X101" s="65" t="s">
        <v>35</v>
      </c>
      <c r="Y101" s="73" t="s">
        <v>43</v>
      </c>
      <c r="Z101" s="77" t="s">
        <v>51</v>
      </c>
      <c r="AA101" s="77" t="s">
        <v>64</v>
      </c>
      <c r="AB101" s="43" t="s">
        <v>161</v>
      </c>
    </row>
    <row r="102" spans="1:28" x14ac:dyDescent="0.15">
      <c r="A102" s="84" t="s">
        <v>23</v>
      </c>
      <c r="B102" s="84" t="s">
        <v>160</v>
      </c>
      <c r="C102" s="84">
        <v>2020</v>
      </c>
      <c r="D102" s="45" t="s">
        <v>162</v>
      </c>
      <c r="E102" s="84" t="s">
        <v>172</v>
      </c>
      <c r="F102" s="84" t="s">
        <v>145</v>
      </c>
      <c r="G102" s="84" t="s">
        <v>25</v>
      </c>
      <c r="H102" s="84" t="s">
        <v>164</v>
      </c>
      <c r="I102" s="84" t="s">
        <v>111</v>
      </c>
      <c r="J102" s="78" t="s">
        <v>27</v>
      </c>
      <c r="K102" s="77" t="s">
        <v>112</v>
      </c>
      <c r="L102" s="84">
        <v>2</v>
      </c>
      <c r="N102" s="7">
        <v>6</v>
      </c>
      <c r="O102" s="7">
        <v>0.7</v>
      </c>
      <c r="P102" s="7">
        <v>0.75</v>
      </c>
      <c r="Q102" s="44">
        <f t="shared" si="3"/>
        <v>0.72499999999999998</v>
      </c>
      <c r="R102" s="7">
        <v>15.3</v>
      </c>
      <c r="S102" s="7">
        <v>111</v>
      </c>
      <c r="T102" s="16">
        <f t="shared" si="4"/>
        <v>33</v>
      </c>
      <c r="U102" s="77">
        <v>498</v>
      </c>
      <c r="V102" s="16">
        <f t="shared" si="5"/>
        <v>2739</v>
      </c>
      <c r="W102" s="77">
        <v>18</v>
      </c>
      <c r="X102" s="65" t="s">
        <v>35</v>
      </c>
      <c r="Y102" s="73" t="s">
        <v>43</v>
      </c>
      <c r="Z102" s="77" t="s">
        <v>51</v>
      </c>
      <c r="AA102" s="77" t="s">
        <v>64</v>
      </c>
      <c r="AB102" s="43" t="s">
        <v>161</v>
      </c>
    </row>
    <row r="103" spans="1:28" x14ac:dyDescent="0.15">
      <c r="A103" s="84" t="s">
        <v>23</v>
      </c>
      <c r="B103" s="84" t="s">
        <v>160</v>
      </c>
      <c r="C103" s="84">
        <v>2020</v>
      </c>
      <c r="D103" s="45" t="s">
        <v>162</v>
      </c>
      <c r="E103" s="84" t="s">
        <v>172</v>
      </c>
      <c r="F103" s="84" t="s">
        <v>145</v>
      </c>
      <c r="G103" s="84" t="s">
        <v>25</v>
      </c>
      <c r="H103" s="84" t="s">
        <v>164</v>
      </c>
      <c r="I103" s="84" t="s">
        <v>111</v>
      </c>
      <c r="J103" s="78" t="s">
        <v>27</v>
      </c>
      <c r="K103" s="77" t="s">
        <v>112</v>
      </c>
      <c r="L103" s="84">
        <v>3</v>
      </c>
      <c r="N103" s="7">
        <v>6</v>
      </c>
      <c r="O103" s="7">
        <v>0.8</v>
      </c>
      <c r="P103" s="7">
        <v>0.8</v>
      </c>
      <c r="Q103" s="44">
        <f t="shared" si="3"/>
        <v>0.8</v>
      </c>
      <c r="R103" s="7">
        <v>15.1</v>
      </c>
      <c r="S103" s="7">
        <v>10</v>
      </c>
      <c r="T103" s="16">
        <f t="shared" si="4"/>
        <v>50</v>
      </c>
      <c r="U103" s="77">
        <v>498</v>
      </c>
      <c r="V103" s="16">
        <f t="shared" si="5"/>
        <v>4150</v>
      </c>
      <c r="W103" s="77">
        <v>18</v>
      </c>
      <c r="X103" s="65" t="s">
        <v>35</v>
      </c>
      <c r="Y103" s="73" t="s">
        <v>43</v>
      </c>
      <c r="Z103" s="77" t="s">
        <v>51</v>
      </c>
      <c r="AA103" s="77" t="s">
        <v>64</v>
      </c>
      <c r="AB103" s="43" t="s">
        <v>161</v>
      </c>
    </row>
    <row r="104" spans="1:28" x14ac:dyDescent="0.15">
      <c r="A104" s="84" t="s">
        <v>23</v>
      </c>
      <c r="B104" s="84" t="s">
        <v>160</v>
      </c>
      <c r="C104" s="84">
        <v>2020</v>
      </c>
      <c r="D104" s="45" t="s">
        <v>162</v>
      </c>
      <c r="E104" s="84" t="s">
        <v>174</v>
      </c>
      <c r="F104" s="84" t="s">
        <v>143</v>
      </c>
      <c r="G104" s="84" t="s">
        <v>25</v>
      </c>
      <c r="H104" s="84" t="s">
        <v>113</v>
      </c>
      <c r="I104" s="84" t="s">
        <v>111</v>
      </c>
      <c r="J104" s="78" t="s">
        <v>27</v>
      </c>
      <c r="K104" s="77" t="s">
        <v>112</v>
      </c>
      <c r="L104" s="84">
        <v>1</v>
      </c>
      <c r="N104" s="7">
        <v>1</v>
      </c>
      <c r="O104" s="7">
        <v>0.75</v>
      </c>
      <c r="P104" s="77">
        <v>0.75</v>
      </c>
      <c r="Q104" s="44">
        <f t="shared" si="3"/>
        <v>0.75</v>
      </c>
      <c r="R104" s="7">
        <v>12.9</v>
      </c>
      <c r="S104" s="7">
        <v>118</v>
      </c>
      <c r="T104" s="16">
        <f t="shared" si="4"/>
        <v>30</v>
      </c>
      <c r="U104" s="7">
        <v>78</v>
      </c>
      <c r="V104" s="16">
        <f t="shared" si="5"/>
        <v>2340</v>
      </c>
      <c r="W104" s="7">
        <v>14</v>
      </c>
      <c r="X104" s="65" t="s">
        <v>35</v>
      </c>
      <c r="Y104" s="73" t="s">
        <v>43</v>
      </c>
      <c r="Z104" s="7" t="s">
        <v>72</v>
      </c>
      <c r="AA104" s="7" t="s">
        <v>55</v>
      </c>
      <c r="AB104" s="43" t="s">
        <v>161</v>
      </c>
    </row>
    <row r="105" spans="1:28" x14ac:dyDescent="0.15">
      <c r="A105" s="84" t="s">
        <v>23</v>
      </c>
      <c r="B105" s="84" t="s">
        <v>160</v>
      </c>
      <c r="C105" s="84">
        <v>2020</v>
      </c>
      <c r="D105" s="45" t="s">
        <v>162</v>
      </c>
      <c r="E105" s="84" t="s">
        <v>174</v>
      </c>
      <c r="F105" s="84" t="s">
        <v>143</v>
      </c>
      <c r="G105" s="84" t="s">
        <v>25</v>
      </c>
      <c r="H105" s="84" t="s">
        <v>113</v>
      </c>
      <c r="I105" s="84" t="s">
        <v>111</v>
      </c>
      <c r="J105" s="78" t="s">
        <v>27</v>
      </c>
      <c r="K105" s="77" t="s">
        <v>112</v>
      </c>
      <c r="L105" s="84">
        <v>2</v>
      </c>
      <c r="N105" s="7">
        <v>1</v>
      </c>
      <c r="O105" s="7">
        <v>0.45</v>
      </c>
      <c r="P105" s="7">
        <v>0.4</v>
      </c>
      <c r="Q105" s="44">
        <f t="shared" si="3"/>
        <v>0.42500000000000004</v>
      </c>
      <c r="R105" s="7">
        <v>13.9</v>
      </c>
      <c r="S105" s="7">
        <v>113</v>
      </c>
      <c r="T105" s="16">
        <f t="shared" si="4"/>
        <v>30</v>
      </c>
      <c r="U105" s="77">
        <v>78</v>
      </c>
      <c r="V105" s="16">
        <f t="shared" si="5"/>
        <v>2340</v>
      </c>
      <c r="W105" s="77">
        <v>14</v>
      </c>
      <c r="X105" s="65" t="s">
        <v>35</v>
      </c>
      <c r="Y105" s="73" t="s">
        <v>43</v>
      </c>
      <c r="Z105" s="77" t="s">
        <v>72</v>
      </c>
      <c r="AA105" s="77" t="s">
        <v>55</v>
      </c>
      <c r="AB105" s="43" t="s">
        <v>161</v>
      </c>
    </row>
    <row r="106" spans="1:28" x14ac:dyDescent="0.15">
      <c r="A106" s="84" t="s">
        <v>23</v>
      </c>
      <c r="B106" s="84" t="s">
        <v>160</v>
      </c>
      <c r="C106" s="84">
        <v>2020</v>
      </c>
      <c r="D106" s="45" t="s">
        <v>162</v>
      </c>
      <c r="E106" s="84" t="s">
        <v>174</v>
      </c>
      <c r="F106" s="84" t="s">
        <v>143</v>
      </c>
      <c r="G106" s="84" t="s">
        <v>25</v>
      </c>
      <c r="H106" s="84" t="s">
        <v>113</v>
      </c>
      <c r="I106" s="84" t="s">
        <v>111</v>
      </c>
      <c r="J106" s="78" t="s">
        <v>27</v>
      </c>
      <c r="K106" s="77" t="s">
        <v>112</v>
      </c>
      <c r="L106" s="84">
        <v>3</v>
      </c>
      <c r="N106" s="7">
        <v>1</v>
      </c>
      <c r="O106" s="7">
        <v>0.8</v>
      </c>
      <c r="P106" s="7">
        <v>0.85</v>
      </c>
      <c r="Q106" s="44">
        <f t="shared" si="3"/>
        <v>0.82499999999999996</v>
      </c>
      <c r="R106" s="7">
        <v>15</v>
      </c>
      <c r="S106" s="7">
        <v>116</v>
      </c>
      <c r="T106" s="16">
        <f t="shared" si="4"/>
        <v>30</v>
      </c>
      <c r="U106" s="77">
        <v>78</v>
      </c>
      <c r="V106" s="16">
        <f t="shared" si="5"/>
        <v>2340</v>
      </c>
      <c r="W106" s="77">
        <v>14</v>
      </c>
      <c r="X106" s="65" t="s">
        <v>35</v>
      </c>
      <c r="Y106" s="73" t="s">
        <v>43</v>
      </c>
      <c r="Z106" s="77" t="s">
        <v>72</v>
      </c>
      <c r="AA106" s="77" t="s">
        <v>55</v>
      </c>
      <c r="AB106" s="43" t="s">
        <v>161</v>
      </c>
    </row>
    <row r="107" spans="1:28" x14ac:dyDescent="0.15">
      <c r="A107" s="84" t="s">
        <v>23</v>
      </c>
      <c r="B107" s="84" t="s">
        <v>160</v>
      </c>
      <c r="C107" s="84">
        <v>2020</v>
      </c>
      <c r="D107" s="45" t="s">
        <v>162</v>
      </c>
      <c r="E107" s="84" t="s">
        <v>174</v>
      </c>
      <c r="F107" s="84" t="s">
        <v>143</v>
      </c>
      <c r="G107" s="84" t="s">
        <v>25</v>
      </c>
      <c r="H107" s="84" t="s">
        <v>113</v>
      </c>
      <c r="I107" s="84" t="s">
        <v>111</v>
      </c>
      <c r="J107" s="78" t="s">
        <v>27</v>
      </c>
      <c r="K107" s="77" t="s">
        <v>112</v>
      </c>
      <c r="L107" s="84">
        <v>1</v>
      </c>
      <c r="N107" s="7">
        <v>8</v>
      </c>
      <c r="O107" s="7">
        <v>0.65</v>
      </c>
      <c r="P107" s="7">
        <v>0.7</v>
      </c>
      <c r="Q107" s="44">
        <f t="shared" si="3"/>
        <v>0.67500000000000004</v>
      </c>
      <c r="R107" s="7">
        <v>14.3</v>
      </c>
      <c r="S107" s="7">
        <v>78</v>
      </c>
      <c r="T107" s="16">
        <f t="shared" si="4"/>
        <v>39</v>
      </c>
      <c r="U107" s="7">
        <v>580</v>
      </c>
      <c r="V107" s="16">
        <f t="shared" si="5"/>
        <v>2827.5</v>
      </c>
      <c r="W107" s="77">
        <v>14</v>
      </c>
      <c r="X107" s="65" t="s">
        <v>35</v>
      </c>
      <c r="Y107" s="73" t="s">
        <v>43</v>
      </c>
      <c r="Z107" s="77" t="s">
        <v>72</v>
      </c>
      <c r="AA107" s="77" t="s">
        <v>55</v>
      </c>
      <c r="AB107" s="43" t="s">
        <v>161</v>
      </c>
    </row>
    <row r="108" spans="1:28" x14ac:dyDescent="0.15">
      <c r="A108" s="84" t="s">
        <v>23</v>
      </c>
      <c r="B108" s="84" t="s">
        <v>160</v>
      </c>
      <c r="C108" s="84">
        <v>2020</v>
      </c>
      <c r="D108" s="45" t="s">
        <v>162</v>
      </c>
      <c r="E108" s="84" t="s">
        <v>174</v>
      </c>
      <c r="F108" s="84" t="s">
        <v>143</v>
      </c>
      <c r="G108" s="84" t="s">
        <v>25</v>
      </c>
      <c r="H108" s="84" t="s">
        <v>113</v>
      </c>
      <c r="I108" s="84" t="s">
        <v>111</v>
      </c>
      <c r="J108" s="78" t="s">
        <v>27</v>
      </c>
      <c r="K108" s="77" t="s">
        <v>112</v>
      </c>
      <c r="L108" s="84">
        <v>2</v>
      </c>
      <c r="N108" s="7">
        <v>8</v>
      </c>
      <c r="O108" s="7">
        <v>0.7</v>
      </c>
      <c r="P108" s="7">
        <v>0.85</v>
      </c>
      <c r="Q108" s="44">
        <f t="shared" si="3"/>
        <v>0.77499999999999991</v>
      </c>
      <c r="R108" s="7">
        <v>15</v>
      </c>
      <c r="S108" s="7">
        <v>87</v>
      </c>
      <c r="T108" s="16">
        <f t="shared" si="4"/>
        <v>36</v>
      </c>
      <c r="U108" s="77">
        <v>580</v>
      </c>
      <c r="V108" s="16">
        <f t="shared" si="5"/>
        <v>2610</v>
      </c>
      <c r="W108" s="77">
        <v>14</v>
      </c>
      <c r="X108" s="65" t="s">
        <v>35</v>
      </c>
      <c r="Y108" s="73" t="s">
        <v>43</v>
      </c>
      <c r="Z108" s="77" t="s">
        <v>72</v>
      </c>
      <c r="AA108" s="77" t="s">
        <v>55</v>
      </c>
      <c r="AB108" s="43" t="s">
        <v>161</v>
      </c>
    </row>
    <row r="109" spans="1:28" x14ac:dyDescent="0.15">
      <c r="A109" s="84" t="s">
        <v>23</v>
      </c>
      <c r="B109" s="84" t="s">
        <v>160</v>
      </c>
      <c r="C109" s="84">
        <v>2020</v>
      </c>
      <c r="D109" s="45" t="s">
        <v>162</v>
      </c>
      <c r="E109" s="84" t="s">
        <v>174</v>
      </c>
      <c r="F109" s="84" t="s">
        <v>143</v>
      </c>
      <c r="G109" s="84" t="s">
        <v>25</v>
      </c>
      <c r="H109" s="84" t="s">
        <v>113</v>
      </c>
      <c r="I109" s="84" t="s">
        <v>111</v>
      </c>
      <c r="J109" s="78" t="s">
        <v>27</v>
      </c>
      <c r="K109" s="77" t="s">
        <v>112</v>
      </c>
      <c r="L109" s="84">
        <v>3</v>
      </c>
      <c r="N109" s="7">
        <v>8</v>
      </c>
      <c r="O109" s="77">
        <v>0.7</v>
      </c>
      <c r="P109" s="77">
        <v>0.7</v>
      </c>
      <c r="Q109" s="44">
        <f t="shared" si="3"/>
        <v>0.7</v>
      </c>
      <c r="R109" s="7">
        <v>15.3</v>
      </c>
      <c r="S109" s="7">
        <v>79</v>
      </c>
      <c r="T109" s="16">
        <f t="shared" si="4"/>
        <v>39</v>
      </c>
      <c r="U109" s="77">
        <v>580</v>
      </c>
      <c r="V109" s="16">
        <f t="shared" si="5"/>
        <v>2827.5</v>
      </c>
      <c r="W109" s="77">
        <v>14</v>
      </c>
      <c r="X109" s="65" t="s">
        <v>35</v>
      </c>
      <c r="Y109" s="73" t="s">
        <v>43</v>
      </c>
      <c r="Z109" s="77" t="s">
        <v>72</v>
      </c>
      <c r="AA109" s="77" t="s">
        <v>55</v>
      </c>
      <c r="AB109" s="43" t="s">
        <v>161</v>
      </c>
    </row>
    <row r="110" spans="1:28" x14ac:dyDescent="0.15">
      <c r="A110" s="84" t="s">
        <v>23</v>
      </c>
      <c r="B110" s="84" t="s">
        <v>160</v>
      </c>
      <c r="C110" s="84">
        <v>2020</v>
      </c>
      <c r="D110" s="45" t="s">
        <v>162</v>
      </c>
      <c r="E110" s="84" t="s">
        <v>174</v>
      </c>
      <c r="F110" s="84" t="s">
        <v>143</v>
      </c>
      <c r="G110" s="84" t="s">
        <v>25</v>
      </c>
      <c r="H110" s="84" t="s">
        <v>113</v>
      </c>
      <c r="I110" s="84" t="s">
        <v>111</v>
      </c>
      <c r="J110" s="78" t="s">
        <v>27</v>
      </c>
      <c r="K110" s="77" t="s">
        <v>112</v>
      </c>
      <c r="L110" s="84">
        <v>1</v>
      </c>
      <c r="N110" s="7">
        <v>4</v>
      </c>
      <c r="O110" s="7">
        <v>0.8</v>
      </c>
      <c r="P110" s="7">
        <v>0.85</v>
      </c>
      <c r="Q110" s="44">
        <f t="shared" si="3"/>
        <v>0.82499999999999996</v>
      </c>
      <c r="R110" s="7">
        <v>13.3</v>
      </c>
      <c r="S110" s="7">
        <v>84</v>
      </c>
      <c r="T110" s="16">
        <f t="shared" si="4"/>
        <v>36</v>
      </c>
      <c r="U110" s="7">
        <v>298</v>
      </c>
      <c r="V110" s="16">
        <f t="shared" si="5"/>
        <v>2682</v>
      </c>
      <c r="W110" s="77">
        <v>14</v>
      </c>
      <c r="X110" s="65" t="s">
        <v>35</v>
      </c>
      <c r="Y110" s="73" t="s">
        <v>43</v>
      </c>
      <c r="Z110" s="77" t="s">
        <v>72</v>
      </c>
      <c r="AA110" s="77" t="s">
        <v>55</v>
      </c>
      <c r="AB110" s="43" t="s">
        <v>161</v>
      </c>
    </row>
    <row r="111" spans="1:28" x14ac:dyDescent="0.15">
      <c r="A111" s="84" t="s">
        <v>23</v>
      </c>
      <c r="B111" s="84" t="s">
        <v>160</v>
      </c>
      <c r="C111" s="84">
        <v>2020</v>
      </c>
      <c r="D111" s="45" t="s">
        <v>162</v>
      </c>
      <c r="E111" s="84" t="s">
        <v>174</v>
      </c>
      <c r="F111" s="84" t="s">
        <v>143</v>
      </c>
      <c r="G111" s="84" t="s">
        <v>25</v>
      </c>
      <c r="H111" s="84" t="s">
        <v>113</v>
      </c>
      <c r="I111" s="84" t="s">
        <v>111</v>
      </c>
      <c r="J111" s="78" t="s">
        <v>27</v>
      </c>
      <c r="K111" s="77" t="s">
        <v>112</v>
      </c>
      <c r="L111" s="84">
        <v>2</v>
      </c>
      <c r="N111" s="7">
        <v>4</v>
      </c>
      <c r="O111" s="7">
        <v>0.75</v>
      </c>
      <c r="P111" s="7">
        <v>0.8</v>
      </c>
      <c r="Q111" s="44">
        <f t="shared" si="3"/>
        <v>0.77500000000000002</v>
      </c>
      <c r="R111" s="7">
        <v>14.1</v>
      </c>
      <c r="S111" s="7">
        <v>90</v>
      </c>
      <c r="T111" s="16">
        <f t="shared" si="4"/>
        <v>36</v>
      </c>
      <c r="U111" s="77">
        <v>298</v>
      </c>
      <c r="V111" s="16">
        <f t="shared" si="5"/>
        <v>2682</v>
      </c>
      <c r="W111" s="77">
        <v>14</v>
      </c>
      <c r="X111" s="65" t="s">
        <v>35</v>
      </c>
      <c r="Y111" s="73" t="s">
        <v>43</v>
      </c>
      <c r="Z111" s="77" t="s">
        <v>72</v>
      </c>
      <c r="AA111" s="77" t="s">
        <v>55</v>
      </c>
      <c r="AB111" s="43" t="s">
        <v>161</v>
      </c>
    </row>
    <row r="112" spans="1:28" x14ac:dyDescent="0.15">
      <c r="A112" s="84" t="s">
        <v>23</v>
      </c>
      <c r="B112" s="84" t="s">
        <v>160</v>
      </c>
      <c r="C112" s="84">
        <v>2020</v>
      </c>
      <c r="D112" s="45" t="s">
        <v>162</v>
      </c>
      <c r="E112" s="84" t="s">
        <v>174</v>
      </c>
      <c r="F112" s="84" t="s">
        <v>143</v>
      </c>
      <c r="G112" s="84" t="s">
        <v>25</v>
      </c>
      <c r="H112" s="84" t="s">
        <v>113</v>
      </c>
      <c r="I112" s="84" t="s">
        <v>111</v>
      </c>
      <c r="J112" s="78" t="s">
        <v>27</v>
      </c>
      <c r="K112" s="77" t="s">
        <v>112</v>
      </c>
      <c r="L112" s="84">
        <v>3</v>
      </c>
      <c r="N112" s="7">
        <v>4</v>
      </c>
      <c r="O112" s="7">
        <v>0.7</v>
      </c>
      <c r="P112" s="7">
        <v>0.85</v>
      </c>
      <c r="Q112" s="44">
        <f t="shared" si="3"/>
        <v>0.77499999999999991</v>
      </c>
      <c r="R112" s="7">
        <v>14</v>
      </c>
      <c r="S112" s="7">
        <v>82</v>
      </c>
      <c r="T112" s="16">
        <f t="shared" si="4"/>
        <v>39</v>
      </c>
      <c r="U112" s="77">
        <v>298</v>
      </c>
      <c r="V112" s="16">
        <f t="shared" si="5"/>
        <v>2905.5</v>
      </c>
      <c r="W112" s="77">
        <v>14</v>
      </c>
      <c r="X112" s="65" t="s">
        <v>35</v>
      </c>
      <c r="Y112" s="73" t="s">
        <v>43</v>
      </c>
      <c r="Z112" s="77" t="s">
        <v>72</v>
      </c>
      <c r="AA112" s="77" t="s">
        <v>55</v>
      </c>
      <c r="AB112" s="43" t="s">
        <v>161</v>
      </c>
    </row>
    <row r="113" spans="1:28" x14ac:dyDescent="0.15">
      <c r="A113" s="84" t="s">
        <v>23</v>
      </c>
      <c r="B113" s="84" t="s">
        <v>160</v>
      </c>
      <c r="C113" s="84">
        <v>2020</v>
      </c>
      <c r="D113" s="45" t="s">
        <v>162</v>
      </c>
      <c r="E113" s="84" t="s">
        <v>174</v>
      </c>
      <c r="F113" s="84" t="s">
        <v>143</v>
      </c>
      <c r="G113" s="84" t="s">
        <v>25</v>
      </c>
      <c r="H113" s="84" t="s">
        <v>164</v>
      </c>
      <c r="I113" s="84" t="s">
        <v>111</v>
      </c>
      <c r="J113" s="78" t="s">
        <v>27</v>
      </c>
      <c r="K113" s="77" t="s">
        <v>112</v>
      </c>
      <c r="L113" s="84">
        <v>1</v>
      </c>
      <c r="N113" s="7">
        <v>1</v>
      </c>
      <c r="O113" s="7">
        <v>0.75</v>
      </c>
      <c r="P113" s="7">
        <v>0.8</v>
      </c>
      <c r="Q113" s="44">
        <f t="shared" si="3"/>
        <v>0.77500000000000002</v>
      </c>
      <c r="R113" s="7">
        <v>18.5</v>
      </c>
      <c r="S113" s="7">
        <v>123</v>
      </c>
      <c r="T113" s="16">
        <f t="shared" si="4"/>
        <v>30</v>
      </c>
      <c r="U113" s="77">
        <v>78</v>
      </c>
      <c r="V113" s="16">
        <f t="shared" si="5"/>
        <v>2340</v>
      </c>
      <c r="W113" s="77">
        <v>14</v>
      </c>
      <c r="X113" s="65" t="s">
        <v>35</v>
      </c>
      <c r="Y113" s="73" t="s">
        <v>43</v>
      </c>
      <c r="Z113" s="77" t="s">
        <v>72</v>
      </c>
      <c r="AA113" s="77" t="s">
        <v>55</v>
      </c>
      <c r="AB113" s="43" t="s">
        <v>161</v>
      </c>
    </row>
    <row r="114" spans="1:28" x14ac:dyDescent="0.15">
      <c r="A114" s="84" t="s">
        <v>23</v>
      </c>
      <c r="B114" s="84" t="s">
        <v>160</v>
      </c>
      <c r="C114" s="84">
        <v>2020</v>
      </c>
      <c r="D114" s="45" t="s">
        <v>162</v>
      </c>
      <c r="E114" s="84" t="s">
        <v>174</v>
      </c>
      <c r="F114" s="84" t="s">
        <v>143</v>
      </c>
      <c r="G114" s="84" t="s">
        <v>25</v>
      </c>
      <c r="H114" s="84" t="s">
        <v>164</v>
      </c>
      <c r="I114" s="84" t="s">
        <v>111</v>
      </c>
      <c r="J114" s="78" t="s">
        <v>27</v>
      </c>
      <c r="K114" s="77" t="s">
        <v>112</v>
      </c>
      <c r="L114" s="84">
        <v>2</v>
      </c>
      <c r="N114" s="7">
        <v>1</v>
      </c>
      <c r="O114" s="7">
        <v>0.7</v>
      </c>
      <c r="P114" s="7">
        <v>0.8</v>
      </c>
      <c r="Q114" s="44">
        <f t="shared" si="3"/>
        <v>0.75</v>
      </c>
      <c r="R114" s="7">
        <v>15.3</v>
      </c>
      <c r="S114" s="7">
        <v>127</v>
      </c>
      <c r="T114" s="16">
        <f t="shared" si="4"/>
        <v>30</v>
      </c>
      <c r="U114" s="77">
        <v>78</v>
      </c>
      <c r="V114" s="16">
        <f t="shared" si="5"/>
        <v>2340</v>
      </c>
      <c r="W114" s="77">
        <v>14</v>
      </c>
      <c r="X114" s="65" t="s">
        <v>35</v>
      </c>
      <c r="Y114" s="73" t="s">
        <v>43</v>
      </c>
      <c r="Z114" s="77" t="s">
        <v>72</v>
      </c>
      <c r="AA114" s="77" t="s">
        <v>55</v>
      </c>
      <c r="AB114" s="43" t="s">
        <v>161</v>
      </c>
    </row>
    <row r="115" spans="1:28" x14ac:dyDescent="0.15">
      <c r="A115" s="84" t="s">
        <v>23</v>
      </c>
      <c r="B115" s="84" t="s">
        <v>160</v>
      </c>
      <c r="C115" s="84">
        <v>2020</v>
      </c>
      <c r="D115" s="45" t="s">
        <v>162</v>
      </c>
      <c r="E115" s="84" t="s">
        <v>174</v>
      </c>
      <c r="F115" s="84" t="s">
        <v>143</v>
      </c>
      <c r="G115" s="84" t="s">
        <v>25</v>
      </c>
      <c r="H115" s="84" t="s">
        <v>164</v>
      </c>
      <c r="I115" s="84" t="s">
        <v>111</v>
      </c>
      <c r="J115" s="78" t="s">
        <v>27</v>
      </c>
      <c r="K115" s="77" t="s">
        <v>112</v>
      </c>
      <c r="L115" s="84">
        <v>3</v>
      </c>
      <c r="N115" s="7">
        <v>1</v>
      </c>
      <c r="O115" s="7">
        <v>0.75</v>
      </c>
      <c r="P115" s="7">
        <v>0.7</v>
      </c>
      <c r="Q115" s="44">
        <f t="shared" si="3"/>
        <v>0.72499999999999998</v>
      </c>
      <c r="R115" s="7">
        <v>17.399999999999999</v>
      </c>
      <c r="S115" s="7">
        <v>125</v>
      </c>
      <c r="T115" s="16">
        <f t="shared" si="4"/>
        <v>30</v>
      </c>
      <c r="U115" s="77">
        <v>78</v>
      </c>
      <c r="V115" s="16">
        <f t="shared" si="5"/>
        <v>2340</v>
      </c>
      <c r="W115" s="77">
        <v>14</v>
      </c>
      <c r="X115" s="65" t="s">
        <v>35</v>
      </c>
      <c r="Y115" s="73" t="s">
        <v>43</v>
      </c>
      <c r="Z115" s="77" t="s">
        <v>72</v>
      </c>
      <c r="AA115" s="77" t="s">
        <v>55</v>
      </c>
      <c r="AB115" s="43" t="s">
        <v>161</v>
      </c>
    </row>
    <row r="116" spans="1:28" x14ac:dyDescent="0.15">
      <c r="A116" s="84" t="s">
        <v>23</v>
      </c>
      <c r="B116" s="84" t="s">
        <v>160</v>
      </c>
      <c r="C116" s="84">
        <v>2020</v>
      </c>
      <c r="D116" s="45" t="s">
        <v>162</v>
      </c>
      <c r="E116" s="84" t="s">
        <v>174</v>
      </c>
      <c r="F116" s="84" t="s">
        <v>143</v>
      </c>
      <c r="G116" s="84" t="s">
        <v>25</v>
      </c>
      <c r="H116" s="84" t="s">
        <v>164</v>
      </c>
      <c r="I116" s="84" t="s">
        <v>111</v>
      </c>
      <c r="J116" s="78" t="s">
        <v>27</v>
      </c>
      <c r="K116" s="77" t="s">
        <v>112</v>
      </c>
      <c r="L116" s="84">
        <v>1</v>
      </c>
      <c r="N116" s="7">
        <v>8</v>
      </c>
      <c r="O116" s="7">
        <v>1</v>
      </c>
      <c r="P116" s="7">
        <v>1</v>
      </c>
      <c r="Q116" s="44">
        <f t="shared" si="3"/>
        <v>1</v>
      </c>
      <c r="R116" s="7">
        <v>16.5</v>
      </c>
      <c r="S116" s="7">
        <v>102</v>
      </c>
      <c r="T116" s="16">
        <f t="shared" si="4"/>
        <v>33</v>
      </c>
      <c r="U116" s="7">
        <v>580</v>
      </c>
      <c r="V116" s="16">
        <f t="shared" si="5"/>
        <v>2392.5</v>
      </c>
      <c r="W116" s="77">
        <v>14</v>
      </c>
      <c r="X116" s="65" t="s">
        <v>35</v>
      </c>
      <c r="Y116" s="73" t="s">
        <v>43</v>
      </c>
      <c r="Z116" s="77" t="s">
        <v>72</v>
      </c>
      <c r="AA116" s="77" t="s">
        <v>55</v>
      </c>
      <c r="AB116" s="43" t="s">
        <v>161</v>
      </c>
    </row>
    <row r="117" spans="1:28" x14ac:dyDescent="0.15">
      <c r="A117" s="84" t="s">
        <v>23</v>
      </c>
      <c r="B117" s="84" t="s">
        <v>160</v>
      </c>
      <c r="C117" s="84">
        <v>2020</v>
      </c>
      <c r="D117" s="45" t="s">
        <v>162</v>
      </c>
      <c r="E117" s="84" t="s">
        <v>174</v>
      </c>
      <c r="F117" s="84" t="s">
        <v>143</v>
      </c>
      <c r="G117" s="84" t="s">
        <v>25</v>
      </c>
      <c r="H117" s="84" t="s">
        <v>164</v>
      </c>
      <c r="I117" s="84" t="s">
        <v>111</v>
      </c>
      <c r="J117" s="78" t="s">
        <v>27</v>
      </c>
      <c r="K117" s="77" t="s">
        <v>112</v>
      </c>
      <c r="L117" s="84">
        <v>2</v>
      </c>
      <c r="N117" s="7">
        <v>8</v>
      </c>
      <c r="O117" s="7">
        <v>1.1000000000000001</v>
      </c>
      <c r="P117" s="7">
        <v>1.1000000000000001</v>
      </c>
      <c r="Q117" s="44">
        <f t="shared" si="3"/>
        <v>1.1000000000000001</v>
      </c>
      <c r="R117" s="7">
        <v>15.5</v>
      </c>
      <c r="S117" s="7">
        <v>105</v>
      </c>
      <c r="T117" s="16">
        <f t="shared" si="4"/>
        <v>33</v>
      </c>
      <c r="U117" s="77">
        <v>580</v>
      </c>
      <c r="V117" s="16">
        <f t="shared" si="5"/>
        <v>2392.5</v>
      </c>
      <c r="W117" s="77">
        <v>14</v>
      </c>
      <c r="X117" s="65" t="s">
        <v>35</v>
      </c>
      <c r="Y117" s="73" t="s">
        <v>43</v>
      </c>
      <c r="Z117" s="77" t="s">
        <v>72</v>
      </c>
      <c r="AA117" s="77" t="s">
        <v>55</v>
      </c>
      <c r="AB117" s="43" t="s">
        <v>161</v>
      </c>
    </row>
    <row r="118" spans="1:28" x14ac:dyDescent="0.15">
      <c r="A118" s="84" t="s">
        <v>23</v>
      </c>
      <c r="B118" s="84" t="s">
        <v>160</v>
      </c>
      <c r="C118" s="84">
        <v>2020</v>
      </c>
      <c r="D118" s="45" t="s">
        <v>162</v>
      </c>
      <c r="E118" s="84" t="s">
        <v>174</v>
      </c>
      <c r="F118" s="84" t="s">
        <v>143</v>
      </c>
      <c r="G118" s="84" t="s">
        <v>25</v>
      </c>
      <c r="H118" s="84" t="s">
        <v>164</v>
      </c>
      <c r="I118" s="84" t="s">
        <v>111</v>
      </c>
      <c r="J118" s="78" t="s">
        <v>27</v>
      </c>
      <c r="K118" s="77" t="s">
        <v>112</v>
      </c>
      <c r="L118" s="84">
        <v>3</v>
      </c>
      <c r="N118" s="7">
        <v>8</v>
      </c>
      <c r="O118" s="7">
        <v>1.25</v>
      </c>
      <c r="P118" s="7">
        <v>1.35</v>
      </c>
      <c r="Q118" s="44">
        <f t="shared" si="3"/>
        <v>1.3</v>
      </c>
      <c r="R118" s="7">
        <v>15.1</v>
      </c>
      <c r="S118" s="7">
        <v>101</v>
      </c>
      <c r="T118" s="16">
        <f t="shared" si="4"/>
        <v>33</v>
      </c>
      <c r="U118" s="77">
        <v>580</v>
      </c>
      <c r="V118" s="16">
        <f t="shared" si="5"/>
        <v>2392.5</v>
      </c>
      <c r="W118" s="77">
        <v>14</v>
      </c>
      <c r="X118" s="65" t="s">
        <v>35</v>
      </c>
      <c r="Y118" s="73" t="s">
        <v>43</v>
      </c>
      <c r="Z118" s="77" t="s">
        <v>72</v>
      </c>
      <c r="AA118" s="77" t="s">
        <v>55</v>
      </c>
      <c r="AB118" s="43" t="s">
        <v>161</v>
      </c>
    </row>
    <row r="119" spans="1:28" x14ac:dyDescent="0.15">
      <c r="A119" s="84" t="s">
        <v>23</v>
      </c>
      <c r="B119" s="84" t="s">
        <v>160</v>
      </c>
      <c r="C119" s="84">
        <v>2020</v>
      </c>
      <c r="D119" s="45" t="s">
        <v>162</v>
      </c>
      <c r="E119" s="90" t="s">
        <v>146</v>
      </c>
      <c r="F119" s="90" t="s">
        <v>147</v>
      </c>
      <c r="G119" s="84" t="s">
        <v>25</v>
      </c>
      <c r="H119" s="84" t="s">
        <v>113</v>
      </c>
      <c r="I119" s="84" t="s">
        <v>111</v>
      </c>
      <c r="J119" s="78" t="s">
        <v>27</v>
      </c>
      <c r="K119" s="77" t="s">
        <v>112</v>
      </c>
      <c r="L119" s="84">
        <v>1</v>
      </c>
      <c r="N119" s="7">
        <v>1</v>
      </c>
      <c r="O119" s="77">
        <v>1.2</v>
      </c>
      <c r="P119" s="77">
        <v>1.25</v>
      </c>
      <c r="Q119" s="44">
        <f t="shared" si="3"/>
        <v>1.2250000000000001</v>
      </c>
      <c r="R119" s="7">
        <v>15.9</v>
      </c>
      <c r="S119" s="7">
        <v>129</v>
      </c>
      <c r="T119" s="16">
        <f t="shared" si="4"/>
        <v>30</v>
      </c>
      <c r="U119" s="7">
        <v>98</v>
      </c>
      <c r="V119" s="16">
        <f t="shared" si="5"/>
        <v>2940</v>
      </c>
      <c r="W119" s="7">
        <v>10</v>
      </c>
      <c r="X119" s="65" t="s">
        <v>35</v>
      </c>
      <c r="Y119" s="73" t="s">
        <v>43</v>
      </c>
      <c r="Z119" s="7" t="s">
        <v>29</v>
      </c>
      <c r="AA119" s="77" t="s">
        <v>55</v>
      </c>
      <c r="AB119" s="43" t="s">
        <v>161</v>
      </c>
    </row>
    <row r="120" spans="1:28" x14ac:dyDescent="0.15">
      <c r="A120" s="84" t="s">
        <v>23</v>
      </c>
      <c r="B120" s="84" t="s">
        <v>160</v>
      </c>
      <c r="C120" s="84">
        <v>2020</v>
      </c>
      <c r="D120" s="45" t="s">
        <v>162</v>
      </c>
      <c r="E120" s="90" t="s">
        <v>146</v>
      </c>
      <c r="F120" s="90" t="s">
        <v>147</v>
      </c>
      <c r="G120" s="84" t="s">
        <v>25</v>
      </c>
      <c r="H120" s="84" t="s">
        <v>113</v>
      </c>
      <c r="I120" s="84" t="s">
        <v>111</v>
      </c>
      <c r="J120" s="78" t="s">
        <v>27</v>
      </c>
      <c r="K120" s="77" t="s">
        <v>112</v>
      </c>
      <c r="L120" s="84">
        <v>2</v>
      </c>
      <c r="N120" s="7">
        <v>1</v>
      </c>
      <c r="O120" s="7">
        <v>1.25</v>
      </c>
      <c r="P120" s="7">
        <v>1.05</v>
      </c>
      <c r="Q120" s="44">
        <f t="shared" si="3"/>
        <v>1.1499999999999999</v>
      </c>
      <c r="R120" s="7">
        <v>15.3</v>
      </c>
      <c r="S120" s="7">
        <v>117</v>
      </c>
      <c r="T120" s="16">
        <f t="shared" si="4"/>
        <v>30</v>
      </c>
      <c r="U120" s="77">
        <v>98</v>
      </c>
      <c r="V120" s="16">
        <f t="shared" si="5"/>
        <v>2940</v>
      </c>
      <c r="W120" s="77">
        <v>10</v>
      </c>
      <c r="X120" s="65" t="s">
        <v>35</v>
      </c>
      <c r="Y120" s="73" t="s">
        <v>43</v>
      </c>
      <c r="Z120" s="77" t="s">
        <v>29</v>
      </c>
      <c r="AA120" s="77" t="s">
        <v>55</v>
      </c>
      <c r="AB120" s="43" t="s">
        <v>161</v>
      </c>
    </row>
    <row r="121" spans="1:28" x14ac:dyDescent="0.15">
      <c r="A121" s="84" t="s">
        <v>23</v>
      </c>
      <c r="B121" s="84" t="s">
        <v>160</v>
      </c>
      <c r="C121" s="84">
        <v>2020</v>
      </c>
      <c r="D121" s="45" t="s">
        <v>162</v>
      </c>
      <c r="E121" s="90" t="s">
        <v>146</v>
      </c>
      <c r="F121" s="90" t="s">
        <v>147</v>
      </c>
      <c r="G121" s="84" t="s">
        <v>25</v>
      </c>
      <c r="H121" s="84" t="s">
        <v>113</v>
      </c>
      <c r="I121" s="84" t="s">
        <v>111</v>
      </c>
      <c r="J121" s="78" t="s">
        <v>27</v>
      </c>
      <c r="K121" s="77" t="s">
        <v>112</v>
      </c>
      <c r="L121" s="84">
        <v>3</v>
      </c>
      <c r="N121" s="7">
        <v>1</v>
      </c>
      <c r="O121" s="7">
        <v>1.1000000000000001</v>
      </c>
      <c r="P121" s="7">
        <v>1.2</v>
      </c>
      <c r="Q121" s="44">
        <f t="shared" si="3"/>
        <v>1.1499999999999999</v>
      </c>
      <c r="R121" s="7">
        <v>15.4</v>
      </c>
      <c r="S121" s="7">
        <v>121</v>
      </c>
      <c r="T121" s="16">
        <f t="shared" si="4"/>
        <v>30</v>
      </c>
      <c r="U121" s="77">
        <v>98</v>
      </c>
      <c r="V121" s="16">
        <f t="shared" si="5"/>
        <v>2940</v>
      </c>
      <c r="W121" s="77">
        <v>10</v>
      </c>
      <c r="X121" s="65" t="s">
        <v>35</v>
      </c>
      <c r="Y121" s="73" t="s">
        <v>43</v>
      </c>
      <c r="Z121" s="77" t="s">
        <v>29</v>
      </c>
      <c r="AA121" s="77" t="s">
        <v>55</v>
      </c>
      <c r="AB121" s="43" t="s">
        <v>161</v>
      </c>
    </row>
    <row r="122" spans="1:28" x14ac:dyDescent="0.15">
      <c r="A122" s="84" t="s">
        <v>23</v>
      </c>
      <c r="B122" s="84" t="s">
        <v>160</v>
      </c>
      <c r="C122" s="84">
        <v>2020</v>
      </c>
      <c r="D122" s="45" t="s">
        <v>162</v>
      </c>
      <c r="E122" s="90" t="s">
        <v>146</v>
      </c>
      <c r="F122" s="90" t="s">
        <v>147</v>
      </c>
      <c r="G122" s="84" t="s">
        <v>25</v>
      </c>
      <c r="H122" s="84" t="s">
        <v>113</v>
      </c>
      <c r="I122" s="84" t="s">
        <v>111</v>
      </c>
      <c r="J122" s="78" t="s">
        <v>27</v>
      </c>
      <c r="K122" s="77" t="s">
        <v>112</v>
      </c>
      <c r="L122" s="84">
        <v>1</v>
      </c>
      <c r="N122" s="7">
        <v>10</v>
      </c>
      <c r="O122" s="7">
        <v>0.95</v>
      </c>
      <c r="P122" s="7">
        <v>1</v>
      </c>
      <c r="Q122" s="44">
        <f t="shared" si="3"/>
        <v>0.97499999999999998</v>
      </c>
      <c r="R122" s="7">
        <v>15.5</v>
      </c>
      <c r="S122" s="7">
        <v>82</v>
      </c>
      <c r="T122" s="16">
        <f t="shared" si="4"/>
        <v>39</v>
      </c>
      <c r="U122" s="7">
        <v>398</v>
      </c>
      <c r="V122" s="16">
        <f t="shared" si="5"/>
        <v>1552.1999999999998</v>
      </c>
      <c r="W122" s="77">
        <v>10</v>
      </c>
      <c r="X122" s="65" t="s">
        <v>35</v>
      </c>
      <c r="Y122" s="73" t="s">
        <v>43</v>
      </c>
      <c r="Z122" s="77" t="s">
        <v>29</v>
      </c>
      <c r="AA122" s="77" t="s">
        <v>55</v>
      </c>
      <c r="AB122" s="43" t="s">
        <v>161</v>
      </c>
    </row>
    <row r="123" spans="1:28" x14ac:dyDescent="0.15">
      <c r="A123" s="84" t="s">
        <v>23</v>
      </c>
      <c r="B123" s="84" t="s">
        <v>160</v>
      </c>
      <c r="C123" s="84">
        <v>2020</v>
      </c>
      <c r="D123" s="45" t="s">
        <v>162</v>
      </c>
      <c r="E123" s="90" t="s">
        <v>146</v>
      </c>
      <c r="F123" s="90" t="s">
        <v>147</v>
      </c>
      <c r="G123" s="84" t="s">
        <v>25</v>
      </c>
      <c r="H123" s="84" t="s">
        <v>113</v>
      </c>
      <c r="I123" s="84" t="s">
        <v>111</v>
      </c>
      <c r="J123" s="78" t="s">
        <v>27</v>
      </c>
      <c r="K123" s="77" t="s">
        <v>112</v>
      </c>
      <c r="L123" s="84">
        <v>2</v>
      </c>
      <c r="N123" s="7">
        <v>10</v>
      </c>
      <c r="O123" s="7">
        <v>1</v>
      </c>
      <c r="P123" s="7">
        <v>1.2</v>
      </c>
      <c r="Q123" s="44">
        <f t="shared" si="3"/>
        <v>1.1000000000000001</v>
      </c>
      <c r="R123" s="7">
        <v>15.8</v>
      </c>
      <c r="S123" s="7">
        <v>79</v>
      </c>
      <c r="T123" s="16">
        <f t="shared" si="4"/>
        <v>39</v>
      </c>
      <c r="U123" s="77">
        <v>398</v>
      </c>
      <c r="V123" s="16">
        <f t="shared" si="5"/>
        <v>1552.1999999999998</v>
      </c>
      <c r="W123" s="77">
        <v>10</v>
      </c>
      <c r="X123" s="65" t="s">
        <v>35</v>
      </c>
      <c r="Y123" s="73" t="s">
        <v>43</v>
      </c>
      <c r="Z123" s="77" t="s">
        <v>29</v>
      </c>
      <c r="AA123" s="77" t="s">
        <v>55</v>
      </c>
      <c r="AB123" s="43" t="s">
        <v>161</v>
      </c>
    </row>
    <row r="124" spans="1:28" x14ac:dyDescent="0.15">
      <c r="A124" s="84" t="s">
        <v>23</v>
      </c>
      <c r="B124" s="84" t="s">
        <v>160</v>
      </c>
      <c r="C124" s="84">
        <v>2020</v>
      </c>
      <c r="D124" s="45" t="s">
        <v>162</v>
      </c>
      <c r="E124" s="90" t="s">
        <v>146</v>
      </c>
      <c r="F124" s="90" t="s">
        <v>147</v>
      </c>
      <c r="G124" s="84" t="s">
        <v>25</v>
      </c>
      <c r="H124" s="84" t="s">
        <v>113</v>
      </c>
      <c r="I124" s="84" t="s">
        <v>111</v>
      </c>
      <c r="J124" s="78" t="s">
        <v>27</v>
      </c>
      <c r="K124" s="77" t="s">
        <v>112</v>
      </c>
      <c r="L124" s="84">
        <v>3</v>
      </c>
      <c r="N124" s="7">
        <v>10</v>
      </c>
      <c r="O124" s="7">
        <v>1.1000000000000001</v>
      </c>
      <c r="P124" s="7">
        <v>1.1499999999999999</v>
      </c>
      <c r="Q124" s="44">
        <f t="shared" si="3"/>
        <v>1.125</v>
      </c>
      <c r="R124" s="7">
        <v>14.5</v>
      </c>
      <c r="S124" s="7">
        <v>79</v>
      </c>
      <c r="T124" s="16">
        <f t="shared" si="4"/>
        <v>39</v>
      </c>
      <c r="U124" s="77">
        <v>398</v>
      </c>
      <c r="V124" s="16">
        <f t="shared" si="5"/>
        <v>1552.1999999999998</v>
      </c>
      <c r="W124" s="77">
        <v>10</v>
      </c>
      <c r="X124" s="65" t="s">
        <v>35</v>
      </c>
      <c r="Y124" s="73" t="s">
        <v>43</v>
      </c>
      <c r="Z124" s="77" t="s">
        <v>29</v>
      </c>
      <c r="AA124" s="77" t="s">
        <v>55</v>
      </c>
      <c r="AB124" s="43" t="s">
        <v>161</v>
      </c>
    </row>
    <row r="125" spans="1:28" x14ac:dyDescent="0.15">
      <c r="A125" s="84" t="s">
        <v>23</v>
      </c>
      <c r="B125" s="84" t="s">
        <v>160</v>
      </c>
      <c r="C125" s="84">
        <v>2020</v>
      </c>
      <c r="D125" s="45" t="s">
        <v>162</v>
      </c>
      <c r="E125" s="90" t="s">
        <v>146</v>
      </c>
      <c r="F125" s="90" t="s">
        <v>147</v>
      </c>
      <c r="G125" s="84" t="s">
        <v>25</v>
      </c>
      <c r="H125" s="84" t="s">
        <v>164</v>
      </c>
      <c r="I125" s="84" t="s">
        <v>111</v>
      </c>
      <c r="J125" s="78" t="s">
        <v>27</v>
      </c>
      <c r="K125" s="77" t="s">
        <v>112</v>
      </c>
      <c r="L125" s="84">
        <v>1</v>
      </c>
      <c r="N125" s="7">
        <v>1</v>
      </c>
      <c r="O125" s="7">
        <v>0.75</v>
      </c>
      <c r="P125" s="7">
        <v>0.85</v>
      </c>
      <c r="Q125" s="44">
        <f t="shared" si="3"/>
        <v>0.8</v>
      </c>
      <c r="R125" s="7">
        <v>18.399999999999999</v>
      </c>
      <c r="S125" s="7">
        <v>143</v>
      </c>
      <c r="T125" s="16">
        <f t="shared" si="4"/>
        <v>30</v>
      </c>
      <c r="U125" s="7">
        <v>98</v>
      </c>
      <c r="V125" s="16">
        <f t="shared" si="5"/>
        <v>2940</v>
      </c>
      <c r="W125" s="77">
        <v>10</v>
      </c>
      <c r="X125" s="65" t="s">
        <v>35</v>
      </c>
      <c r="Y125" s="73" t="s">
        <v>43</v>
      </c>
      <c r="Z125" s="77" t="s">
        <v>29</v>
      </c>
      <c r="AA125" s="77" t="s">
        <v>55</v>
      </c>
      <c r="AB125" s="43" t="s">
        <v>161</v>
      </c>
    </row>
    <row r="126" spans="1:28" x14ac:dyDescent="0.15">
      <c r="A126" s="84" t="s">
        <v>23</v>
      </c>
      <c r="B126" s="84" t="s">
        <v>160</v>
      </c>
      <c r="C126" s="84">
        <v>2020</v>
      </c>
      <c r="D126" s="45" t="s">
        <v>162</v>
      </c>
      <c r="E126" s="90" t="s">
        <v>146</v>
      </c>
      <c r="F126" s="90" t="s">
        <v>147</v>
      </c>
      <c r="G126" s="84" t="s">
        <v>25</v>
      </c>
      <c r="H126" s="84" t="s">
        <v>164</v>
      </c>
      <c r="I126" s="84" t="s">
        <v>111</v>
      </c>
      <c r="J126" s="78" t="s">
        <v>27</v>
      </c>
      <c r="K126" s="77" t="s">
        <v>112</v>
      </c>
      <c r="L126" s="84">
        <v>2</v>
      </c>
      <c r="N126" s="7">
        <v>1</v>
      </c>
      <c r="O126" s="7">
        <v>0.5</v>
      </c>
      <c r="P126" s="7">
        <v>0.75</v>
      </c>
      <c r="Q126" s="44">
        <f t="shared" si="3"/>
        <v>0.625</v>
      </c>
      <c r="R126" s="7">
        <v>18</v>
      </c>
      <c r="S126" s="7">
        <v>134</v>
      </c>
      <c r="T126" s="16">
        <f t="shared" si="4"/>
        <v>30</v>
      </c>
      <c r="U126" s="77">
        <v>98</v>
      </c>
      <c r="V126" s="16">
        <f t="shared" si="5"/>
        <v>2940</v>
      </c>
      <c r="W126" s="77">
        <v>10</v>
      </c>
      <c r="X126" s="65" t="s">
        <v>35</v>
      </c>
      <c r="Y126" s="73" t="s">
        <v>43</v>
      </c>
      <c r="Z126" s="77" t="s">
        <v>29</v>
      </c>
      <c r="AA126" s="77" t="s">
        <v>55</v>
      </c>
      <c r="AB126" s="43" t="s">
        <v>161</v>
      </c>
    </row>
    <row r="127" spans="1:28" x14ac:dyDescent="0.15">
      <c r="A127" s="84" t="s">
        <v>23</v>
      </c>
      <c r="B127" s="84" t="s">
        <v>160</v>
      </c>
      <c r="C127" s="84">
        <v>2020</v>
      </c>
      <c r="D127" s="45" t="s">
        <v>162</v>
      </c>
      <c r="E127" s="90" t="s">
        <v>146</v>
      </c>
      <c r="F127" s="90" t="s">
        <v>147</v>
      </c>
      <c r="G127" s="84" t="s">
        <v>25</v>
      </c>
      <c r="H127" s="84" t="s">
        <v>164</v>
      </c>
      <c r="I127" s="84" t="s">
        <v>111</v>
      </c>
      <c r="J127" s="78" t="s">
        <v>27</v>
      </c>
      <c r="K127" s="77" t="s">
        <v>112</v>
      </c>
      <c r="L127" s="84">
        <v>3</v>
      </c>
      <c r="N127" s="7">
        <v>1</v>
      </c>
      <c r="O127" s="7">
        <v>0.6</v>
      </c>
      <c r="P127" s="7">
        <v>0.6</v>
      </c>
      <c r="Q127" s="44">
        <f t="shared" si="3"/>
        <v>0.6</v>
      </c>
      <c r="R127" s="7">
        <v>16.600000000000001</v>
      </c>
      <c r="S127" s="7">
        <v>145</v>
      </c>
      <c r="T127" s="16">
        <f t="shared" si="4"/>
        <v>30</v>
      </c>
      <c r="U127" s="77">
        <v>98</v>
      </c>
      <c r="V127" s="16">
        <f t="shared" si="5"/>
        <v>2940</v>
      </c>
      <c r="W127" s="77">
        <v>10</v>
      </c>
      <c r="X127" s="65" t="s">
        <v>35</v>
      </c>
      <c r="Y127" s="73" t="s">
        <v>43</v>
      </c>
      <c r="Z127" s="77" t="s">
        <v>29</v>
      </c>
      <c r="AA127" s="77" t="s">
        <v>55</v>
      </c>
      <c r="AB127" s="43" t="s">
        <v>161</v>
      </c>
    </row>
    <row r="128" spans="1:28" x14ac:dyDescent="0.15">
      <c r="A128" s="84" t="s">
        <v>23</v>
      </c>
      <c r="B128" s="84" t="s">
        <v>160</v>
      </c>
      <c r="C128" s="84">
        <v>2020</v>
      </c>
      <c r="D128" s="45" t="s">
        <v>162</v>
      </c>
      <c r="E128" s="90" t="s">
        <v>146</v>
      </c>
      <c r="F128" s="90" t="s">
        <v>147</v>
      </c>
      <c r="G128" s="84" t="s">
        <v>25</v>
      </c>
      <c r="H128" s="84" t="s">
        <v>107</v>
      </c>
      <c r="I128" s="84" t="s">
        <v>111</v>
      </c>
      <c r="J128" s="78" t="s">
        <v>66</v>
      </c>
      <c r="K128" s="77" t="s">
        <v>50</v>
      </c>
      <c r="L128" s="84">
        <v>1</v>
      </c>
      <c r="N128" s="7">
        <v>8</v>
      </c>
      <c r="O128" s="7">
        <v>0.35</v>
      </c>
      <c r="P128" s="7">
        <v>0.7</v>
      </c>
      <c r="Q128" s="44">
        <f t="shared" si="3"/>
        <v>0.52499999999999991</v>
      </c>
      <c r="R128" s="7">
        <v>14.6</v>
      </c>
      <c r="S128" s="7">
        <v>78</v>
      </c>
      <c r="T128" s="16">
        <f t="shared" si="4"/>
        <v>39</v>
      </c>
      <c r="U128" s="7">
        <v>398</v>
      </c>
      <c r="V128" s="16">
        <f t="shared" si="5"/>
        <v>1940.25</v>
      </c>
      <c r="W128" s="77">
        <v>10</v>
      </c>
      <c r="X128" s="65" t="s">
        <v>35</v>
      </c>
      <c r="Y128" s="73" t="s">
        <v>43</v>
      </c>
      <c r="Z128" s="77" t="s">
        <v>29</v>
      </c>
      <c r="AA128" s="77" t="s">
        <v>55</v>
      </c>
      <c r="AB128" s="43" t="s">
        <v>161</v>
      </c>
    </row>
    <row r="129" spans="1:28" x14ac:dyDescent="0.15">
      <c r="A129" s="84" t="s">
        <v>23</v>
      </c>
      <c r="B129" s="84" t="s">
        <v>160</v>
      </c>
      <c r="C129" s="84">
        <v>2020</v>
      </c>
      <c r="D129" s="45" t="s">
        <v>162</v>
      </c>
      <c r="E129" s="90" t="s">
        <v>146</v>
      </c>
      <c r="F129" s="90" t="s">
        <v>147</v>
      </c>
      <c r="G129" s="84" t="s">
        <v>25</v>
      </c>
      <c r="H129" s="84" t="s">
        <v>107</v>
      </c>
      <c r="I129" s="84" t="s">
        <v>111</v>
      </c>
      <c r="J129" s="78" t="s">
        <v>66</v>
      </c>
      <c r="K129" s="77" t="s">
        <v>50</v>
      </c>
      <c r="L129" s="84">
        <v>2</v>
      </c>
      <c r="N129" s="7">
        <v>8</v>
      </c>
      <c r="O129" s="7">
        <v>0.8</v>
      </c>
      <c r="P129" s="7">
        <v>0.75</v>
      </c>
      <c r="Q129" s="44">
        <f t="shared" si="3"/>
        <v>0.77500000000000002</v>
      </c>
      <c r="R129" s="7">
        <v>14.9</v>
      </c>
      <c r="S129" s="7">
        <v>81</v>
      </c>
      <c r="T129" s="16">
        <f t="shared" si="4"/>
        <v>39</v>
      </c>
      <c r="U129" s="77">
        <v>398</v>
      </c>
      <c r="V129" s="16">
        <f t="shared" si="5"/>
        <v>1940.25</v>
      </c>
      <c r="W129" s="77">
        <v>10</v>
      </c>
      <c r="X129" s="65" t="s">
        <v>35</v>
      </c>
      <c r="Y129" s="73" t="s">
        <v>43</v>
      </c>
      <c r="Z129" s="77" t="s">
        <v>29</v>
      </c>
      <c r="AA129" s="77" t="s">
        <v>55</v>
      </c>
      <c r="AB129" s="43" t="s">
        <v>161</v>
      </c>
    </row>
    <row r="130" spans="1:28" x14ac:dyDescent="0.15">
      <c r="A130" s="84" t="s">
        <v>23</v>
      </c>
      <c r="B130" s="84" t="s">
        <v>160</v>
      </c>
      <c r="C130" s="84">
        <v>2020</v>
      </c>
      <c r="D130" s="45" t="s">
        <v>162</v>
      </c>
      <c r="E130" s="90" t="s">
        <v>146</v>
      </c>
      <c r="F130" s="90" t="s">
        <v>147</v>
      </c>
      <c r="G130" s="84" t="s">
        <v>25</v>
      </c>
      <c r="H130" s="84" t="s">
        <v>107</v>
      </c>
      <c r="I130" s="84" t="s">
        <v>111</v>
      </c>
      <c r="J130" s="78" t="s">
        <v>66</v>
      </c>
      <c r="K130" s="77" t="s">
        <v>50</v>
      </c>
      <c r="L130" s="84">
        <v>3</v>
      </c>
      <c r="N130" s="7">
        <v>8</v>
      </c>
      <c r="O130" s="7">
        <v>0.75</v>
      </c>
      <c r="P130" s="7">
        <v>0.65</v>
      </c>
      <c r="Q130" s="44">
        <f t="shared" ref="Q130:Q181" si="6">IF(OR(O130="",P130=""),"",AVERAGE(O130,P130))</f>
        <v>0.7</v>
      </c>
      <c r="R130" s="7">
        <v>12</v>
      </c>
      <c r="S130" s="7">
        <v>82</v>
      </c>
      <c r="T130" s="16">
        <f t="shared" ref="T130:T180" si="7">IF(H130="","",IF(OR(H130="GREEN",H130="GK"),IF(S130&gt;=$AX$2,VLOOKUP(S130,$AX$2:$AY$7,2,1),""),IF(S130&gt;=$AZ$2,VLOOKUP(S130,$AZ$2:$BA$7,2,1),"")))</f>
        <v>39</v>
      </c>
      <c r="U130" s="77">
        <v>398</v>
      </c>
      <c r="V130" s="16">
        <f t="shared" ref="V130:V180" si="8">IF(OR(N130="",U130="",T130=""),"",U130/N130*T130)</f>
        <v>1940.25</v>
      </c>
      <c r="W130" s="77">
        <v>10</v>
      </c>
      <c r="X130" s="65" t="s">
        <v>35</v>
      </c>
      <c r="Y130" s="73" t="s">
        <v>43</v>
      </c>
      <c r="Z130" s="77" t="s">
        <v>29</v>
      </c>
      <c r="AA130" s="77" t="s">
        <v>55</v>
      </c>
      <c r="AB130" s="43" t="s">
        <v>161</v>
      </c>
    </row>
    <row r="131" spans="1:28" x14ac:dyDescent="0.15">
      <c r="A131" s="84" t="s">
        <v>23</v>
      </c>
      <c r="B131" s="84" t="s">
        <v>160</v>
      </c>
      <c r="C131" s="84">
        <v>2020</v>
      </c>
      <c r="D131" s="45" t="s">
        <v>162</v>
      </c>
      <c r="E131" s="90" t="s">
        <v>163</v>
      </c>
      <c r="F131" s="90" t="s">
        <v>149</v>
      </c>
      <c r="G131" s="84" t="s">
        <v>25</v>
      </c>
      <c r="H131" s="84" t="s">
        <v>113</v>
      </c>
      <c r="I131" s="84" t="s">
        <v>111</v>
      </c>
      <c r="J131" s="78" t="s">
        <v>27</v>
      </c>
      <c r="K131" s="77" t="s">
        <v>112</v>
      </c>
      <c r="L131" s="84">
        <v>1</v>
      </c>
      <c r="N131" s="7">
        <v>1</v>
      </c>
      <c r="O131" s="77">
        <v>0.75</v>
      </c>
      <c r="P131" s="7">
        <v>0.85</v>
      </c>
      <c r="Q131" s="44">
        <f t="shared" si="6"/>
        <v>0.8</v>
      </c>
      <c r="R131" s="7">
        <v>15.6</v>
      </c>
      <c r="S131" s="7">
        <v>125</v>
      </c>
      <c r="T131" s="16">
        <f t="shared" si="7"/>
        <v>30</v>
      </c>
      <c r="U131" s="7">
        <v>108</v>
      </c>
      <c r="V131" s="16">
        <f t="shared" si="8"/>
        <v>3240</v>
      </c>
      <c r="W131" s="7">
        <v>14</v>
      </c>
      <c r="X131" s="65" t="s">
        <v>35</v>
      </c>
      <c r="Y131" s="7" t="s">
        <v>82</v>
      </c>
      <c r="Z131" s="7" t="s">
        <v>72</v>
      </c>
      <c r="AA131" s="73" t="s">
        <v>43</v>
      </c>
      <c r="AB131" s="43" t="s">
        <v>161</v>
      </c>
    </row>
    <row r="132" spans="1:28" x14ac:dyDescent="0.15">
      <c r="A132" s="84" t="s">
        <v>23</v>
      </c>
      <c r="B132" s="84" t="s">
        <v>160</v>
      </c>
      <c r="C132" s="84">
        <v>2020</v>
      </c>
      <c r="D132" s="45" t="s">
        <v>162</v>
      </c>
      <c r="E132" s="90" t="s">
        <v>163</v>
      </c>
      <c r="F132" s="90" t="s">
        <v>149</v>
      </c>
      <c r="G132" s="84" t="s">
        <v>25</v>
      </c>
      <c r="H132" s="84" t="s">
        <v>113</v>
      </c>
      <c r="I132" s="84" t="s">
        <v>111</v>
      </c>
      <c r="J132" s="78" t="s">
        <v>27</v>
      </c>
      <c r="K132" s="77" t="s">
        <v>112</v>
      </c>
      <c r="L132" s="84">
        <v>2</v>
      </c>
      <c r="N132" s="7">
        <v>1</v>
      </c>
      <c r="O132" s="7">
        <v>0.6</v>
      </c>
      <c r="P132" s="7">
        <v>0.7</v>
      </c>
      <c r="Q132" s="44">
        <f t="shared" si="6"/>
        <v>0.64999999999999991</v>
      </c>
      <c r="R132" s="7">
        <v>15.8</v>
      </c>
      <c r="S132" s="7">
        <v>130</v>
      </c>
      <c r="T132" s="16">
        <f t="shared" si="7"/>
        <v>30</v>
      </c>
      <c r="U132" s="77">
        <v>108</v>
      </c>
      <c r="V132" s="16">
        <f t="shared" si="8"/>
        <v>3240</v>
      </c>
      <c r="W132" s="77">
        <v>14</v>
      </c>
      <c r="X132" s="65" t="s">
        <v>35</v>
      </c>
      <c r="Y132" s="77" t="s">
        <v>82</v>
      </c>
      <c r="Z132" s="77" t="s">
        <v>72</v>
      </c>
      <c r="AA132" s="73" t="s">
        <v>43</v>
      </c>
      <c r="AB132" s="43" t="s">
        <v>161</v>
      </c>
    </row>
    <row r="133" spans="1:28" x14ac:dyDescent="0.15">
      <c r="A133" s="84" t="s">
        <v>23</v>
      </c>
      <c r="B133" s="84" t="s">
        <v>160</v>
      </c>
      <c r="C133" s="84">
        <v>2020</v>
      </c>
      <c r="D133" s="45" t="s">
        <v>162</v>
      </c>
      <c r="E133" s="90" t="s">
        <v>163</v>
      </c>
      <c r="F133" s="90" t="s">
        <v>149</v>
      </c>
      <c r="G133" s="84" t="s">
        <v>25</v>
      </c>
      <c r="H133" s="84" t="s">
        <v>113</v>
      </c>
      <c r="I133" s="84" t="s">
        <v>111</v>
      </c>
      <c r="J133" s="78" t="s">
        <v>27</v>
      </c>
      <c r="K133" s="77" t="s">
        <v>112</v>
      </c>
      <c r="L133" s="84">
        <v>3</v>
      </c>
      <c r="N133" s="7">
        <v>1</v>
      </c>
      <c r="O133" s="7">
        <v>0.45</v>
      </c>
      <c r="P133" s="7">
        <v>0.7</v>
      </c>
      <c r="Q133" s="44">
        <f t="shared" si="6"/>
        <v>0.57499999999999996</v>
      </c>
      <c r="R133" s="7">
        <v>16.100000000000001</v>
      </c>
      <c r="S133" s="7">
        <v>128</v>
      </c>
      <c r="T133" s="16">
        <f t="shared" si="7"/>
        <v>30</v>
      </c>
      <c r="U133" s="77">
        <v>108</v>
      </c>
      <c r="V133" s="16">
        <f t="shared" si="8"/>
        <v>3240</v>
      </c>
      <c r="W133" s="77">
        <v>14</v>
      </c>
      <c r="X133" s="65" t="s">
        <v>35</v>
      </c>
      <c r="Y133" s="77" t="s">
        <v>82</v>
      </c>
      <c r="Z133" s="77" t="s">
        <v>72</v>
      </c>
      <c r="AA133" s="73" t="s">
        <v>43</v>
      </c>
      <c r="AB133" s="43" t="s">
        <v>161</v>
      </c>
    </row>
    <row r="134" spans="1:28" x14ac:dyDescent="0.15">
      <c r="A134" s="84" t="s">
        <v>23</v>
      </c>
      <c r="B134" s="84" t="s">
        <v>160</v>
      </c>
      <c r="C134" s="84">
        <v>2020</v>
      </c>
      <c r="D134" s="45" t="s">
        <v>162</v>
      </c>
      <c r="E134" s="90" t="s">
        <v>163</v>
      </c>
      <c r="F134" s="90" t="s">
        <v>149</v>
      </c>
      <c r="G134" s="84" t="s">
        <v>25</v>
      </c>
      <c r="H134" s="84" t="s">
        <v>113</v>
      </c>
      <c r="I134" s="84" t="s">
        <v>111</v>
      </c>
      <c r="J134" s="78" t="s">
        <v>27</v>
      </c>
      <c r="K134" s="77" t="s">
        <v>112</v>
      </c>
      <c r="L134" s="84">
        <v>1</v>
      </c>
      <c r="N134" s="7">
        <v>10</v>
      </c>
      <c r="O134" s="7">
        <v>1.2</v>
      </c>
      <c r="P134" s="7">
        <v>1.25</v>
      </c>
      <c r="Q134" s="44">
        <f t="shared" si="6"/>
        <v>1.2250000000000001</v>
      </c>
      <c r="R134" s="7">
        <v>12.1</v>
      </c>
      <c r="S134" s="7">
        <v>78</v>
      </c>
      <c r="T134" s="16">
        <f t="shared" si="7"/>
        <v>39</v>
      </c>
      <c r="U134" s="7">
        <v>498</v>
      </c>
      <c r="V134" s="16">
        <f t="shared" si="8"/>
        <v>1942.1999999999998</v>
      </c>
      <c r="W134" s="77">
        <v>14</v>
      </c>
      <c r="X134" s="65" t="s">
        <v>35</v>
      </c>
      <c r="Y134" s="77" t="s">
        <v>82</v>
      </c>
      <c r="Z134" s="77" t="s">
        <v>72</v>
      </c>
      <c r="AA134" s="73" t="s">
        <v>43</v>
      </c>
      <c r="AB134" s="43" t="s">
        <v>161</v>
      </c>
    </row>
    <row r="135" spans="1:28" x14ac:dyDescent="0.15">
      <c r="A135" s="84" t="s">
        <v>23</v>
      </c>
      <c r="B135" s="84" t="s">
        <v>160</v>
      </c>
      <c r="C135" s="84">
        <v>2020</v>
      </c>
      <c r="D135" s="45" t="s">
        <v>162</v>
      </c>
      <c r="E135" s="90" t="s">
        <v>163</v>
      </c>
      <c r="F135" s="90" t="s">
        <v>149</v>
      </c>
      <c r="G135" s="84" t="s">
        <v>25</v>
      </c>
      <c r="H135" s="84" t="s">
        <v>113</v>
      </c>
      <c r="I135" s="84" t="s">
        <v>111</v>
      </c>
      <c r="J135" s="78" t="s">
        <v>27</v>
      </c>
      <c r="K135" s="77" t="s">
        <v>112</v>
      </c>
      <c r="L135" s="84">
        <v>2</v>
      </c>
      <c r="N135" s="7">
        <v>10</v>
      </c>
      <c r="O135" s="7">
        <v>1.2</v>
      </c>
      <c r="P135" s="7">
        <v>1.25</v>
      </c>
      <c r="Q135" s="44">
        <f t="shared" si="6"/>
        <v>1.2250000000000001</v>
      </c>
      <c r="R135" s="7">
        <v>14.1</v>
      </c>
      <c r="S135" s="7">
        <v>77</v>
      </c>
      <c r="T135" s="16">
        <f t="shared" si="7"/>
        <v>39</v>
      </c>
      <c r="U135" s="77">
        <v>498</v>
      </c>
      <c r="V135" s="16">
        <f t="shared" si="8"/>
        <v>1942.1999999999998</v>
      </c>
      <c r="W135" s="77">
        <v>14</v>
      </c>
      <c r="X135" s="65" t="s">
        <v>35</v>
      </c>
      <c r="Y135" s="77" t="s">
        <v>82</v>
      </c>
      <c r="Z135" s="77" t="s">
        <v>72</v>
      </c>
      <c r="AA135" s="73" t="s">
        <v>43</v>
      </c>
      <c r="AB135" s="43" t="s">
        <v>161</v>
      </c>
    </row>
    <row r="136" spans="1:28" x14ac:dyDescent="0.15">
      <c r="A136" s="84" t="s">
        <v>23</v>
      </c>
      <c r="B136" s="84" t="s">
        <v>160</v>
      </c>
      <c r="C136" s="84">
        <v>2020</v>
      </c>
      <c r="D136" s="45" t="s">
        <v>162</v>
      </c>
      <c r="E136" s="90" t="s">
        <v>163</v>
      </c>
      <c r="F136" s="90" t="s">
        <v>149</v>
      </c>
      <c r="G136" s="84" t="s">
        <v>25</v>
      </c>
      <c r="H136" s="84" t="s">
        <v>113</v>
      </c>
      <c r="I136" s="84" t="s">
        <v>111</v>
      </c>
      <c r="J136" s="78" t="s">
        <v>27</v>
      </c>
      <c r="K136" s="77" t="s">
        <v>112</v>
      </c>
      <c r="L136" s="84">
        <v>3</v>
      </c>
      <c r="N136" s="7">
        <v>10</v>
      </c>
      <c r="O136" s="7">
        <v>1.35</v>
      </c>
      <c r="P136" s="7">
        <v>1.55</v>
      </c>
      <c r="Q136" s="44">
        <f t="shared" si="6"/>
        <v>1.4500000000000002</v>
      </c>
      <c r="R136" s="7">
        <v>13.6</v>
      </c>
      <c r="S136" s="7">
        <v>89</v>
      </c>
      <c r="T136" s="16">
        <f t="shared" si="7"/>
        <v>36</v>
      </c>
      <c r="U136" s="77">
        <v>498</v>
      </c>
      <c r="V136" s="16">
        <f t="shared" si="8"/>
        <v>1792.8</v>
      </c>
      <c r="W136" s="77">
        <v>14</v>
      </c>
      <c r="X136" s="65" t="s">
        <v>35</v>
      </c>
      <c r="Y136" s="77" t="s">
        <v>82</v>
      </c>
      <c r="Z136" s="77" t="s">
        <v>72</v>
      </c>
      <c r="AA136" s="73" t="s">
        <v>43</v>
      </c>
      <c r="AB136" s="43" t="s">
        <v>161</v>
      </c>
    </row>
    <row r="137" spans="1:28" x14ac:dyDescent="0.15">
      <c r="A137" s="84" t="s">
        <v>23</v>
      </c>
      <c r="B137" s="84" t="s">
        <v>160</v>
      </c>
      <c r="C137" s="84">
        <v>2020</v>
      </c>
      <c r="D137" s="45" t="s">
        <v>162</v>
      </c>
      <c r="E137" s="90" t="s">
        <v>163</v>
      </c>
      <c r="F137" s="90" t="s">
        <v>149</v>
      </c>
      <c r="G137" s="84" t="s">
        <v>25</v>
      </c>
      <c r="H137" s="84" t="s">
        <v>164</v>
      </c>
      <c r="I137" s="84" t="s">
        <v>111</v>
      </c>
      <c r="J137" s="78" t="s">
        <v>27</v>
      </c>
      <c r="K137" s="77" t="s">
        <v>112</v>
      </c>
      <c r="L137" s="84">
        <v>1</v>
      </c>
      <c r="N137" s="7">
        <v>1</v>
      </c>
      <c r="O137" s="7">
        <v>0.85</v>
      </c>
      <c r="P137" s="7">
        <v>0.85</v>
      </c>
      <c r="Q137" s="44">
        <f t="shared" si="6"/>
        <v>0.85</v>
      </c>
      <c r="R137" s="7">
        <v>17.3</v>
      </c>
      <c r="S137" s="7">
        <v>135</v>
      </c>
      <c r="T137" s="16">
        <f t="shared" si="7"/>
        <v>30</v>
      </c>
      <c r="U137" s="7">
        <v>108</v>
      </c>
      <c r="V137" s="16">
        <f t="shared" si="8"/>
        <v>3240</v>
      </c>
      <c r="W137" s="77">
        <v>14</v>
      </c>
      <c r="X137" s="65" t="s">
        <v>35</v>
      </c>
      <c r="Y137" s="77" t="s">
        <v>82</v>
      </c>
      <c r="Z137" s="77" t="s">
        <v>72</v>
      </c>
      <c r="AA137" s="73" t="s">
        <v>43</v>
      </c>
      <c r="AB137" s="43" t="s">
        <v>161</v>
      </c>
    </row>
    <row r="138" spans="1:28" x14ac:dyDescent="0.15">
      <c r="A138" s="84" t="s">
        <v>23</v>
      </c>
      <c r="B138" s="84" t="s">
        <v>160</v>
      </c>
      <c r="C138" s="84">
        <v>2020</v>
      </c>
      <c r="D138" s="45" t="s">
        <v>162</v>
      </c>
      <c r="E138" s="90" t="s">
        <v>163</v>
      </c>
      <c r="F138" s="90" t="s">
        <v>149</v>
      </c>
      <c r="G138" s="84" t="s">
        <v>25</v>
      </c>
      <c r="H138" s="84" t="s">
        <v>164</v>
      </c>
      <c r="I138" s="84" t="s">
        <v>111</v>
      </c>
      <c r="J138" s="78" t="s">
        <v>27</v>
      </c>
      <c r="K138" s="77" t="s">
        <v>112</v>
      </c>
      <c r="L138" s="84">
        <v>2</v>
      </c>
      <c r="N138" s="7">
        <v>1</v>
      </c>
      <c r="O138" s="7">
        <v>0.8</v>
      </c>
      <c r="P138" s="7">
        <v>0.75</v>
      </c>
      <c r="Q138" s="44">
        <f t="shared" si="6"/>
        <v>0.77500000000000002</v>
      </c>
      <c r="R138" s="7">
        <v>17.8</v>
      </c>
      <c r="S138" s="7">
        <v>134</v>
      </c>
      <c r="T138" s="16">
        <f t="shared" si="7"/>
        <v>30</v>
      </c>
      <c r="U138" s="77">
        <v>108</v>
      </c>
      <c r="V138" s="16">
        <f t="shared" si="8"/>
        <v>3240</v>
      </c>
      <c r="W138" s="77">
        <v>14</v>
      </c>
      <c r="X138" s="65" t="s">
        <v>35</v>
      </c>
      <c r="Y138" s="77" t="s">
        <v>82</v>
      </c>
      <c r="Z138" s="77" t="s">
        <v>72</v>
      </c>
      <c r="AA138" s="73" t="s">
        <v>43</v>
      </c>
      <c r="AB138" s="43" t="s">
        <v>161</v>
      </c>
    </row>
    <row r="139" spans="1:28" x14ac:dyDescent="0.15">
      <c r="A139" s="84" t="s">
        <v>23</v>
      </c>
      <c r="B139" s="84" t="s">
        <v>160</v>
      </c>
      <c r="C139" s="84">
        <v>2020</v>
      </c>
      <c r="D139" s="45" t="s">
        <v>162</v>
      </c>
      <c r="E139" s="90" t="s">
        <v>163</v>
      </c>
      <c r="F139" s="90" t="s">
        <v>149</v>
      </c>
      <c r="G139" s="84" t="s">
        <v>25</v>
      </c>
      <c r="H139" s="84" t="s">
        <v>164</v>
      </c>
      <c r="I139" s="84" t="s">
        <v>111</v>
      </c>
      <c r="J139" s="78" t="s">
        <v>27</v>
      </c>
      <c r="K139" s="77" t="s">
        <v>112</v>
      </c>
      <c r="L139" s="84">
        <v>3</v>
      </c>
      <c r="N139" s="7">
        <v>1</v>
      </c>
      <c r="O139" s="7">
        <v>0.7</v>
      </c>
      <c r="P139" s="7">
        <v>0.65</v>
      </c>
      <c r="Q139" s="44">
        <f t="shared" si="6"/>
        <v>0.67500000000000004</v>
      </c>
      <c r="R139" s="7">
        <v>16.8</v>
      </c>
      <c r="S139" s="7">
        <v>127</v>
      </c>
      <c r="T139" s="16">
        <f t="shared" si="7"/>
        <v>30</v>
      </c>
      <c r="U139" s="77">
        <v>108</v>
      </c>
      <c r="V139" s="16">
        <f t="shared" si="8"/>
        <v>3240</v>
      </c>
      <c r="W139" s="77">
        <v>14</v>
      </c>
      <c r="X139" s="65" t="s">
        <v>35</v>
      </c>
      <c r="Y139" s="77" t="s">
        <v>82</v>
      </c>
      <c r="Z139" s="77" t="s">
        <v>72</v>
      </c>
      <c r="AA139" s="73" t="s">
        <v>43</v>
      </c>
      <c r="AB139" s="43" t="s">
        <v>161</v>
      </c>
    </row>
    <row r="140" spans="1:28" x14ac:dyDescent="0.15">
      <c r="A140" s="84" t="s">
        <v>23</v>
      </c>
      <c r="B140" s="84" t="s">
        <v>160</v>
      </c>
      <c r="C140" s="84">
        <v>2020</v>
      </c>
      <c r="D140" s="45" t="s">
        <v>162</v>
      </c>
      <c r="E140" s="90" t="s">
        <v>163</v>
      </c>
      <c r="F140" s="90" t="s">
        <v>149</v>
      </c>
      <c r="G140" s="84" t="s">
        <v>25</v>
      </c>
      <c r="H140" s="84" t="s">
        <v>164</v>
      </c>
      <c r="I140" s="84" t="s">
        <v>111</v>
      </c>
      <c r="J140" s="78" t="s">
        <v>27</v>
      </c>
      <c r="K140" s="77" t="s">
        <v>112</v>
      </c>
      <c r="L140" s="84">
        <v>1</v>
      </c>
      <c r="N140" s="7">
        <v>8</v>
      </c>
      <c r="O140" s="7">
        <v>0.35</v>
      </c>
      <c r="P140" s="7">
        <v>0.35</v>
      </c>
      <c r="Q140" s="44">
        <f t="shared" si="6"/>
        <v>0.35</v>
      </c>
      <c r="R140" s="7">
        <v>15.6</v>
      </c>
      <c r="S140" s="7">
        <v>107</v>
      </c>
      <c r="T140" s="16">
        <f t="shared" si="7"/>
        <v>33</v>
      </c>
      <c r="U140" s="7">
        <v>680</v>
      </c>
      <c r="V140" s="16">
        <f t="shared" si="8"/>
        <v>2805</v>
      </c>
      <c r="W140" s="77">
        <v>14</v>
      </c>
      <c r="X140" s="65" t="s">
        <v>35</v>
      </c>
      <c r="Y140" s="77" t="s">
        <v>82</v>
      </c>
      <c r="Z140" s="77" t="s">
        <v>72</v>
      </c>
      <c r="AA140" s="73" t="s">
        <v>43</v>
      </c>
      <c r="AB140" s="43" t="s">
        <v>161</v>
      </c>
    </row>
    <row r="141" spans="1:28" x14ac:dyDescent="0.15">
      <c r="A141" s="84" t="s">
        <v>23</v>
      </c>
      <c r="B141" s="84" t="s">
        <v>160</v>
      </c>
      <c r="C141" s="84">
        <v>2020</v>
      </c>
      <c r="D141" s="45" t="s">
        <v>162</v>
      </c>
      <c r="E141" s="90" t="s">
        <v>163</v>
      </c>
      <c r="F141" s="90" t="s">
        <v>149</v>
      </c>
      <c r="G141" s="84" t="s">
        <v>25</v>
      </c>
      <c r="H141" s="84" t="s">
        <v>164</v>
      </c>
      <c r="I141" s="84" t="s">
        <v>111</v>
      </c>
      <c r="J141" s="78" t="s">
        <v>27</v>
      </c>
      <c r="K141" s="77" t="s">
        <v>112</v>
      </c>
      <c r="L141" s="84">
        <v>2</v>
      </c>
      <c r="N141" s="7">
        <v>8</v>
      </c>
      <c r="O141" s="7">
        <v>1.85</v>
      </c>
      <c r="P141" s="7">
        <v>2.5</v>
      </c>
      <c r="Q141" s="44">
        <f t="shared" si="6"/>
        <v>2.1749999999999998</v>
      </c>
      <c r="R141" s="7">
        <v>13</v>
      </c>
      <c r="S141" s="7">
        <v>102</v>
      </c>
      <c r="T141" s="16">
        <f t="shared" si="7"/>
        <v>33</v>
      </c>
      <c r="U141" s="77">
        <v>680</v>
      </c>
      <c r="V141" s="16">
        <f t="shared" si="8"/>
        <v>2805</v>
      </c>
      <c r="W141" s="77">
        <v>14</v>
      </c>
      <c r="X141" s="65" t="s">
        <v>35</v>
      </c>
      <c r="Y141" s="77" t="s">
        <v>82</v>
      </c>
      <c r="Z141" s="77" t="s">
        <v>72</v>
      </c>
      <c r="AA141" s="73" t="s">
        <v>43</v>
      </c>
      <c r="AB141" s="43" t="s">
        <v>161</v>
      </c>
    </row>
    <row r="142" spans="1:28" x14ac:dyDescent="0.15">
      <c r="A142" s="84" t="s">
        <v>23</v>
      </c>
      <c r="B142" s="84" t="s">
        <v>160</v>
      </c>
      <c r="C142" s="84">
        <v>2020</v>
      </c>
      <c r="D142" s="45" t="s">
        <v>162</v>
      </c>
      <c r="E142" s="90" t="s">
        <v>163</v>
      </c>
      <c r="F142" s="90" t="s">
        <v>149</v>
      </c>
      <c r="G142" s="84" t="s">
        <v>25</v>
      </c>
      <c r="H142" s="84" t="s">
        <v>164</v>
      </c>
      <c r="I142" s="84" t="s">
        <v>111</v>
      </c>
      <c r="J142" s="78" t="s">
        <v>27</v>
      </c>
      <c r="K142" s="77" t="s">
        <v>112</v>
      </c>
      <c r="L142" s="84">
        <v>3</v>
      </c>
      <c r="N142" s="7">
        <v>8</v>
      </c>
      <c r="O142" s="7">
        <v>1.1499999999999999</v>
      </c>
      <c r="P142" s="7">
        <v>1.1000000000000001</v>
      </c>
      <c r="Q142" s="44">
        <f t="shared" si="6"/>
        <v>1.125</v>
      </c>
      <c r="R142" s="7">
        <v>16.399999999999999</v>
      </c>
      <c r="S142" s="7">
        <v>105</v>
      </c>
      <c r="T142" s="16">
        <f t="shared" si="7"/>
        <v>33</v>
      </c>
      <c r="U142" s="77">
        <v>680</v>
      </c>
      <c r="V142" s="16">
        <f t="shared" si="8"/>
        <v>2805</v>
      </c>
      <c r="W142" s="77">
        <v>14</v>
      </c>
      <c r="X142" s="65" t="s">
        <v>35</v>
      </c>
      <c r="Y142" s="77" t="s">
        <v>82</v>
      </c>
      <c r="Z142" s="77" t="s">
        <v>72</v>
      </c>
      <c r="AA142" s="73" t="s">
        <v>43</v>
      </c>
      <c r="AB142" s="43" t="s">
        <v>161</v>
      </c>
    </row>
    <row r="143" spans="1:28" x14ac:dyDescent="0.15">
      <c r="A143" s="84"/>
      <c r="B143" s="84"/>
      <c r="C143" s="84"/>
      <c r="D143" s="45"/>
      <c r="E143" s="90"/>
      <c r="F143" s="90"/>
      <c r="G143" s="84"/>
      <c r="H143" s="84"/>
      <c r="I143" s="84"/>
      <c r="J143" s="78"/>
      <c r="L143" s="84"/>
      <c r="Q143" s="44" t="str">
        <f t="shared" si="6"/>
        <v/>
      </c>
      <c r="T143" s="16" t="str">
        <f t="shared" si="7"/>
        <v/>
      </c>
      <c r="V143" s="16" t="str">
        <f t="shared" si="8"/>
        <v/>
      </c>
      <c r="AB143" s="43"/>
    </row>
    <row r="144" spans="1:28" x14ac:dyDescent="0.15">
      <c r="A144" s="84"/>
      <c r="B144" s="84"/>
      <c r="C144" s="84"/>
      <c r="D144" s="45"/>
      <c r="E144" s="90"/>
      <c r="F144" s="90"/>
      <c r="G144" s="84"/>
      <c r="H144" s="84"/>
      <c r="I144" s="84"/>
      <c r="J144" s="78"/>
      <c r="L144" s="84"/>
      <c r="Q144" s="44" t="str">
        <f t="shared" si="6"/>
        <v/>
      </c>
      <c r="T144" s="16" t="str">
        <f t="shared" si="7"/>
        <v/>
      </c>
      <c r="V144" s="16" t="str">
        <f t="shared" si="8"/>
        <v/>
      </c>
      <c r="AB144" s="43"/>
    </row>
    <row r="145" spans="1:28" x14ac:dyDescent="0.15">
      <c r="A145" s="84"/>
      <c r="B145" s="84"/>
      <c r="C145" s="84"/>
      <c r="D145" s="45"/>
      <c r="E145" s="90"/>
      <c r="F145" s="90"/>
      <c r="G145" s="84"/>
      <c r="H145" s="84"/>
      <c r="I145" s="84"/>
      <c r="J145" s="78"/>
      <c r="L145" s="84"/>
      <c r="Q145" s="44" t="str">
        <f t="shared" si="6"/>
        <v/>
      </c>
      <c r="T145" s="16" t="str">
        <f t="shared" si="7"/>
        <v/>
      </c>
      <c r="V145" s="16" t="str">
        <f t="shared" si="8"/>
        <v/>
      </c>
      <c r="AB145" s="43"/>
    </row>
    <row r="146" spans="1:28" x14ac:dyDescent="0.15">
      <c r="A146" s="89"/>
      <c r="B146" s="90"/>
      <c r="C146" s="90"/>
      <c r="D146" s="91"/>
      <c r="E146" s="90"/>
      <c r="F146" s="90"/>
      <c r="G146" s="90"/>
      <c r="H146" s="90"/>
      <c r="I146" s="90"/>
      <c r="J146" s="78"/>
      <c r="Q146" s="44" t="str">
        <f t="shared" si="6"/>
        <v/>
      </c>
      <c r="T146" s="16" t="str">
        <f t="shared" si="7"/>
        <v/>
      </c>
      <c r="V146" s="16" t="str">
        <f t="shared" si="8"/>
        <v/>
      </c>
      <c r="AB146" s="43"/>
    </row>
    <row r="147" spans="1:28" x14ac:dyDescent="0.15">
      <c r="A147" s="89"/>
      <c r="B147" s="90"/>
      <c r="C147" s="90"/>
      <c r="D147" s="91"/>
      <c r="E147" s="90"/>
      <c r="F147" s="90"/>
      <c r="G147" s="90"/>
      <c r="H147" s="90"/>
      <c r="I147" s="90"/>
      <c r="J147" s="78"/>
      <c r="Q147" s="44" t="str">
        <f t="shared" si="6"/>
        <v/>
      </c>
      <c r="T147" s="16" t="str">
        <f t="shared" si="7"/>
        <v/>
      </c>
      <c r="V147" s="16" t="str">
        <f t="shared" si="8"/>
        <v/>
      </c>
      <c r="AB147" s="43"/>
    </row>
    <row r="148" spans="1:28" x14ac:dyDescent="0.15">
      <c r="A148" s="89"/>
      <c r="B148" s="90"/>
      <c r="C148" s="90"/>
      <c r="D148" s="91"/>
      <c r="E148" s="90"/>
      <c r="F148" s="90"/>
      <c r="G148" s="90"/>
      <c r="H148" s="90"/>
      <c r="I148" s="90"/>
      <c r="J148" s="78"/>
      <c r="Q148" s="44" t="str">
        <f t="shared" si="6"/>
        <v/>
      </c>
      <c r="T148" s="16" t="str">
        <f t="shared" si="7"/>
        <v/>
      </c>
      <c r="V148" s="16" t="str">
        <f t="shared" si="8"/>
        <v/>
      </c>
    </row>
    <row r="149" spans="1:28" x14ac:dyDescent="0.15">
      <c r="A149" s="89"/>
      <c r="B149" s="90"/>
      <c r="C149" s="90"/>
      <c r="D149" s="91"/>
      <c r="E149" s="90"/>
      <c r="F149" s="90"/>
      <c r="G149" s="90"/>
      <c r="H149" s="90"/>
      <c r="I149" s="90"/>
      <c r="J149" s="78"/>
      <c r="Q149" s="44" t="str">
        <f t="shared" si="6"/>
        <v/>
      </c>
      <c r="T149" s="16" t="str">
        <f t="shared" si="7"/>
        <v/>
      </c>
      <c r="V149" s="16" t="str">
        <f t="shared" si="8"/>
        <v/>
      </c>
    </row>
    <row r="150" spans="1:28" x14ac:dyDescent="0.15">
      <c r="A150" s="89"/>
      <c r="B150" s="90"/>
      <c r="C150" s="90"/>
      <c r="D150" s="91"/>
      <c r="E150" s="90"/>
      <c r="F150" s="90"/>
      <c r="G150" s="90"/>
      <c r="H150" s="90"/>
      <c r="I150" s="90"/>
      <c r="J150" s="78"/>
      <c r="Q150" s="44" t="str">
        <f t="shared" si="6"/>
        <v/>
      </c>
      <c r="T150" s="16" t="str">
        <f t="shared" si="7"/>
        <v/>
      </c>
      <c r="V150" s="16" t="str">
        <f t="shared" si="8"/>
        <v/>
      </c>
    </row>
    <row r="151" spans="1:28" x14ac:dyDescent="0.15">
      <c r="A151" s="89"/>
      <c r="B151" s="90"/>
      <c r="C151" s="90"/>
      <c r="D151" s="91"/>
      <c r="E151" s="90"/>
      <c r="F151" s="90"/>
      <c r="G151" s="90"/>
      <c r="H151" s="90"/>
      <c r="I151" s="90"/>
      <c r="J151" s="78"/>
      <c r="Q151" s="44" t="str">
        <f t="shared" si="6"/>
        <v/>
      </c>
      <c r="T151" s="16" t="str">
        <f t="shared" si="7"/>
        <v/>
      </c>
      <c r="V151" s="16" t="str">
        <f t="shared" si="8"/>
        <v/>
      </c>
    </row>
    <row r="152" spans="1:28" x14ac:dyDescent="0.15">
      <c r="A152" s="89"/>
      <c r="B152" s="90"/>
      <c r="C152" s="90"/>
      <c r="D152" s="91"/>
      <c r="E152" s="90"/>
      <c r="F152" s="90"/>
      <c r="G152" s="90"/>
      <c r="H152" s="90"/>
      <c r="I152" s="90"/>
      <c r="J152" s="78"/>
      <c r="Q152" s="44" t="str">
        <f t="shared" si="6"/>
        <v/>
      </c>
      <c r="T152" s="16" t="str">
        <f t="shared" si="7"/>
        <v/>
      </c>
      <c r="V152" s="16" t="str">
        <f t="shared" si="8"/>
        <v/>
      </c>
    </row>
    <row r="153" spans="1:28" x14ac:dyDescent="0.15">
      <c r="A153" s="89"/>
      <c r="B153" s="90"/>
      <c r="C153" s="90"/>
      <c r="D153" s="91"/>
      <c r="E153" s="90"/>
      <c r="F153" s="90"/>
      <c r="G153" s="90"/>
      <c r="H153" s="90"/>
      <c r="I153" s="90"/>
      <c r="J153" s="78"/>
      <c r="Q153" s="44" t="str">
        <f t="shared" si="6"/>
        <v/>
      </c>
      <c r="T153" s="16" t="str">
        <f t="shared" si="7"/>
        <v/>
      </c>
      <c r="V153" s="16" t="str">
        <f t="shared" si="8"/>
        <v/>
      </c>
    </row>
    <row r="154" spans="1:28" x14ac:dyDescent="0.15">
      <c r="A154" s="89"/>
      <c r="B154" s="90"/>
      <c r="C154" s="90"/>
      <c r="D154" s="91"/>
      <c r="E154" s="90"/>
      <c r="F154" s="90"/>
      <c r="G154" s="90"/>
      <c r="H154" s="90"/>
      <c r="I154" s="90"/>
      <c r="J154" s="78"/>
      <c r="Q154" s="44" t="str">
        <f t="shared" si="6"/>
        <v/>
      </c>
      <c r="T154" s="16" t="str">
        <f t="shared" si="7"/>
        <v/>
      </c>
      <c r="V154" s="16" t="str">
        <f t="shared" si="8"/>
        <v/>
      </c>
    </row>
    <row r="155" spans="1:28" x14ac:dyDescent="0.15">
      <c r="A155" s="89"/>
      <c r="B155" s="90"/>
      <c r="C155" s="90"/>
      <c r="D155" s="91"/>
      <c r="E155" s="90"/>
      <c r="F155" s="90"/>
      <c r="G155" s="90"/>
      <c r="H155" s="90"/>
      <c r="I155" s="90"/>
      <c r="J155" s="78"/>
      <c r="Q155" s="44" t="str">
        <f t="shared" si="6"/>
        <v/>
      </c>
      <c r="T155" s="16" t="str">
        <f t="shared" si="7"/>
        <v/>
      </c>
      <c r="V155" s="16" t="str">
        <f t="shared" si="8"/>
        <v/>
      </c>
    </row>
    <row r="156" spans="1:28" x14ac:dyDescent="0.15">
      <c r="A156" s="89"/>
      <c r="B156" s="90"/>
      <c r="C156" s="90"/>
      <c r="D156" s="91"/>
      <c r="E156" s="90"/>
      <c r="F156" s="90"/>
      <c r="G156" s="90"/>
      <c r="H156" s="90"/>
      <c r="I156" s="90"/>
      <c r="J156" s="78"/>
      <c r="Q156" s="44" t="str">
        <f t="shared" si="6"/>
        <v/>
      </c>
      <c r="T156" s="16" t="str">
        <f t="shared" si="7"/>
        <v/>
      </c>
      <c r="V156" s="16" t="str">
        <f t="shared" si="8"/>
        <v/>
      </c>
    </row>
    <row r="157" spans="1:28" x14ac:dyDescent="0.15">
      <c r="A157" s="89"/>
      <c r="B157" s="90"/>
      <c r="C157" s="90"/>
      <c r="D157" s="91"/>
      <c r="E157" s="90"/>
      <c r="F157" s="90"/>
      <c r="G157" s="90"/>
      <c r="H157" s="90"/>
      <c r="I157" s="90"/>
      <c r="J157" s="78"/>
      <c r="Q157" s="44" t="str">
        <f t="shared" si="6"/>
        <v/>
      </c>
      <c r="T157" s="16" t="str">
        <f t="shared" si="7"/>
        <v/>
      </c>
      <c r="V157" s="16" t="str">
        <f t="shared" si="8"/>
        <v/>
      </c>
    </row>
    <row r="158" spans="1:28" x14ac:dyDescent="0.15">
      <c r="A158" s="89"/>
      <c r="B158" s="90"/>
      <c r="C158" s="90"/>
      <c r="D158" s="91"/>
      <c r="E158" s="90"/>
      <c r="F158" s="90"/>
      <c r="G158" s="90"/>
      <c r="H158" s="90"/>
      <c r="I158" s="90"/>
      <c r="J158" s="78"/>
      <c r="Q158" s="44" t="str">
        <f t="shared" si="6"/>
        <v/>
      </c>
      <c r="T158" s="16" t="str">
        <f t="shared" si="7"/>
        <v/>
      </c>
      <c r="V158" s="16" t="str">
        <f t="shared" si="8"/>
        <v/>
      </c>
    </row>
    <row r="159" spans="1:28" x14ac:dyDescent="0.15">
      <c r="A159" s="89"/>
      <c r="B159" s="90"/>
      <c r="C159" s="90"/>
      <c r="D159" s="91"/>
      <c r="E159" s="90"/>
      <c r="F159" s="90"/>
      <c r="G159" s="90"/>
      <c r="H159" s="90"/>
      <c r="I159" s="90"/>
      <c r="J159" s="78"/>
      <c r="Q159" s="44" t="str">
        <f t="shared" si="6"/>
        <v/>
      </c>
      <c r="T159" s="16" t="str">
        <f t="shared" si="7"/>
        <v/>
      </c>
      <c r="V159" s="16" t="str">
        <f t="shared" si="8"/>
        <v/>
      </c>
    </row>
    <row r="160" spans="1:28" x14ac:dyDescent="0.15">
      <c r="A160" s="89"/>
      <c r="B160" s="90"/>
      <c r="C160" s="90"/>
      <c r="D160" s="91"/>
      <c r="E160" s="90"/>
      <c r="F160" s="90"/>
      <c r="G160" s="90"/>
      <c r="H160" s="90"/>
      <c r="I160" s="90"/>
      <c r="J160" s="78"/>
      <c r="Q160" s="44" t="str">
        <f t="shared" si="6"/>
        <v/>
      </c>
      <c r="T160" s="16" t="str">
        <f t="shared" si="7"/>
        <v/>
      </c>
      <c r="V160" s="16" t="str">
        <f t="shared" si="8"/>
        <v/>
      </c>
    </row>
    <row r="161" spans="1:22" x14ac:dyDescent="0.15">
      <c r="A161" s="89"/>
      <c r="B161" s="90"/>
      <c r="C161" s="90"/>
      <c r="D161" s="91"/>
      <c r="E161" s="90"/>
      <c r="F161" s="90"/>
      <c r="G161" s="90"/>
      <c r="H161" s="90"/>
      <c r="I161" s="90"/>
      <c r="J161" s="78"/>
      <c r="Q161" s="44" t="str">
        <f t="shared" si="6"/>
        <v/>
      </c>
      <c r="T161" s="16" t="str">
        <f t="shared" si="7"/>
        <v/>
      </c>
      <c r="V161" s="16" t="str">
        <f t="shared" si="8"/>
        <v/>
      </c>
    </row>
    <row r="162" spans="1:22" x14ac:dyDescent="0.15">
      <c r="A162" s="89"/>
      <c r="B162" s="90"/>
      <c r="C162" s="90"/>
      <c r="D162" s="91"/>
      <c r="E162" s="90"/>
      <c r="F162" s="90"/>
      <c r="G162" s="90"/>
      <c r="H162" s="90"/>
      <c r="I162" s="90"/>
      <c r="J162" s="78"/>
      <c r="Q162" s="44" t="str">
        <f t="shared" si="6"/>
        <v/>
      </c>
      <c r="T162" s="16" t="str">
        <f t="shared" si="7"/>
        <v/>
      </c>
      <c r="V162" s="16" t="str">
        <f t="shared" si="8"/>
        <v/>
      </c>
    </row>
    <row r="163" spans="1:22" x14ac:dyDescent="0.15">
      <c r="A163" s="89"/>
      <c r="B163" s="90"/>
      <c r="C163" s="90"/>
      <c r="D163" s="91"/>
      <c r="E163" s="90"/>
      <c r="F163" s="90"/>
      <c r="G163" s="90"/>
      <c r="H163" s="90"/>
      <c r="I163" s="90"/>
      <c r="J163" s="78"/>
      <c r="Q163" s="44" t="str">
        <f t="shared" si="6"/>
        <v/>
      </c>
      <c r="T163" s="16" t="str">
        <f t="shared" si="7"/>
        <v/>
      </c>
      <c r="V163" s="16" t="str">
        <f t="shared" si="8"/>
        <v/>
      </c>
    </row>
    <row r="164" spans="1:22" x14ac:dyDescent="0.15">
      <c r="A164" s="89"/>
      <c r="B164" s="90"/>
      <c r="C164" s="90"/>
      <c r="D164" s="91"/>
      <c r="E164" s="90"/>
      <c r="F164" s="90"/>
      <c r="G164" s="90"/>
      <c r="H164" s="90"/>
      <c r="I164" s="90"/>
      <c r="J164" s="78"/>
      <c r="Q164" s="44" t="str">
        <f t="shared" si="6"/>
        <v/>
      </c>
      <c r="T164" s="16" t="str">
        <f t="shared" si="7"/>
        <v/>
      </c>
      <c r="V164" s="16" t="str">
        <f t="shared" si="8"/>
        <v/>
      </c>
    </row>
    <row r="165" spans="1:22" x14ac:dyDescent="0.15">
      <c r="A165" s="89"/>
      <c r="B165" s="90"/>
      <c r="C165" s="90"/>
      <c r="D165" s="91"/>
      <c r="E165" s="90"/>
      <c r="F165" s="90"/>
      <c r="G165" s="90"/>
      <c r="H165" s="90"/>
      <c r="I165" s="90"/>
      <c r="J165" s="78"/>
      <c r="Q165" s="44" t="str">
        <f t="shared" si="6"/>
        <v/>
      </c>
      <c r="T165" s="16" t="str">
        <f t="shared" si="7"/>
        <v/>
      </c>
      <c r="V165" s="16" t="str">
        <f t="shared" si="8"/>
        <v/>
      </c>
    </row>
    <row r="166" spans="1:22" x14ac:dyDescent="0.15">
      <c r="A166" s="89"/>
      <c r="B166" s="90"/>
      <c r="C166" s="90"/>
      <c r="D166" s="91"/>
      <c r="E166" s="90"/>
      <c r="F166" s="90"/>
      <c r="G166" s="90"/>
      <c r="H166" s="90"/>
      <c r="I166" s="90"/>
      <c r="J166" s="78"/>
      <c r="Q166" s="44" t="str">
        <f t="shared" si="6"/>
        <v/>
      </c>
      <c r="T166" s="16" t="str">
        <f t="shared" si="7"/>
        <v/>
      </c>
      <c r="V166" s="16" t="str">
        <f t="shared" si="8"/>
        <v/>
      </c>
    </row>
    <row r="167" spans="1:22" x14ac:dyDescent="0.15">
      <c r="A167" s="89"/>
      <c r="B167" s="90"/>
      <c r="C167" s="90"/>
      <c r="D167" s="91"/>
      <c r="E167" s="90"/>
      <c r="F167" s="90"/>
      <c r="G167" s="90"/>
      <c r="H167" s="90"/>
      <c r="I167" s="90"/>
      <c r="J167" s="78"/>
      <c r="Q167" s="44" t="str">
        <f t="shared" si="6"/>
        <v/>
      </c>
      <c r="T167" s="16" t="str">
        <f t="shared" si="7"/>
        <v/>
      </c>
      <c r="V167" s="16" t="str">
        <f t="shared" si="8"/>
        <v/>
      </c>
    </row>
    <row r="168" spans="1:22" x14ac:dyDescent="0.15">
      <c r="A168" s="89"/>
      <c r="B168" s="90"/>
      <c r="C168" s="90"/>
      <c r="D168" s="91"/>
      <c r="E168" s="90"/>
      <c r="F168" s="90"/>
      <c r="G168" s="90"/>
      <c r="H168" s="90"/>
      <c r="I168" s="90"/>
      <c r="J168" s="78"/>
      <c r="Q168" s="44" t="str">
        <f t="shared" si="6"/>
        <v/>
      </c>
      <c r="T168" s="16" t="str">
        <f t="shared" si="7"/>
        <v/>
      </c>
      <c r="V168" s="16" t="str">
        <f t="shared" si="8"/>
        <v/>
      </c>
    </row>
    <row r="169" spans="1:22" x14ac:dyDescent="0.15">
      <c r="A169" s="89"/>
      <c r="B169" s="90"/>
      <c r="C169" s="90"/>
      <c r="D169" s="91"/>
      <c r="E169" s="90"/>
      <c r="F169" s="90"/>
      <c r="G169" s="90"/>
      <c r="H169" s="90"/>
      <c r="I169" s="90"/>
      <c r="J169" s="78"/>
      <c r="Q169" s="44" t="str">
        <f t="shared" si="6"/>
        <v/>
      </c>
      <c r="T169" s="16" t="str">
        <f t="shared" si="7"/>
        <v/>
      </c>
      <c r="V169" s="16" t="str">
        <f t="shared" si="8"/>
        <v/>
      </c>
    </row>
    <row r="170" spans="1:22" x14ac:dyDescent="0.15">
      <c r="A170" s="89"/>
      <c r="B170" s="90"/>
      <c r="C170" s="90"/>
      <c r="D170" s="91"/>
      <c r="E170" s="90"/>
      <c r="F170" s="90"/>
      <c r="G170" s="90"/>
      <c r="H170" s="90"/>
      <c r="I170" s="90"/>
      <c r="J170" s="78"/>
      <c r="Q170" s="44" t="str">
        <f t="shared" si="6"/>
        <v/>
      </c>
      <c r="T170" s="16" t="str">
        <f t="shared" si="7"/>
        <v/>
      </c>
      <c r="V170" s="16" t="str">
        <f t="shared" si="8"/>
        <v/>
      </c>
    </row>
    <row r="171" spans="1:22" x14ac:dyDescent="0.15">
      <c r="A171" s="89"/>
      <c r="B171" s="90"/>
      <c r="C171" s="90"/>
      <c r="D171" s="91"/>
      <c r="E171" s="90"/>
      <c r="F171" s="90"/>
      <c r="G171" s="90"/>
      <c r="H171" s="90"/>
      <c r="I171" s="90"/>
      <c r="J171" s="78"/>
      <c r="Q171" s="44" t="str">
        <f t="shared" si="6"/>
        <v/>
      </c>
      <c r="T171" s="16" t="str">
        <f t="shared" si="7"/>
        <v/>
      </c>
      <c r="V171" s="16" t="str">
        <f t="shared" si="8"/>
        <v/>
      </c>
    </row>
    <row r="172" spans="1:22" x14ac:dyDescent="0.15">
      <c r="A172" s="89"/>
      <c r="B172" s="90"/>
      <c r="C172" s="90"/>
      <c r="D172" s="91"/>
      <c r="E172" s="90"/>
      <c r="F172" s="90"/>
      <c r="G172" s="90"/>
      <c r="H172" s="90"/>
      <c r="I172" s="90"/>
      <c r="J172" s="78"/>
      <c r="Q172" s="44" t="str">
        <f t="shared" si="6"/>
        <v/>
      </c>
      <c r="T172" s="16" t="str">
        <f t="shared" si="7"/>
        <v/>
      </c>
      <c r="V172" s="16" t="str">
        <f t="shared" si="8"/>
        <v/>
      </c>
    </row>
    <row r="173" spans="1:22" x14ac:dyDescent="0.15">
      <c r="A173" s="89"/>
      <c r="B173" s="90"/>
      <c r="C173" s="90"/>
      <c r="D173" s="91"/>
      <c r="E173" s="90"/>
      <c r="F173" s="90"/>
      <c r="G173" s="90"/>
      <c r="H173" s="90"/>
      <c r="I173" s="90"/>
      <c r="J173" s="78"/>
      <c r="Q173" s="44" t="str">
        <f t="shared" si="6"/>
        <v/>
      </c>
      <c r="T173" s="16" t="str">
        <f t="shared" si="7"/>
        <v/>
      </c>
      <c r="V173" s="16" t="str">
        <f t="shared" si="8"/>
        <v/>
      </c>
    </row>
    <row r="174" spans="1:22" x14ac:dyDescent="0.15">
      <c r="A174" s="89"/>
      <c r="B174" s="90"/>
      <c r="C174" s="90"/>
      <c r="D174" s="91"/>
      <c r="E174" s="90"/>
      <c r="F174" s="90"/>
      <c r="G174" s="90"/>
      <c r="H174" s="90"/>
      <c r="I174" s="90"/>
      <c r="J174" s="78"/>
      <c r="Q174" s="44" t="str">
        <f t="shared" si="6"/>
        <v/>
      </c>
      <c r="T174" s="16" t="str">
        <f t="shared" si="7"/>
        <v/>
      </c>
      <c r="V174" s="16" t="str">
        <f t="shared" si="8"/>
        <v/>
      </c>
    </row>
    <row r="175" spans="1:22" x14ac:dyDescent="0.15">
      <c r="A175" s="89"/>
      <c r="B175" s="90"/>
      <c r="C175" s="90"/>
      <c r="D175" s="91"/>
      <c r="E175" s="90"/>
      <c r="F175" s="90"/>
      <c r="G175" s="90"/>
      <c r="H175" s="90"/>
      <c r="I175" s="90"/>
      <c r="J175" s="78"/>
      <c r="Q175" s="44" t="str">
        <f t="shared" si="6"/>
        <v/>
      </c>
      <c r="T175" s="16" t="str">
        <f t="shared" si="7"/>
        <v/>
      </c>
      <c r="V175" s="16" t="str">
        <f t="shared" si="8"/>
        <v/>
      </c>
    </row>
    <row r="176" spans="1:22" x14ac:dyDescent="0.15">
      <c r="A176" s="89"/>
      <c r="B176" s="90"/>
      <c r="C176" s="90"/>
      <c r="D176" s="91"/>
      <c r="E176" s="90"/>
      <c r="F176" s="90"/>
      <c r="G176" s="90"/>
      <c r="H176" s="90"/>
      <c r="I176" s="90"/>
      <c r="J176" s="78"/>
      <c r="Q176" s="44" t="str">
        <f t="shared" si="6"/>
        <v/>
      </c>
      <c r="T176" s="16" t="str">
        <f t="shared" si="7"/>
        <v/>
      </c>
      <c r="V176" s="16" t="str">
        <f t="shared" si="8"/>
        <v/>
      </c>
    </row>
    <row r="177" spans="1:22" x14ac:dyDescent="0.15">
      <c r="A177" s="89"/>
      <c r="B177" s="90"/>
      <c r="C177" s="90"/>
      <c r="D177" s="91"/>
      <c r="E177" s="90"/>
      <c r="F177" s="90"/>
      <c r="G177" s="90"/>
      <c r="H177" s="90"/>
      <c r="I177" s="90"/>
      <c r="J177" s="78"/>
      <c r="Q177" s="44" t="str">
        <f t="shared" si="6"/>
        <v/>
      </c>
      <c r="T177" s="16" t="str">
        <f t="shared" si="7"/>
        <v/>
      </c>
      <c r="V177" s="16" t="str">
        <f t="shared" si="8"/>
        <v/>
      </c>
    </row>
    <row r="178" spans="1:22" x14ac:dyDescent="0.15">
      <c r="A178" s="89"/>
      <c r="B178" s="90"/>
      <c r="C178" s="90"/>
      <c r="D178" s="91"/>
      <c r="E178" s="90"/>
      <c r="F178" s="90"/>
      <c r="G178" s="90"/>
      <c r="H178" s="90"/>
      <c r="I178" s="90"/>
      <c r="J178" s="78"/>
      <c r="Q178" s="44" t="str">
        <f t="shared" si="6"/>
        <v/>
      </c>
      <c r="T178" s="16" t="str">
        <f t="shared" si="7"/>
        <v/>
      </c>
      <c r="V178" s="16" t="str">
        <f t="shared" si="8"/>
        <v/>
      </c>
    </row>
    <row r="179" spans="1:22" x14ac:dyDescent="0.15">
      <c r="A179" s="89"/>
      <c r="B179" s="90"/>
      <c r="C179" s="90"/>
      <c r="D179" s="91"/>
      <c r="E179" s="90"/>
      <c r="F179" s="90"/>
      <c r="G179" s="90"/>
      <c r="H179" s="90"/>
      <c r="I179" s="90"/>
      <c r="J179" s="78"/>
      <c r="Q179" s="44" t="str">
        <f t="shared" si="6"/>
        <v/>
      </c>
      <c r="T179" s="16" t="str">
        <f t="shared" si="7"/>
        <v/>
      </c>
      <c r="V179" s="16" t="str">
        <f t="shared" si="8"/>
        <v/>
      </c>
    </row>
    <row r="180" spans="1:22" x14ac:dyDescent="0.15">
      <c r="A180" s="89"/>
      <c r="B180" s="90"/>
      <c r="C180" s="90"/>
      <c r="D180" s="91"/>
      <c r="E180" s="90"/>
      <c r="F180" s="90"/>
      <c r="G180" s="90"/>
      <c r="H180" s="90"/>
      <c r="I180" s="90"/>
      <c r="J180" s="78"/>
      <c r="Q180" s="44" t="str">
        <f t="shared" si="6"/>
        <v/>
      </c>
      <c r="T180" s="16" t="str">
        <f t="shared" si="7"/>
        <v/>
      </c>
      <c r="V180" s="16" t="str">
        <f t="shared" si="8"/>
        <v/>
      </c>
    </row>
    <row r="181" spans="1:22" x14ac:dyDescent="0.15">
      <c r="A181" s="89"/>
      <c r="B181" s="90"/>
      <c r="C181" s="90"/>
      <c r="D181" s="91"/>
      <c r="E181" s="90"/>
      <c r="F181" s="90"/>
      <c r="G181" s="90"/>
      <c r="H181" s="90"/>
      <c r="I181" s="90"/>
      <c r="J181" s="78"/>
      <c r="Q181" s="44" t="str">
        <f t="shared" si="6"/>
        <v/>
      </c>
    </row>
    <row r="182" spans="1:22" x14ac:dyDescent="0.15">
      <c r="A182" s="89"/>
      <c r="B182" s="90"/>
      <c r="C182" s="90"/>
      <c r="D182" s="91"/>
      <c r="E182" s="90"/>
      <c r="F182" s="90"/>
      <c r="G182" s="90"/>
      <c r="H182" s="90"/>
      <c r="I182" s="90"/>
      <c r="J182" s="78"/>
      <c r="Q182" s="44"/>
    </row>
    <row r="183" spans="1:22" x14ac:dyDescent="0.15">
      <c r="A183" s="89"/>
      <c r="B183" s="90"/>
      <c r="C183" s="90"/>
      <c r="D183" s="91"/>
      <c r="E183" s="90"/>
      <c r="F183" s="90"/>
      <c r="G183" s="90"/>
      <c r="H183" s="90"/>
      <c r="I183" s="90"/>
      <c r="J183" s="78"/>
      <c r="Q183" s="44"/>
    </row>
    <row r="184" spans="1:22" x14ac:dyDescent="0.15">
      <c r="A184" s="89"/>
      <c r="B184" s="90"/>
      <c r="C184" s="90"/>
      <c r="D184" s="91"/>
      <c r="E184" s="90"/>
      <c r="F184" s="90"/>
      <c r="G184" s="90"/>
      <c r="H184" s="90"/>
      <c r="I184" s="90"/>
      <c r="J184" s="78"/>
      <c r="Q184" s="44"/>
    </row>
    <row r="185" spans="1:22" x14ac:dyDescent="0.15">
      <c r="A185" s="89"/>
      <c r="B185" s="90"/>
      <c r="C185" s="90"/>
      <c r="D185" s="91"/>
      <c r="E185" s="90"/>
      <c r="F185" s="90"/>
      <c r="G185" s="90"/>
      <c r="H185" s="90"/>
      <c r="I185" s="90"/>
      <c r="J185" s="78"/>
      <c r="Q185" s="44"/>
    </row>
    <row r="186" spans="1:22" x14ac:dyDescent="0.15">
      <c r="A186" s="89"/>
      <c r="B186" s="90"/>
      <c r="C186" s="90"/>
      <c r="D186" s="91"/>
      <c r="E186" s="90"/>
      <c r="F186" s="90"/>
      <c r="G186" s="90"/>
      <c r="H186" s="90"/>
      <c r="I186" s="90"/>
      <c r="J186" s="78"/>
      <c r="Q186" s="44"/>
    </row>
    <row r="187" spans="1:22" x14ac:dyDescent="0.15">
      <c r="A187" s="89"/>
      <c r="B187" s="90"/>
      <c r="C187" s="90"/>
      <c r="D187" s="91"/>
      <c r="E187" s="90"/>
      <c r="F187" s="90"/>
      <c r="G187" s="90"/>
      <c r="H187" s="90"/>
      <c r="I187" s="90"/>
      <c r="J187" s="78"/>
      <c r="Q187" s="44"/>
    </row>
    <row r="188" spans="1:22" x14ac:dyDescent="0.15">
      <c r="A188" s="89"/>
      <c r="B188" s="90"/>
      <c r="C188" s="90"/>
      <c r="D188" s="91"/>
      <c r="E188" s="90"/>
      <c r="F188" s="90"/>
      <c r="G188" s="90"/>
      <c r="H188" s="90"/>
      <c r="I188" s="90"/>
      <c r="J188" s="78"/>
      <c r="Q188" s="44"/>
    </row>
    <row r="189" spans="1:22" x14ac:dyDescent="0.15">
      <c r="A189" s="89"/>
      <c r="B189" s="90"/>
      <c r="C189" s="90"/>
      <c r="D189" s="91"/>
      <c r="E189" s="90"/>
      <c r="F189" s="90"/>
      <c r="G189" s="90"/>
      <c r="H189" s="90"/>
      <c r="I189" s="90"/>
      <c r="J189" s="78"/>
      <c r="Q189" s="44"/>
    </row>
    <row r="190" spans="1:22" x14ac:dyDescent="0.15">
      <c r="A190" s="89"/>
      <c r="B190" s="90"/>
      <c r="C190" s="90"/>
      <c r="D190" s="91"/>
      <c r="E190" s="90"/>
      <c r="F190" s="90"/>
      <c r="G190" s="90"/>
      <c r="H190" s="90"/>
      <c r="I190" s="90"/>
      <c r="J190" s="78"/>
      <c r="Q190" s="44"/>
    </row>
    <row r="191" spans="1:22" x14ac:dyDescent="0.15">
      <c r="A191" s="89"/>
      <c r="B191" s="90"/>
      <c r="C191" s="90"/>
      <c r="D191" s="91"/>
      <c r="E191" s="90"/>
      <c r="F191" s="90"/>
      <c r="G191" s="90"/>
      <c r="H191" s="90"/>
      <c r="I191" s="90"/>
      <c r="J191" s="78"/>
      <c r="Q191" s="44"/>
    </row>
    <row r="192" spans="1:22" x14ac:dyDescent="0.15">
      <c r="A192" s="89"/>
      <c r="B192" s="90"/>
      <c r="C192" s="90"/>
      <c r="D192" s="91"/>
      <c r="E192" s="90"/>
      <c r="F192" s="90"/>
      <c r="G192" s="90"/>
      <c r="H192" s="90"/>
      <c r="I192" s="90"/>
      <c r="J192" s="78"/>
      <c r="Q192" s="44"/>
    </row>
    <row r="193" spans="1:17" x14ac:dyDescent="0.15">
      <c r="A193" s="89"/>
      <c r="B193" s="90"/>
      <c r="C193" s="90"/>
      <c r="D193" s="91"/>
      <c r="E193" s="90"/>
      <c r="F193" s="90"/>
      <c r="G193" s="90"/>
      <c r="H193" s="90"/>
      <c r="I193" s="90"/>
      <c r="J193" s="78"/>
      <c r="Q193" s="44"/>
    </row>
    <row r="194" spans="1:17" x14ac:dyDescent="0.15">
      <c r="A194" s="89"/>
      <c r="B194" s="90"/>
      <c r="C194" s="90"/>
      <c r="D194" s="91"/>
      <c r="E194" s="90"/>
      <c r="F194" s="90"/>
      <c r="G194" s="90"/>
      <c r="H194" s="90"/>
      <c r="I194" s="90"/>
      <c r="J194" s="78"/>
      <c r="Q194" s="44"/>
    </row>
    <row r="195" spans="1:17" x14ac:dyDescent="0.15">
      <c r="A195" s="89"/>
      <c r="B195" s="90"/>
      <c r="C195" s="90"/>
      <c r="D195" s="91"/>
      <c r="E195" s="90"/>
      <c r="F195" s="90"/>
      <c r="G195" s="90"/>
      <c r="H195" s="90"/>
      <c r="I195" s="90"/>
      <c r="J195" s="78"/>
      <c r="Q195" s="44"/>
    </row>
    <row r="196" spans="1:17" x14ac:dyDescent="0.15">
      <c r="A196" s="89"/>
      <c r="B196" s="90"/>
      <c r="C196" s="90"/>
      <c r="D196" s="91"/>
      <c r="E196" s="90"/>
      <c r="F196" s="90"/>
      <c r="G196" s="90"/>
      <c r="H196" s="90"/>
      <c r="I196" s="90"/>
      <c r="J196" s="78"/>
      <c r="Q196" s="44"/>
    </row>
    <row r="197" spans="1:17" x14ac:dyDescent="0.15">
      <c r="A197" s="89"/>
      <c r="B197" s="90"/>
      <c r="C197" s="90"/>
      <c r="D197" s="91"/>
      <c r="E197" s="90"/>
      <c r="F197" s="90"/>
      <c r="G197" s="90"/>
      <c r="H197" s="90"/>
      <c r="I197" s="90"/>
      <c r="J197" s="78"/>
      <c r="Q197" s="44"/>
    </row>
    <row r="198" spans="1:17" x14ac:dyDescent="0.15">
      <c r="A198" s="89"/>
      <c r="B198" s="90"/>
      <c r="C198" s="90"/>
      <c r="D198" s="91"/>
      <c r="E198" s="90"/>
      <c r="F198" s="90"/>
      <c r="G198" s="90"/>
      <c r="H198" s="90"/>
      <c r="I198" s="90"/>
      <c r="J198" s="78"/>
      <c r="Q198" s="44"/>
    </row>
    <row r="199" spans="1:17" x14ac:dyDescent="0.15">
      <c r="A199" s="89"/>
      <c r="B199" s="90"/>
      <c r="C199" s="90"/>
      <c r="D199" s="91"/>
      <c r="E199" s="90"/>
      <c r="F199" s="90"/>
      <c r="G199" s="90"/>
      <c r="H199" s="90"/>
      <c r="I199" s="90"/>
      <c r="J199" s="78"/>
      <c r="Q199" s="44"/>
    </row>
    <row r="200" spans="1:17" x14ac:dyDescent="0.15">
      <c r="A200" s="89"/>
      <c r="B200" s="90"/>
      <c r="C200" s="90"/>
      <c r="D200" s="91"/>
      <c r="E200" s="90"/>
      <c r="F200" s="90"/>
      <c r="G200" s="90"/>
      <c r="H200" s="90"/>
      <c r="I200" s="90"/>
      <c r="J200" s="78"/>
      <c r="Q200" s="44"/>
    </row>
    <row r="201" spans="1:17" x14ac:dyDescent="0.15">
      <c r="A201" s="89"/>
      <c r="B201" s="90"/>
      <c r="C201" s="90"/>
      <c r="D201" s="91"/>
      <c r="E201" s="90"/>
      <c r="F201" s="90"/>
      <c r="G201" s="90"/>
      <c r="H201" s="90"/>
      <c r="I201" s="90"/>
      <c r="J201" s="78"/>
      <c r="Q201" s="44"/>
    </row>
    <row r="202" spans="1:17" x14ac:dyDescent="0.15">
      <c r="A202" s="89"/>
      <c r="B202" s="90"/>
      <c r="C202" s="90"/>
      <c r="D202" s="91"/>
      <c r="E202" s="90"/>
      <c r="F202" s="90"/>
      <c r="G202" s="90"/>
      <c r="H202" s="90"/>
      <c r="I202" s="90"/>
      <c r="J202" s="78"/>
      <c r="Q202" s="44"/>
    </row>
    <row r="203" spans="1:17" x14ac:dyDescent="0.15">
      <c r="A203" s="89"/>
      <c r="B203" s="90"/>
      <c r="C203" s="90"/>
      <c r="D203" s="91"/>
      <c r="E203" s="90"/>
      <c r="F203" s="90"/>
      <c r="G203" s="90"/>
      <c r="H203" s="90"/>
      <c r="I203" s="90"/>
      <c r="J203" s="78"/>
      <c r="Q203" s="44"/>
    </row>
    <row r="204" spans="1:17" x14ac:dyDescent="0.15">
      <c r="A204" s="89"/>
      <c r="B204" s="90"/>
      <c r="C204" s="90"/>
      <c r="D204" s="91"/>
      <c r="E204" s="90"/>
      <c r="F204" s="90"/>
      <c r="G204" s="90"/>
      <c r="H204" s="90"/>
      <c r="I204" s="90"/>
      <c r="J204" s="78"/>
      <c r="Q204" s="44"/>
    </row>
    <row r="205" spans="1:17" x14ac:dyDescent="0.15">
      <c r="A205" s="89"/>
      <c r="B205" s="90"/>
      <c r="C205" s="90"/>
      <c r="D205" s="91"/>
      <c r="E205" s="90"/>
      <c r="F205" s="90"/>
      <c r="G205" s="90"/>
      <c r="H205" s="90"/>
      <c r="I205" s="90"/>
      <c r="J205" s="78"/>
      <c r="Q205" s="44"/>
    </row>
    <row r="206" spans="1:17" x14ac:dyDescent="0.15">
      <c r="A206" s="89"/>
      <c r="B206" s="90"/>
      <c r="C206" s="90"/>
      <c r="D206" s="91"/>
      <c r="E206" s="90"/>
      <c r="F206" s="90"/>
      <c r="G206" s="90"/>
      <c r="H206" s="90"/>
      <c r="I206" s="90"/>
      <c r="J206" s="78"/>
      <c r="Q206" s="44"/>
    </row>
    <row r="207" spans="1:17" x14ac:dyDescent="0.15">
      <c r="A207" s="89"/>
      <c r="B207" s="90"/>
      <c r="C207" s="90"/>
      <c r="D207" s="91"/>
      <c r="E207" s="90"/>
      <c r="F207" s="90"/>
      <c r="G207" s="90"/>
      <c r="H207" s="90"/>
      <c r="I207" s="90"/>
      <c r="J207" s="78"/>
      <c r="Q207" s="44"/>
    </row>
    <row r="208" spans="1:17" x14ac:dyDescent="0.15">
      <c r="A208" s="89"/>
      <c r="B208" s="90"/>
      <c r="C208" s="90"/>
      <c r="D208" s="91"/>
      <c r="E208" s="90"/>
      <c r="F208" s="90"/>
      <c r="G208" s="90"/>
      <c r="H208" s="90"/>
      <c r="I208" s="90"/>
      <c r="J208" s="78"/>
      <c r="Q208" s="44"/>
    </row>
    <row r="209" spans="1:17" x14ac:dyDescent="0.15">
      <c r="A209" s="89"/>
      <c r="B209" s="90"/>
      <c r="C209" s="90"/>
      <c r="D209" s="91"/>
      <c r="E209" s="90"/>
      <c r="F209" s="90"/>
      <c r="G209" s="90"/>
      <c r="H209" s="90"/>
      <c r="I209" s="90"/>
      <c r="J209" s="78"/>
      <c r="Q209" s="44"/>
    </row>
    <row r="210" spans="1:17" x14ac:dyDescent="0.15">
      <c r="A210" s="89"/>
      <c r="B210" s="90"/>
      <c r="C210" s="90"/>
      <c r="D210" s="91"/>
      <c r="E210" s="90"/>
      <c r="F210" s="90"/>
      <c r="G210" s="90"/>
      <c r="H210" s="90"/>
      <c r="I210" s="90"/>
      <c r="J210" s="78"/>
      <c r="Q210" s="44"/>
    </row>
    <row r="211" spans="1:17" x14ac:dyDescent="0.15">
      <c r="A211" s="89"/>
      <c r="B211" s="90"/>
      <c r="C211" s="90"/>
      <c r="D211" s="91"/>
      <c r="E211" s="90"/>
      <c r="F211" s="90"/>
      <c r="G211" s="90"/>
      <c r="H211" s="90"/>
      <c r="I211" s="90"/>
      <c r="J211" s="78"/>
      <c r="Q211" s="44"/>
    </row>
    <row r="212" spans="1:17" x14ac:dyDescent="0.15">
      <c r="A212" s="89"/>
      <c r="B212" s="90"/>
      <c r="C212" s="90"/>
      <c r="D212" s="91"/>
      <c r="E212" s="90"/>
      <c r="F212" s="90"/>
      <c r="G212" s="90"/>
      <c r="H212" s="90"/>
      <c r="I212" s="90"/>
      <c r="J212" s="78"/>
      <c r="Q212" s="44"/>
    </row>
    <row r="213" spans="1:17" x14ac:dyDescent="0.15">
      <c r="A213" s="89"/>
      <c r="B213" s="90"/>
      <c r="C213" s="90"/>
      <c r="D213" s="91"/>
      <c r="E213" s="90"/>
      <c r="F213" s="90"/>
      <c r="G213" s="90"/>
      <c r="H213" s="90"/>
      <c r="I213" s="90"/>
      <c r="J213" s="78"/>
      <c r="Q213" s="44"/>
    </row>
    <row r="214" spans="1:17" x14ac:dyDescent="0.15">
      <c r="A214" s="89"/>
      <c r="B214" s="90"/>
      <c r="C214" s="90"/>
      <c r="D214" s="91"/>
      <c r="E214" s="90"/>
      <c r="F214" s="90"/>
      <c r="G214" s="90"/>
      <c r="H214" s="90"/>
      <c r="I214" s="90"/>
      <c r="J214" s="78"/>
      <c r="Q214" s="44"/>
    </row>
    <row r="215" spans="1:17" x14ac:dyDescent="0.15">
      <c r="A215" s="89"/>
      <c r="B215" s="90"/>
      <c r="C215" s="90"/>
      <c r="D215" s="91"/>
      <c r="E215" s="90"/>
      <c r="F215" s="90"/>
      <c r="G215" s="90"/>
      <c r="H215" s="90"/>
      <c r="I215" s="90"/>
      <c r="J215" s="78"/>
      <c r="Q215" s="44"/>
    </row>
    <row r="216" spans="1:17" x14ac:dyDescent="0.15">
      <c r="A216" s="89"/>
      <c r="B216" s="90"/>
      <c r="C216" s="90"/>
      <c r="D216" s="91"/>
      <c r="E216" s="90"/>
      <c r="F216" s="90"/>
      <c r="G216" s="90"/>
      <c r="H216" s="90"/>
      <c r="I216" s="90"/>
      <c r="J216" s="78"/>
      <c r="Q216" s="44"/>
    </row>
    <row r="217" spans="1:17" x14ac:dyDescent="0.15">
      <c r="A217" s="89"/>
      <c r="B217" s="90"/>
      <c r="C217" s="90"/>
      <c r="D217" s="91"/>
      <c r="E217" s="90"/>
      <c r="F217" s="90"/>
      <c r="G217" s="90"/>
      <c r="H217" s="90"/>
      <c r="I217" s="90"/>
      <c r="J217" s="78"/>
      <c r="Q217" s="44"/>
    </row>
    <row r="218" spans="1:17" x14ac:dyDescent="0.15">
      <c r="A218" s="89"/>
      <c r="B218" s="90"/>
      <c r="C218" s="90"/>
      <c r="D218" s="91"/>
      <c r="E218" s="90"/>
      <c r="F218" s="90"/>
      <c r="G218" s="90"/>
      <c r="H218" s="90"/>
      <c r="I218" s="90"/>
      <c r="J218" s="78"/>
      <c r="Q218" s="44"/>
    </row>
    <row r="219" spans="1:17" x14ac:dyDescent="0.15">
      <c r="A219" s="89"/>
      <c r="B219" s="90"/>
      <c r="C219" s="90"/>
      <c r="D219" s="91"/>
      <c r="E219" s="90"/>
      <c r="F219" s="90"/>
      <c r="G219" s="90"/>
      <c r="H219" s="90"/>
      <c r="I219" s="90"/>
      <c r="J219" s="78"/>
      <c r="Q219" s="44"/>
    </row>
    <row r="220" spans="1:17" x14ac:dyDescent="0.15">
      <c r="A220" s="89"/>
      <c r="B220" s="90"/>
      <c r="C220" s="90"/>
      <c r="D220" s="91"/>
      <c r="E220" s="90"/>
      <c r="F220" s="90"/>
      <c r="G220" s="90"/>
      <c r="H220" s="90"/>
      <c r="I220" s="90"/>
      <c r="J220" s="78"/>
      <c r="Q220" s="44"/>
    </row>
    <row r="221" spans="1:17" x14ac:dyDescent="0.15">
      <c r="A221" s="89"/>
      <c r="B221" s="90"/>
      <c r="C221" s="90"/>
      <c r="D221" s="91"/>
      <c r="E221" s="90"/>
      <c r="F221" s="90"/>
      <c r="G221" s="90"/>
      <c r="H221" s="90"/>
      <c r="I221" s="90"/>
      <c r="J221" s="78"/>
      <c r="Q221" s="44"/>
    </row>
    <row r="222" spans="1:17" x14ac:dyDescent="0.15">
      <c r="A222" s="89"/>
      <c r="B222" s="90"/>
      <c r="C222" s="90"/>
      <c r="D222" s="91"/>
      <c r="E222" s="90"/>
      <c r="F222" s="90"/>
      <c r="G222" s="90"/>
      <c r="H222" s="90"/>
      <c r="I222" s="90"/>
      <c r="J222" s="78"/>
      <c r="Q222" s="44"/>
    </row>
    <row r="223" spans="1:17" x14ac:dyDescent="0.15">
      <c r="A223" s="89"/>
      <c r="B223" s="90"/>
      <c r="C223" s="90"/>
      <c r="D223" s="91"/>
      <c r="E223" s="90"/>
      <c r="F223" s="90"/>
      <c r="G223" s="90"/>
      <c r="H223" s="90"/>
      <c r="I223" s="90"/>
      <c r="J223" s="78"/>
      <c r="Q223" s="44"/>
    </row>
    <row r="224" spans="1:17"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row>
    <row r="293" spans="1:17" x14ac:dyDescent="0.15">
      <c r="A293" s="89"/>
      <c r="B293" s="90"/>
      <c r="C293" s="90"/>
      <c r="D293" s="91"/>
      <c r="E293" s="90"/>
      <c r="F293" s="90"/>
      <c r="G293" s="90"/>
      <c r="H293" s="90"/>
      <c r="I293" s="90"/>
      <c r="J293" s="78"/>
    </row>
    <row r="294" spans="1:17" x14ac:dyDescent="0.15">
      <c r="A294" s="89"/>
      <c r="B294" s="90"/>
      <c r="C294" s="90"/>
      <c r="D294" s="91"/>
      <c r="E294" s="90"/>
      <c r="F294" s="90"/>
      <c r="G294" s="90"/>
      <c r="H294" s="90"/>
      <c r="I294" s="90"/>
      <c r="J294" s="78"/>
    </row>
    <row r="295" spans="1:17" x14ac:dyDescent="0.15">
      <c r="A295" s="89"/>
      <c r="B295" s="90"/>
      <c r="C295" s="90"/>
      <c r="D295" s="91"/>
      <c r="E295" s="90"/>
      <c r="F295" s="90"/>
      <c r="G295" s="90"/>
      <c r="H295" s="90"/>
      <c r="I295" s="90"/>
      <c r="J295" s="78"/>
    </row>
    <row r="296" spans="1:17" x14ac:dyDescent="0.15">
      <c r="A296" s="89"/>
      <c r="B296" s="90"/>
      <c r="C296" s="90"/>
      <c r="D296" s="91"/>
      <c r="E296" s="90"/>
      <c r="F296" s="90"/>
      <c r="G296" s="90"/>
      <c r="H296" s="90"/>
      <c r="I296" s="90"/>
      <c r="J296" s="78"/>
    </row>
    <row r="297" spans="1:17" x14ac:dyDescent="0.15">
      <c r="A297" s="89"/>
      <c r="B297" s="90"/>
      <c r="C297" s="90"/>
      <c r="D297" s="91"/>
      <c r="E297" s="90"/>
      <c r="F297" s="90"/>
      <c r="G297" s="90"/>
      <c r="H297" s="90"/>
      <c r="I297" s="90"/>
      <c r="J297" s="78"/>
    </row>
    <row r="298" spans="1:17" x14ac:dyDescent="0.15">
      <c r="A298" s="89"/>
      <c r="B298" s="90"/>
      <c r="C298" s="90"/>
      <c r="D298" s="91"/>
      <c r="E298" s="90"/>
      <c r="F298" s="90"/>
      <c r="G298" s="90"/>
      <c r="H298" s="90"/>
      <c r="I298" s="90"/>
      <c r="J298" s="78"/>
    </row>
    <row r="299" spans="1:17" x14ac:dyDescent="0.15">
      <c r="A299" s="89"/>
      <c r="B299" s="90"/>
      <c r="C299" s="90"/>
      <c r="D299" s="91"/>
      <c r="E299" s="90"/>
      <c r="F299" s="90"/>
      <c r="G299" s="90"/>
      <c r="H299" s="90"/>
      <c r="I299" s="90"/>
      <c r="J299" s="78"/>
    </row>
    <row r="300" spans="1:17" x14ac:dyDescent="0.15">
      <c r="A300" s="89"/>
      <c r="B300" s="90"/>
      <c r="C300" s="90"/>
      <c r="D300" s="91"/>
      <c r="E300" s="90"/>
      <c r="F300" s="90"/>
      <c r="G300" s="90"/>
      <c r="H300" s="90"/>
      <c r="I300" s="90"/>
      <c r="J300" s="78"/>
    </row>
    <row r="301" spans="1:17" x14ac:dyDescent="0.15">
      <c r="A301" s="89"/>
      <c r="B301" s="90"/>
      <c r="C301" s="90"/>
      <c r="D301" s="91"/>
      <c r="E301" s="90"/>
      <c r="F301" s="90"/>
      <c r="G301" s="90"/>
      <c r="H301" s="90"/>
      <c r="I301" s="90"/>
      <c r="J301" s="78"/>
    </row>
    <row r="302" spans="1:17" x14ac:dyDescent="0.15">
      <c r="A302" s="89"/>
      <c r="B302" s="90"/>
      <c r="C302" s="90"/>
      <c r="D302" s="91"/>
      <c r="E302" s="90"/>
      <c r="F302" s="90"/>
      <c r="G302" s="90"/>
      <c r="H302" s="90"/>
      <c r="I302" s="90"/>
      <c r="J302" s="78"/>
    </row>
    <row r="303" spans="1:17" x14ac:dyDescent="0.15">
      <c r="A303" s="89"/>
      <c r="B303" s="90"/>
      <c r="C303" s="90"/>
      <c r="D303" s="91"/>
      <c r="E303" s="90"/>
      <c r="F303" s="90"/>
      <c r="G303" s="90"/>
      <c r="H303" s="90"/>
      <c r="I303" s="90"/>
      <c r="J303" s="78"/>
    </row>
    <row r="304" spans="1:17" x14ac:dyDescent="0.15">
      <c r="A304" s="89"/>
      <c r="B304" s="90"/>
      <c r="C304" s="90"/>
      <c r="D304" s="91"/>
      <c r="E304" s="90"/>
      <c r="F304" s="90"/>
      <c r="G304" s="90"/>
      <c r="H304" s="90"/>
      <c r="I304" s="90"/>
      <c r="J304" s="78"/>
    </row>
    <row r="305" spans="1:10" x14ac:dyDescent="0.15">
      <c r="A305" s="89"/>
      <c r="B305" s="90"/>
      <c r="C305" s="90"/>
      <c r="D305" s="91"/>
      <c r="E305" s="90"/>
      <c r="F305" s="90"/>
      <c r="G305" s="90"/>
      <c r="H305" s="90"/>
      <c r="I305" s="90"/>
      <c r="J305" s="78"/>
    </row>
    <row r="306" spans="1:10" x14ac:dyDescent="0.15">
      <c r="A306" s="89"/>
      <c r="B306" s="90"/>
      <c r="C306" s="90"/>
      <c r="D306" s="91"/>
      <c r="E306" s="90"/>
      <c r="F306" s="90"/>
      <c r="G306" s="90"/>
      <c r="H306" s="90"/>
      <c r="I306" s="90"/>
      <c r="J306" s="78"/>
    </row>
    <row r="307" spans="1:10" x14ac:dyDescent="0.15">
      <c r="A307" s="89"/>
      <c r="B307" s="90"/>
      <c r="C307" s="90"/>
      <c r="D307" s="91"/>
      <c r="E307" s="90"/>
      <c r="F307" s="90"/>
      <c r="G307" s="90"/>
      <c r="H307" s="90"/>
      <c r="I307" s="90"/>
      <c r="J307" s="78"/>
    </row>
    <row r="308" spans="1:10" x14ac:dyDescent="0.15">
      <c r="A308" s="89"/>
      <c r="B308" s="90"/>
      <c r="C308" s="90"/>
      <c r="D308" s="91"/>
      <c r="E308" s="90"/>
      <c r="F308" s="90"/>
      <c r="G308" s="90"/>
      <c r="H308" s="90"/>
      <c r="I308" s="90"/>
      <c r="J308" s="78"/>
    </row>
    <row r="309" spans="1:10" x14ac:dyDescent="0.15">
      <c r="A309" s="89"/>
      <c r="B309" s="90"/>
      <c r="C309" s="90"/>
      <c r="D309" s="91"/>
      <c r="E309" s="90"/>
      <c r="F309" s="90"/>
      <c r="G309" s="90"/>
      <c r="H309" s="90"/>
      <c r="I309" s="90"/>
      <c r="J309" s="78"/>
    </row>
    <row r="310" spans="1:10" x14ac:dyDescent="0.15">
      <c r="A310" s="89"/>
      <c r="B310" s="90"/>
      <c r="C310" s="90"/>
      <c r="D310" s="91"/>
      <c r="E310" s="90"/>
      <c r="F310" s="90"/>
      <c r="G310" s="90"/>
      <c r="H310" s="90"/>
      <c r="I310" s="90"/>
      <c r="J310" s="78"/>
    </row>
    <row r="311" spans="1:10" x14ac:dyDescent="0.15">
      <c r="A311" s="89"/>
      <c r="B311" s="90"/>
      <c r="C311" s="90"/>
      <c r="D311" s="91"/>
      <c r="E311" s="90"/>
      <c r="F311" s="90"/>
      <c r="G311" s="90"/>
      <c r="H311" s="90"/>
      <c r="I311" s="90"/>
      <c r="J311" s="78"/>
    </row>
    <row r="312" spans="1:10" x14ac:dyDescent="0.15">
      <c r="A312" s="89"/>
      <c r="B312" s="90"/>
      <c r="C312" s="90"/>
      <c r="D312" s="91"/>
      <c r="E312" s="90"/>
      <c r="F312" s="90"/>
      <c r="G312" s="90"/>
      <c r="H312" s="90"/>
      <c r="I312" s="90"/>
      <c r="J312" s="78"/>
    </row>
    <row r="313" spans="1:10" x14ac:dyDescent="0.15">
      <c r="A313" s="89"/>
      <c r="B313" s="90"/>
      <c r="C313" s="90"/>
      <c r="D313" s="91"/>
      <c r="E313" s="90"/>
      <c r="F313" s="90"/>
      <c r="G313" s="90"/>
      <c r="H313" s="90"/>
      <c r="I313" s="90"/>
      <c r="J313" s="78"/>
    </row>
    <row r="314" spans="1:10" x14ac:dyDescent="0.15">
      <c r="A314" s="89"/>
      <c r="B314" s="90"/>
      <c r="C314" s="90"/>
      <c r="D314" s="91"/>
      <c r="E314" s="90"/>
      <c r="F314" s="90"/>
      <c r="G314" s="90"/>
      <c r="H314" s="90"/>
      <c r="I314" s="90"/>
      <c r="J314" s="78"/>
    </row>
    <row r="315" spans="1:10" x14ac:dyDescent="0.15">
      <c r="A315" s="89"/>
      <c r="B315" s="90"/>
      <c r="C315" s="90"/>
      <c r="D315" s="91"/>
      <c r="E315" s="90"/>
      <c r="F315" s="90"/>
      <c r="G315" s="90"/>
      <c r="H315" s="90"/>
      <c r="I315" s="90"/>
      <c r="J315" s="78"/>
    </row>
    <row r="316" spans="1:10" x14ac:dyDescent="0.15">
      <c r="A316" s="89"/>
      <c r="B316" s="90"/>
      <c r="C316" s="90"/>
      <c r="D316" s="91"/>
      <c r="E316" s="90"/>
      <c r="F316" s="90"/>
      <c r="G316" s="90"/>
      <c r="H316" s="90"/>
      <c r="I316" s="90"/>
      <c r="J316" s="78"/>
    </row>
    <row r="317" spans="1:10" x14ac:dyDescent="0.15">
      <c r="A317" s="89"/>
      <c r="B317" s="90"/>
      <c r="C317" s="90"/>
      <c r="D317" s="91"/>
      <c r="E317" s="90"/>
      <c r="F317" s="90"/>
      <c r="G317" s="90"/>
      <c r="H317" s="90"/>
      <c r="I317" s="90"/>
      <c r="J317" s="78"/>
    </row>
    <row r="318" spans="1:10" x14ac:dyDescent="0.15">
      <c r="A318" s="89"/>
      <c r="B318" s="90"/>
      <c r="C318" s="90"/>
      <c r="D318" s="91"/>
      <c r="E318" s="90"/>
      <c r="F318" s="90"/>
      <c r="G318" s="90"/>
      <c r="H318" s="90"/>
      <c r="I318" s="90"/>
      <c r="J318" s="78"/>
    </row>
    <row r="319" spans="1:10" x14ac:dyDescent="0.15">
      <c r="A319" s="89"/>
      <c r="B319" s="90"/>
      <c r="C319" s="90"/>
      <c r="D319" s="91"/>
      <c r="E319" s="90"/>
      <c r="F319" s="90"/>
      <c r="G319" s="90"/>
      <c r="H319" s="90"/>
      <c r="I319" s="90"/>
      <c r="J319" s="78"/>
    </row>
    <row r="320" spans="1:10" x14ac:dyDescent="0.15">
      <c r="A320" s="89"/>
      <c r="B320" s="90"/>
      <c r="C320" s="90"/>
      <c r="D320" s="91"/>
      <c r="E320" s="90"/>
      <c r="F320" s="90"/>
      <c r="G320" s="90"/>
      <c r="H320" s="90"/>
      <c r="I320" s="90"/>
      <c r="J320" s="78"/>
    </row>
    <row r="321" spans="1:10" x14ac:dyDescent="0.15">
      <c r="A321" s="89"/>
      <c r="B321" s="90"/>
      <c r="C321" s="90"/>
      <c r="D321" s="91"/>
      <c r="E321" s="90"/>
      <c r="F321" s="90"/>
      <c r="G321" s="90"/>
      <c r="H321" s="90"/>
      <c r="I321" s="90"/>
      <c r="J321" s="78"/>
    </row>
    <row r="322" spans="1:10" x14ac:dyDescent="0.15">
      <c r="A322" s="89"/>
      <c r="B322" s="90"/>
      <c r="C322" s="90"/>
      <c r="D322" s="91"/>
      <c r="E322" s="90"/>
      <c r="F322" s="90"/>
      <c r="G322" s="90"/>
      <c r="H322" s="90"/>
      <c r="I322" s="90"/>
      <c r="J322" s="78"/>
    </row>
    <row r="323" spans="1:10" x14ac:dyDescent="0.15">
      <c r="A323" s="89"/>
      <c r="B323" s="90"/>
      <c r="C323" s="90"/>
      <c r="D323" s="91"/>
      <c r="E323" s="90"/>
      <c r="F323" s="90"/>
      <c r="G323" s="90"/>
      <c r="H323" s="90"/>
      <c r="I323" s="90"/>
      <c r="J323" s="78"/>
    </row>
    <row r="324" spans="1:10" x14ac:dyDescent="0.15">
      <c r="A324" s="89"/>
      <c r="B324" s="90"/>
      <c r="C324" s="90"/>
      <c r="D324" s="91"/>
      <c r="E324" s="90"/>
      <c r="F324" s="90"/>
      <c r="G324" s="90"/>
      <c r="H324" s="90"/>
      <c r="I324" s="90"/>
      <c r="J324" s="78"/>
    </row>
    <row r="325" spans="1:10" x14ac:dyDescent="0.15">
      <c r="A325" s="89"/>
      <c r="B325" s="90"/>
      <c r="C325" s="90"/>
      <c r="D325" s="91"/>
      <c r="E325" s="90"/>
      <c r="F325" s="90"/>
      <c r="G325" s="90"/>
      <c r="H325" s="90"/>
      <c r="I325" s="90"/>
      <c r="J325" s="78"/>
    </row>
    <row r="326" spans="1:10" x14ac:dyDescent="0.15">
      <c r="A326" s="89"/>
      <c r="B326" s="90"/>
      <c r="C326" s="90"/>
      <c r="D326" s="91"/>
      <c r="E326" s="90"/>
      <c r="F326" s="90"/>
      <c r="G326" s="90"/>
      <c r="H326" s="90"/>
      <c r="I326" s="90"/>
      <c r="J326" s="78"/>
    </row>
    <row r="327" spans="1:10" x14ac:dyDescent="0.15">
      <c r="A327" s="89"/>
      <c r="B327" s="90"/>
      <c r="C327" s="90"/>
      <c r="D327" s="91"/>
      <c r="E327" s="90"/>
      <c r="F327" s="90"/>
      <c r="G327" s="90"/>
      <c r="H327" s="90"/>
      <c r="I327" s="90"/>
      <c r="J327" s="78"/>
    </row>
    <row r="328" spans="1:10" x14ac:dyDescent="0.15">
      <c r="A328" s="89"/>
      <c r="B328" s="90"/>
      <c r="C328" s="90"/>
      <c r="D328" s="91"/>
      <c r="E328" s="90"/>
      <c r="F328" s="90"/>
      <c r="G328" s="90"/>
      <c r="H328" s="90"/>
      <c r="I328" s="90"/>
      <c r="J328" s="78"/>
    </row>
    <row r="329" spans="1:10" x14ac:dyDescent="0.15">
      <c r="A329" s="89"/>
      <c r="B329" s="90"/>
      <c r="C329" s="90"/>
      <c r="D329" s="91"/>
      <c r="E329" s="90"/>
      <c r="F329" s="90"/>
      <c r="G329" s="90"/>
      <c r="H329" s="90"/>
      <c r="I329" s="90"/>
      <c r="J329" s="78"/>
    </row>
    <row r="330" spans="1:10" x14ac:dyDescent="0.15">
      <c r="A330" s="89"/>
      <c r="B330" s="90"/>
      <c r="C330" s="90"/>
      <c r="D330" s="91"/>
      <c r="E330" s="90"/>
      <c r="F330" s="90"/>
      <c r="G330" s="90"/>
      <c r="H330" s="90"/>
      <c r="I330" s="90"/>
      <c r="J330" s="78"/>
    </row>
    <row r="331" spans="1:10" x14ac:dyDescent="0.15">
      <c r="A331" s="89"/>
      <c r="B331" s="90"/>
      <c r="C331" s="90"/>
      <c r="D331" s="91"/>
      <c r="E331" s="90"/>
      <c r="F331" s="90"/>
      <c r="G331" s="90"/>
      <c r="H331" s="90"/>
      <c r="I331" s="90"/>
      <c r="J331" s="78"/>
    </row>
    <row r="332" spans="1:10" x14ac:dyDescent="0.15">
      <c r="A332" s="89"/>
      <c r="B332" s="90"/>
      <c r="C332" s="90"/>
      <c r="D332" s="91"/>
      <c r="E332" s="90"/>
      <c r="F332" s="90"/>
      <c r="G332" s="90"/>
      <c r="H332" s="90"/>
      <c r="I332" s="90"/>
      <c r="J332" s="78"/>
    </row>
    <row r="333" spans="1:10" x14ac:dyDescent="0.15">
      <c r="A333" s="89"/>
      <c r="B333" s="90"/>
      <c r="C333" s="90"/>
      <c r="D333" s="91"/>
      <c r="E333" s="90"/>
      <c r="F333" s="90"/>
      <c r="G333" s="90"/>
      <c r="H333" s="90"/>
      <c r="I333" s="90"/>
      <c r="J333" s="78"/>
    </row>
    <row r="334" spans="1:10" x14ac:dyDescent="0.15">
      <c r="A334" s="89"/>
      <c r="B334" s="90"/>
      <c r="C334" s="90"/>
      <c r="D334" s="91"/>
      <c r="E334" s="90"/>
      <c r="F334" s="90"/>
      <c r="G334" s="90"/>
      <c r="H334" s="90"/>
      <c r="I334" s="90"/>
      <c r="J334" s="78"/>
    </row>
    <row r="335" spans="1:10" x14ac:dyDescent="0.15">
      <c r="A335" s="89"/>
      <c r="B335" s="90"/>
      <c r="C335" s="90"/>
      <c r="D335" s="91"/>
      <c r="E335" s="90"/>
      <c r="F335" s="90"/>
      <c r="G335" s="90"/>
      <c r="H335" s="90"/>
      <c r="I335" s="90"/>
      <c r="J335" s="78"/>
    </row>
    <row r="336" spans="1:10" x14ac:dyDescent="0.15">
      <c r="A336" s="89"/>
      <c r="B336" s="90"/>
      <c r="C336" s="90"/>
      <c r="D336" s="91"/>
      <c r="E336" s="90"/>
      <c r="F336" s="90"/>
      <c r="G336" s="90"/>
      <c r="H336" s="90"/>
      <c r="I336" s="90"/>
      <c r="J336" s="78"/>
    </row>
    <row r="337" spans="1:10" x14ac:dyDescent="0.15">
      <c r="A337" s="89"/>
      <c r="B337" s="90"/>
      <c r="C337" s="90"/>
      <c r="D337" s="91"/>
      <c r="E337" s="90"/>
      <c r="F337" s="90"/>
      <c r="G337" s="90"/>
      <c r="H337" s="90"/>
      <c r="I337" s="90"/>
      <c r="J337" s="78"/>
    </row>
    <row r="338" spans="1:10" x14ac:dyDescent="0.15">
      <c r="A338" s="89"/>
      <c r="B338" s="90"/>
      <c r="C338" s="90"/>
      <c r="D338" s="91"/>
      <c r="E338" s="90"/>
      <c r="F338" s="90"/>
      <c r="G338" s="90"/>
      <c r="H338" s="90"/>
      <c r="I338" s="90"/>
      <c r="J338" s="78"/>
    </row>
    <row r="339" spans="1:10" x14ac:dyDescent="0.15">
      <c r="A339" s="89"/>
      <c r="B339" s="90"/>
      <c r="C339" s="90"/>
      <c r="D339" s="91"/>
      <c r="E339" s="90"/>
      <c r="F339" s="90"/>
      <c r="G339" s="90"/>
      <c r="H339" s="90"/>
      <c r="I339" s="90"/>
      <c r="J339" s="78"/>
    </row>
    <row r="340" spans="1:10" x14ac:dyDescent="0.15">
      <c r="A340" s="89"/>
      <c r="B340" s="90"/>
      <c r="C340" s="90"/>
      <c r="D340" s="91"/>
      <c r="E340" s="90"/>
      <c r="F340" s="90"/>
      <c r="G340" s="90"/>
      <c r="H340" s="90"/>
      <c r="I340" s="90"/>
      <c r="J340" s="78"/>
    </row>
    <row r="341" spans="1:10" x14ac:dyDescent="0.15">
      <c r="A341" s="89"/>
      <c r="B341" s="90"/>
      <c r="C341" s="90"/>
      <c r="D341" s="91"/>
      <c r="E341" s="90"/>
      <c r="F341" s="90"/>
      <c r="G341" s="90"/>
      <c r="H341" s="90"/>
      <c r="I341" s="90"/>
      <c r="J341" s="78"/>
    </row>
    <row r="342" spans="1:10" x14ac:dyDescent="0.15">
      <c r="A342" s="89"/>
      <c r="B342" s="90"/>
      <c r="C342" s="90"/>
      <c r="D342" s="91"/>
      <c r="E342" s="90"/>
      <c r="F342" s="90"/>
      <c r="G342" s="90"/>
      <c r="H342" s="90"/>
      <c r="I342" s="90"/>
      <c r="J342" s="78"/>
    </row>
    <row r="343" spans="1:10" x14ac:dyDescent="0.15">
      <c r="A343" s="89"/>
      <c r="B343" s="90"/>
      <c r="C343" s="90"/>
      <c r="D343" s="91"/>
      <c r="E343" s="90"/>
      <c r="F343" s="90"/>
      <c r="G343" s="90"/>
      <c r="H343" s="90"/>
      <c r="I343" s="90"/>
      <c r="J343" s="78"/>
    </row>
    <row r="344" spans="1:10" x14ac:dyDescent="0.15">
      <c r="A344" s="89"/>
      <c r="B344" s="90"/>
      <c r="C344" s="90"/>
      <c r="D344" s="91"/>
      <c r="E344" s="90"/>
      <c r="F344" s="90"/>
      <c r="G344" s="90"/>
      <c r="H344" s="90"/>
      <c r="I344" s="90"/>
      <c r="J344" s="78"/>
    </row>
    <row r="345" spans="1:10" x14ac:dyDescent="0.15">
      <c r="A345" s="89"/>
      <c r="B345" s="90"/>
      <c r="C345" s="90"/>
      <c r="D345" s="91"/>
      <c r="E345" s="90"/>
      <c r="F345" s="90"/>
      <c r="G345" s="90"/>
      <c r="H345" s="90"/>
      <c r="I345" s="90"/>
      <c r="J345" s="78"/>
    </row>
    <row r="346" spans="1:10" x14ac:dyDescent="0.15">
      <c r="A346" s="89"/>
      <c r="B346" s="90"/>
      <c r="C346" s="90"/>
      <c r="D346" s="91"/>
      <c r="E346" s="90"/>
      <c r="F346" s="90"/>
      <c r="G346" s="90"/>
      <c r="H346" s="90"/>
      <c r="I346" s="90"/>
      <c r="J346" s="78"/>
    </row>
    <row r="347" spans="1:10" x14ac:dyDescent="0.15">
      <c r="A347" s="89"/>
      <c r="B347" s="90"/>
      <c r="C347" s="90"/>
      <c r="D347" s="91"/>
      <c r="E347" s="90"/>
      <c r="F347" s="90"/>
      <c r="G347" s="90"/>
      <c r="H347" s="90"/>
      <c r="I347" s="90"/>
      <c r="J347" s="78"/>
    </row>
    <row r="348" spans="1:10" x14ac:dyDescent="0.15">
      <c r="A348" s="89"/>
      <c r="B348" s="90"/>
      <c r="C348" s="90"/>
      <c r="D348" s="91"/>
      <c r="E348" s="90"/>
      <c r="F348" s="90"/>
      <c r="G348" s="90"/>
      <c r="H348" s="90"/>
      <c r="I348" s="90"/>
      <c r="J348" s="78"/>
    </row>
    <row r="349" spans="1:10" x14ac:dyDescent="0.15">
      <c r="A349" s="89"/>
      <c r="B349" s="90"/>
      <c r="C349" s="90"/>
      <c r="D349" s="91"/>
      <c r="E349" s="90"/>
      <c r="F349" s="90"/>
      <c r="G349" s="90"/>
      <c r="H349" s="90"/>
      <c r="I349" s="90"/>
      <c r="J349" s="78"/>
    </row>
    <row r="350" spans="1:10" x14ac:dyDescent="0.15">
      <c r="A350" s="89"/>
      <c r="B350" s="90"/>
      <c r="C350" s="90"/>
      <c r="D350" s="91"/>
      <c r="E350" s="90"/>
      <c r="F350" s="90"/>
      <c r="G350" s="90"/>
      <c r="H350" s="90"/>
      <c r="I350" s="90"/>
      <c r="J350" s="78"/>
    </row>
    <row r="351" spans="1:10" x14ac:dyDescent="0.15">
      <c r="A351" s="89"/>
      <c r="B351" s="90"/>
      <c r="C351" s="90"/>
      <c r="D351" s="91"/>
      <c r="E351" s="90"/>
      <c r="F351" s="90"/>
      <c r="G351" s="90"/>
      <c r="H351" s="90"/>
      <c r="I351" s="90"/>
      <c r="J351" s="78"/>
    </row>
    <row r="352" spans="1:10" x14ac:dyDescent="0.15">
      <c r="A352" s="89"/>
      <c r="B352" s="90"/>
      <c r="C352" s="90"/>
      <c r="D352" s="91"/>
      <c r="E352" s="90"/>
      <c r="F352" s="90"/>
      <c r="G352" s="90"/>
      <c r="H352" s="90"/>
      <c r="I352" s="90"/>
      <c r="J352" s="78"/>
    </row>
    <row r="353" spans="1:10" x14ac:dyDescent="0.15">
      <c r="A353" s="89"/>
      <c r="B353" s="90"/>
      <c r="C353" s="90"/>
      <c r="D353" s="91"/>
      <c r="E353" s="90"/>
      <c r="F353" s="90"/>
      <c r="G353" s="90"/>
      <c r="H353" s="90"/>
      <c r="I353" s="90"/>
      <c r="J353" s="78"/>
    </row>
    <row r="354" spans="1:10" x14ac:dyDescent="0.15">
      <c r="A354" s="89"/>
      <c r="B354" s="90"/>
      <c r="C354" s="90"/>
      <c r="D354" s="91"/>
      <c r="E354" s="90"/>
      <c r="F354" s="90"/>
      <c r="G354" s="90"/>
      <c r="H354" s="90"/>
      <c r="I354" s="90"/>
      <c r="J354" s="78"/>
    </row>
    <row r="355" spans="1:10" x14ac:dyDescent="0.15">
      <c r="A355" s="89"/>
      <c r="B355" s="90"/>
      <c r="C355" s="90"/>
      <c r="D355" s="91"/>
      <c r="E355" s="90"/>
      <c r="F355" s="90"/>
      <c r="G355" s="90"/>
      <c r="H355" s="90"/>
      <c r="I355" s="90"/>
      <c r="J355" s="78"/>
    </row>
    <row r="356" spans="1:10" x14ac:dyDescent="0.15">
      <c r="A356" s="89"/>
      <c r="B356" s="90"/>
      <c r="C356" s="90"/>
      <c r="D356" s="91"/>
      <c r="E356" s="90"/>
      <c r="F356" s="90"/>
      <c r="G356" s="90"/>
      <c r="H356" s="90"/>
      <c r="I356" s="90"/>
      <c r="J356" s="78"/>
    </row>
    <row r="357" spans="1:10" x14ac:dyDescent="0.15">
      <c r="A357" s="89"/>
      <c r="B357" s="90"/>
      <c r="C357" s="90"/>
      <c r="D357" s="91"/>
      <c r="E357" s="90"/>
      <c r="F357" s="90"/>
      <c r="G357" s="90"/>
      <c r="H357" s="90"/>
      <c r="I357" s="90"/>
      <c r="J357" s="78"/>
    </row>
    <row r="358" spans="1:10" x14ac:dyDescent="0.15">
      <c r="A358" s="89"/>
      <c r="B358" s="90"/>
      <c r="C358" s="90"/>
      <c r="D358" s="91"/>
      <c r="E358" s="90"/>
      <c r="F358" s="90"/>
      <c r="G358" s="90"/>
      <c r="H358" s="90"/>
      <c r="I358" s="90"/>
      <c r="J358" s="78"/>
    </row>
    <row r="359" spans="1:10" x14ac:dyDescent="0.15">
      <c r="A359" s="89"/>
      <c r="B359" s="90"/>
      <c r="C359" s="90"/>
      <c r="D359" s="91"/>
      <c r="E359" s="90"/>
      <c r="F359" s="90"/>
      <c r="G359" s="90"/>
      <c r="H359" s="90"/>
      <c r="I359" s="90"/>
      <c r="J359" s="78"/>
    </row>
    <row r="360" spans="1:10" x14ac:dyDescent="0.15">
      <c r="A360" s="89"/>
      <c r="B360" s="90"/>
      <c r="C360" s="90"/>
      <c r="D360" s="91"/>
      <c r="E360" s="90"/>
      <c r="F360" s="90"/>
      <c r="G360" s="90"/>
      <c r="H360" s="90"/>
      <c r="I360" s="90"/>
      <c r="J360" s="78"/>
    </row>
    <row r="361" spans="1:10" x14ac:dyDescent="0.15">
      <c r="A361" s="89"/>
      <c r="B361" s="90"/>
      <c r="C361" s="90"/>
      <c r="D361" s="91"/>
      <c r="E361" s="90"/>
      <c r="F361" s="90"/>
      <c r="G361" s="90"/>
      <c r="H361" s="90"/>
      <c r="I361" s="90"/>
      <c r="J361" s="78"/>
    </row>
    <row r="362" spans="1:10" x14ac:dyDescent="0.15">
      <c r="A362" s="89"/>
      <c r="B362" s="90"/>
      <c r="C362" s="90"/>
      <c r="D362" s="91"/>
      <c r="E362" s="90"/>
      <c r="F362" s="90"/>
      <c r="G362" s="90"/>
      <c r="H362" s="90"/>
      <c r="I362" s="90"/>
      <c r="J362" s="78"/>
    </row>
    <row r="363" spans="1:10" x14ac:dyDescent="0.15">
      <c r="A363" s="89"/>
      <c r="B363" s="90"/>
      <c r="C363" s="90"/>
      <c r="D363" s="91"/>
      <c r="E363" s="90"/>
      <c r="F363" s="90"/>
      <c r="G363" s="90"/>
      <c r="H363" s="90"/>
      <c r="I363" s="90"/>
      <c r="J363" s="78"/>
    </row>
    <row r="364" spans="1:10" x14ac:dyDescent="0.15">
      <c r="A364" s="89"/>
      <c r="B364" s="90"/>
      <c r="C364" s="90"/>
      <c r="D364" s="91"/>
      <c r="E364" s="90"/>
      <c r="F364" s="90"/>
      <c r="G364" s="90"/>
      <c r="H364" s="90"/>
      <c r="I364" s="90"/>
      <c r="J364" s="78"/>
    </row>
    <row r="365" spans="1:10" x14ac:dyDescent="0.15">
      <c r="A365" s="89"/>
      <c r="B365" s="90"/>
      <c r="C365" s="90"/>
      <c r="D365" s="91"/>
      <c r="E365" s="90"/>
      <c r="F365" s="90"/>
      <c r="G365" s="90"/>
      <c r="H365" s="90"/>
      <c r="I365" s="90"/>
      <c r="J365" s="78"/>
    </row>
    <row r="366" spans="1:10" x14ac:dyDescent="0.15">
      <c r="A366" s="89"/>
      <c r="B366" s="90"/>
      <c r="C366" s="90"/>
      <c r="D366" s="91"/>
      <c r="E366" s="90"/>
      <c r="F366" s="90"/>
      <c r="G366" s="90"/>
      <c r="H366" s="90"/>
      <c r="I366" s="90"/>
      <c r="J366" s="78"/>
    </row>
    <row r="367" spans="1:10" x14ac:dyDescent="0.15">
      <c r="A367" s="89"/>
      <c r="B367" s="90"/>
      <c r="C367" s="90"/>
      <c r="D367" s="91"/>
      <c r="E367" s="90"/>
      <c r="F367" s="90"/>
      <c r="G367" s="90"/>
      <c r="H367" s="90"/>
      <c r="I367" s="90"/>
      <c r="J367" s="78"/>
    </row>
    <row r="368" spans="1:10" x14ac:dyDescent="0.15">
      <c r="A368" s="89"/>
      <c r="B368" s="90"/>
      <c r="C368" s="90"/>
      <c r="D368" s="91"/>
      <c r="E368" s="90"/>
      <c r="F368" s="90"/>
      <c r="G368" s="90"/>
      <c r="H368" s="90"/>
      <c r="I368" s="90"/>
      <c r="J368" s="78"/>
    </row>
    <row r="369" spans="1:10" x14ac:dyDescent="0.15">
      <c r="A369" s="89"/>
      <c r="B369" s="90"/>
      <c r="C369" s="90"/>
      <c r="D369" s="91"/>
      <c r="E369" s="90"/>
      <c r="F369" s="90"/>
      <c r="G369" s="90"/>
      <c r="H369" s="90"/>
      <c r="I369" s="90"/>
      <c r="J369" s="78"/>
    </row>
    <row r="370" spans="1:10" x14ac:dyDescent="0.15">
      <c r="A370" s="89"/>
      <c r="B370" s="90"/>
      <c r="C370" s="90"/>
      <c r="D370" s="91"/>
      <c r="E370" s="90"/>
      <c r="F370" s="90"/>
      <c r="G370" s="90"/>
      <c r="H370" s="90"/>
      <c r="I370" s="90"/>
      <c r="J370" s="78"/>
    </row>
    <row r="371" spans="1:10" x14ac:dyDescent="0.15">
      <c r="A371" s="89"/>
      <c r="B371" s="90"/>
      <c r="C371" s="90"/>
      <c r="D371" s="91"/>
      <c r="E371" s="90"/>
      <c r="F371" s="90"/>
      <c r="G371" s="90"/>
      <c r="H371" s="90"/>
      <c r="I371" s="90"/>
      <c r="J371" s="78"/>
    </row>
    <row r="372" spans="1:10" x14ac:dyDescent="0.15">
      <c r="A372" s="89"/>
      <c r="B372" s="90"/>
      <c r="C372" s="90"/>
      <c r="D372" s="91"/>
      <c r="E372" s="90"/>
      <c r="F372" s="90"/>
      <c r="G372" s="90"/>
      <c r="H372" s="90"/>
      <c r="I372" s="90"/>
      <c r="J372" s="78"/>
    </row>
    <row r="373" spans="1:10" x14ac:dyDescent="0.15">
      <c r="A373" s="89"/>
      <c r="B373" s="90"/>
      <c r="C373" s="90"/>
      <c r="D373" s="91"/>
      <c r="E373" s="90"/>
      <c r="F373" s="90"/>
      <c r="G373" s="90"/>
      <c r="H373" s="90"/>
      <c r="I373" s="90"/>
      <c r="J373" s="78"/>
    </row>
    <row r="374" spans="1:10" x14ac:dyDescent="0.15">
      <c r="A374" s="89"/>
      <c r="B374" s="90"/>
      <c r="C374" s="90"/>
      <c r="D374" s="91"/>
      <c r="E374" s="90"/>
      <c r="F374" s="90"/>
      <c r="G374" s="90"/>
      <c r="H374" s="90"/>
      <c r="I374" s="90"/>
      <c r="J374" s="78"/>
    </row>
    <row r="375" spans="1:10" x14ac:dyDescent="0.15">
      <c r="A375" s="89"/>
      <c r="B375" s="90"/>
      <c r="C375" s="90"/>
      <c r="D375" s="91"/>
      <c r="E375" s="90"/>
      <c r="F375" s="90"/>
      <c r="G375" s="90"/>
      <c r="H375" s="90"/>
      <c r="I375" s="90"/>
      <c r="J375" s="78"/>
    </row>
    <row r="376" spans="1:10" x14ac:dyDescent="0.15">
      <c r="A376" s="89"/>
      <c r="B376" s="90"/>
      <c r="C376" s="90"/>
      <c r="D376" s="91"/>
      <c r="E376" s="90"/>
      <c r="F376" s="90"/>
      <c r="G376" s="90"/>
      <c r="H376" s="90"/>
      <c r="I376" s="90"/>
      <c r="J376" s="78"/>
    </row>
    <row r="377" spans="1:10" x14ac:dyDescent="0.15">
      <c r="A377" s="89"/>
      <c r="B377" s="90"/>
      <c r="C377" s="90"/>
      <c r="D377" s="91"/>
      <c r="E377" s="90"/>
      <c r="F377" s="90"/>
      <c r="G377" s="90"/>
      <c r="H377" s="90"/>
      <c r="I377" s="90"/>
      <c r="J377" s="78"/>
    </row>
    <row r="378" spans="1:10" x14ac:dyDescent="0.15">
      <c r="A378" s="89"/>
      <c r="B378" s="90"/>
      <c r="C378" s="90"/>
      <c r="D378" s="91"/>
      <c r="E378" s="90"/>
      <c r="F378" s="90"/>
      <c r="G378" s="90"/>
      <c r="H378" s="90"/>
      <c r="I378" s="90"/>
      <c r="J378" s="78"/>
    </row>
    <row r="379" spans="1:10" x14ac:dyDescent="0.15">
      <c r="A379" s="89"/>
      <c r="B379" s="90"/>
      <c r="C379" s="90"/>
      <c r="D379" s="91"/>
      <c r="E379" s="90"/>
      <c r="F379" s="90"/>
      <c r="G379" s="90"/>
      <c r="H379" s="90"/>
      <c r="I379" s="90"/>
      <c r="J379" s="78"/>
    </row>
    <row r="380" spans="1:10" x14ac:dyDescent="0.15">
      <c r="A380" s="89"/>
      <c r="B380" s="90"/>
      <c r="C380" s="90"/>
      <c r="D380" s="91"/>
      <c r="E380" s="90"/>
      <c r="F380" s="90"/>
      <c r="G380" s="90"/>
      <c r="H380" s="90"/>
      <c r="I380" s="90"/>
      <c r="J380" s="78"/>
    </row>
    <row r="381" spans="1:10" x14ac:dyDescent="0.15">
      <c r="A381" s="89"/>
      <c r="B381" s="90"/>
      <c r="C381" s="90"/>
      <c r="D381" s="91"/>
      <c r="E381" s="90"/>
      <c r="F381" s="90"/>
      <c r="G381" s="90"/>
      <c r="H381" s="90"/>
      <c r="I381" s="90"/>
      <c r="J381" s="78"/>
    </row>
    <row r="382" spans="1:10" x14ac:dyDescent="0.15">
      <c r="A382" s="89"/>
      <c r="B382" s="90"/>
      <c r="C382" s="90"/>
      <c r="D382" s="91"/>
      <c r="E382" s="90"/>
      <c r="F382" s="90"/>
      <c r="G382" s="90"/>
      <c r="H382" s="90"/>
      <c r="I382" s="90"/>
      <c r="J382" s="78"/>
    </row>
    <row r="383" spans="1:10" x14ac:dyDescent="0.15">
      <c r="A383" s="89"/>
      <c r="B383" s="90"/>
      <c r="C383" s="90"/>
      <c r="D383" s="91"/>
      <c r="E383" s="90"/>
      <c r="F383" s="90"/>
      <c r="G383" s="90"/>
      <c r="H383" s="90"/>
      <c r="I383" s="90"/>
      <c r="J383" s="78"/>
    </row>
    <row r="384" spans="1:10" x14ac:dyDescent="0.15">
      <c r="A384" s="89"/>
      <c r="B384" s="90"/>
      <c r="C384" s="90"/>
      <c r="D384" s="91"/>
      <c r="E384" s="90"/>
      <c r="F384" s="90"/>
      <c r="G384" s="90"/>
      <c r="H384" s="90"/>
      <c r="I384" s="90"/>
      <c r="J384" s="78"/>
    </row>
    <row r="385" spans="1:10" x14ac:dyDescent="0.15">
      <c r="A385" s="89"/>
      <c r="B385" s="90"/>
      <c r="C385" s="90"/>
      <c r="D385" s="91"/>
      <c r="E385" s="90"/>
      <c r="F385" s="90"/>
      <c r="G385" s="90"/>
      <c r="H385" s="90"/>
      <c r="I385" s="90"/>
      <c r="J385" s="78"/>
    </row>
    <row r="386" spans="1:10" x14ac:dyDescent="0.15">
      <c r="A386" s="89"/>
      <c r="B386" s="90"/>
      <c r="C386" s="90"/>
      <c r="D386" s="91"/>
      <c r="E386" s="90"/>
      <c r="F386" s="90"/>
      <c r="G386" s="90"/>
      <c r="H386" s="90"/>
      <c r="I386" s="90"/>
      <c r="J386" s="78"/>
    </row>
    <row r="387" spans="1:10" x14ac:dyDescent="0.15">
      <c r="A387" s="89"/>
      <c r="B387" s="90"/>
      <c r="C387" s="90"/>
      <c r="D387" s="91"/>
      <c r="E387" s="90"/>
      <c r="F387" s="90"/>
      <c r="G387" s="90"/>
      <c r="H387" s="90"/>
      <c r="I387" s="90"/>
      <c r="J387" s="78"/>
    </row>
    <row r="388" spans="1:10" x14ac:dyDescent="0.15">
      <c r="A388" s="89"/>
      <c r="B388" s="90"/>
      <c r="C388" s="90"/>
      <c r="D388" s="91"/>
      <c r="E388" s="90"/>
      <c r="F388" s="90"/>
      <c r="G388" s="90"/>
      <c r="H388" s="90"/>
      <c r="I388" s="90"/>
      <c r="J388" s="78"/>
    </row>
    <row r="389" spans="1:10" x14ac:dyDescent="0.15">
      <c r="A389" s="89"/>
      <c r="B389" s="90"/>
      <c r="C389" s="90"/>
      <c r="D389" s="91"/>
      <c r="E389" s="90"/>
      <c r="F389" s="90"/>
      <c r="G389" s="90"/>
      <c r="H389" s="90"/>
      <c r="I389" s="90"/>
      <c r="J389" s="78"/>
    </row>
    <row r="390" spans="1:10" x14ac:dyDescent="0.15">
      <c r="A390" s="89"/>
      <c r="B390" s="90"/>
      <c r="C390" s="90"/>
      <c r="D390" s="91"/>
      <c r="E390" s="90"/>
      <c r="F390" s="90"/>
      <c r="G390" s="90"/>
      <c r="H390" s="90"/>
      <c r="I390" s="90"/>
      <c r="J390" s="78"/>
    </row>
    <row r="391" spans="1:10" x14ac:dyDescent="0.15">
      <c r="A391" s="89"/>
      <c r="B391" s="90"/>
      <c r="C391" s="90"/>
      <c r="D391" s="91"/>
      <c r="E391" s="90"/>
      <c r="F391" s="90"/>
      <c r="G391" s="90"/>
      <c r="H391" s="90"/>
      <c r="I391" s="90"/>
      <c r="J391" s="78"/>
    </row>
    <row r="392" spans="1:10" x14ac:dyDescent="0.15">
      <c r="A392" s="89"/>
      <c r="B392" s="90"/>
      <c r="C392" s="90"/>
      <c r="D392" s="91"/>
      <c r="E392" s="90"/>
      <c r="F392" s="90"/>
      <c r="G392" s="90"/>
      <c r="H392" s="90"/>
      <c r="I392" s="90"/>
      <c r="J392" s="78"/>
    </row>
    <row r="393" spans="1:10" x14ac:dyDescent="0.15">
      <c r="A393" s="89"/>
      <c r="B393" s="90"/>
      <c r="C393" s="90"/>
      <c r="D393" s="91"/>
      <c r="E393" s="90"/>
      <c r="F393" s="90"/>
      <c r="G393" s="90"/>
      <c r="H393" s="90"/>
      <c r="I393" s="90"/>
      <c r="J393" s="78"/>
    </row>
    <row r="394" spans="1:10" x14ac:dyDescent="0.15">
      <c r="A394" s="89"/>
      <c r="B394" s="90"/>
      <c r="C394" s="90"/>
      <c r="D394" s="91"/>
      <c r="E394" s="90"/>
      <c r="F394" s="90"/>
      <c r="G394" s="90"/>
      <c r="H394" s="90"/>
      <c r="I394" s="90"/>
      <c r="J394" s="78"/>
    </row>
    <row r="395" spans="1:10" x14ac:dyDescent="0.15">
      <c r="A395" s="89"/>
      <c r="B395" s="90"/>
      <c r="C395" s="90"/>
      <c r="D395" s="91"/>
      <c r="E395" s="90"/>
      <c r="F395" s="90"/>
      <c r="G395" s="90"/>
      <c r="H395" s="90"/>
      <c r="I395" s="90"/>
      <c r="J395" s="78"/>
    </row>
    <row r="396" spans="1:10" x14ac:dyDescent="0.15">
      <c r="A396" s="89"/>
      <c r="B396" s="90"/>
      <c r="C396" s="90"/>
      <c r="D396" s="91"/>
      <c r="E396" s="90"/>
      <c r="F396" s="90"/>
      <c r="G396" s="90"/>
      <c r="H396" s="90"/>
      <c r="I396" s="90"/>
      <c r="J396" s="78"/>
    </row>
    <row r="397" spans="1:10" x14ac:dyDescent="0.15">
      <c r="A397" s="89"/>
      <c r="B397" s="90"/>
      <c r="C397" s="90"/>
      <c r="D397" s="91"/>
      <c r="E397" s="90"/>
      <c r="F397" s="90"/>
      <c r="G397" s="90"/>
      <c r="H397" s="90"/>
      <c r="I397" s="90"/>
      <c r="J397" s="78"/>
    </row>
    <row r="398" spans="1:10" x14ac:dyDescent="0.15">
      <c r="A398" s="89"/>
      <c r="B398" s="90"/>
      <c r="C398" s="90"/>
      <c r="D398" s="91"/>
      <c r="E398" s="90"/>
      <c r="F398" s="90"/>
      <c r="G398" s="90"/>
      <c r="H398" s="90"/>
      <c r="I398" s="90"/>
      <c r="J398" s="78"/>
    </row>
    <row r="399" spans="1:10" x14ac:dyDescent="0.15">
      <c r="A399" s="89"/>
      <c r="B399" s="90"/>
      <c r="C399" s="90"/>
      <c r="D399" s="91"/>
      <c r="E399" s="90"/>
      <c r="F399" s="90"/>
      <c r="G399" s="90"/>
      <c r="H399" s="90"/>
      <c r="I399" s="90"/>
      <c r="J399" s="78"/>
    </row>
    <row r="400" spans="1:10"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H1001" s="46"/>
    </row>
    <row r="1002" spans="1:10" x14ac:dyDescent="0.15">
      <c r="H1002" s="46"/>
    </row>
    <row r="1003" spans="1:10" x14ac:dyDescent="0.15">
      <c r="H1003" s="46"/>
    </row>
    <row r="1004" spans="1:10" x14ac:dyDescent="0.15">
      <c r="H1004" s="46"/>
    </row>
    <row r="1005" spans="1:10" x14ac:dyDescent="0.15">
      <c r="H1005" s="46"/>
    </row>
    <row r="1006" spans="1:10" x14ac:dyDescent="0.15">
      <c r="H1006" s="46"/>
    </row>
    <row r="1007" spans="1:10" x14ac:dyDescent="0.15">
      <c r="H1007" s="46"/>
    </row>
    <row r="1008" spans="1:10" x14ac:dyDescent="0.15">
      <c r="H1008" s="46"/>
    </row>
    <row r="1009" spans="8:8" x14ac:dyDescent="0.15">
      <c r="H1009" s="46"/>
    </row>
    <row r="1010" spans="8:8" x14ac:dyDescent="0.15">
      <c r="H1010" s="46"/>
    </row>
    <row r="1011" spans="8:8" x14ac:dyDescent="0.15">
      <c r="H1011" s="46"/>
    </row>
    <row r="1012" spans="8:8" x14ac:dyDescent="0.15">
      <c r="H1012" s="46"/>
    </row>
    <row r="1013" spans="8:8" x14ac:dyDescent="0.15">
      <c r="H1013" s="46"/>
    </row>
    <row r="1014" spans="8:8" x14ac:dyDescent="0.15">
      <c r="H1014" s="46"/>
    </row>
    <row r="1015" spans="8:8" x14ac:dyDescent="0.15">
      <c r="H1015" s="46"/>
    </row>
    <row r="1016" spans="8:8" x14ac:dyDescent="0.15">
      <c r="H1016" s="46"/>
    </row>
    <row r="1017" spans="8:8" x14ac:dyDescent="0.15">
      <c r="H1017" s="46"/>
    </row>
    <row r="1018" spans="8:8" x14ac:dyDescent="0.15">
      <c r="H1018" s="46"/>
    </row>
    <row r="1019" spans="8:8" x14ac:dyDescent="0.15">
      <c r="H1019" s="46"/>
    </row>
    <row r="1020" spans="8:8" x14ac:dyDescent="0.15">
      <c r="H1020" s="46"/>
    </row>
    <row r="1021" spans="8:8" x14ac:dyDescent="0.15">
      <c r="H1021" s="46"/>
    </row>
    <row r="1022" spans="8:8" x14ac:dyDescent="0.15">
      <c r="H1022" s="46"/>
    </row>
    <row r="1023" spans="8:8" x14ac:dyDescent="0.15">
      <c r="H1023" s="46"/>
    </row>
    <row r="1024" spans="8:8" x14ac:dyDescent="0.15">
      <c r="H1024" s="46"/>
    </row>
    <row r="1025" spans="8:8" x14ac:dyDescent="0.15">
      <c r="H1025" s="46"/>
    </row>
    <row r="1026" spans="8:8" x14ac:dyDescent="0.15">
      <c r="H1026" s="46"/>
    </row>
    <row r="1027" spans="8:8" x14ac:dyDescent="0.15">
      <c r="H1027" s="46"/>
    </row>
    <row r="1028" spans="8:8" x14ac:dyDescent="0.15">
      <c r="H1028" s="46"/>
    </row>
    <row r="1029" spans="8:8" x14ac:dyDescent="0.15">
      <c r="H1029" s="46"/>
    </row>
    <row r="1030" spans="8:8" x14ac:dyDescent="0.15">
      <c r="H1030" s="46"/>
    </row>
    <row r="1031" spans="8:8" x14ac:dyDescent="0.15">
      <c r="H1031" s="46"/>
    </row>
    <row r="1032" spans="8:8" x14ac:dyDescent="0.15">
      <c r="H1032" s="46"/>
    </row>
    <row r="1033" spans="8:8" x14ac:dyDescent="0.15">
      <c r="H1033" s="46"/>
    </row>
    <row r="1034" spans="8:8" x14ac:dyDescent="0.15">
      <c r="H1034" s="46"/>
    </row>
    <row r="1035" spans="8:8" x14ac:dyDescent="0.15">
      <c r="H1035" s="46"/>
    </row>
    <row r="1036" spans="8:8" x14ac:dyDescent="0.15">
      <c r="H1036" s="46"/>
    </row>
    <row r="1037" spans="8:8" x14ac:dyDescent="0.15">
      <c r="H1037" s="46"/>
    </row>
    <row r="1038" spans="8:8" x14ac:dyDescent="0.15">
      <c r="H1038" s="46"/>
    </row>
    <row r="1039" spans="8:8" x14ac:dyDescent="0.15">
      <c r="H1039" s="46"/>
    </row>
    <row r="1040" spans="8:8"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sheetData>
  <autoFilter ref="A1:BA181" xr:uid="{00000000-0009-0000-0000-000006000000}"/>
  <phoneticPr fontId="3"/>
  <dataValidations count="25">
    <dataValidation type="list" allowBlank="1" showInputMessage="1" showErrorMessage="1" sqref="F119:F1000" xr:uid="{00000000-0002-0000-0600-000000000000}">
      <formula1>$AH$2:$AH$10</formula1>
    </dataValidation>
    <dataValidation type="list" allowBlank="1" showInputMessage="1" showErrorMessage="1" sqref="E119:E1000" xr:uid="{00000000-0002-0000-0600-000001000000}">
      <formula1>$AG$2:$AG$10</formula1>
    </dataValidation>
    <dataValidation type="decimal" allowBlank="1" showInputMessage="1" showErrorMessage="1" error="硬度を正しく入力して下さい。" sqref="O2:P118 P119 O120:P491" xr:uid="{00000000-0002-0000-0600-000002000000}">
      <formula1>0</formula1>
      <formula2>7</formula2>
    </dataValidation>
    <dataValidation type="list" allowBlank="1" showInputMessage="1" showErrorMessage="1" sqref="Y2:AA491" xr:uid="{00000000-0002-0000-0600-000003000000}">
      <formula1>$AV$2:$AV$21</formula1>
    </dataValidation>
    <dataValidation type="list" allowBlank="1" showInputMessage="1" showErrorMessage="1" sqref="I2:I1000" xr:uid="{00000000-0002-0000-0600-000005000000}">
      <formula1>$AN$5:$AN$6</formula1>
    </dataValidation>
    <dataValidation type="list" allowBlank="1" showInputMessage="1" showErrorMessage="1" sqref="A2:A1000" xr:uid="{00000000-0002-0000-0600-000007000000}">
      <formula1>$AE$2:$AE$19</formula1>
    </dataValidation>
    <dataValidation type="list" allowBlank="1" showInputMessage="1" showErrorMessage="1" sqref="X2:X491" xr:uid="{00000000-0002-0000-0600-000008000000}">
      <formula1>$AT$2:$AT$3</formula1>
    </dataValidation>
    <dataValidation type="list" allowBlank="1" showInputMessage="1" showErrorMessage="1" sqref="G2:G1000" xr:uid="{00000000-0002-0000-0600-000009000000}">
      <formula1>$AJ$2:$AJ$4</formula1>
    </dataValidation>
    <dataValidation operator="equal" allowBlank="1" showInputMessage="1" showErrorMessage="1" sqref="B146:B1000" xr:uid="{00000000-0002-0000-0600-00000B000000}"/>
    <dataValidation type="list" allowBlank="1" showInputMessage="1" showErrorMessage="1" sqref="F1001:F64242" xr:uid="{00000000-0002-0000-0600-00000C000000}">
      <formula1>$AH$2:$AH$8</formula1>
    </dataValidation>
    <dataValidation type="list" allowBlank="1" showInputMessage="1" showErrorMessage="1" sqref="E1001:E64242" xr:uid="{00000000-0002-0000-0600-00000D000000}">
      <formula1>$AG$2:$AG$9</formula1>
    </dataValidation>
    <dataValidation type="list" allowBlank="1" showInputMessage="1" showErrorMessage="1" sqref="H1318:H64242" xr:uid="{00000000-0002-0000-0600-00000E000000}">
      <formula1>$AL$2:$AL$10</formula1>
    </dataValidation>
    <dataValidation type="list" allowBlank="1" showInputMessage="1" showErrorMessage="1" sqref="Y492:AA64242" xr:uid="{00000000-0002-0000-0600-000010000000}">
      <formula1>$AV$2:$AV$26</formula1>
    </dataValidation>
    <dataValidation type="list" allowBlank="1" showInputMessage="1" showErrorMessage="1" sqref="I1001:I64242" xr:uid="{00000000-0002-0000-0600-000011000000}">
      <formula1>$AN$2:$AN$6</formula1>
    </dataValidation>
    <dataValidation type="list" allowBlank="1" showInputMessage="1" showErrorMessage="1" sqref="H1001:H1317 H2:H145" xr:uid="{AA81BB8A-F1FE-4208-85B5-1FF0FCEB4E33}">
      <formula1>$AL$2:$AL$9</formula1>
    </dataValidation>
    <dataValidation type="list" allowBlank="1" showInputMessage="1" showErrorMessage="1" sqref="H146:H1000" xr:uid="{275C054A-9B5A-41DF-84F0-3334368FCAD4}">
      <formula1>$AL$2:$AL$15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932097C-E062-4CBE-BED5-EC7639015DE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ACBB5488-F4F5-4D7A-B160-559CDB1F646F}">
      <formula1>$AP$2:$AP$15</formula1>
    </dataValidation>
    <dataValidation type="list" allowBlank="1" showInputMessage="1" showErrorMessage="1" sqref="J146:J1000" xr:uid="{C44CAB8E-0A7F-4B46-830A-91B0DB4FF77B}">
      <formula1>$AP$2:$AP$26</formula1>
    </dataValidation>
    <dataValidation type="list" allowBlank="1" showInputMessage="1" showErrorMessage="1" sqref="K146:K1000" xr:uid="{18452FB3-BC99-4046-A7DD-3E529B2DA4AC}">
      <formula1>$AR$2:$AR$25</formula1>
    </dataValidation>
    <dataValidation type="list" allowBlank="1" showInputMessage="1" showErrorMessage="1" sqref="K2:K145" xr:uid="{B2841F96-228D-48D0-BFD4-4E205AA6DD7C}">
      <formula1>$AR$2:$AR$28</formula1>
    </dataValidation>
    <dataValidation type="list" allowBlank="1" showInputMessage="1" showErrorMessage="1" sqref="J2:J145" xr:uid="{4EABB15A-7BD6-4AB4-B460-C5B83DB0C7BE}">
      <formula1>$AP$2:$AP$29</formula1>
    </dataValidation>
    <dataValidation type="list" allowBlank="1" showInputMessage="1" showErrorMessage="1" sqref="E2:E118" xr:uid="{915291FB-7F52-48A7-8BF7-D45A824F9D49}">
      <formula1>$AG$2:$AG$11</formula1>
    </dataValidation>
    <dataValidation allowBlank="1" showInputMessage="1" showErrorMessage="1" sqref="B2" xr:uid="{74D21918-0662-4903-A6A7-9C05CD7B07A1}"/>
    <dataValidation type="list" allowBlank="1" showInputMessage="1" showErrorMessage="1" sqref="F2:F118"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972B-126B-4D35-AD9E-768509B7C1BC}">
  <sheetPr codeName="Sheet3"/>
  <dimension ref="A1:BA154"/>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77" bestFit="1" customWidth="1"/>
    <col min="2" max="2" width="8.5" style="77" bestFit="1" customWidth="1"/>
    <col min="3" max="3" width="9.25" style="77" bestFit="1" customWidth="1"/>
    <col min="4" max="4" width="10.25" style="77" bestFit="1" customWidth="1"/>
    <col min="5" max="5" width="10.875" style="77" bestFit="1" customWidth="1"/>
    <col min="6" max="6" width="18.875" style="77" bestFit="1" customWidth="1"/>
    <col min="7" max="8" width="9" style="77"/>
    <col min="9" max="9" width="9.375" style="77" bestFit="1" customWidth="1"/>
    <col min="10" max="10" width="11.25" style="77" customWidth="1"/>
    <col min="11" max="11" width="11.125" style="77" bestFit="1" customWidth="1"/>
    <col min="12" max="12" width="9.375" style="77" bestFit="1" customWidth="1"/>
    <col min="13" max="13" width="7.625" style="77" bestFit="1" customWidth="1"/>
    <col min="14" max="14" width="9.375" style="77" bestFit="1" customWidth="1"/>
    <col min="15" max="16" width="9" style="77"/>
    <col min="17" max="17" width="9" style="16"/>
    <col min="18" max="19" width="9" style="77"/>
    <col min="20" max="20" width="9" style="16"/>
    <col min="21" max="21" width="9" style="77"/>
    <col min="22" max="22" width="9.375" style="16" customWidth="1"/>
    <col min="23" max="23" width="5.5" style="77" customWidth="1"/>
    <col min="24" max="24" width="9.625" style="77" customWidth="1"/>
    <col min="25" max="26" width="9" style="77"/>
    <col min="27" max="27" width="12.125" style="77" customWidth="1"/>
    <col min="28" max="32" width="9" style="77"/>
    <col min="33" max="33" width="15.125" style="77" bestFit="1" customWidth="1"/>
    <col min="34" max="34" width="19.625" style="77" bestFit="1" customWidth="1"/>
    <col min="35" max="16384" width="9" style="77"/>
  </cols>
  <sheetData>
    <row r="1" spans="1:53" ht="67.5" x14ac:dyDescent="0.15">
      <c r="A1" s="40" t="s">
        <v>0</v>
      </c>
      <c r="B1" s="143" t="s">
        <v>1</v>
      </c>
      <c r="C1" s="143" t="s">
        <v>118</v>
      </c>
      <c r="D1" s="144" t="s">
        <v>2</v>
      </c>
      <c r="E1" s="83" t="s">
        <v>3</v>
      </c>
      <c r="F1" s="83" t="s">
        <v>4</v>
      </c>
      <c r="G1" s="83" t="s">
        <v>5</v>
      </c>
      <c r="H1" s="83" t="s">
        <v>6</v>
      </c>
      <c r="I1" s="83" t="s">
        <v>7</v>
      </c>
      <c r="J1" s="83" t="s">
        <v>8</v>
      </c>
      <c r="K1" s="83" t="s">
        <v>9</v>
      </c>
      <c r="L1" s="144" t="s">
        <v>119</v>
      </c>
      <c r="M1" s="144" t="s">
        <v>10</v>
      </c>
      <c r="N1" s="144" t="s">
        <v>11</v>
      </c>
      <c r="O1" s="144" t="s">
        <v>120</v>
      </c>
      <c r="P1" s="144" t="s">
        <v>121</v>
      </c>
      <c r="Q1" s="3" t="s">
        <v>12</v>
      </c>
      <c r="R1" s="144" t="s">
        <v>122</v>
      </c>
      <c r="S1" s="144" t="s">
        <v>123</v>
      </c>
      <c r="T1" s="3" t="s">
        <v>13</v>
      </c>
      <c r="U1" s="145" t="s">
        <v>252</v>
      </c>
      <c r="V1" s="5" t="s">
        <v>14</v>
      </c>
      <c r="W1" s="144" t="s">
        <v>15</v>
      </c>
      <c r="X1" s="83" t="s">
        <v>16</v>
      </c>
      <c r="Y1" s="83" t="s">
        <v>17</v>
      </c>
      <c r="Z1" s="83" t="s">
        <v>253</v>
      </c>
      <c r="AA1" s="42" t="s">
        <v>19</v>
      </c>
      <c r="AB1" s="146" t="s">
        <v>124</v>
      </c>
      <c r="AE1" s="147" t="s">
        <v>0</v>
      </c>
      <c r="AF1" s="148"/>
      <c r="AG1" s="149" t="s">
        <v>3</v>
      </c>
      <c r="AH1" s="147" t="s">
        <v>4</v>
      </c>
      <c r="AI1" s="148"/>
      <c r="AJ1" s="147" t="s">
        <v>5</v>
      </c>
      <c r="AK1" s="148"/>
      <c r="AL1" s="10" t="s">
        <v>6</v>
      </c>
      <c r="AM1" s="148"/>
      <c r="AN1" s="10" t="s">
        <v>7</v>
      </c>
      <c r="AO1" s="148"/>
      <c r="AP1" s="10" t="s">
        <v>20</v>
      </c>
      <c r="AQ1" s="148"/>
      <c r="AR1" s="10" t="s">
        <v>9</v>
      </c>
      <c r="AS1" s="148"/>
      <c r="AT1" s="11" t="s">
        <v>21</v>
      </c>
      <c r="AU1" s="148"/>
      <c r="AV1" s="10" t="s">
        <v>22</v>
      </c>
      <c r="AX1" s="12" t="s">
        <v>125</v>
      </c>
      <c r="AY1" s="13" t="s">
        <v>126</v>
      </c>
      <c r="AZ1" s="13" t="s">
        <v>127</v>
      </c>
      <c r="BA1" s="14" t="s">
        <v>128</v>
      </c>
    </row>
    <row r="2" spans="1:53" x14ac:dyDescent="0.15">
      <c r="A2" s="77" t="s">
        <v>23</v>
      </c>
      <c r="B2" s="77" t="s">
        <v>160</v>
      </c>
      <c r="C2" s="77">
        <v>2020</v>
      </c>
      <c r="D2" s="150" t="s">
        <v>254</v>
      </c>
      <c r="E2" s="77" t="s">
        <v>255</v>
      </c>
      <c r="F2" s="77" t="s">
        <v>256</v>
      </c>
      <c r="G2" s="77" t="s">
        <v>31</v>
      </c>
      <c r="H2" s="77" t="s">
        <v>113</v>
      </c>
      <c r="I2" s="77" t="s">
        <v>111</v>
      </c>
      <c r="J2" s="77" t="s">
        <v>27</v>
      </c>
      <c r="K2" s="77" t="s">
        <v>112</v>
      </c>
      <c r="L2" s="77">
        <v>1</v>
      </c>
      <c r="N2" s="77">
        <v>1</v>
      </c>
      <c r="O2" s="77">
        <v>0.2</v>
      </c>
      <c r="P2" s="77">
        <v>0.2</v>
      </c>
      <c r="Q2" s="44">
        <f t="shared" ref="Q2:Q85" si="0">IF(OR(O2="",P2=""),"",AVERAGE(O2,P2))</f>
        <v>0.2</v>
      </c>
      <c r="R2" s="77">
        <v>16.100000000000001</v>
      </c>
      <c r="S2" s="77">
        <v>102.5</v>
      </c>
      <c r="T2" s="16">
        <f t="shared" ref="T2:T136" si="1">IF(H2="","",IF(OR(H2="GREEN",H2="GK"),IF(S2&gt;=$AX$2,VLOOKUP(S2,$AX$2:$AY$9,2,1),""),IF(S2&gt;=$AZ$2,VLOOKUP(S2,$AZ$2:$BA$9,2,1),"")))</f>
        <v>33</v>
      </c>
      <c r="U2" s="77">
        <v>96</v>
      </c>
      <c r="V2" s="16">
        <f t="shared" ref="V2:V136" si="2">IF(OR(N2="",U2="",T2=""),"",U2/N2*T2)</f>
        <v>3168</v>
      </c>
      <c r="W2" s="77">
        <v>4</v>
      </c>
      <c r="X2" s="77" t="s">
        <v>35</v>
      </c>
      <c r="Y2" s="77" t="s">
        <v>47</v>
      </c>
      <c r="Z2" s="77" t="s">
        <v>55</v>
      </c>
      <c r="AA2" s="77" t="s">
        <v>43</v>
      </c>
      <c r="AB2" s="77" t="s">
        <v>161</v>
      </c>
      <c r="AE2" s="151" t="s">
        <v>24</v>
      </c>
      <c r="AG2" s="152" t="s">
        <v>257</v>
      </c>
      <c r="AH2" s="50" t="s">
        <v>256</v>
      </c>
      <c r="AJ2" s="50" t="s">
        <v>25</v>
      </c>
      <c r="AL2" s="153" t="s">
        <v>107</v>
      </c>
      <c r="AN2" s="50" t="s">
        <v>26</v>
      </c>
      <c r="AP2" s="50" t="s">
        <v>27</v>
      </c>
      <c r="AR2" s="50" t="s">
        <v>129</v>
      </c>
      <c r="AT2" s="50" t="s">
        <v>28</v>
      </c>
      <c r="AV2" s="50" t="s">
        <v>29</v>
      </c>
      <c r="AX2" s="154">
        <v>1</v>
      </c>
      <c r="AY2" s="155">
        <v>50</v>
      </c>
      <c r="AZ2" s="155">
        <v>1</v>
      </c>
      <c r="BA2" s="156">
        <v>50</v>
      </c>
    </row>
    <row r="3" spans="1:53" x14ac:dyDescent="0.15">
      <c r="A3" s="77" t="s">
        <v>23</v>
      </c>
      <c r="B3" s="77" t="s">
        <v>160</v>
      </c>
      <c r="C3" s="77">
        <v>2020</v>
      </c>
      <c r="D3" s="150" t="s">
        <v>254</v>
      </c>
      <c r="E3" s="77" t="s">
        <v>255</v>
      </c>
      <c r="F3" s="77" t="s">
        <v>256</v>
      </c>
      <c r="G3" s="77" t="s">
        <v>31</v>
      </c>
      <c r="H3" s="77" t="s">
        <v>113</v>
      </c>
      <c r="I3" s="77" t="s">
        <v>111</v>
      </c>
      <c r="J3" s="77" t="s">
        <v>27</v>
      </c>
      <c r="K3" s="77" t="s">
        <v>112</v>
      </c>
      <c r="L3" s="77">
        <v>2</v>
      </c>
      <c r="N3" s="77">
        <v>1</v>
      </c>
      <c r="O3" s="77">
        <v>0.8</v>
      </c>
      <c r="P3" s="77">
        <v>0.8</v>
      </c>
      <c r="Q3" s="44">
        <f t="shared" si="0"/>
        <v>0.8</v>
      </c>
      <c r="R3" s="77">
        <v>16.100000000000001</v>
      </c>
      <c r="S3" s="77">
        <v>108</v>
      </c>
      <c r="T3" s="16">
        <f t="shared" si="1"/>
        <v>33</v>
      </c>
      <c r="U3" s="77">
        <v>96</v>
      </c>
      <c r="V3" s="16">
        <f t="shared" si="2"/>
        <v>3168</v>
      </c>
      <c r="W3" s="77">
        <v>4</v>
      </c>
      <c r="X3" s="77" t="s">
        <v>35</v>
      </c>
      <c r="Y3" s="77" t="s">
        <v>47</v>
      </c>
      <c r="Z3" s="77" t="s">
        <v>55</v>
      </c>
      <c r="AA3" s="77" t="s">
        <v>43</v>
      </c>
      <c r="AB3" s="77" t="s">
        <v>161</v>
      </c>
      <c r="AE3" s="22" t="s">
        <v>30</v>
      </c>
      <c r="AG3" s="157" t="s">
        <v>258</v>
      </c>
      <c r="AH3" s="50" t="s">
        <v>259</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50" t="s">
        <v>254</v>
      </c>
      <c r="E4" s="77" t="s">
        <v>255</v>
      </c>
      <c r="F4" s="77" t="s">
        <v>256</v>
      </c>
      <c r="G4" s="77" t="s">
        <v>31</v>
      </c>
      <c r="H4" s="77" t="s">
        <v>113</v>
      </c>
      <c r="I4" s="77" t="s">
        <v>111</v>
      </c>
      <c r="J4" s="77" t="s">
        <v>27</v>
      </c>
      <c r="K4" s="77" t="s">
        <v>112</v>
      </c>
      <c r="L4" s="77">
        <v>3</v>
      </c>
      <c r="N4" s="77">
        <v>1</v>
      </c>
      <c r="O4" s="77">
        <v>0.55000000000000004</v>
      </c>
      <c r="P4" s="77">
        <v>0.5</v>
      </c>
      <c r="Q4" s="44">
        <f t="shared" si="0"/>
        <v>0.52500000000000002</v>
      </c>
      <c r="R4" s="77">
        <v>16.3</v>
      </c>
      <c r="S4" s="77">
        <v>104</v>
      </c>
      <c r="T4" s="16">
        <f t="shared" si="1"/>
        <v>33</v>
      </c>
      <c r="U4" s="77">
        <v>96</v>
      </c>
      <c r="V4" s="16">
        <f t="shared" si="2"/>
        <v>3168</v>
      </c>
      <c r="W4" s="77">
        <v>4</v>
      </c>
      <c r="X4" s="77" t="s">
        <v>35</v>
      </c>
      <c r="Y4" s="77" t="s">
        <v>47</v>
      </c>
      <c r="Z4" s="77" t="s">
        <v>55</v>
      </c>
      <c r="AA4" s="77" t="s">
        <v>43</v>
      </c>
      <c r="AB4" s="77" t="s">
        <v>161</v>
      </c>
      <c r="AE4" s="22" t="s">
        <v>23</v>
      </c>
      <c r="AG4" s="157" t="s">
        <v>260</v>
      </c>
      <c r="AH4" s="50" t="s">
        <v>261</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50" t="s">
        <v>254</v>
      </c>
      <c r="E5" s="77" t="s">
        <v>255</v>
      </c>
      <c r="F5" s="77" t="s">
        <v>256</v>
      </c>
      <c r="G5" s="77" t="s">
        <v>31</v>
      </c>
      <c r="H5" s="77" t="s">
        <v>113</v>
      </c>
      <c r="I5" s="77" t="s">
        <v>111</v>
      </c>
      <c r="J5" s="77" t="s">
        <v>27</v>
      </c>
      <c r="K5" s="77" t="s">
        <v>112</v>
      </c>
      <c r="L5" s="77">
        <v>1</v>
      </c>
      <c r="N5" s="77">
        <v>4</v>
      </c>
      <c r="O5" s="77">
        <v>0.9</v>
      </c>
      <c r="P5" s="77">
        <v>1</v>
      </c>
      <c r="Q5" s="44">
        <f t="shared" si="0"/>
        <v>0.95</v>
      </c>
      <c r="R5" s="77">
        <v>11</v>
      </c>
      <c r="S5" s="77">
        <v>81.5</v>
      </c>
      <c r="T5" s="16">
        <f t="shared" si="1"/>
        <v>39</v>
      </c>
      <c r="U5" s="77">
        <v>296</v>
      </c>
      <c r="V5" s="16">
        <f t="shared" si="2"/>
        <v>2886</v>
      </c>
      <c r="W5" s="77">
        <v>4</v>
      </c>
      <c r="X5" s="77" t="s">
        <v>35</v>
      </c>
      <c r="Y5" s="77" t="s">
        <v>47</v>
      </c>
      <c r="Z5" s="77" t="s">
        <v>55</v>
      </c>
      <c r="AA5" s="77" t="s">
        <v>43</v>
      </c>
      <c r="AB5" s="77" t="s">
        <v>161</v>
      </c>
      <c r="AE5" s="22" t="s">
        <v>40</v>
      </c>
      <c r="AG5" s="157" t="s">
        <v>262</v>
      </c>
      <c r="AH5" s="50" t="s">
        <v>263</v>
      </c>
      <c r="AJ5" s="28"/>
      <c r="AL5" s="80" t="s">
        <v>132</v>
      </c>
      <c r="AN5" s="158" t="s">
        <v>133</v>
      </c>
      <c r="AP5" s="80" t="s">
        <v>134</v>
      </c>
      <c r="AR5" s="80" t="s">
        <v>42</v>
      </c>
      <c r="AV5" s="80" t="s">
        <v>43</v>
      </c>
      <c r="AX5" s="24">
        <v>84</v>
      </c>
      <c r="AY5" s="25">
        <v>39</v>
      </c>
      <c r="AZ5" s="25">
        <v>84</v>
      </c>
      <c r="BA5" s="26">
        <v>36</v>
      </c>
    </row>
    <row r="6" spans="1:53" x14ac:dyDescent="0.15">
      <c r="A6" s="77" t="s">
        <v>23</v>
      </c>
      <c r="B6" s="77" t="s">
        <v>160</v>
      </c>
      <c r="C6" s="77">
        <v>2020</v>
      </c>
      <c r="D6" s="150" t="s">
        <v>254</v>
      </c>
      <c r="E6" s="77" t="s">
        <v>255</v>
      </c>
      <c r="F6" s="77" t="s">
        <v>256</v>
      </c>
      <c r="G6" s="77" t="s">
        <v>31</v>
      </c>
      <c r="H6" s="77" t="s">
        <v>113</v>
      </c>
      <c r="I6" s="77" t="s">
        <v>111</v>
      </c>
      <c r="J6" s="77" t="s">
        <v>27</v>
      </c>
      <c r="K6" s="77" t="s">
        <v>112</v>
      </c>
      <c r="L6" s="77">
        <v>2</v>
      </c>
      <c r="N6" s="77">
        <v>4</v>
      </c>
      <c r="O6" s="77">
        <v>1.1000000000000001</v>
      </c>
      <c r="P6" s="77">
        <v>1.2</v>
      </c>
      <c r="Q6" s="44">
        <f t="shared" si="0"/>
        <v>1.1499999999999999</v>
      </c>
      <c r="R6" s="77">
        <v>11.2</v>
      </c>
      <c r="S6" s="77">
        <v>83.5</v>
      </c>
      <c r="T6" s="16">
        <f t="shared" si="1"/>
        <v>39</v>
      </c>
      <c r="U6" s="77">
        <v>296</v>
      </c>
      <c r="V6" s="16">
        <f t="shared" si="2"/>
        <v>2886</v>
      </c>
      <c r="W6" s="77">
        <v>4</v>
      </c>
      <c r="X6" s="77" t="s">
        <v>35</v>
      </c>
      <c r="Y6" s="77" t="s">
        <v>47</v>
      </c>
      <c r="Z6" s="77" t="s">
        <v>55</v>
      </c>
      <c r="AA6" s="77" t="s">
        <v>43</v>
      </c>
      <c r="AB6" s="77" t="s">
        <v>161</v>
      </c>
      <c r="AE6" s="22" t="s">
        <v>44</v>
      </c>
      <c r="AG6" s="157" t="s">
        <v>264</v>
      </c>
      <c r="AH6" s="50" t="s">
        <v>265</v>
      </c>
      <c r="AL6" s="80" t="s">
        <v>135</v>
      </c>
      <c r="AN6" s="158" t="s">
        <v>136</v>
      </c>
      <c r="AP6" s="80" t="s">
        <v>41</v>
      </c>
      <c r="AR6" s="80" t="s">
        <v>46</v>
      </c>
      <c r="AV6" s="80" t="s">
        <v>47</v>
      </c>
      <c r="AX6" s="24">
        <v>97</v>
      </c>
      <c r="AY6" s="25">
        <v>36</v>
      </c>
      <c r="AZ6" s="25">
        <v>99</v>
      </c>
      <c r="BA6" s="26">
        <v>33</v>
      </c>
    </row>
    <row r="7" spans="1:53" x14ac:dyDescent="0.15">
      <c r="A7" s="77" t="s">
        <v>23</v>
      </c>
      <c r="B7" s="77" t="s">
        <v>160</v>
      </c>
      <c r="C7" s="77">
        <v>2020</v>
      </c>
      <c r="D7" s="150" t="s">
        <v>254</v>
      </c>
      <c r="E7" s="77" t="s">
        <v>255</v>
      </c>
      <c r="F7" s="77" t="s">
        <v>256</v>
      </c>
      <c r="G7" s="77" t="s">
        <v>31</v>
      </c>
      <c r="H7" s="77" t="s">
        <v>113</v>
      </c>
      <c r="I7" s="77" t="s">
        <v>111</v>
      </c>
      <c r="J7" s="77" t="s">
        <v>27</v>
      </c>
      <c r="K7" s="77" t="s">
        <v>112</v>
      </c>
      <c r="L7" s="77">
        <v>3</v>
      </c>
      <c r="N7" s="77">
        <v>4</v>
      </c>
      <c r="O7" s="77">
        <v>0.75</v>
      </c>
      <c r="P7" s="77">
        <v>0.7</v>
      </c>
      <c r="Q7" s="44">
        <f t="shared" si="0"/>
        <v>0.72499999999999998</v>
      </c>
      <c r="R7" s="77">
        <v>13.3</v>
      </c>
      <c r="S7" s="77">
        <v>85.5</v>
      </c>
      <c r="T7" s="16">
        <f t="shared" si="1"/>
        <v>36</v>
      </c>
      <c r="U7" s="77">
        <v>296</v>
      </c>
      <c r="V7" s="16">
        <f t="shared" si="2"/>
        <v>2664</v>
      </c>
      <c r="W7" s="77">
        <v>4</v>
      </c>
      <c r="X7" s="77" t="s">
        <v>35</v>
      </c>
      <c r="Y7" s="77" t="s">
        <v>47</v>
      </c>
      <c r="Z7" s="77" t="s">
        <v>55</v>
      </c>
      <c r="AA7" s="77" t="s">
        <v>43</v>
      </c>
      <c r="AB7" s="77" t="s">
        <v>161</v>
      </c>
      <c r="AE7" s="22" t="s">
        <v>48</v>
      </c>
      <c r="AG7" s="157" t="s">
        <v>266</v>
      </c>
      <c r="AH7" s="50" t="s">
        <v>267</v>
      </c>
      <c r="AL7" s="86" t="s">
        <v>137</v>
      </c>
      <c r="AP7" s="80" t="s">
        <v>45</v>
      </c>
      <c r="AR7" s="80" t="s">
        <v>102</v>
      </c>
      <c r="AV7" s="80" t="s">
        <v>51</v>
      </c>
      <c r="AX7" s="24">
        <v>109</v>
      </c>
      <c r="AY7" s="25">
        <v>33</v>
      </c>
      <c r="AZ7" s="25">
        <v>113</v>
      </c>
      <c r="BA7" s="26">
        <v>30</v>
      </c>
    </row>
    <row r="8" spans="1:53" x14ac:dyDescent="0.15">
      <c r="A8" s="77" t="s">
        <v>23</v>
      </c>
      <c r="B8" s="77" t="s">
        <v>160</v>
      </c>
      <c r="C8" s="77">
        <v>2020</v>
      </c>
      <c r="D8" s="150" t="s">
        <v>254</v>
      </c>
      <c r="E8" s="77" t="s">
        <v>255</v>
      </c>
      <c r="F8" s="77" t="s">
        <v>256</v>
      </c>
      <c r="G8" s="77" t="s">
        <v>31</v>
      </c>
      <c r="H8" s="77" t="s">
        <v>164</v>
      </c>
      <c r="I8" s="77" t="s">
        <v>111</v>
      </c>
      <c r="J8" s="77" t="s">
        <v>27</v>
      </c>
      <c r="K8" s="77" t="s">
        <v>112</v>
      </c>
      <c r="L8" s="77">
        <v>1</v>
      </c>
      <c r="N8" s="77">
        <v>1</v>
      </c>
      <c r="O8" s="77">
        <v>0.2</v>
      </c>
      <c r="P8" s="77">
        <v>0.45</v>
      </c>
      <c r="Q8" s="44">
        <f t="shared" si="0"/>
        <v>0.32500000000000001</v>
      </c>
      <c r="R8" s="77">
        <v>16.399999999999999</v>
      </c>
      <c r="S8" s="77">
        <v>118.5</v>
      </c>
      <c r="T8" s="16">
        <f t="shared" si="1"/>
        <v>30</v>
      </c>
      <c r="U8" s="77">
        <v>96</v>
      </c>
      <c r="V8" s="16">
        <f t="shared" si="2"/>
        <v>2880</v>
      </c>
      <c r="W8" s="77">
        <v>4</v>
      </c>
      <c r="X8" s="77" t="s">
        <v>35</v>
      </c>
      <c r="Y8" s="77" t="s">
        <v>47</v>
      </c>
      <c r="Z8" s="77" t="s">
        <v>55</v>
      </c>
      <c r="AA8" s="77" t="s">
        <v>43</v>
      </c>
      <c r="AB8" s="77" t="s">
        <v>161</v>
      </c>
      <c r="AE8" s="22" t="s">
        <v>46</v>
      </c>
      <c r="AG8" s="157" t="s">
        <v>268</v>
      </c>
      <c r="AH8" s="50" t="s">
        <v>269</v>
      </c>
      <c r="AL8" s="86" t="s">
        <v>110</v>
      </c>
      <c r="AP8" s="80" t="s">
        <v>49</v>
      </c>
      <c r="AR8" s="80" t="s">
        <v>67</v>
      </c>
      <c r="AV8" s="80" t="s">
        <v>82</v>
      </c>
      <c r="AX8" s="24">
        <v>151</v>
      </c>
      <c r="AY8" s="25">
        <v>22</v>
      </c>
      <c r="AZ8" s="25">
        <v>152</v>
      </c>
      <c r="BA8" s="26">
        <v>18</v>
      </c>
    </row>
    <row r="9" spans="1:53" x14ac:dyDescent="0.15">
      <c r="A9" s="77" t="s">
        <v>23</v>
      </c>
      <c r="B9" s="77" t="s">
        <v>160</v>
      </c>
      <c r="C9" s="77">
        <v>2020</v>
      </c>
      <c r="D9" s="150" t="s">
        <v>254</v>
      </c>
      <c r="E9" s="77" t="s">
        <v>255</v>
      </c>
      <c r="F9" s="77" t="s">
        <v>256</v>
      </c>
      <c r="G9" s="77" t="s">
        <v>31</v>
      </c>
      <c r="H9" s="77" t="s">
        <v>164</v>
      </c>
      <c r="I9" s="77" t="s">
        <v>111</v>
      </c>
      <c r="J9" s="77" t="s">
        <v>27</v>
      </c>
      <c r="K9" s="77" t="s">
        <v>112</v>
      </c>
      <c r="L9" s="77">
        <v>2</v>
      </c>
      <c r="N9" s="77">
        <v>1</v>
      </c>
      <c r="O9" s="77">
        <v>0.2</v>
      </c>
      <c r="P9" s="77">
        <v>0.45</v>
      </c>
      <c r="Q9" s="44">
        <f t="shared" si="0"/>
        <v>0.32500000000000001</v>
      </c>
      <c r="R9" s="77">
        <v>18.100000000000001</v>
      </c>
      <c r="S9" s="77">
        <v>115.5</v>
      </c>
      <c r="T9" s="16">
        <f t="shared" si="1"/>
        <v>30</v>
      </c>
      <c r="U9" s="77">
        <v>96</v>
      </c>
      <c r="V9" s="16">
        <f t="shared" si="2"/>
        <v>2880</v>
      </c>
      <c r="W9" s="77">
        <v>4</v>
      </c>
      <c r="X9" s="77" t="s">
        <v>35</v>
      </c>
      <c r="Y9" s="77" t="s">
        <v>47</v>
      </c>
      <c r="Z9" s="77" t="s">
        <v>55</v>
      </c>
      <c r="AA9" s="77" t="s">
        <v>43</v>
      </c>
      <c r="AB9" s="77" t="s">
        <v>161</v>
      </c>
      <c r="AE9" s="22" t="s">
        <v>83</v>
      </c>
      <c r="AG9" s="157" t="s">
        <v>270</v>
      </c>
      <c r="AH9" s="50" t="s">
        <v>271</v>
      </c>
      <c r="AL9" s="80" t="s">
        <v>139</v>
      </c>
      <c r="AP9" s="80" t="s">
        <v>80</v>
      </c>
      <c r="AR9" s="80" t="s">
        <v>75</v>
      </c>
      <c r="AV9" s="80" t="s">
        <v>86</v>
      </c>
      <c r="AX9" s="31">
        <v>180</v>
      </c>
      <c r="AY9" s="32">
        <v>18</v>
      </c>
      <c r="AZ9" s="32">
        <v>181</v>
      </c>
      <c r="BA9" s="33">
        <v>16</v>
      </c>
    </row>
    <row r="10" spans="1:53" x14ac:dyDescent="0.15">
      <c r="A10" s="77" t="s">
        <v>23</v>
      </c>
      <c r="B10" s="77" t="s">
        <v>160</v>
      </c>
      <c r="C10" s="77">
        <v>2020</v>
      </c>
      <c r="D10" s="150" t="s">
        <v>254</v>
      </c>
      <c r="E10" s="77" t="s">
        <v>255</v>
      </c>
      <c r="F10" s="77" t="s">
        <v>256</v>
      </c>
      <c r="G10" s="77" t="s">
        <v>31</v>
      </c>
      <c r="H10" s="77" t="s">
        <v>164</v>
      </c>
      <c r="I10" s="77" t="s">
        <v>111</v>
      </c>
      <c r="J10" s="77" t="s">
        <v>27</v>
      </c>
      <c r="K10" s="77" t="s">
        <v>112</v>
      </c>
      <c r="L10" s="77">
        <v>3</v>
      </c>
      <c r="N10" s="77">
        <v>1</v>
      </c>
      <c r="O10" s="77">
        <v>0.5</v>
      </c>
      <c r="P10" s="77">
        <v>0.45</v>
      </c>
      <c r="Q10" s="44">
        <f t="shared" si="0"/>
        <v>0.47499999999999998</v>
      </c>
      <c r="R10" s="77">
        <v>19.2</v>
      </c>
      <c r="S10" s="77">
        <v>116.5</v>
      </c>
      <c r="T10" s="16">
        <f t="shared" si="1"/>
        <v>30</v>
      </c>
      <c r="U10" s="77">
        <v>96</v>
      </c>
      <c r="V10" s="16">
        <f t="shared" si="2"/>
        <v>2880</v>
      </c>
      <c r="W10" s="77">
        <v>4</v>
      </c>
      <c r="X10" s="77" t="s">
        <v>35</v>
      </c>
      <c r="Y10" s="77" t="s">
        <v>47</v>
      </c>
      <c r="Z10" s="77" t="s">
        <v>55</v>
      </c>
      <c r="AA10" s="77" t="s">
        <v>43</v>
      </c>
      <c r="AB10" s="77" t="s">
        <v>161</v>
      </c>
      <c r="AE10" s="22" t="s">
        <v>87</v>
      </c>
      <c r="AG10" s="157" t="s">
        <v>272</v>
      </c>
      <c r="AH10" s="50" t="s">
        <v>273</v>
      </c>
      <c r="AL10" s="34"/>
      <c r="AP10" s="80" t="s">
        <v>84</v>
      </c>
      <c r="AR10" s="80" t="s">
        <v>103</v>
      </c>
      <c r="AV10" s="80" t="s">
        <v>90</v>
      </c>
    </row>
    <row r="11" spans="1:53" x14ac:dyDescent="0.15">
      <c r="A11" s="77" t="s">
        <v>23</v>
      </c>
      <c r="B11" s="77" t="s">
        <v>160</v>
      </c>
      <c r="C11" s="77">
        <v>2020</v>
      </c>
      <c r="D11" s="150" t="s">
        <v>254</v>
      </c>
      <c r="E11" s="77" t="s">
        <v>255</v>
      </c>
      <c r="F11" s="77" t="s">
        <v>256</v>
      </c>
      <c r="G11" s="77" t="s">
        <v>31</v>
      </c>
      <c r="H11" s="77" t="s">
        <v>164</v>
      </c>
      <c r="I11" s="77" t="s">
        <v>111</v>
      </c>
      <c r="J11" s="77" t="s">
        <v>27</v>
      </c>
      <c r="K11" s="77" t="s">
        <v>112</v>
      </c>
      <c r="L11" s="77">
        <v>1</v>
      </c>
      <c r="N11" s="77">
        <v>4</v>
      </c>
      <c r="O11" s="77">
        <v>0.2</v>
      </c>
      <c r="P11" s="77">
        <v>0.2</v>
      </c>
      <c r="Q11" s="44">
        <f t="shared" si="0"/>
        <v>0.2</v>
      </c>
      <c r="R11" s="77">
        <v>17.600000000000001</v>
      </c>
      <c r="S11" s="77">
        <v>102</v>
      </c>
      <c r="T11" s="16">
        <f t="shared" si="1"/>
        <v>33</v>
      </c>
      <c r="U11" s="77">
        <v>396</v>
      </c>
      <c r="V11" s="16">
        <f t="shared" si="2"/>
        <v>3267</v>
      </c>
      <c r="W11" s="77">
        <v>4</v>
      </c>
      <c r="X11" s="77" t="s">
        <v>35</v>
      </c>
      <c r="Y11" s="77" t="s">
        <v>47</v>
      </c>
      <c r="Z11" s="77" t="s">
        <v>55</v>
      </c>
      <c r="AA11" s="77" t="s">
        <v>43</v>
      </c>
      <c r="AB11" s="77" t="s">
        <v>161</v>
      </c>
      <c r="AE11" s="22" t="s">
        <v>52</v>
      </c>
      <c r="AG11" s="157" t="s">
        <v>274</v>
      </c>
      <c r="AH11" s="50" t="s">
        <v>275</v>
      </c>
      <c r="AL11" s="34"/>
      <c r="AP11" s="80" t="s">
        <v>88</v>
      </c>
      <c r="AR11" s="80" t="s">
        <v>73</v>
      </c>
      <c r="AV11" s="80" t="s">
        <v>55</v>
      </c>
    </row>
    <row r="12" spans="1:53" x14ac:dyDescent="0.15">
      <c r="A12" s="77" t="s">
        <v>23</v>
      </c>
      <c r="B12" s="77" t="s">
        <v>160</v>
      </c>
      <c r="C12" s="77">
        <v>2020</v>
      </c>
      <c r="D12" s="150" t="s">
        <v>254</v>
      </c>
      <c r="E12" s="77" t="s">
        <v>255</v>
      </c>
      <c r="F12" s="77" t="s">
        <v>256</v>
      </c>
      <c r="G12" s="77" t="s">
        <v>31</v>
      </c>
      <c r="H12" s="77" t="s">
        <v>164</v>
      </c>
      <c r="I12" s="77" t="s">
        <v>111</v>
      </c>
      <c r="J12" s="77" t="s">
        <v>27</v>
      </c>
      <c r="K12" s="77" t="s">
        <v>112</v>
      </c>
      <c r="L12" s="77">
        <v>2</v>
      </c>
      <c r="N12" s="77">
        <v>4</v>
      </c>
      <c r="O12" s="77">
        <v>0.2</v>
      </c>
      <c r="P12" s="77">
        <v>0.2</v>
      </c>
      <c r="Q12" s="44">
        <f t="shared" si="0"/>
        <v>0.2</v>
      </c>
      <c r="R12" s="77">
        <v>14.6</v>
      </c>
      <c r="S12" s="77">
        <v>94</v>
      </c>
      <c r="T12" s="16">
        <f t="shared" si="1"/>
        <v>36</v>
      </c>
      <c r="U12" s="77">
        <v>396</v>
      </c>
      <c r="V12" s="16">
        <f t="shared" si="2"/>
        <v>3564</v>
      </c>
      <c r="W12" s="77">
        <v>4</v>
      </c>
      <c r="X12" s="77" t="s">
        <v>35</v>
      </c>
      <c r="Y12" s="77" t="s">
        <v>47</v>
      </c>
      <c r="Z12" s="77" t="s">
        <v>55</v>
      </c>
      <c r="AA12" s="77" t="s">
        <v>43</v>
      </c>
      <c r="AB12" s="77" t="s">
        <v>161</v>
      </c>
      <c r="AE12" s="22" t="s">
        <v>56</v>
      </c>
      <c r="AG12" s="28"/>
      <c r="AH12" s="80"/>
      <c r="AL12" s="34"/>
      <c r="AP12" s="80" t="s">
        <v>53</v>
      </c>
      <c r="AR12" s="80" t="s">
        <v>104</v>
      </c>
      <c r="AV12" s="80" t="s">
        <v>58</v>
      </c>
    </row>
    <row r="13" spans="1:53" x14ac:dyDescent="0.15">
      <c r="A13" s="77" t="s">
        <v>23</v>
      </c>
      <c r="B13" s="77" t="s">
        <v>160</v>
      </c>
      <c r="C13" s="77">
        <v>2020</v>
      </c>
      <c r="D13" s="150" t="s">
        <v>254</v>
      </c>
      <c r="E13" s="77" t="s">
        <v>255</v>
      </c>
      <c r="F13" s="77" t="s">
        <v>256</v>
      </c>
      <c r="G13" s="77" t="s">
        <v>31</v>
      </c>
      <c r="H13" s="77" t="s">
        <v>164</v>
      </c>
      <c r="I13" s="77" t="s">
        <v>111</v>
      </c>
      <c r="J13" s="77" t="s">
        <v>27</v>
      </c>
      <c r="K13" s="77" t="s">
        <v>112</v>
      </c>
      <c r="L13" s="77">
        <v>3</v>
      </c>
      <c r="N13" s="77">
        <v>4</v>
      </c>
      <c r="O13" s="77">
        <v>0.2</v>
      </c>
      <c r="P13" s="77">
        <v>0.2</v>
      </c>
      <c r="Q13" s="44">
        <f t="shared" si="0"/>
        <v>0.2</v>
      </c>
      <c r="R13" s="77">
        <v>12.3</v>
      </c>
      <c r="S13" s="77">
        <v>98</v>
      </c>
      <c r="T13" s="16">
        <f t="shared" si="1"/>
        <v>36</v>
      </c>
      <c r="U13" s="77">
        <v>396</v>
      </c>
      <c r="V13" s="16">
        <f t="shared" si="2"/>
        <v>3564</v>
      </c>
      <c r="W13" s="77">
        <v>4</v>
      </c>
      <c r="X13" s="77" t="s">
        <v>35</v>
      </c>
      <c r="Y13" s="77" t="s">
        <v>47</v>
      </c>
      <c r="Z13" s="77" t="s">
        <v>55</v>
      </c>
      <c r="AA13" s="77" t="s">
        <v>43</v>
      </c>
      <c r="AB13" s="77" t="s">
        <v>161</v>
      </c>
      <c r="AE13" s="22" t="s">
        <v>59</v>
      </c>
      <c r="AH13" s="28"/>
      <c r="AP13" s="80" t="s">
        <v>57</v>
      </c>
      <c r="AR13" s="80" t="s">
        <v>87</v>
      </c>
      <c r="AV13" s="80" t="s">
        <v>61</v>
      </c>
    </row>
    <row r="14" spans="1:53" x14ac:dyDescent="0.15">
      <c r="A14" s="77" t="s">
        <v>23</v>
      </c>
      <c r="B14" s="77" t="s">
        <v>160</v>
      </c>
      <c r="C14" s="77">
        <v>2020</v>
      </c>
      <c r="D14" s="150" t="s">
        <v>254</v>
      </c>
      <c r="E14" s="77" t="s">
        <v>276</v>
      </c>
      <c r="F14" s="77" t="s">
        <v>277</v>
      </c>
      <c r="G14" s="77" t="s">
        <v>25</v>
      </c>
      <c r="H14" s="77" t="s">
        <v>113</v>
      </c>
      <c r="I14" s="77" t="s">
        <v>111</v>
      </c>
      <c r="J14" s="77" t="s">
        <v>27</v>
      </c>
      <c r="K14" s="77" t="s">
        <v>112</v>
      </c>
      <c r="L14" s="77">
        <v>1</v>
      </c>
      <c r="N14" s="77">
        <v>1</v>
      </c>
      <c r="O14" s="77">
        <v>0.2</v>
      </c>
      <c r="P14" s="77">
        <v>0.2</v>
      </c>
      <c r="Q14" s="44">
        <f t="shared" si="0"/>
        <v>0.2</v>
      </c>
      <c r="R14" s="77">
        <v>16.399999999999999</v>
      </c>
      <c r="S14" s="77">
        <v>136.5</v>
      </c>
      <c r="T14" s="16">
        <f t="shared" si="1"/>
        <v>30</v>
      </c>
      <c r="U14" s="77">
        <v>108</v>
      </c>
      <c r="V14" s="16">
        <f t="shared" si="2"/>
        <v>3240</v>
      </c>
      <c r="W14" s="77">
        <v>7</v>
      </c>
      <c r="X14" s="77" t="s">
        <v>35</v>
      </c>
      <c r="Y14" s="77" t="s">
        <v>47</v>
      </c>
      <c r="Z14" s="77" t="s">
        <v>55</v>
      </c>
      <c r="AA14" s="77" t="s">
        <v>64</v>
      </c>
      <c r="AB14" s="77" t="s">
        <v>161</v>
      </c>
      <c r="AE14" s="22" t="s">
        <v>62</v>
      </c>
      <c r="AG14" s="159"/>
      <c r="AP14" s="80" t="s">
        <v>60</v>
      </c>
      <c r="AR14" s="80" t="s">
        <v>105</v>
      </c>
      <c r="AV14" s="80" t="s">
        <v>64</v>
      </c>
    </row>
    <row r="15" spans="1:53" x14ac:dyDescent="0.15">
      <c r="A15" s="77" t="s">
        <v>23</v>
      </c>
      <c r="B15" s="77" t="s">
        <v>160</v>
      </c>
      <c r="C15" s="77">
        <v>2020</v>
      </c>
      <c r="D15" s="150" t="s">
        <v>254</v>
      </c>
      <c r="E15" s="77" t="s">
        <v>276</v>
      </c>
      <c r="F15" s="77" t="s">
        <v>277</v>
      </c>
      <c r="G15" s="77" t="s">
        <v>25</v>
      </c>
      <c r="H15" s="77" t="s">
        <v>113</v>
      </c>
      <c r="I15" s="77" t="s">
        <v>111</v>
      </c>
      <c r="J15" s="77" t="s">
        <v>27</v>
      </c>
      <c r="K15" s="77" t="s">
        <v>112</v>
      </c>
      <c r="L15" s="77">
        <v>2</v>
      </c>
      <c r="N15" s="77">
        <v>1</v>
      </c>
      <c r="O15" s="77">
        <v>0.55000000000000004</v>
      </c>
      <c r="P15" s="77">
        <v>0.7</v>
      </c>
      <c r="Q15" s="44">
        <f t="shared" si="0"/>
        <v>0.625</v>
      </c>
      <c r="R15" s="77">
        <v>15.7</v>
      </c>
      <c r="S15" s="77">
        <v>126</v>
      </c>
      <c r="T15" s="16">
        <f t="shared" si="1"/>
        <v>30</v>
      </c>
      <c r="U15" s="77">
        <v>108</v>
      </c>
      <c r="V15" s="16">
        <f t="shared" si="2"/>
        <v>3240</v>
      </c>
      <c r="W15" s="77">
        <v>7</v>
      </c>
      <c r="X15" s="77" t="s">
        <v>35</v>
      </c>
      <c r="Y15" s="77" t="s">
        <v>47</v>
      </c>
      <c r="Z15" s="77" t="s">
        <v>55</v>
      </c>
      <c r="AA15" s="77" t="s">
        <v>64</v>
      </c>
      <c r="AB15" s="77" t="s">
        <v>161</v>
      </c>
      <c r="AE15" s="22" t="s">
        <v>65</v>
      </c>
      <c r="AP15" s="80" t="s">
        <v>63</v>
      </c>
      <c r="AR15" s="80" t="s">
        <v>79</v>
      </c>
      <c r="AV15" s="80" t="s">
        <v>91</v>
      </c>
    </row>
    <row r="16" spans="1:53" x14ac:dyDescent="0.15">
      <c r="A16" s="77" t="s">
        <v>23</v>
      </c>
      <c r="B16" s="77" t="s">
        <v>160</v>
      </c>
      <c r="C16" s="77">
        <v>2020</v>
      </c>
      <c r="D16" s="150" t="s">
        <v>254</v>
      </c>
      <c r="E16" s="77" t="s">
        <v>276</v>
      </c>
      <c r="F16" s="77" t="s">
        <v>277</v>
      </c>
      <c r="G16" s="77" t="s">
        <v>25</v>
      </c>
      <c r="H16" s="77" t="s">
        <v>113</v>
      </c>
      <c r="I16" s="77" t="s">
        <v>111</v>
      </c>
      <c r="J16" s="77" t="s">
        <v>27</v>
      </c>
      <c r="K16" s="77" t="s">
        <v>112</v>
      </c>
      <c r="L16" s="77">
        <v>3</v>
      </c>
      <c r="N16" s="77">
        <v>1</v>
      </c>
      <c r="O16" s="77">
        <v>0.9</v>
      </c>
      <c r="P16" s="77">
        <v>0.9</v>
      </c>
      <c r="Q16" s="44">
        <f t="shared" si="0"/>
        <v>0.9</v>
      </c>
      <c r="R16" s="77">
        <v>15.9</v>
      </c>
      <c r="S16" s="77">
        <v>131</v>
      </c>
      <c r="T16" s="16">
        <f t="shared" si="1"/>
        <v>30</v>
      </c>
      <c r="U16" s="77">
        <v>108</v>
      </c>
      <c r="V16" s="16">
        <f t="shared" si="2"/>
        <v>3240</v>
      </c>
      <c r="W16" s="77">
        <v>7</v>
      </c>
      <c r="X16" s="77" t="s">
        <v>35</v>
      </c>
      <c r="Y16" s="77" t="s">
        <v>47</v>
      </c>
      <c r="Z16" s="77" t="s">
        <v>55</v>
      </c>
      <c r="AA16" s="77" t="s">
        <v>64</v>
      </c>
      <c r="AB16" s="77" t="s">
        <v>161</v>
      </c>
      <c r="AE16" s="22" t="s">
        <v>68</v>
      </c>
      <c r="AP16" s="80" t="s">
        <v>66</v>
      </c>
      <c r="AR16" s="80" t="s">
        <v>50</v>
      </c>
      <c r="AV16" s="80" t="s">
        <v>70</v>
      </c>
    </row>
    <row r="17" spans="1:48" x14ac:dyDescent="0.15">
      <c r="A17" s="77" t="s">
        <v>23</v>
      </c>
      <c r="B17" s="77" t="s">
        <v>160</v>
      </c>
      <c r="C17" s="77">
        <v>2020</v>
      </c>
      <c r="D17" s="150" t="s">
        <v>254</v>
      </c>
      <c r="E17" s="77" t="s">
        <v>276</v>
      </c>
      <c r="F17" s="77" t="s">
        <v>277</v>
      </c>
      <c r="G17" s="77" t="s">
        <v>25</v>
      </c>
      <c r="H17" s="77" t="s">
        <v>113</v>
      </c>
      <c r="I17" s="77" t="s">
        <v>111</v>
      </c>
      <c r="J17" s="77" t="s">
        <v>27</v>
      </c>
      <c r="K17" s="77" t="s">
        <v>112</v>
      </c>
      <c r="L17" s="77">
        <v>1</v>
      </c>
      <c r="N17" s="77">
        <v>5</v>
      </c>
      <c r="O17" s="77">
        <v>0.2</v>
      </c>
      <c r="P17" s="77">
        <v>0.2</v>
      </c>
      <c r="Q17" s="44">
        <f t="shared" si="0"/>
        <v>0.2</v>
      </c>
      <c r="R17" s="77">
        <v>15.2</v>
      </c>
      <c r="S17" s="77">
        <v>109.5</v>
      </c>
      <c r="T17" s="16">
        <f t="shared" si="1"/>
        <v>33</v>
      </c>
      <c r="U17" s="77">
        <v>398</v>
      </c>
      <c r="V17" s="16">
        <f t="shared" si="2"/>
        <v>2626.7999999999997</v>
      </c>
      <c r="W17" s="77">
        <v>7</v>
      </c>
      <c r="X17" s="77" t="s">
        <v>35</v>
      </c>
      <c r="Y17" s="77" t="s">
        <v>47</v>
      </c>
      <c r="Z17" s="77" t="s">
        <v>55</v>
      </c>
      <c r="AA17" s="77" t="s">
        <v>64</v>
      </c>
      <c r="AB17" s="77" t="s">
        <v>161</v>
      </c>
      <c r="AE17" s="22" t="s">
        <v>71</v>
      </c>
      <c r="AP17" s="27" t="s">
        <v>93</v>
      </c>
      <c r="AR17" s="80" t="s">
        <v>81</v>
      </c>
      <c r="AV17" s="80" t="s">
        <v>72</v>
      </c>
    </row>
    <row r="18" spans="1:48" x14ac:dyDescent="0.15">
      <c r="A18" s="77" t="s">
        <v>23</v>
      </c>
      <c r="B18" s="77" t="s">
        <v>160</v>
      </c>
      <c r="C18" s="77">
        <v>2020</v>
      </c>
      <c r="D18" s="150" t="s">
        <v>254</v>
      </c>
      <c r="E18" s="77" t="s">
        <v>276</v>
      </c>
      <c r="F18" s="77" t="s">
        <v>277</v>
      </c>
      <c r="G18" s="77" t="s">
        <v>25</v>
      </c>
      <c r="H18" s="77" t="s">
        <v>113</v>
      </c>
      <c r="I18" s="77" t="s">
        <v>111</v>
      </c>
      <c r="J18" s="77" t="s">
        <v>27</v>
      </c>
      <c r="K18" s="77" t="s">
        <v>112</v>
      </c>
      <c r="L18" s="77">
        <v>2</v>
      </c>
      <c r="N18" s="77">
        <v>5</v>
      </c>
      <c r="O18" s="77">
        <v>0.55000000000000004</v>
      </c>
      <c r="P18" s="77">
        <v>0.7</v>
      </c>
      <c r="Q18" s="44">
        <f t="shared" si="0"/>
        <v>0.625</v>
      </c>
      <c r="R18" s="77">
        <v>14.8</v>
      </c>
      <c r="S18" s="77">
        <v>113.5</v>
      </c>
      <c r="T18" s="16">
        <f t="shared" si="1"/>
        <v>30</v>
      </c>
      <c r="U18" s="77">
        <v>398</v>
      </c>
      <c r="V18" s="16">
        <f t="shared" si="2"/>
        <v>2388</v>
      </c>
      <c r="W18" s="77">
        <v>7</v>
      </c>
      <c r="X18" s="77" t="s">
        <v>35</v>
      </c>
      <c r="Y18" s="77" t="s">
        <v>47</v>
      </c>
      <c r="Z18" s="77" t="s">
        <v>55</v>
      </c>
      <c r="AA18" s="77" t="s">
        <v>64</v>
      </c>
      <c r="AB18" s="77" t="s">
        <v>161</v>
      </c>
      <c r="AE18" s="22" t="s">
        <v>73</v>
      </c>
      <c r="AP18" s="27" t="s">
        <v>94</v>
      </c>
      <c r="AR18" s="80" t="s">
        <v>85</v>
      </c>
      <c r="AV18" s="80" t="s">
        <v>74</v>
      </c>
    </row>
    <row r="19" spans="1:48" x14ac:dyDescent="0.15">
      <c r="A19" s="77" t="s">
        <v>23</v>
      </c>
      <c r="B19" s="77" t="s">
        <v>160</v>
      </c>
      <c r="C19" s="77">
        <v>2020</v>
      </c>
      <c r="D19" s="150" t="s">
        <v>254</v>
      </c>
      <c r="E19" s="77" t="s">
        <v>276</v>
      </c>
      <c r="F19" s="77" t="s">
        <v>277</v>
      </c>
      <c r="G19" s="77" t="s">
        <v>25</v>
      </c>
      <c r="H19" s="77" t="s">
        <v>113</v>
      </c>
      <c r="I19" s="77" t="s">
        <v>111</v>
      </c>
      <c r="J19" s="77" t="s">
        <v>27</v>
      </c>
      <c r="K19" s="77" t="s">
        <v>112</v>
      </c>
      <c r="L19" s="77">
        <v>3</v>
      </c>
      <c r="N19" s="77">
        <v>5</v>
      </c>
      <c r="O19" s="77">
        <v>0.55000000000000004</v>
      </c>
      <c r="P19" s="77">
        <v>0.6</v>
      </c>
      <c r="Q19" s="44">
        <f t="shared" si="0"/>
        <v>0.57499999999999996</v>
      </c>
      <c r="R19" s="77">
        <v>15.2</v>
      </c>
      <c r="S19" s="77">
        <v>107</v>
      </c>
      <c r="T19" s="16">
        <f t="shared" si="1"/>
        <v>33</v>
      </c>
      <c r="U19" s="77">
        <v>398</v>
      </c>
      <c r="V19" s="16">
        <f t="shared" si="2"/>
        <v>2626.7999999999997</v>
      </c>
      <c r="W19" s="77">
        <v>7</v>
      </c>
      <c r="X19" s="77" t="s">
        <v>35</v>
      </c>
      <c r="Y19" s="77" t="s">
        <v>47</v>
      </c>
      <c r="Z19" s="77" t="s">
        <v>55</v>
      </c>
      <c r="AA19" s="77" t="s">
        <v>64</v>
      </c>
      <c r="AB19" s="77" t="s">
        <v>161</v>
      </c>
      <c r="AE19" s="35" t="s">
        <v>75</v>
      </c>
      <c r="AP19" s="27" t="s">
        <v>95</v>
      </c>
      <c r="AR19" s="80" t="s">
        <v>106</v>
      </c>
      <c r="AV19" s="80" t="s">
        <v>76</v>
      </c>
    </row>
    <row r="20" spans="1:48" x14ac:dyDescent="0.15">
      <c r="A20" s="77" t="s">
        <v>23</v>
      </c>
      <c r="B20" s="77" t="s">
        <v>160</v>
      </c>
      <c r="C20" s="77">
        <v>2020</v>
      </c>
      <c r="D20" s="150" t="s">
        <v>254</v>
      </c>
      <c r="E20" s="77" t="s">
        <v>276</v>
      </c>
      <c r="F20" s="77" t="s">
        <v>277</v>
      </c>
      <c r="G20" s="77" t="s">
        <v>25</v>
      </c>
      <c r="H20" s="77" t="s">
        <v>165</v>
      </c>
      <c r="I20" s="77" t="s">
        <v>111</v>
      </c>
      <c r="J20" s="77" t="s">
        <v>27</v>
      </c>
      <c r="K20" s="77" t="s">
        <v>112</v>
      </c>
      <c r="L20" s="77">
        <v>1</v>
      </c>
      <c r="N20" s="77">
        <v>5</v>
      </c>
      <c r="O20" s="77">
        <v>0.5</v>
      </c>
      <c r="P20" s="77">
        <v>0.7</v>
      </c>
      <c r="Q20" s="44">
        <f t="shared" si="0"/>
        <v>0.6</v>
      </c>
      <c r="R20" s="77">
        <v>15.4</v>
      </c>
      <c r="S20" s="77">
        <v>98</v>
      </c>
      <c r="T20" s="16">
        <f t="shared" si="1"/>
        <v>36</v>
      </c>
      <c r="U20" s="77">
        <v>398</v>
      </c>
      <c r="V20" s="16">
        <f t="shared" si="2"/>
        <v>2865.6</v>
      </c>
      <c r="W20" s="77">
        <v>7</v>
      </c>
      <c r="X20" s="77" t="s">
        <v>35</v>
      </c>
      <c r="Y20" s="77" t="s">
        <v>47</v>
      </c>
      <c r="Z20" s="77" t="s">
        <v>55</v>
      </c>
      <c r="AA20" s="77" t="s">
        <v>64</v>
      </c>
      <c r="AB20" s="77" t="s">
        <v>161</v>
      </c>
      <c r="AP20" s="27" t="s">
        <v>96</v>
      </c>
      <c r="AR20" s="80" t="s">
        <v>89</v>
      </c>
      <c r="AV20" s="27" t="s">
        <v>114</v>
      </c>
    </row>
    <row r="21" spans="1:48" x14ac:dyDescent="0.15">
      <c r="A21" s="77" t="s">
        <v>23</v>
      </c>
      <c r="B21" s="77" t="s">
        <v>160</v>
      </c>
      <c r="C21" s="77">
        <v>2020</v>
      </c>
      <c r="D21" s="150" t="s">
        <v>254</v>
      </c>
      <c r="E21" s="77" t="s">
        <v>276</v>
      </c>
      <c r="F21" s="77" t="s">
        <v>277</v>
      </c>
      <c r="G21" s="77" t="s">
        <v>25</v>
      </c>
      <c r="H21" s="77" t="s">
        <v>165</v>
      </c>
      <c r="I21" s="77" t="s">
        <v>111</v>
      </c>
      <c r="J21" s="77" t="s">
        <v>27</v>
      </c>
      <c r="K21" s="77" t="s">
        <v>112</v>
      </c>
      <c r="L21" s="77">
        <v>2</v>
      </c>
      <c r="N21" s="77">
        <v>5</v>
      </c>
      <c r="O21" s="77">
        <v>0.75</v>
      </c>
      <c r="P21" s="77">
        <v>0.7</v>
      </c>
      <c r="Q21" s="44">
        <f t="shared" si="0"/>
        <v>0.72499999999999998</v>
      </c>
      <c r="R21" s="77">
        <v>15.9</v>
      </c>
      <c r="S21" s="77">
        <v>104</v>
      </c>
      <c r="T21" s="16">
        <f t="shared" si="1"/>
        <v>33</v>
      </c>
      <c r="U21" s="77">
        <v>398</v>
      </c>
      <c r="V21" s="16">
        <f t="shared" si="2"/>
        <v>2626.7999999999997</v>
      </c>
      <c r="W21" s="77">
        <v>7</v>
      </c>
      <c r="X21" s="77" t="s">
        <v>35</v>
      </c>
      <c r="Y21" s="77" t="s">
        <v>47</v>
      </c>
      <c r="Z21" s="77" t="s">
        <v>55</v>
      </c>
      <c r="AA21" s="77" t="s">
        <v>64</v>
      </c>
      <c r="AB21" s="77" t="s">
        <v>161</v>
      </c>
      <c r="AP21" s="27" t="s">
        <v>97</v>
      </c>
      <c r="AR21" s="80" t="s">
        <v>54</v>
      </c>
      <c r="AV21" s="27" t="s">
        <v>115</v>
      </c>
    </row>
    <row r="22" spans="1:48" x14ac:dyDescent="0.15">
      <c r="A22" s="77" t="s">
        <v>23</v>
      </c>
      <c r="B22" s="77" t="s">
        <v>160</v>
      </c>
      <c r="C22" s="77">
        <v>2020</v>
      </c>
      <c r="D22" s="150" t="s">
        <v>254</v>
      </c>
      <c r="E22" s="77" t="s">
        <v>276</v>
      </c>
      <c r="F22" s="77" t="s">
        <v>277</v>
      </c>
      <c r="G22" s="77" t="s">
        <v>25</v>
      </c>
      <c r="H22" s="77" t="s">
        <v>165</v>
      </c>
      <c r="I22" s="77" t="s">
        <v>111</v>
      </c>
      <c r="J22" s="77" t="s">
        <v>27</v>
      </c>
      <c r="K22" s="77" t="s">
        <v>112</v>
      </c>
      <c r="L22" s="77">
        <v>3</v>
      </c>
      <c r="N22" s="77">
        <v>5</v>
      </c>
      <c r="O22" s="77">
        <v>0.45</v>
      </c>
      <c r="P22" s="77">
        <v>0.55000000000000004</v>
      </c>
      <c r="Q22" s="44">
        <f t="shared" si="0"/>
        <v>0.5</v>
      </c>
      <c r="R22" s="77">
        <v>17.100000000000001</v>
      </c>
      <c r="S22" s="77">
        <v>98.5</v>
      </c>
      <c r="T22" s="16">
        <f t="shared" si="1"/>
        <v>36</v>
      </c>
      <c r="U22" s="77">
        <v>398</v>
      </c>
      <c r="V22" s="16">
        <f t="shared" si="2"/>
        <v>2865.6</v>
      </c>
      <c r="W22" s="77">
        <v>7</v>
      </c>
      <c r="X22" s="77" t="s">
        <v>35</v>
      </c>
      <c r="Y22" s="77" t="s">
        <v>47</v>
      </c>
      <c r="Z22" s="77" t="s">
        <v>55</v>
      </c>
      <c r="AA22" s="77" t="s">
        <v>64</v>
      </c>
      <c r="AB22" s="77" t="s">
        <v>161</v>
      </c>
      <c r="AP22" s="27" t="s">
        <v>98</v>
      </c>
      <c r="AR22" s="80" t="s">
        <v>69</v>
      </c>
      <c r="AV22" s="27"/>
    </row>
    <row r="23" spans="1:48" x14ac:dyDescent="0.15">
      <c r="A23" s="77" t="s">
        <v>23</v>
      </c>
      <c r="B23" s="77" t="s">
        <v>160</v>
      </c>
      <c r="C23" s="77">
        <v>2020</v>
      </c>
      <c r="D23" s="150" t="s">
        <v>254</v>
      </c>
      <c r="E23" s="77" t="s">
        <v>276</v>
      </c>
      <c r="F23" s="77" t="s">
        <v>277</v>
      </c>
      <c r="G23" s="77" t="s">
        <v>25</v>
      </c>
      <c r="H23" s="77" t="s">
        <v>113</v>
      </c>
      <c r="I23" s="77" t="s">
        <v>111</v>
      </c>
      <c r="J23" s="77" t="s">
        <v>27</v>
      </c>
      <c r="K23" s="77" t="s">
        <v>112</v>
      </c>
      <c r="L23" s="77">
        <v>1</v>
      </c>
      <c r="N23" s="77">
        <v>10</v>
      </c>
      <c r="O23" s="77">
        <v>0.55000000000000004</v>
      </c>
      <c r="P23" s="77">
        <v>0.5</v>
      </c>
      <c r="Q23" s="44">
        <f t="shared" si="0"/>
        <v>0.52500000000000002</v>
      </c>
      <c r="R23" s="77">
        <v>15.6</v>
      </c>
      <c r="S23" s="77">
        <v>75.5</v>
      </c>
      <c r="T23" s="16">
        <f>IF(H23="","",IF(OR(H23="GREEN",H23="GK"),IF(S23&gt;=$AX$2,VLOOKUP(S23,$AX$2:$AY$9,2,1),""),IF(S23&gt;=$AZ$2,VLOOKUP(S23,$AZ$2:$BA$9,2,1),"")))</f>
        <v>42</v>
      </c>
      <c r="U23" s="77">
        <v>398</v>
      </c>
      <c r="V23" s="16">
        <f t="shared" si="2"/>
        <v>1671.6</v>
      </c>
      <c r="W23" s="77">
        <v>7</v>
      </c>
      <c r="X23" s="77" t="s">
        <v>35</v>
      </c>
      <c r="Y23" s="77" t="s">
        <v>47</v>
      </c>
      <c r="Z23" s="77" t="s">
        <v>55</v>
      </c>
      <c r="AA23" s="77" t="s">
        <v>64</v>
      </c>
      <c r="AB23" s="77" t="s">
        <v>161</v>
      </c>
      <c r="AP23" s="27" t="s">
        <v>100</v>
      </c>
      <c r="AR23" s="80" t="s">
        <v>138</v>
      </c>
    </row>
    <row r="24" spans="1:48" x14ac:dyDescent="0.15">
      <c r="A24" s="77" t="s">
        <v>23</v>
      </c>
      <c r="B24" s="77" t="s">
        <v>160</v>
      </c>
      <c r="C24" s="77">
        <v>2020</v>
      </c>
      <c r="D24" s="150" t="s">
        <v>254</v>
      </c>
      <c r="E24" s="77" t="s">
        <v>276</v>
      </c>
      <c r="F24" s="77" t="s">
        <v>277</v>
      </c>
      <c r="G24" s="77" t="s">
        <v>25</v>
      </c>
      <c r="H24" s="77" t="s">
        <v>113</v>
      </c>
      <c r="I24" s="77" t="s">
        <v>111</v>
      </c>
      <c r="J24" s="77" t="s">
        <v>27</v>
      </c>
      <c r="K24" s="77" t="s">
        <v>112</v>
      </c>
      <c r="L24" s="77">
        <v>2</v>
      </c>
      <c r="N24" s="77">
        <v>10</v>
      </c>
      <c r="O24" s="77">
        <v>0.7</v>
      </c>
      <c r="P24" s="77">
        <v>0.65</v>
      </c>
      <c r="Q24" s="44">
        <f t="shared" si="0"/>
        <v>0.67500000000000004</v>
      </c>
      <c r="R24" s="77">
        <v>15.9</v>
      </c>
      <c r="S24" s="77">
        <v>78.5</v>
      </c>
      <c r="T24" s="16">
        <f t="shared" si="1"/>
        <v>39</v>
      </c>
      <c r="U24" s="77">
        <v>398</v>
      </c>
      <c r="V24" s="16">
        <f t="shared" si="2"/>
        <v>1552.1999999999998</v>
      </c>
      <c r="W24" s="77">
        <v>7</v>
      </c>
      <c r="X24" s="77" t="s">
        <v>35</v>
      </c>
      <c r="Y24" s="77" t="s">
        <v>47</v>
      </c>
      <c r="Z24" s="77" t="s">
        <v>55</v>
      </c>
      <c r="AA24" s="77" t="s">
        <v>64</v>
      </c>
      <c r="AB24" s="77" t="s">
        <v>161</v>
      </c>
      <c r="AP24" s="27" t="s">
        <v>101</v>
      </c>
      <c r="AR24" s="80" t="s">
        <v>159</v>
      </c>
    </row>
    <row r="25" spans="1:48" x14ac:dyDescent="0.15">
      <c r="A25" s="77" t="s">
        <v>23</v>
      </c>
      <c r="B25" s="77" t="s">
        <v>160</v>
      </c>
      <c r="C25" s="77">
        <v>2020</v>
      </c>
      <c r="D25" s="150" t="s">
        <v>254</v>
      </c>
      <c r="E25" s="77" t="s">
        <v>276</v>
      </c>
      <c r="F25" s="77" t="s">
        <v>277</v>
      </c>
      <c r="G25" s="77" t="s">
        <v>25</v>
      </c>
      <c r="H25" s="77" t="s">
        <v>113</v>
      </c>
      <c r="I25" s="77" t="s">
        <v>111</v>
      </c>
      <c r="J25" s="77" t="s">
        <v>27</v>
      </c>
      <c r="K25" s="77" t="s">
        <v>112</v>
      </c>
      <c r="L25" s="77">
        <v>3</v>
      </c>
      <c r="N25" s="77">
        <v>10</v>
      </c>
      <c r="O25" s="77">
        <v>0.6</v>
      </c>
      <c r="P25" s="77">
        <v>0.65</v>
      </c>
      <c r="Q25" s="44">
        <f t="shared" si="0"/>
        <v>0.625</v>
      </c>
      <c r="R25" s="77">
        <v>15.7</v>
      </c>
      <c r="S25" s="77">
        <v>81</v>
      </c>
      <c r="T25" s="16">
        <f t="shared" si="1"/>
        <v>39</v>
      </c>
      <c r="U25" s="77">
        <v>398</v>
      </c>
      <c r="V25" s="16">
        <f t="shared" si="2"/>
        <v>1552.1999999999998</v>
      </c>
      <c r="W25" s="77">
        <v>7</v>
      </c>
      <c r="X25" s="77" t="s">
        <v>35</v>
      </c>
      <c r="Y25" s="77" t="s">
        <v>47</v>
      </c>
      <c r="Z25" s="77" t="s">
        <v>55</v>
      </c>
      <c r="AA25" s="77" t="s">
        <v>64</v>
      </c>
      <c r="AB25" s="77" t="s">
        <v>161</v>
      </c>
      <c r="AP25" s="27" t="s">
        <v>156</v>
      </c>
      <c r="AR25" s="80" t="s">
        <v>158</v>
      </c>
    </row>
    <row r="26" spans="1:48" x14ac:dyDescent="0.15">
      <c r="A26" s="77" t="s">
        <v>23</v>
      </c>
      <c r="B26" s="77" t="s">
        <v>160</v>
      </c>
      <c r="C26" s="77">
        <v>2020</v>
      </c>
      <c r="D26" s="150" t="s">
        <v>254</v>
      </c>
      <c r="E26" s="77" t="s">
        <v>276</v>
      </c>
      <c r="F26" s="77" t="s">
        <v>277</v>
      </c>
      <c r="G26" s="77" t="s">
        <v>25</v>
      </c>
      <c r="H26" s="77" t="s">
        <v>164</v>
      </c>
      <c r="I26" s="77" t="s">
        <v>111</v>
      </c>
      <c r="J26" s="77" t="s">
        <v>27</v>
      </c>
      <c r="K26" s="77" t="s">
        <v>112</v>
      </c>
      <c r="L26" s="77">
        <v>1</v>
      </c>
      <c r="N26" s="77">
        <v>1</v>
      </c>
      <c r="O26" s="77">
        <v>0.75</v>
      </c>
      <c r="P26" s="77">
        <v>0.55000000000000004</v>
      </c>
      <c r="Q26" s="44">
        <f t="shared" si="0"/>
        <v>0.65</v>
      </c>
      <c r="R26" s="77">
        <v>16.100000000000001</v>
      </c>
      <c r="S26" s="77">
        <v>137.5</v>
      </c>
      <c r="T26" s="16">
        <f t="shared" si="1"/>
        <v>30</v>
      </c>
      <c r="U26" s="77">
        <v>108</v>
      </c>
      <c r="V26" s="16">
        <f t="shared" si="2"/>
        <v>3240</v>
      </c>
      <c r="W26" s="77">
        <v>7</v>
      </c>
      <c r="X26" s="77" t="s">
        <v>35</v>
      </c>
      <c r="Y26" s="77" t="s">
        <v>47</v>
      </c>
      <c r="Z26" s="77" t="s">
        <v>55</v>
      </c>
      <c r="AA26" s="77" t="s">
        <v>64</v>
      </c>
      <c r="AB26" s="77" t="s">
        <v>161</v>
      </c>
      <c r="AP26" s="27" t="s">
        <v>157</v>
      </c>
      <c r="AR26" s="28"/>
    </row>
    <row r="27" spans="1:48" x14ac:dyDescent="0.15">
      <c r="A27" s="77" t="s">
        <v>23</v>
      </c>
      <c r="B27" s="77" t="s">
        <v>160</v>
      </c>
      <c r="C27" s="77">
        <v>2020</v>
      </c>
      <c r="D27" s="150" t="s">
        <v>254</v>
      </c>
      <c r="E27" s="77" t="s">
        <v>276</v>
      </c>
      <c r="F27" s="77" t="s">
        <v>277</v>
      </c>
      <c r="G27" s="77" t="s">
        <v>25</v>
      </c>
      <c r="H27" s="77" t="s">
        <v>164</v>
      </c>
      <c r="I27" s="77" t="s">
        <v>111</v>
      </c>
      <c r="J27" s="77" t="s">
        <v>27</v>
      </c>
      <c r="K27" s="77" t="s">
        <v>112</v>
      </c>
      <c r="L27" s="77">
        <v>2</v>
      </c>
      <c r="N27" s="77">
        <v>1</v>
      </c>
      <c r="O27" s="77">
        <v>0.5</v>
      </c>
      <c r="P27" s="77">
        <v>0.55000000000000004</v>
      </c>
      <c r="Q27" s="44">
        <f t="shared" si="0"/>
        <v>0.52500000000000002</v>
      </c>
      <c r="R27" s="77">
        <v>16.600000000000001</v>
      </c>
      <c r="S27" s="77">
        <v>141.5</v>
      </c>
      <c r="T27" s="16">
        <f t="shared" si="1"/>
        <v>30</v>
      </c>
      <c r="U27" s="77">
        <v>108</v>
      </c>
      <c r="V27" s="16">
        <f t="shared" si="2"/>
        <v>3240</v>
      </c>
      <c r="W27" s="77">
        <v>7</v>
      </c>
      <c r="X27" s="77" t="s">
        <v>35</v>
      </c>
      <c r="Y27" s="77" t="s">
        <v>47</v>
      </c>
      <c r="Z27" s="77" t="s">
        <v>55</v>
      </c>
      <c r="AA27" s="77" t="s">
        <v>64</v>
      </c>
      <c r="AB27" s="77" t="s">
        <v>161</v>
      </c>
    </row>
    <row r="28" spans="1:48" x14ac:dyDescent="0.15">
      <c r="A28" s="77" t="s">
        <v>23</v>
      </c>
      <c r="B28" s="77" t="s">
        <v>160</v>
      </c>
      <c r="C28" s="77">
        <v>2020</v>
      </c>
      <c r="D28" s="150" t="s">
        <v>254</v>
      </c>
      <c r="E28" s="77" t="s">
        <v>276</v>
      </c>
      <c r="F28" s="77" t="s">
        <v>277</v>
      </c>
      <c r="G28" s="77" t="s">
        <v>25</v>
      </c>
      <c r="H28" s="77" t="s">
        <v>164</v>
      </c>
      <c r="I28" s="77" t="s">
        <v>111</v>
      </c>
      <c r="J28" s="77" t="s">
        <v>27</v>
      </c>
      <c r="K28" s="77" t="s">
        <v>112</v>
      </c>
      <c r="L28" s="77">
        <v>3</v>
      </c>
      <c r="N28" s="77">
        <v>1</v>
      </c>
      <c r="O28" s="77">
        <v>0.2</v>
      </c>
      <c r="P28" s="77">
        <v>0.2</v>
      </c>
      <c r="Q28" s="44">
        <f t="shared" si="0"/>
        <v>0.2</v>
      </c>
      <c r="R28" s="77">
        <v>17.7</v>
      </c>
      <c r="S28" s="77">
        <v>139.5</v>
      </c>
      <c r="T28" s="16">
        <f t="shared" si="1"/>
        <v>30</v>
      </c>
      <c r="U28" s="77">
        <v>108</v>
      </c>
      <c r="V28" s="16">
        <f t="shared" si="2"/>
        <v>3240</v>
      </c>
      <c r="W28" s="77">
        <v>7</v>
      </c>
      <c r="X28" s="77" t="s">
        <v>35</v>
      </c>
      <c r="Y28" s="77" t="s">
        <v>47</v>
      </c>
      <c r="Z28" s="77" t="s">
        <v>55</v>
      </c>
      <c r="AA28" s="77" t="s">
        <v>64</v>
      </c>
      <c r="AB28" s="77" t="s">
        <v>161</v>
      </c>
    </row>
    <row r="29" spans="1:48" x14ac:dyDescent="0.15">
      <c r="A29" s="77" t="s">
        <v>23</v>
      </c>
      <c r="B29" s="77" t="s">
        <v>160</v>
      </c>
      <c r="C29" s="77">
        <v>2020</v>
      </c>
      <c r="D29" s="150" t="s">
        <v>254</v>
      </c>
      <c r="E29" s="77" t="s">
        <v>276</v>
      </c>
      <c r="F29" s="77" t="s">
        <v>277</v>
      </c>
      <c r="G29" s="77" t="s">
        <v>25</v>
      </c>
      <c r="H29" s="77" t="s">
        <v>164</v>
      </c>
      <c r="I29" s="77" t="s">
        <v>111</v>
      </c>
      <c r="J29" s="77" t="s">
        <v>27</v>
      </c>
      <c r="K29" s="77" t="s">
        <v>112</v>
      </c>
      <c r="L29" s="77">
        <v>1</v>
      </c>
      <c r="N29" s="77">
        <v>5</v>
      </c>
      <c r="O29" s="77">
        <v>0.45</v>
      </c>
      <c r="P29" s="77">
        <v>0.45</v>
      </c>
      <c r="Q29" s="44">
        <f t="shared" si="0"/>
        <v>0.45</v>
      </c>
      <c r="R29" s="77">
        <v>17.600000000000001</v>
      </c>
      <c r="S29" s="77">
        <v>98</v>
      </c>
      <c r="T29" s="16">
        <f t="shared" si="1"/>
        <v>36</v>
      </c>
      <c r="U29" s="77">
        <v>398</v>
      </c>
      <c r="V29" s="16">
        <f t="shared" si="2"/>
        <v>2865.6</v>
      </c>
      <c r="W29" s="77">
        <v>7</v>
      </c>
      <c r="X29" s="77" t="s">
        <v>35</v>
      </c>
      <c r="Y29" s="77" t="s">
        <v>47</v>
      </c>
      <c r="Z29" s="77" t="s">
        <v>55</v>
      </c>
      <c r="AA29" s="77" t="s">
        <v>64</v>
      </c>
      <c r="AB29" s="77" t="s">
        <v>161</v>
      </c>
    </row>
    <row r="30" spans="1:48" x14ac:dyDescent="0.15">
      <c r="A30" s="77" t="s">
        <v>23</v>
      </c>
      <c r="B30" s="77" t="s">
        <v>160</v>
      </c>
      <c r="C30" s="77">
        <v>2020</v>
      </c>
      <c r="D30" s="150" t="s">
        <v>254</v>
      </c>
      <c r="E30" s="77" t="s">
        <v>276</v>
      </c>
      <c r="F30" s="77" t="s">
        <v>277</v>
      </c>
      <c r="G30" s="77" t="s">
        <v>25</v>
      </c>
      <c r="H30" s="77" t="s">
        <v>164</v>
      </c>
      <c r="I30" s="77" t="s">
        <v>111</v>
      </c>
      <c r="J30" s="77" t="s">
        <v>27</v>
      </c>
      <c r="K30" s="77" t="s">
        <v>112</v>
      </c>
      <c r="L30" s="77">
        <v>2</v>
      </c>
      <c r="N30" s="77">
        <v>5</v>
      </c>
      <c r="O30" s="77">
        <v>0.5</v>
      </c>
      <c r="P30" s="77">
        <v>0.2</v>
      </c>
      <c r="Q30" s="44">
        <f t="shared" si="0"/>
        <v>0.35</v>
      </c>
      <c r="R30" s="77">
        <v>17.5</v>
      </c>
      <c r="S30" s="77">
        <v>101.5</v>
      </c>
      <c r="T30" s="16">
        <f t="shared" si="1"/>
        <v>33</v>
      </c>
      <c r="U30" s="77">
        <v>398</v>
      </c>
      <c r="V30" s="16">
        <f t="shared" si="2"/>
        <v>2626.7999999999997</v>
      </c>
      <c r="W30" s="77">
        <v>7</v>
      </c>
      <c r="X30" s="77" t="s">
        <v>35</v>
      </c>
      <c r="Y30" s="77" t="s">
        <v>47</v>
      </c>
      <c r="Z30" s="77" t="s">
        <v>55</v>
      </c>
      <c r="AA30" s="77" t="s">
        <v>64</v>
      </c>
      <c r="AB30" s="77" t="s">
        <v>161</v>
      </c>
    </row>
    <row r="31" spans="1:48" x14ac:dyDescent="0.15">
      <c r="A31" s="77" t="s">
        <v>23</v>
      </c>
      <c r="B31" s="77" t="s">
        <v>160</v>
      </c>
      <c r="C31" s="77">
        <v>2020</v>
      </c>
      <c r="D31" s="150" t="s">
        <v>254</v>
      </c>
      <c r="E31" s="77" t="s">
        <v>276</v>
      </c>
      <c r="F31" s="77" t="s">
        <v>277</v>
      </c>
      <c r="G31" s="77" t="s">
        <v>25</v>
      </c>
      <c r="H31" s="77" t="s">
        <v>164</v>
      </c>
      <c r="I31" s="77" t="s">
        <v>111</v>
      </c>
      <c r="J31" s="77" t="s">
        <v>27</v>
      </c>
      <c r="K31" s="77" t="s">
        <v>112</v>
      </c>
      <c r="L31" s="77">
        <v>3</v>
      </c>
      <c r="N31" s="77">
        <v>5</v>
      </c>
      <c r="O31" s="77">
        <v>0.55000000000000004</v>
      </c>
      <c r="P31" s="77">
        <v>0.55000000000000004</v>
      </c>
      <c r="Q31" s="44">
        <f t="shared" si="0"/>
        <v>0.55000000000000004</v>
      </c>
      <c r="R31" s="77">
        <v>16</v>
      </c>
      <c r="S31" s="77">
        <v>102.5</v>
      </c>
      <c r="T31" s="16">
        <f t="shared" si="1"/>
        <v>33</v>
      </c>
      <c r="U31" s="77">
        <v>398</v>
      </c>
      <c r="V31" s="16">
        <f t="shared" si="2"/>
        <v>2626.7999999999997</v>
      </c>
      <c r="W31" s="77">
        <v>7</v>
      </c>
      <c r="X31" s="77" t="s">
        <v>35</v>
      </c>
      <c r="Y31" s="77" t="s">
        <v>47</v>
      </c>
      <c r="Z31" s="77" t="s">
        <v>55</v>
      </c>
      <c r="AA31" s="77" t="s">
        <v>64</v>
      </c>
      <c r="AB31" s="77" t="s">
        <v>161</v>
      </c>
    </row>
    <row r="32" spans="1:48" x14ac:dyDescent="0.15">
      <c r="A32" s="77" t="s">
        <v>23</v>
      </c>
      <c r="B32" s="77" t="s">
        <v>160</v>
      </c>
      <c r="C32" s="77">
        <v>2020</v>
      </c>
      <c r="D32" s="150" t="s">
        <v>254</v>
      </c>
      <c r="E32" s="77" t="s">
        <v>172</v>
      </c>
      <c r="F32" s="77" t="s">
        <v>261</v>
      </c>
      <c r="G32" s="77" t="s">
        <v>25</v>
      </c>
      <c r="H32" s="77" t="s">
        <v>113</v>
      </c>
      <c r="I32" s="77" t="s">
        <v>111</v>
      </c>
      <c r="J32" s="77" t="s">
        <v>27</v>
      </c>
      <c r="K32" s="77" t="s">
        <v>112</v>
      </c>
      <c r="L32" s="77">
        <v>1</v>
      </c>
      <c r="N32" s="77">
        <v>1</v>
      </c>
      <c r="O32" s="77">
        <v>0.2</v>
      </c>
      <c r="P32" s="77">
        <v>0.2</v>
      </c>
      <c r="Q32" s="44">
        <f t="shared" si="0"/>
        <v>0.2</v>
      </c>
      <c r="R32" s="77">
        <v>15.7</v>
      </c>
      <c r="S32" s="77">
        <v>115</v>
      </c>
      <c r="T32" s="16">
        <f t="shared" si="1"/>
        <v>30</v>
      </c>
      <c r="U32" s="77">
        <v>98</v>
      </c>
      <c r="V32" s="16">
        <f t="shared" si="2"/>
        <v>2940</v>
      </c>
      <c r="W32" s="77">
        <v>13</v>
      </c>
      <c r="X32" s="77" t="s">
        <v>35</v>
      </c>
      <c r="Y32" s="77" t="s">
        <v>47</v>
      </c>
      <c r="Z32" s="77" t="s">
        <v>43</v>
      </c>
      <c r="AA32" s="77" t="s">
        <v>55</v>
      </c>
      <c r="AB32" s="77" t="s">
        <v>161</v>
      </c>
    </row>
    <row r="33" spans="1:28" x14ac:dyDescent="0.15">
      <c r="A33" s="77" t="s">
        <v>23</v>
      </c>
      <c r="B33" s="77" t="s">
        <v>160</v>
      </c>
      <c r="C33" s="77">
        <v>2020</v>
      </c>
      <c r="D33" s="150" t="s">
        <v>254</v>
      </c>
      <c r="E33" s="77" t="s">
        <v>172</v>
      </c>
      <c r="F33" s="77" t="s">
        <v>261</v>
      </c>
      <c r="G33" s="77" t="s">
        <v>25</v>
      </c>
      <c r="H33" s="77" t="s">
        <v>113</v>
      </c>
      <c r="I33" s="77" t="s">
        <v>111</v>
      </c>
      <c r="J33" s="77" t="s">
        <v>27</v>
      </c>
      <c r="K33" s="77" t="s">
        <v>112</v>
      </c>
      <c r="L33" s="77">
        <v>2</v>
      </c>
      <c r="N33" s="77">
        <v>1</v>
      </c>
      <c r="O33" s="77">
        <v>0.6</v>
      </c>
      <c r="P33" s="77">
        <v>0.55000000000000004</v>
      </c>
      <c r="Q33" s="44">
        <f t="shared" si="0"/>
        <v>0.57499999999999996</v>
      </c>
      <c r="R33" s="77">
        <v>15.6</v>
      </c>
      <c r="S33" s="77">
        <v>114</v>
      </c>
      <c r="T33" s="16">
        <f t="shared" si="1"/>
        <v>30</v>
      </c>
      <c r="U33" s="77">
        <v>98</v>
      </c>
      <c r="V33" s="16">
        <f t="shared" si="2"/>
        <v>2940</v>
      </c>
      <c r="W33" s="77">
        <v>13</v>
      </c>
      <c r="X33" s="77" t="s">
        <v>35</v>
      </c>
      <c r="Y33" s="77" t="s">
        <v>47</v>
      </c>
      <c r="Z33" s="77" t="s">
        <v>43</v>
      </c>
      <c r="AA33" s="77" t="s">
        <v>55</v>
      </c>
      <c r="AB33" s="77" t="s">
        <v>161</v>
      </c>
    </row>
    <row r="34" spans="1:28" x14ac:dyDescent="0.15">
      <c r="A34" s="77" t="s">
        <v>23</v>
      </c>
      <c r="B34" s="77" t="s">
        <v>160</v>
      </c>
      <c r="C34" s="77">
        <v>2020</v>
      </c>
      <c r="D34" s="150" t="s">
        <v>254</v>
      </c>
      <c r="E34" s="77" t="s">
        <v>172</v>
      </c>
      <c r="F34" s="77" t="s">
        <v>261</v>
      </c>
      <c r="G34" s="77" t="s">
        <v>25</v>
      </c>
      <c r="H34" s="77" t="s">
        <v>113</v>
      </c>
      <c r="I34" s="77" t="s">
        <v>111</v>
      </c>
      <c r="J34" s="77" t="s">
        <v>27</v>
      </c>
      <c r="K34" s="77" t="s">
        <v>112</v>
      </c>
      <c r="L34" s="77">
        <v>3</v>
      </c>
      <c r="N34" s="77">
        <v>1</v>
      </c>
      <c r="O34" s="77">
        <v>0.45</v>
      </c>
      <c r="P34" s="77">
        <v>0.5</v>
      </c>
      <c r="Q34" s="44">
        <f t="shared" si="0"/>
        <v>0.47499999999999998</v>
      </c>
      <c r="R34" s="77">
        <v>15.7</v>
      </c>
      <c r="S34" s="77">
        <v>111.5</v>
      </c>
      <c r="T34" s="16">
        <f t="shared" si="1"/>
        <v>33</v>
      </c>
      <c r="U34" s="77">
        <v>98</v>
      </c>
      <c r="V34" s="16">
        <f t="shared" si="2"/>
        <v>3234</v>
      </c>
      <c r="W34" s="77">
        <v>13</v>
      </c>
      <c r="X34" s="77" t="s">
        <v>35</v>
      </c>
      <c r="Y34" s="77" t="s">
        <v>47</v>
      </c>
      <c r="Z34" s="77" t="s">
        <v>43</v>
      </c>
      <c r="AA34" s="77" t="s">
        <v>55</v>
      </c>
      <c r="AB34" s="77" t="s">
        <v>161</v>
      </c>
    </row>
    <row r="35" spans="1:28" x14ac:dyDescent="0.15">
      <c r="A35" s="77" t="s">
        <v>23</v>
      </c>
      <c r="B35" s="77" t="s">
        <v>160</v>
      </c>
      <c r="C35" s="77">
        <v>2020</v>
      </c>
      <c r="D35" s="150" t="s">
        <v>254</v>
      </c>
      <c r="E35" s="77" t="s">
        <v>172</v>
      </c>
      <c r="F35" s="77" t="s">
        <v>261</v>
      </c>
      <c r="G35" s="77" t="s">
        <v>25</v>
      </c>
      <c r="H35" s="77" t="s">
        <v>113</v>
      </c>
      <c r="I35" s="77" t="s">
        <v>111</v>
      </c>
      <c r="J35" s="77" t="s">
        <v>27</v>
      </c>
      <c r="K35" s="77" t="s">
        <v>112</v>
      </c>
      <c r="L35" s="77">
        <v>1</v>
      </c>
      <c r="N35" s="77">
        <v>5</v>
      </c>
      <c r="O35" s="77">
        <v>1.3</v>
      </c>
      <c r="P35" s="77">
        <v>1.35</v>
      </c>
      <c r="Q35" s="44">
        <f t="shared" si="0"/>
        <v>1.3250000000000002</v>
      </c>
      <c r="R35" s="77">
        <v>14.9</v>
      </c>
      <c r="S35" s="77">
        <v>92</v>
      </c>
      <c r="T35" s="16">
        <f t="shared" si="1"/>
        <v>36</v>
      </c>
      <c r="U35" s="77">
        <v>298</v>
      </c>
      <c r="V35" s="16">
        <f t="shared" si="2"/>
        <v>2145.6</v>
      </c>
      <c r="W35" s="77">
        <v>13</v>
      </c>
      <c r="X35" s="77" t="s">
        <v>35</v>
      </c>
      <c r="Y35" s="77" t="s">
        <v>47</v>
      </c>
      <c r="Z35" s="77" t="s">
        <v>43</v>
      </c>
      <c r="AA35" s="77" t="s">
        <v>55</v>
      </c>
      <c r="AB35" s="77" t="s">
        <v>161</v>
      </c>
    </row>
    <row r="36" spans="1:28" x14ac:dyDescent="0.15">
      <c r="A36" s="77" t="s">
        <v>23</v>
      </c>
      <c r="B36" s="77" t="s">
        <v>160</v>
      </c>
      <c r="C36" s="77">
        <v>2020</v>
      </c>
      <c r="D36" s="150" t="s">
        <v>254</v>
      </c>
      <c r="E36" s="77" t="s">
        <v>172</v>
      </c>
      <c r="F36" s="77" t="s">
        <v>261</v>
      </c>
      <c r="G36" s="77" t="s">
        <v>25</v>
      </c>
      <c r="H36" s="77" t="s">
        <v>113</v>
      </c>
      <c r="I36" s="77" t="s">
        <v>111</v>
      </c>
      <c r="J36" s="77" t="s">
        <v>27</v>
      </c>
      <c r="K36" s="77" t="s">
        <v>112</v>
      </c>
      <c r="L36" s="77">
        <v>2</v>
      </c>
      <c r="N36" s="77">
        <v>5</v>
      </c>
      <c r="O36" s="77">
        <v>1.3</v>
      </c>
      <c r="P36" s="77">
        <v>1.45</v>
      </c>
      <c r="Q36" s="44">
        <f t="shared" si="0"/>
        <v>1.375</v>
      </c>
      <c r="R36" s="77">
        <v>14.2</v>
      </c>
      <c r="S36" s="77">
        <v>92.5</v>
      </c>
      <c r="T36" s="16">
        <f t="shared" si="1"/>
        <v>36</v>
      </c>
      <c r="U36" s="77">
        <v>298</v>
      </c>
      <c r="V36" s="16">
        <f t="shared" si="2"/>
        <v>2145.6</v>
      </c>
      <c r="W36" s="77">
        <v>13</v>
      </c>
      <c r="X36" s="77" t="s">
        <v>35</v>
      </c>
      <c r="Y36" s="77" t="s">
        <v>47</v>
      </c>
      <c r="Z36" s="77" t="s">
        <v>43</v>
      </c>
      <c r="AA36" s="77" t="s">
        <v>55</v>
      </c>
      <c r="AB36" s="77" t="s">
        <v>161</v>
      </c>
    </row>
    <row r="37" spans="1:28" x14ac:dyDescent="0.15">
      <c r="A37" s="77" t="s">
        <v>23</v>
      </c>
      <c r="B37" s="77" t="s">
        <v>160</v>
      </c>
      <c r="C37" s="77">
        <v>2020</v>
      </c>
      <c r="D37" s="150" t="s">
        <v>254</v>
      </c>
      <c r="E37" s="77" t="s">
        <v>172</v>
      </c>
      <c r="F37" s="77" t="s">
        <v>261</v>
      </c>
      <c r="G37" s="77" t="s">
        <v>25</v>
      </c>
      <c r="H37" s="77" t="s">
        <v>113</v>
      </c>
      <c r="I37" s="77" t="s">
        <v>111</v>
      </c>
      <c r="J37" s="77" t="s">
        <v>27</v>
      </c>
      <c r="K37" s="77" t="s">
        <v>112</v>
      </c>
      <c r="L37" s="77">
        <v>3</v>
      </c>
      <c r="N37" s="77">
        <v>5</v>
      </c>
      <c r="O37" s="77">
        <v>1.1499999999999999</v>
      </c>
      <c r="P37" s="77">
        <v>1.05</v>
      </c>
      <c r="Q37" s="44">
        <f t="shared" si="0"/>
        <v>1.1000000000000001</v>
      </c>
      <c r="R37" s="77">
        <v>15.9</v>
      </c>
      <c r="S37" s="77">
        <v>95.5</v>
      </c>
      <c r="T37" s="16">
        <f t="shared" si="1"/>
        <v>36</v>
      </c>
      <c r="U37" s="77">
        <v>298</v>
      </c>
      <c r="V37" s="16">
        <f t="shared" si="2"/>
        <v>2145.6</v>
      </c>
      <c r="W37" s="77">
        <v>13</v>
      </c>
      <c r="X37" s="77" t="s">
        <v>35</v>
      </c>
      <c r="Y37" s="77" t="s">
        <v>47</v>
      </c>
      <c r="Z37" s="77" t="s">
        <v>43</v>
      </c>
      <c r="AA37" s="77" t="s">
        <v>55</v>
      </c>
      <c r="AB37" s="77" t="s">
        <v>161</v>
      </c>
    </row>
    <row r="38" spans="1:28" x14ac:dyDescent="0.15">
      <c r="A38" s="77" t="s">
        <v>23</v>
      </c>
      <c r="B38" s="77" t="s">
        <v>160</v>
      </c>
      <c r="C38" s="77">
        <v>2020</v>
      </c>
      <c r="D38" s="150" t="s">
        <v>254</v>
      </c>
      <c r="E38" s="77" t="s">
        <v>172</v>
      </c>
      <c r="F38" s="77" t="s">
        <v>261</v>
      </c>
      <c r="G38" s="77" t="s">
        <v>25</v>
      </c>
      <c r="H38" s="77" t="s">
        <v>164</v>
      </c>
      <c r="I38" s="77" t="s">
        <v>111</v>
      </c>
      <c r="J38" s="77" t="s">
        <v>27</v>
      </c>
      <c r="K38" s="77" t="s">
        <v>112</v>
      </c>
      <c r="L38" s="77">
        <v>1</v>
      </c>
      <c r="N38" s="77">
        <v>1</v>
      </c>
      <c r="O38" s="77">
        <v>0.2</v>
      </c>
      <c r="P38" s="77">
        <v>0.2</v>
      </c>
      <c r="Q38" s="44">
        <f t="shared" si="0"/>
        <v>0.2</v>
      </c>
      <c r="R38" s="77">
        <v>18</v>
      </c>
      <c r="S38" s="77">
        <v>128</v>
      </c>
      <c r="T38" s="16">
        <f t="shared" si="1"/>
        <v>30</v>
      </c>
      <c r="U38" s="77">
        <v>108</v>
      </c>
      <c r="V38" s="16">
        <f t="shared" si="2"/>
        <v>3240</v>
      </c>
      <c r="W38" s="77">
        <v>13</v>
      </c>
      <c r="X38" s="77" t="s">
        <v>35</v>
      </c>
      <c r="Y38" s="77" t="s">
        <v>47</v>
      </c>
      <c r="Z38" s="77" t="s">
        <v>43</v>
      </c>
      <c r="AA38" s="77" t="s">
        <v>55</v>
      </c>
      <c r="AB38" s="77" t="s">
        <v>161</v>
      </c>
    </row>
    <row r="39" spans="1:28" x14ac:dyDescent="0.15">
      <c r="A39" s="77" t="s">
        <v>23</v>
      </c>
      <c r="B39" s="77" t="s">
        <v>160</v>
      </c>
      <c r="C39" s="77">
        <v>2020</v>
      </c>
      <c r="D39" s="150" t="s">
        <v>254</v>
      </c>
      <c r="E39" s="77" t="s">
        <v>172</v>
      </c>
      <c r="F39" s="77" t="s">
        <v>261</v>
      </c>
      <c r="G39" s="77" t="s">
        <v>25</v>
      </c>
      <c r="H39" s="77" t="s">
        <v>164</v>
      </c>
      <c r="I39" s="77" t="s">
        <v>111</v>
      </c>
      <c r="J39" s="77" t="s">
        <v>27</v>
      </c>
      <c r="K39" s="77" t="s">
        <v>112</v>
      </c>
      <c r="L39" s="77">
        <v>2</v>
      </c>
      <c r="N39" s="77">
        <v>1</v>
      </c>
      <c r="O39" s="77">
        <v>0.2</v>
      </c>
      <c r="P39" s="77">
        <v>0.2</v>
      </c>
      <c r="Q39" s="44">
        <f t="shared" si="0"/>
        <v>0.2</v>
      </c>
      <c r="R39" s="77">
        <v>15.8</v>
      </c>
      <c r="S39" s="77">
        <v>124</v>
      </c>
      <c r="T39" s="16">
        <f t="shared" si="1"/>
        <v>30</v>
      </c>
      <c r="U39" s="77">
        <v>108</v>
      </c>
      <c r="V39" s="16">
        <f t="shared" si="2"/>
        <v>3240</v>
      </c>
      <c r="W39" s="77">
        <v>13</v>
      </c>
      <c r="X39" s="77" t="s">
        <v>35</v>
      </c>
      <c r="Y39" s="77" t="s">
        <v>47</v>
      </c>
      <c r="Z39" s="77" t="s">
        <v>43</v>
      </c>
      <c r="AA39" s="77" t="s">
        <v>55</v>
      </c>
      <c r="AB39" s="77" t="s">
        <v>161</v>
      </c>
    </row>
    <row r="40" spans="1:28" x14ac:dyDescent="0.15">
      <c r="A40" s="77" t="s">
        <v>23</v>
      </c>
      <c r="B40" s="77" t="s">
        <v>160</v>
      </c>
      <c r="C40" s="77">
        <v>2020</v>
      </c>
      <c r="D40" s="150" t="s">
        <v>254</v>
      </c>
      <c r="E40" s="77" t="s">
        <v>172</v>
      </c>
      <c r="F40" s="77" t="s">
        <v>261</v>
      </c>
      <c r="G40" s="77" t="s">
        <v>25</v>
      </c>
      <c r="H40" s="77" t="s">
        <v>164</v>
      </c>
      <c r="I40" s="77" t="s">
        <v>111</v>
      </c>
      <c r="J40" s="77" t="s">
        <v>27</v>
      </c>
      <c r="K40" s="77" t="s">
        <v>112</v>
      </c>
      <c r="L40" s="77">
        <v>3</v>
      </c>
      <c r="N40" s="77">
        <v>1</v>
      </c>
      <c r="O40" s="77">
        <v>0.6</v>
      </c>
      <c r="P40" s="77">
        <v>0.7</v>
      </c>
      <c r="Q40" s="44">
        <f>IF(OR(O40="",P40=""),"",AVERAGE(O40,P40))</f>
        <v>0.64999999999999991</v>
      </c>
      <c r="R40" s="77">
        <v>16.399999999999999</v>
      </c>
      <c r="S40" s="77">
        <v>129</v>
      </c>
      <c r="T40" s="16">
        <f t="shared" si="1"/>
        <v>30</v>
      </c>
      <c r="U40" s="77">
        <v>108</v>
      </c>
      <c r="V40" s="16">
        <f t="shared" si="2"/>
        <v>3240</v>
      </c>
      <c r="W40" s="77">
        <v>13</v>
      </c>
      <c r="X40" s="77" t="s">
        <v>35</v>
      </c>
      <c r="Y40" s="77" t="s">
        <v>47</v>
      </c>
      <c r="Z40" s="77" t="s">
        <v>43</v>
      </c>
      <c r="AA40" s="77" t="s">
        <v>55</v>
      </c>
      <c r="AB40" s="77" t="s">
        <v>161</v>
      </c>
    </row>
    <row r="41" spans="1:28" x14ac:dyDescent="0.15">
      <c r="A41" s="77" t="s">
        <v>23</v>
      </c>
      <c r="B41" s="77" t="s">
        <v>160</v>
      </c>
      <c r="C41" s="77">
        <v>2020</v>
      </c>
      <c r="D41" s="150" t="s">
        <v>254</v>
      </c>
      <c r="E41" s="77" t="s">
        <v>172</v>
      </c>
      <c r="F41" s="77" t="s">
        <v>261</v>
      </c>
      <c r="G41" s="77" t="s">
        <v>25</v>
      </c>
      <c r="H41" s="77" t="s">
        <v>164</v>
      </c>
      <c r="I41" s="77" t="s">
        <v>111</v>
      </c>
      <c r="J41" s="77" t="s">
        <v>27</v>
      </c>
      <c r="K41" s="77" t="s">
        <v>112</v>
      </c>
      <c r="L41" s="77">
        <v>1</v>
      </c>
      <c r="N41" s="77">
        <v>7</v>
      </c>
      <c r="O41" s="77">
        <v>0.45</v>
      </c>
      <c r="P41" s="77">
        <v>0.5</v>
      </c>
      <c r="Q41" s="44">
        <f t="shared" ref="Q41:Q42" si="3">IF(OR(O41="",P41=""),"",AVERAGE(O41,P41))</f>
        <v>0.47499999999999998</v>
      </c>
      <c r="R41" s="77">
        <v>17.2</v>
      </c>
      <c r="S41" s="77">
        <v>108.5</v>
      </c>
      <c r="T41" s="16">
        <f t="shared" si="1"/>
        <v>33</v>
      </c>
      <c r="U41" s="77">
        <v>498</v>
      </c>
      <c r="V41" s="16">
        <f t="shared" si="2"/>
        <v>2347.7142857142858</v>
      </c>
      <c r="W41" s="77">
        <v>13</v>
      </c>
      <c r="X41" s="77" t="s">
        <v>35</v>
      </c>
      <c r="Y41" s="77" t="s">
        <v>47</v>
      </c>
      <c r="Z41" s="77" t="s">
        <v>43</v>
      </c>
      <c r="AA41" s="77" t="s">
        <v>55</v>
      </c>
      <c r="AB41" s="77" t="s">
        <v>161</v>
      </c>
    </row>
    <row r="42" spans="1:28" x14ac:dyDescent="0.15">
      <c r="A42" s="77" t="s">
        <v>23</v>
      </c>
      <c r="B42" s="77" t="s">
        <v>160</v>
      </c>
      <c r="C42" s="77">
        <v>2020</v>
      </c>
      <c r="D42" s="150" t="s">
        <v>254</v>
      </c>
      <c r="E42" s="77" t="s">
        <v>172</v>
      </c>
      <c r="F42" s="77" t="s">
        <v>261</v>
      </c>
      <c r="G42" s="77" t="s">
        <v>25</v>
      </c>
      <c r="H42" s="77" t="s">
        <v>164</v>
      </c>
      <c r="I42" s="77" t="s">
        <v>111</v>
      </c>
      <c r="J42" s="77" t="s">
        <v>27</v>
      </c>
      <c r="K42" s="77" t="s">
        <v>112</v>
      </c>
      <c r="L42" s="77">
        <v>2</v>
      </c>
      <c r="N42" s="77">
        <v>7</v>
      </c>
      <c r="O42" s="77">
        <v>0.65</v>
      </c>
      <c r="P42" s="77">
        <v>0.65</v>
      </c>
      <c r="Q42" s="44">
        <f t="shared" si="3"/>
        <v>0.65</v>
      </c>
      <c r="R42" s="77">
        <v>17.8</v>
      </c>
      <c r="S42" s="77">
        <v>117.5</v>
      </c>
      <c r="T42" s="16">
        <f t="shared" si="1"/>
        <v>30</v>
      </c>
      <c r="U42" s="77">
        <v>498</v>
      </c>
      <c r="V42" s="16">
        <f t="shared" si="2"/>
        <v>2134.2857142857142</v>
      </c>
      <c r="W42" s="77">
        <v>13</v>
      </c>
      <c r="X42" s="77" t="s">
        <v>35</v>
      </c>
      <c r="Y42" s="77" t="s">
        <v>47</v>
      </c>
      <c r="Z42" s="77" t="s">
        <v>43</v>
      </c>
      <c r="AA42" s="77" t="s">
        <v>55</v>
      </c>
      <c r="AB42" s="77" t="s">
        <v>161</v>
      </c>
    </row>
    <row r="43" spans="1:28" x14ac:dyDescent="0.15">
      <c r="A43" s="77" t="s">
        <v>23</v>
      </c>
      <c r="B43" s="77" t="s">
        <v>160</v>
      </c>
      <c r="C43" s="77">
        <v>2020</v>
      </c>
      <c r="D43" s="150" t="s">
        <v>254</v>
      </c>
      <c r="E43" s="77" t="s">
        <v>172</v>
      </c>
      <c r="F43" s="77" t="s">
        <v>261</v>
      </c>
      <c r="G43" s="77" t="s">
        <v>25</v>
      </c>
      <c r="H43" s="77" t="s">
        <v>164</v>
      </c>
      <c r="I43" s="77" t="s">
        <v>111</v>
      </c>
      <c r="J43" s="77" t="s">
        <v>27</v>
      </c>
      <c r="K43" s="77" t="s">
        <v>112</v>
      </c>
      <c r="L43" s="77">
        <v>3</v>
      </c>
      <c r="N43" s="77">
        <v>7</v>
      </c>
      <c r="O43" s="77">
        <v>0.2</v>
      </c>
      <c r="P43" s="77">
        <v>0.2</v>
      </c>
      <c r="Q43" s="44">
        <f>IF(OR(O43="",P43=""),"",AVERAGE(O43,P43))</f>
        <v>0.2</v>
      </c>
      <c r="R43" s="77">
        <v>18.5</v>
      </c>
      <c r="S43" s="77">
        <v>106</v>
      </c>
      <c r="T43" s="16">
        <f t="shared" si="1"/>
        <v>33</v>
      </c>
      <c r="U43" s="77">
        <v>498</v>
      </c>
      <c r="V43" s="16">
        <f t="shared" si="2"/>
        <v>2347.7142857142858</v>
      </c>
      <c r="W43" s="77">
        <v>13</v>
      </c>
      <c r="X43" s="77" t="s">
        <v>35</v>
      </c>
      <c r="Y43" s="77" t="s">
        <v>47</v>
      </c>
      <c r="Z43" s="77" t="s">
        <v>43</v>
      </c>
      <c r="AA43" s="77" t="s">
        <v>55</v>
      </c>
      <c r="AB43" s="77" t="s">
        <v>161</v>
      </c>
    </row>
    <row r="44" spans="1:28" x14ac:dyDescent="0.15">
      <c r="A44" s="77" t="s">
        <v>23</v>
      </c>
      <c r="B44" s="77" t="s">
        <v>160</v>
      </c>
      <c r="C44" s="77">
        <v>2020</v>
      </c>
      <c r="D44" s="150" t="s">
        <v>254</v>
      </c>
      <c r="E44" s="77" t="s">
        <v>172</v>
      </c>
      <c r="F44" s="77" t="s">
        <v>261</v>
      </c>
      <c r="G44" s="77" t="s">
        <v>25</v>
      </c>
      <c r="H44" s="77" t="s">
        <v>164</v>
      </c>
      <c r="I44" s="77" t="s">
        <v>111</v>
      </c>
      <c r="J44" s="77" t="s">
        <v>27</v>
      </c>
      <c r="K44" s="77" t="s">
        <v>112</v>
      </c>
      <c r="L44" s="77">
        <v>1</v>
      </c>
      <c r="N44" s="77">
        <v>4</v>
      </c>
      <c r="O44" s="77">
        <v>0.45</v>
      </c>
      <c r="P44" s="77">
        <v>0.45</v>
      </c>
      <c r="Q44" s="44">
        <f t="shared" si="0"/>
        <v>0.45</v>
      </c>
      <c r="R44" s="77">
        <v>17.8</v>
      </c>
      <c r="S44" s="77">
        <v>134.5</v>
      </c>
      <c r="T44" s="16">
        <f t="shared" si="1"/>
        <v>30</v>
      </c>
      <c r="U44" s="77">
        <v>398</v>
      </c>
      <c r="V44" s="16">
        <f t="shared" si="2"/>
        <v>2985</v>
      </c>
      <c r="W44" s="77">
        <v>13</v>
      </c>
      <c r="X44" s="77" t="s">
        <v>35</v>
      </c>
      <c r="Y44" s="77" t="s">
        <v>47</v>
      </c>
      <c r="Z44" s="77" t="s">
        <v>43</v>
      </c>
      <c r="AA44" s="77" t="s">
        <v>55</v>
      </c>
      <c r="AB44" s="77" t="s">
        <v>161</v>
      </c>
    </row>
    <row r="45" spans="1:28" x14ac:dyDescent="0.15">
      <c r="A45" s="77" t="s">
        <v>23</v>
      </c>
      <c r="B45" s="77" t="s">
        <v>160</v>
      </c>
      <c r="C45" s="77">
        <v>2020</v>
      </c>
      <c r="D45" s="150" t="s">
        <v>254</v>
      </c>
      <c r="E45" s="77" t="s">
        <v>172</v>
      </c>
      <c r="F45" s="77" t="s">
        <v>261</v>
      </c>
      <c r="G45" s="77" t="s">
        <v>25</v>
      </c>
      <c r="H45" s="77" t="s">
        <v>164</v>
      </c>
      <c r="I45" s="77" t="s">
        <v>111</v>
      </c>
      <c r="J45" s="77" t="s">
        <v>27</v>
      </c>
      <c r="K45" s="77" t="s">
        <v>112</v>
      </c>
      <c r="L45" s="77">
        <v>2</v>
      </c>
      <c r="N45" s="77">
        <v>4</v>
      </c>
      <c r="O45" s="77">
        <v>0.5</v>
      </c>
      <c r="P45" s="77">
        <v>0.45</v>
      </c>
      <c r="Q45" s="44">
        <f t="shared" si="0"/>
        <v>0.47499999999999998</v>
      </c>
      <c r="R45" s="77">
        <v>19.2</v>
      </c>
      <c r="S45" s="77">
        <v>130.5</v>
      </c>
      <c r="T45" s="16">
        <f t="shared" si="1"/>
        <v>30</v>
      </c>
      <c r="U45" s="77">
        <v>398</v>
      </c>
      <c r="V45" s="16">
        <f t="shared" si="2"/>
        <v>2985</v>
      </c>
      <c r="W45" s="77">
        <v>13</v>
      </c>
      <c r="X45" s="77" t="s">
        <v>35</v>
      </c>
      <c r="Y45" s="77" t="s">
        <v>47</v>
      </c>
      <c r="Z45" s="77" t="s">
        <v>43</v>
      </c>
      <c r="AA45" s="77" t="s">
        <v>55</v>
      </c>
      <c r="AB45" s="77" t="s">
        <v>161</v>
      </c>
    </row>
    <row r="46" spans="1:28" x14ac:dyDescent="0.15">
      <c r="A46" s="77" t="s">
        <v>23</v>
      </c>
      <c r="B46" s="77" t="s">
        <v>160</v>
      </c>
      <c r="C46" s="77">
        <v>2020</v>
      </c>
      <c r="D46" s="150" t="s">
        <v>254</v>
      </c>
      <c r="E46" s="77" t="s">
        <v>172</v>
      </c>
      <c r="F46" s="77" t="s">
        <v>261</v>
      </c>
      <c r="G46" s="77" t="s">
        <v>25</v>
      </c>
      <c r="H46" s="77" t="s">
        <v>164</v>
      </c>
      <c r="I46" s="77" t="s">
        <v>111</v>
      </c>
      <c r="J46" s="77" t="s">
        <v>27</v>
      </c>
      <c r="K46" s="77" t="s">
        <v>112</v>
      </c>
      <c r="L46" s="77">
        <v>3</v>
      </c>
      <c r="N46" s="77">
        <v>4</v>
      </c>
      <c r="O46" s="77">
        <v>0.45</v>
      </c>
      <c r="P46" s="77">
        <v>0.6</v>
      </c>
      <c r="Q46" s="44">
        <f t="shared" si="0"/>
        <v>0.52500000000000002</v>
      </c>
      <c r="R46" s="77">
        <v>18.5</v>
      </c>
      <c r="S46" s="77">
        <v>140</v>
      </c>
      <c r="T46" s="16">
        <f t="shared" si="1"/>
        <v>30</v>
      </c>
      <c r="U46" s="77">
        <v>398</v>
      </c>
      <c r="V46" s="16">
        <f t="shared" si="2"/>
        <v>2985</v>
      </c>
      <c r="W46" s="77">
        <v>13</v>
      </c>
      <c r="X46" s="77" t="s">
        <v>35</v>
      </c>
      <c r="Y46" s="77" t="s">
        <v>47</v>
      </c>
      <c r="Z46" s="77" t="s">
        <v>43</v>
      </c>
      <c r="AA46" s="77" t="s">
        <v>55</v>
      </c>
      <c r="AB46" s="77" t="s">
        <v>161</v>
      </c>
    </row>
    <row r="47" spans="1:28" x14ac:dyDescent="0.15">
      <c r="A47" s="77" t="s">
        <v>23</v>
      </c>
      <c r="B47" s="77" t="s">
        <v>160</v>
      </c>
      <c r="C47" s="77">
        <v>2020</v>
      </c>
      <c r="D47" s="150" t="s">
        <v>254</v>
      </c>
      <c r="E47" s="77" t="s">
        <v>172</v>
      </c>
      <c r="F47" s="77" t="s">
        <v>261</v>
      </c>
      <c r="G47" s="77" t="s">
        <v>25</v>
      </c>
      <c r="H47" s="77" t="s">
        <v>113</v>
      </c>
      <c r="I47" s="77" t="s">
        <v>166</v>
      </c>
      <c r="J47" s="77" t="s">
        <v>27</v>
      </c>
      <c r="K47" s="77" t="s">
        <v>112</v>
      </c>
      <c r="L47" s="77">
        <v>1</v>
      </c>
      <c r="N47" s="77">
        <v>4</v>
      </c>
      <c r="O47" s="77">
        <v>0.45</v>
      </c>
      <c r="P47" s="77">
        <v>0.5</v>
      </c>
      <c r="Q47" s="44">
        <f t="shared" si="0"/>
        <v>0.47499999999999998</v>
      </c>
      <c r="R47" s="77">
        <v>15.4</v>
      </c>
      <c r="S47" s="77">
        <v>84.5</v>
      </c>
      <c r="T47" s="16">
        <f t="shared" si="1"/>
        <v>36</v>
      </c>
      <c r="U47" s="77">
        <v>398</v>
      </c>
      <c r="V47" s="16">
        <f t="shared" si="2"/>
        <v>3582</v>
      </c>
      <c r="W47" s="77">
        <v>13</v>
      </c>
      <c r="X47" s="77" t="s">
        <v>35</v>
      </c>
      <c r="Y47" s="77" t="s">
        <v>47</v>
      </c>
      <c r="Z47" s="77" t="s">
        <v>43</v>
      </c>
      <c r="AA47" s="77" t="s">
        <v>55</v>
      </c>
      <c r="AB47" s="77" t="s">
        <v>161</v>
      </c>
    </row>
    <row r="48" spans="1:28" x14ac:dyDescent="0.15">
      <c r="A48" s="77" t="s">
        <v>23</v>
      </c>
      <c r="B48" s="77" t="s">
        <v>160</v>
      </c>
      <c r="C48" s="77">
        <v>2020</v>
      </c>
      <c r="D48" s="150" t="s">
        <v>254</v>
      </c>
      <c r="E48" s="77" t="s">
        <v>172</v>
      </c>
      <c r="F48" s="77" t="s">
        <v>261</v>
      </c>
      <c r="G48" s="77" t="s">
        <v>25</v>
      </c>
      <c r="H48" s="77" t="s">
        <v>113</v>
      </c>
      <c r="I48" s="77" t="s">
        <v>166</v>
      </c>
      <c r="J48" s="77" t="s">
        <v>27</v>
      </c>
      <c r="K48" s="77" t="s">
        <v>112</v>
      </c>
      <c r="L48" s="77">
        <v>2</v>
      </c>
      <c r="N48" s="77">
        <v>4</v>
      </c>
      <c r="O48" s="77">
        <v>0.45</v>
      </c>
      <c r="P48" s="77">
        <v>0.65</v>
      </c>
      <c r="Q48" s="44">
        <f t="shared" si="0"/>
        <v>0.55000000000000004</v>
      </c>
      <c r="R48" s="77">
        <v>14.8</v>
      </c>
      <c r="S48" s="77">
        <v>91</v>
      </c>
      <c r="T48" s="16">
        <f t="shared" si="1"/>
        <v>36</v>
      </c>
      <c r="U48" s="77">
        <v>398</v>
      </c>
      <c r="V48" s="16">
        <f t="shared" si="2"/>
        <v>3582</v>
      </c>
      <c r="W48" s="77">
        <v>13</v>
      </c>
      <c r="X48" s="77" t="s">
        <v>35</v>
      </c>
      <c r="Y48" s="77" t="s">
        <v>47</v>
      </c>
      <c r="Z48" s="77" t="s">
        <v>43</v>
      </c>
      <c r="AA48" s="77" t="s">
        <v>55</v>
      </c>
      <c r="AB48" s="77" t="s">
        <v>161</v>
      </c>
    </row>
    <row r="49" spans="1:28" x14ac:dyDescent="0.15">
      <c r="A49" s="77" t="s">
        <v>23</v>
      </c>
      <c r="B49" s="77" t="s">
        <v>160</v>
      </c>
      <c r="C49" s="77">
        <v>2020</v>
      </c>
      <c r="D49" s="150" t="s">
        <v>254</v>
      </c>
      <c r="E49" s="77" t="s">
        <v>172</v>
      </c>
      <c r="F49" s="77" t="s">
        <v>261</v>
      </c>
      <c r="G49" s="77" t="s">
        <v>25</v>
      </c>
      <c r="H49" s="77" t="s">
        <v>113</v>
      </c>
      <c r="I49" s="77" t="s">
        <v>166</v>
      </c>
      <c r="J49" s="77" t="s">
        <v>27</v>
      </c>
      <c r="K49" s="77" t="s">
        <v>112</v>
      </c>
      <c r="L49" s="77">
        <v>3</v>
      </c>
      <c r="N49" s="77">
        <v>4</v>
      </c>
      <c r="O49" s="77">
        <v>0.55000000000000004</v>
      </c>
      <c r="P49" s="77">
        <v>0.5</v>
      </c>
      <c r="Q49" s="44">
        <f t="shared" si="0"/>
        <v>0.52500000000000002</v>
      </c>
      <c r="R49" s="77">
        <v>14.1</v>
      </c>
      <c r="S49" s="77">
        <v>87.5</v>
      </c>
      <c r="T49" s="16">
        <f t="shared" si="1"/>
        <v>36</v>
      </c>
      <c r="U49" s="77">
        <v>398</v>
      </c>
      <c r="V49" s="16">
        <f t="shared" si="2"/>
        <v>3582</v>
      </c>
      <c r="W49" s="77">
        <v>13</v>
      </c>
      <c r="X49" s="77" t="s">
        <v>35</v>
      </c>
      <c r="Y49" s="77" t="s">
        <v>47</v>
      </c>
      <c r="Z49" s="77" t="s">
        <v>43</v>
      </c>
      <c r="AA49" s="77" t="s">
        <v>55</v>
      </c>
      <c r="AB49" s="77" t="s">
        <v>161</v>
      </c>
    </row>
    <row r="50" spans="1:28" x14ac:dyDescent="0.15">
      <c r="A50" s="77" t="s">
        <v>23</v>
      </c>
      <c r="B50" s="77" t="s">
        <v>160</v>
      </c>
      <c r="C50" s="77">
        <v>2020</v>
      </c>
      <c r="D50" s="150" t="s">
        <v>254</v>
      </c>
      <c r="E50" s="77" t="s">
        <v>172</v>
      </c>
      <c r="F50" s="77" t="s">
        <v>261</v>
      </c>
      <c r="G50" s="77" t="s">
        <v>25</v>
      </c>
      <c r="H50" s="77" t="s">
        <v>164</v>
      </c>
      <c r="I50" s="77" t="s">
        <v>166</v>
      </c>
      <c r="J50" s="77" t="s">
        <v>27</v>
      </c>
      <c r="K50" s="77" t="s">
        <v>112</v>
      </c>
      <c r="L50" s="77">
        <v>1</v>
      </c>
      <c r="N50" s="77">
        <v>4</v>
      </c>
      <c r="O50" s="77">
        <v>0.2</v>
      </c>
      <c r="P50" s="77">
        <v>0.2</v>
      </c>
      <c r="Q50" s="44">
        <f t="shared" si="0"/>
        <v>0.2</v>
      </c>
      <c r="R50" s="77">
        <v>15.9</v>
      </c>
      <c r="S50" s="77">
        <v>99.5</v>
      </c>
      <c r="T50" s="16">
        <f t="shared" si="1"/>
        <v>33</v>
      </c>
      <c r="U50" s="77">
        <v>498</v>
      </c>
      <c r="V50" s="16">
        <f t="shared" si="2"/>
        <v>4108.5</v>
      </c>
      <c r="W50" s="77">
        <v>13</v>
      </c>
      <c r="X50" s="77" t="s">
        <v>35</v>
      </c>
      <c r="Y50" s="77" t="s">
        <v>47</v>
      </c>
      <c r="Z50" s="77" t="s">
        <v>43</v>
      </c>
      <c r="AA50" s="77" t="s">
        <v>55</v>
      </c>
      <c r="AB50" s="77" t="s">
        <v>161</v>
      </c>
    </row>
    <row r="51" spans="1:28" x14ac:dyDescent="0.15">
      <c r="A51" s="77" t="s">
        <v>23</v>
      </c>
      <c r="B51" s="77" t="s">
        <v>160</v>
      </c>
      <c r="C51" s="77">
        <v>2020</v>
      </c>
      <c r="D51" s="150" t="s">
        <v>254</v>
      </c>
      <c r="E51" s="77" t="s">
        <v>172</v>
      </c>
      <c r="F51" s="77" t="s">
        <v>261</v>
      </c>
      <c r="G51" s="77" t="s">
        <v>25</v>
      </c>
      <c r="H51" s="77" t="s">
        <v>164</v>
      </c>
      <c r="I51" s="77" t="s">
        <v>166</v>
      </c>
      <c r="J51" s="77" t="s">
        <v>27</v>
      </c>
      <c r="K51" s="77" t="s">
        <v>112</v>
      </c>
      <c r="L51" s="77">
        <v>2</v>
      </c>
      <c r="N51" s="77">
        <v>4</v>
      </c>
      <c r="O51" s="77">
        <v>0.45</v>
      </c>
      <c r="P51" s="77">
        <v>0.2</v>
      </c>
      <c r="Q51" s="44">
        <f t="shared" si="0"/>
        <v>0.32500000000000001</v>
      </c>
      <c r="R51" s="77">
        <v>15.5</v>
      </c>
      <c r="S51" s="77">
        <v>101</v>
      </c>
      <c r="T51" s="16">
        <f t="shared" si="1"/>
        <v>33</v>
      </c>
      <c r="U51" s="77">
        <v>498</v>
      </c>
      <c r="V51" s="16">
        <f t="shared" si="2"/>
        <v>4108.5</v>
      </c>
      <c r="W51" s="77">
        <v>13</v>
      </c>
      <c r="X51" s="77" t="s">
        <v>35</v>
      </c>
      <c r="Y51" s="77" t="s">
        <v>47</v>
      </c>
      <c r="Z51" s="77" t="s">
        <v>43</v>
      </c>
      <c r="AA51" s="77" t="s">
        <v>55</v>
      </c>
      <c r="AB51" s="77" t="s">
        <v>161</v>
      </c>
    </row>
    <row r="52" spans="1:28" x14ac:dyDescent="0.15">
      <c r="A52" s="77" t="s">
        <v>23</v>
      </c>
      <c r="B52" s="77" t="s">
        <v>160</v>
      </c>
      <c r="C52" s="77">
        <v>2020</v>
      </c>
      <c r="D52" s="150" t="s">
        <v>254</v>
      </c>
      <c r="E52" s="77" t="s">
        <v>172</v>
      </c>
      <c r="F52" s="77" t="s">
        <v>261</v>
      </c>
      <c r="G52" s="77" t="s">
        <v>25</v>
      </c>
      <c r="H52" s="77" t="s">
        <v>164</v>
      </c>
      <c r="I52" s="77" t="s">
        <v>166</v>
      </c>
      <c r="J52" s="77" t="s">
        <v>27</v>
      </c>
      <c r="K52" s="77" t="s">
        <v>112</v>
      </c>
      <c r="L52" s="77">
        <v>3</v>
      </c>
      <c r="N52" s="77">
        <v>4</v>
      </c>
      <c r="O52" s="77">
        <v>0.2</v>
      </c>
      <c r="P52" s="77">
        <v>0.2</v>
      </c>
      <c r="Q52" s="44">
        <f t="shared" si="0"/>
        <v>0.2</v>
      </c>
      <c r="R52" s="77">
        <v>15.9</v>
      </c>
      <c r="S52" s="77">
        <v>103</v>
      </c>
      <c r="T52" s="16">
        <f t="shared" si="1"/>
        <v>33</v>
      </c>
      <c r="U52" s="77">
        <v>498</v>
      </c>
      <c r="V52" s="16">
        <f t="shared" si="2"/>
        <v>4108.5</v>
      </c>
      <c r="W52" s="77">
        <v>13</v>
      </c>
      <c r="X52" s="77" t="s">
        <v>35</v>
      </c>
      <c r="Y52" s="77" t="s">
        <v>47</v>
      </c>
      <c r="Z52" s="77" t="s">
        <v>43</v>
      </c>
      <c r="AA52" s="77" t="s">
        <v>55</v>
      </c>
      <c r="AB52" s="77" t="s">
        <v>161</v>
      </c>
    </row>
    <row r="53" spans="1:28" x14ac:dyDescent="0.15">
      <c r="A53" s="77" t="s">
        <v>23</v>
      </c>
      <c r="B53" s="77" t="s">
        <v>160</v>
      </c>
      <c r="C53" s="77">
        <v>2020</v>
      </c>
      <c r="D53" s="150" t="s">
        <v>254</v>
      </c>
      <c r="E53" s="77" t="s">
        <v>278</v>
      </c>
      <c r="F53" s="77" t="s">
        <v>263</v>
      </c>
      <c r="G53" s="77" t="s">
        <v>31</v>
      </c>
      <c r="H53" s="77" t="s">
        <v>113</v>
      </c>
      <c r="I53" s="77" t="s">
        <v>111</v>
      </c>
      <c r="J53" s="77" t="s">
        <v>27</v>
      </c>
      <c r="K53" s="77" t="s">
        <v>112</v>
      </c>
      <c r="L53" s="77">
        <v>1</v>
      </c>
      <c r="N53" s="77">
        <v>1</v>
      </c>
      <c r="O53" s="77">
        <v>0.6</v>
      </c>
      <c r="P53" s="77">
        <v>0.5</v>
      </c>
      <c r="Q53" s="44">
        <f t="shared" si="0"/>
        <v>0.55000000000000004</v>
      </c>
      <c r="R53" s="77">
        <v>15.8</v>
      </c>
      <c r="S53" s="77">
        <v>134.5</v>
      </c>
      <c r="T53" s="16">
        <f t="shared" si="1"/>
        <v>30</v>
      </c>
      <c r="U53" s="77">
        <v>100</v>
      </c>
      <c r="V53" s="16">
        <f t="shared" si="2"/>
        <v>3000</v>
      </c>
      <c r="W53" s="77">
        <v>10</v>
      </c>
      <c r="X53" s="77" t="s">
        <v>35</v>
      </c>
      <c r="Y53" s="77" t="s">
        <v>43</v>
      </c>
      <c r="Z53" s="77" t="s">
        <v>55</v>
      </c>
      <c r="AA53" s="77" t="s">
        <v>29</v>
      </c>
      <c r="AB53" s="77" t="s">
        <v>161</v>
      </c>
    </row>
    <row r="54" spans="1:28" x14ac:dyDescent="0.15">
      <c r="A54" s="77" t="s">
        <v>23</v>
      </c>
      <c r="B54" s="77" t="s">
        <v>160</v>
      </c>
      <c r="C54" s="77">
        <v>2020</v>
      </c>
      <c r="D54" s="150" t="s">
        <v>254</v>
      </c>
      <c r="E54" s="77" t="s">
        <v>278</v>
      </c>
      <c r="F54" s="77" t="s">
        <v>263</v>
      </c>
      <c r="G54" s="77" t="s">
        <v>31</v>
      </c>
      <c r="H54" s="77" t="s">
        <v>113</v>
      </c>
      <c r="I54" s="77" t="s">
        <v>111</v>
      </c>
      <c r="J54" s="77" t="s">
        <v>27</v>
      </c>
      <c r="K54" s="77" t="s">
        <v>112</v>
      </c>
      <c r="L54" s="77">
        <v>2</v>
      </c>
      <c r="N54" s="77">
        <v>1</v>
      </c>
      <c r="O54" s="77">
        <v>0.5</v>
      </c>
      <c r="P54" s="77">
        <v>0.6</v>
      </c>
      <c r="Q54" s="44">
        <f t="shared" si="0"/>
        <v>0.55000000000000004</v>
      </c>
      <c r="R54" s="77">
        <v>15.8</v>
      </c>
      <c r="S54" s="77">
        <v>131.5</v>
      </c>
      <c r="T54" s="16">
        <f t="shared" si="1"/>
        <v>30</v>
      </c>
      <c r="U54" s="77">
        <v>100</v>
      </c>
      <c r="V54" s="16">
        <f t="shared" si="2"/>
        <v>3000</v>
      </c>
      <c r="W54" s="77">
        <v>10</v>
      </c>
      <c r="X54" s="77" t="s">
        <v>35</v>
      </c>
      <c r="Y54" s="77" t="s">
        <v>43</v>
      </c>
      <c r="Z54" s="77" t="s">
        <v>55</v>
      </c>
      <c r="AA54" s="77" t="s">
        <v>29</v>
      </c>
      <c r="AB54" s="77" t="s">
        <v>161</v>
      </c>
    </row>
    <row r="55" spans="1:28" x14ac:dyDescent="0.15">
      <c r="A55" s="77" t="s">
        <v>23</v>
      </c>
      <c r="B55" s="77" t="s">
        <v>160</v>
      </c>
      <c r="C55" s="77">
        <v>2020</v>
      </c>
      <c r="D55" s="150" t="s">
        <v>254</v>
      </c>
      <c r="E55" s="77" t="s">
        <v>278</v>
      </c>
      <c r="F55" s="77" t="s">
        <v>263</v>
      </c>
      <c r="G55" s="77" t="s">
        <v>31</v>
      </c>
      <c r="H55" s="77" t="s">
        <v>113</v>
      </c>
      <c r="I55" s="77" t="s">
        <v>111</v>
      </c>
      <c r="J55" s="77" t="s">
        <v>27</v>
      </c>
      <c r="K55" s="77" t="s">
        <v>112</v>
      </c>
      <c r="L55" s="77">
        <v>3</v>
      </c>
      <c r="N55" s="77">
        <v>1</v>
      </c>
      <c r="O55" s="77">
        <v>0.45</v>
      </c>
      <c r="P55" s="77">
        <v>0.65</v>
      </c>
      <c r="Q55" s="44">
        <f t="shared" si="0"/>
        <v>0.55000000000000004</v>
      </c>
      <c r="R55" s="77">
        <v>15.9</v>
      </c>
      <c r="S55" s="77">
        <v>135.5</v>
      </c>
      <c r="T55" s="16">
        <f t="shared" si="1"/>
        <v>30</v>
      </c>
      <c r="U55" s="77">
        <v>100</v>
      </c>
      <c r="V55" s="16">
        <f t="shared" si="2"/>
        <v>3000</v>
      </c>
      <c r="W55" s="77">
        <v>10</v>
      </c>
      <c r="X55" s="77" t="s">
        <v>35</v>
      </c>
      <c r="Y55" s="77" t="s">
        <v>43</v>
      </c>
      <c r="Z55" s="77" t="s">
        <v>55</v>
      </c>
      <c r="AA55" s="77" t="s">
        <v>29</v>
      </c>
      <c r="AB55" s="77" t="s">
        <v>161</v>
      </c>
    </row>
    <row r="56" spans="1:28" x14ac:dyDescent="0.15">
      <c r="A56" s="77" t="s">
        <v>23</v>
      </c>
      <c r="B56" s="77" t="s">
        <v>160</v>
      </c>
      <c r="C56" s="77">
        <v>2020</v>
      </c>
      <c r="D56" s="150" t="s">
        <v>254</v>
      </c>
      <c r="E56" s="77" t="s">
        <v>278</v>
      </c>
      <c r="F56" s="77" t="s">
        <v>263</v>
      </c>
      <c r="G56" s="77" t="s">
        <v>31</v>
      </c>
      <c r="H56" s="77" t="s">
        <v>113</v>
      </c>
      <c r="I56" s="77" t="s">
        <v>111</v>
      </c>
      <c r="J56" s="77" t="s">
        <v>27</v>
      </c>
      <c r="K56" s="77" t="s">
        <v>112</v>
      </c>
      <c r="L56" s="77">
        <v>1</v>
      </c>
      <c r="N56" s="77">
        <v>5</v>
      </c>
      <c r="O56" s="77">
        <v>0.55000000000000004</v>
      </c>
      <c r="P56" s="77">
        <v>0.5</v>
      </c>
      <c r="Q56" s="44">
        <f t="shared" si="0"/>
        <v>0.52500000000000002</v>
      </c>
      <c r="R56" s="77">
        <v>14.9</v>
      </c>
      <c r="S56" s="77">
        <v>92.5</v>
      </c>
      <c r="T56" s="16">
        <f t="shared" si="1"/>
        <v>36</v>
      </c>
      <c r="U56" s="77">
        <v>398</v>
      </c>
      <c r="V56" s="16">
        <f t="shared" si="2"/>
        <v>2865.6</v>
      </c>
      <c r="W56" s="77">
        <v>10</v>
      </c>
      <c r="X56" s="77" t="s">
        <v>35</v>
      </c>
      <c r="Y56" s="77" t="s">
        <v>43</v>
      </c>
      <c r="Z56" s="77" t="s">
        <v>55</v>
      </c>
      <c r="AA56" s="77" t="s">
        <v>29</v>
      </c>
      <c r="AB56" s="77" t="s">
        <v>161</v>
      </c>
    </row>
    <row r="57" spans="1:28" x14ac:dyDescent="0.15">
      <c r="A57" s="77" t="s">
        <v>23</v>
      </c>
      <c r="B57" s="77" t="s">
        <v>160</v>
      </c>
      <c r="C57" s="77">
        <v>2020</v>
      </c>
      <c r="D57" s="150" t="s">
        <v>254</v>
      </c>
      <c r="E57" s="77" t="s">
        <v>278</v>
      </c>
      <c r="F57" s="77" t="s">
        <v>263</v>
      </c>
      <c r="G57" s="77" t="s">
        <v>31</v>
      </c>
      <c r="H57" s="77" t="s">
        <v>113</v>
      </c>
      <c r="I57" s="77" t="s">
        <v>111</v>
      </c>
      <c r="J57" s="77" t="s">
        <v>27</v>
      </c>
      <c r="K57" s="77" t="s">
        <v>112</v>
      </c>
      <c r="L57" s="77">
        <v>2</v>
      </c>
      <c r="N57" s="77">
        <v>5</v>
      </c>
      <c r="O57" s="77">
        <v>1.05</v>
      </c>
      <c r="P57" s="77">
        <v>1.1499999999999999</v>
      </c>
      <c r="Q57" s="44">
        <f t="shared" si="0"/>
        <v>1.1000000000000001</v>
      </c>
      <c r="R57" s="77">
        <v>13.7</v>
      </c>
      <c r="S57" s="77">
        <v>94</v>
      </c>
      <c r="T57" s="16">
        <f t="shared" si="1"/>
        <v>36</v>
      </c>
      <c r="U57" s="77">
        <v>398</v>
      </c>
      <c r="V57" s="16">
        <f t="shared" si="2"/>
        <v>2865.6</v>
      </c>
      <c r="W57" s="77">
        <v>10</v>
      </c>
      <c r="X57" s="77" t="s">
        <v>35</v>
      </c>
      <c r="Y57" s="77" t="s">
        <v>43</v>
      </c>
      <c r="Z57" s="77" t="s">
        <v>55</v>
      </c>
      <c r="AA57" s="77" t="s">
        <v>29</v>
      </c>
      <c r="AB57" s="77" t="s">
        <v>161</v>
      </c>
    </row>
    <row r="58" spans="1:28" x14ac:dyDescent="0.15">
      <c r="A58" s="77" t="s">
        <v>23</v>
      </c>
      <c r="B58" s="77" t="s">
        <v>160</v>
      </c>
      <c r="C58" s="77">
        <v>2020</v>
      </c>
      <c r="D58" s="150" t="s">
        <v>254</v>
      </c>
      <c r="E58" s="77" t="s">
        <v>278</v>
      </c>
      <c r="F58" s="77" t="s">
        <v>263</v>
      </c>
      <c r="G58" s="77" t="s">
        <v>31</v>
      </c>
      <c r="H58" s="77" t="s">
        <v>113</v>
      </c>
      <c r="I58" s="77" t="s">
        <v>111</v>
      </c>
      <c r="J58" s="77" t="s">
        <v>27</v>
      </c>
      <c r="K58" s="77" t="s">
        <v>112</v>
      </c>
      <c r="L58" s="77">
        <v>3</v>
      </c>
      <c r="N58" s="77">
        <v>5</v>
      </c>
      <c r="O58" s="77">
        <v>0.8</v>
      </c>
      <c r="P58" s="77">
        <v>1.1499999999999999</v>
      </c>
      <c r="Q58" s="44">
        <f t="shared" si="0"/>
        <v>0.97499999999999998</v>
      </c>
      <c r="R58" s="77">
        <v>12.6</v>
      </c>
      <c r="S58" s="77">
        <v>90.5</v>
      </c>
      <c r="T58" s="16">
        <f t="shared" si="1"/>
        <v>36</v>
      </c>
      <c r="U58" s="77">
        <v>398</v>
      </c>
      <c r="V58" s="16">
        <f t="shared" si="2"/>
        <v>2865.6</v>
      </c>
      <c r="W58" s="77">
        <v>10</v>
      </c>
      <c r="X58" s="77" t="s">
        <v>35</v>
      </c>
      <c r="Y58" s="77" t="s">
        <v>43</v>
      </c>
      <c r="Z58" s="77" t="s">
        <v>55</v>
      </c>
      <c r="AA58" s="77" t="s">
        <v>29</v>
      </c>
      <c r="AB58" s="77" t="s">
        <v>161</v>
      </c>
    </row>
    <row r="59" spans="1:28" x14ac:dyDescent="0.15">
      <c r="A59" s="77" t="s">
        <v>23</v>
      </c>
      <c r="B59" s="77" t="s">
        <v>160</v>
      </c>
      <c r="C59" s="77">
        <v>2020</v>
      </c>
      <c r="D59" s="150" t="s">
        <v>254</v>
      </c>
      <c r="E59" s="77" t="s">
        <v>278</v>
      </c>
      <c r="F59" s="77" t="s">
        <v>263</v>
      </c>
      <c r="G59" s="77" t="s">
        <v>31</v>
      </c>
      <c r="H59" s="77" t="s">
        <v>164</v>
      </c>
      <c r="I59" s="77" t="s">
        <v>111</v>
      </c>
      <c r="J59" s="77" t="s">
        <v>27</v>
      </c>
      <c r="K59" s="77" t="s">
        <v>112</v>
      </c>
      <c r="L59" s="77">
        <v>1</v>
      </c>
      <c r="N59" s="77">
        <v>1</v>
      </c>
      <c r="O59" s="77">
        <v>0.2</v>
      </c>
      <c r="P59" s="77">
        <v>0.2</v>
      </c>
      <c r="Q59" s="44">
        <f t="shared" si="0"/>
        <v>0.2</v>
      </c>
      <c r="R59" s="77">
        <v>16.600000000000001</v>
      </c>
      <c r="S59" s="77">
        <v>142</v>
      </c>
      <c r="T59" s="16">
        <f t="shared" si="1"/>
        <v>30</v>
      </c>
      <c r="U59" s="77">
        <v>100</v>
      </c>
      <c r="V59" s="16">
        <f t="shared" si="2"/>
        <v>3000</v>
      </c>
      <c r="W59" s="77">
        <v>10</v>
      </c>
      <c r="X59" s="77" t="s">
        <v>35</v>
      </c>
      <c r="Y59" s="77" t="s">
        <v>43</v>
      </c>
      <c r="Z59" s="77" t="s">
        <v>55</v>
      </c>
      <c r="AA59" s="77" t="s">
        <v>29</v>
      </c>
      <c r="AB59" s="77" t="s">
        <v>161</v>
      </c>
    </row>
    <row r="60" spans="1:28" x14ac:dyDescent="0.15">
      <c r="A60" s="77" t="s">
        <v>23</v>
      </c>
      <c r="B60" s="77" t="s">
        <v>160</v>
      </c>
      <c r="C60" s="77">
        <v>2020</v>
      </c>
      <c r="D60" s="150" t="s">
        <v>254</v>
      </c>
      <c r="E60" s="77" t="s">
        <v>278</v>
      </c>
      <c r="F60" s="77" t="s">
        <v>263</v>
      </c>
      <c r="G60" s="77" t="s">
        <v>31</v>
      </c>
      <c r="H60" s="77" t="s">
        <v>164</v>
      </c>
      <c r="I60" s="77" t="s">
        <v>111</v>
      </c>
      <c r="J60" s="77" t="s">
        <v>27</v>
      </c>
      <c r="K60" s="77" t="s">
        <v>112</v>
      </c>
      <c r="L60" s="77">
        <v>2</v>
      </c>
      <c r="N60" s="77">
        <v>1</v>
      </c>
      <c r="O60" s="77">
        <v>0.55000000000000004</v>
      </c>
      <c r="P60" s="77">
        <v>0.5</v>
      </c>
      <c r="Q60" s="44">
        <f t="shared" si="0"/>
        <v>0.52500000000000002</v>
      </c>
      <c r="R60" s="77">
        <v>18</v>
      </c>
      <c r="S60" s="77">
        <v>149.5</v>
      </c>
      <c r="T60" s="16">
        <f t="shared" si="1"/>
        <v>30</v>
      </c>
      <c r="U60" s="77">
        <v>100</v>
      </c>
      <c r="V60" s="16">
        <f t="shared" si="2"/>
        <v>3000</v>
      </c>
      <c r="W60" s="77">
        <v>10</v>
      </c>
      <c r="X60" s="77" t="s">
        <v>35</v>
      </c>
      <c r="Y60" s="77" t="s">
        <v>43</v>
      </c>
      <c r="Z60" s="77" t="s">
        <v>55</v>
      </c>
      <c r="AA60" s="77" t="s">
        <v>29</v>
      </c>
      <c r="AB60" s="77" t="s">
        <v>161</v>
      </c>
    </row>
    <row r="61" spans="1:28" x14ac:dyDescent="0.15">
      <c r="A61" s="77" t="s">
        <v>23</v>
      </c>
      <c r="B61" s="77" t="s">
        <v>160</v>
      </c>
      <c r="C61" s="77">
        <v>2020</v>
      </c>
      <c r="D61" s="150" t="s">
        <v>254</v>
      </c>
      <c r="E61" s="77" t="s">
        <v>278</v>
      </c>
      <c r="F61" s="77" t="s">
        <v>263</v>
      </c>
      <c r="G61" s="77" t="s">
        <v>31</v>
      </c>
      <c r="H61" s="77" t="s">
        <v>164</v>
      </c>
      <c r="I61" s="77" t="s">
        <v>111</v>
      </c>
      <c r="J61" s="77" t="s">
        <v>27</v>
      </c>
      <c r="K61" s="77" t="s">
        <v>112</v>
      </c>
      <c r="L61" s="77">
        <v>3</v>
      </c>
      <c r="N61" s="77">
        <v>1</v>
      </c>
      <c r="O61" s="77">
        <v>0.65</v>
      </c>
      <c r="P61" s="77">
        <v>0.65</v>
      </c>
      <c r="Q61" s="44">
        <f t="shared" si="0"/>
        <v>0.65</v>
      </c>
      <c r="R61" s="77">
        <v>17.399999999999999</v>
      </c>
      <c r="S61" s="77">
        <v>141</v>
      </c>
      <c r="T61" s="16">
        <f t="shared" si="1"/>
        <v>30</v>
      </c>
      <c r="U61" s="77">
        <v>100</v>
      </c>
      <c r="V61" s="16">
        <f t="shared" si="2"/>
        <v>3000</v>
      </c>
      <c r="W61" s="77">
        <v>10</v>
      </c>
      <c r="X61" s="77" t="s">
        <v>35</v>
      </c>
      <c r="Y61" s="77" t="s">
        <v>43</v>
      </c>
      <c r="Z61" s="77" t="s">
        <v>55</v>
      </c>
      <c r="AA61" s="77" t="s">
        <v>29</v>
      </c>
      <c r="AB61" s="77" t="s">
        <v>161</v>
      </c>
    </row>
    <row r="62" spans="1:28" x14ac:dyDescent="0.15">
      <c r="A62" s="77" t="s">
        <v>23</v>
      </c>
      <c r="B62" s="77" t="s">
        <v>160</v>
      </c>
      <c r="C62" s="77">
        <v>2020</v>
      </c>
      <c r="D62" s="150" t="s">
        <v>254</v>
      </c>
      <c r="E62" s="77" t="s">
        <v>278</v>
      </c>
      <c r="F62" s="77" t="s">
        <v>263</v>
      </c>
      <c r="G62" s="77" t="s">
        <v>31</v>
      </c>
      <c r="H62" s="77" t="s">
        <v>164</v>
      </c>
      <c r="I62" s="77" t="s">
        <v>111</v>
      </c>
      <c r="J62" s="77" t="s">
        <v>27</v>
      </c>
      <c r="K62" s="77" t="s">
        <v>112</v>
      </c>
      <c r="L62" s="77">
        <v>1</v>
      </c>
      <c r="N62" s="77">
        <v>4</v>
      </c>
      <c r="O62" s="77">
        <v>0.5</v>
      </c>
      <c r="P62" s="77">
        <v>0.45</v>
      </c>
      <c r="Q62" s="44">
        <f t="shared" si="0"/>
        <v>0.47499999999999998</v>
      </c>
      <c r="R62" s="77">
        <v>15.8</v>
      </c>
      <c r="S62" s="77">
        <v>102.5</v>
      </c>
      <c r="T62" s="16">
        <f t="shared" si="1"/>
        <v>33</v>
      </c>
      <c r="U62" s="77">
        <v>398</v>
      </c>
      <c r="V62" s="16">
        <f t="shared" si="2"/>
        <v>3283.5</v>
      </c>
      <c r="W62" s="77">
        <v>10</v>
      </c>
      <c r="X62" s="77" t="s">
        <v>35</v>
      </c>
      <c r="Y62" s="77" t="s">
        <v>43</v>
      </c>
      <c r="Z62" s="77" t="s">
        <v>55</v>
      </c>
      <c r="AA62" s="77" t="s">
        <v>29</v>
      </c>
      <c r="AB62" s="77" t="s">
        <v>161</v>
      </c>
    </row>
    <row r="63" spans="1:28" x14ac:dyDescent="0.15">
      <c r="A63" s="77" t="s">
        <v>23</v>
      </c>
      <c r="B63" s="77" t="s">
        <v>160</v>
      </c>
      <c r="C63" s="77">
        <v>2020</v>
      </c>
      <c r="D63" s="150" t="s">
        <v>254</v>
      </c>
      <c r="E63" s="77" t="s">
        <v>278</v>
      </c>
      <c r="F63" s="77" t="s">
        <v>263</v>
      </c>
      <c r="G63" s="77" t="s">
        <v>31</v>
      </c>
      <c r="H63" s="77" t="s">
        <v>164</v>
      </c>
      <c r="I63" s="77" t="s">
        <v>111</v>
      </c>
      <c r="J63" s="77" t="s">
        <v>27</v>
      </c>
      <c r="K63" s="77" t="s">
        <v>112</v>
      </c>
      <c r="L63" s="77">
        <v>2</v>
      </c>
      <c r="N63" s="77">
        <v>4</v>
      </c>
      <c r="O63" s="77">
        <v>0.45</v>
      </c>
      <c r="P63" s="77">
        <v>0.2</v>
      </c>
      <c r="Q63" s="44">
        <f t="shared" si="0"/>
        <v>0.32500000000000001</v>
      </c>
      <c r="R63" s="77">
        <v>15.2</v>
      </c>
      <c r="S63" s="77">
        <v>101</v>
      </c>
      <c r="T63" s="16">
        <f t="shared" si="1"/>
        <v>33</v>
      </c>
      <c r="U63" s="77">
        <v>398</v>
      </c>
      <c r="V63" s="16">
        <f t="shared" si="2"/>
        <v>3283.5</v>
      </c>
      <c r="W63" s="77">
        <v>10</v>
      </c>
      <c r="X63" s="77" t="s">
        <v>35</v>
      </c>
      <c r="Y63" s="77" t="s">
        <v>43</v>
      </c>
      <c r="Z63" s="77" t="s">
        <v>55</v>
      </c>
      <c r="AA63" s="77" t="s">
        <v>29</v>
      </c>
      <c r="AB63" s="77" t="s">
        <v>161</v>
      </c>
    </row>
    <row r="64" spans="1:28" x14ac:dyDescent="0.15">
      <c r="A64" s="77" t="s">
        <v>23</v>
      </c>
      <c r="B64" s="77" t="s">
        <v>160</v>
      </c>
      <c r="C64" s="77">
        <v>2020</v>
      </c>
      <c r="D64" s="150" t="s">
        <v>254</v>
      </c>
      <c r="E64" s="77" t="s">
        <v>278</v>
      </c>
      <c r="F64" s="77" t="s">
        <v>263</v>
      </c>
      <c r="G64" s="77" t="s">
        <v>31</v>
      </c>
      <c r="H64" s="77" t="s">
        <v>164</v>
      </c>
      <c r="I64" s="77" t="s">
        <v>111</v>
      </c>
      <c r="J64" s="77" t="s">
        <v>27</v>
      </c>
      <c r="K64" s="77" t="s">
        <v>112</v>
      </c>
      <c r="L64" s="77">
        <v>3</v>
      </c>
      <c r="N64" s="77">
        <v>4</v>
      </c>
      <c r="O64" s="77">
        <v>0.2</v>
      </c>
      <c r="P64" s="77">
        <v>0.2</v>
      </c>
      <c r="Q64" s="44">
        <f t="shared" si="0"/>
        <v>0.2</v>
      </c>
      <c r="R64" s="77">
        <v>14.9</v>
      </c>
      <c r="S64" s="77">
        <v>101</v>
      </c>
      <c r="T64" s="16">
        <f t="shared" si="1"/>
        <v>33</v>
      </c>
      <c r="U64" s="77">
        <v>398</v>
      </c>
      <c r="V64" s="16">
        <f t="shared" si="2"/>
        <v>3283.5</v>
      </c>
      <c r="W64" s="77">
        <v>10</v>
      </c>
      <c r="X64" s="77" t="s">
        <v>35</v>
      </c>
      <c r="Y64" s="77" t="s">
        <v>43</v>
      </c>
      <c r="Z64" s="77" t="s">
        <v>55</v>
      </c>
      <c r="AA64" s="77" t="s">
        <v>29</v>
      </c>
      <c r="AB64" s="77" t="s">
        <v>161</v>
      </c>
    </row>
    <row r="65" spans="1:28" x14ac:dyDescent="0.15">
      <c r="A65" s="77" t="s">
        <v>23</v>
      </c>
      <c r="B65" s="77" t="s">
        <v>160</v>
      </c>
      <c r="C65" s="77">
        <v>2020</v>
      </c>
      <c r="D65" s="150" t="s">
        <v>254</v>
      </c>
      <c r="E65" s="77" t="s">
        <v>279</v>
      </c>
      <c r="F65" s="77" t="s">
        <v>265</v>
      </c>
      <c r="G65" s="77" t="s">
        <v>25</v>
      </c>
      <c r="H65" s="77" t="s">
        <v>113</v>
      </c>
      <c r="I65" s="77" t="s">
        <v>111</v>
      </c>
      <c r="J65" s="77" t="s">
        <v>27</v>
      </c>
      <c r="K65" s="77" t="s">
        <v>112</v>
      </c>
      <c r="L65" s="77">
        <v>1</v>
      </c>
      <c r="N65" s="77">
        <v>1</v>
      </c>
      <c r="O65" s="77">
        <v>0.2</v>
      </c>
      <c r="P65" s="77">
        <v>0.2</v>
      </c>
      <c r="Q65" s="44">
        <f t="shared" si="0"/>
        <v>0.2</v>
      </c>
      <c r="R65" s="77">
        <v>16.100000000000001</v>
      </c>
      <c r="S65" s="77">
        <v>117</v>
      </c>
      <c r="T65" s="16">
        <f t="shared" si="1"/>
        <v>30</v>
      </c>
      <c r="U65" s="77">
        <v>98</v>
      </c>
      <c r="V65" s="16">
        <f t="shared" si="2"/>
        <v>2940</v>
      </c>
      <c r="W65" s="77">
        <v>9</v>
      </c>
      <c r="X65" s="77" t="s">
        <v>35</v>
      </c>
      <c r="Y65" s="77" t="s">
        <v>55</v>
      </c>
      <c r="Z65" s="77" t="s">
        <v>47</v>
      </c>
      <c r="AA65" s="77" t="s">
        <v>43</v>
      </c>
      <c r="AB65" s="77" t="s">
        <v>161</v>
      </c>
    </row>
    <row r="66" spans="1:28" x14ac:dyDescent="0.15">
      <c r="A66" s="77" t="s">
        <v>23</v>
      </c>
      <c r="B66" s="77" t="s">
        <v>160</v>
      </c>
      <c r="C66" s="77">
        <v>2020</v>
      </c>
      <c r="D66" s="150" t="s">
        <v>254</v>
      </c>
      <c r="E66" s="77" t="s">
        <v>279</v>
      </c>
      <c r="F66" s="77" t="s">
        <v>265</v>
      </c>
      <c r="G66" s="77" t="s">
        <v>25</v>
      </c>
      <c r="H66" s="77" t="s">
        <v>113</v>
      </c>
      <c r="I66" s="77" t="s">
        <v>111</v>
      </c>
      <c r="J66" s="77" t="s">
        <v>27</v>
      </c>
      <c r="K66" s="77" t="s">
        <v>112</v>
      </c>
      <c r="L66" s="77">
        <v>2</v>
      </c>
      <c r="N66" s="77">
        <v>1</v>
      </c>
      <c r="O66" s="77">
        <v>0.2</v>
      </c>
      <c r="P66" s="77">
        <v>0.2</v>
      </c>
      <c r="Q66" s="44">
        <f t="shared" si="0"/>
        <v>0.2</v>
      </c>
      <c r="R66" s="77">
        <v>15.1</v>
      </c>
      <c r="S66" s="77">
        <v>116.5</v>
      </c>
      <c r="T66" s="16">
        <f t="shared" si="1"/>
        <v>30</v>
      </c>
      <c r="U66" s="77">
        <v>98</v>
      </c>
      <c r="V66" s="16">
        <f t="shared" si="2"/>
        <v>2940</v>
      </c>
      <c r="W66" s="77">
        <v>9</v>
      </c>
      <c r="X66" s="77" t="s">
        <v>35</v>
      </c>
      <c r="Y66" s="77" t="s">
        <v>55</v>
      </c>
      <c r="Z66" s="77" t="s">
        <v>47</v>
      </c>
      <c r="AA66" s="77" t="s">
        <v>43</v>
      </c>
      <c r="AB66" s="77" t="s">
        <v>161</v>
      </c>
    </row>
    <row r="67" spans="1:28" x14ac:dyDescent="0.15">
      <c r="A67" s="77" t="s">
        <v>23</v>
      </c>
      <c r="B67" s="77" t="s">
        <v>160</v>
      </c>
      <c r="C67" s="77">
        <v>2020</v>
      </c>
      <c r="D67" s="150" t="s">
        <v>254</v>
      </c>
      <c r="E67" s="77" t="s">
        <v>279</v>
      </c>
      <c r="F67" s="77" t="s">
        <v>265</v>
      </c>
      <c r="G67" s="77" t="s">
        <v>25</v>
      </c>
      <c r="H67" s="77" t="s">
        <v>113</v>
      </c>
      <c r="I67" s="77" t="s">
        <v>111</v>
      </c>
      <c r="J67" s="77" t="s">
        <v>27</v>
      </c>
      <c r="K67" s="77" t="s">
        <v>112</v>
      </c>
      <c r="L67" s="77">
        <v>3</v>
      </c>
      <c r="N67" s="77">
        <v>1</v>
      </c>
      <c r="O67" s="77">
        <v>0.2</v>
      </c>
      <c r="P67" s="77">
        <v>0.2</v>
      </c>
      <c r="Q67" s="44">
        <f t="shared" si="0"/>
        <v>0.2</v>
      </c>
      <c r="R67" s="77">
        <v>16.2</v>
      </c>
      <c r="S67" s="77">
        <v>119.5</v>
      </c>
      <c r="T67" s="16">
        <f t="shared" si="1"/>
        <v>30</v>
      </c>
      <c r="U67" s="77">
        <v>98</v>
      </c>
      <c r="V67" s="16">
        <f t="shared" si="2"/>
        <v>2940</v>
      </c>
      <c r="W67" s="77">
        <v>9</v>
      </c>
      <c r="X67" s="77" t="s">
        <v>35</v>
      </c>
      <c r="Y67" s="77" t="s">
        <v>55</v>
      </c>
      <c r="Z67" s="77" t="s">
        <v>47</v>
      </c>
      <c r="AA67" s="77" t="s">
        <v>43</v>
      </c>
      <c r="AB67" s="77" t="s">
        <v>161</v>
      </c>
    </row>
    <row r="68" spans="1:28" x14ac:dyDescent="0.15">
      <c r="A68" s="77" t="s">
        <v>23</v>
      </c>
      <c r="B68" s="77" t="s">
        <v>160</v>
      </c>
      <c r="C68" s="77">
        <v>2020</v>
      </c>
      <c r="D68" s="150" t="s">
        <v>254</v>
      </c>
      <c r="E68" s="77" t="s">
        <v>279</v>
      </c>
      <c r="F68" s="77" t="s">
        <v>265</v>
      </c>
      <c r="G68" s="77" t="s">
        <v>25</v>
      </c>
      <c r="H68" s="77" t="s">
        <v>113</v>
      </c>
      <c r="I68" s="77" t="s">
        <v>111</v>
      </c>
      <c r="J68" s="77" t="s">
        <v>27</v>
      </c>
      <c r="K68" s="77" t="s">
        <v>112</v>
      </c>
      <c r="L68" s="77">
        <v>1</v>
      </c>
      <c r="N68" s="77">
        <v>4</v>
      </c>
      <c r="O68" s="77">
        <v>0.7</v>
      </c>
      <c r="P68" s="77">
        <v>0.55000000000000004</v>
      </c>
      <c r="Q68" s="44">
        <f t="shared" si="0"/>
        <v>0.625</v>
      </c>
      <c r="R68" s="77">
        <v>17.2</v>
      </c>
      <c r="S68" s="77">
        <v>89</v>
      </c>
      <c r="T68" s="16">
        <f t="shared" si="1"/>
        <v>36</v>
      </c>
      <c r="U68" s="77">
        <v>358</v>
      </c>
      <c r="V68" s="16">
        <f t="shared" si="2"/>
        <v>3222</v>
      </c>
      <c r="W68" s="77">
        <v>9</v>
      </c>
      <c r="X68" s="77" t="s">
        <v>35</v>
      </c>
      <c r="Y68" s="77" t="s">
        <v>55</v>
      </c>
      <c r="Z68" s="77" t="s">
        <v>47</v>
      </c>
      <c r="AA68" s="77" t="s">
        <v>43</v>
      </c>
      <c r="AB68" s="77" t="s">
        <v>161</v>
      </c>
    </row>
    <row r="69" spans="1:28" x14ac:dyDescent="0.15">
      <c r="A69" s="77" t="s">
        <v>23</v>
      </c>
      <c r="B69" s="77" t="s">
        <v>160</v>
      </c>
      <c r="C69" s="77">
        <v>2020</v>
      </c>
      <c r="D69" s="150" t="s">
        <v>254</v>
      </c>
      <c r="E69" s="77" t="s">
        <v>279</v>
      </c>
      <c r="F69" s="77" t="s">
        <v>265</v>
      </c>
      <c r="G69" s="77" t="s">
        <v>25</v>
      </c>
      <c r="H69" s="77" t="s">
        <v>113</v>
      </c>
      <c r="I69" s="77" t="s">
        <v>111</v>
      </c>
      <c r="J69" s="77" t="s">
        <v>27</v>
      </c>
      <c r="K69" s="77" t="s">
        <v>112</v>
      </c>
      <c r="L69" s="77">
        <v>2</v>
      </c>
      <c r="N69" s="77">
        <v>4</v>
      </c>
      <c r="O69" s="77">
        <v>0.6</v>
      </c>
      <c r="P69" s="77">
        <v>0.55000000000000004</v>
      </c>
      <c r="Q69" s="44">
        <f t="shared" si="0"/>
        <v>0.57499999999999996</v>
      </c>
      <c r="R69" s="77">
        <v>16.399999999999999</v>
      </c>
      <c r="S69" s="77">
        <v>91.5</v>
      </c>
      <c r="T69" s="16">
        <f t="shared" si="1"/>
        <v>36</v>
      </c>
      <c r="U69" s="77">
        <v>358</v>
      </c>
      <c r="V69" s="16">
        <f t="shared" si="2"/>
        <v>3222</v>
      </c>
      <c r="W69" s="77">
        <v>9</v>
      </c>
      <c r="X69" s="77" t="s">
        <v>35</v>
      </c>
      <c r="Y69" s="77" t="s">
        <v>55</v>
      </c>
      <c r="Z69" s="77" t="s">
        <v>47</v>
      </c>
      <c r="AA69" s="77" t="s">
        <v>43</v>
      </c>
      <c r="AB69" s="77" t="s">
        <v>161</v>
      </c>
    </row>
    <row r="70" spans="1:28" x14ac:dyDescent="0.15">
      <c r="A70" s="77" t="s">
        <v>23</v>
      </c>
      <c r="B70" s="77" t="s">
        <v>160</v>
      </c>
      <c r="C70" s="77">
        <v>2020</v>
      </c>
      <c r="D70" s="150" t="s">
        <v>254</v>
      </c>
      <c r="E70" s="77" t="s">
        <v>279</v>
      </c>
      <c r="F70" s="77" t="s">
        <v>265</v>
      </c>
      <c r="G70" s="77" t="s">
        <v>25</v>
      </c>
      <c r="H70" s="77" t="s">
        <v>113</v>
      </c>
      <c r="I70" s="77" t="s">
        <v>111</v>
      </c>
      <c r="J70" s="77" t="s">
        <v>27</v>
      </c>
      <c r="K70" s="77" t="s">
        <v>112</v>
      </c>
      <c r="L70" s="77">
        <v>3</v>
      </c>
      <c r="N70" s="77">
        <v>4</v>
      </c>
      <c r="O70" s="77">
        <v>0.7</v>
      </c>
      <c r="P70" s="77">
        <v>0.6</v>
      </c>
      <c r="Q70" s="44">
        <f t="shared" si="0"/>
        <v>0.64999999999999991</v>
      </c>
      <c r="R70" s="77">
        <v>16.5</v>
      </c>
      <c r="S70" s="77">
        <v>87</v>
      </c>
      <c r="T70" s="16">
        <f t="shared" si="1"/>
        <v>36</v>
      </c>
      <c r="U70" s="77">
        <v>358</v>
      </c>
      <c r="V70" s="16">
        <f t="shared" si="2"/>
        <v>3222</v>
      </c>
      <c r="W70" s="77">
        <v>9</v>
      </c>
      <c r="X70" s="77" t="s">
        <v>35</v>
      </c>
      <c r="Y70" s="77" t="s">
        <v>55</v>
      </c>
      <c r="Z70" s="77" t="s">
        <v>47</v>
      </c>
      <c r="AA70" s="77" t="s">
        <v>43</v>
      </c>
      <c r="AB70" s="77" t="s">
        <v>161</v>
      </c>
    </row>
    <row r="71" spans="1:28" x14ac:dyDescent="0.15">
      <c r="A71" s="77" t="s">
        <v>23</v>
      </c>
      <c r="B71" s="77" t="s">
        <v>160</v>
      </c>
      <c r="C71" s="77">
        <v>2020</v>
      </c>
      <c r="D71" s="150" t="s">
        <v>254</v>
      </c>
      <c r="E71" s="77" t="s">
        <v>279</v>
      </c>
      <c r="F71" s="77" t="s">
        <v>265</v>
      </c>
      <c r="G71" s="77" t="s">
        <v>25</v>
      </c>
      <c r="H71" s="77" t="s">
        <v>165</v>
      </c>
      <c r="I71" s="77" t="s">
        <v>111</v>
      </c>
      <c r="J71" s="77" t="s">
        <v>27</v>
      </c>
      <c r="K71" s="77" t="s">
        <v>112</v>
      </c>
      <c r="L71" s="77">
        <v>1</v>
      </c>
      <c r="N71" s="77">
        <v>4</v>
      </c>
      <c r="O71" s="77">
        <v>0.7</v>
      </c>
      <c r="P71" s="77">
        <v>0.75</v>
      </c>
      <c r="Q71" s="44">
        <f t="shared" si="0"/>
        <v>0.72499999999999998</v>
      </c>
      <c r="R71" s="77">
        <v>17.5</v>
      </c>
      <c r="S71" s="77">
        <v>86</v>
      </c>
      <c r="T71" s="16">
        <f>IF(H71="","",IF(OR(H71="GREEN",H71="GK"),IF(S71&gt;=$AX$2,VLOOKUP(S71,$AX$2:$AY$9,2,1),""),IF(S71&gt;=$AZ$2,VLOOKUP(S71,$AZ$2:$BA$9,2,1),"")))</f>
        <v>36</v>
      </c>
      <c r="U71" s="77">
        <v>358</v>
      </c>
      <c r="V71" s="16">
        <f t="shared" si="2"/>
        <v>3222</v>
      </c>
      <c r="W71" s="77">
        <v>9</v>
      </c>
      <c r="X71" s="77" t="s">
        <v>35</v>
      </c>
      <c r="Y71" s="77" t="s">
        <v>55</v>
      </c>
      <c r="Z71" s="77" t="s">
        <v>47</v>
      </c>
      <c r="AA71" s="77" t="s">
        <v>43</v>
      </c>
      <c r="AB71" s="77" t="s">
        <v>161</v>
      </c>
    </row>
    <row r="72" spans="1:28" x14ac:dyDescent="0.15">
      <c r="A72" s="77" t="s">
        <v>23</v>
      </c>
      <c r="B72" s="77" t="s">
        <v>160</v>
      </c>
      <c r="C72" s="77">
        <v>2020</v>
      </c>
      <c r="D72" s="150" t="s">
        <v>254</v>
      </c>
      <c r="E72" s="77" t="s">
        <v>279</v>
      </c>
      <c r="F72" s="77" t="s">
        <v>265</v>
      </c>
      <c r="G72" s="77" t="s">
        <v>25</v>
      </c>
      <c r="H72" s="77" t="s">
        <v>165</v>
      </c>
      <c r="I72" s="77" t="s">
        <v>111</v>
      </c>
      <c r="J72" s="77" t="s">
        <v>27</v>
      </c>
      <c r="K72" s="77" t="s">
        <v>112</v>
      </c>
      <c r="L72" s="77">
        <v>2</v>
      </c>
      <c r="N72" s="77">
        <v>4</v>
      </c>
      <c r="O72" s="77">
        <v>0.55000000000000004</v>
      </c>
      <c r="P72" s="77">
        <v>0.2</v>
      </c>
      <c r="Q72" s="44">
        <f t="shared" si="0"/>
        <v>0.375</v>
      </c>
      <c r="R72" s="77">
        <v>17.7</v>
      </c>
      <c r="S72" s="77">
        <v>84.5</v>
      </c>
      <c r="T72" s="16">
        <f t="shared" ref="T72:T73" si="4">IF(H72="","",IF(OR(H72="GREEN",H72="GK"),IF(S72&gt;=$AX$2,VLOOKUP(S72,$AX$2:$AY$9,2,1),""),IF(S72&gt;=$AZ$2,VLOOKUP(S72,$AZ$2:$BA$9,2,1),"")))</f>
        <v>36</v>
      </c>
      <c r="U72" s="77">
        <v>358</v>
      </c>
      <c r="V72" s="16">
        <f t="shared" si="2"/>
        <v>3222</v>
      </c>
      <c r="W72" s="77">
        <v>9</v>
      </c>
      <c r="X72" s="77" t="s">
        <v>35</v>
      </c>
      <c r="Y72" s="77" t="s">
        <v>55</v>
      </c>
      <c r="Z72" s="77" t="s">
        <v>47</v>
      </c>
      <c r="AA72" s="77" t="s">
        <v>43</v>
      </c>
      <c r="AB72" s="77" t="s">
        <v>161</v>
      </c>
    </row>
    <row r="73" spans="1:28" x14ac:dyDescent="0.15">
      <c r="A73" s="77" t="s">
        <v>23</v>
      </c>
      <c r="B73" s="77" t="s">
        <v>160</v>
      </c>
      <c r="C73" s="77">
        <v>2020</v>
      </c>
      <c r="D73" s="150" t="s">
        <v>254</v>
      </c>
      <c r="E73" s="77" t="s">
        <v>279</v>
      </c>
      <c r="F73" s="77" t="s">
        <v>265</v>
      </c>
      <c r="G73" s="77" t="s">
        <v>25</v>
      </c>
      <c r="H73" s="77" t="s">
        <v>165</v>
      </c>
      <c r="I73" s="77" t="s">
        <v>111</v>
      </c>
      <c r="J73" s="77" t="s">
        <v>27</v>
      </c>
      <c r="K73" s="77" t="s">
        <v>112</v>
      </c>
      <c r="L73" s="77">
        <v>3</v>
      </c>
      <c r="N73" s="77">
        <v>4</v>
      </c>
      <c r="O73" s="77">
        <v>0.45</v>
      </c>
      <c r="P73" s="77">
        <v>0.7</v>
      </c>
      <c r="Q73" s="44">
        <f t="shared" si="0"/>
        <v>0.57499999999999996</v>
      </c>
      <c r="R73" s="77">
        <v>17.899999999999999</v>
      </c>
      <c r="S73" s="77">
        <v>79.5</v>
      </c>
      <c r="T73" s="16">
        <f t="shared" si="4"/>
        <v>39</v>
      </c>
      <c r="U73" s="77">
        <v>358</v>
      </c>
      <c r="V73" s="16">
        <f t="shared" si="2"/>
        <v>3490.5</v>
      </c>
      <c r="W73" s="77">
        <v>9</v>
      </c>
      <c r="X73" s="77" t="s">
        <v>35</v>
      </c>
      <c r="Y73" s="77" t="s">
        <v>55</v>
      </c>
      <c r="Z73" s="77" t="s">
        <v>47</v>
      </c>
      <c r="AA73" s="77" t="s">
        <v>43</v>
      </c>
      <c r="AB73" s="77" t="s">
        <v>161</v>
      </c>
    </row>
    <row r="74" spans="1:28" x14ac:dyDescent="0.15">
      <c r="A74" s="77" t="s">
        <v>23</v>
      </c>
      <c r="B74" s="77" t="s">
        <v>160</v>
      </c>
      <c r="C74" s="77">
        <v>2020</v>
      </c>
      <c r="D74" s="150" t="s">
        <v>254</v>
      </c>
      <c r="E74" s="77" t="s">
        <v>279</v>
      </c>
      <c r="F74" s="77" t="s">
        <v>265</v>
      </c>
      <c r="G74" s="77" t="s">
        <v>25</v>
      </c>
      <c r="H74" s="77" t="s">
        <v>113</v>
      </c>
      <c r="I74" s="77" t="s">
        <v>111</v>
      </c>
      <c r="J74" s="77" t="s">
        <v>27</v>
      </c>
      <c r="K74" s="77" t="s">
        <v>112</v>
      </c>
      <c r="L74" s="77">
        <v>1</v>
      </c>
      <c r="N74" s="77">
        <v>8</v>
      </c>
      <c r="O74" s="77">
        <v>0.5</v>
      </c>
      <c r="P74" s="77">
        <v>0.5</v>
      </c>
      <c r="Q74" s="44">
        <f t="shared" si="0"/>
        <v>0.5</v>
      </c>
      <c r="R74" s="77">
        <v>15.6</v>
      </c>
      <c r="S74" s="77">
        <v>90</v>
      </c>
      <c r="T74" s="16">
        <f t="shared" si="1"/>
        <v>36</v>
      </c>
      <c r="U74" s="77">
        <v>698</v>
      </c>
      <c r="V74" s="16">
        <f t="shared" si="2"/>
        <v>3141</v>
      </c>
      <c r="W74" s="77">
        <v>9</v>
      </c>
      <c r="X74" s="77" t="s">
        <v>35</v>
      </c>
      <c r="Y74" s="77" t="s">
        <v>55</v>
      </c>
      <c r="Z74" s="77" t="s">
        <v>47</v>
      </c>
      <c r="AA74" s="77" t="s">
        <v>43</v>
      </c>
      <c r="AB74" s="77" t="s">
        <v>161</v>
      </c>
    </row>
    <row r="75" spans="1:28" x14ac:dyDescent="0.15">
      <c r="A75" s="77" t="s">
        <v>23</v>
      </c>
      <c r="B75" s="77" t="s">
        <v>160</v>
      </c>
      <c r="C75" s="77">
        <v>2020</v>
      </c>
      <c r="D75" s="150" t="s">
        <v>254</v>
      </c>
      <c r="E75" s="77" t="s">
        <v>279</v>
      </c>
      <c r="F75" s="77" t="s">
        <v>265</v>
      </c>
      <c r="G75" s="77" t="s">
        <v>25</v>
      </c>
      <c r="H75" s="77" t="s">
        <v>113</v>
      </c>
      <c r="I75" s="77" t="s">
        <v>111</v>
      </c>
      <c r="J75" s="77" t="s">
        <v>27</v>
      </c>
      <c r="K75" s="77" t="s">
        <v>112</v>
      </c>
      <c r="L75" s="77">
        <v>2</v>
      </c>
      <c r="N75" s="77">
        <v>8</v>
      </c>
      <c r="O75" s="77">
        <v>0.6</v>
      </c>
      <c r="P75" s="77">
        <v>0.55000000000000004</v>
      </c>
      <c r="Q75" s="44">
        <f t="shared" si="0"/>
        <v>0.57499999999999996</v>
      </c>
      <c r="R75" s="77">
        <v>15.3</v>
      </c>
      <c r="S75" s="77">
        <v>86.5</v>
      </c>
      <c r="T75" s="16">
        <f t="shared" si="1"/>
        <v>36</v>
      </c>
      <c r="U75" s="77">
        <v>698</v>
      </c>
      <c r="V75" s="16">
        <f t="shared" si="2"/>
        <v>3141</v>
      </c>
      <c r="W75" s="77">
        <v>9</v>
      </c>
      <c r="X75" s="77" t="s">
        <v>35</v>
      </c>
      <c r="Y75" s="77" t="s">
        <v>55</v>
      </c>
      <c r="Z75" s="77" t="s">
        <v>47</v>
      </c>
      <c r="AA75" s="77" t="s">
        <v>43</v>
      </c>
      <c r="AB75" s="77" t="s">
        <v>161</v>
      </c>
    </row>
    <row r="76" spans="1:28" x14ac:dyDescent="0.15">
      <c r="A76" s="77" t="s">
        <v>23</v>
      </c>
      <c r="B76" s="77" t="s">
        <v>160</v>
      </c>
      <c r="C76" s="77">
        <v>2020</v>
      </c>
      <c r="D76" s="150" t="s">
        <v>254</v>
      </c>
      <c r="E76" s="77" t="s">
        <v>279</v>
      </c>
      <c r="F76" s="77" t="s">
        <v>265</v>
      </c>
      <c r="G76" s="77" t="s">
        <v>25</v>
      </c>
      <c r="H76" s="77" t="s">
        <v>113</v>
      </c>
      <c r="I76" s="77" t="s">
        <v>111</v>
      </c>
      <c r="J76" s="77" t="s">
        <v>27</v>
      </c>
      <c r="K76" s="77" t="s">
        <v>112</v>
      </c>
      <c r="L76" s="77">
        <v>3</v>
      </c>
      <c r="N76" s="77">
        <v>8</v>
      </c>
      <c r="O76" s="77">
        <v>0.45</v>
      </c>
      <c r="P76" s="77">
        <v>0.5</v>
      </c>
      <c r="Q76" s="44">
        <f t="shared" si="0"/>
        <v>0.47499999999999998</v>
      </c>
      <c r="R76" s="77">
        <v>12.6</v>
      </c>
      <c r="S76" s="77">
        <v>87.5</v>
      </c>
      <c r="T76" s="16">
        <f t="shared" si="1"/>
        <v>36</v>
      </c>
      <c r="U76" s="77">
        <v>698</v>
      </c>
      <c r="V76" s="16">
        <f t="shared" si="2"/>
        <v>3141</v>
      </c>
      <c r="W76" s="77">
        <v>9</v>
      </c>
      <c r="X76" s="77" t="s">
        <v>35</v>
      </c>
      <c r="Y76" s="77" t="s">
        <v>55</v>
      </c>
      <c r="Z76" s="77" t="s">
        <v>47</v>
      </c>
      <c r="AA76" s="77" t="s">
        <v>43</v>
      </c>
      <c r="AB76" s="77" t="s">
        <v>161</v>
      </c>
    </row>
    <row r="77" spans="1:28" x14ac:dyDescent="0.15">
      <c r="A77" s="77" t="s">
        <v>23</v>
      </c>
      <c r="B77" s="77" t="s">
        <v>160</v>
      </c>
      <c r="C77" s="77">
        <v>2020</v>
      </c>
      <c r="D77" s="150" t="s">
        <v>254</v>
      </c>
      <c r="E77" s="77" t="s">
        <v>279</v>
      </c>
      <c r="F77" s="77" t="s">
        <v>265</v>
      </c>
      <c r="G77" s="77" t="s">
        <v>25</v>
      </c>
      <c r="H77" s="77" t="s">
        <v>164</v>
      </c>
      <c r="I77" s="77" t="s">
        <v>111</v>
      </c>
      <c r="J77" s="77" t="s">
        <v>27</v>
      </c>
      <c r="K77" s="77" t="s">
        <v>112</v>
      </c>
      <c r="L77" s="77">
        <v>1</v>
      </c>
      <c r="N77" s="77">
        <v>1</v>
      </c>
      <c r="O77" s="77">
        <v>0.5</v>
      </c>
      <c r="P77" s="77">
        <v>0.7</v>
      </c>
      <c r="Q77" s="44">
        <f t="shared" si="0"/>
        <v>0.6</v>
      </c>
      <c r="R77" s="77">
        <v>16.2</v>
      </c>
      <c r="S77" s="77">
        <v>119.5</v>
      </c>
      <c r="T77" s="16">
        <f t="shared" si="1"/>
        <v>30</v>
      </c>
      <c r="U77" s="77">
        <v>98</v>
      </c>
      <c r="V77" s="16">
        <f t="shared" si="2"/>
        <v>2940</v>
      </c>
      <c r="W77" s="77">
        <v>9</v>
      </c>
      <c r="X77" s="77" t="s">
        <v>35</v>
      </c>
      <c r="Y77" s="77" t="s">
        <v>55</v>
      </c>
      <c r="Z77" s="77" t="s">
        <v>47</v>
      </c>
      <c r="AA77" s="77" t="s">
        <v>43</v>
      </c>
      <c r="AB77" s="77" t="s">
        <v>161</v>
      </c>
    </row>
    <row r="78" spans="1:28" x14ac:dyDescent="0.15">
      <c r="A78" s="77" t="s">
        <v>23</v>
      </c>
      <c r="B78" s="77" t="s">
        <v>160</v>
      </c>
      <c r="C78" s="77">
        <v>2020</v>
      </c>
      <c r="D78" s="150" t="s">
        <v>254</v>
      </c>
      <c r="E78" s="77" t="s">
        <v>279</v>
      </c>
      <c r="F78" s="77" t="s">
        <v>265</v>
      </c>
      <c r="G78" s="77" t="s">
        <v>25</v>
      </c>
      <c r="H78" s="77" t="s">
        <v>164</v>
      </c>
      <c r="I78" s="77" t="s">
        <v>111</v>
      </c>
      <c r="J78" s="77" t="s">
        <v>27</v>
      </c>
      <c r="K78" s="77" t="s">
        <v>112</v>
      </c>
      <c r="L78" s="77">
        <v>2</v>
      </c>
      <c r="N78" s="77">
        <v>1</v>
      </c>
      <c r="O78" s="77">
        <v>0.5</v>
      </c>
      <c r="P78" s="77">
        <v>0.2</v>
      </c>
      <c r="Q78" s="44">
        <f t="shared" si="0"/>
        <v>0.35</v>
      </c>
      <c r="R78" s="77">
        <v>17.2</v>
      </c>
      <c r="S78" s="77">
        <v>116</v>
      </c>
      <c r="T78" s="16">
        <f t="shared" si="1"/>
        <v>30</v>
      </c>
      <c r="U78" s="77">
        <v>98</v>
      </c>
      <c r="V78" s="16">
        <f t="shared" si="2"/>
        <v>2940</v>
      </c>
      <c r="W78" s="77">
        <v>9</v>
      </c>
      <c r="X78" s="77" t="s">
        <v>35</v>
      </c>
      <c r="Y78" s="77" t="s">
        <v>55</v>
      </c>
      <c r="Z78" s="77" t="s">
        <v>47</v>
      </c>
      <c r="AA78" s="77" t="s">
        <v>43</v>
      </c>
      <c r="AB78" s="77" t="s">
        <v>161</v>
      </c>
    </row>
    <row r="79" spans="1:28" x14ac:dyDescent="0.15">
      <c r="A79" s="77" t="s">
        <v>23</v>
      </c>
      <c r="B79" s="77" t="s">
        <v>160</v>
      </c>
      <c r="C79" s="77">
        <v>2020</v>
      </c>
      <c r="D79" s="150" t="s">
        <v>254</v>
      </c>
      <c r="E79" s="77" t="s">
        <v>279</v>
      </c>
      <c r="F79" s="77" t="s">
        <v>265</v>
      </c>
      <c r="G79" s="77" t="s">
        <v>25</v>
      </c>
      <c r="H79" s="77" t="s">
        <v>164</v>
      </c>
      <c r="I79" s="77" t="s">
        <v>111</v>
      </c>
      <c r="J79" s="77" t="s">
        <v>27</v>
      </c>
      <c r="K79" s="77" t="s">
        <v>112</v>
      </c>
      <c r="L79" s="77">
        <v>3</v>
      </c>
      <c r="N79" s="77">
        <v>1</v>
      </c>
      <c r="O79" s="77">
        <v>0.2</v>
      </c>
      <c r="P79" s="77">
        <v>0.5</v>
      </c>
      <c r="Q79" s="44">
        <f t="shared" si="0"/>
        <v>0.35</v>
      </c>
      <c r="R79" s="77">
        <v>17.100000000000001</v>
      </c>
      <c r="S79" s="77">
        <v>116</v>
      </c>
      <c r="T79" s="16">
        <f t="shared" si="1"/>
        <v>30</v>
      </c>
      <c r="U79" s="77">
        <v>98</v>
      </c>
      <c r="V79" s="16">
        <f t="shared" si="2"/>
        <v>2940</v>
      </c>
      <c r="W79" s="77">
        <v>9</v>
      </c>
      <c r="X79" s="77" t="s">
        <v>35</v>
      </c>
      <c r="Y79" s="77" t="s">
        <v>55</v>
      </c>
      <c r="Z79" s="77" t="s">
        <v>47</v>
      </c>
      <c r="AA79" s="77" t="s">
        <v>43</v>
      </c>
      <c r="AB79" s="77" t="s">
        <v>161</v>
      </c>
    </row>
    <row r="80" spans="1:28" x14ac:dyDescent="0.15">
      <c r="A80" s="77" t="s">
        <v>23</v>
      </c>
      <c r="B80" s="77" t="s">
        <v>160</v>
      </c>
      <c r="C80" s="77">
        <v>2020</v>
      </c>
      <c r="D80" s="150" t="s">
        <v>254</v>
      </c>
      <c r="E80" s="77" t="s">
        <v>279</v>
      </c>
      <c r="F80" s="77" t="s">
        <v>265</v>
      </c>
      <c r="G80" s="77" t="s">
        <v>25</v>
      </c>
      <c r="H80" s="77" t="s">
        <v>164</v>
      </c>
      <c r="I80" s="77" t="s">
        <v>111</v>
      </c>
      <c r="J80" s="77" t="s">
        <v>27</v>
      </c>
      <c r="K80" s="77" t="s">
        <v>112</v>
      </c>
      <c r="L80" s="77">
        <v>1</v>
      </c>
      <c r="N80" s="77">
        <v>4</v>
      </c>
      <c r="O80" s="77">
        <v>0.55000000000000004</v>
      </c>
      <c r="P80" s="77">
        <v>0.5</v>
      </c>
      <c r="Q80" s="44">
        <f t="shared" si="0"/>
        <v>0.52500000000000002</v>
      </c>
      <c r="R80" s="77">
        <v>15.7</v>
      </c>
      <c r="S80" s="77">
        <v>96.5</v>
      </c>
      <c r="T80" s="16">
        <f t="shared" si="1"/>
        <v>36</v>
      </c>
      <c r="U80" s="77">
        <v>358</v>
      </c>
      <c r="V80" s="16">
        <f t="shared" si="2"/>
        <v>3222</v>
      </c>
      <c r="W80" s="77">
        <v>9</v>
      </c>
      <c r="X80" s="77" t="s">
        <v>35</v>
      </c>
      <c r="Y80" s="77" t="s">
        <v>55</v>
      </c>
      <c r="Z80" s="77" t="s">
        <v>47</v>
      </c>
      <c r="AA80" s="77" t="s">
        <v>43</v>
      </c>
      <c r="AB80" s="77" t="s">
        <v>161</v>
      </c>
    </row>
    <row r="81" spans="1:28" x14ac:dyDescent="0.15">
      <c r="A81" s="77" t="s">
        <v>23</v>
      </c>
      <c r="B81" s="77" t="s">
        <v>160</v>
      </c>
      <c r="C81" s="77">
        <v>2020</v>
      </c>
      <c r="D81" s="150" t="s">
        <v>254</v>
      </c>
      <c r="E81" s="77" t="s">
        <v>279</v>
      </c>
      <c r="F81" s="77" t="s">
        <v>265</v>
      </c>
      <c r="G81" s="77" t="s">
        <v>25</v>
      </c>
      <c r="H81" s="77" t="s">
        <v>164</v>
      </c>
      <c r="I81" s="77" t="s">
        <v>111</v>
      </c>
      <c r="J81" s="77" t="s">
        <v>27</v>
      </c>
      <c r="K81" s="77" t="s">
        <v>112</v>
      </c>
      <c r="L81" s="77">
        <v>2</v>
      </c>
      <c r="N81" s="77">
        <v>4</v>
      </c>
      <c r="O81" s="77">
        <v>0.45</v>
      </c>
      <c r="P81" s="77">
        <v>0.65</v>
      </c>
      <c r="Q81" s="44">
        <f t="shared" si="0"/>
        <v>0.55000000000000004</v>
      </c>
      <c r="R81" s="77">
        <v>16.2</v>
      </c>
      <c r="S81" s="77">
        <v>102</v>
      </c>
      <c r="T81" s="16">
        <f t="shared" si="1"/>
        <v>33</v>
      </c>
      <c r="U81" s="77">
        <v>358</v>
      </c>
      <c r="V81" s="16">
        <f t="shared" si="2"/>
        <v>2953.5</v>
      </c>
      <c r="W81" s="77">
        <v>9</v>
      </c>
      <c r="X81" s="77" t="s">
        <v>35</v>
      </c>
      <c r="Y81" s="77" t="s">
        <v>55</v>
      </c>
      <c r="Z81" s="77" t="s">
        <v>47</v>
      </c>
      <c r="AA81" s="77" t="s">
        <v>43</v>
      </c>
      <c r="AB81" s="77" t="s">
        <v>161</v>
      </c>
    </row>
    <row r="82" spans="1:28" x14ac:dyDescent="0.15">
      <c r="A82" s="77" t="s">
        <v>23</v>
      </c>
      <c r="B82" s="77" t="s">
        <v>160</v>
      </c>
      <c r="C82" s="77">
        <v>2020</v>
      </c>
      <c r="D82" s="150" t="s">
        <v>254</v>
      </c>
      <c r="E82" s="77" t="s">
        <v>279</v>
      </c>
      <c r="F82" s="77" t="s">
        <v>265</v>
      </c>
      <c r="G82" s="77" t="s">
        <v>25</v>
      </c>
      <c r="H82" s="77" t="s">
        <v>164</v>
      </c>
      <c r="I82" s="77" t="s">
        <v>111</v>
      </c>
      <c r="J82" s="77" t="s">
        <v>27</v>
      </c>
      <c r="K82" s="77" t="s">
        <v>112</v>
      </c>
      <c r="L82" s="77">
        <v>3</v>
      </c>
      <c r="N82" s="77">
        <v>4</v>
      </c>
      <c r="O82" s="77">
        <v>0.55000000000000004</v>
      </c>
      <c r="P82" s="77">
        <v>0.65</v>
      </c>
      <c r="Q82" s="44">
        <f t="shared" si="0"/>
        <v>0.60000000000000009</v>
      </c>
      <c r="R82" s="77">
        <v>14</v>
      </c>
      <c r="S82" s="77">
        <v>102.5</v>
      </c>
      <c r="T82" s="16">
        <f t="shared" si="1"/>
        <v>33</v>
      </c>
      <c r="U82" s="77">
        <v>358</v>
      </c>
      <c r="V82" s="16">
        <f t="shared" si="2"/>
        <v>2953.5</v>
      </c>
      <c r="W82" s="77">
        <v>9</v>
      </c>
      <c r="X82" s="77" t="s">
        <v>35</v>
      </c>
      <c r="Y82" s="77" t="s">
        <v>55</v>
      </c>
      <c r="Z82" s="77" t="s">
        <v>47</v>
      </c>
      <c r="AA82" s="77" t="s">
        <v>43</v>
      </c>
      <c r="AB82" s="77" t="s">
        <v>161</v>
      </c>
    </row>
    <row r="83" spans="1:28" x14ac:dyDescent="0.15">
      <c r="A83" s="77" t="s">
        <v>23</v>
      </c>
      <c r="B83" s="77" t="s">
        <v>160</v>
      </c>
      <c r="C83" s="77">
        <v>2020</v>
      </c>
      <c r="D83" s="150" t="s">
        <v>254</v>
      </c>
      <c r="E83" s="77" t="s">
        <v>279</v>
      </c>
      <c r="F83" s="77" t="s">
        <v>265</v>
      </c>
      <c r="G83" s="77" t="s">
        <v>25</v>
      </c>
      <c r="H83" s="77" t="s">
        <v>164</v>
      </c>
      <c r="I83" s="77" t="s">
        <v>111</v>
      </c>
      <c r="J83" s="77" t="s">
        <v>27</v>
      </c>
      <c r="K83" s="77" t="s">
        <v>112</v>
      </c>
      <c r="L83" s="77">
        <v>1</v>
      </c>
      <c r="N83" s="77">
        <v>8</v>
      </c>
      <c r="O83" s="77">
        <v>0.2</v>
      </c>
      <c r="P83" s="77">
        <v>0.45</v>
      </c>
      <c r="Q83" s="44">
        <f t="shared" si="0"/>
        <v>0.32500000000000001</v>
      </c>
      <c r="R83" s="77">
        <v>16.600000000000001</v>
      </c>
      <c r="S83" s="77">
        <v>104.5</v>
      </c>
      <c r="T83" s="16">
        <f t="shared" si="1"/>
        <v>33</v>
      </c>
      <c r="U83" s="77">
        <v>698</v>
      </c>
      <c r="V83" s="16">
        <f t="shared" si="2"/>
        <v>2879.25</v>
      </c>
      <c r="W83" s="77">
        <v>9</v>
      </c>
      <c r="X83" s="77" t="s">
        <v>35</v>
      </c>
      <c r="Y83" s="77" t="s">
        <v>55</v>
      </c>
      <c r="Z83" s="77" t="s">
        <v>47</v>
      </c>
      <c r="AA83" s="77" t="s">
        <v>43</v>
      </c>
      <c r="AB83" s="77" t="s">
        <v>161</v>
      </c>
    </row>
    <row r="84" spans="1:28" x14ac:dyDescent="0.15">
      <c r="A84" s="77" t="s">
        <v>23</v>
      </c>
      <c r="B84" s="77" t="s">
        <v>160</v>
      </c>
      <c r="C84" s="77">
        <v>2020</v>
      </c>
      <c r="D84" s="150" t="s">
        <v>254</v>
      </c>
      <c r="E84" s="77" t="s">
        <v>279</v>
      </c>
      <c r="F84" s="77" t="s">
        <v>265</v>
      </c>
      <c r="G84" s="77" t="s">
        <v>25</v>
      </c>
      <c r="H84" s="77" t="s">
        <v>164</v>
      </c>
      <c r="I84" s="77" t="s">
        <v>111</v>
      </c>
      <c r="J84" s="77" t="s">
        <v>27</v>
      </c>
      <c r="K84" s="77" t="s">
        <v>112</v>
      </c>
      <c r="L84" s="77">
        <v>2</v>
      </c>
      <c r="N84" s="77">
        <v>8</v>
      </c>
      <c r="O84" s="77">
        <v>0.2</v>
      </c>
      <c r="P84" s="77">
        <v>0.5</v>
      </c>
      <c r="Q84" s="44">
        <f t="shared" si="0"/>
        <v>0.35</v>
      </c>
      <c r="R84" s="77">
        <v>17.2</v>
      </c>
      <c r="S84" s="77">
        <v>102.5</v>
      </c>
      <c r="T84" s="16">
        <f t="shared" si="1"/>
        <v>33</v>
      </c>
      <c r="U84" s="77">
        <v>698</v>
      </c>
      <c r="V84" s="16">
        <f t="shared" si="2"/>
        <v>2879.25</v>
      </c>
      <c r="W84" s="77">
        <v>9</v>
      </c>
      <c r="X84" s="77" t="s">
        <v>35</v>
      </c>
      <c r="Y84" s="77" t="s">
        <v>55</v>
      </c>
      <c r="Z84" s="77" t="s">
        <v>47</v>
      </c>
      <c r="AA84" s="77" t="s">
        <v>43</v>
      </c>
      <c r="AB84" s="77" t="s">
        <v>161</v>
      </c>
    </row>
    <row r="85" spans="1:28" x14ac:dyDescent="0.15">
      <c r="A85" s="77" t="s">
        <v>23</v>
      </c>
      <c r="B85" s="77" t="s">
        <v>160</v>
      </c>
      <c r="C85" s="77">
        <v>2020</v>
      </c>
      <c r="D85" s="150" t="s">
        <v>254</v>
      </c>
      <c r="E85" s="77" t="s">
        <v>279</v>
      </c>
      <c r="F85" s="77" t="s">
        <v>265</v>
      </c>
      <c r="G85" s="77" t="s">
        <v>25</v>
      </c>
      <c r="H85" s="77" t="s">
        <v>164</v>
      </c>
      <c r="I85" s="77" t="s">
        <v>111</v>
      </c>
      <c r="J85" s="77" t="s">
        <v>27</v>
      </c>
      <c r="K85" s="77" t="s">
        <v>112</v>
      </c>
      <c r="L85" s="77">
        <v>3</v>
      </c>
      <c r="N85" s="77">
        <v>8</v>
      </c>
      <c r="O85" s="77">
        <v>0.5</v>
      </c>
      <c r="P85" s="77">
        <v>0.55000000000000004</v>
      </c>
      <c r="Q85" s="44">
        <f t="shared" si="0"/>
        <v>0.52500000000000002</v>
      </c>
      <c r="R85" s="77">
        <v>17</v>
      </c>
      <c r="S85" s="77">
        <v>103.5</v>
      </c>
      <c r="T85" s="16">
        <f t="shared" si="1"/>
        <v>33</v>
      </c>
      <c r="U85" s="77">
        <v>698</v>
      </c>
      <c r="V85" s="16">
        <f t="shared" si="2"/>
        <v>2879.25</v>
      </c>
      <c r="W85" s="77">
        <v>9</v>
      </c>
      <c r="X85" s="77" t="s">
        <v>35</v>
      </c>
      <c r="Y85" s="77" t="s">
        <v>55</v>
      </c>
      <c r="Z85" s="77" t="s">
        <v>47</v>
      </c>
      <c r="AA85" s="77" t="s">
        <v>43</v>
      </c>
      <c r="AB85" s="77" t="s">
        <v>161</v>
      </c>
    </row>
    <row r="86" spans="1:28" x14ac:dyDescent="0.15">
      <c r="A86" s="77" t="s">
        <v>23</v>
      </c>
      <c r="B86" s="77" t="s">
        <v>160</v>
      </c>
      <c r="C86" s="77">
        <v>2020</v>
      </c>
      <c r="D86" s="150" t="s">
        <v>254</v>
      </c>
      <c r="E86" s="77" t="s">
        <v>266</v>
      </c>
      <c r="F86" s="77" t="s">
        <v>267</v>
      </c>
      <c r="G86" s="77" t="s">
        <v>25</v>
      </c>
      <c r="H86" s="77" t="s">
        <v>113</v>
      </c>
      <c r="I86" s="77" t="s">
        <v>111</v>
      </c>
      <c r="J86" s="77" t="s">
        <v>27</v>
      </c>
      <c r="K86" s="77" t="s">
        <v>112</v>
      </c>
      <c r="L86" s="77">
        <v>1</v>
      </c>
      <c r="N86" s="77">
        <v>1</v>
      </c>
      <c r="O86" s="77">
        <v>0.2</v>
      </c>
      <c r="P86" s="77">
        <v>0.2</v>
      </c>
      <c r="Q86" s="44">
        <f t="shared" ref="Q86:Q154" si="5">IF(OR(O86="",P86=""),"",AVERAGE(O86,P86))</f>
        <v>0.2</v>
      </c>
      <c r="R86" s="77">
        <v>16.600000000000001</v>
      </c>
      <c r="S86" s="77">
        <v>116</v>
      </c>
      <c r="T86" s="16">
        <f t="shared" si="1"/>
        <v>30</v>
      </c>
      <c r="U86" s="77">
        <v>117</v>
      </c>
      <c r="V86" s="16">
        <f t="shared" si="2"/>
        <v>3510</v>
      </c>
      <c r="W86" s="77">
        <v>12</v>
      </c>
      <c r="X86" s="77" t="s">
        <v>35</v>
      </c>
      <c r="Y86" s="77" t="s">
        <v>43</v>
      </c>
      <c r="Z86" s="77" t="s">
        <v>47</v>
      </c>
      <c r="AA86" s="77" t="s">
        <v>55</v>
      </c>
      <c r="AB86" s="77" t="s">
        <v>161</v>
      </c>
    </row>
    <row r="87" spans="1:28" x14ac:dyDescent="0.15">
      <c r="A87" s="77" t="s">
        <v>23</v>
      </c>
      <c r="B87" s="77" t="s">
        <v>160</v>
      </c>
      <c r="C87" s="77">
        <v>2020</v>
      </c>
      <c r="D87" s="150" t="s">
        <v>254</v>
      </c>
      <c r="E87" s="77" t="s">
        <v>266</v>
      </c>
      <c r="F87" s="77" t="s">
        <v>267</v>
      </c>
      <c r="G87" s="77" t="s">
        <v>25</v>
      </c>
      <c r="H87" s="77" t="s">
        <v>113</v>
      </c>
      <c r="I87" s="77" t="s">
        <v>111</v>
      </c>
      <c r="J87" s="77" t="s">
        <v>27</v>
      </c>
      <c r="K87" s="77" t="s">
        <v>112</v>
      </c>
      <c r="L87" s="77">
        <v>2</v>
      </c>
      <c r="N87" s="77">
        <v>1</v>
      </c>
      <c r="O87" s="77">
        <v>0.2</v>
      </c>
      <c r="P87" s="77">
        <v>0.2</v>
      </c>
      <c r="Q87" s="44">
        <f t="shared" si="5"/>
        <v>0.2</v>
      </c>
      <c r="R87" s="77">
        <v>16.8</v>
      </c>
      <c r="S87" s="77">
        <v>93.5</v>
      </c>
      <c r="T87" s="16">
        <f t="shared" si="1"/>
        <v>36</v>
      </c>
      <c r="U87" s="77">
        <v>117</v>
      </c>
      <c r="V87" s="16">
        <f t="shared" si="2"/>
        <v>4212</v>
      </c>
      <c r="W87" s="77">
        <v>12</v>
      </c>
      <c r="X87" s="77" t="s">
        <v>35</v>
      </c>
      <c r="Y87" s="77" t="s">
        <v>43</v>
      </c>
      <c r="Z87" s="77" t="s">
        <v>47</v>
      </c>
      <c r="AA87" s="77" t="s">
        <v>55</v>
      </c>
      <c r="AB87" s="77" t="s">
        <v>161</v>
      </c>
    </row>
    <row r="88" spans="1:28" x14ac:dyDescent="0.15">
      <c r="A88" s="77" t="s">
        <v>23</v>
      </c>
      <c r="B88" s="77" t="s">
        <v>160</v>
      </c>
      <c r="C88" s="77">
        <v>2020</v>
      </c>
      <c r="D88" s="150" t="s">
        <v>254</v>
      </c>
      <c r="E88" s="77" t="s">
        <v>266</v>
      </c>
      <c r="F88" s="77" t="s">
        <v>267</v>
      </c>
      <c r="G88" s="77" t="s">
        <v>25</v>
      </c>
      <c r="H88" s="77" t="s">
        <v>113</v>
      </c>
      <c r="I88" s="77" t="s">
        <v>111</v>
      </c>
      <c r="J88" s="77" t="s">
        <v>27</v>
      </c>
      <c r="K88" s="77" t="s">
        <v>112</v>
      </c>
      <c r="L88" s="77">
        <v>3</v>
      </c>
      <c r="N88" s="77">
        <v>1</v>
      </c>
      <c r="O88" s="77">
        <v>0.2</v>
      </c>
      <c r="P88" s="77">
        <v>0.2</v>
      </c>
      <c r="Q88" s="16">
        <f t="shared" si="5"/>
        <v>0.2</v>
      </c>
      <c r="R88" s="77">
        <v>17.399999999999999</v>
      </c>
      <c r="S88" s="77">
        <v>107.5</v>
      </c>
      <c r="T88" s="16">
        <f t="shared" si="1"/>
        <v>33</v>
      </c>
      <c r="U88" s="77">
        <v>117</v>
      </c>
      <c r="V88" s="16">
        <f t="shared" si="2"/>
        <v>3861</v>
      </c>
      <c r="W88" s="77">
        <v>12</v>
      </c>
      <c r="X88" s="77" t="s">
        <v>35</v>
      </c>
      <c r="Y88" s="77" t="s">
        <v>43</v>
      </c>
      <c r="Z88" s="77" t="s">
        <v>47</v>
      </c>
      <c r="AA88" s="77" t="s">
        <v>55</v>
      </c>
      <c r="AB88" s="77" t="s">
        <v>161</v>
      </c>
    </row>
    <row r="89" spans="1:28" x14ac:dyDescent="0.15">
      <c r="A89" s="77" t="s">
        <v>23</v>
      </c>
      <c r="B89" s="77" t="s">
        <v>160</v>
      </c>
      <c r="C89" s="77">
        <v>2020</v>
      </c>
      <c r="D89" s="150" t="s">
        <v>254</v>
      </c>
      <c r="E89" s="77" t="s">
        <v>266</v>
      </c>
      <c r="F89" s="77" t="s">
        <v>267</v>
      </c>
      <c r="G89" s="77" t="s">
        <v>25</v>
      </c>
      <c r="H89" s="77" t="s">
        <v>113</v>
      </c>
      <c r="I89" s="77" t="s">
        <v>111</v>
      </c>
      <c r="J89" s="77" t="s">
        <v>27</v>
      </c>
      <c r="K89" s="77" t="s">
        <v>112</v>
      </c>
      <c r="L89" s="77">
        <v>1</v>
      </c>
      <c r="N89" s="77">
        <v>6</v>
      </c>
      <c r="O89" s="77">
        <v>0.7</v>
      </c>
      <c r="P89" s="77">
        <v>0.75</v>
      </c>
      <c r="Q89" s="16">
        <f t="shared" si="5"/>
        <v>0.72499999999999998</v>
      </c>
      <c r="R89" s="77">
        <v>15.7</v>
      </c>
      <c r="S89" s="77">
        <v>81.5</v>
      </c>
      <c r="T89" s="16">
        <f t="shared" si="1"/>
        <v>39</v>
      </c>
      <c r="U89" s="77">
        <v>447</v>
      </c>
      <c r="V89" s="16">
        <f t="shared" si="2"/>
        <v>2905.5</v>
      </c>
      <c r="W89" s="77">
        <v>12</v>
      </c>
      <c r="X89" s="77" t="s">
        <v>35</v>
      </c>
      <c r="Y89" s="77" t="s">
        <v>43</v>
      </c>
      <c r="Z89" s="77" t="s">
        <v>47</v>
      </c>
      <c r="AA89" s="77" t="s">
        <v>55</v>
      </c>
      <c r="AB89" s="77" t="s">
        <v>161</v>
      </c>
    </row>
    <row r="90" spans="1:28" x14ac:dyDescent="0.15">
      <c r="A90" s="77" t="s">
        <v>23</v>
      </c>
      <c r="B90" s="77" t="s">
        <v>160</v>
      </c>
      <c r="C90" s="77">
        <v>2020</v>
      </c>
      <c r="D90" s="150" t="s">
        <v>254</v>
      </c>
      <c r="E90" s="77" t="s">
        <v>266</v>
      </c>
      <c r="F90" s="77" t="s">
        <v>267</v>
      </c>
      <c r="G90" s="77" t="s">
        <v>25</v>
      </c>
      <c r="H90" s="77" t="s">
        <v>113</v>
      </c>
      <c r="I90" s="77" t="s">
        <v>111</v>
      </c>
      <c r="J90" s="77" t="s">
        <v>27</v>
      </c>
      <c r="K90" s="77" t="s">
        <v>112</v>
      </c>
      <c r="L90" s="77">
        <v>2</v>
      </c>
      <c r="N90" s="77">
        <v>6</v>
      </c>
      <c r="O90" s="77">
        <v>0.65</v>
      </c>
      <c r="P90" s="77">
        <v>0.7</v>
      </c>
      <c r="Q90" s="16">
        <f t="shared" si="5"/>
        <v>0.67500000000000004</v>
      </c>
      <c r="R90" s="77">
        <v>15.3</v>
      </c>
      <c r="S90" s="77">
        <v>83.5</v>
      </c>
      <c r="T90" s="16">
        <f t="shared" si="1"/>
        <v>39</v>
      </c>
      <c r="U90" s="77">
        <v>447</v>
      </c>
      <c r="V90" s="16">
        <f t="shared" si="2"/>
        <v>2905.5</v>
      </c>
      <c r="W90" s="77">
        <v>12</v>
      </c>
      <c r="X90" s="77" t="s">
        <v>35</v>
      </c>
      <c r="Y90" s="77" t="s">
        <v>43</v>
      </c>
      <c r="Z90" s="77" t="s">
        <v>47</v>
      </c>
      <c r="AA90" s="77" t="s">
        <v>55</v>
      </c>
      <c r="AB90" s="77" t="s">
        <v>161</v>
      </c>
    </row>
    <row r="91" spans="1:28" x14ac:dyDescent="0.15">
      <c r="A91" s="77" t="s">
        <v>23</v>
      </c>
      <c r="B91" s="77" t="s">
        <v>160</v>
      </c>
      <c r="C91" s="77">
        <v>2020</v>
      </c>
      <c r="D91" s="150" t="s">
        <v>254</v>
      </c>
      <c r="E91" s="77" t="s">
        <v>266</v>
      </c>
      <c r="F91" s="77" t="s">
        <v>267</v>
      </c>
      <c r="G91" s="77" t="s">
        <v>25</v>
      </c>
      <c r="H91" s="77" t="s">
        <v>113</v>
      </c>
      <c r="I91" s="77" t="s">
        <v>111</v>
      </c>
      <c r="J91" s="77" t="s">
        <v>27</v>
      </c>
      <c r="K91" s="77" t="s">
        <v>112</v>
      </c>
      <c r="L91" s="77">
        <v>3</v>
      </c>
      <c r="N91" s="77">
        <v>6</v>
      </c>
      <c r="O91" s="77">
        <v>0.8</v>
      </c>
      <c r="P91" s="77">
        <v>1.05</v>
      </c>
      <c r="Q91" s="16">
        <f t="shared" si="5"/>
        <v>0.92500000000000004</v>
      </c>
      <c r="R91" s="77">
        <v>14.9</v>
      </c>
      <c r="S91" s="77">
        <v>81</v>
      </c>
      <c r="T91" s="16">
        <f t="shared" si="1"/>
        <v>39</v>
      </c>
      <c r="U91" s="77">
        <v>447</v>
      </c>
      <c r="V91" s="16">
        <f t="shared" si="2"/>
        <v>2905.5</v>
      </c>
      <c r="W91" s="77">
        <v>12</v>
      </c>
      <c r="X91" s="77" t="s">
        <v>35</v>
      </c>
      <c r="Y91" s="77" t="s">
        <v>43</v>
      </c>
      <c r="Z91" s="77" t="s">
        <v>47</v>
      </c>
      <c r="AA91" s="77" t="s">
        <v>55</v>
      </c>
      <c r="AB91" s="77" t="s">
        <v>161</v>
      </c>
    </row>
    <row r="92" spans="1:28" x14ac:dyDescent="0.15">
      <c r="A92" s="77" t="s">
        <v>23</v>
      </c>
      <c r="B92" s="77" t="s">
        <v>160</v>
      </c>
      <c r="C92" s="77">
        <v>2020</v>
      </c>
      <c r="D92" s="150" t="s">
        <v>254</v>
      </c>
      <c r="E92" s="77" t="s">
        <v>266</v>
      </c>
      <c r="F92" s="77" t="s">
        <v>267</v>
      </c>
      <c r="G92" s="77" t="s">
        <v>25</v>
      </c>
      <c r="H92" s="77" t="s">
        <v>164</v>
      </c>
      <c r="I92" s="77" t="s">
        <v>111</v>
      </c>
      <c r="J92" s="77" t="s">
        <v>27</v>
      </c>
      <c r="K92" s="77" t="s">
        <v>112</v>
      </c>
      <c r="L92" s="77">
        <v>1</v>
      </c>
      <c r="N92" s="77">
        <v>1</v>
      </c>
      <c r="O92" s="77">
        <v>0.45</v>
      </c>
      <c r="P92" s="77">
        <v>0.6</v>
      </c>
      <c r="Q92" s="16">
        <f t="shared" si="5"/>
        <v>0.52500000000000002</v>
      </c>
      <c r="R92" s="77">
        <v>15.9</v>
      </c>
      <c r="S92" s="77">
        <v>147</v>
      </c>
      <c r="T92" s="16">
        <f t="shared" si="1"/>
        <v>30</v>
      </c>
      <c r="U92" s="77">
        <v>117</v>
      </c>
      <c r="V92" s="16">
        <f t="shared" si="2"/>
        <v>3510</v>
      </c>
      <c r="W92" s="77">
        <v>12</v>
      </c>
      <c r="X92" s="77" t="s">
        <v>35</v>
      </c>
      <c r="Y92" s="77" t="s">
        <v>43</v>
      </c>
      <c r="Z92" s="77" t="s">
        <v>47</v>
      </c>
      <c r="AA92" s="77" t="s">
        <v>55</v>
      </c>
      <c r="AB92" s="77" t="s">
        <v>161</v>
      </c>
    </row>
    <row r="93" spans="1:28" x14ac:dyDescent="0.15">
      <c r="A93" s="77" t="s">
        <v>23</v>
      </c>
      <c r="B93" s="77" t="s">
        <v>160</v>
      </c>
      <c r="C93" s="77">
        <v>2020</v>
      </c>
      <c r="D93" s="150" t="s">
        <v>254</v>
      </c>
      <c r="E93" s="77" t="s">
        <v>266</v>
      </c>
      <c r="F93" s="77" t="s">
        <v>267</v>
      </c>
      <c r="G93" s="77" t="s">
        <v>25</v>
      </c>
      <c r="H93" s="77" t="s">
        <v>164</v>
      </c>
      <c r="I93" s="77" t="s">
        <v>111</v>
      </c>
      <c r="J93" s="77" t="s">
        <v>27</v>
      </c>
      <c r="K93" s="77" t="s">
        <v>112</v>
      </c>
      <c r="L93" s="77">
        <v>2</v>
      </c>
      <c r="N93" s="77">
        <v>1</v>
      </c>
      <c r="O93" s="77">
        <v>0.5</v>
      </c>
      <c r="P93" s="77">
        <v>0.55000000000000004</v>
      </c>
      <c r="Q93" s="16">
        <f t="shared" si="5"/>
        <v>0.52500000000000002</v>
      </c>
      <c r="R93" s="77">
        <v>16</v>
      </c>
      <c r="S93" s="77">
        <v>143.5</v>
      </c>
      <c r="T93" s="16">
        <f t="shared" si="1"/>
        <v>30</v>
      </c>
      <c r="U93" s="77">
        <v>117</v>
      </c>
      <c r="V93" s="16">
        <f t="shared" si="2"/>
        <v>3510</v>
      </c>
      <c r="W93" s="77">
        <v>12</v>
      </c>
      <c r="X93" s="77" t="s">
        <v>35</v>
      </c>
      <c r="Y93" s="77" t="s">
        <v>43</v>
      </c>
      <c r="Z93" s="77" t="s">
        <v>47</v>
      </c>
      <c r="AA93" s="77" t="s">
        <v>55</v>
      </c>
      <c r="AB93" s="77" t="s">
        <v>161</v>
      </c>
    </row>
    <row r="94" spans="1:28" x14ac:dyDescent="0.15">
      <c r="A94" s="77" t="s">
        <v>23</v>
      </c>
      <c r="B94" s="77" t="s">
        <v>160</v>
      </c>
      <c r="C94" s="77">
        <v>2020</v>
      </c>
      <c r="D94" s="150" t="s">
        <v>254</v>
      </c>
      <c r="E94" s="77" t="s">
        <v>266</v>
      </c>
      <c r="F94" s="77" t="s">
        <v>267</v>
      </c>
      <c r="G94" s="77" t="s">
        <v>25</v>
      </c>
      <c r="H94" s="77" t="s">
        <v>164</v>
      </c>
      <c r="I94" s="77" t="s">
        <v>111</v>
      </c>
      <c r="J94" s="77" t="s">
        <v>27</v>
      </c>
      <c r="K94" s="77" t="s">
        <v>112</v>
      </c>
      <c r="L94" s="77">
        <v>3</v>
      </c>
      <c r="N94" s="77">
        <v>1</v>
      </c>
      <c r="O94" s="77">
        <v>0.55000000000000004</v>
      </c>
      <c r="P94" s="77">
        <v>0.45</v>
      </c>
      <c r="Q94" s="16">
        <f t="shared" si="5"/>
        <v>0.5</v>
      </c>
      <c r="R94" s="77">
        <v>15</v>
      </c>
      <c r="S94" s="77">
        <v>143</v>
      </c>
      <c r="T94" s="16">
        <f t="shared" si="1"/>
        <v>30</v>
      </c>
      <c r="U94" s="77">
        <v>117</v>
      </c>
      <c r="V94" s="16">
        <f t="shared" si="2"/>
        <v>3510</v>
      </c>
      <c r="W94" s="77">
        <v>12</v>
      </c>
      <c r="X94" s="77" t="s">
        <v>35</v>
      </c>
      <c r="Y94" s="77" t="s">
        <v>43</v>
      </c>
      <c r="Z94" s="77" t="s">
        <v>47</v>
      </c>
      <c r="AA94" s="77" t="s">
        <v>55</v>
      </c>
      <c r="AB94" s="77" t="s">
        <v>161</v>
      </c>
    </row>
    <row r="95" spans="1:28" x14ac:dyDescent="0.15">
      <c r="A95" s="77" t="s">
        <v>23</v>
      </c>
      <c r="B95" s="77" t="s">
        <v>160</v>
      </c>
      <c r="C95" s="77">
        <v>2020</v>
      </c>
      <c r="D95" s="150" t="s">
        <v>254</v>
      </c>
      <c r="E95" s="77" t="s">
        <v>266</v>
      </c>
      <c r="F95" s="77" t="s">
        <v>267</v>
      </c>
      <c r="G95" s="77" t="s">
        <v>25</v>
      </c>
      <c r="H95" s="77" t="s">
        <v>164</v>
      </c>
      <c r="I95" s="77" t="s">
        <v>111</v>
      </c>
      <c r="J95" s="77" t="s">
        <v>27</v>
      </c>
      <c r="K95" s="77" t="s">
        <v>112</v>
      </c>
      <c r="L95" s="77">
        <v>1</v>
      </c>
      <c r="N95" s="77">
        <v>4</v>
      </c>
      <c r="O95" s="77">
        <v>0.75</v>
      </c>
      <c r="P95" s="77">
        <v>0.9</v>
      </c>
      <c r="Q95" s="16">
        <f t="shared" si="5"/>
        <v>0.82499999999999996</v>
      </c>
      <c r="R95" s="77">
        <v>15.5</v>
      </c>
      <c r="S95" s="77">
        <v>103</v>
      </c>
      <c r="T95" s="16">
        <f t="shared" si="1"/>
        <v>33</v>
      </c>
      <c r="U95" s="77">
        <v>397</v>
      </c>
      <c r="V95" s="16">
        <f t="shared" si="2"/>
        <v>3275.25</v>
      </c>
      <c r="W95" s="77">
        <v>12</v>
      </c>
      <c r="X95" s="77" t="s">
        <v>35</v>
      </c>
      <c r="Y95" s="77" t="s">
        <v>43</v>
      </c>
      <c r="Z95" s="77" t="s">
        <v>47</v>
      </c>
      <c r="AA95" s="77" t="s">
        <v>55</v>
      </c>
      <c r="AB95" s="77" t="s">
        <v>161</v>
      </c>
    </row>
    <row r="96" spans="1:28" x14ac:dyDescent="0.15">
      <c r="A96" s="77" t="s">
        <v>23</v>
      </c>
      <c r="B96" s="77" t="s">
        <v>160</v>
      </c>
      <c r="C96" s="77">
        <v>2020</v>
      </c>
      <c r="D96" s="150" t="s">
        <v>254</v>
      </c>
      <c r="E96" s="77" t="s">
        <v>266</v>
      </c>
      <c r="F96" s="77" t="s">
        <v>267</v>
      </c>
      <c r="G96" s="77" t="s">
        <v>25</v>
      </c>
      <c r="H96" s="77" t="s">
        <v>164</v>
      </c>
      <c r="I96" s="77" t="s">
        <v>111</v>
      </c>
      <c r="J96" s="77" t="s">
        <v>27</v>
      </c>
      <c r="K96" s="77" t="s">
        <v>112</v>
      </c>
      <c r="L96" s="77">
        <v>2</v>
      </c>
      <c r="N96" s="77">
        <v>4</v>
      </c>
      <c r="O96" s="77">
        <v>0.75</v>
      </c>
      <c r="P96" s="77">
        <v>0.55000000000000004</v>
      </c>
      <c r="Q96" s="16">
        <f t="shared" si="5"/>
        <v>0.65</v>
      </c>
      <c r="R96" s="77">
        <v>15.1</v>
      </c>
      <c r="S96" s="77">
        <v>93.5</v>
      </c>
      <c r="T96" s="16">
        <f t="shared" si="1"/>
        <v>36</v>
      </c>
      <c r="U96" s="77">
        <v>397</v>
      </c>
      <c r="V96" s="16">
        <f t="shared" si="2"/>
        <v>3573</v>
      </c>
      <c r="W96" s="77">
        <v>12</v>
      </c>
      <c r="X96" s="77" t="s">
        <v>35</v>
      </c>
      <c r="Y96" s="77" t="s">
        <v>43</v>
      </c>
      <c r="Z96" s="77" t="s">
        <v>47</v>
      </c>
      <c r="AA96" s="77" t="s">
        <v>55</v>
      </c>
      <c r="AB96" s="77" t="s">
        <v>161</v>
      </c>
    </row>
    <row r="97" spans="1:28" x14ac:dyDescent="0.15">
      <c r="A97" s="77" t="s">
        <v>23</v>
      </c>
      <c r="B97" s="77" t="s">
        <v>160</v>
      </c>
      <c r="C97" s="77">
        <v>2020</v>
      </c>
      <c r="D97" s="150" t="s">
        <v>254</v>
      </c>
      <c r="E97" s="77" t="s">
        <v>266</v>
      </c>
      <c r="F97" s="77" t="s">
        <v>267</v>
      </c>
      <c r="G97" s="77" t="s">
        <v>25</v>
      </c>
      <c r="H97" s="77" t="s">
        <v>164</v>
      </c>
      <c r="I97" s="77" t="s">
        <v>111</v>
      </c>
      <c r="J97" s="77" t="s">
        <v>27</v>
      </c>
      <c r="K97" s="77" t="s">
        <v>112</v>
      </c>
      <c r="L97" s="77">
        <v>3</v>
      </c>
      <c r="N97" s="77">
        <v>4</v>
      </c>
      <c r="O97" s="77">
        <v>0.75</v>
      </c>
      <c r="P97" s="77">
        <v>1</v>
      </c>
      <c r="Q97" s="16">
        <f t="shared" si="5"/>
        <v>0.875</v>
      </c>
      <c r="R97" s="77">
        <v>14.9</v>
      </c>
      <c r="S97" s="77">
        <v>101.5</v>
      </c>
      <c r="T97" s="16">
        <f t="shared" si="1"/>
        <v>33</v>
      </c>
      <c r="U97" s="77">
        <v>397</v>
      </c>
      <c r="V97" s="16">
        <f t="shared" si="2"/>
        <v>3275.25</v>
      </c>
      <c r="W97" s="77">
        <v>12</v>
      </c>
      <c r="X97" s="77" t="s">
        <v>35</v>
      </c>
      <c r="Y97" s="77" t="s">
        <v>43</v>
      </c>
      <c r="Z97" s="77" t="s">
        <v>47</v>
      </c>
      <c r="AA97" s="77" t="s">
        <v>55</v>
      </c>
      <c r="AB97" s="77" t="s">
        <v>161</v>
      </c>
    </row>
    <row r="98" spans="1:28" x14ac:dyDescent="0.15">
      <c r="A98" s="77" t="s">
        <v>23</v>
      </c>
      <c r="B98" s="77" t="s">
        <v>160</v>
      </c>
      <c r="C98" s="77">
        <v>2020</v>
      </c>
      <c r="D98" s="150" t="s">
        <v>254</v>
      </c>
      <c r="E98" s="77" t="s">
        <v>280</v>
      </c>
      <c r="F98" s="77" t="s">
        <v>269</v>
      </c>
      <c r="G98" s="77" t="s">
        <v>25</v>
      </c>
      <c r="H98" s="77" t="s">
        <v>113</v>
      </c>
      <c r="I98" s="77" t="s">
        <v>111</v>
      </c>
      <c r="J98" s="77" t="s">
        <v>27</v>
      </c>
      <c r="K98" s="77" t="s">
        <v>112</v>
      </c>
      <c r="L98" s="77">
        <v>1</v>
      </c>
      <c r="N98" s="77">
        <v>1</v>
      </c>
      <c r="O98" s="77">
        <v>0.8</v>
      </c>
      <c r="P98" s="77">
        <v>0.9</v>
      </c>
      <c r="Q98" s="16">
        <f t="shared" si="5"/>
        <v>0.85000000000000009</v>
      </c>
      <c r="R98" s="77">
        <v>16.100000000000001</v>
      </c>
      <c r="S98" s="77">
        <v>123.5</v>
      </c>
      <c r="T98" s="16">
        <f t="shared" si="1"/>
        <v>30</v>
      </c>
      <c r="U98" s="77">
        <v>100</v>
      </c>
      <c r="V98" s="16">
        <f t="shared" si="2"/>
        <v>3000</v>
      </c>
      <c r="W98" s="77">
        <v>9</v>
      </c>
      <c r="X98" s="77" t="s">
        <v>35</v>
      </c>
      <c r="Y98" s="77" t="s">
        <v>43</v>
      </c>
      <c r="Z98" s="77" t="s">
        <v>55</v>
      </c>
      <c r="AA98" s="77" t="s">
        <v>47</v>
      </c>
      <c r="AB98" s="77" t="s">
        <v>161</v>
      </c>
    </row>
    <row r="99" spans="1:28" x14ac:dyDescent="0.15">
      <c r="A99" s="77" t="s">
        <v>23</v>
      </c>
      <c r="B99" s="77" t="s">
        <v>160</v>
      </c>
      <c r="C99" s="77">
        <v>2020</v>
      </c>
      <c r="D99" s="150" t="s">
        <v>254</v>
      </c>
      <c r="E99" s="77" t="s">
        <v>280</v>
      </c>
      <c r="F99" s="77" t="s">
        <v>269</v>
      </c>
      <c r="G99" s="77" t="s">
        <v>25</v>
      </c>
      <c r="H99" s="77" t="s">
        <v>113</v>
      </c>
      <c r="I99" s="77" t="s">
        <v>111</v>
      </c>
      <c r="J99" s="77" t="s">
        <v>27</v>
      </c>
      <c r="K99" s="77" t="s">
        <v>112</v>
      </c>
      <c r="L99" s="77">
        <v>2</v>
      </c>
      <c r="N99" s="77">
        <v>1</v>
      </c>
      <c r="O99" s="77">
        <v>0.2</v>
      </c>
      <c r="P99" s="77">
        <v>0.2</v>
      </c>
      <c r="Q99" s="16">
        <f t="shared" si="5"/>
        <v>0.2</v>
      </c>
      <c r="R99" s="77">
        <v>15.6</v>
      </c>
      <c r="S99" s="77">
        <v>120.5</v>
      </c>
      <c r="T99" s="16">
        <f t="shared" si="1"/>
        <v>30</v>
      </c>
      <c r="U99" s="77">
        <v>100</v>
      </c>
      <c r="V99" s="16">
        <f t="shared" si="2"/>
        <v>3000</v>
      </c>
      <c r="W99" s="77">
        <v>9</v>
      </c>
      <c r="X99" s="77" t="s">
        <v>35</v>
      </c>
      <c r="Y99" s="77" t="s">
        <v>43</v>
      </c>
      <c r="Z99" s="77" t="s">
        <v>55</v>
      </c>
      <c r="AA99" s="77" t="s">
        <v>47</v>
      </c>
      <c r="AB99" s="77" t="s">
        <v>161</v>
      </c>
    </row>
    <row r="100" spans="1:28" x14ac:dyDescent="0.15">
      <c r="A100" s="77" t="s">
        <v>23</v>
      </c>
      <c r="B100" s="77" t="s">
        <v>160</v>
      </c>
      <c r="C100" s="77">
        <v>2020</v>
      </c>
      <c r="D100" s="150" t="s">
        <v>254</v>
      </c>
      <c r="E100" s="77" t="s">
        <v>280</v>
      </c>
      <c r="F100" s="77" t="s">
        <v>269</v>
      </c>
      <c r="G100" s="77" t="s">
        <v>25</v>
      </c>
      <c r="H100" s="77" t="s">
        <v>113</v>
      </c>
      <c r="I100" s="77" t="s">
        <v>111</v>
      </c>
      <c r="J100" s="77" t="s">
        <v>27</v>
      </c>
      <c r="K100" s="77" t="s">
        <v>112</v>
      </c>
      <c r="L100" s="77">
        <v>3</v>
      </c>
      <c r="N100" s="77">
        <v>1</v>
      </c>
      <c r="O100" s="77">
        <v>0.75</v>
      </c>
      <c r="P100" s="77">
        <v>0.5</v>
      </c>
      <c r="Q100" s="16">
        <f t="shared" si="5"/>
        <v>0.625</v>
      </c>
      <c r="R100" s="77">
        <v>14.5</v>
      </c>
      <c r="S100" s="77">
        <v>117.5</v>
      </c>
      <c r="T100" s="16">
        <f t="shared" si="1"/>
        <v>30</v>
      </c>
      <c r="U100" s="77">
        <v>100</v>
      </c>
      <c r="V100" s="16">
        <f t="shared" si="2"/>
        <v>3000</v>
      </c>
      <c r="W100" s="77">
        <v>9</v>
      </c>
      <c r="X100" s="77" t="s">
        <v>35</v>
      </c>
      <c r="Y100" s="77" t="s">
        <v>43</v>
      </c>
      <c r="Z100" s="77" t="s">
        <v>55</v>
      </c>
      <c r="AA100" s="77" t="s">
        <v>47</v>
      </c>
      <c r="AB100" s="77" t="s">
        <v>161</v>
      </c>
    </row>
    <row r="101" spans="1:28" x14ac:dyDescent="0.15">
      <c r="A101" s="77" t="s">
        <v>23</v>
      </c>
      <c r="B101" s="77" t="s">
        <v>160</v>
      </c>
      <c r="C101" s="77">
        <v>2020</v>
      </c>
      <c r="D101" s="150" t="s">
        <v>254</v>
      </c>
      <c r="E101" s="77" t="s">
        <v>280</v>
      </c>
      <c r="F101" s="77" t="s">
        <v>269</v>
      </c>
      <c r="G101" s="77" t="s">
        <v>25</v>
      </c>
      <c r="H101" s="77" t="s">
        <v>113</v>
      </c>
      <c r="I101" s="77" t="s">
        <v>111</v>
      </c>
      <c r="J101" s="77" t="s">
        <v>27</v>
      </c>
      <c r="K101" s="77" t="s">
        <v>112</v>
      </c>
      <c r="L101" s="77">
        <v>1</v>
      </c>
      <c r="N101" s="77">
        <v>6</v>
      </c>
      <c r="O101" s="77">
        <v>0.6</v>
      </c>
      <c r="P101" s="77">
        <v>0.45</v>
      </c>
      <c r="Q101" s="16">
        <f t="shared" si="5"/>
        <v>0.52500000000000002</v>
      </c>
      <c r="R101" s="77">
        <v>12.8</v>
      </c>
      <c r="S101" s="77">
        <v>86.5</v>
      </c>
      <c r="T101" s="16">
        <f t="shared" si="1"/>
        <v>36</v>
      </c>
      <c r="U101" s="77">
        <v>398</v>
      </c>
      <c r="V101" s="16">
        <f t="shared" si="2"/>
        <v>2388</v>
      </c>
      <c r="W101" s="77">
        <v>9</v>
      </c>
      <c r="X101" s="77" t="s">
        <v>35</v>
      </c>
      <c r="Y101" s="77" t="s">
        <v>43</v>
      </c>
      <c r="Z101" s="77" t="s">
        <v>55</v>
      </c>
      <c r="AA101" s="77" t="s">
        <v>47</v>
      </c>
      <c r="AB101" s="77" t="s">
        <v>161</v>
      </c>
    </row>
    <row r="102" spans="1:28" x14ac:dyDescent="0.15">
      <c r="A102" s="77" t="s">
        <v>23</v>
      </c>
      <c r="B102" s="77" t="s">
        <v>160</v>
      </c>
      <c r="C102" s="77">
        <v>2020</v>
      </c>
      <c r="D102" s="150" t="s">
        <v>254</v>
      </c>
      <c r="E102" s="77" t="s">
        <v>280</v>
      </c>
      <c r="F102" s="77" t="s">
        <v>269</v>
      </c>
      <c r="G102" s="77" t="s">
        <v>25</v>
      </c>
      <c r="H102" s="77" t="s">
        <v>113</v>
      </c>
      <c r="I102" s="77" t="s">
        <v>111</v>
      </c>
      <c r="J102" s="77" t="s">
        <v>27</v>
      </c>
      <c r="K102" s="77" t="s">
        <v>112</v>
      </c>
      <c r="L102" s="77">
        <v>2</v>
      </c>
      <c r="N102" s="77">
        <v>6</v>
      </c>
      <c r="O102" s="77">
        <v>0.65</v>
      </c>
      <c r="P102" s="77">
        <v>0.65</v>
      </c>
      <c r="Q102" s="16">
        <f t="shared" si="5"/>
        <v>0.65</v>
      </c>
      <c r="R102" s="77">
        <v>14.7</v>
      </c>
      <c r="S102" s="77">
        <v>89</v>
      </c>
      <c r="T102" s="16">
        <f t="shared" si="1"/>
        <v>36</v>
      </c>
      <c r="U102" s="77">
        <v>398</v>
      </c>
      <c r="V102" s="16">
        <f t="shared" si="2"/>
        <v>2388</v>
      </c>
      <c r="W102" s="77">
        <v>9</v>
      </c>
      <c r="X102" s="77" t="s">
        <v>35</v>
      </c>
      <c r="Y102" s="77" t="s">
        <v>43</v>
      </c>
      <c r="Z102" s="77" t="s">
        <v>55</v>
      </c>
      <c r="AA102" s="77" t="s">
        <v>47</v>
      </c>
      <c r="AB102" s="77" t="s">
        <v>161</v>
      </c>
    </row>
    <row r="103" spans="1:28" x14ac:dyDescent="0.15">
      <c r="A103" s="77" t="s">
        <v>23</v>
      </c>
      <c r="B103" s="77" t="s">
        <v>160</v>
      </c>
      <c r="C103" s="77">
        <v>2020</v>
      </c>
      <c r="D103" s="150" t="s">
        <v>254</v>
      </c>
      <c r="E103" s="77" t="s">
        <v>280</v>
      </c>
      <c r="F103" s="77" t="s">
        <v>269</v>
      </c>
      <c r="G103" s="77" t="s">
        <v>25</v>
      </c>
      <c r="H103" s="77" t="s">
        <v>113</v>
      </c>
      <c r="I103" s="77" t="s">
        <v>111</v>
      </c>
      <c r="J103" s="77" t="s">
        <v>27</v>
      </c>
      <c r="K103" s="77" t="s">
        <v>112</v>
      </c>
      <c r="L103" s="77">
        <v>3</v>
      </c>
      <c r="N103" s="77">
        <v>6</v>
      </c>
      <c r="O103" s="77">
        <v>0.7</v>
      </c>
      <c r="P103" s="77">
        <v>0.6</v>
      </c>
      <c r="Q103" s="16">
        <f t="shared" si="5"/>
        <v>0.64999999999999991</v>
      </c>
      <c r="R103" s="77">
        <v>14.5</v>
      </c>
      <c r="S103" s="77">
        <v>90</v>
      </c>
      <c r="T103" s="16">
        <f t="shared" si="1"/>
        <v>36</v>
      </c>
      <c r="U103" s="77">
        <v>398</v>
      </c>
      <c r="V103" s="16">
        <f t="shared" si="2"/>
        <v>2388</v>
      </c>
      <c r="W103" s="77">
        <v>9</v>
      </c>
      <c r="X103" s="77" t="s">
        <v>35</v>
      </c>
      <c r="Y103" s="77" t="s">
        <v>43</v>
      </c>
      <c r="Z103" s="77" t="s">
        <v>55</v>
      </c>
      <c r="AA103" s="77" t="s">
        <v>47</v>
      </c>
      <c r="AB103" s="77" t="s">
        <v>161</v>
      </c>
    </row>
    <row r="104" spans="1:28" x14ac:dyDescent="0.15">
      <c r="A104" s="77" t="s">
        <v>23</v>
      </c>
      <c r="B104" s="77" t="s">
        <v>160</v>
      </c>
      <c r="C104" s="77">
        <v>2020</v>
      </c>
      <c r="D104" s="150" t="s">
        <v>254</v>
      </c>
      <c r="E104" s="77" t="s">
        <v>280</v>
      </c>
      <c r="F104" s="77" t="s">
        <v>269</v>
      </c>
      <c r="G104" s="77" t="s">
        <v>25</v>
      </c>
      <c r="H104" s="77" t="s">
        <v>164</v>
      </c>
      <c r="I104" s="77" t="s">
        <v>111</v>
      </c>
      <c r="J104" s="77" t="s">
        <v>27</v>
      </c>
      <c r="K104" s="77" t="s">
        <v>112</v>
      </c>
      <c r="L104" s="77">
        <v>1</v>
      </c>
      <c r="N104" s="77">
        <v>1</v>
      </c>
      <c r="O104" s="77">
        <v>0.2</v>
      </c>
      <c r="P104" s="77">
        <v>0.2</v>
      </c>
      <c r="Q104" s="16">
        <f t="shared" si="5"/>
        <v>0.2</v>
      </c>
      <c r="R104" s="77">
        <v>18</v>
      </c>
      <c r="S104" s="77">
        <v>120.5</v>
      </c>
      <c r="T104" s="16">
        <f t="shared" si="1"/>
        <v>30</v>
      </c>
      <c r="U104" s="77">
        <v>100</v>
      </c>
      <c r="V104" s="16">
        <f t="shared" si="2"/>
        <v>3000</v>
      </c>
      <c r="W104" s="77">
        <v>9</v>
      </c>
      <c r="X104" s="77" t="s">
        <v>35</v>
      </c>
      <c r="Y104" s="77" t="s">
        <v>43</v>
      </c>
      <c r="Z104" s="77" t="s">
        <v>55</v>
      </c>
      <c r="AA104" s="77" t="s">
        <v>47</v>
      </c>
      <c r="AB104" s="77" t="s">
        <v>161</v>
      </c>
    </row>
    <row r="105" spans="1:28" x14ac:dyDescent="0.15">
      <c r="A105" s="77" t="s">
        <v>23</v>
      </c>
      <c r="B105" s="77" t="s">
        <v>160</v>
      </c>
      <c r="C105" s="77">
        <v>2020</v>
      </c>
      <c r="D105" s="150" t="s">
        <v>254</v>
      </c>
      <c r="E105" s="77" t="s">
        <v>280</v>
      </c>
      <c r="F105" s="77" t="s">
        <v>269</v>
      </c>
      <c r="G105" s="77" t="s">
        <v>25</v>
      </c>
      <c r="H105" s="77" t="s">
        <v>164</v>
      </c>
      <c r="I105" s="77" t="s">
        <v>111</v>
      </c>
      <c r="J105" s="77" t="s">
        <v>27</v>
      </c>
      <c r="K105" s="77" t="s">
        <v>112</v>
      </c>
      <c r="L105" s="77">
        <v>2</v>
      </c>
      <c r="N105" s="77">
        <v>1</v>
      </c>
      <c r="O105" s="77">
        <v>0.55000000000000004</v>
      </c>
      <c r="P105" s="77">
        <v>0.75</v>
      </c>
      <c r="Q105" s="16">
        <f t="shared" si="5"/>
        <v>0.65</v>
      </c>
      <c r="R105" s="77">
        <v>16.3</v>
      </c>
      <c r="S105" s="77">
        <v>119.5</v>
      </c>
      <c r="T105" s="16">
        <f t="shared" si="1"/>
        <v>30</v>
      </c>
      <c r="U105" s="77">
        <v>100</v>
      </c>
      <c r="V105" s="16">
        <f t="shared" si="2"/>
        <v>3000</v>
      </c>
      <c r="W105" s="77">
        <v>9</v>
      </c>
      <c r="X105" s="77" t="s">
        <v>35</v>
      </c>
      <c r="Y105" s="77" t="s">
        <v>43</v>
      </c>
      <c r="Z105" s="77" t="s">
        <v>55</v>
      </c>
      <c r="AA105" s="77" t="s">
        <v>47</v>
      </c>
      <c r="AB105" s="77" t="s">
        <v>161</v>
      </c>
    </row>
    <row r="106" spans="1:28" x14ac:dyDescent="0.15">
      <c r="A106" s="77" t="s">
        <v>23</v>
      </c>
      <c r="B106" s="77" t="s">
        <v>160</v>
      </c>
      <c r="C106" s="77">
        <v>2020</v>
      </c>
      <c r="D106" s="150" t="s">
        <v>254</v>
      </c>
      <c r="E106" s="77" t="s">
        <v>280</v>
      </c>
      <c r="F106" s="77" t="s">
        <v>269</v>
      </c>
      <c r="G106" s="77" t="s">
        <v>25</v>
      </c>
      <c r="H106" s="77" t="s">
        <v>164</v>
      </c>
      <c r="I106" s="77" t="s">
        <v>111</v>
      </c>
      <c r="J106" s="77" t="s">
        <v>27</v>
      </c>
      <c r="K106" s="77" t="s">
        <v>112</v>
      </c>
      <c r="L106" s="77">
        <v>3</v>
      </c>
      <c r="N106" s="77">
        <v>1</v>
      </c>
      <c r="O106" s="77">
        <v>0.2</v>
      </c>
      <c r="P106" s="77">
        <v>0.2</v>
      </c>
      <c r="Q106" s="16">
        <f t="shared" si="5"/>
        <v>0.2</v>
      </c>
      <c r="R106" s="77">
        <v>16.7</v>
      </c>
      <c r="S106" s="77">
        <v>113</v>
      </c>
      <c r="T106" s="16">
        <f t="shared" si="1"/>
        <v>30</v>
      </c>
      <c r="U106" s="77">
        <v>100</v>
      </c>
      <c r="V106" s="16">
        <f t="shared" si="2"/>
        <v>3000</v>
      </c>
      <c r="W106" s="77">
        <v>9</v>
      </c>
      <c r="X106" s="77" t="s">
        <v>35</v>
      </c>
      <c r="Y106" s="77" t="s">
        <v>43</v>
      </c>
      <c r="Z106" s="77" t="s">
        <v>55</v>
      </c>
      <c r="AA106" s="77" t="s">
        <v>47</v>
      </c>
      <c r="AB106" s="77" t="s">
        <v>161</v>
      </c>
    </row>
    <row r="107" spans="1:28" x14ac:dyDescent="0.15">
      <c r="A107" s="77" t="s">
        <v>23</v>
      </c>
      <c r="B107" s="77" t="s">
        <v>160</v>
      </c>
      <c r="C107" s="77">
        <v>2020</v>
      </c>
      <c r="D107" s="150" t="s">
        <v>254</v>
      </c>
      <c r="E107" s="77" t="s">
        <v>280</v>
      </c>
      <c r="F107" s="77" t="s">
        <v>269</v>
      </c>
      <c r="G107" s="77" t="s">
        <v>25</v>
      </c>
      <c r="H107" s="77" t="s">
        <v>164</v>
      </c>
      <c r="I107" s="77" t="s">
        <v>111</v>
      </c>
      <c r="J107" s="77" t="s">
        <v>27</v>
      </c>
      <c r="K107" s="77" t="s">
        <v>112</v>
      </c>
      <c r="L107" s="77">
        <v>1</v>
      </c>
      <c r="N107" s="77">
        <v>4</v>
      </c>
      <c r="O107" s="77">
        <v>0.2</v>
      </c>
      <c r="P107" s="77">
        <v>0.6</v>
      </c>
      <c r="Q107" s="16">
        <f t="shared" si="5"/>
        <v>0.4</v>
      </c>
      <c r="R107" s="77">
        <v>18.2</v>
      </c>
      <c r="S107" s="77">
        <v>106</v>
      </c>
      <c r="T107" s="16">
        <f t="shared" si="1"/>
        <v>33</v>
      </c>
      <c r="U107" s="77">
        <v>398</v>
      </c>
      <c r="V107" s="16">
        <f t="shared" si="2"/>
        <v>3283.5</v>
      </c>
      <c r="W107" s="77">
        <v>9</v>
      </c>
      <c r="X107" s="77" t="s">
        <v>35</v>
      </c>
      <c r="Y107" s="77" t="s">
        <v>43</v>
      </c>
      <c r="Z107" s="77" t="s">
        <v>55</v>
      </c>
      <c r="AA107" s="77" t="s">
        <v>47</v>
      </c>
      <c r="AB107" s="77" t="s">
        <v>161</v>
      </c>
    </row>
    <row r="108" spans="1:28" x14ac:dyDescent="0.15">
      <c r="A108" s="77" t="s">
        <v>23</v>
      </c>
      <c r="B108" s="77" t="s">
        <v>160</v>
      </c>
      <c r="C108" s="77">
        <v>2020</v>
      </c>
      <c r="D108" s="150" t="s">
        <v>254</v>
      </c>
      <c r="E108" s="77" t="s">
        <v>280</v>
      </c>
      <c r="F108" s="77" t="s">
        <v>269</v>
      </c>
      <c r="G108" s="77" t="s">
        <v>25</v>
      </c>
      <c r="H108" s="77" t="s">
        <v>164</v>
      </c>
      <c r="I108" s="77" t="s">
        <v>111</v>
      </c>
      <c r="J108" s="77" t="s">
        <v>27</v>
      </c>
      <c r="K108" s="77" t="s">
        <v>112</v>
      </c>
      <c r="L108" s="77">
        <v>2</v>
      </c>
      <c r="N108" s="77">
        <v>4</v>
      </c>
      <c r="O108" s="77">
        <v>0.45</v>
      </c>
      <c r="P108" s="77">
        <v>0.45</v>
      </c>
      <c r="Q108" s="16">
        <f t="shared" si="5"/>
        <v>0.45</v>
      </c>
      <c r="R108" s="77">
        <v>16.600000000000001</v>
      </c>
      <c r="S108" s="77">
        <v>110.5</v>
      </c>
      <c r="T108" s="16">
        <f t="shared" si="1"/>
        <v>33</v>
      </c>
      <c r="U108" s="77">
        <v>398</v>
      </c>
      <c r="V108" s="16">
        <f t="shared" si="2"/>
        <v>3283.5</v>
      </c>
      <c r="W108" s="77">
        <v>9</v>
      </c>
      <c r="X108" s="77" t="s">
        <v>35</v>
      </c>
      <c r="Y108" s="77" t="s">
        <v>43</v>
      </c>
      <c r="Z108" s="77" t="s">
        <v>55</v>
      </c>
      <c r="AA108" s="77" t="s">
        <v>47</v>
      </c>
      <c r="AB108" s="77" t="s">
        <v>161</v>
      </c>
    </row>
    <row r="109" spans="1:28" x14ac:dyDescent="0.15">
      <c r="A109" s="77" t="s">
        <v>23</v>
      </c>
      <c r="B109" s="77" t="s">
        <v>160</v>
      </c>
      <c r="C109" s="77">
        <v>2020</v>
      </c>
      <c r="D109" s="150" t="s">
        <v>254</v>
      </c>
      <c r="E109" s="77" t="s">
        <v>280</v>
      </c>
      <c r="F109" s="77" t="s">
        <v>269</v>
      </c>
      <c r="G109" s="77" t="s">
        <v>25</v>
      </c>
      <c r="H109" s="77" t="s">
        <v>164</v>
      </c>
      <c r="I109" s="77" t="s">
        <v>111</v>
      </c>
      <c r="J109" s="77" t="s">
        <v>27</v>
      </c>
      <c r="K109" s="77" t="s">
        <v>112</v>
      </c>
      <c r="L109" s="77">
        <v>3</v>
      </c>
      <c r="N109" s="77">
        <v>4</v>
      </c>
      <c r="O109" s="77">
        <v>0.2</v>
      </c>
      <c r="P109" s="77">
        <v>0.5</v>
      </c>
      <c r="Q109" s="16">
        <f t="shared" si="5"/>
        <v>0.35</v>
      </c>
      <c r="R109" s="77">
        <v>17.2</v>
      </c>
      <c r="S109" s="77">
        <v>113.5</v>
      </c>
      <c r="T109" s="16">
        <f t="shared" si="1"/>
        <v>30</v>
      </c>
      <c r="U109" s="77">
        <v>398</v>
      </c>
      <c r="V109" s="16">
        <f t="shared" si="2"/>
        <v>2985</v>
      </c>
      <c r="W109" s="77">
        <v>9</v>
      </c>
      <c r="X109" s="77" t="s">
        <v>35</v>
      </c>
      <c r="Y109" s="77" t="s">
        <v>43</v>
      </c>
      <c r="Z109" s="77" t="s">
        <v>55</v>
      </c>
      <c r="AA109" s="77" t="s">
        <v>47</v>
      </c>
      <c r="AB109" s="77" t="s">
        <v>161</v>
      </c>
    </row>
    <row r="110" spans="1:28" x14ac:dyDescent="0.15">
      <c r="A110" s="77" t="s">
        <v>23</v>
      </c>
      <c r="B110" s="77" t="s">
        <v>160</v>
      </c>
      <c r="C110" s="77">
        <v>2020</v>
      </c>
      <c r="D110" s="150" t="s">
        <v>254</v>
      </c>
      <c r="E110" s="77" t="s">
        <v>280</v>
      </c>
      <c r="F110" s="77" t="s">
        <v>269</v>
      </c>
      <c r="G110" s="77" t="s">
        <v>25</v>
      </c>
      <c r="H110" s="77" t="s">
        <v>164</v>
      </c>
      <c r="I110" s="77" t="s">
        <v>111</v>
      </c>
      <c r="J110" s="77" t="s">
        <v>27</v>
      </c>
      <c r="K110" s="77" t="s">
        <v>112</v>
      </c>
      <c r="L110" s="77">
        <v>1</v>
      </c>
      <c r="N110" s="77">
        <v>4</v>
      </c>
      <c r="O110" s="77">
        <v>0.2</v>
      </c>
      <c r="P110" s="77">
        <v>0.2</v>
      </c>
      <c r="Q110" s="16">
        <f t="shared" si="5"/>
        <v>0.2</v>
      </c>
      <c r="R110" s="77">
        <v>18.7</v>
      </c>
      <c r="S110" s="77">
        <v>147.5</v>
      </c>
      <c r="T110" s="16">
        <f t="shared" si="1"/>
        <v>30</v>
      </c>
      <c r="U110" s="77">
        <v>680</v>
      </c>
      <c r="V110" s="16">
        <f t="shared" si="2"/>
        <v>5100</v>
      </c>
      <c r="W110" s="77">
        <v>9</v>
      </c>
      <c r="X110" s="77" t="s">
        <v>35</v>
      </c>
      <c r="Y110" s="77" t="s">
        <v>43</v>
      </c>
      <c r="Z110" s="77" t="s">
        <v>55</v>
      </c>
      <c r="AA110" s="77" t="s">
        <v>47</v>
      </c>
      <c r="AB110" s="77" t="s">
        <v>161</v>
      </c>
    </row>
    <row r="111" spans="1:28" x14ac:dyDescent="0.15">
      <c r="A111" s="77" t="s">
        <v>23</v>
      </c>
      <c r="B111" s="77" t="s">
        <v>160</v>
      </c>
      <c r="C111" s="77">
        <v>2020</v>
      </c>
      <c r="D111" s="150" t="s">
        <v>254</v>
      </c>
      <c r="E111" s="77" t="s">
        <v>280</v>
      </c>
      <c r="F111" s="77" t="s">
        <v>269</v>
      </c>
      <c r="G111" s="77" t="s">
        <v>25</v>
      </c>
      <c r="H111" s="77" t="s">
        <v>164</v>
      </c>
      <c r="I111" s="77" t="s">
        <v>111</v>
      </c>
      <c r="J111" s="77" t="s">
        <v>27</v>
      </c>
      <c r="K111" s="77" t="s">
        <v>112</v>
      </c>
      <c r="L111" s="77">
        <v>2</v>
      </c>
      <c r="N111" s="77">
        <v>4</v>
      </c>
      <c r="O111" s="77">
        <v>0.2</v>
      </c>
      <c r="P111" s="77">
        <v>0.2</v>
      </c>
      <c r="Q111" s="16">
        <f t="shared" si="5"/>
        <v>0.2</v>
      </c>
      <c r="R111" s="77">
        <v>17.899999999999999</v>
      </c>
      <c r="S111" s="77">
        <v>162</v>
      </c>
      <c r="T111" s="16">
        <f t="shared" si="1"/>
        <v>18</v>
      </c>
      <c r="U111" s="77">
        <v>680</v>
      </c>
      <c r="V111" s="16">
        <f t="shared" si="2"/>
        <v>3060</v>
      </c>
      <c r="W111" s="77">
        <v>9</v>
      </c>
      <c r="X111" s="77" t="s">
        <v>35</v>
      </c>
      <c r="Y111" s="77" t="s">
        <v>43</v>
      </c>
      <c r="Z111" s="77" t="s">
        <v>55</v>
      </c>
      <c r="AA111" s="77" t="s">
        <v>47</v>
      </c>
      <c r="AB111" s="77" t="s">
        <v>161</v>
      </c>
    </row>
    <row r="112" spans="1:28" x14ac:dyDescent="0.15">
      <c r="A112" s="77" t="s">
        <v>23</v>
      </c>
      <c r="B112" s="77" t="s">
        <v>160</v>
      </c>
      <c r="C112" s="77">
        <v>2020</v>
      </c>
      <c r="D112" s="150" t="s">
        <v>254</v>
      </c>
      <c r="E112" s="77" t="s">
        <v>280</v>
      </c>
      <c r="F112" s="77" t="s">
        <v>269</v>
      </c>
      <c r="G112" s="77" t="s">
        <v>25</v>
      </c>
      <c r="H112" s="77" t="s">
        <v>164</v>
      </c>
      <c r="I112" s="77" t="s">
        <v>111</v>
      </c>
      <c r="J112" s="77" t="s">
        <v>27</v>
      </c>
      <c r="K112" s="77" t="s">
        <v>112</v>
      </c>
      <c r="L112" s="77">
        <v>3</v>
      </c>
      <c r="N112" s="77">
        <v>4</v>
      </c>
      <c r="O112" s="77">
        <v>0.2</v>
      </c>
      <c r="P112" s="77">
        <v>0.2</v>
      </c>
      <c r="Q112" s="16">
        <f t="shared" si="5"/>
        <v>0.2</v>
      </c>
      <c r="R112" s="77">
        <v>16.5</v>
      </c>
      <c r="S112" s="77">
        <v>154</v>
      </c>
      <c r="T112" s="16">
        <f t="shared" si="1"/>
        <v>18</v>
      </c>
      <c r="U112" s="77">
        <v>680</v>
      </c>
      <c r="V112" s="16">
        <f t="shared" si="2"/>
        <v>3060</v>
      </c>
      <c r="W112" s="77">
        <v>9</v>
      </c>
      <c r="X112" s="77" t="s">
        <v>35</v>
      </c>
      <c r="Y112" s="77" t="s">
        <v>43</v>
      </c>
      <c r="Z112" s="77" t="s">
        <v>55</v>
      </c>
      <c r="AA112" s="77" t="s">
        <v>47</v>
      </c>
      <c r="AB112" s="77" t="s">
        <v>161</v>
      </c>
    </row>
    <row r="113" spans="1:28" x14ac:dyDescent="0.15">
      <c r="A113" s="77" t="s">
        <v>23</v>
      </c>
      <c r="B113" s="77" t="s">
        <v>160</v>
      </c>
      <c r="C113" s="77">
        <v>2020</v>
      </c>
      <c r="D113" s="150" t="s">
        <v>254</v>
      </c>
      <c r="E113" s="77" t="s">
        <v>171</v>
      </c>
      <c r="F113" s="77" t="s">
        <v>281</v>
      </c>
      <c r="G113" s="77" t="s">
        <v>25</v>
      </c>
      <c r="H113" s="77" t="s">
        <v>113</v>
      </c>
      <c r="I113" s="77" t="s">
        <v>111</v>
      </c>
      <c r="J113" s="77" t="s">
        <v>27</v>
      </c>
      <c r="K113" s="77" t="s">
        <v>112</v>
      </c>
      <c r="L113" s="77">
        <v>1</v>
      </c>
      <c r="N113" s="77">
        <v>1</v>
      </c>
      <c r="O113" s="77">
        <v>0.2</v>
      </c>
      <c r="P113" s="77">
        <v>0.2</v>
      </c>
      <c r="Q113" s="16">
        <f t="shared" si="5"/>
        <v>0.2</v>
      </c>
      <c r="R113" s="77">
        <v>16.2</v>
      </c>
      <c r="S113" s="77">
        <v>122.5</v>
      </c>
      <c r="T113" s="16">
        <f t="shared" si="1"/>
        <v>30</v>
      </c>
      <c r="U113" s="77">
        <v>79</v>
      </c>
      <c r="V113" s="16">
        <f t="shared" si="2"/>
        <v>2370</v>
      </c>
      <c r="W113" s="77">
        <v>7</v>
      </c>
      <c r="X113" s="77" t="s">
        <v>35</v>
      </c>
      <c r="Y113" s="77" t="s">
        <v>55</v>
      </c>
      <c r="Z113" s="77" t="s">
        <v>43</v>
      </c>
      <c r="AA113" s="77" t="s">
        <v>47</v>
      </c>
      <c r="AB113" s="77" t="s">
        <v>161</v>
      </c>
    </row>
    <row r="114" spans="1:28" x14ac:dyDescent="0.15">
      <c r="A114" s="77" t="s">
        <v>23</v>
      </c>
      <c r="B114" s="77" t="s">
        <v>160</v>
      </c>
      <c r="C114" s="77">
        <v>2020</v>
      </c>
      <c r="D114" s="150" t="s">
        <v>254</v>
      </c>
      <c r="E114" s="77" t="s">
        <v>171</v>
      </c>
      <c r="F114" s="77" t="s">
        <v>281</v>
      </c>
      <c r="G114" s="77" t="s">
        <v>25</v>
      </c>
      <c r="H114" s="77" t="s">
        <v>113</v>
      </c>
      <c r="I114" s="77" t="s">
        <v>111</v>
      </c>
      <c r="J114" s="77" t="s">
        <v>27</v>
      </c>
      <c r="K114" s="77" t="s">
        <v>112</v>
      </c>
      <c r="L114" s="77">
        <v>2</v>
      </c>
      <c r="N114" s="77">
        <v>1</v>
      </c>
      <c r="O114" s="77">
        <v>0.2</v>
      </c>
      <c r="P114" s="77">
        <v>0.2</v>
      </c>
      <c r="Q114" s="16">
        <f t="shared" si="5"/>
        <v>0.2</v>
      </c>
      <c r="R114" s="77">
        <v>15.4</v>
      </c>
      <c r="S114" s="77">
        <v>116.5</v>
      </c>
      <c r="T114" s="16">
        <f t="shared" si="1"/>
        <v>30</v>
      </c>
      <c r="U114" s="77">
        <v>79</v>
      </c>
      <c r="V114" s="16">
        <f t="shared" si="2"/>
        <v>2370</v>
      </c>
      <c r="W114" s="77">
        <v>7</v>
      </c>
      <c r="X114" s="77" t="s">
        <v>35</v>
      </c>
      <c r="Y114" s="77" t="s">
        <v>55</v>
      </c>
      <c r="Z114" s="77" t="s">
        <v>43</v>
      </c>
      <c r="AA114" s="77" t="s">
        <v>47</v>
      </c>
      <c r="AB114" s="77" t="s">
        <v>161</v>
      </c>
    </row>
    <row r="115" spans="1:28" x14ac:dyDescent="0.15">
      <c r="A115" s="77" t="s">
        <v>23</v>
      </c>
      <c r="B115" s="77" t="s">
        <v>160</v>
      </c>
      <c r="C115" s="77">
        <v>2020</v>
      </c>
      <c r="D115" s="150" t="s">
        <v>254</v>
      </c>
      <c r="E115" s="77" t="s">
        <v>171</v>
      </c>
      <c r="F115" s="77" t="s">
        <v>281</v>
      </c>
      <c r="G115" s="77" t="s">
        <v>25</v>
      </c>
      <c r="H115" s="77" t="s">
        <v>113</v>
      </c>
      <c r="I115" s="77" t="s">
        <v>111</v>
      </c>
      <c r="J115" s="77" t="s">
        <v>27</v>
      </c>
      <c r="K115" s="77" t="s">
        <v>112</v>
      </c>
      <c r="L115" s="77">
        <v>3</v>
      </c>
      <c r="N115" s="77">
        <v>1</v>
      </c>
      <c r="O115" s="77">
        <v>0.2</v>
      </c>
      <c r="P115" s="77">
        <v>0.2</v>
      </c>
      <c r="Q115" s="16">
        <f t="shared" si="5"/>
        <v>0.2</v>
      </c>
      <c r="R115" s="77">
        <v>17.399999999999999</v>
      </c>
      <c r="S115" s="77">
        <v>120.5</v>
      </c>
      <c r="T115" s="16">
        <f t="shared" si="1"/>
        <v>30</v>
      </c>
      <c r="U115" s="77">
        <v>79</v>
      </c>
      <c r="V115" s="16">
        <f t="shared" si="2"/>
        <v>2370</v>
      </c>
      <c r="W115" s="77">
        <v>7</v>
      </c>
      <c r="X115" s="77" t="s">
        <v>35</v>
      </c>
      <c r="Y115" s="77" t="s">
        <v>55</v>
      </c>
      <c r="Z115" s="77" t="s">
        <v>43</v>
      </c>
      <c r="AA115" s="77" t="s">
        <v>47</v>
      </c>
      <c r="AB115" s="77" t="s">
        <v>161</v>
      </c>
    </row>
    <row r="116" spans="1:28" x14ac:dyDescent="0.15">
      <c r="A116" s="77" t="s">
        <v>23</v>
      </c>
      <c r="B116" s="77" t="s">
        <v>160</v>
      </c>
      <c r="C116" s="77">
        <v>2020</v>
      </c>
      <c r="D116" s="150" t="s">
        <v>254</v>
      </c>
      <c r="E116" s="77" t="s">
        <v>171</v>
      </c>
      <c r="F116" s="77" t="s">
        <v>281</v>
      </c>
      <c r="G116" s="77" t="s">
        <v>25</v>
      </c>
      <c r="H116" s="77" t="s">
        <v>164</v>
      </c>
      <c r="I116" s="77" t="s">
        <v>111</v>
      </c>
      <c r="J116" s="77" t="s">
        <v>27</v>
      </c>
      <c r="K116" s="77" t="s">
        <v>112</v>
      </c>
      <c r="L116" s="77">
        <v>1</v>
      </c>
      <c r="N116" s="77">
        <v>1</v>
      </c>
      <c r="O116" s="77">
        <v>0.7</v>
      </c>
      <c r="P116" s="77">
        <v>0.65</v>
      </c>
      <c r="Q116" s="16">
        <f t="shared" si="5"/>
        <v>0.67500000000000004</v>
      </c>
      <c r="R116" s="77">
        <v>16.2</v>
      </c>
      <c r="S116" s="77">
        <v>154.5</v>
      </c>
      <c r="T116" s="16">
        <f t="shared" si="1"/>
        <v>18</v>
      </c>
      <c r="U116" s="77">
        <v>98</v>
      </c>
      <c r="V116" s="16">
        <f t="shared" si="2"/>
        <v>1764</v>
      </c>
      <c r="W116" s="77">
        <v>7</v>
      </c>
      <c r="X116" s="77" t="s">
        <v>35</v>
      </c>
      <c r="Y116" s="77" t="s">
        <v>55</v>
      </c>
      <c r="Z116" s="77" t="s">
        <v>43</v>
      </c>
      <c r="AA116" s="77" t="s">
        <v>47</v>
      </c>
      <c r="AB116" s="77" t="s">
        <v>161</v>
      </c>
    </row>
    <row r="117" spans="1:28" x14ac:dyDescent="0.15">
      <c r="A117" s="77" t="s">
        <v>23</v>
      </c>
      <c r="B117" s="77" t="s">
        <v>160</v>
      </c>
      <c r="C117" s="77">
        <v>2020</v>
      </c>
      <c r="D117" s="150" t="s">
        <v>254</v>
      </c>
      <c r="E117" s="77" t="s">
        <v>171</v>
      </c>
      <c r="F117" s="77" t="s">
        <v>281</v>
      </c>
      <c r="G117" s="77" t="s">
        <v>25</v>
      </c>
      <c r="H117" s="77" t="s">
        <v>164</v>
      </c>
      <c r="I117" s="77" t="s">
        <v>111</v>
      </c>
      <c r="J117" s="77" t="s">
        <v>27</v>
      </c>
      <c r="K117" s="77" t="s">
        <v>112</v>
      </c>
      <c r="L117" s="77">
        <v>2</v>
      </c>
      <c r="N117" s="77">
        <v>1</v>
      </c>
      <c r="O117" s="77">
        <v>1</v>
      </c>
      <c r="P117" s="77">
        <v>1.05</v>
      </c>
      <c r="Q117" s="16">
        <f t="shared" si="5"/>
        <v>1.0249999999999999</v>
      </c>
      <c r="R117" s="77">
        <v>15.5</v>
      </c>
      <c r="S117" s="77">
        <v>153.5</v>
      </c>
      <c r="T117" s="16">
        <f t="shared" si="1"/>
        <v>18</v>
      </c>
      <c r="U117" s="77">
        <v>98</v>
      </c>
      <c r="V117" s="16">
        <f t="shared" si="2"/>
        <v>1764</v>
      </c>
      <c r="W117" s="77">
        <v>7</v>
      </c>
      <c r="X117" s="77" t="s">
        <v>35</v>
      </c>
      <c r="Y117" s="77" t="s">
        <v>55</v>
      </c>
      <c r="Z117" s="77" t="s">
        <v>43</v>
      </c>
      <c r="AA117" s="77" t="s">
        <v>47</v>
      </c>
      <c r="AB117" s="77" t="s">
        <v>161</v>
      </c>
    </row>
    <row r="118" spans="1:28" x14ac:dyDescent="0.15">
      <c r="A118" s="77" t="s">
        <v>23</v>
      </c>
      <c r="B118" s="77" t="s">
        <v>160</v>
      </c>
      <c r="C118" s="77">
        <v>2020</v>
      </c>
      <c r="D118" s="150" t="s">
        <v>254</v>
      </c>
      <c r="E118" s="77" t="s">
        <v>171</v>
      </c>
      <c r="F118" s="77" t="s">
        <v>281</v>
      </c>
      <c r="G118" s="77" t="s">
        <v>25</v>
      </c>
      <c r="H118" s="77" t="s">
        <v>164</v>
      </c>
      <c r="I118" s="77" t="s">
        <v>111</v>
      </c>
      <c r="J118" s="77" t="s">
        <v>27</v>
      </c>
      <c r="K118" s="77" t="s">
        <v>112</v>
      </c>
      <c r="L118" s="77">
        <v>3</v>
      </c>
      <c r="N118" s="77">
        <v>1</v>
      </c>
      <c r="O118" s="77">
        <v>0.5</v>
      </c>
      <c r="P118" s="77">
        <v>0.6</v>
      </c>
      <c r="Q118" s="16">
        <f t="shared" si="5"/>
        <v>0.55000000000000004</v>
      </c>
      <c r="R118" s="77">
        <v>16.100000000000001</v>
      </c>
      <c r="S118" s="77">
        <v>155.5</v>
      </c>
      <c r="T118" s="16">
        <f t="shared" si="1"/>
        <v>18</v>
      </c>
      <c r="U118" s="77">
        <v>98</v>
      </c>
      <c r="V118" s="16">
        <f t="shared" si="2"/>
        <v>1764</v>
      </c>
      <c r="W118" s="77">
        <v>7</v>
      </c>
      <c r="X118" s="77" t="s">
        <v>35</v>
      </c>
      <c r="Y118" s="77" t="s">
        <v>55</v>
      </c>
      <c r="Z118" s="77" t="s">
        <v>43</v>
      </c>
      <c r="AA118" s="77" t="s">
        <v>47</v>
      </c>
      <c r="AB118" s="77" t="s">
        <v>161</v>
      </c>
    </row>
    <row r="119" spans="1:28" x14ac:dyDescent="0.15">
      <c r="A119" s="77" t="s">
        <v>23</v>
      </c>
      <c r="B119" s="77" t="s">
        <v>160</v>
      </c>
      <c r="C119" s="77">
        <v>2020</v>
      </c>
      <c r="D119" s="150" t="s">
        <v>254</v>
      </c>
      <c r="E119" s="77" t="s">
        <v>171</v>
      </c>
      <c r="F119" s="77" t="s">
        <v>281</v>
      </c>
      <c r="G119" s="77" t="s">
        <v>25</v>
      </c>
      <c r="H119" s="77" t="s">
        <v>164</v>
      </c>
      <c r="I119" s="77" t="s">
        <v>111</v>
      </c>
      <c r="J119" s="77" t="s">
        <v>27</v>
      </c>
      <c r="K119" s="77" t="s">
        <v>112</v>
      </c>
      <c r="L119" s="77">
        <v>1</v>
      </c>
      <c r="N119" s="77">
        <v>4</v>
      </c>
      <c r="O119" s="77">
        <v>0.55000000000000004</v>
      </c>
      <c r="P119" s="77">
        <v>0.5</v>
      </c>
      <c r="Q119" s="16">
        <f t="shared" si="5"/>
        <v>0.52500000000000002</v>
      </c>
      <c r="R119" s="77">
        <v>17</v>
      </c>
      <c r="S119" s="77">
        <v>159.5</v>
      </c>
      <c r="T119" s="16">
        <f t="shared" si="1"/>
        <v>18</v>
      </c>
      <c r="U119" s="77">
        <v>498</v>
      </c>
      <c r="V119" s="16">
        <f t="shared" si="2"/>
        <v>2241</v>
      </c>
      <c r="W119" s="77">
        <v>7</v>
      </c>
      <c r="X119" s="77" t="s">
        <v>35</v>
      </c>
      <c r="Y119" s="77" t="s">
        <v>55</v>
      </c>
      <c r="Z119" s="77" t="s">
        <v>43</v>
      </c>
      <c r="AA119" s="77" t="s">
        <v>47</v>
      </c>
      <c r="AB119" s="77" t="s">
        <v>161</v>
      </c>
    </row>
    <row r="120" spans="1:28" x14ac:dyDescent="0.15">
      <c r="A120" s="77" t="s">
        <v>23</v>
      </c>
      <c r="B120" s="77" t="s">
        <v>160</v>
      </c>
      <c r="C120" s="77">
        <v>2020</v>
      </c>
      <c r="D120" s="150" t="s">
        <v>254</v>
      </c>
      <c r="E120" s="77" t="s">
        <v>171</v>
      </c>
      <c r="F120" s="77" t="s">
        <v>281</v>
      </c>
      <c r="G120" s="77" t="s">
        <v>25</v>
      </c>
      <c r="H120" s="77" t="s">
        <v>164</v>
      </c>
      <c r="I120" s="77" t="s">
        <v>111</v>
      </c>
      <c r="J120" s="77" t="s">
        <v>27</v>
      </c>
      <c r="K120" s="77" t="s">
        <v>112</v>
      </c>
      <c r="L120" s="77">
        <v>2</v>
      </c>
      <c r="N120" s="77">
        <v>4</v>
      </c>
      <c r="O120" s="77">
        <v>0.5</v>
      </c>
      <c r="P120" s="77">
        <v>0.55000000000000004</v>
      </c>
      <c r="Q120" s="16">
        <f t="shared" si="5"/>
        <v>0.52500000000000002</v>
      </c>
      <c r="R120" s="77">
        <v>16.899999999999999</v>
      </c>
      <c r="S120" s="77">
        <v>156</v>
      </c>
      <c r="T120" s="16">
        <f t="shared" si="1"/>
        <v>18</v>
      </c>
      <c r="U120" s="77">
        <v>498</v>
      </c>
      <c r="V120" s="16">
        <f t="shared" si="2"/>
        <v>2241</v>
      </c>
      <c r="W120" s="77">
        <v>7</v>
      </c>
      <c r="X120" s="77" t="s">
        <v>35</v>
      </c>
      <c r="Y120" s="77" t="s">
        <v>55</v>
      </c>
      <c r="Z120" s="77" t="s">
        <v>43</v>
      </c>
      <c r="AA120" s="77" t="s">
        <v>47</v>
      </c>
      <c r="AB120" s="77" t="s">
        <v>161</v>
      </c>
    </row>
    <row r="121" spans="1:28" x14ac:dyDescent="0.15">
      <c r="A121" s="77" t="s">
        <v>23</v>
      </c>
      <c r="B121" s="77" t="s">
        <v>160</v>
      </c>
      <c r="C121" s="77">
        <v>2020</v>
      </c>
      <c r="D121" s="150" t="s">
        <v>254</v>
      </c>
      <c r="E121" s="77" t="s">
        <v>171</v>
      </c>
      <c r="F121" s="77" t="s">
        <v>281</v>
      </c>
      <c r="G121" s="77" t="s">
        <v>25</v>
      </c>
      <c r="H121" s="77" t="s">
        <v>164</v>
      </c>
      <c r="I121" s="77" t="s">
        <v>111</v>
      </c>
      <c r="J121" s="77" t="s">
        <v>27</v>
      </c>
      <c r="K121" s="77" t="s">
        <v>112</v>
      </c>
      <c r="L121" s="77">
        <v>3</v>
      </c>
      <c r="N121" s="77">
        <v>4</v>
      </c>
      <c r="O121" s="77">
        <v>0.5</v>
      </c>
      <c r="P121" s="77">
        <v>0.6</v>
      </c>
      <c r="Q121" s="16">
        <f t="shared" si="5"/>
        <v>0.55000000000000004</v>
      </c>
      <c r="R121" s="77">
        <v>16.8</v>
      </c>
      <c r="S121" s="77">
        <v>152</v>
      </c>
      <c r="T121" s="16">
        <f t="shared" si="1"/>
        <v>18</v>
      </c>
      <c r="U121" s="77">
        <v>498</v>
      </c>
      <c r="V121" s="16">
        <f t="shared" si="2"/>
        <v>2241</v>
      </c>
      <c r="W121" s="77">
        <v>7</v>
      </c>
      <c r="X121" s="77" t="s">
        <v>35</v>
      </c>
      <c r="Y121" s="77" t="s">
        <v>55</v>
      </c>
      <c r="Z121" s="77" t="s">
        <v>43</v>
      </c>
      <c r="AA121" s="77" t="s">
        <v>47</v>
      </c>
      <c r="AB121" s="77" t="s">
        <v>161</v>
      </c>
    </row>
    <row r="122" spans="1:28" x14ac:dyDescent="0.15">
      <c r="A122" s="77" t="s">
        <v>23</v>
      </c>
      <c r="B122" s="77" t="s">
        <v>160</v>
      </c>
      <c r="C122" s="77">
        <v>2020</v>
      </c>
      <c r="D122" s="150" t="s">
        <v>254</v>
      </c>
      <c r="E122" s="77" t="s">
        <v>282</v>
      </c>
      <c r="F122" s="77" t="s">
        <v>273</v>
      </c>
      <c r="G122" s="77" t="s">
        <v>31</v>
      </c>
      <c r="H122" s="77" t="s">
        <v>113</v>
      </c>
      <c r="I122" s="77" t="s">
        <v>111</v>
      </c>
      <c r="J122" s="77" t="s">
        <v>27</v>
      </c>
      <c r="K122" s="77" t="s">
        <v>112</v>
      </c>
      <c r="L122" s="77">
        <v>1</v>
      </c>
      <c r="N122" s="77">
        <v>1</v>
      </c>
      <c r="O122" s="77">
        <v>0.45</v>
      </c>
      <c r="P122" s="77">
        <v>0.45</v>
      </c>
      <c r="Q122" s="16">
        <f t="shared" si="5"/>
        <v>0.45</v>
      </c>
      <c r="R122" s="77">
        <v>15.8</v>
      </c>
      <c r="S122" s="77">
        <v>129</v>
      </c>
      <c r="T122" s="16">
        <f t="shared" si="1"/>
        <v>30</v>
      </c>
      <c r="U122" s="77">
        <v>100</v>
      </c>
      <c r="V122" s="16">
        <f t="shared" si="2"/>
        <v>3000</v>
      </c>
      <c r="W122" s="77">
        <v>14</v>
      </c>
      <c r="X122" s="77" t="s">
        <v>35</v>
      </c>
      <c r="Y122" s="77" t="s">
        <v>43</v>
      </c>
      <c r="Z122" s="77" t="s">
        <v>55</v>
      </c>
      <c r="AA122" s="77" t="s">
        <v>47</v>
      </c>
      <c r="AB122" s="77" t="s">
        <v>161</v>
      </c>
    </row>
    <row r="123" spans="1:28" x14ac:dyDescent="0.15">
      <c r="A123" s="77" t="s">
        <v>23</v>
      </c>
      <c r="B123" s="77" t="s">
        <v>160</v>
      </c>
      <c r="C123" s="77">
        <v>2020</v>
      </c>
      <c r="D123" s="150" t="s">
        <v>254</v>
      </c>
      <c r="E123" s="77" t="s">
        <v>282</v>
      </c>
      <c r="F123" s="77" t="s">
        <v>273</v>
      </c>
      <c r="G123" s="77" t="s">
        <v>31</v>
      </c>
      <c r="H123" s="77" t="s">
        <v>113</v>
      </c>
      <c r="I123" s="77" t="s">
        <v>111</v>
      </c>
      <c r="J123" s="77" t="s">
        <v>27</v>
      </c>
      <c r="K123" s="77" t="s">
        <v>112</v>
      </c>
      <c r="L123" s="77">
        <v>2</v>
      </c>
      <c r="N123" s="77">
        <v>1</v>
      </c>
      <c r="O123" s="77">
        <v>0.7</v>
      </c>
      <c r="P123" s="77">
        <v>0.7</v>
      </c>
      <c r="Q123" s="16">
        <f t="shared" si="5"/>
        <v>0.7</v>
      </c>
      <c r="R123" s="77">
        <v>15.8</v>
      </c>
      <c r="S123" s="77">
        <v>127.5</v>
      </c>
      <c r="T123" s="16">
        <f t="shared" si="1"/>
        <v>30</v>
      </c>
      <c r="U123" s="77">
        <v>100</v>
      </c>
      <c r="V123" s="16">
        <f t="shared" si="2"/>
        <v>3000</v>
      </c>
      <c r="W123" s="77">
        <v>14</v>
      </c>
      <c r="X123" s="77" t="s">
        <v>35</v>
      </c>
      <c r="Y123" s="77" t="s">
        <v>43</v>
      </c>
      <c r="Z123" s="77" t="s">
        <v>55</v>
      </c>
      <c r="AA123" s="77" t="s">
        <v>47</v>
      </c>
      <c r="AB123" s="77" t="s">
        <v>161</v>
      </c>
    </row>
    <row r="124" spans="1:28" x14ac:dyDescent="0.15">
      <c r="A124" s="77" t="s">
        <v>23</v>
      </c>
      <c r="B124" s="77" t="s">
        <v>160</v>
      </c>
      <c r="C124" s="77">
        <v>2020</v>
      </c>
      <c r="D124" s="150" t="s">
        <v>254</v>
      </c>
      <c r="E124" s="77" t="s">
        <v>282</v>
      </c>
      <c r="F124" s="77" t="s">
        <v>273</v>
      </c>
      <c r="G124" s="77" t="s">
        <v>31</v>
      </c>
      <c r="H124" s="77" t="s">
        <v>113</v>
      </c>
      <c r="I124" s="77" t="s">
        <v>111</v>
      </c>
      <c r="J124" s="77" t="s">
        <v>27</v>
      </c>
      <c r="K124" s="77" t="s">
        <v>112</v>
      </c>
      <c r="L124" s="77">
        <v>3</v>
      </c>
      <c r="N124" s="77">
        <v>1</v>
      </c>
      <c r="O124" s="77">
        <v>0.5</v>
      </c>
      <c r="P124" s="77">
        <v>0.65</v>
      </c>
      <c r="Q124" s="16">
        <f t="shared" si="5"/>
        <v>0.57499999999999996</v>
      </c>
      <c r="R124" s="77">
        <v>15.7</v>
      </c>
      <c r="S124" s="77">
        <v>133</v>
      </c>
      <c r="T124" s="16">
        <f t="shared" si="1"/>
        <v>30</v>
      </c>
      <c r="U124" s="77">
        <v>100</v>
      </c>
      <c r="V124" s="16">
        <f t="shared" si="2"/>
        <v>3000</v>
      </c>
      <c r="W124" s="77">
        <v>14</v>
      </c>
      <c r="X124" s="77" t="s">
        <v>35</v>
      </c>
      <c r="Y124" s="77" t="s">
        <v>43</v>
      </c>
      <c r="Z124" s="77" t="s">
        <v>55</v>
      </c>
      <c r="AA124" s="77" t="s">
        <v>47</v>
      </c>
      <c r="AB124" s="77" t="s">
        <v>161</v>
      </c>
    </row>
    <row r="125" spans="1:28" x14ac:dyDescent="0.15">
      <c r="A125" s="77" t="s">
        <v>23</v>
      </c>
      <c r="B125" s="77" t="s">
        <v>160</v>
      </c>
      <c r="C125" s="77">
        <v>2020</v>
      </c>
      <c r="D125" s="150" t="s">
        <v>254</v>
      </c>
      <c r="E125" s="77" t="s">
        <v>282</v>
      </c>
      <c r="F125" s="77" t="s">
        <v>273</v>
      </c>
      <c r="G125" s="77" t="s">
        <v>31</v>
      </c>
      <c r="H125" s="77" t="s">
        <v>113</v>
      </c>
      <c r="I125" s="77" t="s">
        <v>111</v>
      </c>
      <c r="J125" s="77" t="s">
        <v>27</v>
      </c>
      <c r="K125" s="77" t="s">
        <v>112</v>
      </c>
      <c r="L125" s="77">
        <v>1</v>
      </c>
      <c r="N125" s="77">
        <v>5</v>
      </c>
      <c r="O125" s="77">
        <v>0.55000000000000004</v>
      </c>
      <c r="P125" s="77">
        <v>0.7</v>
      </c>
      <c r="Q125" s="16">
        <f t="shared" si="5"/>
        <v>0.625</v>
      </c>
      <c r="R125" s="77">
        <v>15.9</v>
      </c>
      <c r="S125" s="77">
        <v>81</v>
      </c>
      <c r="T125" s="16">
        <f t="shared" si="1"/>
        <v>39</v>
      </c>
      <c r="U125" s="77">
        <v>398</v>
      </c>
      <c r="V125" s="16">
        <f t="shared" si="2"/>
        <v>3104.3999999999996</v>
      </c>
      <c r="W125" s="77">
        <v>14</v>
      </c>
      <c r="X125" s="77" t="s">
        <v>35</v>
      </c>
      <c r="Y125" s="77" t="s">
        <v>43</v>
      </c>
      <c r="Z125" s="77" t="s">
        <v>55</v>
      </c>
      <c r="AA125" s="77" t="s">
        <v>47</v>
      </c>
      <c r="AB125" s="77" t="s">
        <v>161</v>
      </c>
    </row>
    <row r="126" spans="1:28" x14ac:dyDescent="0.15">
      <c r="A126" s="77" t="s">
        <v>23</v>
      </c>
      <c r="B126" s="77" t="s">
        <v>160</v>
      </c>
      <c r="C126" s="77">
        <v>2020</v>
      </c>
      <c r="D126" s="150" t="s">
        <v>254</v>
      </c>
      <c r="E126" s="77" t="s">
        <v>282</v>
      </c>
      <c r="F126" s="77" t="s">
        <v>273</v>
      </c>
      <c r="G126" s="77" t="s">
        <v>31</v>
      </c>
      <c r="H126" s="77" t="s">
        <v>113</v>
      </c>
      <c r="I126" s="77" t="s">
        <v>111</v>
      </c>
      <c r="J126" s="77" t="s">
        <v>27</v>
      </c>
      <c r="K126" s="77" t="s">
        <v>112</v>
      </c>
      <c r="L126" s="77">
        <v>2</v>
      </c>
      <c r="N126" s="77">
        <v>5</v>
      </c>
      <c r="O126" s="77">
        <v>0.85</v>
      </c>
      <c r="P126" s="77">
        <v>0.95</v>
      </c>
      <c r="Q126" s="16">
        <f t="shared" si="5"/>
        <v>0.89999999999999991</v>
      </c>
      <c r="R126" s="77">
        <v>14.9</v>
      </c>
      <c r="S126" s="77">
        <v>79</v>
      </c>
      <c r="T126" s="16">
        <f t="shared" si="1"/>
        <v>39</v>
      </c>
      <c r="U126" s="77">
        <v>398</v>
      </c>
      <c r="V126" s="16">
        <f t="shared" si="2"/>
        <v>3104.3999999999996</v>
      </c>
      <c r="W126" s="77">
        <v>14</v>
      </c>
      <c r="X126" s="77" t="s">
        <v>35</v>
      </c>
      <c r="Y126" s="77" t="s">
        <v>43</v>
      </c>
      <c r="Z126" s="77" t="s">
        <v>55</v>
      </c>
      <c r="AA126" s="77" t="s">
        <v>47</v>
      </c>
      <c r="AB126" s="77" t="s">
        <v>161</v>
      </c>
    </row>
    <row r="127" spans="1:28" x14ac:dyDescent="0.15">
      <c r="A127" s="77" t="s">
        <v>23</v>
      </c>
      <c r="B127" s="77" t="s">
        <v>160</v>
      </c>
      <c r="C127" s="77">
        <v>2020</v>
      </c>
      <c r="D127" s="150" t="s">
        <v>254</v>
      </c>
      <c r="E127" s="77" t="s">
        <v>282</v>
      </c>
      <c r="F127" s="77" t="s">
        <v>273</v>
      </c>
      <c r="G127" s="77" t="s">
        <v>31</v>
      </c>
      <c r="H127" s="77" t="s">
        <v>113</v>
      </c>
      <c r="I127" s="77" t="s">
        <v>111</v>
      </c>
      <c r="J127" s="77" t="s">
        <v>27</v>
      </c>
      <c r="K127" s="77" t="s">
        <v>112</v>
      </c>
      <c r="L127" s="77">
        <v>3</v>
      </c>
      <c r="N127" s="77">
        <v>5</v>
      </c>
      <c r="O127" s="77">
        <v>0.9</v>
      </c>
      <c r="P127" s="77">
        <v>0.85</v>
      </c>
      <c r="Q127" s="16">
        <f t="shared" si="5"/>
        <v>0.875</v>
      </c>
      <c r="R127" s="77">
        <v>14.3</v>
      </c>
      <c r="S127" s="77">
        <v>80.5</v>
      </c>
      <c r="T127" s="16">
        <f t="shared" si="1"/>
        <v>39</v>
      </c>
      <c r="U127" s="77">
        <v>398</v>
      </c>
      <c r="V127" s="16">
        <f t="shared" si="2"/>
        <v>3104.3999999999996</v>
      </c>
      <c r="W127" s="77">
        <v>14</v>
      </c>
      <c r="X127" s="77" t="s">
        <v>35</v>
      </c>
      <c r="Y127" s="77" t="s">
        <v>43</v>
      </c>
      <c r="Z127" s="77" t="s">
        <v>55</v>
      </c>
      <c r="AA127" s="77" t="s">
        <v>47</v>
      </c>
      <c r="AB127" s="77" t="s">
        <v>161</v>
      </c>
    </row>
    <row r="128" spans="1:28" x14ac:dyDescent="0.15">
      <c r="A128" s="77" t="s">
        <v>23</v>
      </c>
      <c r="B128" s="77" t="s">
        <v>160</v>
      </c>
      <c r="C128" s="77">
        <v>2020</v>
      </c>
      <c r="D128" s="150" t="s">
        <v>254</v>
      </c>
      <c r="E128" s="77" t="s">
        <v>282</v>
      </c>
      <c r="F128" s="77" t="s">
        <v>273</v>
      </c>
      <c r="G128" s="77" t="s">
        <v>31</v>
      </c>
      <c r="H128" s="77" t="s">
        <v>164</v>
      </c>
      <c r="I128" s="77" t="s">
        <v>111</v>
      </c>
      <c r="J128" s="77" t="s">
        <v>27</v>
      </c>
      <c r="K128" s="77" t="s">
        <v>112</v>
      </c>
      <c r="L128" s="77">
        <v>1</v>
      </c>
      <c r="N128" s="77">
        <v>1</v>
      </c>
      <c r="O128" s="77">
        <v>0.2</v>
      </c>
      <c r="P128" s="77">
        <v>0.2</v>
      </c>
      <c r="Q128" s="16">
        <f t="shared" si="5"/>
        <v>0.2</v>
      </c>
      <c r="R128" s="77">
        <v>17.3</v>
      </c>
      <c r="S128" s="77">
        <v>127</v>
      </c>
      <c r="T128" s="16">
        <f t="shared" si="1"/>
        <v>30</v>
      </c>
      <c r="U128" s="77">
        <v>100</v>
      </c>
      <c r="V128" s="16">
        <f t="shared" si="2"/>
        <v>3000</v>
      </c>
      <c r="W128" s="77">
        <v>14</v>
      </c>
      <c r="X128" s="77" t="s">
        <v>35</v>
      </c>
      <c r="Y128" s="77" t="s">
        <v>43</v>
      </c>
      <c r="Z128" s="77" t="s">
        <v>55</v>
      </c>
      <c r="AA128" s="77" t="s">
        <v>47</v>
      </c>
      <c r="AB128" s="77" t="s">
        <v>161</v>
      </c>
    </row>
    <row r="129" spans="1:28" x14ac:dyDescent="0.15">
      <c r="A129" s="77" t="s">
        <v>23</v>
      </c>
      <c r="B129" s="77" t="s">
        <v>160</v>
      </c>
      <c r="C129" s="77">
        <v>2020</v>
      </c>
      <c r="D129" s="150" t="s">
        <v>254</v>
      </c>
      <c r="E129" s="77" t="s">
        <v>282</v>
      </c>
      <c r="F129" s="77" t="s">
        <v>273</v>
      </c>
      <c r="G129" s="77" t="s">
        <v>31</v>
      </c>
      <c r="H129" s="77" t="s">
        <v>164</v>
      </c>
      <c r="I129" s="77" t="s">
        <v>111</v>
      </c>
      <c r="J129" s="77" t="s">
        <v>27</v>
      </c>
      <c r="K129" s="77" t="s">
        <v>112</v>
      </c>
      <c r="L129" s="77">
        <v>2</v>
      </c>
      <c r="N129" s="77">
        <v>1</v>
      </c>
      <c r="O129" s="77">
        <v>0.2</v>
      </c>
      <c r="P129" s="77">
        <v>0.2</v>
      </c>
      <c r="Q129" s="16">
        <f t="shared" si="5"/>
        <v>0.2</v>
      </c>
      <c r="R129" s="77">
        <v>17.3</v>
      </c>
      <c r="S129" s="77">
        <v>130.5</v>
      </c>
      <c r="T129" s="16">
        <f t="shared" si="1"/>
        <v>30</v>
      </c>
      <c r="U129" s="77">
        <v>100</v>
      </c>
      <c r="V129" s="16">
        <f t="shared" si="2"/>
        <v>3000</v>
      </c>
      <c r="W129" s="77">
        <v>14</v>
      </c>
      <c r="X129" s="77" t="s">
        <v>35</v>
      </c>
      <c r="Y129" s="77" t="s">
        <v>43</v>
      </c>
      <c r="Z129" s="77" t="s">
        <v>55</v>
      </c>
      <c r="AA129" s="77" t="s">
        <v>47</v>
      </c>
      <c r="AB129" s="77" t="s">
        <v>161</v>
      </c>
    </row>
    <row r="130" spans="1:28" x14ac:dyDescent="0.15">
      <c r="A130" s="77" t="s">
        <v>23</v>
      </c>
      <c r="B130" s="77" t="s">
        <v>160</v>
      </c>
      <c r="C130" s="77">
        <v>2020</v>
      </c>
      <c r="D130" s="150" t="s">
        <v>254</v>
      </c>
      <c r="E130" s="77" t="s">
        <v>282</v>
      </c>
      <c r="F130" s="77" t="s">
        <v>273</v>
      </c>
      <c r="G130" s="77" t="s">
        <v>31</v>
      </c>
      <c r="H130" s="77" t="s">
        <v>164</v>
      </c>
      <c r="I130" s="77" t="s">
        <v>111</v>
      </c>
      <c r="J130" s="77" t="s">
        <v>27</v>
      </c>
      <c r="K130" s="77" t="s">
        <v>112</v>
      </c>
      <c r="L130" s="77">
        <v>3</v>
      </c>
      <c r="N130" s="77">
        <v>1</v>
      </c>
      <c r="O130" s="77">
        <v>0.2</v>
      </c>
      <c r="P130" s="77">
        <v>0.2</v>
      </c>
      <c r="Q130" s="16">
        <f t="shared" si="5"/>
        <v>0.2</v>
      </c>
      <c r="R130" s="77">
        <v>19.2</v>
      </c>
      <c r="S130" s="77">
        <v>127.5</v>
      </c>
      <c r="T130" s="16">
        <f t="shared" si="1"/>
        <v>30</v>
      </c>
      <c r="U130" s="77">
        <v>100</v>
      </c>
      <c r="V130" s="16">
        <f t="shared" si="2"/>
        <v>3000</v>
      </c>
      <c r="W130" s="77">
        <v>14</v>
      </c>
      <c r="X130" s="77" t="s">
        <v>35</v>
      </c>
      <c r="Y130" s="77" t="s">
        <v>43</v>
      </c>
      <c r="Z130" s="77" t="s">
        <v>55</v>
      </c>
      <c r="AA130" s="77" t="s">
        <v>47</v>
      </c>
      <c r="AB130" s="77" t="s">
        <v>161</v>
      </c>
    </row>
    <row r="131" spans="1:28" x14ac:dyDescent="0.15">
      <c r="A131" s="77" t="s">
        <v>23</v>
      </c>
      <c r="B131" s="77" t="s">
        <v>160</v>
      </c>
      <c r="C131" s="77">
        <v>2020</v>
      </c>
      <c r="D131" s="150" t="s">
        <v>254</v>
      </c>
      <c r="E131" s="77" t="s">
        <v>282</v>
      </c>
      <c r="F131" s="77" t="s">
        <v>273</v>
      </c>
      <c r="G131" s="77" t="s">
        <v>31</v>
      </c>
      <c r="H131" s="77" t="s">
        <v>164</v>
      </c>
      <c r="I131" s="77" t="s">
        <v>111</v>
      </c>
      <c r="J131" s="77" t="s">
        <v>27</v>
      </c>
      <c r="K131" s="77" t="s">
        <v>112</v>
      </c>
      <c r="L131" s="77">
        <v>1</v>
      </c>
      <c r="N131" s="77">
        <v>8</v>
      </c>
      <c r="O131" s="77">
        <v>0.2</v>
      </c>
      <c r="P131" s="77">
        <v>0.2</v>
      </c>
      <c r="Q131" s="16">
        <f t="shared" si="5"/>
        <v>0.2</v>
      </c>
      <c r="R131" s="77">
        <v>17.8</v>
      </c>
      <c r="S131" s="77">
        <v>103</v>
      </c>
      <c r="T131" s="16">
        <f t="shared" si="1"/>
        <v>33</v>
      </c>
      <c r="U131" s="77">
        <v>680</v>
      </c>
      <c r="V131" s="16">
        <f t="shared" si="2"/>
        <v>2805</v>
      </c>
      <c r="W131" s="77">
        <v>14</v>
      </c>
      <c r="X131" s="77" t="s">
        <v>35</v>
      </c>
      <c r="Y131" s="77" t="s">
        <v>43</v>
      </c>
      <c r="Z131" s="77" t="s">
        <v>55</v>
      </c>
      <c r="AA131" s="77" t="s">
        <v>47</v>
      </c>
      <c r="AB131" s="77" t="s">
        <v>161</v>
      </c>
    </row>
    <row r="132" spans="1:28" x14ac:dyDescent="0.15">
      <c r="A132" s="77" t="s">
        <v>23</v>
      </c>
      <c r="B132" s="77" t="s">
        <v>160</v>
      </c>
      <c r="C132" s="77">
        <v>2020</v>
      </c>
      <c r="D132" s="150" t="s">
        <v>254</v>
      </c>
      <c r="E132" s="77" t="s">
        <v>282</v>
      </c>
      <c r="F132" s="77" t="s">
        <v>273</v>
      </c>
      <c r="G132" s="77" t="s">
        <v>31</v>
      </c>
      <c r="H132" s="77" t="s">
        <v>164</v>
      </c>
      <c r="I132" s="77" t="s">
        <v>111</v>
      </c>
      <c r="J132" s="77" t="s">
        <v>27</v>
      </c>
      <c r="K132" s="77" t="s">
        <v>112</v>
      </c>
      <c r="L132" s="77">
        <v>2</v>
      </c>
      <c r="N132" s="77">
        <v>8</v>
      </c>
      <c r="O132" s="77">
        <v>0.5</v>
      </c>
      <c r="P132" s="77">
        <v>0.5</v>
      </c>
      <c r="Q132" s="16">
        <f t="shared" si="5"/>
        <v>0.5</v>
      </c>
      <c r="R132" s="77">
        <v>17.8</v>
      </c>
      <c r="S132" s="77">
        <v>105.5</v>
      </c>
      <c r="T132" s="16">
        <f t="shared" si="1"/>
        <v>33</v>
      </c>
      <c r="U132" s="77">
        <v>680</v>
      </c>
      <c r="V132" s="16">
        <f t="shared" si="2"/>
        <v>2805</v>
      </c>
      <c r="W132" s="77">
        <v>14</v>
      </c>
      <c r="X132" s="77" t="s">
        <v>35</v>
      </c>
      <c r="Y132" s="77" t="s">
        <v>43</v>
      </c>
      <c r="Z132" s="77" t="s">
        <v>55</v>
      </c>
      <c r="AA132" s="77" t="s">
        <v>47</v>
      </c>
      <c r="AB132" s="77" t="s">
        <v>161</v>
      </c>
    </row>
    <row r="133" spans="1:28" x14ac:dyDescent="0.15">
      <c r="A133" s="77" t="s">
        <v>23</v>
      </c>
      <c r="B133" s="77" t="s">
        <v>160</v>
      </c>
      <c r="C133" s="77">
        <v>2020</v>
      </c>
      <c r="D133" s="150" t="s">
        <v>254</v>
      </c>
      <c r="E133" s="77" t="s">
        <v>282</v>
      </c>
      <c r="F133" s="77" t="s">
        <v>273</v>
      </c>
      <c r="G133" s="77" t="s">
        <v>31</v>
      </c>
      <c r="H133" s="77" t="s">
        <v>164</v>
      </c>
      <c r="I133" s="77" t="s">
        <v>111</v>
      </c>
      <c r="J133" s="77" t="s">
        <v>27</v>
      </c>
      <c r="K133" s="77" t="s">
        <v>112</v>
      </c>
      <c r="L133" s="77">
        <v>3</v>
      </c>
      <c r="N133" s="77">
        <v>8</v>
      </c>
      <c r="O133" s="77">
        <v>0.6</v>
      </c>
      <c r="P133" s="77">
        <v>0.5</v>
      </c>
      <c r="Q133" s="16">
        <f t="shared" si="5"/>
        <v>0.55000000000000004</v>
      </c>
      <c r="R133" s="77">
        <v>17.100000000000001</v>
      </c>
      <c r="S133" s="77">
        <v>96.5</v>
      </c>
      <c r="T133" s="16">
        <f t="shared" si="1"/>
        <v>36</v>
      </c>
      <c r="U133" s="77">
        <v>680</v>
      </c>
      <c r="V133" s="16">
        <f t="shared" si="2"/>
        <v>3060</v>
      </c>
      <c r="W133" s="77">
        <v>14</v>
      </c>
      <c r="X133" s="77" t="s">
        <v>35</v>
      </c>
      <c r="Y133" s="77" t="s">
        <v>43</v>
      </c>
      <c r="Z133" s="77" t="s">
        <v>55</v>
      </c>
      <c r="AA133" s="77" t="s">
        <v>47</v>
      </c>
      <c r="AB133" s="77" t="s">
        <v>161</v>
      </c>
    </row>
    <row r="134" spans="1:28" x14ac:dyDescent="0.15">
      <c r="A134" s="77" t="s">
        <v>23</v>
      </c>
      <c r="B134" s="77" t="s">
        <v>160</v>
      </c>
      <c r="C134" s="77">
        <v>2020</v>
      </c>
      <c r="D134" s="150" t="s">
        <v>254</v>
      </c>
      <c r="E134" s="77" t="s">
        <v>282</v>
      </c>
      <c r="F134" s="77" t="s">
        <v>273</v>
      </c>
      <c r="G134" s="77" t="s">
        <v>31</v>
      </c>
      <c r="H134" s="77" t="s">
        <v>164</v>
      </c>
      <c r="I134" s="77" t="s">
        <v>111</v>
      </c>
      <c r="J134" s="77" t="s">
        <v>27</v>
      </c>
      <c r="K134" s="77" t="s">
        <v>112</v>
      </c>
      <c r="L134" s="77">
        <v>1</v>
      </c>
      <c r="N134" s="77">
        <v>4</v>
      </c>
      <c r="O134" s="77">
        <v>0.2</v>
      </c>
      <c r="P134" s="77">
        <v>0.45</v>
      </c>
      <c r="Q134" s="16">
        <f t="shared" si="5"/>
        <v>0.32500000000000001</v>
      </c>
      <c r="R134" s="77">
        <v>19.100000000000001</v>
      </c>
      <c r="S134" s="77">
        <v>127</v>
      </c>
      <c r="T134" s="16">
        <f t="shared" si="1"/>
        <v>30</v>
      </c>
      <c r="U134" s="77">
        <v>458</v>
      </c>
      <c r="V134" s="16">
        <f t="shared" si="2"/>
        <v>3435</v>
      </c>
      <c r="W134" s="77">
        <v>14</v>
      </c>
      <c r="X134" s="77" t="s">
        <v>35</v>
      </c>
      <c r="Y134" s="77" t="s">
        <v>43</v>
      </c>
      <c r="Z134" s="77" t="s">
        <v>55</v>
      </c>
      <c r="AA134" s="77" t="s">
        <v>47</v>
      </c>
      <c r="AB134" s="77" t="s">
        <v>161</v>
      </c>
    </row>
    <row r="135" spans="1:28" x14ac:dyDescent="0.15">
      <c r="A135" s="77" t="s">
        <v>23</v>
      </c>
      <c r="B135" s="77" t="s">
        <v>160</v>
      </c>
      <c r="C135" s="77">
        <v>2020</v>
      </c>
      <c r="D135" s="150" t="s">
        <v>254</v>
      </c>
      <c r="E135" s="77" t="s">
        <v>282</v>
      </c>
      <c r="F135" s="77" t="s">
        <v>273</v>
      </c>
      <c r="G135" s="77" t="s">
        <v>31</v>
      </c>
      <c r="H135" s="77" t="s">
        <v>164</v>
      </c>
      <c r="I135" s="77" t="s">
        <v>111</v>
      </c>
      <c r="J135" s="77" t="s">
        <v>27</v>
      </c>
      <c r="K135" s="77" t="s">
        <v>112</v>
      </c>
      <c r="L135" s="77">
        <v>2</v>
      </c>
      <c r="N135" s="77">
        <v>4</v>
      </c>
      <c r="O135" s="77">
        <v>0.55000000000000004</v>
      </c>
      <c r="P135" s="77">
        <v>0.5</v>
      </c>
      <c r="Q135" s="16">
        <f t="shared" si="5"/>
        <v>0.52500000000000002</v>
      </c>
      <c r="R135" s="77">
        <v>17.100000000000001</v>
      </c>
      <c r="S135" s="77">
        <v>131</v>
      </c>
      <c r="T135" s="16">
        <f t="shared" si="1"/>
        <v>30</v>
      </c>
      <c r="U135" s="77">
        <v>458</v>
      </c>
      <c r="V135" s="16">
        <f t="shared" si="2"/>
        <v>3435</v>
      </c>
      <c r="W135" s="77">
        <v>14</v>
      </c>
      <c r="X135" s="77" t="s">
        <v>35</v>
      </c>
      <c r="Y135" s="77" t="s">
        <v>43</v>
      </c>
      <c r="Z135" s="77" t="s">
        <v>55</v>
      </c>
      <c r="AA135" s="77" t="s">
        <v>47</v>
      </c>
      <c r="AB135" s="77" t="s">
        <v>161</v>
      </c>
    </row>
    <row r="136" spans="1:28" x14ac:dyDescent="0.15">
      <c r="A136" s="77" t="s">
        <v>23</v>
      </c>
      <c r="B136" s="77" t="s">
        <v>160</v>
      </c>
      <c r="C136" s="77">
        <v>2020</v>
      </c>
      <c r="D136" s="150" t="s">
        <v>254</v>
      </c>
      <c r="E136" s="77" t="s">
        <v>282</v>
      </c>
      <c r="F136" s="77" t="s">
        <v>273</v>
      </c>
      <c r="G136" s="77" t="s">
        <v>31</v>
      </c>
      <c r="H136" s="77" t="s">
        <v>164</v>
      </c>
      <c r="I136" s="77" t="s">
        <v>111</v>
      </c>
      <c r="J136" s="77" t="s">
        <v>27</v>
      </c>
      <c r="K136" s="77" t="s">
        <v>112</v>
      </c>
      <c r="L136" s="77">
        <v>3</v>
      </c>
      <c r="N136" s="77">
        <v>4</v>
      </c>
      <c r="O136" s="77">
        <v>0.55000000000000004</v>
      </c>
      <c r="P136" s="77">
        <v>0.5</v>
      </c>
      <c r="Q136" s="16">
        <f t="shared" si="5"/>
        <v>0.52500000000000002</v>
      </c>
      <c r="R136" s="77">
        <v>16.600000000000001</v>
      </c>
      <c r="S136" s="77">
        <v>130</v>
      </c>
      <c r="T136" s="16">
        <f t="shared" si="1"/>
        <v>30</v>
      </c>
      <c r="U136" s="77">
        <v>458</v>
      </c>
      <c r="V136" s="16">
        <f t="shared" si="2"/>
        <v>3435</v>
      </c>
      <c r="W136" s="77">
        <v>14</v>
      </c>
      <c r="X136" s="77" t="s">
        <v>35</v>
      </c>
      <c r="Y136" s="77" t="s">
        <v>43</v>
      </c>
      <c r="Z136" s="77" t="s">
        <v>55</v>
      </c>
      <c r="AA136" s="77" t="s">
        <v>47</v>
      </c>
      <c r="AB136" s="77" t="s">
        <v>161</v>
      </c>
    </row>
    <row r="137" spans="1:28" x14ac:dyDescent="0.15">
      <c r="A137" s="77" t="s">
        <v>23</v>
      </c>
      <c r="B137" s="77" t="s">
        <v>160</v>
      </c>
      <c r="C137" s="77">
        <v>2020</v>
      </c>
      <c r="D137" s="150" t="s">
        <v>254</v>
      </c>
      <c r="E137" s="77" t="s">
        <v>283</v>
      </c>
      <c r="F137" s="77" t="s">
        <v>275</v>
      </c>
      <c r="G137" s="77" t="s">
        <v>25</v>
      </c>
      <c r="H137" s="77" t="s">
        <v>113</v>
      </c>
      <c r="I137" s="77" t="s">
        <v>111</v>
      </c>
      <c r="J137" s="77" t="s">
        <v>27</v>
      </c>
      <c r="K137" s="77" t="s">
        <v>112</v>
      </c>
      <c r="L137" s="77">
        <v>1</v>
      </c>
      <c r="N137" s="77">
        <v>1</v>
      </c>
      <c r="O137" s="77">
        <v>0.55000000000000004</v>
      </c>
      <c r="P137" s="77">
        <v>0.55000000000000004</v>
      </c>
      <c r="Q137" s="16">
        <f t="shared" si="5"/>
        <v>0.55000000000000004</v>
      </c>
      <c r="R137" s="77">
        <v>15.7</v>
      </c>
      <c r="S137" s="77">
        <v>111.5</v>
      </c>
      <c r="T137" s="16">
        <f t="shared" ref="T137:T154" si="6">IF(H137="","",IF(OR(H137="GREEN",H137="GK"),IF(S137&gt;=$AX$2,VLOOKUP(S137,$AX$2:$AY$9,2,1),""),IF(S137&gt;=$AZ$2,VLOOKUP(S137,$AZ$2:$BA$9,2,1),"")))</f>
        <v>33</v>
      </c>
      <c r="U137" s="77">
        <v>94</v>
      </c>
      <c r="V137" s="16">
        <f t="shared" ref="V137:V154" si="7">IF(OR(N137="",U137="",T137=""),"",U137/N137*T137)</f>
        <v>3102</v>
      </c>
      <c r="W137" s="77">
        <v>12</v>
      </c>
      <c r="X137" s="77" t="s">
        <v>35</v>
      </c>
      <c r="Y137" s="77" t="s">
        <v>43</v>
      </c>
      <c r="Z137" s="77" t="s">
        <v>55</v>
      </c>
      <c r="AA137" s="77" t="s">
        <v>47</v>
      </c>
      <c r="AB137" s="77" t="s">
        <v>161</v>
      </c>
    </row>
    <row r="138" spans="1:28" x14ac:dyDescent="0.15">
      <c r="A138" s="77" t="s">
        <v>23</v>
      </c>
      <c r="B138" s="77" t="s">
        <v>160</v>
      </c>
      <c r="C138" s="77">
        <v>2020</v>
      </c>
      <c r="D138" s="150" t="s">
        <v>254</v>
      </c>
      <c r="E138" s="77" t="s">
        <v>283</v>
      </c>
      <c r="F138" s="77" t="s">
        <v>275</v>
      </c>
      <c r="G138" s="77" t="s">
        <v>25</v>
      </c>
      <c r="H138" s="77" t="s">
        <v>113</v>
      </c>
      <c r="I138" s="77" t="s">
        <v>111</v>
      </c>
      <c r="J138" s="77" t="s">
        <v>27</v>
      </c>
      <c r="K138" s="77" t="s">
        <v>112</v>
      </c>
      <c r="L138" s="77">
        <v>2</v>
      </c>
      <c r="N138" s="77">
        <v>1</v>
      </c>
      <c r="O138" s="77">
        <v>0.5</v>
      </c>
      <c r="P138" s="77">
        <v>0.55000000000000004</v>
      </c>
      <c r="Q138" s="16">
        <f t="shared" si="5"/>
        <v>0.52500000000000002</v>
      </c>
      <c r="R138" s="77">
        <v>15.7</v>
      </c>
      <c r="S138" s="77">
        <v>115</v>
      </c>
      <c r="T138" s="16">
        <f t="shared" si="6"/>
        <v>30</v>
      </c>
      <c r="U138" s="77">
        <v>94</v>
      </c>
      <c r="V138" s="16">
        <f t="shared" si="7"/>
        <v>2820</v>
      </c>
      <c r="W138" s="77">
        <v>12</v>
      </c>
      <c r="X138" s="77" t="s">
        <v>35</v>
      </c>
      <c r="Y138" s="77" t="s">
        <v>43</v>
      </c>
      <c r="Z138" s="77" t="s">
        <v>55</v>
      </c>
      <c r="AA138" s="77" t="s">
        <v>47</v>
      </c>
      <c r="AB138" s="77" t="s">
        <v>161</v>
      </c>
    </row>
    <row r="139" spans="1:28" x14ac:dyDescent="0.15">
      <c r="A139" s="77" t="s">
        <v>23</v>
      </c>
      <c r="B139" s="77" t="s">
        <v>160</v>
      </c>
      <c r="C139" s="77">
        <v>2020</v>
      </c>
      <c r="D139" s="150" t="s">
        <v>254</v>
      </c>
      <c r="E139" s="77" t="s">
        <v>283</v>
      </c>
      <c r="F139" s="77" t="s">
        <v>275</v>
      </c>
      <c r="G139" s="77" t="s">
        <v>25</v>
      </c>
      <c r="H139" s="77" t="s">
        <v>113</v>
      </c>
      <c r="I139" s="77" t="s">
        <v>111</v>
      </c>
      <c r="J139" s="77" t="s">
        <v>27</v>
      </c>
      <c r="K139" s="77" t="s">
        <v>112</v>
      </c>
      <c r="L139" s="77">
        <v>3</v>
      </c>
      <c r="N139" s="77">
        <v>1</v>
      </c>
      <c r="O139" s="77">
        <v>0.5</v>
      </c>
      <c r="P139" s="77">
        <v>0.55000000000000004</v>
      </c>
      <c r="Q139" s="16">
        <f t="shared" si="5"/>
        <v>0.52500000000000002</v>
      </c>
      <c r="R139" s="77">
        <v>16.2</v>
      </c>
      <c r="S139" s="77">
        <v>108.5</v>
      </c>
      <c r="T139" s="16">
        <f t="shared" si="6"/>
        <v>33</v>
      </c>
      <c r="U139" s="77">
        <v>94</v>
      </c>
      <c r="V139" s="16">
        <f t="shared" si="7"/>
        <v>3102</v>
      </c>
      <c r="W139" s="77">
        <v>12</v>
      </c>
      <c r="X139" s="77" t="s">
        <v>35</v>
      </c>
      <c r="Y139" s="77" t="s">
        <v>43</v>
      </c>
      <c r="Z139" s="77" t="s">
        <v>55</v>
      </c>
      <c r="AA139" s="77" t="s">
        <v>47</v>
      </c>
      <c r="AB139" s="77" t="s">
        <v>161</v>
      </c>
    </row>
    <row r="140" spans="1:28" x14ac:dyDescent="0.15">
      <c r="A140" s="77" t="s">
        <v>23</v>
      </c>
      <c r="B140" s="77" t="s">
        <v>160</v>
      </c>
      <c r="C140" s="77">
        <v>2020</v>
      </c>
      <c r="D140" s="150" t="s">
        <v>254</v>
      </c>
      <c r="E140" s="77" t="s">
        <v>283</v>
      </c>
      <c r="F140" s="77" t="s">
        <v>275</v>
      </c>
      <c r="G140" s="77" t="s">
        <v>25</v>
      </c>
      <c r="H140" s="77" t="s">
        <v>113</v>
      </c>
      <c r="I140" s="77" t="s">
        <v>111</v>
      </c>
      <c r="J140" s="77" t="s">
        <v>27</v>
      </c>
      <c r="K140" s="77" t="s">
        <v>112</v>
      </c>
      <c r="L140" s="77">
        <v>1</v>
      </c>
      <c r="N140" s="77">
        <v>4</v>
      </c>
      <c r="O140" s="77">
        <v>0.65</v>
      </c>
      <c r="P140" s="77">
        <v>0.65</v>
      </c>
      <c r="Q140" s="16">
        <f t="shared" si="5"/>
        <v>0.65</v>
      </c>
      <c r="R140" s="77">
        <v>15.4</v>
      </c>
      <c r="S140" s="77">
        <v>102.5</v>
      </c>
      <c r="T140" s="16">
        <f t="shared" si="6"/>
        <v>33</v>
      </c>
      <c r="U140" s="77">
        <v>368</v>
      </c>
      <c r="V140" s="16">
        <f t="shared" si="7"/>
        <v>3036</v>
      </c>
      <c r="W140" s="77">
        <v>12</v>
      </c>
      <c r="X140" s="77" t="s">
        <v>35</v>
      </c>
      <c r="Y140" s="77" t="s">
        <v>43</v>
      </c>
      <c r="Z140" s="77" t="s">
        <v>55</v>
      </c>
      <c r="AA140" s="77" t="s">
        <v>47</v>
      </c>
      <c r="AB140" s="77" t="s">
        <v>161</v>
      </c>
    </row>
    <row r="141" spans="1:28" x14ac:dyDescent="0.15">
      <c r="A141" s="77" t="s">
        <v>23</v>
      </c>
      <c r="B141" s="77" t="s">
        <v>160</v>
      </c>
      <c r="C141" s="77">
        <v>2020</v>
      </c>
      <c r="D141" s="150" t="s">
        <v>254</v>
      </c>
      <c r="E141" s="77" t="s">
        <v>283</v>
      </c>
      <c r="F141" s="77" t="s">
        <v>275</v>
      </c>
      <c r="G141" s="77" t="s">
        <v>25</v>
      </c>
      <c r="H141" s="77" t="s">
        <v>113</v>
      </c>
      <c r="I141" s="77" t="s">
        <v>111</v>
      </c>
      <c r="J141" s="77" t="s">
        <v>27</v>
      </c>
      <c r="K141" s="77" t="s">
        <v>112</v>
      </c>
      <c r="L141" s="77">
        <v>2</v>
      </c>
      <c r="N141" s="77">
        <v>4</v>
      </c>
      <c r="O141" s="77">
        <v>0.5</v>
      </c>
      <c r="P141" s="77">
        <v>0.65</v>
      </c>
      <c r="Q141" s="16">
        <f t="shared" si="5"/>
        <v>0.57499999999999996</v>
      </c>
      <c r="R141" s="77">
        <v>15</v>
      </c>
      <c r="S141" s="77">
        <v>106</v>
      </c>
      <c r="T141" s="16">
        <f t="shared" si="6"/>
        <v>33</v>
      </c>
      <c r="U141" s="77">
        <v>368</v>
      </c>
      <c r="V141" s="16">
        <f t="shared" si="7"/>
        <v>3036</v>
      </c>
      <c r="W141" s="77">
        <v>12</v>
      </c>
      <c r="X141" s="77" t="s">
        <v>35</v>
      </c>
      <c r="Y141" s="77" t="s">
        <v>43</v>
      </c>
      <c r="Z141" s="77" t="s">
        <v>55</v>
      </c>
      <c r="AA141" s="77" t="s">
        <v>47</v>
      </c>
      <c r="AB141" s="77" t="s">
        <v>161</v>
      </c>
    </row>
    <row r="142" spans="1:28" x14ac:dyDescent="0.15">
      <c r="A142" s="77" t="s">
        <v>23</v>
      </c>
      <c r="B142" s="77" t="s">
        <v>160</v>
      </c>
      <c r="C142" s="77">
        <v>2020</v>
      </c>
      <c r="D142" s="150" t="s">
        <v>254</v>
      </c>
      <c r="E142" s="77" t="s">
        <v>283</v>
      </c>
      <c r="F142" s="77" t="s">
        <v>275</v>
      </c>
      <c r="G142" s="77" t="s">
        <v>25</v>
      </c>
      <c r="H142" s="77" t="s">
        <v>113</v>
      </c>
      <c r="I142" s="77" t="s">
        <v>111</v>
      </c>
      <c r="J142" s="77" t="s">
        <v>27</v>
      </c>
      <c r="K142" s="77" t="s">
        <v>112</v>
      </c>
      <c r="L142" s="77">
        <v>3</v>
      </c>
      <c r="N142" s="77">
        <v>4</v>
      </c>
      <c r="O142" s="77">
        <v>0.2</v>
      </c>
      <c r="P142" s="77">
        <v>0.2</v>
      </c>
      <c r="Q142" s="16">
        <f t="shared" si="5"/>
        <v>0.2</v>
      </c>
      <c r="R142" s="77">
        <v>16.8</v>
      </c>
      <c r="S142" s="77">
        <v>108.5</v>
      </c>
      <c r="T142" s="16">
        <f t="shared" si="6"/>
        <v>33</v>
      </c>
      <c r="U142" s="77">
        <v>368</v>
      </c>
      <c r="V142" s="16">
        <f t="shared" si="7"/>
        <v>3036</v>
      </c>
      <c r="W142" s="77">
        <v>12</v>
      </c>
      <c r="X142" s="77" t="s">
        <v>35</v>
      </c>
      <c r="Y142" s="77" t="s">
        <v>43</v>
      </c>
      <c r="Z142" s="77" t="s">
        <v>55</v>
      </c>
      <c r="AA142" s="77" t="s">
        <v>47</v>
      </c>
      <c r="AB142" s="77" t="s">
        <v>161</v>
      </c>
    </row>
    <row r="143" spans="1:28" x14ac:dyDescent="0.15">
      <c r="A143" s="77" t="s">
        <v>23</v>
      </c>
      <c r="B143" s="77" t="s">
        <v>160</v>
      </c>
      <c r="C143" s="77">
        <v>2020</v>
      </c>
      <c r="D143" s="150" t="s">
        <v>254</v>
      </c>
      <c r="E143" s="77" t="s">
        <v>283</v>
      </c>
      <c r="F143" s="77" t="s">
        <v>275</v>
      </c>
      <c r="G143" s="77" t="s">
        <v>25</v>
      </c>
      <c r="H143" s="77" t="s">
        <v>113</v>
      </c>
      <c r="I143" s="77" t="s">
        <v>111</v>
      </c>
      <c r="J143" s="77" t="s">
        <v>27</v>
      </c>
      <c r="K143" s="77" t="s">
        <v>112</v>
      </c>
      <c r="L143" s="77">
        <v>1</v>
      </c>
      <c r="N143" s="77">
        <v>6</v>
      </c>
      <c r="O143" s="77">
        <v>0.2</v>
      </c>
      <c r="P143" s="77">
        <v>0.2</v>
      </c>
      <c r="Q143" s="16">
        <f t="shared" si="5"/>
        <v>0.2</v>
      </c>
      <c r="R143" s="77">
        <v>14.8</v>
      </c>
      <c r="S143" s="77">
        <v>112</v>
      </c>
      <c r="T143" s="16">
        <f t="shared" si="6"/>
        <v>33</v>
      </c>
      <c r="U143" s="77">
        <v>550</v>
      </c>
      <c r="V143" s="16">
        <f t="shared" si="7"/>
        <v>3025</v>
      </c>
      <c r="W143" s="77">
        <v>12</v>
      </c>
      <c r="X143" s="77" t="s">
        <v>35</v>
      </c>
      <c r="Y143" s="77" t="s">
        <v>43</v>
      </c>
      <c r="Z143" s="77" t="s">
        <v>55</v>
      </c>
      <c r="AA143" s="77" t="s">
        <v>47</v>
      </c>
      <c r="AB143" s="77" t="s">
        <v>161</v>
      </c>
    </row>
    <row r="144" spans="1:28" x14ac:dyDescent="0.15">
      <c r="A144" s="77" t="s">
        <v>23</v>
      </c>
      <c r="B144" s="77" t="s">
        <v>160</v>
      </c>
      <c r="C144" s="77">
        <v>2020</v>
      </c>
      <c r="D144" s="150" t="s">
        <v>254</v>
      </c>
      <c r="E144" s="77" t="s">
        <v>283</v>
      </c>
      <c r="F144" s="77" t="s">
        <v>275</v>
      </c>
      <c r="G144" s="77" t="s">
        <v>25</v>
      </c>
      <c r="H144" s="77" t="s">
        <v>113</v>
      </c>
      <c r="I144" s="77" t="s">
        <v>111</v>
      </c>
      <c r="J144" s="77" t="s">
        <v>27</v>
      </c>
      <c r="K144" s="77" t="s">
        <v>112</v>
      </c>
      <c r="L144" s="77">
        <v>2</v>
      </c>
      <c r="N144" s="77">
        <v>6</v>
      </c>
      <c r="O144" s="77">
        <v>0.2</v>
      </c>
      <c r="P144" s="77">
        <v>0.2</v>
      </c>
      <c r="Q144" s="16">
        <f t="shared" si="5"/>
        <v>0.2</v>
      </c>
      <c r="R144" s="77">
        <v>14.8</v>
      </c>
      <c r="S144" s="77">
        <v>113.5</v>
      </c>
      <c r="T144" s="16">
        <f t="shared" si="6"/>
        <v>30</v>
      </c>
      <c r="U144" s="77">
        <v>550</v>
      </c>
      <c r="V144" s="16">
        <f t="shared" si="7"/>
        <v>2750</v>
      </c>
      <c r="W144" s="77">
        <v>12</v>
      </c>
      <c r="X144" s="77" t="s">
        <v>35</v>
      </c>
      <c r="Y144" s="77" t="s">
        <v>43</v>
      </c>
      <c r="Z144" s="77" t="s">
        <v>55</v>
      </c>
      <c r="AA144" s="77" t="s">
        <v>47</v>
      </c>
      <c r="AB144" s="77" t="s">
        <v>161</v>
      </c>
    </row>
    <row r="145" spans="1:28" x14ac:dyDescent="0.15">
      <c r="A145" s="77" t="s">
        <v>23</v>
      </c>
      <c r="B145" s="77" t="s">
        <v>160</v>
      </c>
      <c r="C145" s="77">
        <v>2020</v>
      </c>
      <c r="D145" s="150" t="s">
        <v>254</v>
      </c>
      <c r="E145" s="77" t="s">
        <v>283</v>
      </c>
      <c r="F145" s="77" t="s">
        <v>275</v>
      </c>
      <c r="G145" s="77" t="s">
        <v>25</v>
      </c>
      <c r="H145" s="77" t="s">
        <v>113</v>
      </c>
      <c r="I145" s="77" t="s">
        <v>111</v>
      </c>
      <c r="J145" s="77" t="s">
        <v>27</v>
      </c>
      <c r="K145" s="77" t="s">
        <v>112</v>
      </c>
      <c r="L145" s="77">
        <v>3</v>
      </c>
      <c r="N145" s="77">
        <v>6</v>
      </c>
      <c r="O145" s="77">
        <v>0.55000000000000004</v>
      </c>
      <c r="P145" s="77">
        <v>0.2</v>
      </c>
      <c r="Q145" s="16">
        <f t="shared" si="5"/>
        <v>0.375</v>
      </c>
      <c r="R145" s="77">
        <v>16.600000000000001</v>
      </c>
      <c r="S145" s="77">
        <v>107.5</v>
      </c>
      <c r="T145" s="16">
        <f t="shared" si="6"/>
        <v>33</v>
      </c>
      <c r="U145" s="77">
        <v>550</v>
      </c>
      <c r="V145" s="16">
        <f t="shared" si="7"/>
        <v>3025</v>
      </c>
      <c r="W145" s="77">
        <v>12</v>
      </c>
      <c r="X145" s="77" t="s">
        <v>35</v>
      </c>
      <c r="Y145" s="77" t="s">
        <v>43</v>
      </c>
      <c r="Z145" s="77" t="s">
        <v>55</v>
      </c>
      <c r="AA145" s="77" t="s">
        <v>47</v>
      </c>
      <c r="AB145" s="77" t="s">
        <v>161</v>
      </c>
    </row>
    <row r="146" spans="1:28" x14ac:dyDescent="0.15">
      <c r="A146" s="77" t="s">
        <v>23</v>
      </c>
      <c r="B146" s="77" t="s">
        <v>160</v>
      </c>
      <c r="C146" s="77">
        <v>2020</v>
      </c>
      <c r="D146" s="150" t="s">
        <v>254</v>
      </c>
      <c r="E146" s="77" t="s">
        <v>283</v>
      </c>
      <c r="F146" s="77" t="s">
        <v>275</v>
      </c>
      <c r="G146" s="77" t="s">
        <v>25</v>
      </c>
      <c r="H146" s="77" t="s">
        <v>164</v>
      </c>
      <c r="I146" s="77" t="s">
        <v>111</v>
      </c>
      <c r="J146" s="77" t="s">
        <v>27</v>
      </c>
      <c r="K146" s="77" t="s">
        <v>112</v>
      </c>
      <c r="L146" s="77">
        <v>1</v>
      </c>
      <c r="N146" s="77">
        <v>1</v>
      </c>
      <c r="O146" s="77">
        <v>0.2</v>
      </c>
      <c r="P146" s="77">
        <v>0.5</v>
      </c>
      <c r="Q146" s="16">
        <f t="shared" si="5"/>
        <v>0.35</v>
      </c>
      <c r="R146" s="77">
        <v>16.399999999999999</v>
      </c>
      <c r="S146" s="77">
        <v>113</v>
      </c>
      <c r="T146" s="16">
        <f t="shared" si="6"/>
        <v>30</v>
      </c>
      <c r="U146" s="77">
        <v>94</v>
      </c>
      <c r="V146" s="16">
        <f t="shared" si="7"/>
        <v>2820</v>
      </c>
      <c r="W146" s="77">
        <v>12</v>
      </c>
      <c r="X146" s="77" t="s">
        <v>35</v>
      </c>
      <c r="Y146" s="77" t="s">
        <v>43</v>
      </c>
      <c r="Z146" s="77" t="s">
        <v>55</v>
      </c>
      <c r="AA146" s="77" t="s">
        <v>47</v>
      </c>
      <c r="AB146" s="77" t="s">
        <v>161</v>
      </c>
    </row>
    <row r="147" spans="1:28" x14ac:dyDescent="0.15">
      <c r="A147" s="77" t="s">
        <v>23</v>
      </c>
      <c r="B147" s="77" t="s">
        <v>160</v>
      </c>
      <c r="C147" s="77">
        <v>2020</v>
      </c>
      <c r="D147" s="150" t="s">
        <v>254</v>
      </c>
      <c r="E147" s="77" t="s">
        <v>283</v>
      </c>
      <c r="F147" s="77" t="s">
        <v>275</v>
      </c>
      <c r="G147" s="77" t="s">
        <v>25</v>
      </c>
      <c r="H147" s="77" t="s">
        <v>164</v>
      </c>
      <c r="I147" s="77" t="s">
        <v>111</v>
      </c>
      <c r="J147" s="77" t="s">
        <v>27</v>
      </c>
      <c r="K147" s="77" t="s">
        <v>112</v>
      </c>
      <c r="L147" s="77">
        <v>2</v>
      </c>
      <c r="N147" s="77">
        <v>1</v>
      </c>
      <c r="O147" s="77">
        <v>0.2</v>
      </c>
      <c r="P147" s="77">
        <v>0.2</v>
      </c>
      <c r="Q147" s="16">
        <f t="shared" si="5"/>
        <v>0.2</v>
      </c>
      <c r="R147" s="77">
        <v>16.100000000000001</v>
      </c>
      <c r="S147" s="77">
        <v>112.5</v>
      </c>
      <c r="T147" s="16">
        <f t="shared" si="6"/>
        <v>33</v>
      </c>
      <c r="U147" s="77">
        <v>94</v>
      </c>
      <c r="V147" s="16">
        <f t="shared" si="7"/>
        <v>3102</v>
      </c>
      <c r="W147" s="77">
        <v>12</v>
      </c>
      <c r="X147" s="77" t="s">
        <v>35</v>
      </c>
      <c r="Y147" s="77" t="s">
        <v>43</v>
      </c>
      <c r="Z147" s="77" t="s">
        <v>55</v>
      </c>
      <c r="AA147" s="77" t="s">
        <v>47</v>
      </c>
      <c r="AB147" s="77" t="s">
        <v>161</v>
      </c>
    </row>
    <row r="148" spans="1:28" x14ac:dyDescent="0.15">
      <c r="A148" s="77" t="s">
        <v>23</v>
      </c>
      <c r="B148" s="77" t="s">
        <v>160</v>
      </c>
      <c r="C148" s="77">
        <v>2020</v>
      </c>
      <c r="D148" s="150" t="s">
        <v>254</v>
      </c>
      <c r="E148" s="77" t="s">
        <v>283</v>
      </c>
      <c r="F148" s="77" t="s">
        <v>275</v>
      </c>
      <c r="G148" s="77" t="s">
        <v>25</v>
      </c>
      <c r="H148" s="77" t="s">
        <v>164</v>
      </c>
      <c r="I148" s="77" t="s">
        <v>111</v>
      </c>
      <c r="J148" s="77" t="s">
        <v>27</v>
      </c>
      <c r="K148" s="77" t="s">
        <v>112</v>
      </c>
      <c r="L148" s="77">
        <v>3</v>
      </c>
      <c r="N148" s="77">
        <v>1</v>
      </c>
      <c r="O148" s="77">
        <v>0.2</v>
      </c>
      <c r="P148" s="77">
        <v>0.2</v>
      </c>
      <c r="Q148" s="16">
        <f t="shared" si="5"/>
        <v>0.2</v>
      </c>
      <c r="R148" s="77">
        <v>16.399999999999999</v>
      </c>
      <c r="S148" s="77">
        <v>109.5</v>
      </c>
      <c r="T148" s="16">
        <f t="shared" si="6"/>
        <v>33</v>
      </c>
      <c r="U148" s="77">
        <v>94</v>
      </c>
      <c r="V148" s="16">
        <f t="shared" si="7"/>
        <v>3102</v>
      </c>
      <c r="W148" s="77">
        <v>12</v>
      </c>
      <c r="X148" s="77" t="s">
        <v>35</v>
      </c>
      <c r="Y148" s="77" t="s">
        <v>43</v>
      </c>
      <c r="Z148" s="77" t="s">
        <v>55</v>
      </c>
      <c r="AA148" s="77" t="s">
        <v>47</v>
      </c>
      <c r="AB148" s="77" t="s">
        <v>161</v>
      </c>
    </row>
    <row r="149" spans="1:28" x14ac:dyDescent="0.15">
      <c r="A149" s="77" t="s">
        <v>23</v>
      </c>
      <c r="B149" s="77" t="s">
        <v>160</v>
      </c>
      <c r="C149" s="77">
        <v>2020</v>
      </c>
      <c r="D149" s="150" t="s">
        <v>254</v>
      </c>
      <c r="E149" s="77" t="s">
        <v>283</v>
      </c>
      <c r="F149" s="77" t="s">
        <v>275</v>
      </c>
      <c r="G149" s="77" t="s">
        <v>25</v>
      </c>
      <c r="H149" s="77" t="s">
        <v>164</v>
      </c>
      <c r="I149" s="77" t="s">
        <v>111</v>
      </c>
      <c r="J149" s="77" t="s">
        <v>27</v>
      </c>
      <c r="K149" s="77" t="s">
        <v>112</v>
      </c>
      <c r="L149" s="77">
        <v>1</v>
      </c>
      <c r="N149" s="77">
        <v>4</v>
      </c>
      <c r="O149" s="77">
        <v>0.2</v>
      </c>
      <c r="P149" s="77">
        <v>0.2</v>
      </c>
      <c r="Q149" s="16">
        <f t="shared" si="5"/>
        <v>0.2</v>
      </c>
      <c r="R149" s="77">
        <v>15.9</v>
      </c>
      <c r="S149" s="77">
        <v>106.5</v>
      </c>
      <c r="T149" s="16">
        <f t="shared" si="6"/>
        <v>33</v>
      </c>
      <c r="U149" s="77">
        <v>368</v>
      </c>
      <c r="V149" s="16">
        <f t="shared" si="7"/>
        <v>3036</v>
      </c>
      <c r="W149" s="77">
        <v>12</v>
      </c>
      <c r="X149" s="77" t="s">
        <v>35</v>
      </c>
      <c r="Y149" s="77" t="s">
        <v>43</v>
      </c>
      <c r="Z149" s="77" t="s">
        <v>55</v>
      </c>
      <c r="AA149" s="77" t="s">
        <v>47</v>
      </c>
      <c r="AB149" s="77" t="s">
        <v>161</v>
      </c>
    </row>
    <row r="150" spans="1:28" x14ac:dyDescent="0.15">
      <c r="A150" s="77" t="s">
        <v>23</v>
      </c>
      <c r="B150" s="77" t="s">
        <v>160</v>
      </c>
      <c r="C150" s="77">
        <v>2020</v>
      </c>
      <c r="D150" s="150" t="s">
        <v>254</v>
      </c>
      <c r="E150" s="77" t="s">
        <v>283</v>
      </c>
      <c r="F150" s="77" t="s">
        <v>275</v>
      </c>
      <c r="G150" s="77" t="s">
        <v>25</v>
      </c>
      <c r="H150" s="77" t="s">
        <v>164</v>
      </c>
      <c r="I150" s="77" t="s">
        <v>111</v>
      </c>
      <c r="J150" s="77" t="s">
        <v>27</v>
      </c>
      <c r="K150" s="77" t="s">
        <v>112</v>
      </c>
      <c r="L150" s="77">
        <v>2</v>
      </c>
      <c r="N150" s="77">
        <v>4</v>
      </c>
      <c r="O150" s="77">
        <v>0.5</v>
      </c>
      <c r="P150" s="77">
        <v>0.5</v>
      </c>
      <c r="Q150" s="16">
        <f t="shared" si="5"/>
        <v>0.5</v>
      </c>
      <c r="R150" s="77">
        <v>15.6</v>
      </c>
      <c r="S150" s="77">
        <v>108</v>
      </c>
      <c r="T150" s="16">
        <f t="shared" si="6"/>
        <v>33</v>
      </c>
      <c r="U150" s="77">
        <v>368</v>
      </c>
      <c r="V150" s="16">
        <f t="shared" si="7"/>
        <v>3036</v>
      </c>
      <c r="W150" s="77">
        <v>12</v>
      </c>
      <c r="X150" s="77" t="s">
        <v>35</v>
      </c>
      <c r="Y150" s="77" t="s">
        <v>43</v>
      </c>
      <c r="Z150" s="77" t="s">
        <v>55</v>
      </c>
      <c r="AA150" s="77" t="s">
        <v>47</v>
      </c>
      <c r="AB150" s="77" t="s">
        <v>161</v>
      </c>
    </row>
    <row r="151" spans="1:28" x14ac:dyDescent="0.15">
      <c r="A151" s="77" t="s">
        <v>23</v>
      </c>
      <c r="B151" s="77" t="s">
        <v>160</v>
      </c>
      <c r="C151" s="77">
        <v>2020</v>
      </c>
      <c r="D151" s="150" t="s">
        <v>254</v>
      </c>
      <c r="E151" s="77" t="s">
        <v>283</v>
      </c>
      <c r="F151" s="77" t="s">
        <v>275</v>
      </c>
      <c r="G151" s="77" t="s">
        <v>25</v>
      </c>
      <c r="H151" s="77" t="s">
        <v>164</v>
      </c>
      <c r="I151" s="77" t="s">
        <v>111</v>
      </c>
      <c r="J151" s="77" t="s">
        <v>27</v>
      </c>
      <c r="K151" s="77" t="s">
        <v>112</v>
      </c>
      <c r="L151" s="77">
        <v>3</v>
      </c>
      <c r="N151" s="77">
        <v>4</v>
      </c>
      <c r="O151" s="77">
        <v>0.45</v>
      </c>
      <c r="P151" s="77">
        <v>0.45</v>
      </c>
      <c r="Q151" s="16">
        <f t="shared" si="5"/>
        <v>0.45</v>
      </c>
      <c r="R151" s="77">
        <v>16.8</v>
      </c>
      <c r="S151" s="77">
        <v>110</v>
      </c>
      <c r="T151" s="16">
        <f t="shared" si="6"/>
        <v>33</v>
      </c>
      <c r="U151" s="77">
        <v>368</v>
      </c>
      <c r="V151" s="16">
        <f t="shared" si="7"/>
        <v>3036</v>
      </c>
      <c r="W151" s="77">
        <v>12</v>
      </c>
      <c r="X151" s="77" t="s">
        <v>35</v>
      </c>
      <c r="Y151" s="77" t="s">
        <v>43</v>
      </c>
      <c r="Z151" s="77" t="s">
        <v>55</v>
      </c>
      <c r="AA151" s="77" t="s">
        <v>47</v>
      </c>
      <c r="AB151" s="77" t="s">
        <v>161</v>
      </c>
    </row>
    <row r="152" spans="1:28" x14ac:dyDescent="0.15">
      <c r="A152" s="77" t="s">
        <v>23</v>
      </c>
      <c r="B152" s="77" t="s">
        <v>160</v>
      </c>
      <c r="C152" s="77">
        <v>2020</v>
      </c>
      <c r="D152" s="150" t="s">
        <v>254</v>
      </c>
      <c r="E152" s="77" t="s">
        <v>283</v>
      </c>
      <c r="F152" s="77" t="s">
        <v>275</v>
      </c>
      <c r="G152" s="77" t="s">
        <v>25</v>
      </c>
      <c r="H152" s="77" t="s">
        <v>164</v>
      </c>
      <c r="I152" s="77" t="s">
        <v>111</v>
      </c>
      <c r="J152" s="77" t="s">
        <v>27</v>
      </c>
      <c r="K152" s="77" t="s">
        <v>112</v>
      </c>
      <c r="L152" s="77">
        <v>1</v>
      </c>
      <c r="N152" s="77">
        <v>6</v>
      </c>
      <c r="O152" s="77">
        <v>0.2</v>
      </c>
      <c r="P152" s="77">
        <v>0.2</v>
      </c>
      <c r="Q152" s="16">
        <f t="shared" si="5"/>
        <v>0.2</v>
      </c>
      <c r="R152" s="77">
        <v>17.5</v>
      </c>
      <c r="S152" s="77">
        <v>109</v>
      </c>
      <c r="T152" s="16">
        <f t="shared" si="6"/>
        <v>33</v>
      </c>
      <c r="U152" s="77">
        <v>550</v>
      </c>
      <c r="V152" s="16">
        <f t="shared" si="7"/>
        <v>3025</v>
      </c>
      <c r="W152" s="77">
        <v>12</v>
      </c>
      <c r="X152" s="77" t="s">
        <v>35</v>
      </c>
      <c r="Y152" s="77" t="s">
        <v>43</v>
      </c>
      <c r="Z152" s="77" t="s">
        <v>55</v>
      </c>
      <c r="AA152" s="77" t="s">
        <v>47</v>
      </c>
      <c r="AB152" s="77" t="s">
        <v>161</v>
      </c>
    </row>
    <row r="153" spans="1:28" x14ac:dyDescent="0.15">
      <c r="A153" s="77" t="s">
        <v>23</v>
      </c>
      <c r="B153" s="77" t="s">
        <v>160</v>
      </c>
      <c r="C153" s="77">
        <v>2020</v>
      </c>
      <c r="D153" s="150" t="s">
        <v>254</v>
      </c>
      <c r="E153" s="77" t="s">
        <v>283</v>
      </c>
      <c r="F153" s="77" t="s">
        <v>275</v>
      </c>
      <c r="G153" s="77" t="s">
        <v>25</v>
      </c>
      <c r="H153" s="77" t="s">
        <v>164</v>
      </c>
      <c r="I153" s="77" t="s">
        <v>111</v>
      </c>
      <c r="J153" s="77" t="s">
        <v>27</v>
      </c>
      <c r="K153" s="77" t="s">
        <v>112</v>
      </c>
      <c r="L153" s="77">
        <v>2</v>
      </c>
      <c r="N153" s="77">
        <v>6</v>
      </c>
      <c r="O153" s="77">
        <v>0.45</v>
      </c>
      <c r="P153" s="77">
        <v>0.2</v>
      </c>
      <c r="Q153" s="16">
        <f t="shared" si="5"/>
        <v>0.32500000000000001</v>
      </c>
      <c r="R153" s="77">
        <v>17.7</v>
      </c>
      <c r="S153" s="77">
        <v>114.5</v>
      </c>
      <c r="T153" s="16">
        <f t="shared" si="6"/>
        <v>30</v>
      </c>
      <c r="U153" s="77">
        <v>550</v>
      </c>
      <c r="V153" s="16">
        <f t="shared" si="7"/>
        <v>2750</v>
      </c>
      <c r="W153" s="77">
        <v>12</v>
      </c>
      <c r="X153" s="77" t="s">
        <v>35</v>
      </c>
      <c r="Y153" s="77" t="s">
        <v>43</v>
      </c>
      <c r="Z153" s="77" t="s">
        <v>55</v>
      </c>
      <c r="AA153" s="77" t="s">
        <v>47</v>
      </c>
      <c r="AB153" s="77" t="s">
        <v>161</v>
      </c>
    </row>
    <row r="154" spans="1:28" x14ac:dyDescent="0.15">
      <c r="A154" s="77" t="s">
        <v>23</v>
      </c>
      <c r="B154" s="77" t="s">
        <v>160</v>
      </c>
      <c r="C154" s="77">
        <v>2020</v>
      </c>
      <c r="D154" s="150" t="s">
        <v>254</v>
      </c>
      <c r="E154" s="77" t="s">
        <v>283</v>
      </c>
      <c r="F154" s="77" t="s">
        <v>275</v>
      </c>
      <c r="G154" s="77" t="s">
        <v>25</v>
      </c>
      <c r="H154" s="77" t="s">
        <v>164</v>
      </c>
      <c r="I154" s="77" t="s">
        <v>111</v>
      </c>
      <c r="J154" s="77" t="s">
        <v>27</v>
      </c>
      <c r="K154" s="77" t="s">
        <v>112</v>
      </c>
      <c r="L154" s="77">
        <v>3</v>
      </c>
      <c r="N154" s="77">
        <v>6</v>
      </c>
      <c r="O154" s="77">
        <v>0.5</v>
      </c>
      <c r="P154" s="77">
        <v>0.2</v>
      </c>
      <c r="Q154" s="16">
        <f t="shared" si="5"/>
        <v>0.35</v>
      </c>
      <c r="R154" s="77">
        <v>18.399999999999999</v>
      </c>
      <c r="S154" s="77">
        <v>113.5</v>
      </c>
      <c r="T154" s="16">
        <f t="shared" si="6"/>
        <v>30</v>
      </c>
      <c r="U154" s="77">
        <v>550</v>
      </c>
      <c r="V154" s="16">
        <f t="shared" si="7"/>
        <v>2750</v>
      </c>
      <c r="W154" s="77">
        <v>12</v>
      </c>
      <c r="X154" s="77" t="s">
        <v>35</v>
      </c>
      <c r="Y154" s="77" t="s">
        <v>43</v>
      </c>
      <c r="Z154" s="77" t="s">
        <v>55</v>
      </c>
      <c r="AA154" s="77" t="s">
        <v>47</v>
      </c>
      <c r="AB154" s="77" t="s">
        <v>161</v>
      </c>
    </row>
  </sheetData>
  <autoFilter ref="A1:BA154" xr:uid="{00000000-0009-0000-0000-000000000000}"/>
  <phoneticPr fontId="3"/>
  <dataValidations count="15">
    <dataValidation type="list" allowBlank="1" showInputMessage="1" showErrorMessage="1" sqref="K2:K1003" xr:uid="{9865A49C-2AFB-43B8-A537-8E406599EFB2}">
      <formula1>$AR$2:$AR$25</formula1>
    </dataValidation>
    <dataValidation type="list" allowBlank="1" showInputMessage="1" showErrorMessage="1" sqref="J2:J1003" xr:uid="{7137BD9A-F689-40B3-8232-31F5542E651B}">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91831195-228C-4E04-9381-658F2FD2B1A3}">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AD3C0C13-253C-4801-B14A-41E2449C6F19}">
      <formula1>$AR$2:$AR$33</formula1>
    </dataValidation>
    <dataValidation type="list" allowBlank="1" showInputMessage="1" showErrorMessage="1" sqref="H2:H7" xr:uid="{EE5DD9F8-3951-4F78-8534-8CF1A0064204}">
      <formula1>$AL$2:$AL$20</formula1>
    </dataValidation>
    <dataValidation type="list" allowBlank="1" showInputMessage="1" showErrorMessage="1" sqref="H8:H1096" xr:uid="{99D588F1-79F1-41A4-BD81-3D663498A44A}">
      <formula1>$AL$2:$AL$9</formula1>
    </dataValidation>
    <dataValidation type="list" allowBlank="1" showInputMessage="1" showErrorMessage="1" sqref="E2:E473" xr:uid="{0A15C85F-501A-4143-B2B1-C11A1F95B91C}">
      <formula1>$AG$2:$AG$11</formula1>
    </dataValidation>
    <dataValidation type="list" allowBlank="1" showInputMessage="1" showErrorMessage="1" sqref="F2:F473" xr:uid="{EB3ADF66-E9EA-4BD5-9E56-368E2A6C2308}">
      <formula1>$AH$2:$AH$11</formula1>
    </dataValidation>
    <dataValidation type="list" allowBlank="1" showInputMessage="1" showErrorMessage="1" sqref="I2:I473" xr:uid="{D0830B38-432F-45AC-B515-AAA8FBC3662B}">
      <formula1>$AN$5:$AN$6</formula1>
    </dataValidation>
    <dataValidation type="list" allowBlank="1" showInputMessage="1" showErrorMessage="1" sqref="G2:G473" xr:uid="{1492E350-7BCE-4367-B90F-A22EA6085BC8}">
      <formula1>$AJ$2:$AJ$4</formula1>
    </dataValidation>
    <dataValidation type="list" allowBlank="1" showInputMessage="1" showErrorMessage="1" sqref="X2:X473" xr:uid="{AE34489C-7F44-41F3-BB24-1E8CDD7991D0}">
      <formula1>$AT$2:$AT$3</formula1>
    </dataValidation>
    <dataValidation type="list" allowBlank="1" showInputMessage="1" showErrorMessage="1" sqref="Y2:AA473" xr:uid="{C3AC07CF-3B01-4D38-80C2-97F6C81FE933}">
      <formula1>$AV$2:$AV$21</formula1>
    </dataValidation>
    <dataValidation type="list" allowBlank="1" showInputMessage="1" showErrorMessage="1" sqref="A2:A472" xr:uid="{474B22C0-C42A-45FE-BCC1-4CB54E3ED6F1}">
      <formula1>$AE$2:$AE$19</formula1>
    </dataValidation>
    <dataValidation operator="equal" allowBlank="1" showInputMessage="1" showErrorMessage="1" sqref="B2:B154" xr:uid="{BA4BA7AF-DC51-4BCC-B8E0-EA56632D119D}"/>
    <dataValidation type="decimal" allowBlank="1" showInputMessage="1" showErrorMessage="1" error="硬度を正しく入力して下さい。" sqref="O62:P473 O2:P52" xr:uid="{977C11B5-6DE6-40C4-8A1F-EDFF33D5469C}">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E7983B34-D33F-4A1E-B4B6-ECBF7FA450B5}"/>
</file>

<file path=customXml/itemProps3.xml><?xml version="1.0" encoding="utf-8"?>
<ds:datastoreItem xmlns:ds="http://schemas.openxmlformats.org/officeDocument/2006/customXml" ds:itemID="{FEFE374F-9ED7-498F-9708-AA9C25DAACB5}"/>
</file>

<file path=customXml/itemProps4.xml><?xml version="1.0" encoding="utf-8"?>
<ds:datastoreItem xmlns:ds="http://schemas.openxmlformats.org/officeDocument/2006/customXml" ds:itemID="{3B063AA4-5A24-4FA4-8F0F-4627FADD26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2020-06-03T04:32:14Z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