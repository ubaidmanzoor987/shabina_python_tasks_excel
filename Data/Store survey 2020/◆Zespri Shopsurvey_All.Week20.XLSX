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730"/>
  <workbookPr defaultThemeVersion="124226"/>
  <mc:AlternateContent xmlns:mc="http://schemas.openxmlformats.org/markup-compatibility/2006">
    <mc:Choice Requires="x15">
      <x15ac:absPath xmlns:x15ac="http://schemas.microsoft.com/office/spreadsheetml/2010/11/ac" url="\\192.168.11.200\000_全国共有\2-Zespri\品質調査\2020品質調査\20週\"/>
    </mc:Choice>
  </mc:AlternateContent>
  <xr:revisionPtr revIDLastSave="0" documentId="13_ncr:1_{078AFE45-DA57-4E5A-9920-8AD1DC9BE0F8}" xr6:coauthVersionLast="45" xr6:coauthVersionMax="45" xr10:uidLastSave="{00000000-0000-0000-0000-000000000000}"/>
  <bookViews>
    <workbookView xWindow="-120" yWindow="-120" windowWidth="29040" windowHeight="15840" xr2:uid="{00000000-000D-0000-FFFF-FFFF00000000}"/>
  </bookViews>
  <sheets>
    <sheet name="sapporo" sheetId="24" r:id="rId1"/>
    <sheet name="miyagi" sheetId="25" r:id="rId2"/>
    <sheet name="nagoya" sheetId="30" r:id="rId3"/>
    <sheet name="osaka" sheetId="26" r:id="rId4"/>
    <sheet name="hiroshima" sheetId="27" r:id="rId5"/>
    <sheet name="fukuoka" sheetId="28" r:id="rId6"/>
    <sheet name="tokyo-west(ota)" sheetId="23" r:id="rId7"/>
    <sheet name="tokyo-east(konishi)" sheetId="29" r:id="rId8"/>
  </sheets>
  <externalReferences>
    <externalReference r:id="rId9"/>
  </externalReferences>
  <definedNames>
    <definedName name="_xlnm._FilterDatabase" localSheetId="5" hidden="1">fukuoka!$A$1:$BA$152</definedName>
    <definedName name="_xlnm._FilterDatabase" localSheetId="4" hidden="1">hiroshima!$A$1:$BA$269</definedName>
    <definedName name="_xlnm._FilterDatabase" localSheetId="1" hidden="1">miyagi!$A$1:$BA$151</definedName>
    <definedName name="_xlnm._FilterDatabase" localSheetId="2" hidden="1">nagoya!$A$1:$BA$127</definedName>
    <definedName name="_xlnm._FilterDatabase" localSheetId="3" hidden="1">osaka!$A$1:$BA$169</definedName>
    <definedName name="_xlnm._FilterDatabase" localSheetId="0" hidden="1">sapporo!$A$1:$BA$154</definedName>
    <definedName name="_xlnm._FilterDatabase" localSheetId="7" hidden="1">'tokyo-east(konishi)'!$A$1:$BA$139</definedName>
    <definedName name="_xlnm._FilterDatabase" localSheetId="6" hidden="1">'tokyo-west(ota)'!$A$1:$BA$133</definedName>
    <definedName name="aaa" localSheetId="5">#REF!</definedName>
    <definedName name="aaa" localSheetId="4">#REF!</definedName>
    <definedName name="aaa" localSheetId="1">#REF!</definedName>
    <definedName name="aaa" localSheetId="2">#REF!</definedName>
    <definedName name="aaa" localSheetId="3">#REF!</definedName>
    <definedName name="aaa" localSheetId="0">#REF!</definedName>
    <definedName name="aaa" localSheetId="7">#REF!</definedName>
    <definedName name="aaa" localSheetId="6">#REF!</definedName>
    <definedName name="aaa">#REF!</definedName>
    <definedName name="Brand" localSheetId="5">#REF!</definedName>
    <definedName name="Brand" localSheetId="4">#REF!</definedName>
    <definedName name="Brand" localSheetId="1">#REF!</definedName>
    <definedName name="Brand" localSheetId="2">#REF!</definedName>
    <definedName name="Brand" localSheetId="3">#REF!</definedName>
    <definedName name="Brand" localSheetId="0">#REF!</definedName>
    <definedName name="Brand" localSheetId="7">#REF!</definedName>
    <definedName name="Brand" localSheetId="6">#REF!</definedName>
    <definedName name="Brand">#REF!</definedName>
    <definedName name="District" localSheetId="5">#REF!</definedName>
    <definedName name="District" localSheetId="4">#REF!</definedName>
    <definedName name="District" localSheetId="1">#REF!</definedName>
    <definedName name="District" localSheetId="2">#REF!</definedName>
    <definedName name="District" localSheetId="3">#REF!</definedName>
    <definedName name="District" localSheetId="0">#REF!</definedName>
    <definedName name="District" localSheetId="7">#REF!</definedName>
    <definedName name="District" localSheetId="6">#REF!</definedName>
    <definedName name="District">#REF!</definedName>
    <definedName name="Fruit" localSheetId="5">#REF!</definedName>
    <definedName name="Fruit" localSheetId="4">#REF!</definedName>
    <definedName name="Fruit" localSheetId="1">#REF!</definedName>
    <definedName name="Fruit" localSheetId="2">#REF!</definedName>
    <definedName name="Fruit" localSheetId="0">#REF!</definedName>
    <definedName name="Fruit" localSheetId="7">#REF!</definedName>
    <definedName name="Fruit" localSheetId="6">#REF!</definedName>
    <definedName name="Fruit">#REF!</definedName>
    <definedName name="GoldSIZE" localSheetId="5">#REF!</definedName>
    <definedName name="GoldSIZE" localSheetId="4">#REF!</definedName>
    <definedName name="GoldSIZE" localSheetId="1">#REF!</definedName>
    <definedName name="GoldSIZE" localSheetId="2">#REF!</definedName>
    <definedName name="GoldSIZE" localSheetId="0">#REF!</definedName>
    <definedName name="GoldSIZE" localSheetId="7">#REF!</definedName>
    <definedName name="GoldSIZE" localSheetId="6">#REF!</definedName>
    <definedName name="GoldSIZE">#REF!</definedName>
    <definedName name="GreenSIZE" localSheetId="5">#REF!</definedName>
    <definedName name="GreenSIZE" localSheetId="4">#REF!</definedName>
    <definedName name="GreenSIZE" localSheetId="1">#REF!</definedName>
    <definedName name="GreenSIZE" localSheetId="2">#REF!</definedName>
    <definedName name="GreenSIZE" localSheetId="0">#REF!</definedName>
    <definedName name="GreenSIZE" localSheetId="7">#REF!</definedName>
    <definedName name="GreenSIZE" localSheetId="6">#REF!</definedName>
    <definedName name="GreenSIZE">#REF!</definedName>
    <definedName name="GrowingMethod" localSheetId="5">#REF!</definedName>
    <definedName name="GrowingMethod" localSheetId="4">#REF!</definedName>
    <definedName name="GrowingMethod" localSheetId="1">#REF!</definedName>
    <definedName name="GrowingMethod" localSheetId="2">#REF!</definedName>
    <definedName name="GrowingMethod" localSheetId="0">#REF!</definedName>
    <definedName name="GrowingMethod" localSheetId="7">#REF!</definedName>
    <definedName name="GrowingMethod" localSheetId="6">#REF!</definedName>
    <definedName name="GrowingMethod">#REF!</definedName>
    <definedName name="hiroshima" localSheetId="5">#REF!</definedName>
    <definedName name="hiroshima" localSheetId="4">#REF!</definedName>
    <definedName name="hiroshima" localSheetId="1">#REF!</definedName>
    <definedName name="hiroshima" localSheetId="2">#REF!</definedName>
    <definedName name="hiroshima" localSheetId="0">#REF!</definedName>
    <definedName name="hiroshima" localSheetId="7">#REF!</definedName>
    <definedName name="hiroshima">#REF!</definedName>
    <definedName name="kk" localSheetId="5">#REF!</definedName>
    <definedName name="kk" localSheetId="4">#REF!</definedName>
    <definedName name="kk" localSheetId="1">#REF!</definedName>
    <definedName name="kk" localSheetId="2">#REF!</definedName>
    <definedName name="kk" localSheetId="0">#REF!</definedName>
    <definedName name="kk" localSheetId="7">#REF!</definedName>
    <definedName name="kk" localSheetId="6">#REF!</definedName>
    <definedName name="kk">#REF!</definedName>
    <definedName name="ｌｌｌｌｌ" localSheetId="5">#REF!</definedName>
    <definedName name="ｌｌｌｌｌ" localSheetId="4">#REF!</definedName>
    <definedName name="ｌｌｌｌｌ" localSheetId="1">#REF!</definedName>
    <definedName name="ｌｌｌｌｌ" localSheetId="2">#REF!</definedName>
    <definedName name="ｌｌｌｌｌ" localSheetId="0">#REF!</definedName>
    <definedName name="ｌｌｌｌｌ" localSheetId="7">#REF!</definedName>
    <definedName name="ｌｌｌｌｌ">#REF!</definedName>
    <definedName name="miyagi" localSheetId="5">#REF!</definedName>
    <definedName name="miyagi" localSheetId="4">#REF!</definedName>
    <definedName name="miyagi" localSheetId="1">#REF!</definedName>
    <definedName name="miyagi" localSheetId="2">#REF!</definedName>
    <definedName name="miyagi" localSheetId="0">#REF!</definedName>
    <definedName name="miyagi" localSheetId="7">#REF!</definedName>
    <definedName name="miyagi">#REF!</definedName>
    <definedName name="miyagi2" localSheetId="5">#REF!</definedName>
    <definedName name="miyagi2" localSheetId="4">#REF!</definedName>
    <definedName name="miyagi2" localSheetId="1">#REF!</definedName>
    <definedName name="miyagi2" localSheetId="2">#REF!</definedName>
    <definedName name="miyagi2" localSheetId="0">#REF!</definedName>
    <definedName name="miyagi2" localSheetId="7">#REF!</definedName>
    <definedName name="miyagi2">#REF!</definedName>
    <definedName name="Origin" localSheetId="5">#REF!</definedName>
    <definedName name="Origin" localSheetId="4">#REF!</definedName>
    <definedName name="Origin" localSheetId="1">#REF!</definedName>
    <definedName name="Origin" localSheetId="2">#REF!</definedName>
    <definedName name="Origin" localSheetId="0">#REF!</definedName>
    <definedName name="Origin" localSheetId="7">#REF!</definedName>
    <definedName name="Origin" localSheetId="6">#REF!</definedName>
    <definedName name="Origin">#REF!</definedName>
    <definedName name="_xlnm.Print_Area" localSheetId="4">hiroshima!$E$1:$S$78</definedName>
    <definedName name="_xlnm.Print_Area" localSheetId="6">'tokyo-west(ota)'!$A$1:$AH$49</definedName>
    <definedName name="Shelf" localSheetId="5">#REF!</definedName>
    <definedName name="Shelf" localSheetId="4">#REF!</definedName>
    <definedName name="Shelf" localSheetId="1">#REF!</definedName>
    <definedName name="Shelf" localSheetId="2">#REF!</definedName>
    <definedName name="Shelf" localSheetId="3">#REF!</definedName>
    <definedName name="Shelf" localSheetId="0">#REF!</definedName>
    <definedName name="Shelf" localSheetId="7">#REF!</definedName>
    <definedName name="Shelf" localSheetId="6">#REF!</definedName>
    <definedName name="Shelf">#REF!</definedName>
    <definedName name="Shop" localSheetId="5">#REF!</definedName>
    <definedName name="Shop" localSheetId="4">#REF!</definedName>
    <definedName name="Shop" localSheetId="1">#REF!</definedName>
    <definedName name="Shop" localSheetId="2">#REF!</definedName>
    <definedName name="Shop" localSheetId="0">#REF!</definedName>
    <definedName name="Shop" localSheetId="7">#REF!</definedName>
    <definedName name="Shop" localSheetId="6">#REF!</definedName>
    <definedName name="Shop">#REF!</definedName>
    <definedName name="ShopName1" localSheetId="5">#REF!</definedName>
    <definedName name="ShopName1" localSheetId="4">#REF!</definedName>
    <definedName name="ShopName1" localSheetId="1">#REF!</definedName>
    <definedName name="ShopName1" localSheetId="2">#REF!</definedName>
    <definedName name="ShopName1" localSheetId="0">#REF!</definedName>
    <definedName name="ShopName1" localSheetId="7">#REF!</definedName>
    <definedName name="ShopName1" localSheetId="6">#REF!</definedName>
    <definedName name="ShopName1">#REF!</definedName>
    <definedName name="ShopName2" localSheetId="5">#REF!</definedName>
    <definedName name="ShopName2" localSheetId="4">#REF!</definedName>
    <definedName name="ShopName2" localSheetId="1">#REF!</definedName>
    <definedName name="ShopName2" localSheetId="2">#REF!</definedName>
    <definedName name="ShopName2" localSheetId="0">#REF!</definedName>
    <definedName name="ShopName2" localSheetId="7">#REF!</definedName>
    <definedName name="ShopName2" localSheetId="6">#REF!</definedName>
    <definedName name="ShopName2">#REF!</definedName>
    <definedName name="Variety" localSheetId="5">#REF!</definedName>
    <definedName name="Variety" localSheetId="4">#REF!</definedName>
    <definedName name="Variety" localSheetId="1">#REF!</definedName>
    <definedName name="Variety" localSheetId="2">#REF!</definedName>
    <definedName name="Variety" localSheetId="0">#REF!</definedName>
    <definedName name="Variety" localSheetId="7">#REF!</definedName>
    <definedName name="Variety" localSheetId="6">#REF!</definedName>
    <definedName name="Variety">#REF!</definedName>
    <definedName name="yaginuma" localSheetId="5">#REF!</definedName>
    <definedName name="yaginuma" localSheetId="4">#REF!</definedName>
    <definedName name="yaginuma" localSheetId="1">#REF!</definedName>
    <definedName name="yaginuma" localSheetId="2">#REF!</definedName>
    <definedName name="yaginuma" localSheetId="0">#REF!</definedName>
    <definedName name="yaginuma" localSheetId="7">#REF!</definedName>
    <definedName name="yaginuma">#REF!</definedName>
    <definedName name="検索店舗名" localSheetId="5">#REF!</definedName>
    <definedName name="検索店舗名" localSheetId="4">#REF!</definedName>
    <definedName name="検索店舗名" localSheetId="1">#REF!</definedName>
    <definedName name="検索店舗名" localSheetId="2">#REF!</definedName>
    <definedName name="検索店舗名" localSheetId="0">#REF!</definedName>
    <definedName name="検索店舗名" localSheetId="7">#REF!</definedName>
    <definedName name="検索店舗名" localSheetId="6">#REF!</definedName>
    <definedName name="検索店舗名">#REF!</definedName>
    <definedName name="栽培方法" localSheetId="2">nagoya!$AN$1:$AN$6</definedName>
    <definedName name="栽培方法" localSheetId="7">#REF!</definedName>
    <definedName name="栽培方法">#REF!</definedName>
    <definedName name="販売ユニット個数" localSheetId="5">#REF!</definedName>
    <definedName name="販売ユニット個数" localSheetId="4">#REF!</definedName>
    <definedName name="販売ユニット個数" localSheetId="1">#REF!</definedName>
    <definedName name="販売ユニット個数" localSheetId="2">#REF!</definedName>
    <definedName name="販売ユニット個数" localSheetId="0">#REF!</definedName>
    <definedName name="販売ユニット個数" localSheetId="7">#REF!</definedName>
    <definedName name="販売ユニット個数" localSheetId="6">#REF!</definedName>
    <definedName name="販売ユニット個数">#REF!</definedName>
  </definedNames>
  <calcPr calcId="18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T11" i="28" l="1"/>
  <c r="T118" i="30" l="1"/>
  <c r="V118" i="30" s="1"/>
  <c r="Q118" i="30"/>
  <c r="T117" i="30"/>
  <c r="V117" i="30" s="1"/>
  <c r="Q117" i="30"/>
  <c r="T116" i="30"/>
  <c r="V116" i="30" s="1"/>
  <c r="Q116" i="30"/>
  <c r="T115" i="30"/>
  <c r="V115" i="30" s="1"/>
  <c r="Q115" i="30"/>
  <c r="T114" i="30"/>
  <c r="V114" i="30" s="1"/>
  <c r="Q114" i="30"/>
  <c r="T113" i="30"/>
  <c r="V113" i="30" s="1"/>
  <c r="Q113" i="30"/>
  <c r="T112" i="30"/>
  <c r="V112" i="30" s="1"/>
  <c r="Q112" i="30"/>
  <c r="T111" i="30"/>
  <c r="V111" i="30" s="1"/>
  <c r="Q111" i="30"/>
  <c r="T110" i="30"/>
  <c r="V110" i="30" s="1"/>
  <c r="Q110" i="30"/>
  <c r="T109" i="30"/>
  <c r="V109" i="30" s="1"/>
  <c r="Q109" i="30"/>
  <c r="T108" i="30"/>
  <c r="V108" i="30" s="1"/>
  <c r="Q108" i="30"/>
  <c r="T107" i="30"/>
  <c r="V107" i="30" s="1"/>
  <c r="Q107" i="30"/>
  <c r="T106" i="30"/>
  <c r="V106" i="30" s="1"/>
  <c r="Q106" i="30"/>
  <c r="T105" i="30"/>
  <c r="V105" i="30" s="1"/>
  <c r="Q105" i="30"/>
  <c r="T104" i="30"/>
  <c r="V104" i="30" s="1"/>
  <c r="Q104" i="30"/>
  <c r="T103" i="30"/>
  <c r="V103" i="30" s="1"/>
  <c r="Q103" i="30"/>
  <c r="T102" i="30"/>
  <c r="V102" i="30" s="1"/>
  <c r="Q102" i="30"/>
  <c r="T101" i="30"/>
  <c r="V101" i="30" s="1"/>
  <c r="Q101" i="30"/>
  <c r="T100" i="30"/>
  <c r="V100" i="30" s="1"/>
  <c r="Q100" i="30"/>
  <c r="T99" i="30"/>
  <c r="V99" i="30" s="1"/>
  <c r="Q99" i="30"/>
  <c r="T98" i="30"/>
  <c r="V98" i="30" s="1"/>
  <c r="Q98" i="30"/>
  <c r="T97" i="30"/>
  <c r="V97" i="30" s="1"/>
  <c r="Q97" i="30"/>
  <c r="T96" i="30"/>
  <c r="V96" i="30" s="1"/>
  <c r="Q96" i="30"/>
  <c r="T95" i="30"/>
  <c r="V95" i="30" s="1"/>
  <c r="Q95" i="30"/>
  <c r="T94" i="30"/>
  <c r="V94" i="30" s="1"/>
  <c r="Q94" i="30"/>
  <c r="T93" i="30"/>
  <c r="V93" i="30" s="1"/>
  <c r="Q93" i="30"/>
  <c r="T92" i="30"/>
  <c r="V92" i="30" s="1"/>
  <c r="Q92" i="30"/>
  <c r="T91" i="30"/>
  <c r="V91" i="30" s="1"/>
  <c r="Q91" i="30"/>
  <c r="T90" i="30"/>
  <c r="V90" i="30" s="1"/>
  <c r="Q90" i="30"/>
  <c r="T89" i="30"/>
  <c r="V89" i="30" s="1"/>
  <c r="Q89" i="30"/>
  <c r="T88" i="30"/>
  <c r="V88" i="30" s="1"/>
  <c r="Q88" i="30"/>
  <c r="T87" i="30"/>
  <c r="V87" i="30" s="1"/>
  <c r="Q87" i="30"/>
  <c r="T86" i="30"/>
  <c r="V86" i="30" s="1"/>
  <c r="Q86" i="30"/>
  <c r="T85" i="30"/>
  <c r="V85" i="30" s="1"/>
  <c r="Q85" i="30"/>
  <c r="T84" i="30"/>
  <c r="V84" i="30" s="1"/>
  <c r="Q84" i="30"/>
  <c r="T83" i="30"/>
  <c r="V83" i="30" s="1"/>
  <c r="Q83" i="30"/>
  <c r="T82" i="30"/>
  <c r="V82" i="30" s="1"/>
  <c r="Q82" i="30"/>
  <c r="T81" i="30"/>
  <c r="V81" i="30" s="1"/>
  <c r="Q81" i="30"/>
  <c r="T80" i="30"/>
  <c r="V80" i="30" s="1"/>
  <c r="Q80" i="30"/>
  <c r="T79" i="30"/>
  <c r="V79" i="30" s="1"/>
  <c r="Q79" i="30"/>
  <c r="T78" i="30"/>
  <c r="V78" i="30" s="1"/>
  <c r="Q78" i="30"/>
  <c r="T77" i="30"/>
  <c r="V77" i="30" s="1"/>
  <c r="Q77" i="30"/>
  <c r="T76" i="30"/>
  <c r="V76" i="30" s="1"/>
  <c r="Q76" i="30"/>
  <c r="T75" i="30"/>
  <c r="V75" i="30" s="1"/>
  <c r="Q75" i="30"/>
  <c r="T74" i="30"/>
  <c r="V74" i="30" s="1"/>
  <c r="Q74" i="30"/>
  <c r="T73" i="30"/>
  <c r="V73" i="30" s="1"/>
  <c r="Q73" i="30"/>
  <c r="T72" i="30"/>
  <c r="V72" i="30" s="1"/>
  <c r="Q72" i="30"/>
  <c r="T71" i="30"/>
  <c r="V71" i="30" s="1"/>
  <c r="Q71" i="30"/>
  <c r="T70" i="30"/>
  <c r="V70" i="30" s="1"/>
  <c r="Q70" i="30"/>
  <c r="T69" i="30"/>
  <c r="V69" i="30" s="1"/>
  <c r="Q69" i="30"/>
  <c r="T68" i="30"/>
  <c r="V68" i="30" s="1"/>
  <c r="Q68" i="30"/>
  <c r="T67" i="30"/>
  <c r="V67" i="30" s="1"/>
  <c r="Q67" i="30"/>
  <c r="T66" i="30"/>
  <c r="V66" i="30" s="1"/>
  <c r="Q66" i="30"/>
  <c r="T65" i="30"/>
  <c r="V65" i="30" s="1"/>
  <c r="Q65" i="30"/>
  <c r="T64" i="30"/>
  <c r="V64" i="30" s="1"/>
  <c r="Q64" i="30"/>
  <c r="T63" i="30"/>
  <c r="V63" i="30" s="1"/>
  <c r="Q63" i="30"/>
  <c r="T62" i="30"/>
  <c r="V62" i="30" s="1"/>
  <c r="Q62" i="30"/>
  <c r="T61" i="30"/>
  <c r="V61" i="30" s="1"/>
  <c r="Q61" i="30"/>
  <c r="T60" i="30"/>
  <c r="V60" i="30" s="1"/>
  <c r="Q60" i="30"/>
  <c r="T59" i="30"/>
  <c r="V59" i="30" s="1"/>
  <c r="Q59" i="30"/>
  <c r="T58" i="30"/>
  <c r="V58" i="30" s="1"/>
  <c r="Q58" i="30"/>
  <c r="T57" i="30"/>
  <c r="V57" i="30" s="1"/>
  <c r="Q57" i="30"/>
  <c r="T56" i="30"/>
  <c r="V56" i="30" s="1"/>
  <c r="Q56" i="30"/>
  <c r="T55" i="30"/>
  <c r="V55" i="30" s="1"/>
  <c r="Q55" i="30"/>
  <c r="T54" i="30"/>
  <c r="V54" i="30" s="1"/>
  <c r="Q54" i="30"/>
  <c r="T53" i="30"/>
  <c r="V53" i="30" s="1"/>
  <c r="Q53" i="30"/>
  <c r="T52" i="30"/>
  <c r="V52" i="30" s="1"/>
  <c r="Q52" i="30"/>
  <c r="T51" i="30"/>
  <c r="V51" i="30" s="1"/>
  <c r="Q51" i="30"/>
  <c r="T50" i="30"/>
  <c r="V50" i="30" s="1"/>
  <c r="Q50" i="30"/>
  <c r="T49" i="30"/>
  <c r="V49" i="30" s="1"/>
  <c r="Q49" i="30"/>
  <c r="T48" i="30"/>
  <c r="V48" i="30" s="1"/>
  <c r="Q48" i="30"/>
  <c r="T47" i="30"/>
  <c r="V47" i="30" s="1"/>
  <c r="Q47" i="30"/>
  <c r="T46" i="30"/>
  <c r="V46" i="30" s="1"/>
  <c r="Q46" i="30"/>
  <c r="T45" i="30"/>
  <c r="V45" i="30" s="1"/>
  <c r="Q45" i="30"/>
  <c r="T44" i="30"/>
  <c r="V44" i="30" s="1"/>
  <c r="Q44" i="30"/>
  <c r="T43" i="30"/>
  <c r="V43" i="30" s="1"/>
  <c r="Q43" i="30"/>
  <c r="T42" i="30"/>
  <c r="V42" i="30" s="1"/>
  <c r="Q42" i="30"/>
  <c r="T41" i="30"/>
  <c r="V41" i="30" s="1"/>
  <c r="Q41" i="30"/>
  <c r="T40" i="30"/>
  <c r="V40" i="30" s="1"/>
  <c r="Q40" i="30"/>
  <c r="T39" i="30"/>
  <c r="V39" i="30" s="1"/>
  <c r="Q39" i="30"/>
  <c r="T38" i="30"/>
  <c r="V38" i="30" s="1"/>
  <c r="Q38" i="30"/>
  <c r="T37" i="30"/>
  <c r="V37" i="30" s="1"/>
  <c r="Q37" i="30"/>
  <c r="T36" i="30"/>
  <c r="V36" i="30" s="1"/>
  <c r="Q36" i="30"/>
  <c r="T35" i="30"/>
  <c r="V35" i="30" s="1"/>
  <c r="Q35" i="30"/>
  <c r="T34" i="30"/>
  <c r="V34" i="30" s="1"/>
  <c r="Q34" i="30"/>
  <c r="T33" i="30"/>
  <c r="V33" i="30" s="1"/>
  <c r="Q33" i="30"/>
  <c r="T32" i="30"/>
  <c r="V32" i="30" s="1"/>
  <c r="Q32" i="30"/>
  <c r="T31" i="30"/>
  <c r="V31" i="30" s="1"/>
  <c r="Q31" i="30"/>
  <c r="T30" i="30"/>
  <c r="V30" i="30" s="1"/>
  <c r="Q30" i="30"/>
  <c r="T29" i="30"/>
  <c r="V29" i="30" s="1"/>
  <c r="Q29" i="30"/>
  <c r="T28" i="30"/>
  <c r="V28" i="30" s="1"/>
  <c r="Q28" i="30"/>
  <c r="T27" i="30"/>
  <c r="V27" i="30" s="1"/>
  <c r="Q27" i="30"/>
  <c r="T26" i="30"/>
  <c r="V26" i="30" s="1"/>
  <c r="Q26" i="30"/>
  <c r="T25" i="30"/>
  <c r="V25" i="30" s="1"/>
  <c r="Q25" i="30"/>
  <c r="T24" i="30"/>
  <c r="V24" i="30" s="1"/>
  <c r="Q24" i="30"/>
  <c r="T23" i="30"/>
  <c r="V23" i="30" s="1"/>
  <c r="Q23" i="30"/>
  <c r="T22" i="30"/>
  <c r="V22" i="30" s="1"/>
  <c r="Q22" i="30"/>
  <c r="T21" i="30"/>
  <c r="V21" i="30" s="1"/>
  <c r="Q21" i="30"/>
  <c r="T20" i="30"/>
  <c r="V20" i="30" s="1"/>
  <c r="Q20" i="30"/>
  <c r="T19" i="30"/>
  <c r="V19" i="30" s="1"/>
  <c r="Q19" i="30"/>
  <c r="T18" i="30"/>
  <c r="V18" i="30" s="1"/>
  <c r="Q18" i="30"/>
  <c r="T17" i="30"/>
  <c r="V17" i="30" s="1"/>
  <c r="Q17" i="30"/>
  <c r="T16" i="30"/>
  <c r="V16" i="30" s="1"/>
  <c r="Q16" i="30"/>
  <c r="T15" i="30"/>
  <c r="V15" i="30" s="1"/>
  <c r="Q15" i="30"/>
  <c r="T14" i="30"/>
  <c r="V14" i="30" s="1"/>
  <c r="Q14" i="30"/>
  <c r="T13" i="30"/>
  <c r="V13" i="30" s="1"/>
  <c r="Q13" i="30"/>
  <c r="T12" i="30"/>
  <c r="V12" i="30" s="1"/>
  <c r="Q12" i="30"/>
  <c r="T11" i="30"/>
  <c r="V11" i="30" s="1"/>
  <c r="Q11" i="30"/>
  <c r="T10" i="30"/>
  <c r="V10" i="30" s="1"/>
  <c r="Q10" i="30"/>
  <c r="T9" i="30"/>
  <c r="V9" i="30" s="1"/>
  <c r="Q9" i="30"/>
  <c r="T8" i="30"/>
  <c r="V8" i="30" s="1"/>
  <c r="Q8" i="30"/>
  <c r="T7" i="30"/>
  <c r="V7" i="30" s="1"/>
  <c r="Q7" i="30"/>
  <c r="T6" i="30"/>
  <c r="V6" i="30" s="1"/>
  <c r="Q6" i="30"/>
  <c r="T5" i="30"/>
  <c r="V5" i="30" s="1"/>
  <c r="Q5" i="30"/>
  <c r="T4" i="30"/>
  <c r="V4" i="30" s="1"/>
  <c r="Q4" i="30"/>
  <c r="T3" i="30"/>
  <c r="V3" i="30" s="1"/>
  <c r="Q3" i="30"/>
  <c r="T2" i="30"/>
  <c r="V2" i="30" s="1"/>
  <c r="Q2" i="30"/>
  <c r="T139" i="29" l="1"/>
  <c r="V139" i="29" s="1"/>
  <c r="Q139" i="29"/>
  <c r="T138" i="29"/>
  <c r="V138" i="29" s="1"/>
  <c r="Q138" i="29"/>
  <c r="T137" i="29"/>
  <c r="V137" i="29" s="1"/>
  <c r="Q137" i="29"/>
  <c r="T136" i="29"/>
  <c r="V136" i="29" s="1"/>
  <c r="Q136" i="29"/>
  <c r="T135" i="29"/>
  <c r="V135" i="29" s="1"/>
  <c r="Q135" i="29"/>
  <c r="T134" i="29"/>
  <c r="V134" i="29" s="1"/>
  <c r="Q134" i="29"/>
  <c r="T133" i="29"/>
  <c r="V133" i="29" s="1"/>
  <c r="Q133" i="29"/>
  <c r="T132" i="29"/>
  <c r="V132" i="29" s="1"/>
  <c r="Q132" i="29"/>
  <c r="T131" i="29"/>
  <c r="V131" i="29" s="1"/>
  <c r="Q131" i="29"/>
  <c r="T130" i="29"/>
  <c r="V130" i="29" s="1"/>
  <c r="Q130" i="29"/>
  <c r="T129" i="29"/>
  <c r="V129" i="29" s="1"/>
  <c r="Q129" i="29"/>
  <c r="T128" i="29"/>
  <c r="V128" i="29" s="1"/>
  <c r="Q128" i="29"/>
  <c r="T127" i="29"/>
  <c r="V127" i="29" s="1"/>
  <c r="Q127" i="29"/>
  <c r="T126" i="29"/>
  <c r="V126" i="29" s="1"/>
  <c r="Q126" i="29"/>
  <c r="T125" i="29"/>
  <c r="V125" i="29" s="1"/>
  <c r="Q125" i="29"/>
  <c r="T124" i="29"/>
  <c r="V124" i="29" s="1"/>
  <c r="Q124" i="29"/>
  <c r="T123" i="29"/>
  <c r="V123" i="29" s="1"/>
  <c r="Q123" i="29"/>
  <c r="T122" i="29"/>
  <c r="V122" i="29" s="1"/>
  <c r="Q122" i="29"/>
  <c r="T121" i="29"/>
  <c r="V121" i="29" s="1"/>
  <c r="Q121" i="29"/>
  <c r="T120" i="29"/>
  <c r="V120" i="29" s="1"/>
  <c r="Q120" i="29"/>
  <c r="T119" i="29"/>
  <c r="V119" i="29" s="1"/>
  <c r="Q119" i="29"/>
  <c r="T118" i="29"/>
  <c r="V118" i="29" s="1"/>
  <c r="Q118" i="29"/>
  <c r="T117" i="29"/>
  <c r="V117" i="29" s="1"/>
  <c r="Q117" i="29"/>
  <c r="T116" i="29"/>
  <c r="V116" i="29" s="1"/>
  <c r="Q116" i="29"/>
  <c r="T115" i="29"/>
  <c r="V115" i="29" s="1"/>
  <c r="Q115" i="29"/>
  <c r="T114" i="29"/>
  <c r="V114" i="29" s="1"/>
  <c r="Q114" i="29"/>
  <c r="T113" i="29"/>
  <c r="V113" i="29" s="1"/>
  <c r="Q113" i="29"/>
  <c r="T112" i="29"/>
  <c r="V112" i="29" s="1"/>
  <c r="Q112" i="29"/>
  <c r="T111" i="29"/>
  <c r="V111" i="29" s="1"/>
  <c r="Q111" i="29"/>
  <c r="T110" i="29"/>
  <c r="V110" i="29" s="1"/>
  <c r="Q110" i="29"/>
  <c r="T109" i="29"/>
  <c r="V109" i="29" s="1"/>
  <c r="Q109" i="29"/>
  <c r="T108" i="29"/>
  <c r="V108" i="29" s="1"/>
  <c r="Q108" i="29"/>
  <c r="T107" i="29"/>
  <c r="V107" i="29" s="1"/>
  <c r="Q107" i="29"/>
  <c r="T106" i="29"/>
  <c r="V106" i="29" s="1"/>
  <c r="Q106" i="29"/>
  <c r="T105" i="29"/>
  <c r="V105" i="29" s="1"/>
  <c r="Q105" i="29"/>
  <c r="T104" i="29"/>
  <c r="V104" i="29" s="1"/>
  <c r="Q104" i="29"/>
  <c r="T103" i="29"/>
  <c r="V103" i="29" s="1"/>
  <c r="Q103" i="29"/>
  <c r="T102" i="29"/>
  <c r="V102" i="29" s="1"/>
  <c r="Q102" i="29"/>
  <c r="T101" i="29"/>
  <c r="V101" i="29" s="1"/>
  <c r="Q101" i="29"/>
  <c r="T100" i="29"/>
  <c r="V100" i="29" s="1"/>
  <c r="Q100" i="29"/>
  <c r="T99" i="29"/>
  <c r="V99" i="29" s="1"/>
  <c r="Q99" i="29"/>
  <c r="T98" i="29"/>
  <c r="V98" i="29" s="1"/>
  <c r="Q98" i="29"/>
  <c r="T97" i="29"/>
  <c r="V97" i="29" s="1"/>
  <c r="Q97" i="29"/>
  <c r="T96" i="29"/>
  <c r="V96" i="29" s="1"/>
  <c r="Q96" i="29"/>
  <c r="T95" i="29"/>
  <c r="V95" i="29" s="1"/>
  <c r="Q95" i="29"/>
  <c r="T94" i="29"/>
  <c r="V94" i="29" s="1"/>
  <c r="Q94" i="29"/>
  <c r="T93" i="29"/>
  <c r="V93" i="29" s="1"/>
  <c r="Q93" i="29"/>
  <c r="T92" i="29"/>
  <c r="V92" i="29" s="1"/>
  <c r="Q92" i="29"/>
  <c r="T91" i="29"/>
  <c r="V91" i="29" s="1"/>
  <c r="Q91" i="29"/>
  <c r="T90" i="29"/>
  <c r="V90" i="29" s="1"/>
  <c r="Q90" i="29"/>
  <c r="T89" i="29"/>
  <c r="V89" i="29" s="1"/>
  <c r="Q89" i="29"/>
  <c r="T88" i="29"/>
  <c r="V88" i="29" s="1"/>
  <c r="Q88" i="29"/>
  <c r="T87" i="29"/>
  <c r="V87" i="29" s="1"/>
  <c r="Q87" i="29"/>
  <c r="T86" i="29"/>
  <c r="V86" i="29" s="1"/>
  <c r="Q86" i="29"/>
  <c r="T85" i="29"/>
  <c r="V85" i="29" s="1"/>
  <c r="Q85" i="29"/>
  <c r="T84" i="29"/>
  <c r="V84" i="29" s="1"/>
  <c r="Q84" i="29"/>
  <c r="T83" i="29"/>
  <c r="V83" i="29" s="1"/>
  <c r="Q83" i="29"/>
  <c r="T82" i="29"/>
  <c r="V82" i="29" s="1"/>
  <c r="Q82" i="29"/>
  <c r="T81" i="29"/>
  <c r="V81" i="29" s="1"/>
  <c r="Q81" i="29"/>
  <c r="T80" i="29"/>
  <c r="V80" i="29" s="1"/>
  <c r="Q80" i="29"/>
  <c r="T79" i="29"/>
  <c r="V79" i="29" s="1"/>
  <c r="Q79" i="29"/>
  <c r="T78" i="29"/>
  <c r="V78" i="29" s="1"/>
  <c r="Q78" i="29"/>
  <c r="T77" i="29"/>
  <c r="V77" i="29" s="1"/>
  <c r="Q77" i="29"/>
  <c r="T76" i="29"/>
  <c r="V76" i="29" s="1"/>
  <c r="Q76" i="29"/>
  <c r="T75" i="29"/>
  <c r="V75" i="29" s="1"/>
  <c r="Q75" i="29"/>
  <c r="T74" i="29"/>
  <c r="V74" i="29" s="1"/>
  <c r="Q74" i="29"/>
  <c r="T73" i="29"/>
  <c r="V73" i="29" s="1"/>
  <c r="Q73" i="29"/>
  <c r="T72" i="29"/>
  <c r="V72" i="29" s="1"/>
  <c r="Q72" i="29"/>
  <c r="T71" i="29"/>
  <c r="V71" i="29" s="1"/>
  <c r="Q71" i="29"/>
  <c r="T70" i="29"/>
  <c r="V70" i="29" s="1"/>
  <c r="Q70" i="29"/>
  <c r="T69" i="29"/>
  <c r="V69" i="29" s="1"/>
  <c r="Q69" i="29"/>
  <c r="T68" i="29"/>
  <c r="V68" i="29" s="1"/>
  <c r="Q68" i="29"/>
  <c r="T67" i="29"/>
  <c r="V67" i="29" s="1"/>
  <c r="Q67" i="29"/>
  <c r="T66" i="29"/>
  <c r="V66" i="29" s="1"/>
  <c r="Q66" i="29"/>
  <c r="T65" i="29"/>
  <c r="V65" i="29" s="1"/>
  <c r="Q65" i="29"/>
  <c r="T64" i="29"/>
  <c r="V64" i="29" s="1"/>
  <c r="Q64" i="29"/>
  <c r="T63" i="29"/>
  <c r="V63" i="29" s="1"/>
  <c r="Q63" i="29"/>
  <c r="T62" i="29"/>
  <c r="V62" i="29" s="1"/>
  <c r="Q62" i="29"/>
  <c r="T61" i="29"/>
  <c r="V61" i="29" s="1"/>
  <c r="Q61" i="29"/>
  <c r="T60" i="29"/>
  <c r="V60" i="29" s="1"/>
  <c r="Q60" i="29"/>
  <c r="T59" i="29"/>
  <c r="V59" i="29" s="1"/>
  <c r="Q59" i="29"/>
  <c r="T58" i="29"/>
  <c r="V58" i="29" s="1"/>
  <c r="Q58" i="29"/>
  <c r="T57" i="29"/>
  <c r="V57" i="29" s="1"/>
  <c r="Q57" i="29"/>
  <c r="T56" i="29"/>
  <c r="V56" i="29" s="1"/>
  <c r="Q56" i="29"/>
  <c r="T55" i="29"/>
  <c r="V55" i="29" s="1"/>
  <c r="Q55" i="29"/>
  <c r="T54" i="29"/>
  <c r="V54" i="29" s="1"/>
  <c r="Q54" i="29"/>
  <c r="T53" i="29"/>
  <c r="V53" i="29" s="1"/>
  <c r="Q53" i="29"/>
  <c r="T52" i="29"/>
  <c r="V52" i="29" s="1"/>
  <c r="Q52" i="29"/>
  <c r="T51" i="29"/>
  <c r="V51" i="29" s="1"/>
  <c r="Q51" i="29"/>
  <c r="T50" i="29"/>
  <c r="V50" i="29" s="1"/>
  <c r="Q50" i="29"/>
  <c r="T49" i="29"/>
  <c r="V49" i="29" s="1"/>
  <c r="Q49" i="29"/>
  <c r="T48" i="29"/>
  <c r="V48" i="29" s="1"/>
  <c r="Q48" i="29"/>
  <c r="T47" i="29"/>
  <c r="V47" i="29" s="1"/>
  <c r="Q47" i="29"/>
  <c r="T46" i="29"/>
  <c r="V46" i="29" s="1"/>
  <c r="Q46" i="29"/>
  <c r="T45" i="29"/>
  <c r="V45" i="29" s="1"/>
  <c r="Q45" i="29"/>
  <c r="T44" i="29"/>
  <c r="V44" i="29" s="1"/>
  <c r="Q44" i="29"/>
  <c r="T43" i="29"/>
  <c r="V43" i="29" s="1"/>
  <c r="Q43" i="29"/>
  <c r="T42" i="29"/>
  <c r="V42" i="29" s="1"/>
  <c r="Q42" i="29"/>
  <c r="T41" i="29"/>
  <c r="V41" i="29" s="1"/>
  <c r="Q41" i="29"/>
  <c r="T40" i="29"/>
  <c r="V40" i="29" s="1"/>
  <c r="Q40" i="29"/>
  <c r="T39" i="29"/>
  <c r="V39" i="29" s="1"/>
  <c r="Q39" i="29"/>
  <c r="T38" i="29"/>
  <c r="V38" i="29" s="1"/>
  <c r="Q38" i="29"/>
  <c r="T37" i="29"/>
  <c r="V37" i="29" s="1"/>
  <c r="Q37" i="29"/>
  <c r="T36" i="29"/>
  <c r="V36" i="29" s="1"/>
  <c r="Q36" i="29"/>
  <c r="T35" i="29"/>
  <c r="V35" i="29" s="1"/>
  <c r="Q35" i="29"/>
  <c r="T34" i="29"/>
  <c r="V34" i="29" s="1"/>
  <c r="Q34" i="29"/>
  <c r="T33" i="29"/>
  <c r="V33" i="29" s="1"/>
  <c r="Q33" i="29"/>
  <c r="T32" i="29"/>
  <c r="V32" i="29" s="1"/>
  <c r="Q32" i="29"/>
  <c r="T31" i="29"/>
  <c r="V31" i="29" s="1"/>
  <c r="Q31" i="29"/>
  <c r="T30" i="29"/>
  <c r="V30" i="29" s="1"/>
  <c r="Q30" i="29"/>
  <c r="T29" i="29"/>
  <c r="V29" i="29" s="1"/>
  <c r="Q29" i="29"/>
  <c r="T28" i="29"/>
  <c r="V28" i="29" s="1"/>
  <c r="Q28" i="29"/>
  <c r="T27" i="29"/>
  <c r="V27" i="29" s="1"/>
  <c r="Q27" i="29"/>
  <c r="T26" i="29"/>
  <c r="V26" i="29" s="1"/>
  <c r="Q26" i="29"/>
  <c r="T25" i="29"/>
  <c r="V25" i="29" s="1"/>
  <c r="Q25" i="29"/>
  <c r="T24" i="29"/>
  <c r="V24" i="29" s="1"/>
  <c r="Q24" i="29"/>
  <c r="T23" i="29"/>
  <c r="V23" i="29" s="1"/>
  <c r="Q23" i="29"/>
  <c r="T22" i="29"/>
  <c r="V22" i="29" s="1"/>
  <c r="Q22" i="29"/>
  <c r="T21" i="29"/>
  <c r="V21" i="29" s="1"/>
  <c r="Q21" i="29"/>
  <c r="T20" i="29"/>
  <c r="V20" i="29" s="1"/>
  <c r="Q20" i="29"/>
  <c r="T19" i="29"/>
  <c r="V19" i="29" s="1"/>
  <c r="Q19" i="29"/>
  <c r="T18" i="29"/>
  <c r="V18" i="29" s="1"/>
  <c r="Q18" i="29"/>
  <c r="T17" i="29"/>
  <c r="V17" i="29" s="1"/>
  <c r="Q17" i="29"/>
  <c r="T16" i="29"/>
  <c r="V16" i="29" s="1"/>
  <c r="Q16" i="29"/>
  <c r="T15" i="29"/>
  <c r="V15" i="29" s="1"/>
  <c r="Q15" i="29"/>
  <c r="T14" i="29"/>
  <c r="V14" i="29" s="1"/>
  <c r="Q14" i="29"/>
  <c r="T13" i="29"/>
  <c r="V13" i="29" s="1"/>
  <c r="Q13" i="29"/>
  <c r="T12" i="29"/>
  <c r="V12" i="29" s="1"/>
  <c r="Q12" i="29"/>
  <c r="T11" i="29"/>
  <c r="V11" i="29" s="1"/>
  <c r="Q11" i="29"/>
  <c r="T10" i="29"/>
  <c r="V10" i="29" s="1"/>
  <c r="Q10" i="29"/>
  <c r="T9" i="29"/>
  <c r="V9" i="29" s="1"/>
  <c r="Q9" i="29"/>
  <c r="T8" i="29"/>
  <c r="V8" i="29" s="1"/>
  <c r="Q8" i="29"/>
  <c r="T7" i="29"/>
  <c r="V7" i="29" s="1"/>
  <c r="Q7" i="29"/>
  <c r="T6" i="29"/>
  <c r="V6" i="29" s="1"/>
  <c r="Q6" i="29"/>
  <c r="T5" i="29"/>
  <c r="V5" i="29" s="1"/>
  <c r="Q5" i="29"/>
  <c r="T4" i="29"/>
  <c r="V4" i="29" s="1"/>
  <c r="Q4" i="29"/>
  <c r="T3" i="29"/>
  <c r="V3" i="29" s="1"/>
  <c r="Q3" i="29"/>
  <c r="T2" i="29"/>
  <c r="V2" i="29" s="1"/>
  <c r="Q2" i="29"/>
  <c r="V152" i="28" l="1"/>
  <c r="T152" i="28"/>
  <c r="Q152" i="28"/>
  <c r="V151" i="28"/>
  <c r="T151" i="28"/>
  <c r="Q151" i="28"/>
  <c r="V150" i="28"/>
  <c r="T150" i="28"/>
  <c r="Q150" i="28"/>
  <c r="V149" i="28"/>
  <c r="T149" i="28"/>
  <c r="Q149" i="28"/>
  <c r="V148" i="28"/>
  <c r="T148" i="28"/>
  <c r="Q148" i="28"/>
  <c r="V147" i="28"/>
  <c r="T147" i="28"/>
  <c r="Q147" i="28"/>
  <c r="V146" i="28"/>
  <c r="T146" i="28"/>
  <c r="Q146" i="28"/>
  <c r="V145" i="28"/>
  <c r="T145" i="28"/>
  <c r="Q145" i="28"/>
  <c r="V144" i="28"/>
  <c r="T144" i="28"/>
  <c r="Q144" i="28"/>
  <c r="V143" i="28"/>
  <c r="T143" i="28"/>
  <c r="Q143" i="28"/>
  <c r="V142" i="28"/>
  <c r="T142" i="28"/>
  <c r="Q142" i="28"/>
  <c r="V141" i="28"/>
  <c r="T141" i="28"/>
  <c r="Q141" i="28"/>
  <c r="V140" i="28"/>
  <c r="T140" i="28"/>
  <c r="Q140" i="28"/>
  <c r="V139" i="28"/>
  <c r="T139" i="28"/>
  <c r="Q139" i="28"/>
  <c r="V138" i="28"/>
  <c r="T138" i="28"/>
  <c r="Q138" i="28"/>
  <c r="V137" i="28"/>
  <c r="T137" i="28"/>
  <c r="Q137" i="28"/>
  <c r="V136" i="28"/>
  <c r="T136" i="28"/>
  <c r="Q136" i="28"/>
  <c r="V135" i="28"/>
  <c r="T135" i="28"/>
  <c r="Q135" i="28"/>
  <c r="V134" i="28"/>
  <c r="T134" i="28"/>
  <c r="Q134" i="28"/>
  <c r="V133" i="28"/>
  <c r="T133" i="28"/>
  <c r="Q133" i="28"/>
  <c r="V132" i="28"/>
  <c r="T132" i="28"/>
  <c r="Q132" i="28"/>
  <c r="V131" i="28"/>
  <c r="T131" i="28"/>
  <c r="Q131" i="28"/>
  <c r="V130" i="28"/>
  <c r="T130" i="28"/>
  <c r="Q130" i="28"/>
  <c r="V129" i="28"/>
  <c r="T129" i="28"/>
  <c r="Q129" i="28"/>
  <c r="V128" i="28"/>
  <c r="T128" i="28"/>
  <c r="Q128" i="28"/>
  <c r="V127" i="28"/>
  <c r="T127" i="28"/>
  <c r="Q127" i="28"/>
  <c r="V126" i="28"/>
  <c r="T126" i="28"/>
  <c r="Q126" i="28"/>
  <c r="V125" i="28"/>
  <c r="T125" i="28"/>
  <c r="Q125" i="28"/>
  <c r="V124" i="28"/>
  <c r="T124" i="28"/>
  <c r="Q124" i="28"/>
  <c r="V123" i="28"/>
  <c r="T123" i="28"/>
  <c r="Q123" i="28"/>
  <c r="V122" i="28"/>
  <c r="T122" i="28"/>
  <c r="Q122" i="28"/>
  <c r="V121" i="28"/>
  <c r="T121" i="28"/>
  <c r="Q121" i="28"/>
  <c r="V120" i="28"/>
  <c r="T120" i="28"/>
  <c r="Q120" i="28"/>
  <c r="V119" i="28"/>
  <c r="T119" i="28"/>
  <c r="Q119" i="28"/>
  <c r="V115" i="28"/>
  <c r="T115" i="28"/>
  <c r="Q115" i="28"/>
  <c r="V114" i="28"/>
  <c r="T114" i="28"/>
  <c r="Q114" i="28"/>
  <c r="V113" i="28"/>
  <c r="T113" i="28"/>
  <c r="Q113" i="28"/>
  <c r="V112" i="28"/>
  <c r="T112" i="28"/>
  <c r="Q112" i="28"/>
  <c r="V111" i="28"/>
  <c r="T111" i="28"/>
  <c r="Q111" i="28"/>
  <c r="V110" i="28"/>
  <c r="T110" i="28"/>
  <c r="Q110" i="28"/>
  <c r="V109" i="28"/>
  <c r="T109" i="28"/>
  <c r="Q109" i="28"/>
  <c r="V108" i="28"/>
  <c r="T108" i="28"/>
  <c r="Q108" i="28"/>
  <c r="V107" i="28"/>
  <c r="T107" i="28"/>
  <c r="Q107" i="28"/>
  <c r="V106" i="28"/>
  <c r="T106" i="28"/>
  <c r="Q106" i="28"/>
  <c r="V105" i="28"/>
  <c r="T105" i="28"/>
  <c r="Q105" i="28"/>
  <c r="V104" i="28"/>
  <c r="T104" i="28"/>
  <c r="Q104" i="28"/>
  <c r="V103" i="28"/>
  <c r="T103" i="28"/>
  <c r="Q103" i="28"/>
  <c r="V102" i="28"/>
  <c r="T102" i="28"/>
  <c r="Q102" i="28"/>
  <c r="V101" i="28"/>
  <c r="T101" i="28"/>
  <c r="Q101" i="28"/>
  <c r="V100" i="28"/>
  <c r="T100" i="28"/>
  <c r="Q100" i="28"/>
  <c r="V99" i="28"/>
  <c r="T99" i="28"/>
  <c r="Q99" i="28"/>
  <c r="V98" i="28"/>
  <c r="T98" i="28"/>
  <c r="Q98" i="28"/>
  <c r="V97" i="28"/>
  <c r="T97" i="28"/>
  <c r="Q97" i="28"/>
  <c r="V96" i="28"/>
  <c r="T96" i="28"/>
  <c r="Q96" i="28"/>
  <c r="V95" i="28"/>
  <c r="T95" i="28"/>
  <c r="Q95" i="28"/>
  <c r="V94" i="28"/>
  <c r="T94" i="28"/>
  <c r="Q94" i="28"/>
  <c r="V93" i="28"/>
  <c r="T93" i="28"/>
  <c r="Q93" i="28"/>
  <c r="V92" i="28"/>
  <c r="T92" i="28"/>
  <c r="Q92" i="28"/>
  <c r="V91" i="28"/>
  <c r="T91" i="28"/>
  <c r="Q91" i="28"/>
  <c r="V90" i="28"/>
  <c r="T90" i="28"/>
  <c r="Q90" i="28"/>
  <c r="V89" i="28"/>
  <c r="T89" i="28"/>
  <c r="Q89" i="28"/>
  <c r="V88" i="28"/>
  <c r="T88" i="28"/>
  <c r="Q88" i="28"/>
  <c r="V87" i="28"/>
  <c r="T87" i="28"/>
  <c r="Q87" i="28"/>
  <c r="V86" i="28"/>
  <c r="T86" i="28"/>
  <c r="Q86" i="28"/>
  <c r="V85" i="28"/>
  <c r="T85" i="28"/>
  <c r="Q85" i="28"/>
  <c r="V84" i="28"/>
  <c r="T84" i="28"/>
  <c r="Q84" i="28"/>
  <c r="V83" i="28"/>
  <c r="T83" i="28"/>
  <c r="Q83" i="28"/>
  <c r="V82" i="28"/>
  <c r="T82" i="28"/>
  <c r="Q82" i="28"/>
  <c r="V81" i="28"/>
  <c r="T81" i="28"/>
  <c r="Q81" i="28"/>
  <c r="V80" i="28"/>
  <c r="T80" i="28"/>
  <c r="Q80" i="28"/>
  <c r="V79" i="28"/>
  <c r="T79" i="28"/>
  <c r="Q79" i="28"/>
  <c r="V78" i="28"/>
  <c r="T78" i="28"/>
  <c r="Q78" i="28"/>
  <c r="V77" i="28"/>
  <c r="T77" i="28"/>
  <c r="Q77" i="28"/>
  <c r="V76" i="28"/>
  <c r="T76" i="28"/>
  <c r="Q76" i="28"/>
  <c r="V75" i="28"/>
  <c r="T75" i="28"/>
  <c r="Q75" i="28"/>
  <c r="V74" i="28"/>
  <c r="T74" i="28"/>
  <c r="Q74" i="28"/>
  <c r="V73" i="28"/>
  <c r="T73" i="28"/>
  <c r="Q73" i="28"/>
  <c r="V72" i="28"/>
  <c r="T72" i="28"/>
  <c r="Q72" i="28"/>
  <c r="V71" i="28"/>
  <c r="T71" i="28"/>
  <c r="Q71" i="28"/>
  <c r="V70" i="28"/>
  <c r="T70" i="28"/>
  <c r="Q70" i="28"/>
  <c r="V69" i="28"/>
  <c r="T69" i="28"/>
  <c r="Q69" i="28"/>
  <c r="V68" i="28"/>
  <c r="T68" i="28"/>
  <c r="Q68" i="28"/>
  <c r="V67" i="28"/>
  <c r="T67" i="28"/>
  <c r="Q67" i="28"/>
  <c r="V66" i="28"/>
  <c r="T66" i="28"/>
  <c r="Q66" i="28"/>
  <c r="V65" i="28"/>
  <c r="T65" i="28"/>
  <c r="Q65" i="28"/>
  <c r="V64" i="28"/>
  <c r="T64" i="28"/>
  <c r="Q64" i="28"/>
  <c r="V63" i="28"/>
  <c r="T63" i="28"/>
  <c r="Q63" i="28"/>
  <c r="V62" i="28"/>
  <c r="T62" i="28"/>
  <c r="Q62" i="28"/>
  <c r="V61" i="28"/>
  <c r="T61" i="28"/>
  <c r="Q61" i="28"/>
  <c r="V60" i="28"/>
  <c r="T60" i="28"/>
  <c r="Q60" i="28"/>
  <c r="V59" i="28"/>
  <c r="T59" i="28"/>
  <c r="Q59" i="28"/>
  <c r="V58" i="28"/>
  <c r="T58" i="28"/>
  <c r="Q58" i="28"/>
  <c r="V57" i="28"/>
  <c r="T57" i="28"/>
  <c r="Q57" i="28"/>
  <c r="V56" i="28"/>
  <c r="T56" i="28"/>
  <c r="Q56" i="28"/>
  <c r="V55" i="28"/>
  <c r="T55" i="28"/>
  <c r="Q55" i="28"/>
  <c r="V54" i="28"/>
  <c r="T54" i="28"/>
  <c r="Q54" i="28"/>
  <c r="V53" i="28"/>
  <c r="T53" i="28"/>
  <c r="Q53" i="28"/>
  <c r="V52" i="28"/>
  <c r="T52" i="28"/>
  <c r="Q52" i="28"/>
  <c r="V51" i="28"/>
  <c r="T51" i="28"/>
  <c r="Q51" i="28"/>
  <c r="V50" i="28"/>
  <c r="T50" i="28"/>
  <c r="Q50" i="28"/>
  <c r="V49" i="28"/>
  <c r="T49" i="28"/>
  <c r="Q49" i="28"/>
  <c r="V48" i="28"/>
  <c r="T48" i="28"/>
  <c r="Q48" i="28"/>
  <c r="V47" i="28"/>
  <c r="T47" i="28"/>
  <c r="Q47" i="28"/>
  <c r="V46" i="28"/>
  <c r="T46" i="28"/>
  <c r="Q46" i="28"/>
  <c r="V45" i="28"/>
  <c r="T45" i="28"/>
  <c r="Q45" i="28"/>
  <c r="V44" i="28"/>
  <c r="T44" i="28"/>
  <c r="Q44" i="28"/>
  <c r="V43" i="28"/>
  <c r="T43" i="28"/>
  <c r="Q43" i="28"/>
  <c r="V42" i="28"/>
  <c r="T42" i="28"/>
  <c r="Q42" i="28"/>
  <c r="V41" i="28"/>
  <c r="T41" i="28"/>
  <c r="Q41" i="28"/>
  <c r="V40" i="28"/>
  <c r="T40" i="28"/>
  <c r="Q40" i="28"/>
  <c r="V39" i="28"/>
  <c r="T39" i="28"/>
  <c r="Q39" i="28"/>
  <c r="V38" i="28"/>
  <c r="T38" i="28"/>
  <c r="Q38" i="28"/>
  <c r="V37" i="28"/>
  <c r="T37" i="28"/>
  <c r="Q37" i="28"/>
  <c r="V36" i="28"/>
  <c r="T36" i="28"/>
  <c r="Q36" i="28"/>
  <c r="V35" i="28"/>
  <c r="T35" i="28"/>
  <c r="Q35" i="28"/>
  <c r="V34" i="28"/>
  <c r="T34" i="28"/>
  <c r="Q34" i="28"/>
  <c r="V33" i="28"/>
  <c r="T33" i="28"/>
  <c r="Q33" i="28"/>
  <c r="V32" i="28"/>
  <c r="T32" i="28"/>
  <c r="Q32" i="28"/>
  <c r="V31" i="28"/>
  <c r="T31" i="28"/>
  <c r="Q31" i="28"/>
  <c r="V30" i="28"/>
  <c r="T30" i="28"/>
  <c r="Q30" i="28"/>
  <c r="V29" i="28"/>
  <c r="T29" i="28"/>
  <c r="Q29" i="28"/>
  <c r="V28" i="28"/>
  <c r="T28" i="28"/>
  <c r="Q28" i="28"/>
  <c r="V27" i="28"/>
  <c r="T27" i="28"/>
  <c r="Q27" i="28"/>
  <c r="V26" i="28"/>
  <c r="T26" i="28"/>
  <c r="Q26" i="28"/>
  <c r="V25" i="28"/>
  <c r="T25" i="28"/>
  <c r="Q25" i="28"/>
  <c r="V24" i="28"/>
  <c r="T24" i="28"/>
  <c r="Q24" i="28"/>
  <c r="V23" i="28"/>
  <c r="T23" i="28"/>
  <c r="Q23" i="28"/>
  <c r="V22" i="28"/>
  <c r="T22" i="28"/>
  <c r="Q22" i="28"/>
  <c r="V21" i="28"/>
  <c r="T21" i="28"/>
  <c r="Q21" i="28"/>
  <c r="V20" i="28"/>
  <c r="T20" i="28"/>
  <c r="Q20" i="28"/>
  <c r="V19" i="28"/>
  <c r="T19" i="28"/>
  <c r="Q19" i="28"/>
  <c r="V18" i="28"/>
  <c r="T18" i="28"/>
  <c r="Q18" i="28"/>
  <c r="V17" i="28"/>
  <c r="T17" i="28"/>
  <c r="Q17" i="28"/>
  <c r="V16" i="28"/>
  <c r="T16" i="28"/>
  <c r="Q16" i="28"/>
  <c r="V15" i="28"/>
  <c r="T15" i="28"/>
  <c r="Q15" i="28"/>
  <c r="V14" i="28"/>
  <c r="T14" i="28"/>
  <c r="Q14" i="28"/>
  <c r="V13" i="28"/>
  <c r="T13" i="28"/>
  <c r="Q13" i="28"/>
  <c r="V12" i="28"/>
  <c r="T12" i="28"/>
  <c r="Q12" i="28"/>
  <c r="V11" i="28"/>
  <c r="Q11" i="28"/>
  <c r="V10" i="28"/>
  <c r="T10" i="28"/>
  <c r="Q10" i="28"/>
  <c r="V9" i="28"/>
  <c r="T9" i="28"/>
  <c r="Q9" i="28"/>
  <c r="V8" i="28"/>
  <c r="T8" i="28"/>
  <c r="Q8" i="28"/>
  <c r="V7" i="28"/>
  <c r="T7" i="28"/>
  <c r="Q7" i="28"/>
  <c r="V6" i="28"/>
  <c r="T6" i="28"/>
  <c r="Q6" i="28"/>
  <c r="V5" i="28"/>
  <c r="T5" i="28"/>
  <c r="Q5" i="28"/>
  <c r="V4" i="28"/>
  <c r="T4" i="28"/>
  <c r="Q4" i="28"/>
  <c r="V3" i="28"/>
  <c r="T3" i="28"/>
  <c r="Q3" i="28"/>
  <c r="V2" i="28"/>
  <c r="T2" i="28"/>
  <c r="Q2" i="28"/>
  <c r="T139" i="27" l="1"/>
  <c r="V139" i="27" s="1"/>
  <c r="Q139" i="27"/>
  <c r="T138" i="27"/>
  <c r="V138" i="27" s="1"/>
  <c r="Q138" i="27"/>
  <c r="T137" i="27"/>
  <c r="V137" i="27" s="1"/>
  <c r="Q137" i="27"/>
  <c r="T136" i="27"/>
  <c r="V136" i="27" s="1"/>
  <c r="Q136" i="27"/>
  <c r="T135" i="27"/>
  <c r="V135" i="27" s="1"/>
  <c r="Q135" i="27"/>
  <c r="T134" i="27"/>
  <c r="V134" i="27" s="1"/>
  <c r="Q134" i="27"/>
  <c r="T133" i="27"/>
  <c r="V133" i="27" s="1"/>
  <c r="Q133" i="27"/>
  <c r="T132" i="27"/>
  <c r="V132" i="27" s="1"/>
  <c r="Q132" i="27"/>
  <c r="T131" i="27"/>
  <c r="V131" i="27" s="1"/>
  <c r="Q131" i="27"/>
  <c r="T130" i="27"/>
  <c r="V130" i="27" s="1"/>
  <c r="Q130" i="27"/>
  <c r="T129" i="27"/>
  <c r="V129" i="27" s="1"/>
  <c r="Q129" i="27"/>
  <c r="T128" i="27"/>
  <c r="V128" i="27" s="1"/>
  <c r="Q128" i="27"/>
  <c r="T127" i="27"/>
  <c r="V127" i="27" s="1"/>
  <c r="Q127" i="27"/>
  <c r="T126" i="27"/>
  <c r="V126" i="27" s="1"/>
  <c r="Q126" i="27"/>
  <c r="T125" i="27"/>
  <c r="V125" i="27" s="1"/>
  <c r="Q125" i="27"/>
  <c r="T124" i="27"/>
  <c r="V124" i="27" s="1"/>
  <c r="Q124" i="27"/>
  <c r="T123" i="27"/>
  <c r="V123" i="27" s="1"/>
  <c r="Q123" i="27"/>
  <c r="T122" i="27"/>
  <c r="V122" i="27" s="1"/>
  <c r="Q122" i="27"/>
  <c r="T121" i="27"/>
  <c r="V121" i="27" s="1"/>
  <c r="Q121" i="27"/>
  <c r="T120" i="27"/>
  <c r="V120" i="27" s="1"/>
  <c r="Q120" i="27"/>
  <c r="T119" i="27"/>
  <c r="V119" i="27" s="1"/>
  <c r="Q119" i="27"/>
  <c r="T118" i="27"/>
  <c r="V118" i="27" s="1"/>
  <c r="Q118" i="27"/>
  <c r="T117" i="27"/>
  <c r="V117" i="27" s="1"/>
  <c r="Q117" i="27"/>
  <c r="T116" i="27"/>
  <c r="V116" i="27" s="1"/>
  <c r="Q116" i="27"/>
  <c r="T115" i="27"/>
  <c r="V115" i="27" s="1"/>
  <c r="Q115" i="27"/>
  <c r="T114" i="27"/>
  <c r="V114" i="27" s="1"/>
  <c r="Q114" i="27"/>
  <c r="T113" i="27"/>
  <c r="V113" i="27" s="1"/>
  <c r="Q113" i="27"/>
  <c r="T112" i="27"/>
  <c r="V112" i="27" s="1"/>
  <c r="Q112" i="27"/>
  <c r="T111" i="27"/>
  <c r="V111" i="27" s="1"/>
  <c r="Q111" i="27"/>
  <c r="T110" i="27"/>
  <c r="V110" i="27" s="1"/>
  <c r="Q110" i="27"/>
  <c r="T109" i="27"/>
  <c r="V109" i="27" s="1"/>
  <c r="Q109" i="27"/>
  <c r="T108" i="27"/>
  <c r="V108" i="27" s="1"/>
  <c r="Q108" i="27"/>
  <c r="T107" i="27"/>
  <c r="V107" i="27" s="1"/>
  <c r="Q107" i="27"/>
  <c r="T106" i="27"/>
  <c r="V106" i="27" s="1"/>
  <c r="Q106" i="27"/>
  <c r="T105" i="27"/>
  <c r="V105" i="27" s="1"/>
  <c r="Q105" i="27"/>
  <c r="T104" i="27"/>
  <c r="V104" i="27" s="1"/>
  <c r="Q104" i="27"/>
  <c r="T103" i="27"/>
  <c r="V103" i="27" s="1"/>
  <c r="Q103" i="27"/>
  <c r="T102" i="27"/>
  <c r="V102" i="27" s="1"/>
  <c r="Q102" i="27"/>
  <c r="T101" i="27"/>
  <c r="V101" i="27" s="1"/>
  <c r="Q101" i="27"/>
  <c r="T100" i="27"/>
  <c r="V100" i="27" s="1"/>
  <c r="Q100" i="27"/>
  <c r="T99" i="27"/>
  <c r="V99" i="27" s="1"/>
  <c r="Q99" i="27"/>
  <c r="T98" i="27"/>
  <c r="V98" i="27" s="1"/>
  <c r="Q98" i="27"/>
  <c r="T97" i="27"/>
  <c r="V97" i="27" s="1"/>
  <c r="Q97" i="27"/>
  <c r="T96" i="27"/>
  <c r="V96" i="27" s="1"/>
  <c r="Q96" i="27"/>
  <c r="T95" i="27"/>
  <c r="V95" i="27" s="1"/>
  <c r="Q95" i="27"/>
  <c r="T94" i="27"/>
  <c r="V94" i="27" s="1"/>
  <c r="Q94" i="27"/>
  <c r="T93" i="27"/>
  <c r="V93" i="27" s="1"/>
  <c r="Q93" i="27"/>
  <c r="T92" i="27"/>
  <c r="V92" i="27" s="1"/>
  <c r="Q92" i="27"/>
  <c r="T91" i="27"/>
  <c r="V91" i="27" s="1"/>
  <c r="Q91" i="27"/>
  <c r="T90" i="27"/>
  <c r="V90" i="27" s="1"/>
  <c r="Q90" i="27"/>
  <c r="T89" i="27"/>
  <c r="V89" i="27" s="1"/>
  <c r="Q89" i="27"/>
  <c r="T88" i="27"/>
  <c r="V88" i="27" s="1"/>
  <c r="Q88" i="27"/>
  <c r="T87" i="27"/>
  <c r="V87" i="27" s="1"/>
  <c r="Q87" i="27"/>
  <c r="T86" i="27"/>
  <c r="V86" i="27" s="1"/>
  <c r="Q86" i="27"/>
  <c r="T85" i="27"/>
  <c r="V85" i="27" s="1"/>
  <c r="Q85" i="27"/>
  <c r="T84" i="27"/>
  <c r="V84" i="27" s="1"/>
  <c r="Q84" i="27"/>
  <c r="T83" i="27"/>
  <c r="V83" i="27" s="1"/>
  <c r="Q83" i="27"/>
  <c r="T82" i="27"/>
  <c r="V82" i="27" s="1"/>
  <c r="Q82" i="27"/>
  <c r="T81" i="27"/>
  <c r="V81" i="27" s="1"/>
  <c r="Q81" i="27"/>
  <c r="T80" i="27"/>
  <c r="V80" i="27" s="1"/>
  <c r="Q80" i="27"/>
  <c r="T79" i="27"/>
  <c r="V79" i="27" s="1"/>
  <c r="Q79" i="27"/>
  <c r="T78" i="27"/>
  <c r="V78" i="27" s="1"/>
  <c r="Q78" i="27"/>
  <c r="T77" i="27"/>
  <c r="V77" i="27" s="1"/>
  <c r="Q77" i="27"/>
  <c r="T76" i="27"/>
  <c r="V76" i="27" s="1"/>
  <c r="Q76" i="27"/>
  <c r="T75" i="27"/>
  <c r="V75" i="27" s="1"/>
  <c r="Q75" i="27"/>
  <c r="T74" i="27"/>
  <c r="V74" i="27" s="1"/>
  <c r="Q74" i="27"/>
  <c r="T73" i="27"/>
  <c r="V73" i="27" s="1"/>
  <c r="Q73" i="27"/>
  <c r="T72" i="27"/>
  <c r="V72" i="27" s="1"/>
  <c r="Q72" i="27"/>
  <c r="T71" i="27"/>
  <c r="V71" i="27" s="1"/>
  <c r="Q71" i="27"/>
  <c r="T70" i="27"/>
  <c r="V70" i="27" s="1"/>
  <c r="Q70" i="27"/>
  <c r="T69" i="27"/>
  <c r="V69" i="27" s="1"/>
  <c r="Q69" i="27"/>
  <c r="T68" i="27"/>
  <c r="V68" i="27" s="1"/>
  <c r="Q68" i="27"/>
  <c r="T67" i="27"/>
  <c r="V67" i="27" s="1"/>
  <c r="Q67" i="27"/>
  <c r="T66" i="27"/>
  <c r="V66" i="27" s="1"/>
  <c r="Q66" i="27"/>
  <c r="T65" i="27"/>
  <c r="V65" i="27" s="1"/>
  <c r="Q65" i="27"/>
  <c r="T64" i="27"/>
  <c r="V64" i="27" s="1"/>
  <c r="Q64" i="27"/>
  <c r="T63" i="27"/>
  <c r="V63" i="27" s="1"/>
  <c r="Q63" i="27"/>
  <c r="T62" i="27"/>
  <c r="V62" i="27" s="1"/>
  <c r="Q62" i="27"/>
  <c r="T61" i="27"/>
  <c r="V61" i="27" s="1"/>
  <c r="Q61" i="27"/>
  <c r="T60" i="27"/>
  <c r="V60" i="27" s="1"/>
  <c r="Q60" i="27"/>
  <c r="T59" i="27"/>
  <c r="V59" i="27" s="1"/>
  <c r="Q59" i="27"/>
  <c r="T58" i="27"/>
  <c r="V58" i="27" s="1"/>
  <c r="Q58" i="27"/>
  <c r="T57" i="27"/>
  <c r="V57" i="27" s="1"/>
  <c r="Q57" i="27"/>
  <c r="T56" i="27"/>
  <c r="V56" i="27" s="1"/>
  <c r="Q56" i="27"/>
  <c r="T55" i="27"/>
  <c r="V55" i="27" s="1"/>
  <c r="Q55" i="27"/>
  <c r="T54" i="27"/>
  <c r="V54" i="27" s="1"/>
  <c r="Q54" i="27"/>
  <c r="T53" i="27"/>
  <c r="V53" i="27" s="1"/>
  <c r="Q53" i="27"/>
  <c r="T52" i="27"/>
  <c r="V52" i="27" s="1"/>
  <c r="Q52" i="27"/>
  <c r="T51" i="27"/>
  <c r="V51" i="27" s="1"/>
  <c r="Q51" i="27"/>
  <c r="T50" i="27"/>
  <c r="V50" i="27" s="1"/>
  <c r="Q50" i="27"/>
  <c r="T49" i="27"/>
  <c r="V49" i="27" s="1"/>
  <c r="Q49" i="27"/>
  <c r="T48" i="27"/>
  <c r="V48" i="27" s="1"/>
  <c r="Q48" i="27"/>
  <c r="T47" i="27"/>
  <c r="V47" i="27" s="1"/>
  <c r="Q47" i="27"/>
  <c r="T46" i="27"/>
  <c r="V46" i="27" s="1"/>
  <c r="Q46" i="27"/>
  <c r="T45" i="27"/>
  <c r="V45" i="27" s="1"/>
  <c r="Q45" i="27"/>
  <c r="T44" i="27"/>
  <c r="V44" i="27" s="1"/>
  <c r="Q44" i="27"/>
  <c r="T43" i="27"/>
  <c r="V43" i="27" s="1"/>
  <c r="Q43" i="27"/>
  <c r="T42" i="27"/>
  <c r="V42" i="27" s="1"/>
  <c r="Q42" i="27"/>
  <c r="T41" i="27"/>
  <c r="V41" i="27" s="1"/>
  <c r="Q41" i="27"/>
  <c r="T40" i="27"/>
  <c r="V40" i="27" s="1"/>
  <c r="Q40" i="27"/>
  <c r="T39" i="27"/>
  <c r="V39" i="27" s="1"/>
  <c r="Q39" i="27"/>
  <c r="T38" i="27"/>
  <c r="V38" i="27" s="1"/>
  <c r="Q38" i="27"/>
  <c r="T37" i="27"/>
  <c r="V37" i="27" s="1"/>
  <c r="Q37" i="27"/>
  <c r="T36" i="27"/>
  <c r="V36" i="27" s="1"/>
  <c r="Q36" i="27"/>
  <c r="T35" i="27"/>
  <c r="V35" i="27" s="1"/>
  <c r="Q35" i="27"/>
  <c r="T34" i="27"/>
  <c r="V34" i="27" s="1"/>
  <c r="Q34" i="27"/>
  <c r="T33" i="27"/>
  <c r="V33" i="27" s="1"/>
  <c r="Q33" i="27"/>
  <c r="T32" i="27"/>
  <c r="V32" i="27" s="1"/>
  <c r="Q32" i="27"/>
  <c r="T31" i="27"/>
  <c r="V31" i="27" s="1"/>
  <c r="Q31" i="27"/>
  <c r="T30" i="27"/>
  <c r="V30" i="27" s="1"/>
  <c r="Q30" i="27"/>
  <c r="T29" i="27"/>
  <c r="V29" i="27" s="1"/>
  <c r="Q29" i="27"/>
  <c r="T28" i="27"/>
  <c r="V28" i="27" s="1"/>
  <c r="Q28" i="27"/>
  <c r="T27" i="27"/>
  <c r="V27" i="27" s="1"/>
  <c r="Q27" i="27"/>
  <c r="T26" i="27"/>
  <c r="V26" i="27" s="1"/>
  <c r="Q26" i="27"/>
  <c r="T25" i="27"/>
  <c r="V25" i="27" s="1"/>
  <c r="Q25" i="27"/>
  <c r="T24" i="27"/>
  <c r="V24" i="27" s="1"/>
  <c r="Q24" i="27"/>
  <c r="T23" i="27"/>
  <c r="V23" i="27" s="1"/>
  <c r="Q23" i="27"/>
  <c r="T22" i="27"/>
  <c r="V22" i="27" s="1"/>
  <c r="Q22" i="27"/>
  <c r="T21" i="27"/>
  <c r="V21" i="27" s="1"/>
  <c r="Q21" i="27"/>
  <c r="T20" i="27"/>
  <c r="V20" i="27" s="1"/>
  <c r="Q20" i="27"/>
  <c r="T19" i="27"/>
  <c r="V19" i="27" s="1"/>
  <c r="Q19" i="27"/>
  <c r="T18" i="27"/>
  <c r="V18" i="27" s="1"/>
  <c r="Q18" i="27"/>
  <c r="T17" i="27"/>
  <c r="V17" i="27" s="1"/>
  <c r="Q17" i="27"/>
  <c r="T16" i="27"/>
  <c r="V16" i="27" s="1"/>
  <c r="Q16" i="27"/>
  <c r="T15" i="27"/>
  <c r="V15" i="27" s="1"/>
  <c r="Q15" i="27"/>
  <c r="T14" i="27"/>
  <c r="V14" i="27" s="1"/>
  <c r="Q14" i="27"/>
  <c r="T13" i="27"/>
  <c r="V13" i="27" s="1"/>
  <c r="Q13" i="27"/>
  <c r="T12" i="27"/>
  <c r="V12" i="27" s="1"/>
  <c r="Q12" i="27"/>
  <c r="T11" i="27"/>
  <c r="V11" i="27" s="1"/>
  <c r="Q11" i="27"/>
  <c r="T10" i="27"/>
  <c r="V10" i="27" s="1"/>
  <c r="Q10" i="27"/>
  <c r="T9" i="27"/>
  <c r="V9" i="27" s="1"/>
  <c r="Q9" i="27"/>
  <c r="T8" i="27"/>
  <c r="V8" i="27" s="1"/>
  <c r="Q8" i="27"/>
  <c r="T7" i="27"/>
  <c r="V7" i="27" s="1"/>
  <c r="Q7" i="27"/>
  <c r="T6" i="27"/>
  <c r="V6" i="27" s="1"/>
  <c r="Q6" i="27"/>
  <c r="T5" i="27"/>
  <c r="V5" i="27" s="1"/>
  <c r="Q5" i="27"/>
  <c r="T4" i="27"/>
  <c r="V4" i="27" s="1"/>
  <c r="Q4" i="27"/>
  <c r="T3" i="27"/>
  <c r="V3" i="27" s="1"/>
  <c r="Q3" i="27"/>
  <c r="T2" i="27"/>
  <c r="V2" i="27" s="1"/>
  <c r="Q2" i="27"/>
  <c r="T169" i="26" l="1"/>
  <c r="V169" i="26" s="1"/>
  <c r="Q169" i="26"/>
  <c r="T168" i="26"/>
  <c r="V168" i="26" s="1"/>
  <c r="Q168" i="26"/>
  <c r="T167" i="26"/>
  <c r="V167" i="26" s="1"/>
  <c r="Q167" i="26"/>
  <c r="T166" i="26"/>
  <c r="V166" i="26" s="1"/>
  <c r="Q166" i="26"/>
  <c r="T165" i="26"/>
  <c r="V165" i="26" s="1"/>
  <c r="Q165" i="26"/>
  <c r="T164" i="26"/>
  <c r="V164" i="26" s="1"/>
  <c r="Q164" i="26"/>
  <c r="T163" i="26"/>
  <c r="V163" i="26" s="1"/>
  <c r="Q163" i="26"/>
  <c r="T162" i="26"/>
  <c r="V162" i="26" s="1"/>
  <c r="Q162" i="26"/>
  <c r="T161" i="26"/>
  <c r="V161" i="26" s="1"/>
  <c r="Q161" i="26"/>
  <c r="T160" i="26"/>
  <c r="V160" i="26" s="1"/>
  <c r="Q160" i="26"/>
  <c r="T159" i="26"/>
  <c r="V159" i="26" s="1"/>
  <c r="Q159" i="26"/>
  <c r="T158" i="26"/>
  <c r="V158" i="26" s="1"/>
  <c r="Q158" i="26"/>
  <c r="T157" i="26"/>
  <c r="V157" i="26" s="1"/>
  <c r="Q157" i="26"/>
  <c r="T156" i="26"/>
  <c r="V156" i="26" s="1"/>
  <c r="Q156" i="26"/>
  <c r="T155" i="26"/>
  <c r="V155" i="26" s="1"/>
  <c r="Q155" i="26"/>
  <c r="T154" i="26"/>
  <c r="V154" i="26" s="1"/>
  <c r="Q154" i="26"/>
  <c r="T153" i="26"/>
  <c r="V153" i="26" s="1"/>
  <c r="Q153" i="26"/>
  <c r="T152" i="26"/>
  <c r="V152" i="26" s="1"/>
  <c r="Q152" i="26"/>
  <c r="T151" i="26"/>
  <c r="V151" i="26" s="1"/>
  <c r="Q151" i="26"/>
  <c r="T150" i="26"/>
  <c r="V150" i="26" s="1"/>
  <c r="Q150" i="26"/>
  <c r="T149" i="26"/>
  <c r="V149" i="26" s="1"/>
  <c r="Q149" i="26"/>
  <c r="T148" i="26"/>
  <c r="V148" i="26" s="1"/>
  <c r="Q148" i="26"/>
  <c r="T147" i="26"/>
  <c r="V147" i="26" s="1"/>
  <c r="Q147" i="26"/>
  <c r="T146" i="26"/>
  <c r="V146" i="26" s="1"/>
  <c r="Q146" i="26"/>
  <c r="T145" i="26"/>
  <c r="V145" i="26" s="1"/>
  <c r="Q145" i="26"/>
  <c r="T144" i="26"/>
  <c r="V144" i="26" s="1"/>
  <c r="Q144" i="26"/>
  <c r="T143" i="26"/>
  <c r="V143" i="26" s="1"/>
  <c r="Q143" i="26"/>
  <c r="T142" i="26"/>
  <c r="V142" i="26" s="1"/>
  <c r="Q142" i="26"/>
  <c r="T141" i="26"/>
  <c r="V141" i="26" s="1"/>
  <c r="Q141" i="26"/>
  <c r="T140" i="26"/>
  <c r="V140" i="26" s="1"/>
  <c r="Q140" i="26"/>
  <c r="T139" i="26"/>
  <c r="V139" i="26" s="1"/>
  <c r="Q139" i="26"/>
  <c r="T138" i="26"/>
  <c r="V138" i="26" s="1"/>
  <c r="Q138" i="26"/>
  <c r="T137" i="26"/>
  <c r="V137" i="26" s="1"/>
  <c r="Q137" i="26"/>
  <c r="T136" i="26"/>
  <c r="V136" i="26" s="1"/>
  <c r="Q136" i="26"/>
  <c r="T135" i="26"/>
  <c r="V135" i="26" s="1"/>
  <c r="Q135" i="26"/>
  <c r="T134" i="26"/>
  <c r="V134" i="26" s="1"/>
  <c r="Q134" i="26"/>
  <c r="T133" i="26"/>
  <c r="V133" i="26" s="1"/>
  <c r="Q133" i="26"/>
  <c r="T132" i="26"/>
  <c r="V132" i="26" s="1"/>
  <c r="Q132" i="26"/>
  <c r="T131" i="26"/>
  <c r="V131" i="26" s="1"/>
  <c r="Q131" i="26"/>
  <c r="T130" i="26"/>
  <c r="V130" i="26" s="1"/>
  <c r="Q130" i="26"/>
  <c r="T129" i="26"/>
  <c r="V129" i="26" s="1"/>
  <c r="Q129" i="26"/>
  <c r="T128" i="26"/>
  <c r="V128" i="26" s="1"/>
  <c r="Q128" i="26"/>
  <c r="T127" i="26"/>
  <c r="V127" i="26" s="1"/>
  <c r="Q127" i="26"/>
  <c r="T126" i="26"/>
  <c r="V126" i="26" s="1"/>
  <c r="Q126" i="26"/>
  <c r="T125" i="26"/>
  <c r="V125" i="26" s="1"/>
  <c r="Q125" i="26"/>
  <c r="T124" i="26"/>
  <c r="V124" i="26" s="1"/>
  <c r="Q124" i="26"/>
  <c r="T123" i="26"/>
  <c r="V123" i="26" s="1"/>
  <c r="Q123" i="26"/>
  <c r="T122" i="26"/>
  <c r="V122" i="26" s="1"/>
  <c r="Q122" i="26"/>
  <c r="T121" i="26"/>
  <c r="V121" i="26" s="1"/>
  <c r="Q121" i="26"/>
  <c r="T120" i="26"/>
  <c r="V120" i="26" s="1"/>
  <c r="Q120" i="26"/>
  <c r="T119" i="26"/>
  <c r="V119" i="26" s="1"/>
  <c r="Q119" i="26"/>
  <c r="T118" i="26"/>
  <c r="V118" i="26" s="1"/>
  <c r="Q118" i="26"/>
  <c r="T117" i="26"/>
  <c r="V117" i="26" s="1"/>
  <c r="Q117" i="26"/>
  <c r="T116" i="26"/>
  <c r="V116" i="26" s="1"/>
  <c r="Q116" i="26"/>
  <c r="T115" i="26"/>
  <c r="V115" i="26" s="1"/>
  <c r="Q115" i="26"/>
  <c r="T114" i="26"/>
  <c r="V114" i="26" s="1"/>
  <c r="Q114" i="26"/>
  <c r="T113" i="26"/>
  <c r="V113" i="26" s="1"/>
  <c r="Q113" i="26"/>
  <c r="T112" i="26"/>
  <c r="V112" i="26" s="1"/>
  <c r="Q112" i="26"/>
  <c r="T111" i="26"/>
  <c r="V111" i="26" s="1"/>
  <c r="Q111" i="26"/>
  <c r="T110" i="26"/>
  <c r="V110" i="26" s="1"/>
  <c r="Q110" i="26"/>
  <c r="T109" i="26"/>
  <c r="V109" i="26" s="1"/>
  <c r="Q109" i="26"/>
  <c r="T108" i="26"/>
  <c r="V108" i="26" s="1"/>
  <c r="Q108" i="26"/>
  <c r="T107" i="26"/>
  <c r="V107" i="26" s="1"/>
  <c r="Q107" i="26"/>
  <c r="T106" i="26"/>
  <c r="V106" i="26" s="1"/>
  <c r="Q106" i="26"/>
  <c r="T105" i="26"/>
  <c r="V105" i="26" s="1"/>
  <c r="Q105" i="26"/>
  <c r="T104" i="26"/>
  <c r="V104" i="26" s="1"/>
  <c r="Q104" i="26"/>
  <c r="T103" i="26"/>
  <c r="V103" i="26" s="1"/>
  <c r="Q103" i="26"/>
  <c r="T102" i="26"/>
  <c r="V102" i="26" s="1"/>
  <c r="Q102" i="26"/>
  <c r="T101" i="26"/>
  <c r="V101" i="26" s="1"/>
  <c r="Q101" i="26"/>
  <c r="T100" i="26"/>
  <c r="V100" i="26" s="1"/>
  <c r="Q100" i="26"/>
  <c r="T99" i="26"/>
  <c r="V99" i="26" s="1"/>
  <c r="Q99" i="26"/>
  <c r="T98" i="26"/>
  <c r="V98" i="26" s="1"/>
  <c r="Q98" i="26"/>
  <c r="T97" i="26"/>
  <c r="V97" i="26" s="1"/>
  <c r="Q97" i="26"/>
  <c r="T96" i="26"/>
  <c r="V96" i="26" s="1"/>
  <c r="Q96" i="26"/>
  <c r="T95" i="26"/>
  <c r="V95" i="26" s="1"/>
  <c r="Q95" i="26"/>
  <c r="T94" i="26"/>
  <c r="V94" i="26" s="1"/>
  <c r="Q94" i="26"/>
  <c r="T93" i="26"/>
  <c r="V93" i="26" s="1"/>
  <c r="Q93" i="26"/>
  <c r="T92" i="26"/>
  <c r="V92" i="26" s="1"/>
  <c r="Q92" i="26"/>
  <c r="T91" i="26"/>
  <c r="V91" i="26" s="1"/>
  <c r="Q91" i="26"/>
  <c r="T90" i="26"/>
  <c r="V90" i="26" s="1"/>
  <c r="Q90" i="26"/>
  <c r="T89" i="26"/>
  <c r="V89" i="26" s="1"/>
  <c r="Q89" i="26"/>
  <c r="T88" i="26"/>
  <c r="V88" i="26" s="1"/>
  <c r="Q88" i="26"/>
  <c r="T87" i="26"/>
  <c r="V87" i="26" s="1"/>
  <c r="Q87" i="26"/>
  <c r="T86" i="26"/>
  <c r="V86" i="26" s="1"/>
  <c r="Q86" i="26"/>
  <c r="T85" i="26"/>
  <c r="V85" i="26" s="1"/>
  <c r="Q85" i="26"/>
  <c r="T84" i="26"/>
  <c r="V84" i="26" s="1"/>
  <c r="Q84" i="26"/>
  <c r="T83" i="26"/>
  <c r="V83" i="26" s="1"/>
  <c r="Q83" i="26"/>
  <c r="T82" i="26"/>
  <c r="V82" i="26" s="1"/>
  <c r="Q82" i="26"/>
  <c r="T81" i="26"/>
  <c r="V81" i="26" s="1"/>
  <c r="Q81" i="26"/>
  <c r="T80" i="26"/>
  <c r="V80" i="26" s="1"/>
  <c r="Q80" i="26"/>
  <c r="T79" i="26"/>
  <c r="V79" i="26" s="1"/>
  <c r="Q79" i="26"/>
  <c r="T78" i="26"/>
  <c r="V78" i="26" s="1"/>
  <c r="Q78" i="26"/>
  <c r="T77" i="26"/>
  <c r="V77" i="26" s="1"/>
  <c r="Q77" i="26"/>
  <c r="T76" i="26"/>
  <c r="V76" i="26" s="1"/>
  <c r="Q76" i="26"/>
  <c r="T75" i="26"/>
  <c r="V75" i="26" s="1"/>
  <c r="Q75" i="26"/>
  <c r="T74" i="26"/>
  <c r="V74" i="26" s="1"/>
  <c r="Q74" i="26"/>
  <c r="T73" i="26"/>
  <c r="V73" i="26" s="1"/>
  <c r="Q73" i="26"/>
  <c r="T72" i="26"/>
  <c r="V72" i="26" s="1"/>
  <c r="Q72" i="26"/>
  <c r="T71" i="26"/>
  <c r="V71" i="26" s="1"/>
  <c r="Q71" i="26"/>
  <c r="T70" i="26"/>
  <c r="V70" i="26" s="1"/>
  <c r="Q70" i="26"/>
  <c r="T69" i="26"/>
  <c r="V69" i="26" s="1"/>
  <c r="Q69" i="26"/>
  <c r="T68" i="26"/>
  <c r="V68" i="26" s="1"/>
  <c r="Q68" i="26"/>
  <c r="T67" i="26"/>
  <c r="V67" i="26" s="1"/>
  <c r="Q67" i="26"/>
  <c r="T66" i="26"/>
  <c r="V66" i="26" s="1"/>
  <c r="Q66" i="26"/>
  <c r="T65" i="26"/>
  <c r="V65" i="26" s="1"/>
  <c r="Q65" i="26"/>
  <c r="T64" i="26"/>
  <c r="V64" i="26" s="1"/>
  <c r="Q64" i="26"/>
  <c r="T63" i="26"/>
  <c r="V63" i="26" s="1"/>
  <c r="Q63" i="26"/>
  <c r="T62" i="26"/>
  <c r="V62" i="26" s="1"/>
  <c r="Q62" i="26"/>
  <c r="T61" i="26"/>
  <c r="V61" i="26" s="1"/>
  <c r="Q61" i="26"/>
  <c r="T60" i="26"/>
  <c r="V60" i="26" s="1"/>
  <c r="Q60" i="26"/>
  <c r="T59" i="26"/>
  <c r="V59" i="26" s="1"/>
  <c r="Q59" i="26"/>
  <c r="T58" i="26"/>
  <c r="V58" i="26" s="1"/>
  <c r="Q58" i="26"/>
  <c r="T57" i="26"/>
  <c r="V57" i="26" s="1"/>
  <c r="Q57" i="26"/>
  <c r="T56" i="26"/>
  <c r="V56" i="26" s="1"/>
  <c r="Q56" i="26"/>
  <c r="T55" i="26"/>
  <c r="V55" i="26" s="1"/>
  <c r="Q55" i="26"/>
  <c r="T54" i="26"/>
  <c r="V54" i="26" s="1"/>
  <c r="Q54" i="26"/>
  <c r="T53" i="26"/>
  <c r="V53" i="26" s="1"/>
  <c r="Q53" i="26"/>
  <c r="T52" i="26"/>
  <c r="V52" i="26" s="1"/>
  <c r="Q52" i="26"/>
  <c r="T51" i="26"/>
  <c r="V51" i="26" s="1"/>
  <c r="Q51" i="26"/>
  <c r="T50" i="26"/>
  <c r="V50" i="26" s="1"/>
  <c r="Q50" i="26"/>
  <c r="T49" i="26"/>
  <c r="V49" i="26" s="1"/>
  <c r="Q49" i="26"/>
  <c r="T48" i="26"/>
  <c r="V48" i="26" s="1"/>
  <c r="Q48" i="26"/>
  <c r="T47" i="26"/>
  <c r="V47" i="26" s="1"/>
  <c r="Q47" i="26"/>
  <c r="T46" i="26"/>
  <c r="V46" i="26" s="1"/>
  <c r="Q46" i="26"/>
  <c r="T45" i="26"/>
  <c r="V45" i="26" s="1"/>
  <c r="Q45" i="26"/>
  <c r="T44" i="26"/>
  <c r="V44" i="26" s="1"/>
  <c r="Q44" i="26"/>
  <c r="T43" i="26"/>
  <c r="V43" i="26" s="1"/>
  <c r="Q43" i="26"/>
  <c r="T42" i="26"/>
  <c r="V42" i="26" s="1"/>
  <c r="Q42" i="26"/>
  <c r="T41" i="26"/>
  <c r="V41" i="26" s="1"/>
  <c r="Q41" i="26"/>
  <c r="T40" i="26"/>
  <c r="V40" i="26" s="1"/>
  <c r="Q40" i="26"/>
  <c r="T39" i="26"/>
  <c r="V39" i="26" s="1"/>
  <c r="Q39" i="26"/>
  <c r="T38" i="26"/>
  <c r="V38" i="26" s="1"/>
  <c r="Q38" i="26"/>
  <c r="T37" i="26"/>
  <c r="V37" i="26" s="1"/>
  <c r="Q37" i="26"/>
  <c r="T36" i="26"/>
  <c r="V36" i="26" s="1"/>
  <c r="Q36" i="26"/>
  <c r="T35" i="26"/>
  <c r="V35" i="26" s="1"/>
  <c r="Q35" i="26"/>
  <c r="T34" i="26"/>
  <c r="V34" i="26" s="1"/>
  <c r="Q34" i="26"/>
  <c r="T33" i="26"/>
  <c r="V33" i="26" s="1"/>
  <c r="Q33" i="26"/>
  <c r="T32" i="26"/>
  <c r="V32" i="26" s="1"/>
  <c r="Q32" i="26"/>
  <c r="T31" i="26"/>
  <c r="V31" i="26" s="1"/>
  <c r="Q31" i="26"/>
  <c r="T30" i="26"/>
  <c r="V30" i="26" s="1"/>
  <c r="Q30" i="26"/>
  <c r="T29" i="26"/>
  <c r="V29" i="26" s="1"/>
  <c r="Q29" i="26"/>
  <c r="T28" i="26"/>
  <c r="V28" i="26" s="1"/>
  <c r="Q28" i="26"/>
  <c r="T27" i="26"/>
  <c r="V27" i="26" s="1"/>
  <c r="Q27" i="26"/>
  <c r="T26" i="26"/>
  <c r="V26" i="26" s="1"/>
  <c r="Q26" i="26"/>
  <c r="T25" i="26"/>
  <c r="V25" i="26" s="1"/>
  <c r="Q25" i="26"/>
  <c r="T24" i="26"/>
  <c r="V24" i="26" s="1"/>
  <c r="Q24" i="26"/>
  <c r="T23" i="26"/>
  <c r="V23" i="26" s="1"/>
  <c r="Q23" i="26"/>
  <c r="T22" i="26"/>
  <c r="V22" i="26" s="1"/>
  <c r="Q22" i="26"/>
  <c r="T21" i="26"/>
  <c r="V21" i="26" s="1"/>
  <c r="Q21" i="26"/>
  <c r="T20" i="26"/>
  <c r="V20" i="26" s="1"/>
  <c r="Q20" i="26"/>
  <c r="T19" i="26"/>
  <c r="V19" i="26" s="1"/>
  <c r="Q19" i="26"/>
  <c r="T18" i="26"/>
  <c r="V18" i="26" s="1"/>
  <c r="Q18" i="26"/>
  <c r="T17" i="26"/>
  <c r="V17" i="26" s="1"/>
  <c r="Q17" i="26"/>
  <c r="T16" i="26"/>
  <c r="V16" i="26" s="1"/>
  <c r="Q16" i="26"/>
  <c r="T15" i="26"/>
  <c r="V15" i="26" s="1"/>
  <c r="Q15" i="26"/>
  <c r="T14" i="26"/>
  <c r="V14" i="26" s="1"/>
  <c r="Q14" i="26"/>
  <c r="T13" i="26"/>
  <c r="V13" i="26" s="1"/>
  <c r="Q13" i="26"/>
  <c r="T12" i="26"/>
  <c r="V12" i="26" s="1"/>
  <c r="Q12" i="26"/>
  <c r="T11" i="26"/>
  <c r="V11" i="26" s="1"/>
  <c r="Q11" i="26"/>
  <c r="T10" i="26"/>
  <c r="V10" i="26" s="1"/>
  <c r="Q10" i="26"/>
  <c r="T9" i="26"/>
  <c r="V9" i="26" s="1"/>
  <c r="Q9" i="26"/>
  <c r="T8" i="26"/>
  <c r="V8" i="26" s="1"/>
  <c r="Q8" i="26"/>
  <c r="T7" i="26"/>
  <c r="V7" i="26" s="1"/>
  <c r="Q7" i="26"/>
  <c r="T6" i="26"/>
  <c r="V6" i="26" s="1"/>
  <c r="Q6" i="26"/>
  <c r="T5" i="26"/>
  <c r="V5" i="26" s="1"/>
  <c r="Q5" i="26"/>
  <c r="T4" i="26"/>
  <c r="V4" i="26" s="1"/>
  <c r="Q4" i="26"/>
  <c r="T3" i="26"/>
  <c r="V3" i="26" s="1"/>
  <c r="Q3" i="26"/>
  <c r="T2" i="26"/>
  <c r="V2" i="26" s="1"/>
  <c r="Q2" i="26"/>
  <c r="T151" i="25" l="1"/>
  <c r="V151" i="25" s="1"/>
  <c r="Q151" i="25"/>
  <c r="T150" i="25"/>
  <c r="V150" i="25" s="1"/>
  <c r="Q150" i="25"/>
  <c r="T149" i="25"/>
  <c r="V149" i="25" s="1"/>
  <c r="Q149" i="25"/>
  <c r="T148" i="25"/>
  <c r="V148" i="25" s="1"/>
  <c r="Q148" i="25"/>
  <c r="T147" i="25"/>
  <c r="V147" i="25" s="1"/>
  <c r="Q147" i="25"/>
  <c r="T146" i="25"/>
  <c r="V146" i="25" s="1"/>
  <c r="Q146" i="25"/>
  <c r="T145" i="25"/>
  <c r="V145" i="25" s="1"/>
  <c r="Q145" i="25"/>
  <c r="T144" i="25"/>
  <c r="V144" i="25" s="1"/>
  <c r="Q144" i="25"/>
  <c r="T143" i="25"/>
  <c r="V143" i="25" s="1"/>
  <c r="Q143" i="25"/>
  <c r="T142" i="25"/>
  <c r="V142" i="25" s="1"/>
  <c r="Q142" i="25"/>
  <c r="T141" i="25"/>
  <c r="V141" i="25" s="1"/>
  <c r="Q141" i="25"/>
  <c r="T140" i="25"/>
  <c r="V140" i="25" s="1"/>
  <c r="Q140" i="25"/>
  <c r="T139" i="25"/>
  <c r="V139" i="25" s="1"/>
  <c r="Q139" i="25"/>
  <c r="T138" i="25"/>
  <c r="V138" i="25" s="1"/>
  <c r="Q138" i="25"/>
  <c r="T137" i="25"/>
  <c r="V137" i="25" s="1"/>
  <c r="Q137" i="25"/>
  <c r="T136" i="25"/>
  <c r="V136" i="25" s="1"/>
  <c r="Q136" i="25"/>
  <c r="T135" i="25"/>
  <c r="V135" i="25" s="1"/>
  <c r="Q135" i="25"/>
  <c r="T134" i="25"/>
  <c r="V134" i="25" s="1"/>
  <c r="Q134" i="25"/>
  <c r="T133" i="25"/>
  <c r="V133" i="25" s="1"/>
  <c r="Q133" i="25"/>
  <c r="T132" i="25"/>
  <c r="V132" i="25" s="1"/>
  <c r="Q132" i="25"/>
  <c r="T131" i="25"/>
  <c r="V131" i="25" s="1"/>
  <c r="Q131" i="25"/>
  <c r="T130" i="25"/>
  <c r="V130" i="25" s="1"/>
  <c r="Q130" i="25"/>
  <c r="T129" i="25"/>
  <c r="V129" i="25" s="1"/>
  <c r="Q129" i="25"/>
  <c r="T128" i="25"/>
  <c r="V128" i="25" s="1"/>
  <c r="Q128" i="25"/>
  <c r="T127" i="25"/>
  <c r="V127" i="25" s="1"/>
  <c r="Q127" i="25"/>
  <c r="T126" i="25"/>
  <c r="V126" i="25" s="1"/>
  <c r="Q126" i="25"/>
  <c r="T125" i="25"/>
  <c r="V125" i="25" s="1"/>
  <c r="Q125" i="25"/>
  <c r="T124" i="25"/>
  <c r="V124" i="25" s="1"/>
  <c r="Q124" i="25"/>
  <c r="T123" i="25"/>
  <c r="V123" i="25" s="1"/>
  <c r="Q123" i="25"/>
  <c r="T122" i="25"/>
  <c r="V122" i="25" s="1"/>
  <c r="Q122" i="25"/>
  <c r="T121" i="25"/>
  <c r="V121" i="25" s="1"/>
  <c r="Q121" i="25"/>
  <c r="T120" i="25"/>
  <c r="V120" i="25" s="1"/>
  <c r="Q120" i="25"/>
  <c r="T119" i="25"/>
  <c r="V119" i="25" s="1"/>
  <c r="Q119" i="25"/>
  <c r="T118" i="25"/>
  <c r="V118" i="25" s="1"/>
  <c r="Q118" i="25"/>
  <c r="T117" i="25"/>
  <c r="V117" i="25" s="1"/>
  <c r="Q117" i="25"/>
  <c r="T116" i="25"/>
  <c r="V116" i="25" s="1"/>
  <c r="Q116" i="25"/>
  <c r="T115" i="25"/>
  <c r="V115" i="25" s="1"/>
  <c r="Q115" i="25"/>
  <c r="T114" i="25"/>
  <c r="V114" i="25" s="1"/>
  <c r="Q114" i="25"/>
  <c r="T113" i="25"/>
  <c r="V113" i="25" s="1"/>
  <c r="Q113" i="25"/>
  <c r="T112" i="25"/>
  <c r="V112" i="25" s="1"/>
  <c r="Q112" i="25"/>
  <c r="T111" i="25"/>
  <c r="V111" i="25" s="1"/>
  <c r="Q111" i="25"/>
  <c r="T110" i="25"/>
  <c r="V110" i="25" s="1"/>
  <c r="Q110" i="25"/>
  <c r="T109" i="25"/>
  <c r="V109" i="25" s="1"/>
  <c r="Q109" i="25"/>
  <c r="T108" i="25"/>
  <c r="V108" i="25" s="1"/>
  <c r="Q108" i="25"/>
  <c r="T107" i="25"/>
  <c r="V107" i="25" s="1"/>
  <c r="Q107" i="25"/>
  <c r="T106" i="25"/>
  <c r="V106" i="25" s="1"/>
  <c r="Q106" i="25"/>
  <c r="T105" i="25"/>
  <c r="V105" i="25" s="1"/>
  <c r="Q105" i="25"/>
  <c r="T104" i="25"/>
  <c r="V104" i="25" s="1"/>
  <c r="Q104" i="25"/>
  <c r="T103" i="25"/>
  <c r="V103" i="25" s="1"/>
  <c r="Q103" i="25"/>
  <c r="T102" i="25"/>
  <c r="V102" i="25" s="1"/>
  <c r="Q102" i="25"/>
  <c r="T101" i="25"/>
  <c r="V101" i="25" s="1"/>
  <c r="Q101" i="25"/>
  <c r="T100" i="25"/>
  <c r="V100" i="25" s="1"/>
  <c r="T99" i="25"/>
  <c r="V99" i="25" s="1"/>
  <c r="T98" i="25"/>
  <c r="V98" i="25" s="1"/>
  <c r="T97" i="25"/>
  <c r="V97" i="25" s="1"/>
  <c r="T96" i="25"/>
  <c r="V96" i="25" s="1"/>
  <c r="V95" i="25"/>
  <c r="T95" i="25"/>
  <c r="T94" i="25"/>
  <c r="V94" i="25" s="1"/>
  <c r="T93" i="25"/>
  <c r="V93" i="25" s="1"/>
  <c r="T92" i="25"/>
  <c r="V92" i="25" s="1"/>
  <c r="T91" i="25"/>
  <c r="V91" i="25" s="1"/>
  <c r="T90" i="25"/>
  <c r="V90" i="25" s="1"/>
  <c r="T89" i="25"/>
  <c r="V89" i="25" s="1"/>
  <c r="T88" i="25"/>
  <c r="V88" i="25" s="1"/>
  <c r="T87" i="25"/>
  <c r="V87" i="25" s="1"/>
  <c r="T86" i="25"/>
  <c r="V86" i="25" s="1"/>
  <c r="T85" i="25"/>
  <c r="V85" i="25" s="1"/>
  <c r="T84" i="25"/>
  <c r="V84" i="25" s="1"/>
  <c r="T83" i="25"/>
  <c r="V83" i="25" s="1"/>
  <c r="T82" i="25"/>
  <c r="V82" i="25" s="1"/>
  <c r="V81" i="25"/>
  <c r="T81" i="25"/>
  <c r="V80" i="25"/>
  <c r="T80" i="25"/>
  <c r="T79" i="25"/>
  <c r="V79" i="25" s="1"/>
  <c r="T78" i="25"/>
  <c r="V78" i="25" s="1"/>
  <c r="T77" i="25"/>
  <c r="V77" i="25" s="1"/>
  <c r="T76" i="25"/>
  <c r="V76" i="25" s="1"/>
  <c r="T75" i="25"/>
  <c r="V75" i="25" s="1"/>
  <c r="V74" i="25"/>
  <c r="T74" i="25"/>
  <c r="T73" i="25"/>
  <c r="V73" i="25" s="1"/>
  <c r="T72" i="25"/>
  <c r="V72" i="25" s="1"/>
  <c r="T71" i="25"/>
  <c r="V71" i="25" s="1"/>
  <c r="T70" i="25"/>
  <c r="V70" i="25" s="1"/>
  <c r="T69" i="25"/>
  <c r="V69" i="25" s="1"/>
  <c r="T68" i="25"/>
  <c r="V68" i="25" s="1"/>
  <c r="T67" i="25"/>
  <c r="V67" i="25" s="1"/>
  <c r="T66" i="25"/>
  <c r="V66" i="25" s="1"/>
  <c r="T65" i="25"/>
  <c r="V65" i="25" s="1"/>
  <c r="T64" i="25"/>
  <c r="V64" i="25" s="1"/>
  <c r="T63" i="25"/>
  <c r="V63" i="25" s="1"/>
  <c r="T62" i="25"/>
  <c r="V62" i="25" s="1"/>
  <c r="T61" i="25"/>
  <c r="V61" i="25" s="1"/>
  <c r="T60" i="25"/>
  <c r="V60" i="25" s="1"/>
  <c r="T59" i="25"/>
  <c r="V59" i="25" s="1"/>
  <c r="T58" i="25"/>
  <c r="V58" i="25" s="1"/>
  <c r="T57" i="25"/>
  <c r="V57" i="25" s="1"/>
  <c r="T56" i="25"/>
  <c r="V56" i="25" s="1"/>
  <c r="T55" i="25"/>
  <c r="V55" i="25" s="1"/>
  <c r="Q55" i="25"/>
  <c r="T54" i="25"/>
  <c r="V54" i="25" s="1"/>
  <c r="Q54" i="25"/>
  <c r="T53" i="25"/>
  <c r="V53" i="25" s="1"/>
  <c r="Q53" i="25"/>
  <c r="T52" i="25"/>
  <c r="V52" i="25" s="1"/>
  <c r="Q52" i="25"/>
  <c r="T51" i="25"/>
  <c r="V51" i="25" s="1"/>
  <c r="Q51" i="25"/>
  <c r="T50" i="25"/>
  <c r="V50" i="25" s="1"/>
  <c r="Q50" i="25"/>
  <c r="T49" i="25"/>
  <c r="V49" i="25" s="1"/>
  <c r="Q49" i="25"/>
  <c r="T48" i="25"/>
  <c r="V48" i="25" s="1"/>
  <c r="Q48" i="25"/>
  <c r="T47" i="25"/>
  <c r="V47" i="25" s="1"/>
  <c r="Q47" i="25"/>
  <c r="T46" i="25"/>
  <c r="V46" i="25" s="1"/>
  <c r="Q46" i="25"/>
  <c r="T45" i="25"/>
  <c r="V45" i="25" s="1"/>
  <c r="Q45" i="25"/>
  <c r="T44" i="25"/>
  <c r="V44" i="25" s="1"/>
  <c r="Q44" i="25"/>
  <c r="T43" i="25"/>
  <c r="V43" i="25" s="1"/>
  <c r="Q43" i="25"/>
  <c r="T42" i="25"/>
  <c r="V42" i="25" s="1"/>
  <c r="Q42" i="25"/>
  <c r="T41" i="25"/>
  <c r="V41" i="25" s="1"/>
  <c r="Q41" i="25"/>
  <c r="T40" i="25"/>
  <c r="V40" i="25" s="1"/>
  <c r="T39" i="25"/>
  <c r="V39" i="25" s="1"/>
  <c r="T38" i="25"/>
  <c r="V38" i="25" s="1"/>
  <c r="T37" i="25"/>
  <c r="V37" i="25" s="1"/>
  <c r="V36" i="25"/>
  <c r="T36" i="25"/>
  <c r="T35" i="25"/>
  <c r="V35" i="25" s="1"/>
  <c r="T34" i="25"/>
  <c r="V34" i="25" s="1"/>
  <c r="V33" i="25"/>
  <c r="T33" i="25"/>
  <c r="T32" i="25"/>
  <c r="V32" i="25" s="1"/>
  <c r="T31" i="25"/>
  <c r="V31" i="25" s="1"/>
  <c r="T30" i="25"/>
  <c r="V30" i="25" s="1"/>
  <c r="T29" i="25"/>
  <c r="V29" i="25" s="1"/>
  <c r="T28" i="25"/>
  <c r="V28" i="25" s="1"/>
  <c r="T27" i="25"/>
  <c r="V27" i="25" s="1"/>
  <c r="T26" i="25"/>
  <c r="V26" i="25" s="1"/>
  <c r="T25" i="25"/>
  <c r="V25" i="25" s="1"/>
  <c r="T24" i="25"/>
  <c r="V24" i="25" s="1"/>
  <c r="T23" i="25"/>
  <c r="V23" i="25" s="1"/>
  <c r="T22" i="25"/>
  <c r="V22" i="25" s="1"/>
  <c r="T21" i="25"/>
  <c r="V21" i="25" s="1"/>
  <c r="T20" i="25"/>
  <c r="V20" i="25" s="1"/>
  <c r="T19" i="25"/>
  <c r="V19" i="25" s="1"/>
  <c r="T18" i="25"/>
  <c r="V18" i="25" s="1"/>
  <c r="T17" i="25"/>
  <c r="V17" i="25" s="1"/>
  <c r="T16" i="25"/>
  <c r="V16" i="25" s="1"/>
  <c r="T15" i="25"/>
  <c r="V15" i="25" s="1"/>
  <c r="T14" i="25"/>
  <c r="V14" i="25" s="1"/>
  <c r="T13" i="25"/>
  <c r="V13" i="25" s="1"/>
  <c r="T12" i="25"/>
  <c r="V12" i="25" s="1"/>
  <c r="T11" i="25"/>
  <c r="V11" i="25" s="1"/>
  <c r="T10" i="25"/>
  <c r="V10" i="25" s="1"/>
  <c r="T9" i="25"/>
  <c r="V9" i="25" s="1"/>
  <c r="T8" i="25"/>
  <c r="V8" i="25" s="1"/>
  <c r="T7" i="25"/>
  <c r="V7" i="25" s="1"/>
  <c r="T6" i="25"/>
  <c r="V6" i="25" s="1"/>
  <c r="T5" i="25"/>
  <c r="V5" i="25" s="1"/>
  <c r="T4" i="25"/>
  <c r="V4" i="25" s="1"/>
  <c r="T3" i="25"/>
  <c r="V3" i="25" s="1"/>
  <c r="T2" i="25"/>
  <c r="V2" i="25" s="1"/>
  <c r="T154" i="24" l="1"/>
  <c r="V154" i="24" s="1"/>
  <c r="Q154" i="24"/>
  <c r="T153" i="24"/>
  <c r="V153" i="24" s="1"/>
  <c r="Q153" i="24"/>
  <c r="T152" i="24"/>
  <c r="V152" i="24" s="1"/>
  <c r="Q152" i="24"/>
  <c r="T151" i="24"/>
  <c r="V151" i="24" s="1"/>
  <c r="Q151" i="24"/>
  <c r="T150" i="24"/>
  <c r="V150" i="24" s="1"/>
  <c r="Q150" i="24"/>
  <c r="T149" i="24"/>
  <c r="V149" i="24" s="1"/>
  <c r="Q149" i="24"/>
  <c r="T148" i="24"/>
  <c r="V148" i="24" s="1"/>
  <c r="Q148" i="24"/>
  <c r="T147" i="24"/>
  <c r="V147" i="24" s="1"/>
  <c r="Q147" i="24"/>
  <c r="T146" i="24"/>
  <c r="V146" i="24" s="1"/>
  <c r="Q146" i="24"/>
  <c r="T145" i="24"/>
  <c r="V145" i="24" s="1"/>
  <c r="Q145" i="24"/>
  <c r="T144" i="24"/>
  <c r="V144" i="24" s="1"/>
  <c r="Q144" i="24"/>
  <c r="T143" i="24"/>
  <c r="V143" i="24" s="1"/>
  <c r="Q143" i="24"/>
  <c r="T142" i="24"/>
  <c r="V142" i="24" s="1"/>
  <c r="Q142" i="24"/>
  <c r="T141" i="24"/>
  <c r="V141" i="24" s="1"/>
  <c r="Q141" i="24"/>
  <c r="T140" i="24"/>
  <c r="V140" i="24" s="1"/>
  <c r="Q140" i="24"/>
  <c r="T139" i="24"/>
  <c r="V139" i="24" s="1"/>
  <c r="Q139" i="24"/>
  <c r="T138" i="24"/>
  <c r="V138" i="24" s="1"/>
  <c r="Q138" i="24"/>
  <c r="T137" i="24"/>
  <c r="V137" i="24" s="1"/>
  <c r="Q137" i="24"/>
  <c r="T136" i="24"/>
  <c r="V136" i="24" s="1"/>
  <c r="Q136" i="24"/>
  <c r="T135" i="24"/>
  <c r="V135" i="24" s="1"/>
  <c r="Q135" i="24"/>
  <c r="T134" i="24"/>
  <c r="V134" i="24" s="1"/>
  <c r="Q134" i="24"/>
  <c r="T133" i="24"/>
  <c r="V133" i="24" s="1"/>
  <c r="Q133" i="24"/>
  <c r="T132" i="24"/>
  <c r="V132" i="24" s="1"/>
  <c r="Q132" i="24"/>
  <c r="T131" i="24"/>
  <c r="V131" i="24" s="1"/>
  <c r="Q131" i="24"/>
  <c r="T130" i="24"/>
  <c r="V130" i="24" s="1"/>
  <c r="Q130" i="24"/>
  <c r="T129" i="24"/>
  <c r="V129" i="24" s="1"/>
  <c r="Q129" i="24"/>
  <c r="T128" i="24"/>
  <c r="V128" i="24" s="1"/>
  <c r="Q128" i="24"/>
  <c r="T127" i="24"/>
  <c r="V127" i="24" s="1"/>
  <c r="Q127" i="24"/>
  <c r="T126" i="24"/>
  <c r="V126" i="24" s="1"/>
  <c r="Q126" i="24"/>
  <c r="T125" i="24"/>
  <c r="V125" i="24" s="1"/>
  <c r="Q125" i="24"/>
  <c r="T124" i="24"/>
  <c r="V124" i="24" s="1"/>
  <c r="Q124" i="24"/>
  <c r="T123" i="24"/>
  <c r="V123" i="24" s="1"/>
  <c r="Q123" i="24"/>
  <c r="T122" i="24"/>
  <c r="V122" i="24" s="1"/>
  <c r="Q122" i="24"/>
  <c r="T121" i="24"/>
  <c r="V121" i="24" s="1"/>
  <c r="Q121" i="24"/>
  <c r="T120" i="24"/>
  <c r="V120" i="24" s="1"/>
  <c r="Q120" i="24"/>
  <c r="T119" i="24"/>
  <c r="V119" i="24" s="1"/>
  <c r="Q119" i="24"/>
  <c r="T118" i="24"/>
  <c r="V118" i="24" s="1"/>
  <c r="Q118" i="24"/>
  <c r="T117" i="24"/>
  <c r="V117" i="24" s="1"/>
  <c r="Q117" i="24"/>
  <c r="T116" i="24"/>
  <c r="V116" i="24" s="1"/>
  <c r="Q116" i="24"/>
  <c r="T115" i="24"/>
  <c r="V115" i="24" s="1"/>
  <c r="Q115" i="24"/>
  <c r="T114" i="24"/>
  <c r="V114" i="24" s="1"/>
  <c r="Q114" i="24"/>
  <c r="T113" i="24"/>
  <c r="V113" i="24" s="1"/>
  <c r="Q113" i="24"/>
  <c r="T112" i="24"/>
  <c r="V112" i="24" s="1"/>
  <c r="Q112" i="24"/>
  <c r="T111" i="24"/>
  <c r="V111" i="24" s="1"/>
  <c r="Q111" i="24"/>
  <c r="T110" i="24"/>
  <c r="V110" i="24" s="1"/>
  <c r="Q110" i="24"/>
  <c r="T109" i="24"/>
  <c r="V109" i="24" s="1"/>
  <c r="Q109" i="24"/>
  <c r="T108" i="24"/>
  <c r="V108" i="24" s="1"/>
  <c r="Q108" i="24"/>
  <c r="T107" i="24"/>
  <c r="V107" i="24" s="1"/>
  <c r="Q107" i="24"/>
  <c r="T106" i="24"/>
  <c r="V106" i="24" s="1"/>
  <c r="Q106" i="24"/>
  <c r="T105" i="24"/>
  <c r="V105" i="24" s="1"/>
  <c r="Q105" i="24"/>
  <c r="T104" i="24"/>
  <c r="V104" i="24" s="1"/>
  <c r="Q104" i="24"/>
  <c r="T103" i="24"/>
  <c r="V103" i="24" s="1"/>
  <c r="Q103" i="24"/>
  <c r="T102" i="24"/>
  <c r="V102" i="24" s="1"/>
  <c r="Q102" i="24"/>
  <c r="T101" i="24"/>
  <c r="V101" i="24" s="1"/>
  <c r="Q101" i="24"/>
  <c r="T100" i="24"/>
  <c r="V100" i="24" s="1"/>
  <c r="Q100" i="24"/>
  <c r="T99" i="24"/>
  <c r="V99" i="24" s="1"/>
  <c r="Q99" i="24"/>
  <c r="T98" i="24"/>
  <c r="V98" i="24" s="1"/>
  <c r="Q98" i="24"/>
  <c r="T97" i="24"/>
  <c r="V97" i="24" s="1"/>
  <c r="Q97" i="24"/>
  <c r="T96" i="24"/>
  <c r="V96" i="24" s="1"/>
  <c r="Q96" i="24"/>
  <c r="T95" i="24"/>
  <c r="V95" i="24" s="1"/>
  <c r="Q95" i="24"/>
  <c r="T94" i="24"/>
  <c r="V94" i="24" s="1"/>
  <c r="Q94" i="24"/>
  <c r="T93" i="24"/>
  <c r="V93" i="24" s="1"/>
  <c r="Q93" i="24"/>
  <c r="T92" i="24"/>
  <c r="V92" i="24" s="1"/>
  <c r="Q92" i="24"/>
  <c r="T91" i="24"/>
  <c r="V91" i="24" s="1"/>
  <c r="Q91" i="24"/>
  <c r="T90" i="24"/>
  <c r="V90" i="24" s="1"/>
  <c r="Q90" i="24"/>
  <c r="T89" i="24"/>
  <c r="V89" i="24" s="1"/>
  <c r="Q89" i="24"/>
  <c r="T88" i="24"/>
  <c r="V88" i="24" s="1"/>
  <c r="Q88" i="24"/>
  <c r="T87" i="24"/>
  <c r="V87" i="24" s="1"/>
  <c r="Q87" i="24"/>
  <c r="T86" i="24"/>
  <c r="V86" i="24" s="1"/>
  <c r="Q86" i="24"/>
  <c r="T85" i="24"/>
  <c r="V85" i="24" s="1"/>
  <c r="Q85" i="24"/>
  <c r="T84" i="24"/>
  <c r="V84" i="24" s="1"/>
  <c r="Q84" i="24"/>
  <c r="T83" i="24"/>
  <c r="V83" i="24" s="1"/>
  <c r="Q83" i="24"/>
  <c r="T82" i="24"/>
  <c r="V82" i="24" s="1"/>
  <c r="Q82" i="24"/>
  <c r="T81" i="24"/>
  <c r="V81" i="24" s="1"/>
  <c r="Q81" i="24"/>
  <c r="T80" i="24"/>
  <c r="V80" i="24" s="1"/>
  <c r="Q80" i="24"/>
  <c r="T79" i="24"/>
  <c r="V79" i="24" s="1"/>
  <c r="Q79" i="24"/>
  <c r="T78" i="24"/>
  <c r="V78" i="24" s="1"/>
  <c r="Q78" i="24"/>
  <c r="T77" i="24"/>
  <c r="V77" i="24" s="1"/>
  <c r="Q77" i="24"/>
  <c r="T76" i="24"/>
  <c r="V76" i="24" s="1"/>
  <c r="Q76" i="24"/>
  <c r="T75" i="24"/>
  <c r="V75" i="24" s="1"/>
  <c r="Q75" i="24"/>
  <c r="T74" i="24"/>
  <c r="V74" i="24" s="1"/>
  <c r="Q74" i="24"/>
  <c r="T73" i="24"/>
  <c r="V73" i="24" s="1"/>
  <c r="Q73" i="24"/>
  <c r="T72" i="24"/>
  <c r="V72" i="24" s="1"/>
  <c r="Q72" i="24"/>
  <c r="T71" i="24"/>
  <c r="V71" i="24" s="1"/>
  <c r="Q71" i="24"/>
  <c r="T70" i="24"/>
  <c r="V70" i="24" s="1"/>
  <c r="Q70" i="24"/>
  <c r="T69" i="24"/>
  <c r="V69" i="24" s="1"/>
  <c r="Q69" i="24"/>
  <c r="T68" i="24"/>
  <c r="V68" i="24" s="1"/>
  <c r="Q68" i="24"/>
  <c r="T67" i="24"/>
  <c r="V67" i="24" s="1"/>
  <c r="Q67" i="24"/>
  <c r="T66" i="24"/>
  <c r="V66" i="24" s="1"/>
  <c r="Q66" i="24"/>
  <c r="T65" i="24"/>
  <c r="V65" i="24" s="1"/>
  <c r="Q65" i="24"/>
  <c r="T64" i="24"/>
  <c r="V64" i="24" s="1"/>
  <c r="Q64" i="24"/>
  <c r="T63" i="24"/>
  <c r="V63" i="24" s="1"/>
  <c r="Q63" i="24"/>
  <c r="T62" i="24"/>
  <c r="V62" i="24" s="1"/>
  <c r="Q62" i="24"/>
  <c r="T61" i="24"/>
  <c r="V61" i="24" s="1"/>
  <c r="Q61" i="24"/>
  <c r="T60" i="24"/>
  <c r="V60" i="24" s="1"/>
  <c r="Q60" i="24"/>
  <c r="T59" i="24"/>
  <c r="V59" i="24" s="1"/>
  <c r="Q59" i="24"/>
  <c r="T58" i="24"/>
  <c r="V58" i="24" s="1"/>
  <c r="Q58" i="24"/>
  <c r="T57" i="24"/>
  <c r="V57" i="24" s="1"/>
  <c r="Q57" i="24"/>
  <c r="T56" i="24"/>
  <c r="V56" i="24" s="1"/>
  <c r="Q56" i="24"/>
  <c r="T55" i="24"/>
  <c r="V55" i="24" s="1"/>
  <c r="Q55" i="24"/>
  <c r="T54" i="24"/>
  <c r="V54" i="24" s="1"/>
  <c r="Q54" i="24"/>
  <c r="T53" i="24"/>
  <c r="V53" i="24" s="1"/>
  <c r="Q53" i="24"/>
  <c r="T52" i="24"/>
  <c r="V52" i="24" s="1"/>
  <c r="Q52" i="24"/>
  <c r="T51" i="24"/>
  <c r="V51" i="24" s="1"/>
  <c r="Q51" i="24"/>
  <c r="T50" i="24"/>
  <c r="V50" i="24" s="1"/>
  <c r="Q50" i="24"/>
  <c r="T49" i="24"/>
  <c r="V49" i="24" s="1"/>
  <c r="Q49" i="24"/>
  <c r="T48" i="24"/>
  <c r="V48" i="24" s="1"/>
  <c r="Q48" i="24"/>
  <c r="T47" i="24"/>
  <c r="V47" i="24" s="1"/>
  <c r="Q47" i="24"/>
  <c r="T46" i="24"/>
  <c r="V46" i="24" s="1"/>
  <c r="Q46" i="24"/>
  <c r="T45" i="24"/>
  <c r="V45" i="24" s="1"/>
  <c r="Q45" i="24"/>
  <c r="T44" i="24"/>
  <c r="V44" i="24" s="1"/>
  <c r="Q44" i="24"/>
  <c r="T43" i="24"/>
  <c r="V43" i="24" s="1"/>
  <c r="Q43" i="24"/>
  <c r="T42" i="24"/>
  <c r="V42" i="24" s="1"/>
  <c r="Q42" i="24"/>
  <c r="T41" i="24"/>
  <c r="V41" i="24" s="1"/>
  <c r="Q41" i="24"/>
  <c r="T40" i="24"/>
  <c r="V40" i="24" s="1"/>
  <c r="Q40" i="24"/>
  <c r="T39" i="24"/>
  <c r="V39" i="24" s="1"/>
  <c r="Q39" i="24"/>
  <c r="T38" i="24"/>
  <c r="V38" i="24" s="1"/>
  <c r="Q38" i="24"/>
  <c r="T37" i="24"/>
  <c r="V37" i="24" s="1"/>
  <c r="Q37" i="24"/>
  <c r="T36" i="24"/>
  <c r="V36" i="24" s="1"/>
  <c r="Q36" i="24"/>
  <c r="T35" i="24"/>
  <c r="V35" i="24" s="1"/>
  <c r="Q35" i="24"/>
  <c r="T34" i="24"/>
  <c r="V34" i="24" s="1"/>
  <c r="Q34" i="24"/>
  <c r="T33" i="24"/>
  <c r="V33" i="24" s="1"/>
  <c r="Q33" i="24"/>
  <c r="T32" i="24"/>
  <c r="V32" i="24" s="1"/>
  <c r="Q32" i="24"/>
  <c r="T31" i="24"/>
  <c r="V31" i="24" s="1"/>
  <c r="Q31" i="24"/>
  <c r="T30" i="24"/>
  <c r="V30" i="24" s="1"/>
  <c r="Q30" i="24"/>
  <c r="T29" i="24"/>
  <c r="V29" i="24" s="1"/>
  <c r="Q29" i="24"/>
  <c r="T28" i="24"/>
  <c r="V28" i="24" s="1"/>
  <c r="Q28" i="24"/>
  <c r="T27" i="24"/>
  <c r="V27" i="24" s="1"/>
  <c r="Q27" i="24"/>
  <c r="T26" i="24"/>
  <c r="V26" i="24" s="1"/>
  <c r="Q26" i="24"/>
  <c r="T25" i="24"/>
  <c r="V25" i="24" s="1"/>
  <c r="Q25" i="24"/>
  <c r="T24" i="24"/>
  <c r="V24" i="24" s="1"/>
  <c r="Q24" i="24"/>
  <c r="T23" i="24"/>
  <c r="V23" i="24" s="1"/>
  <c r="Q23" i="24"/>
  <c r="T22" i="24"/>
  <c r="V22" i="24" s="1"/>
  <c r="Q22" i="24"/>
  <c r="T21" i="24"/>
  <c r="V21" i="24" s="1"/>
  <c r="Q21" i="24"/>
  <c r="T20" i="24"/>
  <c r="V20" i="24" s="1"/>
  <c r="Q20" i="24"/>
  <c r="T19" i="24"/>
  <c r="V19" i="24" s="1"/>
  <c r="Q19" i="24"/>
  <c r="T18" i="24"/>
  <c r="V18" i="24" s="1"/>
  <c r="Q18" i="24"/>
  <c r="T17" i="24"/>
  <c r="V17" i="24" s="1"/>
  <c r="Q17" i="24"/>
  <c r="T16" i="24"/>
  <c r="V16" i="24" s="1"/>
  <c r="Q16" i="24"/>
  <c r="T15" i="24"/>
  <c r="V15" i="24" s="1"/>
  <c r="Q15" i="24"/>
  <c r="T14" i="24"/>
  <c r="V14" i="24" s="1"/>
  <c r="Q14" i="24"/>
  <c r="T13" i="24"/>
  <c r="V13" i="24" s="1"/>
  <c r="Q13" i="24"/>
  <c r="T12" i="24"/>
  <c r="V12" i="24" s="1"/>
  <c r="Q12" i="24"/>
  <c r="T11" i="24"/>
  <c r="V11" i="24" s="1"/>
  <c r="Q11" i="24"/>
  <c r="T10" i="24"/>
  <c r="V10" i="24" s="1"/>
  <c r="Q10" i="24"/>
  <c r="T9" i="24"/>
  <c r="V9" i="24" s="1"/>
  <c r="Q9" i="24"/>
  <c r="T8" i="24"/>
  <c r="V8" i="24" s="1"/>
  <c r="Q8" i="24"/>
  <c r="T7" i="24"/>
  <c r="V7" i="24" s="1"/>
  <c r="Q7" i="24"/>
  <c r="T6" i="24"/>
  <c r="V6" i="24" s="1"/>
  <c r="Q6" i="24"/>
  <c r="T5" i="24"/>
  <c r="V5" i="24" s="1"/>
  <c r="Q5" i="24"/>
  <c r="T4" i="24"/>
  <c r="V4" i="24" s="1"/>
  <c r="Q4" i="24"/>
  <c r="T3" i="24"/>
  <c r="V3" i="24" s="1"/>
  <c r="Q3" i="24"/>
  <c r="T2" i="24"/>
  <c r="V2" i="24" s="1"/>
  <c r="Q2" i="24"/>
  <c r="Q116" i="23" l="1"/>
  <c r="Q117" i="23"/>
  <c r="Q118" i="23"/>
  <c r="Q119" i="23"/>
  <c r="Q120" i="23"/>
  <c r="Q121" i="23"/>
  <c r="Q122" i="23"/>
  <c r="Q123" i="23"/>
  <c r="Q124" i="23"/>
  <c r="Q125" i="23"/>
  <c r="Q126" i="23"/>
  <c r="Q127" i="23"/>
  <c r="Q128" i="23"/>
  <c r="Q129" i="23"/>
  <c r="Q130" i="23"/>
  <c r="Q131" i="23"/>
  <c r="Q132" i="23"/>
  <c r="Q133" i="23"/>
  <c r="T114" i="23"/>
  <c r="V114" i="23" s="1"/>
  <c r="T115" i="23"/>
  <c r="V115" i="23" s="1"/>
  <c r="T116" i="23"/>
  <c r="V116" i="23" s="1"/>
  <c r="T117" i="23"/>
  <c r="V117" i="23" s="1"/>
  <c r="T118" i="23"/>
  <c r="V118" i="23" s="1"/>
  <c r="T119" i="23"/>
  <c r="V119" i="23" s="1"/>
  <c r="T120" i="23"/>
  <c r="V120" i="23" s="1"/>
  <c r="T121" i="23"/>
  <c r="V121" i="23" s="1"/>
  <c r="T122" i="23"/>
  <c r="V122" i="23" s="1"/>
  <c r="T123" i="23"/>
  <c r="V123" i="23" s="1"/>
  <c r="T124" i="23"/>
  <c r="V124" i="23" s="1"/>
  <c r="T125" i="23"/>
  <c r="V125" i="23" s="1"/>
  <c r="T126" i="23"/>
  <c r="V126" i="23" s="1"/>
  <c r="T127" i="23"/>
  <c r="V127" i="23" s="1"/>
  <c r="T128" i="23"/>
  <c r="V128" i="23" s="1"/>
  <c r="T129" i="23"/>
  <c r="V129" i="23" s="1"/>
  <c r="T130" i="23"/>
  <c r="V130" i="23" s="1"/>
  <c r="T131" i="23"/>
  <c r="V131" i="23" s="1"/>
  <c r="T132" i="23"/>
  <c r="V132" i="23" s="1"/>
  <c r="T133" i="23"/>
  <c r="V133" i="23" s="1"/>
  <c r="Q115" i="23"/>
  <c r="Q114" i="23"/>
  <c r="T113" i="23"/>
  <c r="V113" i="23" s="1"/>
  <c r="T112" i="23"/>
  <c r="V112" i="23" s="1"/>
  <c r="T111" i="23"/>
  <c r="V111" i="23" s="1"/>
  <c r="T110" i="23"/>
  <c r="V110" i="23" s="1"/>
  <c r="T109" i="23"/>
  <c r="V109" i="23" s="1"/>
  <c r="T108" i="23"/>
  <c r="V108" i="23" s="1"/>
  <c r="T107" i="23"/>
  <c r="V107" i="23" s="1"/>
  <c r="T106" i="23"/>
  <c r="V106" i="23" s="1"/>
  <c r="T105" i="23"/>
  <c r="V105" i="23" s="1"/>
  <c r="T104" i="23"/>
  <c r="V104" i="23" s="1"/>
  <c r="T103" i="23"/>
  <c r="V103" i="23" s="1"/>
  <c r="T102" i="23"/>
  <c r="V102" i="23" s="1"/>
  <c r="T101" i="23"/>
  <c r="V101" i="23" s="1"/>
  <c r="T100" i="23"/>
  <c r="V100" i="23" s="1"/>
  <c r="T99" i="23"/>
  <c r="V99" i="23" s="1"/>
  <c r="T98" i="23"/>
  <c r="V98" i="23" s="1"/>
  <c r="Q94" i="23"/>
  <c r="Q95" i="23"/>
  <c r="Q96" i="23"/>
  <c r="Q97" i="23"/>
  <c r="Q98" i="23"/>
  <c r="Q99" i="23"/>
  <c r="Q100" i="23"/>
  <c r="Q101" i="23"/>
  <c r="Q102" i="23"/>
  <c r="Q103" i="23"/>
  <c r="Q104" i="23"/>
  <c r="Q105" i="23"/>
  <c r="Q106" i="23"/>
  <c r="Q107" i="23"/>
  <c r="Q108" i="23"/>
  <c r="Q109" i="23"/>
  <c r="Q110" i="23"/>
  <c r="Q111" i="23"/>
  <c r="Q112" i="23"/>
  <c r="Q113" i="23"/>
  <c r="T97" i="23"/>
  <c r="V97" i="23" s="1"/>
  <c r="T96" i="23"/>
  <c r="V96" i="23" s="1"/>
  <c r="T95" i="23"/>
  <c r="V95" i="23" s="1"/>
  <c r="T94" i="23"/>
  <c r="V94" i="23" s="1"/>
  <c r="T93" i="23"/>
  <c r="V93" i="23" s="1"/>
  <c r="Q93" i="23"/>
  <c r="T92" i="23"/>
  <c r="V92" i="23" s="1"/>
  <c r="Q92" i="23"/>
  <c r="Q48" i="23" l="1"/>
  <c r="Q47" i="23"/>
  <c r="Q19" i="23"/>
  <c r="Q16" i="23"/>
  <c r="T91" i="23" l="1"/>
  <c r="V91" i="23" s="1"/>
  <c r="Q91" i="23"/>
  <c r="T90" i="23"/>
  <c r="V90" i="23" s="1"/>
  <c r="Q90" i="23"/>
  <c r="T89" i="23"/>
  <c r="V89" i="23" s="1"/>
  <c r="Q89" i="23"/>
  <c r="T88" i="23"/>
  <c r="V88" i="23" s="1"/>
  <c r="Q88" i="23"/>
  <c r="T87" i="23"/>
  <c r="V87" i="23" s="1"/>
  <c r="Q87" i="23"/>
  <c r="T86" i="23"/>
  <c r="V86" i="23" s="1"/>
  <c r="Q86" i="23"/>
  <c r="T85" i="23"/>
  <c r="V85" i="23" s="1"/>
  <c r="Q85" i="23"/>
  <c r="T84" i="23"/>
  <c r="V84" i="23" s="1"/>
  <c r="Q84" i="23"/>
  <c r="T83" i="23"/>
  <c r="V83" i="23" s="1"/>
  <c r="Q83" i="23"/>
  <c r="T82" i="23"/>
  <c r="V82" i="23" s="1"/>
  <c r="Q82" i="23"/>
  <c r="T81" i="23"/>
  <c r="V81" i="23" s="1"/>
  <c r="Q81" i="23"/>
  <c r="T80" i="23"/>
  <c r="V80" i="23" s="1"/>
  <c r="Q80" i="23"/>
  <c r="T79" i="23"/>
  <c r="V79" i="23" s="1"/>
  <c r="Q79" i="23"/>
  <c r="T78" i="23"/>
  <c r="V78" i="23" s="1"/>
  <c r="Q78" i="23"/>
  <c r="T77" i="23"/>
  <c r="V77" i="23" s="1"/>
  <c r="Q77" i="23"/>
  <c r="T76" i="23"/>
  <c r="V76" i="23" s="1"/>
  <c r="Q76" i="23"/>
  <c r="T75" i="23"/>
  <c r="V75" i="23" s="1"/>
  <c r="Q75" i="23"/>
  <c r="T74" i="23"/>
  <c r="V74" i="23" s="1"/>
  <c r="Q74" i="23"/>
  <c r="T73" i="23"/>
  <c r="V73" i="23" s="1"/>
  <c r="Q73" i="23"/>
  <c r="T72" i="23"/>
  <c r="V72" i="23" s="1"/>
  <c r="Q72" i="23"/>
  <c r="T71" i="23"/>
  <c r="V71" i="23" s="1"/>
  <c r="Q71" i="23"/>
  <c r="T70" i="23"/>
  <c r="V70" i="23" s="1"/>
  <c r="Q70" i="23"/>
  <c r="T69" i="23"/>
  <c r="V69" i="23" s="1"/>
  <c r="Q69" i="23"/>
  <c r="T68" i="23"/>
  <c r="V68" i="23" s="1"/>
  <c r="Q68" i="23"/>
  <c r="T67" i="23"/>
  <c r="V67" i="23" s="1"/>
  <c r="Q67" i="23"/>
  <c r="T66" i="23"/>
  <c r="V66" i="23" s="1"/>
  <c r="Q66" i="23"/>
  <c r="T65" i="23"/>
  <c r="V65" i="23" s="1"/>
  <c r="Q65" i="23"/>
  <c r="T64" i="23"/>
  <c r="V64" i="23" s="1"/>
  <c r="Q64" i="23"/>
  <c r="T63" i="23"/>
  <c r="V63" i="23" s="1"/>
  <c r="Q63" i="23"/>
  <c r="T62" i="23"/>
  <c r="V62" i="23" s="1"/>
  <c r="Q62" i="23"/>
  <c r="T61" i="23"/>
  <c r="V61" i="23" s="1"/>
  <c r="Q61" i="23"/>
  <c r="T60" i="23"/>
  <c r="V60" i="23" s="1"/>
  <c r="Q60" i="23"/>
  <c r="T59" i="23"/>
  <c r="V59" i="23" s="1"/>
  <c r="Q59" i="23"/>
  <c r="T58" i="23"/>
  <c r="V58" i="23" s="1"/>
  <c r="Q58" i="23"/>
  <c r="T57" i="23"/>
  <c r="V57" i="23" s="1"/>
  <c r="Q57" i="23"/>
  <c r="T56" i="23"/>
  <c r="V56" i="23" s="1"/>
  <c r="Q56" i="23"/>
  <c r="T55" i="23"/>
  <c r="V55" i="23" s="1"/>
  <c r="Q55" i="23"/>
  <c r="T54" i="23"/>
  <c r="V54" i="23" s="1"/>
  <c r="Q54" i="23"/>
  <c r="T53" i="23"/>
  <c r="V53" i="23" s="1"/>
  <c r="Q53" i="23"/>
  <c r="T52" i="23"/>
  <c r="V52" i="23" s="1"/>
  <c r="Q52" i="23"/>
  <c r="T51" i="23"/>
  <c r="V51" i="23" s="1"/>
  <c r="Q51" i="23"/>
  <c r="T50" i="23"/>
  <c r="V50" i="23" s="1"/>
  <c r="Q50" i="23"/>
  <c r="T49" i="23"/>
  <c r="V49" i="23" s="1"/>
  <c r="Q49" i="23"/>
  <c r="T48" i="23"/>
  <c r="V48" i="23" s="1"/>
  <c r="T47" i="23"/>
  <c r="V47" i="23" s="1"/>
  <c r="T46" i="23"/>
  <c r="V46" i="23" s="1"/>
  <c r="Q46" i="23"/>
  <c r="T45" i="23"/>
  <c r="V45" i="23" s="1"/>
  <c r="Q45" i="23"/>
  <c r="T44" i="23"/>
  <c r="V44" i="23" s="1"/>
  <c r="Q44" i="23"/>
  <c r="T43" i="23"/>
  <c r="V43" i="23" s="1"/>
  <c r="Q43" i="23"/>
  <c r="T42" i="23"/>
  <c r="V42" i="23" s="1"/>
  <c r="Q42" i="23"/>
  <c r="T41" i="23"/>
  <c r="V41" i="23" s="1"/>
  <c r="Q41" i="23"/>
  <c r="T40" i="23"/>
  <c r="V40" i="23" s="1"/>
  <c r="Q40" i="23"/>
  <c r="T39" i="23"/>
  <c r="V39" i="23" s="1"/>
  <c r="Q39" i="23"/>
  <c r="T38" i="23"/>
  <c r="V38" i="23" s="1"/>
  <c r="Q38" i="23"/>
  <c r="T37" i="23"/>
  <c r="V37" i="23" s="1"/>
  <c r="Q37" i="23"/>
  <c r="T36" i="23"/>
  <c r="V36" i="23" s="1"/>
  <c r="Q36" i="23"/>
  <c r="T35" i="23"/>
  <c r="V35" i="23" s="1"/>
  <c r="Q35" i="23"/>
  <c r="T34" i="23"/>
  <c r="V34" i="23" s="1"/>
  <c r="Q34" i="23"/>
  <c r="T33" i="23"/>
  <c r="V33" i="23" s="1"/>
  <c r="Q33" i="23"/>
  <c r="T32" i="23"/>
  <c r="V32" i="23" s="1"/>
  <c r="Q32" i="23"/>
  <c r="T31" i="23"/>
  <c r="V31" i="23" s="1"/>
  <c r="Q31" i="23"/>
  <c r="T30" i="23"/>
  <c r="V30" i="23" s="1"/>
  <c r="Q30" i="23"/>
  <c r="T29" i="23"/>
  <c r="V29" i="23" s="1"/>
  <c r="Q29" i="23"/>
  <c r="T28" i="23"/>
  <c r="V28" i="23" s="1"/>
  <c r="Q28" i="23"/>
  <c r="T27" i="23"/>
  <c r="V27" i="23" s="1"/>
  <c r="Q27" i="23"/>
  <c r="T26" i="23"/>
  <c r="V26" i="23" s="1"/>
  <c r="Q26" i="23"/>
  <c r="T25" i="23"/>
  <c r="V25" i="23" s="1"/>
  <c r="Q25" i="23"/>
  <c r="T24" i="23"/>
  <c r="V24" i="23" s="1"/>
  <c r="Q24" i="23"/>
  <c r="T23" i="23"/>
  <c r="V23" i="23" s="1"/>
  <c r="Q23" i="23"/>
  <c r="T22" i="23"/>
  <c r="V22" i="23" s="1"/>
  <c r="Q22" i="23"/>
  <c r="T21" i="23"/>
  <c r="V21" i="23" s="1"/>
  <c r="Q21" i="23"/>
  <c r="T20" i="23"/>
  <c r="V20" i="23" s="1"/>
  <c r="Q20" i="23"/>
  <c r="T19" i="23"/>
  <c r="V19" i="23" s="1"/>
  <c r="T18" i="23"/>
  <c r="V18" i="23" s="1"/>
  <c r="Q18" i="23"/>
  <c r="T17" i="23"/>
  <c r="V17" i="23" s="1"/>
  <c r="Q17" i="23"/>
  <c r="T16" i="23"/>
  <c r="V16" i="23" s="1"/>
  <c r="T15" i="23"/>
  <c r="V15" i="23" s="1"/>
  <c r="Q15" i="23"/>
  <c r="T14" i="23"/>
  <c r="V14" i="23" s="1"/>
  <c r="Q14" i="23"/>
  <c r="T13" i="23"/>
  <c r="V13" i="23" s="1"/>
  <c r="Q13" i="23"/>
  <c r="T12" i="23"/>
  <c r="V12" i="23" s="1"/>
  <c r="Q12" i="23"/>
  <c r="T11" i="23"/>
  <c r="V11" i="23" s="1"/>
  <c r="Q11" i="23"/>
  <c r="T10" i="23"/>
  <c r="V10" i="23" s="1"/>
  <c r="Q10" i="23"/>
  <c r="T9" i="23"/>
  <c r="V9" i="23" s="1"/>
  <c r="Q9" i="23"/>
  <c r="T8" i="23"/>
  <c r="V8" i="23" s="1"/>
  <c r="Q8" i="23"/>
  <c r="T7" i="23"/>
  <c r="V7" i="23" s="1"/>
  <c r="Q7" i="23"/>
  <c r="T6" i="23"/>
  <c r="V6" i="23" s="1"/>
  <c r="Q6" i="23"/>
  <c r="T5" i="23"/>
  <c r="V5" i="23" s="1"/>
  <c r="Q5" i="23"/>
  <c r="T4" i="23"/>
  <c r="V4" i="23" s="1"/>
  <c r="Q4" i="23"/>
  <c r="T3" i="23"/>
  <c r="V3" i="23" s="1"/>
  <c r="Q3" i="23"/>
  <c r="T2" i="23"/>
  <c r="V2" i="23" s="1"/>
  <c r="Q2" i="23"/>
</calcChain>
</file>

<file path=xl/sharedStrings.xml><?xml version="1.0" encoding="utf-8"?>
<sst xmlns="http://schemas.openxmlformats.org/spreadsheetml/2006/main" count="17707" uniqueCount="412">
  <si>
    <t>県名</t>
  </si>
  <si>
    <t>国名</t>
    <rPh sb="0" eb="1">
      <t>クニ</t>
    </rPh>
    <rPh sb="1" eb="2">
      <t>メイ</t>
    </rPh>
    <phoneticPr fontId="4"/>
  </si>
  <si>
    <t>日付</t>
  </si>
  <si>
    <t>チェーン名</t>
  </si>
  <si>
    <t>店舗名</t>
  </si>
  <si>
    <t>店の種類</t>
  </si>
  <si>
    <t>品種</t>
  </si>
  <si>
    <t>栽培方法</t>
  </si>
  <si>
    <t>ブランド名</t>
  </si>
  <si>
    <t>原産地</t>
  </si>
  <si>
    <t>生産者
コード</t>
    <rPh sb="0" eb="3">
      <t>セイサンシャ</t>
    </rPh>
    <phoneticPr fontId="4"/>
  </si>
  <si>
    <t>販売
ユニット
個数</t>
  </si>
  <si>
    <t>硬度
平均値</t>
    <rPh sb="0" eb="2">
      <t>コウド</t>
    </rPh>
    <rPh sb="3" eb="6">
      <t>ヘイキンチ</t>
    </rPh>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</si>
  <si>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</si>
  <si>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</si>
  <si>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</si>
  <si>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</si>
  <si>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</si>
  <si>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</si>
  <si>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</si>
  <si>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プランド名</t>
  </si>
  <si>
    <t>陳列棚
保冷状態</t>
    <rPh sb="0" eb="3">
      <t>チンレツダナ</t>
    </rPh>
    <rPh sb="4" eb="6">
      <t>ホレイ</t>
    </rPh>
    <rPh sb="6" eb="8">
      <t>ジョウタイ</t>
    </rPh>
    <phoneticPr fontId="4"/>
  </si>
  <si>
    <t>人気果実</t>
  </si>
  <si>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</si>
  <si>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</si>
  <si>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</si>
  <si>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</si>
  <si>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</si>
  <si>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</si>
  <si>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</si>
  <si>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</si>
  <si>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</si>
  <si>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</si>
  <si>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</si>
  <si>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</si>
  <si>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</si>
  <si>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</si>
  <si>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</si>
  <si>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</si>
  <si>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</si>
  <si>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</si>
  <si>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JA愛媛</t>
  </si>
  <si>
    <t>愛媛</t>
  </si>
  <si>
    <t>キウイフルーツ</t>
  </si>
  <si>
    <t>名古屋</t>
  </si>
  <si>
    <t>JA福岡</t>
  </si>
  <si>
    <t>福岡</t>
  </si>
  <si>
    <t>グレープフルーツ</t>
  </si>
  <si>
    <t>広島</t>
  </si>
  <si>
    <t>JA長野</t>
  </si>
  <si>
    <t>アメリカ</t>
  </si>
  <si>
    <t>さくらんぼ</t>
  </si>
  <si>
    <t>神奈川</t>
    <rPh sb="0" eb="3">
      <t>カナガワ</t>
    </rPh>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</si>
  <si>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</si>
  <si>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</si>
  <si>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</si>
  <si>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</si>
  <si>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</si>
  <si>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</si>
  <si>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</si>
  <si>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</si>
  <si>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</si>
  <si>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</si>
  <si>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</si>
  <si>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</si>
  <si>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</si>
  <si>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</si>
  <si>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</si>
  <si>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</si>
  <si>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</si>
  <si>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</si>
  <si>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</si>
  <si>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</si>
  <si>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</si>
  <si>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</si>
  <si>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</si>
  <si>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</si>
  <si>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</si>
  <si>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</si>
  <si>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その他</t>
    <rPh sb="2" eb="3">
      <t>タ</t>
    </rPh>
    <phoneticPr fontId="4"/>
  </si>
  <si>
    <t>JA静岡</t>
  </si>
  <si>
    <t>石川</t>
  </si>
  <si>
    <t>スイカ</t>
  </si>
  <si>
    <t>岩手</t>
    <rPh sb="0" eb="2">
      <t>イワテ</t>
    </rPh>
    <phoneticPr fontId="4"/>
  </si>
  <si>
    <t>JA長崎</t>
  </si>
  <si>
    <t>大分</t>
  </si>
  <si>
    <t>梨</t>
  </si>
  <si>
    <t>福島</t>
    <rPh sb="0" eb="2">
      <t>フクシマ</t>
    </rPh>
    <phoneticPr fontId="4"/>
  </si>
  <si>
    <t>JA和歌山</t>
  </si>
  <si>
    <t>香川</t>
  </si>
  <si>
    <t>パイナップル</t>
  </si>
  <si>
    <t>マンゴー</t>
  </si>
  <si>
    <t>U/P JPY</t>
  </si>
  <si>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</si>
  <si>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</si>
  <si>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</si>
  <si>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</si>
  <si>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</si>
  <si>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</si>
  <si>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</si>
  <si>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</si>
  <si>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</si>
  <si>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</si>
  <si>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</si>
  <si>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</si>
  <si>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</si>
  <si>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</si>
  <si>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</si>
  <si>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</si>
  <si>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</si>
  <si>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GA</t>
    <phoneticPr fontId="4"/>
  </si>
  <si>
    <t>CK</t>
  </si>
  <si>
    <t>ﾆｭｰｼﾞｰﾗﾝﾄﾞ</t>
  </si>
  <si>
    <t>HW</t>
  </si>
  <si>
    <t>いちじく</t>
    <phoneticPr fontId="4"/>
  </si>
  <si>
    <t>ラフランス</t>
    <phoneticPr fontId="3"/>
  </si>
  <si>
    <t>キラキラ</t>
    <phoneticPr fontId="4"/>
  </si>
  <si>
    <t>グリーンアイ</t>
    <phoneticPr fontId="4"/>
  </si>
  <si>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</si>
  <si>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</si>
  <si>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</si>
  <si>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</si>
  <si>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</si>
  <si>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</si>
  <si>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</si>
  <si>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</si>
  <si>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</si>
  <si>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</si>
  <si>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</si>
  <si>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ﾆｭｰｼﾞｰﾗﾝﾄﾞ</t>
    <phoneticPr fontId="4"/>
  </si>
  <si>
    <t>D'lish</t>
    <phoneticPr fontId="4"/>
  </si>
  <si>
    <t>中国</t>
    <phoneticPr fontId="4"/>
  </si>
  <si>
    <t>HW</t>
    <phoneticPr fontId="4"/>
  </si>
  <si>
    <t>CK</t>
    <phoneticPr fontId="4"/>
  </si>
  <si>
    <t>Del Monte</t>
    <phoneticPr fontId="3"/>
  </si>
  <si>
    <t>GK</t>
    <phoneticPr fontId="4"/>
  </si>
  <si>
    <t>OB</t>
    <phoneticPr fontId="4"/>
  </si>
  <si>
    <t>HE</t>
    <phoneticPr fontId="4"/>
  </si>
  <si>
    <t>宮崎</t>
    <rPh sb="0" eb="2">
      <t>ミヤザキ</t>
    </rPh>
    <phoneticPr fontId="3"/>
  </si>
  <si>
    <t>RD</t>
    <phoneticPr fontId="3"/>
  </si>
  <si>
    <t>マルエツ</t>
    <phoneticPr fontId="14"/>
  </si>
  <si>
    <t>大森町</t>
    <rPh sb="0" eb="2">
      <t>オオモリ</t>
    </rPh>
    <rPh sb="2" eb="3">
      <t>マチ</t>
    </rPh>
    <phoneticPr fontId="14"/>
  </si>
  <si>
    <t>サミット</t>
    <phoneticPr fontId="14"/>
  </si>
  <si>
    <t>大森西</t>
    <rPh sb="0" eb="3">
      <t>オオモリニシ</t>
    </rPh>
    <phoneticPr fontId="14"/>
  </si>
  <si>
    <t>ライフ</t>
    <phoneticPr fontId="14"/>
  </si>
  <si>
    <t>マチノマ大森</t>
    <rPh sb="4" eb="6">
      <t>オオモリ</t>
    </rPh>
    <phoneticPr fontId="14"/>
  </si>
  <si>
    <t>東武ストア</t>
    <rPh sb="0" eb="2">
      <t>トウブ</t>
    </rPh>
    <phoneticPr fontId="14"/>
  </si>
  <si>
    <t>大森</t>
    <rPh sb="0" eb="2">
      <t>オオモリ</t>
    </rPh>
    <phoneticPr fontId="14"/>
  </si>
  <si>
    <t>オオゼキ</t>
    <phoneticPr fontId="14"/>
  </si>
  <si>
    <t>大森北</t>
    <rPh sb="0" eb="3">
      <t>オオモリキタ</t>
    </rPh>
    <phoneticPr fontId="14"/>
  </si>
  <si>
    <t>ＩＹ</t>
    <phoneticPr fontId="14"/>
  </si>
  <si>
    <t>西友</t>
    <rPh sb="0" eb="2">
      <t>セイユウ</t>
    </rPh>
    <phoneticPr fontId="14"/>
  </si>
  <si>
    <t>東急ストア</t>
    <rPh sb="0" eb="2">
      <t>トウキュウ</t>
    </rPh>
    <phoneticPr fontId="14"/>
  </si>
  <si>
    <t>成城石井</t>
    <rPh sb="0" eb="4">
      <t>セイジョウイシイ</t>
    </rPh>
    <phoneticPr fontId="14"/>
  </si>
  <si>
    <t>アトレ大森</t>
    <rPh sb="3" eb="5">
      <t>オオモリ</t>
    </rPh>
    <phoneticPr fontId="14"/>
  </si>
  <si>
    <t>大森駅前</t>
    <rPh sb="0" eb="2">
      <t>オオモリ</t>
    </rPh>
    <rPh sb="2" eb="3">
      <t>エキ</t>
    </rPh>
    <rPh sb="3" eb="4">
      <t>マエ</t>
    </rPh>
    <phoneticPr fontId="14"/>
  </si>
  <si>
    <t>ＪＡ栃木</t>
    <rPh sb="2" eb="4">
      <t>トチギ</t>
    </rPh>
    <phoneticPr fontId="4"/>
  </si>
  <si>
    <t>ＪＡ愛知</t>
    <rPh sb="2" eb="4">
      <t>アイチ</t>
    </rPh>
    <phoneticPr fontId="4"/>
  </si>
  <si>
    <t>愛知</t>
    <phoneticPr fontId="3"/>
  </si>
  <si>
    <t>栃木</t>
    <rPh sb="0" eb="2">
      <t>トチギ</t>
    </rPh>
    <phoneticPr fontId="3"/>
  </si>
  <si>
    <t>JP</t>
    <phoneticPr fontId="3"/>
  </si>
  <si>
    <t>14.05.2020</t>
    <phoneticPr fontId="3"/>
  </si>
  <si>
    <t>JPY</t>
    <phoneticPr fontId="3"/>
  </si>
  <si>
    <t>マルエツ</t>
  </si>
  <si>
    <t>GA</t>
  </si>
  <si>
    <t>サミット</t>
  </si>
  <si>
    <t>ライフ</t>
  </si>
  <si>
    <t>オオゼキ</t>
  </si>
  <si>
    <t>ＩＹ</t>
  </si>
  <si>
    <t>HW</t>
    <phoneticPr fontId="3"/>
  </si>
  <si>
    <t>OB</t>
  </si>
  <si>
    <t>マルエツ</t>
    <phoneticPr fontId="3"/>
  </si>
  <si>
    <t>保冷なし</t>
    <phoneticPr fontId="3"/>
  </si>
  <si>
    <t>品種</t>
    <phoneticPr fontId="3"/>
  </si>
  <si>
    <t>JP</t>
  </si>
  <si>
    <t>11.05.2020</t>
    <phoneticPr fontId="3"/>
  </si>
  <si>
    <t>西友</t>
    <rPh sb="0" eb="2">
      <t>セイユウ</t>
    </rPh>
    <phoneticPr fontId="3"/>
  </si>
  <si>
    <t>宮の沢店</t>
    <rPh sb="0" eb="1">
      <t>ミヤ</t>
    </rPh>
    <rPh sb="2" eb="3">
      <t>サワ</t>
    </rPh>
    <rPh sb="3" eb="4">
      <t>テン</t>
    </rPh>
    <phoneticPr fontId="3"/>
  </si>
  <si>
    <t>JPY</t>
  </si>
  <si>
    <t>コープさっぽろ</t>
  </si>
  <si>
    <t>西宮の沢店</t>
    <rPh sb="0" eb="2">
      <t>ニシミヤ</t>
    </rPh>
    <rPh sb="3" eb="4">
      <t>サワ</t>
    </rPh>
    <rPh sb="4" eb="5">
      <t>テン</t>
    </rPh>
    <phoneticPr fontId="3"/>
  </si>
  <si>
    <t>イトーヨーカドー</t>
  </si>
  <si>
    <t>琴似店</t>
    <rPh sb="0" eb="2">
      <t>コトニ</t>
    </rPh>
    <rPh sb="2" eb="3">
      <t>テン</t>
    </rPh>
    <phoneticPr fontId="3"/>
  </si>
  <si>
    <t>マックスバリュ</t>
    <phoneticPr fontId="3"/>
  </si>
  <si>
    <t>新発寒店</t>
    <rPh sb="0" eb="1">
      <t>シン</t>
    </rPh>
    <rPh sb="1" eb="3">
      <t>ハッサム</t>
    </rPh>
    <rPh sb="3" eb="4">
      <t>テン</t>
    </rPh>
    <phoneticPr fontId="3"/>
  </si>
  <si>
    <t>ビッグハウス</t>
  </si>
  <si>
    <t>ウエスト店</t>
    <rPh sb="4" eb="5">
      <t>テン</t>
    </rPh>
    <phoneticPr fontId="3"/>
  </si>
  <si>
    <t>ラッキー</t>
  </si>
  <si>
    <t>発寒店</t>
    <rPh sb="0" eb="2">
      <t>ハッサム</t>
    </rPh>
    <rPh sb="2" eb="3">
      <t>テン</t>
    </rPh>
    <phoneticPr fontId="3"/>
  </si>
  <si>
    <t>ホクレンショップ</t>
  </si>
  <si>
    <t>Foodfarm新発寒店</t>
    <rPh sb="8" eb="9">
      <t>シン</t>
    </rPh>
    <rPh sb="9" eb="11">
      <t>ハッサム</t>
    </rPh>
    <rPh sb="11" eb="12">
      <t>テン</t>
    </rPh>
    <phoneticPr fontId="3"/>
  </si>
  <si>
    <t>イオン</t>
  </si>
  <si>
    <t>札幌発寒店</t>
    <rPh sb="2" eb="4">
      <t>ハッサム</t>
    </rPh>
    <rPh sb="4" eb="5">
      <t>テン</t>
    </rPh>
    <phoneticPr fontId="3"/>
  </si>
  <si>
    <t>ダイイチ</t>
    <phoneticPr fontId="3"/>
  </si>
  <si>
    <t>発寒中央駅前店</t>
    <rPh sb="0" eb="2">
      <t>ハッサム</t>
    </rPh>
    <rPh sb="2" eb="4">
      <t>チュウオウ</t>
    </rPh>
    <rPh sb="4" eb="5">
      <t>エキ</t>
    </rPh>
    <rPh sb="5" eb="6">
      <t>マエ</t>
    </rPh>
    <rPh sb="6" eb="7">
      <t>テン</t>
    </rPh>
    <phoneticPr fontId="3"/>
  </si>
  <si>
    <t>ラルズマート</t>
  </si>
  <si>
    <t>マックスバリュ</t>
  </si>
  <si>
    <t>ダイイチ</t>
  </si>
  <si>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</si>
  <si>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</si>
  <si>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</si>
  <si>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</si>
  <si>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</si>
  <si>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</si>
  <si>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</si>
  <si>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</si>
  <si>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</si>
  <si>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</si>
  <si>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</si>
  <si>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</si>
  <si>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t xml:space="preserve">Green
Other
</t>
    </r>
    <r>
      <rPr>
        <b/>
        <sz val="8"/>
        <rFont val="ＭＳ Ｐゴシック"/>
        <family val="3"/>
        <charset val="128"/>
      </rPr>
      <t>最低重量</t>
    </r>
  </si>
  <si>
    <t>Green
Other
SIZE</t>
  </si>
  <si>
    <r>
      <t xml:space="preserve">Gold
</t>
    </r>
    <r>
      <rPr>
        <b/>
        <sz val="8"/>
        <rFont val="ＭＳ Ｐゴシック"/>
        <family val="3"/>
        <charset val="128"/>
      </rPr>
      <t>最低重量</t>
    </r>
  </si>
  <si>
    <t>Gold
SIZE</t>
  </si>
  <si>
    <t>利府店</t>
  </si>
  <si>
    <t>その他グリーン</t>
  </si>
  <si>
    <t>みやぎ生協</t>
  </si>
  <si>
    <t>その他ゴールド</t>
  </si>
  <si>
    <t>杉の入店</t>
  </si>
  <si>
    <t>その他レッド</t>
  </si>
  <si>
    <t>減農薬栽培</t>
  </si>
  <si>
    <t>D'lish</t>
  </si>
  <si>
    <t>中国</t>
  </si>
  <si>
    <t>ウジエ</t>
  </si>
  <si>
    <t>Del Monte</t>
  </si>
  <si>
    <t>塩釜店</t>
  </si>
  <si>
    <t>GK</t>
  </si>
  <si>
    <t>ザ・ビッグ</t>
  </si>
  <si>
    <t>HE</t>
  </si>
  <si>
    <t>長野</t>
  </si>
  <si>
    <t>ヤマザワ</t>
  </si>
  <si>
    <t>多賀城店</t>
  </si>
  <si>
    <t>岩手</t>
  </si>
  <si>
    <t>ヨークベニマル</t>
  </si>
  <si>
    <t>塩釜北浜店</t>
  </si>
  <si>
    <t>RD</t>
  </si>
  <si>
    <t>長崎</t>
  </si>
  <si>
    <t>福島</t>
  </si>
  <si>
    <t>塩釜中の島店</t>
  </si>
  <si>
    <t>和歌山</t>
  </si>
  <si>
    <t>西友</t>
  </si>
  <si>
    <t>高砂駅前店</t>
  </si>
  <si>
    <t>佐賀</t>
  </si>
  <si>
    <t>埼玉</t>
  </si>
  <si>
    <t>群馬</t>
  </si>
  <si>
    <t>千葉</t>
  </si>
  <si>
    <t>熊本</t>
  </si>
  <si>
    <t>岐阜</t>
  </si>
  <si>
    <t>兵庫</t>
  </si>
  <si>
    <t>京都</t>
  </si>
  <si>
    <t>ＪＡ大分</t>
  </si>
  <si>
    <t>ＪＡ山梨</t>
  </si>
  <si>
    <t>ＪＡ香川</t>
  </si>
  <si>
    <t>山梨</t>
  </si>
  <si>
    <t>ＪＡ徳島</t>
  </si>
  <si>
    <t>いちじく</t>
  </si>
  <si>
    <t>ＪＡ広島</t>
  </si>
  <si>
    <t>ラフランス</t>
  </si>
  <si>
    <t>ＪＡ山形</t>
  </si>
  <si>
    <t>ＪＡ神奈川</t>
  </si>
  <si>
    <t>宮崎</t>
  </si>
  <si>
    <t>ＪＡ石川</t>
  </si>
  <si>
    <r>
      <rPr>
        <b/>
        <sz val="8"/>
        <rFont val="Arial"/>
        <family val="2"/>
      </rPr>
      <t xml:space="preserve">Green
Other
</t>
    </r>
    <r>
      <rPr>
        <b/>
        <sz val="8"/>
        <rFont val="ＭＳ Ｐゴシック"/>
        <family val="3"/>
        <charset val="128"/>
      </rPr>
      <t>最低重量</t>
    </r>
  </si>
  <si>
    <r>
      <rPr>
        <b/>
        <sz val="8"/>
        <rFont val="Arial"/>
        <family val="2"/>
      </rPr>
      <t xml:space="preserve">Gold
</t>
    </r>
    <r>
      <rPr>
        <b/>
        <sz val="8"/>
        <rFont val="ＭＳ Ｐゴシック"/>
        <family val="3"/>
        <charset val="128"/>
      </rPr>
      <t>最低重量</t>
    </r>
  </si>
  <si>
    <t>コノミヤ</t>
  </si>
  <si>
    <t>深井店</t>
  </si>
  <si>
    <t>上野芝店</t>
  </si>
  <si>
    <t>デイリーカナート</t>
  </si>
  <si>
    <t>向ヶ丘店</t>
  </si>
  <si>
    <t>松源</t>
  </si>
  <si>
    <t>北条店</t>
  </si>
  <si>
    <t>石津店</t>
  </si>
  <si>
    <t>キンショー</t>
  </si>
  <si>
    <t>東湊店</t>
  </si>
  <si>
    <t>万代</t>
  </si>
  <si>
    <t>イズミヤ</t>
  </si>
  <si>
    <t>泉北店</t>
  </si>
  <si>
    <t>ダイエーグルメシティ</t>
  </si>
  <si>
    <t>津久野店</t>
  </si>
  <si>
    <t>キラキラ</t>
  </si>
  <si>
    <t>グリーンアイ</t>
  </si>
  <si>
    <t>ＪＡ大阪</t>
  </si>
  <si>
    <t>栃木</t>
  </si>
  <si>
    <t>ＪＡ栃木</t>
  </si>
  <si>
    <t>愛知</t>
  </si>
  <si>
    <t>ＪＡ愛知</t>
  </si>
  <si>
    <t>県名</t>
    <phoneticPr fontId="3"/>
  </si>
  <si>
    <t>チェーン名</t>
    <phoneticPr fontId="3"/>
  </si>
  <si>
    <t>販売
ユニット
個数</t>
    <phoneticPr fontId="4"/>
  </si>
  <si>
    <t>U/P JPY</t>
    <phoneticPr fontId="4"/>
  </si>
  <si>
    <t>JP</t>
    <phoneticPr fontId="4"/>
  </si>
  <si>
    <t>13.05.2020</t>
    <phoneticPr fontId="4"/>
  </si>
  <si>
    <t>エブリィ</t>
  </si>
  <si>
    <t>楠木</t>
    <rPh sb="0" eb="1">
      <t>クスノキ</t>
    </rPh>
    <rPh sb="1" eb="2">
      <t>キ</t>
    </rPh>
    <phoneticPr fontId="3"/>
  </si>
  <si>
    <t>JPY</t>
    <phoneticPr fontId="4"/>
  </si>
  <si>
    <t>エブリィ</t>
    <phoneticPr fontId="3"/>
  </si>
  <si>
    <t>山陽マルナカ</t>
    <phoneticPr fontId="3"/>
  </si>
  <si>
    <t>白島店</t>
    <rPh sb="0" eb="1">
      <t>シロ</t>
    </rPh>
    <rPh sb="1" eb="2">
      <t>シマ</t>
    </rPh>
    <rPh sb="2" eb="3">
      <t>テン</t>
    </rPh>
    <phoneticPr fontId="3"/>
  </si>
  <si>
    <t>福屋</t>
    <rPh sb="0" eb="2">
      <t>フクヤ</t>
    </rPh>
    <phoneticPr fontId="3"/>
  </si>
  <si>
    <t>食品館ＦＲＥＤ店</t>
    <rPh sb="0" eb="2">
      <t>ショクヒン</t>
    </rPh>
    <rPh sb="2" eb="3">
      <t>カン</t>
    </rPh>
    <rPh sb="7" eb="8">
      <t>テン</t>
    </rPh>
    <phoneticPr fontId="3"/>
  </si>
  <si>
    <t>山陽マルナカ</t>
  </si>
  <si>
    <t>フジグラン</t>
    <phoneticPr fontId="3"/>
  </si>
  <si>
    <t>広島店</t>
    <rPh sb="0" eb="2">
      <t>ヒロシマ</t>
    </rPh>
    <rPh sb="2" eb="3">
      <t>テン</t>
    </rPh>
    <phoneticPr fontId="3"/>
  </si>
  <si>
    <t>アルク</t>
  </si>
  <si>
    <t>東千田店</t>
    <rPh sb="3" eb="4">
      <t>テン</t>
    </rPh>
    <phoneticPr fontId="3"/>
  </si>
  <si>
    <t>イズミ</t>
    <phoneticPr fontId="3"/>
  </si>
  <si>
    <t>ゆめタウン広島店</t>
    <rPh sb="5" eb="7">
      <t>ヒロシマ</t>
    </rPh>
    <rPh sb="7" eb="8">
      <t>テン</t>
    </rPh>
    <phoneticPr fontId="3"/>
  </si>
  <si>
    <t>フレスタ</t>
    <phoneticPr fontId="3"/>
  </si>
  <si>
    <t>上天満店</t>
    <rPh sb="0" eb="1">
      <t>ウエ</t>
    </rPh>
    <rPh sb="1" eb="3">
      <t>テンマン</t>
    </rPh>
    <rPh sb="3" eb="4">
      <t>テン</t>
    </rPh>
    <phoneticPr fontId="3"/>
  </si>
  <si>
    <t>ユアーズ</t>
    <phoneticPr fontId="3"/>
  </si>
  <si>
    <t>十日市店</t>
    <rPh sb="3" eb="4">
      <t>テン</t>
    </rPh>
    <phoneticPr fontId="3"/>
  </si>
  <si>
    <t>スパーク</t>
    <phoneticPr fontId="3"/>
  </si>
  <si>
    <t>バナナ</t>
    <phoneticPr fontId="4"/>
  </si>
  <si>
    <t>パパイヤ</t>
    <phoneticPr fontId="4"/>
  </si>
  <si>
    <t>びわ</t>
    <phoneticPr fontId="4"/>
  </si>
  <si>
    <t>メロン</t>
    <phoneticPr fontId="4"/>
  </si>
  <si>
    <t>桃</t>
    <phoneticPr fontId="4"/>
  </si>
  <si>
    <t>ブドウ</t>
    <phoneticPr fontId="4"/>
  </si>
  <si>
    <t>ラフランス</t>
    <phoneticPr fontId="4"/>
  </si>
  <si>
    <t>りんご</t>
    <phoneticPr fontId="4"/>
  </si>
  <si>
    <t>みかん</t>
    <phoneticPr fontId="4"/>
  </si>
  <si>
    <t>マンゴー</t>
    <phoneticPr fontId="3"/>
  </si>
  <si>
    <t>山口</t>
    <rPh sb="0" eb="2">
      <t>ヤマグチ</t>
    </rPh>
    <phoneticPr fontId="4"/>
  </si>
  <si>
    <t>フジグラン</t>
  </si>
  <si>
    <t>イズミ</t>
  </si>
  <si>
    <t>フレスタ</t>
  </si>
  <si>
    <t>ユアーズ</t>
  </si>
  <si>
    <t>スパーク</t>
  </si>
  <si>
    <t>13.05.2020</t>
    <phoneticPr fontId="3"/>
  </si>
  <si>
    <t>マルショク</t>
  </si>
  <si>
    <t>野間大池</t>
    <rPh sb="0" eb="2">
      <t>ノマ</t>
    </rPh>
    <rPh sb="2" eb="4">
      <t>オオイケ</t>
    </rPh>
    <phoneticPr fontId="3"/>
  </si>
  <si>
    <t>サニー</t>
  </si>
  <si>
    <t>野間</t>
    <rPh sb="0" eb="2">
      <t>ノマ</t>
    </rPh>
    <phoneticPr fontId="3"/>
  </si>
  <si>
    <t>一般栽培</t>
    <phoneticPr fontId="4"/>
  </si>
  <si>
    <t>バナナ</t>
    <phoneticPr fontId="3"/>
  </si>
  <si>
    <t>マミーズ</t>
  </si>
  <si>
    <t>美野島</t>
    <rPh sb="0" eb="1">
      <t>ミ</t>
    </rPh>
    <rPh sb="1" eb="2">
      <t>ノ</t>
    </rPh>
    <rPh sb="2" eb="3">
      <t>シマ</t>
    </rPh>
    <phoneticPr fontId="3"/>
  </si>
  <si>
    <t>福岡</t>
    <rPh sb="0" eb="2">
      <t>フクオカ</t>
    </rPh>
    <phoneticPr fontId="4"/>
  </si>
  <si>
    <t>りんご</t>
    <phoneticPr fontId="3"/>
  </si>
  <si>
    <t>西鉄ストア</t>
    <rPh sb="0" eb="2">
      <t>ニシテツ</t>
    </rPh>
    <phoneticPr fontId="3"/>
  </si>
  <si>
    <t>高宮</t>
    <rPh sb="0" eb="2">
      <t>タカミヤ</t>
    </rPh>
    <phoneticPr fontId="3"/>
  </si>
  <si>
    <t>Del Monte</t>
    <phoneticPr fontId="4"/>
  </si>
  <si>
    <t>いちご</t>
    <phoneticPr fontId="3"/>
  </si>
  <si>
    <t>レッドキャベツ</t>
  </si>
  <si>
    <t>博多駅南</t>
    <rPh sb="0" eb="3">
      <t>ハカタエキ</t>
    </rPh>
    <rPh sb="3" eb="4">
      <t>ミナミ</t>
    </rPh>
    <phoneticPr fontId="3"/>
  </si>
  <si>
    <t>佐賀</t>
    <rPh sb="0" eb="2">
      <t>サガ</t>
    </rPh>
    <phoneticPr fontId="3"/>
  </si>
  <si>
    <t>マルキョウ</t>
  </si>
  <si>
    <t>清水</t>
    <rPh sb="0" eb="2">
      <t>シミズ</t>
    </rPh>
    <phoneticPr fontId="3"/>
  </si>
  <si>
    <t>韓国</t>
    <rPh sb="0" eb="2">
      <t>カンコク</t>
    </rPh>
    <phoneticPr fontId="4"/>
  </si>
  <si>
    <t>大橋</t>
    <rPh sb="0" eb="2">
      <t>オオハシ</t>
    </rPh>
    <phoneticPr fontId="3"/>
  </si>
  <si>
    <t>ダイキョーバリュー</t>
  </si>
  <si>
    <t>JA伊万里</t>
    <rPh sb="2" eb="5">
      <t>イマリ</t>
    </rPh>
    <phoneticPr fontId="3"/>
  </si>
  <si>
    <t>ボンラパス</t>
  </si>
  <si>
    <t>ニューヨークストア</t>
  </si>
  <si>
    <t>住吉</t>
    <rPh sb="0" eb="2">
      <t>スミヨシ</t>
    </rPh>
    <phoneticPr fontId="3"/>
  </si>
  <si>
    <t>JA全農ふくれん</t>
    <rPh sb="2" eb="4">
      <t>ゼンノウ</t>
    </rPh>
    <phoneticPr fontId="3"/>
  </si>
  <si>
    <t>栃木</t>
    <rPh sb="0" eb="2">
      <t>トチギ</t>
    </rPh>
    <phoneticPr fontId="4"/>
  </si>
  <si>
    <t>オレンジ</t>
    <phoneticPr fontId="3"/>
  </si>
  <si>
    <t>山神農園</t>
    <rPh sb="0" eb="4">
      <t>ヤマガミノウエン</t>
    </rPh>
    <phoneticPr fontId="3"/>
  </si>
  <si>
    <t>喜芳園</t>
    <rPh sb="0" eb="1">
      <t>ヨロコ</t>
    </rPh>
    <rPh sb="1" eb="2">
      <t>ヨシモト</t>
    </rPh>
    <rPh sb="2" eb="3">
      <t>¥</t>
    </rPh>
    <phoneticPr fontId="3"/>
  </si>
  <si>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</si>
  <si>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</si>
  <si>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</si>
  <si>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ＪＡ八女</t>
    <rPh sb="2" eb="4">
      <t>ヤメ</t>
    </rPh>
    <phoneticPr fontId="4"/>
  </si>
  <si>
    <t>甘夏</t>
    <rPh sb="0" eb="2">
      <t>アマナツ</t>
    </rPh>
    <phoneticPr fontId="3"/>
  </si>
  <si>
    <t>プラム</t>
    <phoneticPr fontId="3"/>
  </si>
  <si>
    <t>ぽんかん</t>
    <phoneticPr fontId="3"/>
  </si>
  <si>
    <t>アメリカンチェリー</t>
    <phoneticPr fontId="3"/>
  </si>
  <si>
    <t>山口</t>
    <rPh sb="0" eb="2">
      <t>ヤマグチ</t>
    </rPh>
    <phoneticPr fontId="3"/>
  </si>
  <si>
    <t>２番人気
果実</t>
    <phoneticPr fontId="3"/>
  </si>
  <si>
    <t>12.05.2020</t>
    <phoneticPr fontId="3"/>
  </si>
  <si>
    <t>ビッグ・エー</t>
  </si>
  <si>
    <t>江戸川本一色店</t>
    <rPh sb="0" eb="3">
      <t>エドガワ</t>
    </rPh>
    <rPh sb="3" eb="6">
      <t>ホンイッシキ</t>
    </rPh>
    <rPh sb="6" eb="7">
      <t>テン</t>
    </rPh>
    <phoneticPr fontId="3"/>
  </si>
  <si>
    <t>ビッグ・エー</t>
    <phoneticPr fontId="3"/>
  </si>
  <si>
    <t>東武ストア</t>
    <phoneticPr fontId="3"/>
  </si>
  <si>
    <t>新小岩店</t>
    <phoneticPr fontId="3"/>
  </si>
  <si>
    <t>ライフ</t>
    <phoneticPr fontId="3"/>
  </si>
  <si>
    <t>ヤマイチ</t>
    <phoneticPr fontId="3"/>
  </si>
  <si>
    <t>中央店</t>
    <rPh sb="0" eb="2">
      <t>チュウオウ</t>
    </rPh>
    <rPh sb="2" eb="3">
      <t>テン</t>
    </rPh>
    <phoneticPr fontId="3"/>
  </si>
  <si>
    <t>サミットストア</t>
    <phoneticPr fontId="3"/>
  </si>
  <si>
    <t>江戸川区役所前店</t>
    <rPh sb="0" eb="3">
      <t>エドガワ</t>
    </rPh>
    <rPh sb="3" eb="6">
      <t>クヤクショ</t>
    </rPh>
    <rPh sb="6" eb="7">
      <t>マエ</t>
    </rPh>
    <rPh sb="7" eb="8">
      <t>テン</t>
    </rPh>
    <phoneticPr fontId="3"/>
  </si>
  <si>
    <t>江戸川中央店</t>
    <rPh sb="0" eb="3">
      <t>エドガワ</t>
    </rPh>
    <rPh sb="3" eb="5">
      <t>チュウオウ</t>
    </rPh>
    <rPh sb="5" eb="6">
      <t>テン</t>
    </rPh>
    <phoneticPr fontId="3"/>
  </si>
  <si>
    <t>マックスバリュエクスプレス</t>
    <phoneticPr fontId="3"/>
  </si>
  <si>
    <t>松島店</t>
    <rPh sb="0" eb="1">
      <t>マツ</t>
    </rPh>
    <rPh sb="1" eb="2">
      <t>シマ</t>
    </rPh>
    <rPh sb="2" eb="3">
      <t>テン</t>
    </rPh>
    <phoneticPr fontId="3"/>
  </si>
  <si>
    <t>松江店</t>
    <phoneticPr fontId="3"/>
  </si>
  <si>
    <t>コモディイイダ</t>
    <phoneticPr fontId="3"/>
  </si>
  <si>
    <t>西瑞江店</t>
    <rPh sb="0" eb="3">
      <t>ニシミズエ</t>
    </rPh>
    <rPh sb="3" eb="4">
      <t>テン</t>
    </rPh>
    <phoneticPr fontId="3"/>
  </si>
  <si>
    <t>いなげや</t>
    <phoneticPr fontId="3"/>
  </si>
  <si>
    <t>江戸川春江店</t>
    <rPh sb="0" eb="3">
      <t>エドガワ</t>
    </rPh>
    <rPh sb="3" eb="5">
      <t>ハルエ</t>
    </rPh>
    <rPh sb="5" eb="6">
      <t>テン</t>
    </rPh>
    <phoneticPr fontId="3"/>
  </si>
  <si>
    <t>東武ストア</t>
  </si>
  <si>
    <t>新小岩店</t>
  </si>
  <si>
    <t>ヤマイチ</t>
  </si>
  <si>
    <t>サミットストア</t>
  </si>
  <si>
    <t>マックスバリュエクスプレス</t>
  </si>
  <si>
    <t>松江店</t>
  </si>
  <si>
    <t>コモディイイダ</t>
  </si>
  <si>
    <t>いなげや</t>
  </si>
  <si>
    <t>GA</t>
    <phoneticPr fontId="3"/>
  </si>
  <si>
    <t>15.05.2020</t>
    <phoneticPr fontId="3"/>
  </si>
  <si>
    <t>旬楽膳</t>
  </si>
  <si>
    <t>長久手店</t>
  </si>
  <si>
    <t>フェルナ</t>
  </si>
  <si>
    <t>段の上店</t>
  </si>
  <si>
    <t>アオキスーパー</t>
  </si>
  <si>
    <t>日進店</t>
  </si>
  <si>
    <t>ピアゴ</t>
  </si>
  <si>
    <t>長久手南店</t>
  </si>
  <si>
    <t>カネスエ</t>
  </si>
  <si>
    <t>アピタ</t>
  </si>
  <si>
    <t>藤が丘店</t>
  </si>
  <si>
    <t>カネトク</t>
  </si>
  <si>
    <t>シーズン</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</si>
</sst>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76" formatCode="_-&quot;¥&quot;* #,##0.00_-\ ;\-&quot;¥&quot;* #,##0.00_-\ ;_-&quot;¥&quot;* &quot;-&quot;??_-\ ;_-@_-"/>
    <numFmt numFmtId="177" formatCode="0.00_ "/>
    <numFmt numFmtId="178" formatCode="0.00_);[Red]\(0.00\)"/>
    <numFmt numFmtId="179" formatCode="0_ "/>
  </numFmts>
  <fonts count="19"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6"/>
      <name val="ＭＳ Ｐゴシック"/>
      <family val="3"/>
      <charset val="128"/>
      <scheme val="minor"/>
    </font>
    <font>
      <sz val="11"/>
      <color theme="1"/>
      <name val="ＭＳ Ｐゴシック"/>
      <family val="3"/>
      <charset val="128"/>
    </font>
    <font>
      <sz val="11"/>
      <name val="ＭＳ Ｐゴシック"/>
      <family val="3"/>
      <charset val="128"/>
      <scheme val="minor"/>
    </font>
    <font>
      <sz val="11"/>
      <color indexed="8"/>
      <name val="ＭＳ Ｐゴシック"/>
      <family val="3"/>
      <charset val="128"/>
    </font>
    <font>
      <sz val="11"/>
      <name val="ＭＳ Ｐゴシック"/>
      <family val="2"/>
      <charset val="128"/>
      <scheme val="minor"/>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39">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theme="0" tint="-0.14996795556505021"/>
      </left>
      <right/>
      <top style="thin">
        <color indexed="64"/>
      </top>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
      <left style="thin">
        <color theme="0" tint="-0.14993743705557422"/>
      </left>
      <right style="thin">
        <color theme="0" tint="-0.14990691854609822"/>
      </right>
      <top style="thin">
        <color theme="0" tint="-0.14990691854609822"/>
      </top>
      <bottom style="thin">
        <color theme="0" tint="-0.149906918546098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auto="1"/>
      </left>
      <right/>
      <top/>
      <bottom/>
      <diagonal/>
    </border>
    <border>
      <left style="hair">
        <color auto="1"/>
      </left>
      <right style="thin">
        <color auto="1"/>
      </right>
      <top/>
      <bottom/>
      <diagonal/>
    </border>
  </borders>
  <cellStyleXfs count="8">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cellStyleXfs>
  <cellXfs count="202">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1" fillId="0" borderId="0" xfId="1" applyFont="1" applyFill="1"/>
    <xf numFmtId="177" fontId="1" fillId="2" borderId="0" xfId="1" applyNumberFormat="1" applyFill="1"/>
    <xf numFmtId="14" fontId="1" fillId="0" borderId="0" xfId="5" applyNumberFormat="1" applyFont="1" applyFill="1" applyAlignment="1"/>
    <xf numFmtId="0" fontId="1" fillId="4" borderId="0" xfId="1" applyFill="1" applyBorder="1"/>
    <xf numFmtId="0" fontId="1" fillId="0" borderId="0" xfId="1" applyBorder="1"/>
    <xf numFmtId="0" fontId="1" fillId="4" borderId="0" xfId="1" applyFill="1"/>
    <xf numFmtId="0" fontId="1" fillId="4" borderId="8" xfId="1" applyFill="1" applyBorder="1"/>
    <xf numFmtId="0" fontId="1" fillId="0" borderId="8" xfId="1" applyBorder="1"/>
    <xf numFmtId="49" fontId="7" fillId="4" borderId="0" xfId="1" applyNumberFormat="1" applyFont="1" applyFill="1" applyBorder="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3" xfId="1" applyFill="1" applyBorder="1"/>
    <xf numFmtId="0" fontId="1" fillId="4" borderId="24" xfId="1" applyFill="1" applyBorder="1"/>
    <xf numFmtId="177" fontId="1" fillId="3" borderId="23" xfId="1" applyNumberFormat="1" applyFill="1" applyBorder="1"/>
    <xf numFmtId="0" fontId="1" fillId="4" borderId="25" xfId="1" applyFill="1" applyBorder="1"/>
    <xf numFmtId="0" fontId="1" fillId="3" borderId="26" xfId="1" applyFill="1" applyBorder="1"/>
    <xf numFmtId="0" fontId="1" fillId="4" borderId="27" xfId="1" applyFill="1" applyBorder="1"/>
    <xf numFmtId="0" fontId="1" fillId="4" borderId="28" xfId="1" applyFill="1" applyBorder="1"/>
    <xf numFmtId="0" fontId="1" fillId="4" borderId="28" xfId="1" applyFont="1" applyFill="1" applyBorder="1"/>
    <xf numFmtId="177" fontId="1" fillId="3" borderId="29" xfId="1" applyNumberFormat="1" applyFill="1" applyBorder="1"/>
    <xf numFmtId="0" fontId="1" fillId="0" borderId="30" xfId="1" applyBorder="1"/>
    <xf numFmtId="0" fontId="1" fillId="3" borderId="0" xfId="1" applyFill="1" applyBorder="1"/>
    <xf numFmtId="0" fontId="1" fillId="4" borderId="33" xfId="1" applyFill="1" applyBorder="1"/>
    <xf numFmtId="0" fontId="1" fillId="4" borderId="12" xfId="1" applyFill="1" applyBorder="1"/>
    <xf numFmtId="0" fontId="1" fillId="0" borderId="34" xfId="1" applyBorder="1"/>
    <xf numFmtId="0" fontId="1" fillId="0" borderId="32" xfId="1" applyBorder="1"/>
    <xf numFmtId="0" fontId="1" fillId="4" borderId="16" xfId="1" applyFill="1" applyBorder="1"/>
    <xf numFmtId="0" fontId="1" fillId="4" borderId="17" xfId="1" applyFill="1" applyBorder="1"/>
    <xf numFmtId="0" fontId="1" fillId="0" borderId="31" xfId="1" applyBorder="1"/>
    <xf numFmtId="0" fontId="1" fillId="0" borderId="33" xfId="1" applyBorder="1"/>
    <xf numFmtId="0" fontId="1" fillId="0" borderId="33" xfId="1" applyFont="1" applyBorder="1"/>
    <xf numFmtId="0" fontId="1" fillId="0" borderId="17" xfId="1" applyFill="1" applyBorder="1"/>
    <xf numFmtId="0" fontId="1" fillId="0" borderId="34" xfId="1" applyFont="1" applyBorder="1"/>
    <xf numFmtId="0" fontId="1" fillId="0" borderId="28" xfId="1" applyBorder="1"/>
    <xf numFmtId="0" fontId="1" fillId="0" borderId="0" xfId="1"/>
    <xf numFmtId="0" fontId="1" fillId="0" borderId="0" xfId="1" applyFill="1"/>
    <xf numFmtId="0" fontId="1" fillId="0" borderId="8" xfId="1" applyFill="1" applyBorder="1"/>
    <xf numFmtId="0" fontId="1" fillId="0" borderId="12" xfId="1" applyBorder="1"/>
    <xf numFmtId="0" fontId="1" fillId="0" borderId="12" xfId="1" applyFill="1" applyBorder="1"/>
    <xf numFmtId="0" fontId="1" fillId="0" borderId="16" xfId="1" applyFont="1" applyFill="1" applyBorder="1"/>
    <xf numFmtId="49" fontId="2" fillId="5" borderId="3" xfId="1" applyNumberFormat="1" applyFont="1" applyFill="1" applyBorder="1" applyAlignment="1">
      <alignment horizontal="center" vertical="center" wrapText="1"/>
    </xf>
    <xf numFmtId="0" fontId="1" fillId="0" borderId="0" xfId="5" applyFont="1" applyFill="1" applyAlignment="1"/>
    <xf numFmtId="0" fontId="1" fillId="0" borderId="7" xfId="1" applyFill="1" applyBorder="1"/>
    <xf numFmtId="0" fontId="0" fillId="0" borderId="12" xfId="1" applyFont="1" applyBorder="1"/>
    <xf numFmtId="0" fontId="0" fillId="0" borderId="22" xfId="0" applyBorder="1" applyAlignment="1"/>
    <xf numFmtId="0" fontId="0" fillId="0" borderId="12" xfId="0" applyBorder="1" applyAlignment="1"/>
    <xf numFmtId="0" fontId="1" fillId="4" borderId="35" xfId="1" applyFill="1" applyBorder="1"/>
    <xf numFmtId="0" fontId="1" fillId="4" borderId="36" xfId="1" applyFill="1" applyBorder="1"/>
    <xf numFmtId="14" fontId="0" fillId="4" borderId="36" xfId="1" applyNumberFormat="1" applyFont="1" applyFill="1" applyBorder="1"/>
    <xf numFmtId="49" fontId="2" fillId="0" borderId="2" xfId="1" applyNumberFormat="1" applyFont="1" applyBorder="1" applyAlignment="1">
      <alignment horizontal="center" vertical="center" wrapText="1"/>
    </xf>
    <xf numFmtId="49" fontId="2" fillId="0" borderId="3" xfId="1" applyNumberFormat="1" applyFont="1" applyBorder="1" applyAlignment="1">
      <alignment horizontal="center" vertical="center" wrapText="1"/>
    </xf>
    <xf numFmtId="49" fontId="5" fillId="0" borderId="3" xfId="1" applyNumberFormat="1" applyFont="1" applyBorder="1" applyAlignment="1">
      <alignment horizontal="center" vertical="center" wrapText="1"/>
    </xf>
    <xf numFmtId="49" fontId="7" fillId="0" borderId="5" xfId="1" applyNumberFormat="1" applyFont="1" applyBorder="1" applyAlignment="1">
      <alignment horizontal="center" vertical="center" wrapText="1"/>
    </xf>
    <xf numFmtId="49" fontId="8" fillId="0" borderId="6" xfId="1" applyNumberFormat="1" applyFont="1" applyBorder="1" applyAlignment="1">
      <alignment horizontal="center" vertical="center" wrapText="1"/>
    </xf>
    <xf numFmtId="49" fontId="7" fillId="0" borderId="0" xfId="1" applyNumberFormat="1" applyFont="1" applyAlignment="1">
      <alignment horizontal="center" vertical="center" wrapText="1"/>
    </xf>
    <xf numFmtId="0" fontId="10" fillId="0" borderId="7" xfId="1" applyFont="1" applyBorder="1"/>
    <xf numFmtId="0" fontId="0" fillId="0" borderId="12" xfId="0" applyBorder="1" applyAlignment="1">
      <alignment horizontal="center"/>
    </xf>
    <xf numFmtId="0" fontId="1" fillId="0" borderId="7" xfId="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 fillId="0" borderId="18" xfId="1" applyBorder="1"/>
    <xf numFmtId="0" fontId="1" fillId="2" borderId="0" xfId="1" applyFill="1" applyAlignment="1">
      <alignment horizontal="right"/>
    </xf>
    <xf numFmtId="56" fontId="1" fillId="0" borderId="0" xfId="1" applyNumberFormat="1" applyFont="1"/>
    <xf numFmtId="178" fontId="1" fillId="3" borderId="0" xfId="1" applyNumberFormat="1" applyFont="1" applyFill="1" applyAlignment="1">
      <alignment horizontal="right"/>
    </xf>
    <xf numFmtId="0" fontId="1" fillId="3" borderId="0" xfId="1" applyFont="1" applyFill="1"/>
    <xf numFmtId="0" fontId="1" fillId="0" borderId="7" xfId="1" applyFont="1" applyBorder="1"/>
    <xf numFmtId="0" fontId="1" fillId="0" borderId="8" xfId="1" applyFont="1" applyBorder="1"/>
    <xf numFmtId="0" fontId="1" fillId="0" borderId="9" xfId="1" applyFont="1" applyBorder="1" applyAlignment="1">
      <alignment wrapText="1"/>
    </xf>
    <xf numFmtId="0" fontId="1" fillId="0" borderId="10" xfId="1" applyFont="1" applyBorder="1" applyAlignment="1">
      <alignment wrapText="1"/>
    </xf>
    <xf numFmtId="0" fontId="1" fillId="0" borderId="11" xfId="1" applyFont="1" applyBorder="1" applyAlignment="1">
      <alignment wrapText="1"/>
    </xf>
    <xf numFmtId="178" fontId="1" fillId="2" borderId="0" xfId="1" applyNumberFormat="1" applyFont="1" applyFill="1" applyAlignment="1">
      <alignment horizontal="right"/>
    </xf>
    <xf numFmtId="0" fontId="1" fillId="2" borderId="0" xfId="1" applyFont="1" applyFill="1"/>
    <xf numFmtId="0" fontId="1" fillId="0" borderId="12" xfId="1" applyFont="1" applyBorder="1"/>
    <xf numFmtId="0" fontId="1" fillId="0" borderId="13" xfId="1" applyFont="1" applyBorder="1" applyAlignment="1">
      <alignment wrapText="1"/>
    </xf>
    <xf numFmtId="0" fontId="1" fillId="0" borderId="14" xfId="1" applyFont="1" applyBorder="1" applyAlignment="1">
      <alignment wrapText="1"/>
    </xf>
    <xf numFmtId="0" fontId="1" fillId="0" borderId="15" xfId="1" applyFont="1" applyBorder="1" applyAlignment="1">
      <alignment wrapText="1"/>
    </xf>
    <xf numFmtId="0" fontId="1" fillId="0" borderId="16" xfId="1" applyFont="1" applyBorder="1"/>
    <xf numFmtId="0" fontId="1" fillId="0" borderId="17" xfId="1" applyFont="1" applyBorder="1"/>
    <xf numFmtId="0" fontId="1" fillId="0" borderId="18" xfId="1" applyFont="1" applyBorder="1"/>
    <xf numFmtId="0" fontId="1" fillId="4" borderId="12" xfId="1" applyFont="1" applyFill="1" applyBorder="1"/>
    <xf numFmtId="0" fontId="1" fillId="0" borderId="19" xfId="1" applyFont="1" applyBorder="1" applyAlignment="1">
      <alignment wrapText="1"/>
    </xf>
    <xf numFmtId="0" fontId="1" fillId="0" borderId="20" xfId="1" applyFont="1" applyBorder="1" applyAlignment="1">
      <alignment wrapText="1"/>
    </xf>
    <xf numFmtId="0" fontId="1" fillId="0" borderId="21" xfId="1" applyFont="1" applyBorder="1" applyAlignment="1">
      <alignment wrapText="1"/>
    </xf>
    <xf numFmtId="0" fontId="1" fillId="2" borderId="0" xfId="1" applyFont="1" applyFill="1" applyAlignment="1">
      <alignment horizontal="right"/>
    </xf>
    <xf numFmtId="0" fontId="15" fillId="0" borderId="0" xfId="1" applyFont="1"/>
    <xf numFmtId="0" fontId="15" fillId="0" borderId="12" xfId="0" applyFont="1" applyBorder="1" applyAlignment="1">
      <alignment horizontal="center"/>
    </xf>
    <xf numFmtId="14" fontId="15" fillId="0" borderId="0" xfId="1" applyNumberFormat="1" applyFont="1"/>
    <xf numFmtId="0" fontId="15" fillId="0" borderId="12" xfId="1" applyFont="1" applyBorder="1"/>
    <xf numFmtId="49" fontId="2" fillId="3" borderId="3" xfId="1" applyNumberFormat="1" applyFont="1" applyFill="1" applyBorder="1" applyAlignment="1">
      <alignment horizontal="center" vertical="center" wrapText="1"/>
    </xf>
    <xf numFmtId="0" fontId="2" fillId="3" borderId="3" xfId="1" applyFont="1" applyFill="1" applyBorder="1" applyAlignment="1">
      <alignment horizontal="center" vertical="center" wrapText="1"/>
    </xf>
    <xf numFmtId="177" fontId="1" fillId="2" borderId="0" xfId="1" applyNumberFormat="1" applyFont="1" applyFill="1"/>
    <xf numFmtId="177" fontId="1" fillId="3" borderId="0" xfId="1" applyNumberFormat="1" applyFont="1" applyFill="1"/>
    <xf numFmtId="0" fontId="1" fillId="0" borderId="37" xfId="2" applyFont="1" applyBorder="1" applyAlignment="1">
      <alignment horizontal="center" vertical="center"/>
    </xf>
    <xf numFmtId="0" fontId="1" fillId="0" borderId="38" xfId="2" applyFont="1" applyBorder="1" applyAlignment="1">
      <alignment horizontal="center" vertical="center"/>
    </xf>
    <xf numFmtId="0" fontId="1" fillId="0" borderId="12" xfId="2" applyFont="1" applyBorder="1" applyAlignment="1">
      <alignment horizontal="center" vertical="center"/>
    </xf>
    <xf numFmtId="0" fontId="1" fillId="0" borderId="0" xfId="2" applyFont="1">
      <alignment vertical="center"/>
    </xf>
    <xf numFmtId="49" fontId="2" fillId="6" borderId="1" xfId="5" applyNumberFormat="1" applyFont="1" applyFill="1" applyBorder="1" applyAlignment="1">
      <alignment horizontal="center" vertical="center" wrapText="1"/>
    </xf>
    <xf numFmtId="49" fontId="2" fillId="0" borderId="2" xfId="5" applyNumberFormat="1" applyFont="1" applyBorder="1" applyAlignment="1">
      <alignment horizontal="center" vertical="center" wrapText="1"/>
    </xf>
    <xf numFmtId="49" fontId="2" fillId="0" borderId="3" xfId="5" applyNumberFormat="1" applyFont="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Border="1" applyAlignment="1">
      <alignment horizontal="center" vertical="center" wrapText="1"/>
    </xf>
    <xf numFmtId="0" fontId="1" fillId="0" borderId="0" xfId="5" applyAlignment="1"/>
    <xf numFmtId="49" fontId="8" fillId="0" borderId="6" xfId="5" applyNumberFormat="1" applyFont="1" applyBorder="1" applyAlignment="1">
      <alignment horizontal="center" vertical="center" wrapText="1"/>
    </xf>
    <xf numFmtId="49" fontId="7" fillId="0" borderId="0" xfId="5" applyNumberFormat="1" applyFont="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4" fontId="1" fillId="0" borderId="0" xfId="5" applyNumberFormat="1" applyAlignment="1"/>
    <xf numFmtId="178" fontId="1" fillId="2" borderId="0" xfId="5" applyNumberFormat="1" applyFill="1" applyAlignment="1"/>
    <xf numFmtId="0" fontId="1" fillId="2" borderId="0" xfId="5" applyFill="1" applyAlignment="1"/>
    <xf numFmtId="179" fontId="1" fillId="2" borderId="0" xfId="5" applyNumberFormat="1" applyFill="1" applyAlignment="1"/>
    <xf numFmtId="0" fontId="10" fillId="0" borderId="7" xfId="5" applyFont="1" applyBorder="1" applyAlignment="1"/>
    <xf numFmtId="0" fontId="1" fillId="0" borderId="8" xfId="5" applyBorder="1" applyAlignment="1"/>
    <xf numFmtId="0" fontId="1" fillId="0" borderId="7" xfId="5" applyBorder="1" applyAlignment="1"/>
    <xf numFmtId="0" fontId="1" fillId="0" borderId="9" xfId="5" applyBorder="1" applyAlignment="1">
      <alignment wrapText="1"/>
    </xf>
    <xf numFmtId="0" fontId="1" fillId="0" borderId="10" xfId="5" applyBorder="1" applyAlignment="1">
      <alignment wrapText="1"/>
    </xf>
    <xf numFmtId="0" fontId="1" fillId="0" borderId="11" xfId="5" applyBorder="1" applyAlignment="1">
      <alignment wrapText="1"/>
    </xf>
    <xf numFmtId="0" fontId="10" fillId="0" borderId="12" xfId="5" applyFont="1" applyBorder="1" applyAlignment="1"/>
    <xf numFmtId="0" fontId="1" fillId="0" borderId="12" xfId="5" applyBorder="1" applyAlignment="1"/>
    <xf numFmtId="0" fontId="1" fillId="0" borderId="13" xfId="5" applyBorder="1" applyAlignment="1">
      <alignment wrapText="1"/>
    </xf>
    <xf numFmtId="0" fontId="1" fillId="0" borderId="14" xfId="5" applyBorder="1" applyAlignment="1">
      <alignment wrapText="1"/>
    </xf>
    <xf numFmtId="0" fontId="1" fillId="0" borderId="15" xfId="5" applyBorder="1" applyAlignment="1">
      <alignment wrapText="1"/>
    </xf>
    <xf numFmtId="0" fontId="1" fillId="0" borderId="16" xfId="5" applyBorder="1" applyAlignment="1"/>
    <xf numFmtId="0" fontId="1" fillId="0" borderId="17" xfId="5" applyBorder="1" applyAlignment="1"/>
    <xf numFmtId="0" fontId="1" fillId="0" borderId="18" xfId="5" applyBorder="1" applyAlignment="1"/>
    <xf numFmtId="0" fontId="1" fillId="0" borderId="19" xfId="5" applyBorder="1" applyAlignment="1">
      <alignment wrapText="1"/>
    </xf>
    <xf numFmtId="0" fontId="1" fillId="0" borderId="20" xfId="5" applyBorder="1" applyAlignment="1">
      <alignment wrapText="1"/>
    </xf>
    <xf numFmtId="0" fontId="1" fillId="0" borderId="21" xfId="5" applyBorder="1" applyAlignment="1">
      <alignment wrapText="1"/>
    </xf>
    <xf numFmtId="0" fontId="10" fillId="0" borderId="16" xfId="5" applyFont="1" applyBorder="1" applyAlignment="1"/>
    <xf numFmtId="1" fontId="1" fillId="2" borderId="0" xfId="1" applyNumberFormat="1" applyFill="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0" fillId="0" borderId="16" xfId="1" applyFont="1" applyBorder="1"/>
    <xf numFmtId="0" fontId="0" fillId="0" borderId="17" xfId="1" applyFont="1" applyBorder="1"/>
    <xf numFmtId="0" fontId="1" fillId="0" borderId="0" xfId="1" applyAlignment="1">
      <alignment horizontal="center"/>
    </xf>
    <xf numFmtId="14" fontId="17" fillId="0" borderId="0" xfId="1" applyNumberFormat="1" applyFont="1" applyAlignment="1">
      <alignment horizontal="center"/>
    </xf>
    <xf numFmtId="0" fontId="18" fillId="0" borderId="1" xfId="0" applyFont="1" applyBorder="1">
      <alignment vertical="center"/>
    </xf>
    <xf numFmtId="0" fontId="16" fillId="0" borderId="4" xfId="0" applyFont="1" applyBorder="1">
      <alignment vertical="center"/>
    </xf>
    <xf numFmtId="0" fontId="16" fillId="0" borderId="1" xfId="0" applyFont="1" applyBorder="1">
      <alignment vertical="center"/>
    </xf>
    <xf numFmtId="0" fontId="17" fillId="0" borderId="0" xfId="1" applyFont="1"/>
    <xf numFmtId="0" fontId="16" fillId="0" borderId="6" xfId="0" applyFont="1" applyBorder="1">
      <alignment vertical="center"/>
    </xf>
    <xf numFmtId="49" fontId="8" fillId="0" borderId="22" xfId="1" applyNumberFormat="1" applyFont="1" applyBorder="1" applyAlignment="1">
      <alignment horizontal="center" vertical="center" wrapText="1"/>
    </xf>
    <xf numFmtId="49" fontId="1" fillId="0" borderId="0" xfId="1" applyNumberFormat="1" applyAlignment="1">
      <alignment horizontal="right"/>
    </xf>
    <xf numFmtId="0" fontId="1" fillId="0" borderId="7" xfId="1" applyBorder="1" applyProtection="1">
      <protection locked="0"/>
    </xf>
    <xf numFmtId="0" fontId="1" fillId="0" borderId="8" xfId="1" applyBorder="1" applyProtection="1">
      <protection locked="0"/>
    </xf>
    <xf numFmtId="0" fontId="11" fillId="0" borderId="0" xfId="7">
      <alignment vertical="center"/>
    </xf>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14" fontId="17" fillId="0" borderId="0" xfId="1" applyNumberFormat="1" applyFont="1"/>
    <xf numFmtId="0" fontId="1" fillId="0" borderId="12" xfId="1" applyFont="1" applyBorder="1" applyAlignment="1">
      <alignment shrinkToFit="1"/>
    </xf>
  </cellXfs>
  <cellStyles count="8">
    <cellStyle name="桁区切り[0]" xfId="3" xr:uid="{00000000-0005-0000-0000-000000000000}"/>
    <cellStyle name="通貨[0]" xfId="4" xr:uid="{00000000-0005-0000-0000-000001000000}"/>
    <cellStyle name="標準" xfId="0" builtinId="0"/>
    <cellStyle name="標準 2" xfId="1" xr:uid="{00000000-0005-0000-0000-000003000000}"/>
    <cellStyle name="標準 2 2" xfId="5" xr:uid="{00000000-0005-0000-0000-000004000000}"/>
    <cellStyle name="標準 3" xfId="2" xr:uid="{00000000-0005-0000-0000-000005000000}"/>
    <cellStyle name="標準 3 2" xfId="7" xr:uid="{00000000-0005-0000-0000-000006000000}"/>
    <cellStyle name="標準 4" xfId="6" xr:uid="{00000000-0005-0000-0000-000007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Zespri%20Shopsurvey_nagoya_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onishi)"/>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0B972-C203-470A-BB86-9C3ADE42A75E}">
  <dimension ref="A1:BA154"/>
  <sheetViews>
    <sheetView tabSelected="1" zoomScale="85" zoomScaleNormal="85" workbookViewId="0">
      <pane ySplit="1" topLeftCell="A2" activePane="bottomLeft" state="frozen"/>
      <selection pane="bottomLeft" activeCell="M7" sqref="M7"/>
    </sheetView>
  </sheetViews>
  <sheetFormatPr defaultRowHeight="13.5" x14ac:dyDescent="0.15"/>
  <cols>
    <col min="1" max="3" width="9" style="77"/>
    <col min="4" max="4" width="10.5" style="77" bestFit="1" customWidth="1"/>
    <col min="5" max="5" width="10.875" style="77" bestFit="1" customWidth="1"/>
    <col min="6" max="13" width="9" style="77"/>
    <col min="14" max="14" width="9.5" style="77" bestFit="1" customWidth="1"/>
    <col min="15" max="16" width="9" style="77"/>
    <col min="17" max="17" width="9" style="105"/>
    <col min="18" max="18" width="9" style="77"/>
    <col min="19" max="19" width="12.75" style="77" bestFit="1" customWidth="1"/>
    <col min="20" max="20" width="9" style="16"/>
    <col min="21" max="21" width="9.5" style="77" bestFit="1" customWidth="1"/>
    <col min="22" max="22" width="9" style="16"/>
    <col min="23" max="32" width="9" style="77"/>
    <col min="33" max="33" width="13.875" style="77" bestFit="1" customWidth="1"/>
    <col min="34" max="259" width="9" style="77"/>
    <col min="260" max="260" width="10.5" style="77" bestFit="1" customWidth="1"/>
    <col min="261" max="261" width="10.875" style="77" bestFit="1" customWidth="1"/>
    <col min="262" max="276" width="9" style="77"/>
    <col min="277" max="277" width="9.5" style="77" bestFit="1" customWidth="1"/>
    <col min="278" max="288" width="9" style="77"/>
    <col min="289" max="289" width="12.375" style="77" bestFit="1" customWidth="1"/>
    <col min="290" max="515" width="9" style="77"/>
    <col min="516" max="516" width="10.5" style="77" bestFit="1" customWidth="1"/>
    <col min="517" max="517" width="10.875" style="77" bestFit="1" customWidth="1"/>
    <col min="518" max="532" width="9" style="77"/>
    <col min="533" max="533" width="9.5" style="77" bestFit="1" customWidth="1"/>
    <col min="534" max="544" width="9" style="77"/>
    <col min="545" max="545" width="12.375" style="77" bestFit="1" customWidth="1"/>
    <col min="546" max="771" width="9" style="77"/>
    <col min="772" max="772" width="10.5" style="77" bestFit="1" customWidth="1"/>
    <col min="773" max="773" width="10.875" style="77" bestFit="1" customWidth="1"/>
    <col min="774" max="788" width="9" style="77"/>
    <col min="789" max="789" width="9.5" style="77" bestFit="1" customWidth="1"/>
    <col min="790" max="800" width="9" style="77"/>
    <col min="801" max="801" width="12.375" style="77" bestFit="1" customWidth="1"/>
    <col min="802" max="1027" width="9" style="77"/>
    <col min="1028" max="1028" width="10.5" style="77" bestFit="1" customWidth="1"/>
    <col min="1029" max="1029" width="10.875" style="77" bestFit="1" customWidth="1"/>
    <col min="1030" max="1044" width="9" style="77"/>
    <col min="1045" max="1045" width="9.5" style="77" bestFit="1" customWidth="1"/>
    <col min="1046" max="1056" width="9" style="77"/>
    <col min="1057" max="1057" width="12.375" style="77" bestFit="1" customWidth="1"/>
    <col min="1058" max="1283" width="9" style="77"/>
    <col min="1284" max="1284" width="10.5" style="77" bestFit="1" customWidth="1"/>
    <col min="1285" max="1285" width="10.875" style="77" bestFit="1" customWidth="1"/>
    <col min="1286" max="1300" width="9" style="77"/>
    <col min="1301" max="1301" width="9.5" style="77" bestFit="1" customWidth="1"/>
    <col min="1302" max="1312" width="9" style="77"/>
    <col min="1313" max="1313" width="12.375" style="77" bestFit="1" customWidth="1"/>
    <col min="1314" max="1539" width="9" style="77"/>
    <col min="1540" max="1540" width="10.5" style="77" bestFit="1" customWidth="1"/>
    <col min="1541" max="1541" width="10.875" style="77" bestFit="1" customWidth="1"/>
    <col min="1542" max="1556" width="9" style="77"/>
    <col min="1557" max="1557" width="9.5" style="77" bestFit="1" customWidth="1"/>
    <col min="1558" max="1568" width="9" style="77"/>
    <col min="1569" max="1569" width="12.375" style="77" bestFit="1" customWidth="1"/>
    <col min="1570" max="1795" width="9" style="77"/>
    <col min="1796" max="1796" width="10.5" style="77" bestFit="1" customWidth="1"/>
    <col min="1797" max="1797" width="10.875" style="77" bestFit="1" customWidth="1"/>
    <col min="1798" max="1812" width="9" style="77"/>
    <col min="1813" max="1813" width="9.5" style="77" bestFit="1" customWidth="1"/>
    <col min="1814" max="1824" width="9" style="77"/>
    <col min="1825" max="1825" width="12.375" style="77" bestFit="1" customWidth="1"/>
    <col min="1826" max="2051" width="9" style="77"/>
    <col min="2052" max="2052" width="10.5" style="77" bestFit="1" customWidth="1"/>
    <col min="2053" max="2053" width="10.875" style="77" bestFit="1" customWidth="1"/>
    <col min="2054" max="2068" width="9" style="77"/>
    <col min="2069" max="2069" width="9.5" style="77" bestFit="1" customWidth="1"/>
    <col min="2070" max="2080" width="9" style="77"/>
    <col min="2081" max="2081" width="12.375" style="77" bestFit="1" customWidth="1"/>
    <col min="2082" max="2307" width="9" style="77"/>
    <col min="2308" max="2308" width="10.5" style="77" bestFit="1" customWidth="1"/>
    <col min="2309" max="2309" width="10.875" style="77" bestFit="1" customWidth="1"/>
    <col min="2310" max="2324" width="9" style="77"/>
    <col min="2325" max="2325" width="9.5" style="77" bestFit="1" customWidth="1"/>
    <col min="2326" max="2336" width="9" style="77"/>
    <col min="2337" max="2337" width="12.375" style="77" bestFit="1" customWidth="1"/>
    <col min="2338" max="2563" width="9" style="77"/>
    <col min="2564" max="2564" width="10.5" style="77" bestFit="1" customWidth="1"/>
    <col min="2565" max="2565" width="10.875" style="77" bestFit="1" customWidth="1"/>
    <col min="2566" max="2580" width="9" style="77"/>
    <col min="2581" max="2581" width="9.5" style="77" bestFit="1" customWidth="1"/>
    <col min="2582" max="2592" width="9" style="77"/>
    <col min="2593" max="2593" width="12.375" style="77" bestFit="1" customWidth="1"/>
    <col min="2594" max="2819" width="9" style="77"/>
    <col min="2820" max="2820" width="10.5" style="77" bestFit="1" customWidth="1"/>
    <col min="2821" max="2821" width="10.875" style="77" bestFit="1" customWidth="1"/>
    <col min="2822" max="2836" width="9" style="77"/>
    <col min="2837" max="2837" width="9.5" style="77" bestFit="1" customWidth="1"/>
    <col min="2838" max="2848" width="9" style="77"/>
    <col min="2849" max="2849" width="12.375" style="77" bestFit="1" customWidth="1"/>
    <col min="2850" max="3075" width="9" style="77"/>
    <col min="3076" max="3076" width="10.5" style="77" bestFit="1" customWidth="1"/>
    <col min="3077" max="3077" width="10.875" style="77" bestFit="1" customWidth="1"/>
    <col min="3078" max="3092" width="9" style="77"/>
    <col min="3093" max="3093" width="9.5" style="77" bestFit="1" customWidth="1"/>
    <col min="3094" max="3104" width="9" style="77"/>
    <col min="3105" max="3105" width="12.375" style="77" bestFit="1" customWidth="1"/>
    <col min="3106" max="3331" width="9" style="77"/>
    <col min="3332" max="3332" width="10.5" style="77" bestFit="1" customWidth="1"/>
    <col min="3333" max="3333" width="10.875" style="77" bestFit="1" customWidth="1"/>
    <col min="3334" max="3348" width="9" style="77"/>
    <col min="3349" max="3349" width="9.5" style="77" bestFit="1" customWidth="1"/>
    <col min="3350" max="3360" width="9" style="77"/>
    <col min="3361" max="3361" width="12.375" style="77" bestFit="1" customWidth="1"/>
    <col min="3362" max="3587" width="9" style="77"/>
    <col min="3588" max="3588" width="10.5" style="77" bestFit="1" customWidth="1"/>
    <col min="3589" max="3589" width="10.875" style="77" bestFit="1" customWidth="1"/>
    <col min="3590" max="3604" width="9" style="77"/>
    <col min="3605" max="3605" width="9.5" style="77" bestFit="1" customWidth="1"/>
    <col min="3606" max="3616" width="9" style="77"/>
    <col min="3617" max="3617" width="12.375" style="77" bestFit="1" customWidth="1"/>
    <col min="3618" max="3843" width="9" style="77"/>
    <col min="3844" max="3844" width="10.5" style="77" bestFit="1" customWidth="1"/>
    <col min="3845" max="3845" width="10.875" style="77" bestFit="1" customWidth="1"/>
    <col min="3846" max="3860" width="9" style="77"/>
    <col min="3861" max="3861" width="9.5" style="77" bestFit="1" customWidth="1"/>
    <col min="3862" max="3872" width="9" style="77"/>
    <col min="3873" max="3873" width="12.375" style="77" bestFit="1" customWidth="1"/>
    <col min="3874" max="4099" width="9" style="77"/>
    <col min="4100" max="4100" width="10.5" style="77" bestFit="1" customWidth="1"/>
    <col min="4101" max="4101" width="10.875" style="77" bestFit="1" customWidth="1"/>
    <col min="4102" max="4116" width="9" style="77"/>
    <col min="4117" max="4117" width="9.5" style="77" bestFit="1" customWidth="1"/>
    <col min="4118" max="4128" width="9" style="77"/>
    <col min="4129" max="4129" width="12.375" style="77" bestFit="1" customWidth="1"/>
    <col min="4130" max="4355" width="9" style="77"/>
    <col min="4356" max="4356" width="10.5" style="77" bestFit="1" customWidth="1"/>
    <col min="4357" max="4357" width="10.875" style="77" bestFit="1" customWidth="1"/>
    <col min="4358" max="4372" width="9" style="77"/>
    <col min="4373" max="4373" width="9.5" style="77" bestFit="1" customWidth="1"/>
    <col min="4374" max="4384" width="9" style="77"/>
    <col min="4385" max="4385" width="12.375" style="77" bestFit="1" customWidth="1"/>
    <col min="4386" max="4611" width="9" style="77"/>
    <col min="4612" max="4612" width="10.5" style="77" bestFit="1" customWidth="1"/>
    <col min="4613" max="4613" width="10.875" style="77" bestFit="1" customWidth="1"/>
    <col min="4614" max="4628" width="9" style="77"/>
    <col min="4629" max="4629" width="9.5" style="77" bestFit="1" customWidth="1"/>
    <col min="4630" max="4640" width="9" style="77"/>
    <col min="4641" max="4641" width="12.375" style="77" bestFit="1" customWidth="1"/>
    <col min="4642" max="4867" width="9" style="77"/>
    <col min="4868" max="4868" width="10.5" style="77" bestFit="1" customWidth="1"/>
    <col min="4869" max="4869" width="10.875" style="77" bestFit="1" customWidth="1"/>
    <col min="4870" max="4884" width="9" style="77"/>
    <col min="4885" max="4885" width="9.5" style="77" bestFit="1" customWidth="1"/>
    <col min="4886" max="4896" width="9" style="77"/>
    <col min="4897" max="4897" width="12.375" style="77" bestFit="1" customWidth="1"/>
    <col min="4898" max="5123" width="9" style="77"/>
    <col min="5124" max="5124" width="10.5" style="77" bestFit="1" customWidth="1"/>
    <col min="5125" max="5125" width="10.875" style="77" bestFit="1" customWidth="1"/>
    <col min="5126" max="5140" width="9" style="77"/>
    <col min="5141" max="5141" width="9.5" style="77" bestFit="1" customWidth="1"/>
    <col min="5142" max="5152" width="9" style="77"/>
    <col min="5153" max="5153" width="12.375" style="77" bestFit="1" customWidth="1"/>
    <col min="5154" max="5379" width="9" style="77"/>
    <col min="5380" max="5380" width="10.5" style="77" bestFit="1" customWidth="1"/>
    <col min="5381" max="5381" width="10.875" style="77" bestFit="1" customWidth="1"/>
    <col min="5382" max="5396" width="9" style="77"/>
    <col min="5397" max="5397" width="9.5" style="77" bestFit="1" customWidth="1"/>
    <col min="5398" max="5408" width="9" style="77"/>
    <col min="5409" max="5409" width="12.375" style="77" bestFit="1" customWidth="1"/>
    <col min="5410" max="5635" width="9" style="77"/>
    <col min="5636" max="5636" width="10.5" style="77" bestFit="1" customWidth="1"/>
    <col min="5637" max="5637" width="10.875" style="77" bestFit="1" customWidth="1"/>
    <col min="5638" max="5652" width="9" style="77"/>
    <col min="5653" max="5653" width="9.5" style="77" bestFit="1" customWidth="1"/>
    <col min="5654" max="5664" width="9" style="77"/>
    <col min="5665" max="5665" width="12.375" style="77" bestFit="1" customWidth="1"/>
    <col min="5666" max="5891" width="9" style="77"/>
    <col min="5892" max="5892" width="10.5" style="77" bestFit="1" customWidth="1"/>
    <col min="5893" max="5893" width="10.875" style="77" bestFit="1" customWidth="1"/>
    <col min="5894" max="5908" width="9" style="77"/>
    <col min="5909" max="5909" width="9.5" style="77" bestFit="1" customWidth="1"/>
    <col min="5910" max="5920" width="9" style="77"/>
    <col min="5921" max="5921" width="12.375" style="77" bestFit="1" customWidth="1"/>
    <col min="5922" max="6147" width="9" style="77"/>
    <col min="6148" max="6148" width="10.5" style="77" bestFit="1" customWidth="1"/>
    <col min="6149" max="6149" width="10.875" style="77" bestFit="1" customWidth="1"/>
    <col min="6150" max="6164" width="9" style="77"/>
    <col min="6165" max="6165" width="9.5" style="77" bestFit="1" customWidth="1"/>
    <col min="6166" max="6176" width="9" style="77"/>
    <col min="6177" max="6177" width="12.375" style="77" bestFit="1" customWidth="1"/>
    <col min="6178" max="6403" width="9" style="77"/>
    <col min="6404" max="6404" width="10.5" style="77" bestFit="1" customWidth="1"/>
    <col min="6405" max="6405" width="10.875" style="77" bestFit="1" customWidth="1"/>
    <col min="6406" max="6420" width="9" style="77"/>
    <col min="6421" max="6421" width="9.5" style="77" bestFit="1" customWidth="1"/>
    <col min="6422" max="6432" width="9" style="77"/>
    <col min="6433" max="6433" width="12.375" style="77" bestFit="1" customWidth="1"/>
    <col min="6434" max="6659" width="9" style="77"/>
    <col min="6660" max="6660" width="10.5" style="77" bestFit="1" customWidth="1"/>
    <col min="6661" max="6661" width="10.875" style="77" bestFit="1" customWidth="1"/>
    <col min="6662" max="6676" width="9" style="77"/>
    <col min="6677" max="6677" width="9.5" style="77" bestFit="1" customWidth="1"/>
    <col min="6678" max="6688" width="9" style="77"/>
    <col min="6689" max="6689" width="12.375" style="77" bestFit="1" customWidth="1"/>
    <col min="6690" max="6915" width="9" style="77"/>
    <col min="6916" max="6916" width="10.5" style="77" bestFit="1" customWidth="1"/>
    <col min="6917" max="6917" width="10.875" style="77" bestFit="1" customWidth="1"/>
    <col min="6918" max="6932" width="9" style="77"/>
    <col min="6933" max="6933" width="9.5" style="77" bestFit="1" customWidth="1"/>
    <col min="6934" max="6944" width="9" style="77"/>
    <col min="6945" max="6945" width="12.375" style="77" bestFit="1" customWidth="1"/>
    <col min="6946" max="7171" width="9" style="77"/>
    <col min="7172" max="7172" width="10.5" style="77" bestFit="1" customWidth="1"/>
    <col min="7173" max="7173" width="10.875" style="77" bestFit="1" customWidth="1"/>
    <col min="7174" max="7188" width="9" style="77"/>
    <col min="7189" max="7189" width="9.5" style="77" bestFit="1" customWidth="1"/>
    <col min="7190" max="7200" width="9" style="77"/>
    <col min="7201" max="7201" width="12.375" style="77" bestFit="1" customWidth="1"/>
    <col min="7202" max="7427" width="9" style="77"/>
    <col min="7428" max="7428" width="10.5" style="77" bestFit="1" customWidth="1"/>
    <col min="7429" max="7429" width="10.875" style="77" bestFit="1" customWidth="1"/>
    <col min="7430" max="7444" width="9" style="77"/>
    <col min="7445" max="7445" width="9.5" style="77" bestFit="1" customWidth="1"/>
    <col min="7446" max="7456" width="9" style="77"/>
    <col min="7457" max="7457" width="12.375" style="77" bestFit="1" customWidth="1"/>
    <col min="7458" max="7683" width="9" style="77"/>
    <col min="7684" max="7684" width="10.5" style="77" bestFit="1" customWidth="1"/>
    <col min="7685" max="7685" width="10.875" style="77" bestFit="1" customWidth="1"/>
    <col min="7686" max="7700" width="9" style="77"/>
    <col min="7701" max="7701" width="9.5" style="77" bestFit="1" customWidth="1"/>
    <col min="7702" max="7712" width="9" style="77"/>
    <col min="7713" max="7713" width="12.375" style="77" bestFit="1" customWidth="1"/>
    <col min="7714" max="7939" width="9" style="77"/>
    <col min="7940" max="7940" width="10.5" style="77" bestFit="1" customWidth="1"/>
    <col min="7941" max="7941" width="10.875" style="77" bestFit="1" customWidth="1"/>
    <col min="7942" max="7956" width="9" style="77"/>
    <col min="7957" max="7957" width="9.5" style="77" bestFit="1" customWidth="1"/>
    <col min="7958" max="7968" width="9" style="77"/>
    <col min="7969" max="7969" width="12.375" style="77" bestFit="1" customWidth="1"/>
    <col min="7970" max="8195" width="9" style="77"/>
    <col min="8196" max="8196" width="10.5" style="77" bestFit="1" customWidth="1"/>
    <col min="8197" max="8197" width="10.875" style="77" bestFit="1" customWidth="1"/>
    <col min="8198" max="8212" width="9" style="77"/>
    <col min="8213" max="8213" width="9.5" style="77" bestFit="1" customWidth="1"/>
    <col min="8214" max="8224" width="9" style="77"/>
    <col min="8225" max="8225" width="12.375" style="77" bestFit="1" customWidth="1"/>
    <col min="8226" max="8451" width="9" style="77"/>
    <col min="8452" max="8452" width="10.5" style="77" bestFit="1" customWidth="1"/>
    <col min="8453" max="8453" width="10.875" style="77" bestFit="1" customWidth="1"/>
    <col min="8454" max="8468" width="9" style="77"/>
    <col min="8469" max="8469" width="9.5" style="77" bestFit="1" customWidth="1"/>
    <col min="8470" max="8480" width="9" style="77"/>
    <col min="8481" max="8481" width="12.375" style="77" bestFit="1" customWidth="1"/>
    <col min="8482" max="8707" width="9" style="77"/>
    <col min="8708" max="8708" width="10.5" style="77" bestFit="1" customWidth="1"/>
    <col min="8709" max="8709" width="10.875" style="77" bestFit="1" customWidth="1"/>
    <col min="8710" max="8724" width="9" style="77"/>
    <col min="8725" max="8725" width="9.5" style="77" bestFit="1" customWidth="1"/>
    <col min="8726" max="8736" width="9" style="77"/>
    <col min="8737" max="8737" width="12.375" style="77" bestFit="1" customWidth="1"/>
    <col min="8738" max="8963" width="9" style="77"/>
    <col min="8964" max="8964" width="10.5" style="77" bestFit="1" customWidth="1"/>
    <col min="8965" max="8965" width="10.875" style="77" bestFit="1" customWidth="1"/>
    <col min="8966" max="8980" width="9" style="77"/>
    <col min="8981" max="8981" width="9.5" style="77" bestFit="1" customWidth="1"/>
    <col min="8982" max="8992" width="9" style="77"/>
    <col min="8993" max="8993" width="12.375" style="77" bestFit="1" customWidth="1"/>
    <col min="8994" max="9219" width="9" style="77"/>
    <col min="9220" max="9220" width="10.5" style="77" bestFit="1" customWidth="1"/>
    <col min="9221" max="9221" width="10.875" style="77" bestFit="1" customWidth="1"/>
    <col min="9222" max="9236" width="9" style="77"/>
    <col min="9237" max="9237" width="9.5" style="77" bestFit="1" customWidth="1"/>
    <col min="9238" max="9248" width="9" style="77"/>
    <col min="9249" max="9249" width="12.375" style="77" bestFit="1" customWidth="1"/>
    <col min="9250" max="9475" width="9" style="77"/>
    <col min="9476" max="9476" width="10.5" style="77" bestFit="1" customWidth="1"/>
    <col min="9477" max="9477" width="10.875" style="77" bestFit="1" customWidth="1"/>
    <col min="9478" max="9492" width="9" style="77"/>
    <col min="9493" max="9493" width="9.5" style="77" bestFit="1" customWidth="1"/>
    <col min="9494" max="9504" width="9" style="77"/>
    <col min="9505" max="9505" width="12.375" style="77" bestFit="1" customWidth="1"/>
    <col min="9506" max="9731" width="9" style="77"/>
    <col min="9732" max="9732" width="10.5" style="77" bestFit="1" customWidth="1"/>
    <col min="9733" max="9733" width="10.875" style="77" bestFit="1" customWidth="1"/>
    <col min="9734" max="9748" width="9" style="77"/>
    <col min="9749" max="9749" width="9.5" style="77" bestFit="1" customWidth="1"/>
    <col min="9750" max="9760" width="9" style="77"/>
    <col min="9761" max="9761" width="12.375" style="77" bestFit="1" customWidth="1"/>
    <col min="9762" max="9987" width="9" style="77"/>
    <col min="9988" max="9988" width="10.5" style="77" bestFit="1" customWidth="1"/>
    <col min="9989" max="9989" width="10.875" style="77" bestFit="1" customWidth="1"/>
    <col min="9990" max="10004" width="9" style="77"/>
    <col min="10005" max="10005" width="9.5" style="77" bestFit="1" customWidth="1"/>
    <col min="10006" max="10016" width="9" style="77"/>
    <col min="10017" max="10017" width="12.375" style="77" bestFit="1" customWidth="1"/>
    <col min="10018" max="10243" width="9" style="77"/>
    <col min="10244" max="10244" width="10.5" style="77" bestFit="1" customWidth="1"/>
    <col min="10245" max="10245" width="10.875" style="77" bestFit="1" customWidth="1"/>
    <col min="10246" max="10260" width="9" style="77"/>
    <col min="10261" max="10261" width="9.5" style="77" bestFit="1" customWidth="1"/>
    <col min="10262" max="10272" width="9" style="77"/>
    <col min="10273" max="10273" width="12.375" style="77" bestFit="1" customWidth="1"/>
    <col min="10274" max="10499" width="9" style="77"/>
    <col min="10500" max="10500" width="10.5" style="77" bestFit="1" customWidth="1"/>
    <col min="10501" max="10501" width="10.875" style="77" bestFit="1" customWidth="1"/>
    <col min="10502" max="10516" width="9" style="77"/>
    <col min="10517" max="10517" width="9.5" style="77" bestFit="1" customWidth="1"/>
    <col min="10518" max="10528" width="9" style="77"/>
    <col min="10529" max="10529" width="12.375" style="77" bestFit="1" customWidth="1"/>
    <col min="10530" max="10755" width="9" style="77"/>
    <col min="10756" max="10756" width="10.5" style="77" bestFit="1" customWidth="1"/>
    <col min="10757" max="10757" width="10.875" style="77" bestFit="1" customWidth="1"/>
    <col min="10758" max="10772" width="9" style="77"/>
    <col min="10773" max="10773" width="9.5" style="77" bestFit="1" customWidth="1"/>
    <col min="10774" max="10784" width="9" style="77"/>
    <col min="10785" max="10785" width="12.375" style="77" bestFit="1" customWidth="1"/>
    <col min="10786" max="11011" width="9" style="77"/>
    <col min="11012" max="11012" width="10.5" style="77" bestFit="1" customWidth="1"/>
    <col min="11013" max="11013" width="10.875" style="77" bestFit="1" customWidth="1"/>
    <col min="11014" max="11028" width="9" style="77"/>
    <col min="11029" max="11029" width="9.5" style="77" bestFit="1" customWidth="1"/>
    <col min="11030" max="11040" width="9" style="77"/>
    <col min="11041" max="11041" width="12.375" style="77" bestFit="1" customWidth="1"/>
    <col min="11042" max="11267" width="9" style="77"/>
    <col min="11268" max="11268" width="10.5" style="77" bestFit="1" customWidth="1"/>
    <col min="11269" max="11269" width="10.875" style="77" bestFit="1" customWidth="1"/>
    <col min="11270" max="11284" width="9" style="77"/>
    <col min="11285" max="11285" width="9.5" style="77" bestFit="1" customWidth="1"/>
    <col min="11286" max="11296" width="9" style="77"/>
    <col min="11297" max="11297" width="12.375" style="77" bestFit="1" customWidth="1"/>
    <col min="11298" max="11523" width="9" style="77"/>
    <col min="11524" max="11524" width="10.5" style="77" bestFit="1" customWidth="1"/>
    <col min="11525" max="11525" width="10.875" style="77" bestFit="1" customWidth="1"/>
    <col min="11526" max="11540" width="9" style="77"/>
    <col min="11541" max="11541" width="9.5" style="77" bestFit="1" customWidth="1"/>
    <col min="11542" max="11552" width="9" style="77"/>
    <col min="11553" max="11553" width="12.375" style="77" bestFit="1" customWidth="1"/>
    <col min="11554" max="11779" width="9" style="77"/>
    <col min="11780" max="11780" width="10.5" style="77" bestFit="1" customWidth="1"/>
    <col min="11781" max="11781" width="10.875" style="77" bestFit="1" customWidth="1"/>
    <col min="11782" max="11796" width="9" style="77"/>
    <col min="11797" max="11797" width="9.5" style="77" bestFit="1" customWidth="1"/>
    <col min="11798" max="11808" width="9" style="77"/>
    <col min="11809" max="11809" width="12.375" style="77" bestFit="1" customWidth="1"/>
    <col min="11810" max="12035" width="9" style="77"/>
    <col min="12036" max="12036" width="10.5" style="77" bestFit="1" customWidth="1"/>
    <col min="12037" max="12037" width="10.875" style="77" bestFit="1" customWidth="1"/>
    <col min="12038" max="12052" width="9" style="77"/>
    <col min="12053" max="12053" width="9.5" style="77" bestFit="1" customWidth="1"/>
    <col min="12054" max="12064" width="9" style="77"/>
    <col min="12065" max="12065" width="12.375" style="77" bestFit="1" customWidth="1"/>
    <col min="12066" max="12291" width="9" style="77"/>
    <col min="12292" max="12292" width="10.5" style="77" bestFit="1" customWidth="1"/>
    <col min="12293" max="12293" width="10.875" style="77" bestFit="1" customWidth="1"/>
    <col min="12294" max="12308" width="9" style="77"/>
    <col min="12309" max="12309" width="9.5" style="77" bestFit="1" customWidth="1"/>
    <col min="12310" max="12320" width="9" style="77"/>
    <col min="12321" max="12321" width="12.375" style="77" bestFit="1" customWidth="1"/>
    <col min="12322" max="12547" width="9" style="77"/>
    <col min="12548" max="12548" width="10.5" style="77" bestFit="1" customWidth="1"/>
    <col min="12549" max="12549" width="10.875" style="77" bestFit="1" customWidth="1"/>
    <col min="12550" max="12564" width="9" style="77"/>
    <col min="12565" max="12565" width="9.5" style="77" bestFit="1" customWidth="1"/>
    <col min="12566" max="12576" width="9" style="77"/>
    <col min="12577" max="12577" width="12.375" style="77" bestFit="1" customWidth="1"/>
    <col min="12578" max="12803" width="9" style="77"/>
    <col min="12804" max="12804" width="10.5" style="77" bestFit="1" customWidth="1"/>
    <col min="12805" max="12805" width="10.875" style="77" bestFit="1" customWidth="1"/>
    <col min="12806" max="12820" width="9" style="77"/>
    <col min="12821" max="12821" width="9.5" style="77" bestFit="1" customWidth="1"/>
    <col min="12822" max="12832" width="9" style="77"/>
    <col min="12833" max="12833" width="12.375" style="77" bestFit="1" customWidth="1"/>
    <col min="12834" max="13059" width="9" style="77"/>
    <col min="13060" max="13060" width="10.5" style="77" bestFit="1" customWidth="1"/>
    <col min="13061" max="13061" width="10.875" style="77" bestFit="1" customWidth="1"/>
    <col min="13062" max="13076" width="9" style="77"/>
    <col min="13077" max="13077" width="9.5" style="77" bestFit="1" customWidth="1"/>
    <col min="13078" max="13088" width="9" style="77"/>
    <col min="13089" max="13089" width="12.375" style="77" bestFit="1" customWidth="1"/>
    <col min="13090" max="13315" width="9" style="77"/>
    <col min="13316" max="13316" width="10.5" style="77" bestFit="1" customWidth="1"/>
    <col min="13317" max="13317" width="10.875" style="77" bestFit="1" customWidth="1"/>
    <col min="13318" max="13332" width="9" style="77"/>
    <col min="13333" max="13333" width="9.5" style="77" bestFit="1" customWidth="1"/>
    <col min="13334" max="13344" width="9" style="77"/>
    <col min="13345" max="13345" width="12.375" style="77" bestFit="1" customWidth="1"/>
    <col min="13346" max="13571" width="9" style="77"/>
    <col min="13572" max="13572" width="10.5" style="77" bestFit="1" customWidth="1"/>
    <col min="13573" max="13573" width="10.875" style="77" bestFit="1" customWidth="1"/>
    <col min="13574" max="13588" width="9" style="77"/>
    <col min="13589" max="13589" width="9.5" style="77" bestFit="1" customWidth="1"/>
    <col min="13590" max="13600" width="9" style="77"/>
    <col min="13601" max="13601" width="12.375" style="77" bestFit="1" customWidth="1"/>
    <col min="13602" max="13827" width="9" style="77"/>
    <col min="13828" max="13828" width="10.5" style="77" bestFit="1" customWidth="1"/>
    <col min="13829" max="13829" width="10.875" style="77" bestFit="1" customWidth="1"/>
    <col min="13830" max="13844" width="9" style="77"/>
    <col min="13845" max="13845" width="9.5" style="77" bestFit="1" customWidth="1"/>
    <col min="13846" max="13856" width="9" style="77"/>
    <col min="13857" max="13857" width="12.375" style="77" bestFit="1" customWidth="1"/>
    <col min="13858" max="14083" width="9" style="77"/>
    <col min="14084" max="14084" width="10.5" style="77" bestFit="1" customWidth="1"/>
    <col min="14085" max="14085" width="10.875" style="77" bestFit="1" customWidth="1"/>
    <col min="14086" max="14100" width="9" style="77"/>
    <col min="14101" max="14101" width="9.5" style="77" bestFit="1" customWidth="1"/>
    <col min="14102" max="14112" width="9" style="77"/>
    <col min="14113" max="14113" width="12.375" style="77" bestFit="1" customWidth="1"/>
    <col min="14114" max="14339" width="9" style="77"/>
    <col min="14340" max="14340" width="10.5" style="77" bestFit="1" customWidth="1"/>
    <col min="14341" max="14341" width="10.875" style="77" bestFit="1" customWidth="1"/>
    <col min="14342" max="14356" width="9" style="77"/>
    <col min="14357" max="14357" width="9.5" style="77" bestFit="1" customWidth="1"/>
    <col min="14358" max="14368" width="9" style="77"/>
    <col min="14369" max="14369" width="12.375" style="77" bestFit="1" customWidth="1"/>
    <col min="14370" max="14595" width="9" style="77"/>
    <col min="14596" max="14596" width="10.5" style="77" bestFit="1" customWidth="1"/>
    <col min="14597" max="14597" width="10.875" style="77" bestFit="1" customWidth="1"/>
    <col min="14598" max="14612" width="9" style="77"/>
    <col min="14613" max="14613" width="9.5" style="77" bestFit="1" customWidth="1"/>
    <col min="14614" max="14624" width="9" style="77"/>
    <col min="14625" max="14625" width="12.375" style="77" bestFit="1" customWidth="1"/>
    <col min="14626" max="14851" width="9" style="77"/>
    <col min="14852" max="14852" width="10.5" style="77" bestFit="1" customWidth="1"/>
    <col min="14853" max="14853" width="10.875" style="77" bestFit="1" customWidth="1"/>
    <col min="14854" max="14868" width="9" style="77"/>
    <col min="14869" max="14869" width="9.5" style="77" bestFit="1" customWidth="1"/>
    <col min="14870" max="14880" width="9" style="77"/>
    <col min="14881" max="14881" width="12.375" style="77" bestFit="1" customWidth="1"/>
    <col min="14882" max="15107" width="9" style="77"/>
    <col min="15108" max="15108" width="10.5" style="77" bestFit="1" customWidth="1"/>
    <col min="15109" max="15109" width="10.875" style="77" bestFit="1" customWidth="1"/>
    <col min="15110" max="15124" width="9" style="77"/>
    <col min="15125" max="15125" width="9.5" style="77" bestFit="1" customWidth="1"/>
    <col min="15126" max="15136" width="9" style="77"/>
    <col min="15137" max="15137" width="12.375" style="77" bestFit="1" customWidth="1"/>
    <col min="15138" max="15363" width="9" style="77"/>
    <col min="15364" max="15364" width="10.5" style="77" bestFit="1" customWidth="1"/>
    <col min="15365" max="15365" width="10.875" style="77" bestFit="1" customWidth="1"/>
    <col min="15366" max="15380" width="9" style="77"/>
    <col min="15381" max="15381" width="9.5" style="77" bestFit="1" customWidth="1"/>
    <col min="15382" max="15392" width="9" style="77"/>
    <col min="15393" max="15393" width="12.375" style="77" bestFit="1" customWidth="1"/>
    <col min="15394" max="15619" width="9" style="77"/>
    <col min="15620" max="15620" width="10.5" style="77" bestFit="1" customWidth="1"/>
    <col min="15621" max="15621" width="10.875" style="77" bestFit="1" customWidth="1"/>
    <col min="15622" max="15636" width="9" style="77"/>
    <col min="15637" max="15637" width="9.5" style="77" bestFit="1" customWidth="1"/>
    <col min="15638" max="15648" width="9" style="77"/>
    <col min="15649" max="15649" width="12.375" style="77" bestFit="1" customWidth="1"/>
    <col min="15650" max="15875" width="9" style="77"/>
    <col min="15876" max="15876" width="10.5" style="77" bestFit="1" customWidth="1"/>
    <col min="15877" max="15877" width="10.875" style="77" bestFit="1" customWidth="1"/>
    <col min="15878" max="15892" width="9" style="77"/>
    <col min="15893" max="15893" width="9.5" style="77" bestFit="1" customWidth="1"/>
    <col min="15894" max="15904" width="9" style="77"/>
    <col min="15905" max="15905" width="12.375" style="77" bestFit="1" customWidth="1"/>
    <col min="15906" max="16131" width="9" style="77"/>
    <col min="16132" max="16132" width="10.5" style="77" bestFit="1" customWidth="1"/>
    <col min="16133" max="16133" width="10.875" style="77" bestFit="1" customWidth="1"/>
    <col min="16134" max="16148" width="9" style="77"/>
    <col min="16149" max="16149" width="9.5" style="77" bestFit="1" customWidth="1"/>
    <col min="16150" max="16160" width="9" style="77"/>
    <col min="16161" max="16161" width="12.375" style="77" bestFit="1" customWidth="1"/>
    <col min="16162" max="16384" width="9" style="77"/>
  </cols>
  <sheetData>
    <row r="1" spans="1:53" ht="45" x14ac:dyDescent="0.15">
      <c r="A1" s="40" t="s">
        <v>0</v>
      </c>
      <c r="B1" s="92" t="s">
        <v>1</v>
      </c>
      <c r="C1" s="92" t="s">
        <v>118</v>
      </c>
      <c r="D1" s="93" t="s">
        <v>2</v>
      </c>
      <c r="E1" s="83" t="s">
        <v>3</v>
      </c>
      <c r="F1" s="83" t="s">
        <v>4</v>
      </c>
      <c r="G1" s="83" t="s">
        <v>5</v>
      </c>
      <c r="H1" s="83" t="s">
        <v>6</v>
      </c>
      <c r="I1" s="83" t="s">
        <v>7</v>
      </c>
      <c r="J1" s="83" t="s">
        <v>8</v>
      </c>
      <c r="K1" s="83" t="s">
        <v>9</v>
      </c>
      <c r="L1" s="93" t="s">
        <v>119</v>
      </c>
      <c r="M1" s="93" t="s">
        <v>10</v>
      </c>
      <c r="N1" s="93" t="s">
        <v>11</v>
      </c>
      <c r="O1" s="93" t="s">
        <v>120</v>
      </c>
      <c r="P1" s="93" t="s">
        <v>121</v>
      </c>
      <c r="Q1" s="3" t="s">
        <v>12</v>
      </c>
      <c r="R1" s="93" t="s">
        <v>122</v>
      </c>
      <c r="S1" s="93" t="s">
        <v>123</v>
      </c>
      <c r="T1" s="3" t="s">
        <v>13</v>
      </c>
      <c r="U1" s="94" t="s">
        <v>92</v>
      </c>
      <c r="V1" s="5" t="s">
        <v>14</v>
      </c>
      <c r="W1" s="93" t="s">
        <v>15</v>
      </c>
      <c r="X1" s="83" t="s">
        <v>16</v>
      </c>
      <c r="Y1" s="83" t="s">
        <v>17</v>
      </c>
      <c r="Z1" s="83" t="s">
        <v>18</v>
      </c>
      <c r="AA1" s="42" t="s">
        <v>19</v>
      </c>
      <c r="AB1" s="95" t="s">
        <v>124</v>
      </c>
      <c r="AE1" s="96" t="s">
        <v>0</v>
      </c>
      <c r="AF1" s="97"/>
      <c r="AG1" s="96" t="s">
        <v>3</v>
      </c>
      <c r="AH1" s="96" t="s">
        <v>4</v>
      </c>
      <c r="AI1" s="97"/>
      <c r="AJ1" s="96" t="s">
        <v>5</v>
      </c>
      <c r="AK1" s="97"/>
      <c r="AL1" s="10" t="s">
        <v>173</v>
      </c>
      <c r="AM1" s="97"/>
      <c r="AN1" s="10" t="s">
        <v>7</v>
      </c>
      <c r="AO1" s="97"/>
      <c r="AP1" s="10" t="s">
        <v>20</v>
      </c>
      <c r="AQ1" s="97"/>
      <c r="AR1" s="10" t="s">
        <v>9</v>
      </c>
      <c r="AS1" s="97"/>
      <c r="AT1" s="11" t="s">
        <v>21</v>
      </c>
      <c r="AU1" s="97"/>
      <c r="AV1" s="10" t="s">
        <v>22</v>
      </c>
      <c r="AX1" s="12" t="s">
        <v>125</v>
      </c>
      <c r="AY1" s="13" t="s">
        <v>126</v>
      </c>
      <c r="AZ1" s="13" t="s">
        <v>127</v>
      </c>
      <c r="BA1" s="14" t="s">
        <v>128</v>
      </c>
    </row>
    <row r="2" spans="1:53" s="36" customFormat="1" ht="13.5" customHeight="1" x14ac:dyDescent="0.15">
      <c r="A2" s="36" t="s">
        <v>24</v>
      </c>
      <c r="B2" s="36" t="s">
        <v>174</v>
      </c>
      <c r="C2" s="36">
        <v>2020</v>
      </c>
      <c r="D2" s="106" t="s">
        <v>175</v>
      </c>
      <c r="E2" s="36" t="s">
        <v>176</v>
      </c>
      <c r="F2" s="36" t="s">
        <v>177</v>
      </c>
      <c r="G2" s="36" t="s">
        <v>25</v>
      </c>
      <c r="H2" s="36" t="s">
        <v>113</v>
      </c>
      <c r="I2" s="36" t="s">
        <v>111</v>
      </c>
      <c r="J2" s="36" t="s">
        <v>27</v>
      </c>
      <c r="K2" s="36" t="s">
        <v>112</v>
      </c>
      <c r="L2" s="36">
        <v>1</v>
      </c>
      <c r="N2" s="128">
        <v>1</v>
      </c>
      <c r="O2" s="36">
        <v>0.5</v>
      </c>
      <c r="P2" s="36">
        <v>0.5</v>
      </c>
      <c r="Q2" s="107">
        <f t="shared" ref="Q2:Q65" si="0">IF(OR(O2="",P2=""),"",AVERAGE(O2,P2))</f>
        <v>0.5</v>
      </c>
      <c r="R2" s="36">
        <v>13.8</v>
      </c>
      <c r="S2" s="36">
        <v>118</v>
      </c>
      <c r="T2" s="108">
        <f t="shared" ref="T2:T59" si="1">IF(H2="","",IF(OR(H2="GREEN",H2="GK"),IF(S2&gt;=$AX$2,VLOOKUP(S2,$AX$2:$AY$12,2,1),""),IF(S2&gt;=$AZ$2,VLOOKUP(S2,$AZ$2:$BA$12,2,1),"")))</f>
        <v>30</v>
      </c>
      <c r="U2" s="36">
        <v>127</v>
      </c>
      <c r="V2" s="108">
        <f t="shared" ref="V2:V65" si="2">IF(OR(N2="",U2="",T2=""),"",U2/N2*T2)</f>
        <v>3810</v>
      </c>
      <c r="W2" s="36">
        <v>3</v>
      </c>
      <c r="X2" s="36" t="s">
        <v>35</v>
      </c>
      <c r="Y2" s="36" t="s">
        <v>36</v>
      </c>
      <c r="Z2" s="36" t="s">
        <v>43</v>
      </c>
      <c r="AA2" s="36" t="s">
        <v>55</v>
      </c>
      <c r="AB2" s="128" t="s">
        <v>178</v>
      </c>
      <c r="AE2" s="109" t="s">
        <v>24</v>
      </c>
      <c r="AG2" s="129" t="s">
        <v>179</v>
      </c>
      <c r="AH2" s="129" t="s">
        <v>180</v>
      </c>
      <c r="AJ2" s="110" t="s">
        <v>25</v>
      </c>
      <c r="AL2" s="109" t="s">
        <v>107</v>
      </c>
      <c r="AN2" s="110" t="s">
        <v>26</v>
      </c>
      <c r="AP2" s="110" t="s">
        <v>27</v>
      </c>
      <c r="AR2" s="110" t="s">
        <v>129</v>
      </c>
      <c r="AT2" s="110" t="s">
        <v>28</v>
      </c>
      <c r="AV2" s="110" t="s">
        <v>29</v>
      </c>
      <c r="AX2" s="111">
        <v>1</v>
      </c>
      <c r="AY2" s="112">
        <v>50</v>
      </c>
      <c r="AZ2" s="112">
        <v>1</v>
      </c>
      <c r="BA2" s="113">
        <v>50</v>
      </c>
    </row>
    <row r="3" spans="1:53" s="36" customFormat="1" ht="13.5" customHeight="1" x14ac:dyDescent="0.15">
      <c r="A3" s="36" t="s">
        <v>24</v>
      </c>
      <c r="B3" s="36" t="s">
        <v>174</v>
      </c>
      <c r="C3" s="36">
        <v>2020</v>
      </c>
      <c r="D3" s="130" t="s">
        <v>175</v>
      </c>
      <c r="E3" s="36" t="s">
        <v>176</v>
      </c>
      <c r="F3" s="36" t="s">
        <v>177</v>
      </c>
      <c r="G3" s="36" t="s">
        <v>25</v>
      </c>
      <c r="H3" s="36" t="s">
        <v>113</v>
      </c>
      <c r="I3" s="36" t="s">
        <v>111</v>
      </c>
      <c r="J3" s="36" t="s">
        <v>27</v>
      </c>
      <c r="K3" s="36" t="s">
        <v>112</v>
      </c>
      <c r="L3" s="36">
        <v>2</v>
      </c>
      <c r="N3" s="36">
        <v>1</v>
      </c>
      <c r="O3" s="128">
        <v>0.5</v>
      </c>
      <c r="P3" s="36">
        <v>0.5</v>
      </c>
      <c r="Q3" s="114">
        <f t="shared" si="0"/>
        <v>0.5</v>
      </c>
      <c r="R3" s="36">
        <v>12.8</v>
      </c>
      <c r="S3" s="36">
        <v>121</v>
      </c>
      <c r="T3" s="115">
        <f t="shared" si="1"/>
        <v>27</v>
      </c>
      <c r="U3" s="36">
        <v>127</v>
      </c>
      <c r="V3" s="115">
        <f t="shared" si="2"/>
        <v>3429</v>
      </c>
      <c r="W3" s="36">
        <v>3</v>
      </c>
      <c r="X3" s="36" t="s">
        <v>35</v>
      </c>
      <c r="Y3" s="36" t="s">
        <v>36</v>
      </c>
      <c r="Z3" s="36" t="s">
        <v>43</v>
      </c>
      <c r="AA3" s="36" t="s">
        <v>55</v>
      </c>
      <c r="AB3" s="128" t="s">
        <v>178</v>
      </c>
      <c r="AE3" s="116" t="s">
        <v>30</v>
      </c>
      <c r="AG3" s="129" t="s">
        <v>181</v>
      </c>
      <c r="AH3" s="129" t="s">
        <v>182</v>
      </c>
      <c r="AJ3" s="116" t="s">
        <v>31</v>
      </c>
      <c r="AL3" s="116" t="s">
        <v>108</v>
      </c>
      <c r="AN3" s="116" t="s">
        <v>32</v>
      </c>
      <c r="AP3" s="116" t="s">
        <v>33</v>
      </c>
      <c r="AR3" s="116" t="s">
        <v>34</v>
      </c>
      <c r="AT3" s="116" t="s">
        <v>35</v>
      </c>
      <c r="AV3" s="116" t="s">
        <v>36</v>
      </c>
      <c r="AX3" s="117">
        <v>72</v>
      </c>
      <c r="AY3" s="118">
        <v>46</v>
      </c>
      <c r="AZ3" s="118">
        <v>71</v>
      </c>
      <c r="BA3" s="119">
        <v>42</v>
      </c>
    </row>
    <row r="4" spans="1:53" s="36" customFormat="1" ht="13.5" customHeight="1" x14ac:dyDescent="0.15">
      <c r="A4" s="36" t="s">
        <v>24</v>
      </c>
      <c r="B4" s="36" t="s">
        <v>174</v>
      </c>
      <c r="C4" s="36">
        <v>2020</v>
      </c>
      <c r="D4" s="130" t="s">
        <v>175</v>
      </c>
      <c r="E4" s="36" t="s">
        <v>176</v>
      </c>
      <c r="F4" s="36" t="s">
        <v>177</v>
      </c>
      <c r="G4" s="36" t="s">
        <v>25</v>
      </c>
      <c r="H4" s="36" t="s">
        <v>113</v>
      </c>
      <c r="I4" s="36" t="s">
        <v>111</v>
      </c>
      <c r="J4" s="36" t="s">
        <v>27</v>
      </c>
      <c r="K4" s="36" t="s">
        <v>112</v>
      </c>
      <c r="L4" s="36">
        <v>3</v>
      </c>
      <c r="N4" s="36">
        <v>1</v>
      </c>
      <c r="O4" s="36">
        <v>0.8</v>
      </c>
      <c r="P4" s="36">
        <v>1</v>
      </c>
      <c r="Q4" s="114">
        <f t="shared" si="0"/>
        <v>0.9</v>
      </c>
      <c r="R4" s="36">
        <v>12.9</v>
      </c>
      <c r="S4" s="36">
        <v>125</v>
      </c>
      <c r="T4" s="115">
        <f t="shared" si="1"/>
        <v>27</v>
      </c>
      <c r="U4" s="36">
        <v>127</v>
      </c>
      <c r="V4" s="115">
        <f t="shared" si="2"/>
        <v>3429</v>
      </c>
      <c r="W4" s="36">
        <v>3</v>
      </c>
      <c r="X4" s="36" t="s">
        <v>35</v>
      </c>
      <c r="Y4" s="36" t="s">
        <v>36</v>
      </c>
      <c r="Z4" s="36" t="s">
        <v>43</v>
      </c>
      <c r="AA4" s="36" t="s">
        <v>55</v>
      </c>
      <c r="AB4" s="128" t="s">
        <v>178</v>
      </c>
      <c r="AE4" s="116" t="s">
        <v>23</v>
      </c>
      <c r="AG4" s="129" t="s">
        <v>183</v>
      </c>
      <c r="AH4" s="129" t="s">
        <v>184</v>
      </c>
      <c r="AJ4" s="120" t="s">
        <v>37</v>
      </c>
      <c r="AL4" s="116" t="s">
        <v>109</v>
      </c>
      <c r="AN4" s="121" t="s">
        <v>38</v>
      </c>
      <c r="AP4" s="116" t="s">
        <v>130</v>
      </c>
      <c r="AR4" s="116" t="s">
        <v>131</v>
      </c>
      <c r="AT4" s="121"/>
      <c r="AV4" s="116" t="s">
        <v>39</v>
      </c>
      <c r="AX4" s="117">
        <v>75</v>
      </c>
      <c r="AY4" s="118">
        <v>42</v>
      </c>
      <c r="AZ4" s="118">
        <v>76</v>
      </c>
      <c r="BA4" s="119">
        <v>39</v>
      </c>
    </row>
    <row r="5" spans="1:53" s="36" customFormat="1" ht="13.5" customHeight="1" x14ac:dyDescent="0.15">
      <c r="A5" s="36" t="s">
        <v>24</v>
      </c>
      <c r="B5" s="36" t="s">
        <v>174</v>
      </c>
      <c r="C5" s="36">
        <v>2020</v>
      </c>
      <c r="D5" s="130" t="s">
        <v>175</v>
      </c>
      <c r="E5" s="36" t="s">
        <v>176</v>
      </c>
      <c r="F5" s="36" t="s">
        <v>177</v>
      </c>
      <c r="G5" s="36" t="s">
        <v>25</v>
      </c>
      <c r="H5" s="36" t="s">
        <v>113</v>
      </c>
      <c r="I5" s="36" t="s">
        <v>111</v>
      </c>
      <c r="J5" s="36" t="s">
        <v>27</v>
      </c>
      <c r="K5" s="36" t="s">
        <v>112</v>
      </c>
      <c r="L5" s="36">
        <v>1</v>
      </c>
      <c r="N5" s="36">
        <v>5</v>
      </c>
      <c r="O5" s="36">
        <v>2</v>
      </c>
      <c r="P5" s="36">
        <v>1.8</v>
      </c>
      <c r="Q5" s="114">
        <f t="shared" si="0"/>
        <v>1.9</v>
      </c>
      <c r="R5" s="36">
        <v>15.7</v>
      </c>
      <c r="S5" s="36">
        <v>76</v>
      </c>
      <c r="T5" s="115">
        <f t="shared" si="1"/>
        <v>39</v>
      </c>
      <c r="U5" s="36">
        <v>397</v>
      </c>
      <c r="V5" s="115">
        <f t="shared" si="2"/>
        <v>3096.6000000000004</v>
      </c>
      <c r="W5" s="36">
        <v>2</v>
      </c>
      <c r="X5" s="36" t="s">
        <v>35</v>
      </c>
      <c r="Y5" s="36" t="s">
        <v>36</v>
      </c>
      <c r="Z5" s="36" t="s">
        <v>43</v>
      </c>
      <c r="AA5" s="36" t="s">
        <v>55</v>
      </c>
      <c r="AB5" s="128" t="s">
        <v>178</v>
      </c>
      <c r="AE5" s="116" t="s">
        <v>40</v>
      </c>
      <c r="AG5" s="129" t="s">
        <v>185</v>
      </c>
      <c r="AH5" s="129" t="s">
        <v>186</v>
      </c>
      <c r="AJ5" s="121"/>
      <c r="AL5" s="116" t="s">
        <v>132</v>
      </c>
      <c r="AN5" s="122" t="s">
        <v>133</v>
      </c>
      <c r="AP5" s="116" t="s">
        <v>134</v>
      </c>
      <c r="AR5" s="116" t="s">
        <v>42</v>
      </c>
      <c r="AV5" s="116" t="s">
        <v>43</v>
      </c>
      <c r="AX5" s="117">
        <v>84</v>
      </c>
      <c r="AY5" s="118">
        <v>39</v>
      </c>
      <c r="AZ5" s="118">
        <v>84</v>
      </c>
      <c r="BA5" s="119">
        <v>36</v>
      </c>
    </row>
    <row r="6" spans="1:53" s="36" customFormat="1" ht="13.5" customHeight="1" x14ac:dyDescent="0.15">
      <c r="A6" s="36" t="s">
        <v>24</v>
      </c>
      <c r="B6" s="36" t="s">
        <v>174</v>
      </c>
      <c r="C6" s="36">
        <v>2020</v>
      </c>
      <c r="D6" s="130" t="s">
        <v>175</v>
      </c>
      <c r="E6" s="36" t="s">
        <v>176</v>
      </c>
      <c r="F6" s="36" t="s">
        <v>177</v>
      </c>
      <c r="G6" s="36" t="s">
        <v>25</v>
      </c>
      <c r="H6" s="36" t="s">
        <v>113</v>
      </c>
      <c r="I6" s="36" t="s">
        <v>111</v>
      </c>
      <c r="J6" s="36" t="s">
        <v>27</v>
      </c>
      <c r="K6" s="36" t="s">
        <v>112</v>
      </c>
      <c r="L6" s="36">
        <v>2</v>
      </c>
      <c r="N6" s="36">
        <v>5</v>
      </c>
      <c r="O6" s="36">
        <v>0.5</v>
      </c>
      <c r="P6" s="36">
        <v>0.75</v>
      </c>
      <c r="Q6" s="114">
        <f t="shared" si="0"/>
        <v>0.625</v>
      </c>
      <c r="R6" s="36">
        <v>13.5</v>
      </c>
      <c r="S6" s="36">
        <v>89</v>
      </c>
      <c r="T6" s="115">
        <f t="shared" si="1"/>
        <v>36</v>
      </c>
      <c r="U6" s="36">
        <v>397</v>
      </c>
      <c r="V6" s="115">
        <f t="shared" si="2"/>
        <v>2858.4</v>
      </c>
      <c r="W6" s="36">
        <v>2</v>
      </c>
      <c r="X6" s="36" t="s">
        <v>35</v>
      </c>
      <c r="Y6" s="36" t="s">
        <v>36</v>
      </c>
      <c r="Z6" s="36" t="s">
        <v>43</v>
      </c>
      <c r="AA6" s="36" t="s">
        <v>55</v>
      </c>
      <c r="AB6" s="128" t="s">
        <v>178</v>
      </c>
      <c r="AE6" s="116" t="s">
        <v>44</v>
      </c>
      <c r="AG6" s="129" t="s">
        <v>187</v>
      </c>
      <c r="AH6" s="129" t="s">
        <v>188</v>
      </c>
      <c r="AL6" s="116" t="s">
        <v>135</v>
      </c>
      <c r="AN6" s="122" t="s">
        <v>136</v>
      </c>
      <c r="AP6" s="116" t="s">
        <v>41</v>
      </c>
      <c r="AR6" s="116" t="s">
        <v>46</v>
      </c>
      <c r="AV6" s="116" t="s">
        <v>47</v>
      </c>
      <c r="AX6" s="117">
        <v>97</v>
      </c>
      <c r="AY6" s="118">
        <v>36</v>
      </c>
      <c r="AZ6" s="118">
        <v>99</v>
      </c>
      <c r="BA6" s="119">
        <v>33</v>
      </c>
    </row>
    <row r="7" spans="1:53" s="36" customFormat="1" ht="13.5" customHeight="1" x14ac:dyDescent="0.15">
      <c r="A7" s="36" t="s">
        <v>24</v>
      </c>
      <c r="B7" s="36" t="s">
        <v>174</v>
      </c>
      <c r="C7" s="36">
        <v>2020</v>
      </c>
      <c r="D7" s="130" t="s">
        <v>175</v>
      </c>
      <c r="E7" s="36" t="s">
        <v>176</v>
      </c>
      <c r="F7" s="36" t="s">
        <v>177</v>
      </c>
      <c r="G7" s="36" t="s">
        <v>25</v>
      </c>
      <c r="H7" s="36" t="s">
        <v>113</v>
      </c>
      <c r="I7" s="36" t="s">
        <v>111</v>
      </c>
      <c r="J7" s="36" t="s">
        <v>27</v>
      </c>
      <c r="K7" s="36" t="s">
        <v>112</v>
      </c>
      <c r="L7" s="36">
        <v>3</v>
      </c>
      <c r="N7" s="36">
        <v>5</v>
      </c>
      <c r="O7" s="36">
        <v>1.5</v>
      </c>
      <c r="P7" s="36">
        <v>1.7</v>
      </c>
      <c r="Q7" s="114">
        <f t="shared" si="0"/>
        <v>1.6</v>
      </c>
      <c r="R7" s="128">
        <v>13</v>
      </c>
      <c r="S7" s="36">
        <v>85</v>
      </c>
      <c r="T7" s="115">
        <f t="shared" si="1"/>
        <v>36</v>
      </c>
      <c r="U7" s="36">
        <v>397</v>
      </c>
      <c r="V7" s="115">
        <f t="shared" si="2"/>
        <v>2858.4</v>
      </c>
      <c r="W7" s="36">
        <v>2</v>
      </c>
      <c r="X7" s="36" t="s">
        <v>35</v>
      </c>
      <c r="Y7" s="36" t="s">
        <v>36</v>
      </c>
      <c r="Z7" s="36" t="s">
        <v>43</v>
      </c>
      <c r="AA7" s="36" t="s">
        <v>55</v>
      </c>
      <c r="AB7" s="128" t="s">
        <v>178</v>
      </c>
      <c r="AE7" s="116" t="s">
        <v>48</v>
      </c>
      <c r="AG7" s="129" t="s">
        <v>189</v>
      </c>
      <c r="AH7" s="129" t="s">
        <v>190</v>
      </c>
      <c r="AL7" s="131" t="s">
        <v>137</v>
      </c>
      <c r="AP7" s="116" t="s">
        <v>45</v>
      </c>
      <c r="AR7" s="116" t="s">
        <v>102</v>
      </c>
      <c r="AV7" s="116" t="s">
        <v>51</v>
      </c>
      <c r="AX7" s="117">
        <v>109</v>
      </c>
      <c r="AY7" s="118">
        <v>33</v>
      </c>
      <c r="AZ7" s="118">
        <v>113</v>
      </c>
      <c r="BA7" s="119">
        <v>30</v>
      </c>
    </row>
    <row r="8" spans="1:53" s="36" customFormat="1" ht="13.5" customHeight="1" x14ac:dyDescent="0.15">
      <c r="A8" s="36" t="s">
        <v>24</v>
      </c>
      <c r="B8" s="36" t="s">
        <v>174</v>
      </c>
      <c r="C8" s="36">
        <v>2020</v>
      </c>
      <c r="D8" s="130" t="s">
        <v>175</v>
      </c>
      <c r="E8" s="36" t="s">
        <v>176</v>
      </c>
      <c r="F8" s="36" t="s">
        <v>177</v>
      </c>
      <c r="G8" s="36" t="s">
        <v>25</v>
      </c>
      <c r="H8" s="36" t="s">
        <v>164</v>
      </c>
      <c r="I8" s="36" t="s">
        <v>111</v>
      </c>
      <c r="J8" s="36" t="s">
        <v>27</v>
      </c>
      <c r="K8" s="36" t="s">
        <v>112</v>
      </c>
      <c r="L8" s="36">
        <v>1</v>
      </c>
      <c r="N8" s="36">
        <v>1</v>
      </c>
      <c r="O8" s="36">
        <v>0.5</v>
      </c>
      <c r="P8" s="36">
        <v>0.5</v>
      </c>
      <c r="Q8" s="114">
        <f t="shared" si="0"/>
        <v>0.5</v>
      </c>
      <c r="R8" s="128">
        <v>19.3</v>
      </c>
      <c r="S8" s="36">
        <v>147</v>
      </c>
      <c r="T8" s="115">
        <f t="shared" si="1"/>
        <v>22</v>
      </c>
      <c r="U8" s="36">
        <v>127</v>
      </c>
      <c r="V8" s="115">
        <f t="shared" si="2"/>
        <v>2794</v>
      </c>
      <c r="W8" s="36">
        <v>6</v>
      </c>
      <c r="X8" s="36" t="s">
        <v>35</v>
      </c>
      <c r="Y8" s="36" t="s">
        <v>36</v>
      </c>
      <c r="Z8" s="36" t="s">
        <v>43</v>
      </c>
      <c r="AA8" s="36" t="s">
        <v>55</v>
      </c>
      <c r="AB8" s="128" t="s">
        <v>178</v>
      </c>
      <c r="AE8" s="116" t="s">
        <v>46</v>
      </c>
      <c r="AG8" s="129" t="s">
        <v>176</v>
      </c>
      <c r="AH8" s="129" t="s">
        <v>177</v>
      </c>
      <c r="AL8" s="131" t="s">
        <v>110</v>
      </c>
      <c r="AP8" s="116" t="s">
        <v>49</v>
      </c>
      <c r="AR8" s="116" t="s">
        <v>67</v>
      </c>
      <c r="AV8" s="116" t="s">
        <v>82</v>
      </c>
      <c r="AX8" s="117">
        <v>119</v>
      </c>
      <c r="AY8" s="118">
        <v>30</v>
      </c>
      <c r="AZ8" s="118">
        <v>121</v>
      </c>
      <c r="BA8" s="119">
        <v>27</v>
      </c>
    </row>
    <row r="9" spans="1:53" s="36" customFormat="1" ht="13.5" customHeight="1" x14ac:dyDescent="0.15">
      <c r="A9" s="36" t="s">
        <v>24</v>
      </c>
      <c r="B9" s="36" t="s">
        <v>174</v>
      </c>
      <c r="C9" s="36">
        <v>2020</v>
      </c>
      <c r="D9" s="130" t="s">
        <v>175</v>
      </c>
      <c r="E9" s="36" t="s">
        <v>176</v>
      </c>
      <c r="F9" s="36" t="s">
        <v>177</v>
      </c>
      <c r="G9" s="36" t="s">
        <v>25</v>
      </c>
      <c r="H9" s="36" t="s">
        <v>164</v>
      </c>
      <c r="I9" s="36" t="s">
        <v>111</v>
      </c>
      <c r="J9" s="36" t="s">
        <v>27</v>
      </c>
      <c r="K9" s="36" t="s">
        <v>112</v>
      </c>
      <c r="L9" s="36">
        <v>2</v>
      </c>
      <c r="N9" s="36">
        <v>1</v>
      </c>
      <c r="O9" s="36">
        <v>0.5</v>
      </c>
      <c r="P9" s="36">
        <v>0.5</v>
      </c>
      <c r="Q9" s="114">
        <f t="shared" si="0"/>
        <v>0.5</v>
      </c>
      <c r="R9" s="36">
        <v>15.5</v>
      </c>
      <c r="S9" s="36">
        <v>146</v>
      </c>
      <c r="T9" s="115">
        <f t="shared" si="1"/>
        <v>22</v>
      </c>
      <c r="U9" s="36">
        <v>127</v>
      </c>
      <c r="V9" s="115">
        <f t="shared" si="2"/>
        <v>2794</v>
      </c>
      <c r="W9" s="36">
        <v>6</v>
      </c>
      <c r="X9" s="36" t="s">
        <v>35</v>
      </c>
      <c r="Y9" s="36" t="s">
        <v>36</v>
      </c>
      <c r="Z9" s="36" t="s">
        <v>43</v>
      </c>
      <c r="AA9" s="36" t="s">
        <v>55</v>
      </c>
      <c r="AB9" s="128" t="s">
        <v>178</v>
      </c>
      <c r="AE9" s="116" t="s">
        <v>83</v>
      </c>
      <c r="AG9" s="129" t="s">
        <v>191</v>
      </c>
      <c r="AH9" s="129" t="s">
        <v>192</v>
      </c>
      <c r="AL9" s="116" t="s">
        <v>139</v>
      </c>
      <c r="AP9" s="116" t="s">
        <v>80</v>
      </c>
      <c r="AR9" s="116" t="s">
        <v>75</v>
      </c>
      <c r="AV9" s="116" t="s">
        <v>86</v>
      </c>
      <c r="AX9" s="117">
        <v>128</v>
      </c>
      <c r="AY9" s="118">
        <v>27</v>
      </c>
      <c r="AZ9" s="118">
        <v>129</v>
      </c>
      <c r="BA9" s="119">
        <v>25</v>
      </c>
    </row>
    <row r="10" spans="1:53" s="36" customFormat="1" ht="13.5" customHeight="1" x14ac:dyDescent="0.15">
      <c r="A10" s="36" t="s">
        <v>24</v>
      </c>
      <c r="B10" s="36" t="s">
        <v>174</v>
      </c>
      <c r="C10" s="36">
        <v>2020</v>
      </c>
      <c r="D10" s="130" t="s">
        <v>175</v>
      </c>
      <c r="E10" s="36" t="s">
        <v>176</v>
      </c>
      <c r="F10" s="36" t="s">
        <v>177</v>
      </c>
      <c r="G10" s="36" t="s">
        <v>25</v>
      </c>
      <c r="H10" s="36" t="s">
        <v>397</v>
      </c>
      <c r="I10" s="36" t="s">
        <v>111</v>
      </c>
      <c r="J10" s="36" t="s">
        <v>27</v>
      </c>
      <c r="K10" s="36" t="s">
        <v>112</v>
      </c>
      <c r="L10" s="36">
        <v>3</v>
      </c>
      <c r="N10" s="36">
        <v>1</v>
      </c>
      <c r="O10" s="36">
        <v>0.5</v>
      </c>
      <c r="P10" s="36">
        <v>0.6</v>
      </c>
      <c r="Q10" s="114">
        <f t="shared" si="0"/>
        <v>0.55000000000000004</v>
      </c>
      <c r="R10" s="36">
        <v>15.3</v>
      </c>
      <c r="S10" s="36">
        <v>143</v>
      </c>
      <c r="T10" s="115">
        <f t="shared" si="1"/>
        <v>22</v>
      </c>
      <c r="U10" s="36">
        <v>127</v>
      </c>
      <c r="V10" s="115">
        <f t="shared" si="2"/>
        <v>2794</v>
      </c>
      <c r="W10" s="36">
        <v>6</v>
      </c>
      <c r="X10" s="36" t="s">
        <v>35</v>
      </c>
      <c r="Y10" s="36" t="s">
        <v>36</v>
      </c>
      <c r="Z10" s="36" t="s">
        <v>43</v>
      </c>
      <c r="AA10" s="36" t="s">
        <v>55</v>
      </c>
      <c r="AB10" s="128" t="s">
        <v>178</v>
      </c>
      <c r="AE10" s="116" t="s">
        <v>87</v>
      </c>
      <c r="AG10" s="129" t="s">
        <v>193</v>
      </c>
      <c r="AH10" s="129" t="s">
        <v>194</v>
      </c>
      <c r="AP10" s="116" t="s">
        <v>84</v>
      </c>
      <c r="AR10" s="116" t="s">
        <v>103</v>
      </c>
      <c r="AV10" s="116" t="s">
        <v>90</v>
      </c>
      <c r="AX10" s="117">
        <v>138</v>
      </c>
      <c r="AY10" s="118">
        <v>25</v>
      </c>
      <c r="AZ10" s="118">
        <v>138</v>
      </c>
      <c r="BA10" s="119">
        <v>22</v>
      </c>
    </row>
    <row r="11" spans="1:53" s="36" customFormat="1" ht="13.5" customHeight="1" x14ac:dyDescent="0.15">
      <c r="A11" s="36" t="s">
        <v>24</v>
      </c>
      <c r="B11" s="36" t="s">
        <v>174</v>
      </c>
      <c r="C11" s="36">
        <v>2020</v>
      </c>
      <c r="D11" s="130" t="s">
        <v>175</v>
      </c>
      <c r="E11" s="36" t="s">
        <v>176</v>
      </c>
      <c r="F11" s="36" t="s">
        <v>177</v>
      </c>
      <c r="G11" s="36" t="s">
        <v>25</v>
      </c>
      <c r="H11" s="36" t="s">
        <v>164</v>
      </c>
      <c r="I11" s="36" t="s">
        <v>111</v>
      </c>
      <c r="J11" s="36" t="s">
        <v>27</v>
      </c>
      <c r="K11" s="36" t="s">
        <v>112</v>
      </c>
      <c r="L11" s="36">
        <v>1</v>
      </c>
      <c r="N11" s="36">
        <v>4</v>
      </c>
      <c r="O11" s="36">
        <v>0.9</v>
      </c>
      <c r="P11" s="36">
        <v>1</v>
      </c>
      <c r="Q11" s="114">
        <f t="shared" si="0"/>
        <v>0.95</v>
      </c>
      <c r="R11" s="36">
        <v>17.7</v>
      </c>
      <c r="S11" s="36">
        <v>104</v>
      </c>
      <c r="T11" s="115">
        <f t="shared" si="1"/>
        <v>33</v>
      </c>
      <c r="U11" s="36">
        <v>397</v>
      </c>
      <c r="V11" s="115">
        <f t="shared" si="2"/>
        <v>3275.25</v>
      </c>
      <c r="W11" s="36">
        <v>3</v>
      </c>
      <c r="X11" s="36" t="s">
        <v>35</v>
      </c>
      <c r="Y11" s="36" t="s">
        <v>36</v>
      </c>
      <c r="Z11" s="36" t="s">
        <v>43</v>
      </c>
      <c r="AA11" s="36" t="s">
        <v>55</v>
      </c>
      <c r="AB11" s="128" t="s">
        <v>178</v>
      </c>
      <c r="AE11" s="116" t="s">
        <v>52</v>
      </c>
      <c r="AG11" s="129" t="s">
        <v>195</v>
      </c>
      <c r="AH11" s="129" t="s">
        <v>188</v>
      </c>
      <c r="AP11" s="116" t="s">
        <v>88</v>
      </c>
      <c r="AR11" s="116" t="s">
        <v>73</v>
      </c>
      <c r="AV11" s="116" t="s">
        <v>55</v>
      </c>
      <c r="AX11" s="117">
        <v>151</v>
      </c>
      <c r="AY11" s="118">
        <v>22</v>
      </c>
      <c r="AZ11" s="118">
        <v>152</v>
      </c>
      <c r="BA11" s="119">
        <v>18</v>
      </c>
    </row>
    <row r="12" spans="1:53" s="36" customFormat="1" ht="13.5" customHeight="1" x14ac:dyDescent="0.15">
      <c r="A12" s="36" t="s">
        <v>24</v>
      </c>
      <c r="B12" s="36" t="s">
        <v>174</v>
      </c>
      <c r="C12" s="36">
        <v>2020</v>
      </c>
      <c r="D12" s="130" t="s">
        <v>175</v>
      </c>
      <c r="E12" s="36" t="s">
        <v>176</v>
      </c>
      <c r="F12" s="36" t="s">
        <v>177</v>
      </c>
      <c r="G12" s="36" t="s">
        <v>25</v>
      </c>
      <c r="H12" s="36" t="s">
        <v>164</v>
      </c>
      <c r="I12" s="36" t="s">
        <v>111</v>
      </c>
      <c r="J12" s="36" t="s">
        <v>27</v>
      </c>
      <c r="K12" s="36" t="s">
        <v>112</v>
      </c>
      <c r="L12" s="36">
        <v>2</v>
      </c>
      <c r="N12" s="36">
        <v>4</v>
      </c>
      <c r="O12" s="36">
        <v>0.5</v>
      </c>
      <c r="P12" s="36">
        <v>0.5</v>
      </c>
      <c r="Q12" s="114">
        <f t="shared" si="0"/>
        <v>0.5</v>
      </c>
      <c r="R12" s="128">
        <v>17.3</v>
      </c>
      <c r="S12" s="36">
        <v>100</v>
      </c>
      <c r="T12" s="115">
        <f t="shared" si="1"/>
        <v>33</v>
      </c>
      <c r="U12" s="36">
        <v>397</v>
      </c>
      <c r="V12" s="115">
        <f t="shared" si="2"/>
        <v>3275.25</v>
      </c>
      <c r="W12" s="36">
        <v>3</v>
      </c>
      <c r="X12" s="36" t="s">
        <v>35</v>
      </c>
      <c r="Y12" s="36" t="s">
        <v>36</v>
      </c>
      <c r="Z12" s="36" t="s">
        <v>43</v>
      </c>
      <c r="AA12" s="36" t="s">
        <v>55</v>
      </c>
      <c r="AB12" s="128" t="s">
        <v>178</v>
      </c>
      <c r="AE12" s="116" t="s">
        <v>56</v>
      </c>
      <c r="AG12" s="123"/>
      <c r="AH12" s="123"/>
      <c r="AP12" s="116" t="s">
        <v>53</v>
      </c>
      <c r="AR12" s="116" t="s">
        <v>104</v>
      </c>
      <c r="AV12" s="116" t="s">
        <v>58</v>
      </c>
      <c r="AX12" s="124">
        <v>180</v>
      </c>
      <c r="AY12" s="125">
        <v>18</v>
      </c>
      <c r="AZ12" s="125">
        <v>181</v>
      </c>
      <c r="BA12" s="126">
        <v>16</v>
      </c>
    </row>
    <row r="13" spans="1:53" s="36" customFormat="1" ht="13.5" customHeight="1" x14ac:dyDescent="0.15">
      <c r="A13" s="36" t="s">
        <v>24</v>
      </c>
      <c r="B13" s="36" t="s">
        <v>174</v>
      </c>
      <c r="C13" s="36">
        <v>2020</v>
      </c>
      <c r="D13" s="130" t="s">
        <v>175</v>
      </c>
      <c r="E13" s="36" t="s">
        <v>176</v>
      </c>
      <c r="F13" s="36" t="s">
        <v>177</v>
      </c>
      <c r="G13" s="36" t="s">
        <v>25</v>
      </c>
      <c r="H13" s="36" t="s">
        <v>164</v>
      </c>
      <c r="I13" s="36" t="s">
        <v>111</v>
      </c>
      <c r="J13" s="36" t="s">
        <v>27</v>
      </c>
      <c r="K13" s="36" t="s">
        <v>112</v>
      </c>
      <c r="L13" s="36">
        <v>3</v>
      </c>
      <c r="N13" s="36">
        <v>4</v>
      </c>
      <c r="O13" s="36">
        <v>1</v>
      </c>
      <c r="P13" s="36">
        <v>0.8</v>
      </c>
      <c r="Q13" s="114">
        <f t="shared" si="0"/>
        <v>0.9</v>
      </c>
      <c r="R13" s="36">
        <v>17.7</v>
      </c>
      <c r="S13" s="36">
        <v>107</v>
      </c>
      <c r="T13" s="115">
        <f t="shared" si="1"/>
        <v>33</v>
      </c>
      <c r="U13" s="36">
        <v>397</v>
      </c>
      <c r="V13" s="115">
        <f t="shared" si="2"/>
        <v>3275.25</v>
      </c>
      <c r="W13" s="36">
        <v>3</v>
      </c>
      <c r="X13" s="36" t="s">
        <v>35</v>
      </c>
      <c r="Y13" s="36" t="s">
        <v>36</v>
      </c>
      <c r="Z13" s="36" t="s">
        <v>43</v>
      </c>
      <c r="AA13" s="36" t="s">
        <v>55</v>
      </c>
      <c r="AB13" s="128" t="s">
        <v>178</v>
      </c>
      <c r="AE13" s="116" t="s">
        <v>59</v>
      </c>
      <c r="AG13" s="116"/>
      <c r="AH13" s="116"/>
      <c r="AP13" s="116" t="s">
        <v>57</v>
      </c>
      <c r="AR13" s="116" t="s">
        <v>87</v>
      </c>
      <c r="AV13" s="116" t="s">
        <v>61</v>
      </c>
    </row>
    <row r="14" spans="1:53" s="36" customFormat="1" ht="13.5" customHeight="1" x14ac:dyDescent="0.15">
      <c r="A14" s="36" t="s">
        <v>24</v>
      </c>
      <c r="B14" s="36" t="s">
        <v>174</v>
      </c>
      <c r="C14" s="36">
        <v>2020</v>
      </c>
      <c r="D14" s="130" t="s">
        <v>175</v>
      </c>
      <c r="E14" s="36" t="s">
        <v>185</v>
      </c>
      <c r="F14" s="36" t="s">
        <v>186</v>
      </c>
      <c r="G14" s="36" t="s">
        <v>25</v>
      </c>
      <c r="H14" s="36" t="s">
        <v>113</v>
      </c>
      <c r="I14" s="36" t="s">
        <v>111</v>
      </c>
      <c r="J14" s="36" t="s">
        <v>27</v>
      </c>
      <c r="K14" s="36" t="s">
        <v>112</v>
      </c>
      <c r="L14" s="36">
        <v>1</v>
      </c>
      <c r="N14" s="36">
        <v>1</v>
      </c>
      <c r="O14" s="36">
        <v>0.5</v>
      </c>
      <c r="P14" s="36">
        <v>0.5</v>
      </c>
      <c r="Q14" s="114">
        <f t="shared" si="0"/>
        <v>0.5</v>
      </c>
      <c r="R14" s="36">
        <v>13.5</v>
      </c>
      <c r="S14" s="36">
        <v>117</v>
      </c>
      <c r="T14" s="115">
        <f t="shared" si="1"/>
        <v>30</v>
      </c>
      <c r="U14" s="36">
        <v>98</v>
      </c>
      <c r="V14" s="115">
        <f t="shared" si="2"/>
        <v>2940</v>
      </c>
      <c r="W14" s="36">
        <v>2</v>
      </c>
      <c r="X14" s="36" t="s">
        <v>35</v>
      </c>
      <c r="Y14" s="36" t="s">
        <v>43</v>
      </c>
      <c r="Z14" s="36" t="s">
        <v>55</v>
      </c>
      <c r="AA14" s="36" t="s">
        <v>36</v>
      </c>
      <c r="AB14" s="128" t="s">
        <v>178</v>
      </c>
      <c r="AE14" s="116" t="s">
        <v>62</v>
      </c>
      <c r="AG14" s="116"/>
      <c r="AH14" s="116"/>
      <c r="AP14" s="116" t="s">
        <v>60</v>
      </c>
      <c r="AR14" s="116" t="s">
        <v>105</v>
      </c>
      <c r="AV14" s="116" t="s">
        <v>64</v>
      </c>
    </row>
    <row r="15" spans="1:53" s="36" customFormat="1" ht="13.5" customHeight="1" x14ac:dyDescent="0.15">
      <c r="A15" s="36" t="s">
        <v>24</v>
      </c>
      <c r="B15" s="36" t="s">
        <v>174</v>
      </c>
      <c r="C15" s="36">
        <v>2020</v>
      </c>
      <c r="D15" s="130" t="s">
        <v>175</v>
      </c>
      <c r="E15" s="36" t="s">
        <v>185</v>
      </c>
      <c r="F15" s="36" t="s">
        <v>186</v>
      </c>
      <c r="G15" s="36" t="s">
        <v>25</v>
      </c>
      <c r="H15" s="36" t="s">
        <v>113</v>
      </c>
      <c r="I15" s="36" t="s">
        <v>111</v>
      </c>
      <c r="J15" s="36" t="s">
        <v>27</v>
      </c>
      <c r="K15" s="36" t="s">
        <v>112</v>
      </c>
      <c r="L15" s="36">
        <v>2</v>
      </c>
      <c r="N15" s="36">
        <v>1</v>
      </c>
      <c r="O15" s="36">
        <v>0.5</v>
      </c>
      <c r="P15" s="36">
        <v>0.75</v>
      </c>
      <c r="Q15" s="114">
        <f t="shared" si="0"/>
        <v>0.625</v>
      </c>
      <c r="R15" s="36">
        <v>14.9</v>
      </c>
      <c r="S15" s="36">
        <v>114</v>
      </c>
      <c r="T15" s="115">
        <f t="shared" si="1"/>
        <v>30</v>
      </c>
      <c r="U15" s="36">
        <v>98</v>
      </c>
      <c r="V15" s="115">
        <f t="shared" si="2"/>
        <v>2940</v>
      </c>
      <c r="W15" s="36">
        <v>2</v>
      </c>
      <c r="X15" s="36" t="s">
        <v>35</v>
      </c>
      <c r="Y15" s="36" t="s">
        <v>43</v>
      </c>
      <c r="Z15" s="36" t="s">
        <v>55</v>
      </c>
      <c r="AA15" s="36" t="s">
        <v>36</v>
      </c>
      <c r="AB15" s="128" t="s">
        <v>178</v>
      </c>
      <c r="AE15" s="116" t="s">
        <v>65</v>
      </c>
      <c r="AG15" s="116"/>
      <c r="AH15" s="116"/>
      <c r="AP15" s="116" t="s">
        <v>63</v>
      </c>
      <c r="AR15" s="116" t="s">
        <v>79</v>
      </c>
      <c r="AV15" s="116" t="s">
        <v>91</v>
      </c>
    </row>
    <row r="16" spans="1:53" s="36" customFormat="1" ht="13.5" customHeight="1" x14ac:dyDescent="0.15">
      <c r="A16" s="36" t="s">
        <v>24</v>
      </c>
      <c r="B16" s="36" t="s">
        <v>174</v>
      </c>
      <c r="C16" s="36">
        <v>2020</v>
      </c>
      <c r="D16" s="130" t="s">
        <v>175</v>
      </c>
      <c r="E16" s="36" t="s">
        <v>185</v>
      </c>
      <c r="F16" s="36" t="s">
        <v>186</v>
      </c>
      <c r="G16" s="36" t="s">
        <v>25</v>
      </c>
      <c r="H16" s="36" t="s">
        <v>113</v>
      </c>
      <c r="I16" s="36" t="s">
        <v>111</v>
      </c>
      <c r="J16" s="36" t="s">
        <v>27</v>
      </c>
      <c r="K16" s="36" t="s">
        <v>112</v>
      </c>
      <c r="L16" s="36">
        <v>3</v>
      </c>
      <c r="N16" s="36">
        <v>1</v>
      </c>
      <c r="O16" s="36">
        <v>0.6</v>
      </c>
      <c r="P16" s="36">
        <v>0.6</v>
      </c>
      <c r="Q16" s="114">
        <f t="shared" si="0"/>
        <v>0.6</v>
      </c>
      <c r="R16" s="36">
        <v>17.2</v>
      </c>
      <c r="S16" s="36">
        <v>119</v>
      </c>
      <c r="T16" s="115">
        <f t="shared" si="1"/>
        <v>30</v>
      </c>
      <c r="U16" s="36">
        <v>98</v>
      </c>
      <c r="V16" s="115">
        <f t="shared" si="2"/>
        <v>2940</v>
      </c>
      <c r="W16" s="36">
        <v>2</v>
      </c>
      <c r="X16" s="36" t="s">
        <v>35</v>
      </c>
      <c r="Y16" s="36" t="s">
        <v>43</v>
      </c>
      <c r="Z16" s="36" t="s">
        <v>55</v>
      </c>
      <c r="AA16" s="36" t="s">
        <v>36</v>
      </c>
      <c r="AB16" s="128" t="s">
        <v>178</v>
      </c>
      <c r="AE16" s="116" t="s">
        <v>68</v>
      </c>
      <c r="AG16" s="121"/>
      <c r="AH16" s="121"/>
      <c r="AP16" s="116" t="s">
        <v>66</v>
      </c>
      <c r="AR16" s="116" t="s">
        <v>50</v>
      </c>
      <c r="AV16" s="116" t="s">
        <v>70</v>
      </c>
    </row>
    <row r="17" spans="1:48" s="36" customFormat="1" ht="13.5" customHeight="1" x14ac:dyDescent="0.15">
      <c r="A17" s="36" t="s">
        <v>24</v>
      </c>
      <c r="B17" s="36" t="s">
        <v>174</v>
      </c>
      <c r="C17" s="36">
        <v>2020</v>
      </c>
      <c r="D17" s="130" t="s">
        <v>175</v>
      </c>
      <c r="E17" s="36" t="s">
        <v>185</v>
      </c>
      <c r="F17" s="36" t="s">
        <v>186</v>
      </c>
      <c r="G17" s="36" t="s">
        <v>25</v>
      </c>
      <c r="H17" s="36" t="s">
        <v>113</v>
      </c>
      <c r="I17" s="36" t="s">
        <v>111</v>
      </c>
      <c r="J17" s="36" t="s">
        <v>27</v>
      </c>
      <c r="K17" s="36" t="s">
        <v>112</v>
      </c>
      <c r="L17" s="36">
        <v>1</v>
      </c>
      <c r="N17" s="36">
        <v>5</v>
      </c>
      <c r="O17" s="36">
        <v>0.5</v>
      </c>
      <c r="P17" s="36">
        <v>0.6</v>
      </c>
      <c r="Q17" s="114">
        <f t="shared" si="0"/>
        <v>0.55000000000000004</v>
      </c>
      <c r="R17" s="36">
        <v>10.6</v>
      </c>
      <c r="S17" s="36">
        <v>84</v>
      </c>
      <c r="T17" s="115">
        <f t="shared" si="1"/>
        <v>36</v>
      </c>
      <c r="U17" s="36">
        <v>398</v>
      </c>
      <c r="V17" s="115">
        <f t="shared" si="2"/>
        <v>2865.6</v>
      </c>
      <c r="W17" s="36">
        <v>4</v>
      </c>
      <c r="X17" s="36" t="s">
        <v>35</v>
      </c>
      <c r="Y17" s="36" t="s">
        <v>43</v>
      </c>
      <c r="Z17" s="36" t="s">
        <v>55</v>
      </c>
      <c r="AA17" s="36" t="s">
        <v>36</v>
      </c>
      <c r="AB17" s="128" t="s">
        <v>178</v>
      </c>
      <c r="AE17" s="116" t="s">
        <v>71</v>
      </c>
      <c r="AP17" s="120" t="s">
        <v>93</v>
      </c>
      <c r="AR17" s="116" t="s">
        <v>81</v>
      </c>
      <c r="AV17" s="116" t="s">
        <v>72</v>
      </c>
    </row>
    <row r="18" spans="1:48" s="36" customFormat="1" ht="13.5" customHeight="1" x14ac:dyDescent="0.15">
      <c r="A18" s="36" t="s">
        <v>24</v>
      </c>
      <c r="B18" s="36" t="s">
        <v>174</v>
      </c>
      <c r="C18" s="36">
        <v>2020</v>
      </c>
      <c r="D18" s="130" t="s">
        <v>175</v>
      </c>
      <c r="E18" s="36" t="s">
        <v>185</v>
      </c>
      <c r="F18" s="36" t="s">
        <v>186</v>
      </c>
      <c r="G18" s="36" t="s">
        <v>25</v>
      </c>
      <c r="H18" s="36" t="s">
        <v>113</v>
      </c>
      <c r="I18" s="36" t="s">
        <v>111</v>
      </c>
      <c r="J18" s="36" t="s">
        <v>27</v>
      </c>
      <c r="K18" s="36" t="s">
        <v>112</v>
      </c>
      <c r="L18" s="36">
        <v>2</v>
      </c>
      <c r="N18" s="36">
        <v>5</v>
      </c>
      <c r="O18" s="36">
        <v>0.7</v>
      </c>
      <c r="P18" s="36">
        <v>0.8</v>
      </c>
      <c r="Q18" s="114">
        <f t="shared" si="0"/>
        <v>0.75</v>
      </c>
      <c r="R18" s="36">
        <v>15.5</v>
      </c>
      <c r="S18" s="36">
        <v>89</v>
      </c>
      <c r="T18" s="115">
        <f t="shared" si="1"/>
        <v>36</v>
      </c>
      <c r="U18" s="36">
        <v>398</v>
      </c>
      <c r="V18" s="115">
        <f t="shared" si="2"/>
        <v>2865.6</v>
      </c>
      <c r="W18" s="36">
        <v>4</v>
      </c>
      <c r="X18" s="36" t="s">
        <v>35</v>
      </c>
      <c r="Y18" s="36" t="s">
        <v>43</v>
      </c>
      <c r="Z18" s="36" t="s">
        <v>55</v>
      </c>
      <c r="AA18" s="36" t="s">
        <v>36</v>
      </c>
      <c r="AB18" s="128" t="s">
        <v>178</v>
      </c>
      <c r="AE18" s="116" t="s">
        <v>73</v>
      </c>
      <c r="AP18" s="120" t="s">
        <v>94</v>
      </c>
      <c r="AR18" s="116" t="s">
        <v>85</v>
      </c>
      <c r="AV18" s="116" t="s">
        <v>74</v>
      </c>
    </row>
    <row r="19" spans="1:48" s="36" customFormat="1" ht="13.5" customHeight="1" x14ac:dyDescent="0.15">
      <c r="A19" s="36" t="s">
        <v>24</v>
      </c>
      <c r="B19" s="36" t="s">
        <v>174</v>
      </c>
      <c r="C19" s="36">
        <v>2020</v>
      </c>
      <c r="D19" s="130" t="s">
        <v>175</v>
      </c>
      <c r="E19" s="36" t="s">
        <v>185</v>
      </c>
      <c r="F19" s="36" t="s">
        <v>186</v>
      </c>
      <c r="G19" s="36" t="s">
        <v>25</v>
      </c>
      <c r="H19" s="36" t="s">
        <v>113</v>
      </c>
      <c r="I19" s="36" t="s">
        <v>111</v>
      </c>
      <c r="J19" s="36" t="s">
        <v>27</v>
      </c>
      <c r="K19" s="36" t="s">
        <v>112</v>
      </c>
      <c r="L19" s="36">
        <v>3</v>
      </c>
      <c r="N19" s="36">
        <v>5</v>
      </c>
      <c r="O19" s="36">
        <v>0.8</v>
      </c>
      <c r="P19" s="36">
        <v>1</v>
      </c>
      <c r="Q19" s="114">
        <f t="shared" si="0"/>
        <v>0.9</v>
      </c>
      <c r="R19" s="36">
        <v>12.7</v>
      </c>
      <c r="S19" s="36">
        <v>91</v>
      </c>
      <c r="T19" s="115">
        <f t="shared" si="1"/>
        <v>36</v>
      </c>
      <c r="U19" s="36">
        <v>398</v>
      </c>
      <c r="V19" s="115">
        <f t="shared" si="2"/>
        <v>2865.6</v>
      </c>
      <c r="W19" s="36">
        <v>4</v>
      </c>
      <c r="X19" s="36" t="s">
        <v>35</v>
      </c>
      <c r="Y19" s="36" t="s">
        <v>43</v>
      </c>
      <c r="Z19" s="36" t="s">
        <v>55</v>
      </c>
      <c r="AA19" s="36" t="s">
        <v>36</v>
      </c>
      <c r="AB19" s="128" t="s">
        <v>178</v>
      </c>
      <c r="AE19" s="120" t="s">
        <v>75</v>
      </c>
      <c r="AP19" s="120" t="s">
        <v>95</v>
      </c>
      <c r="AR19" s="116" t="s">
        <v>106</v>
      </c>
      <c r="AV19" s="116" t="s">
        <v>76</v>
      </c>
    </row>
    <row r="20" spans="1:48" s="36" customFormat="1" ht="13.5" customHeight="1" x14ac:dyDescent="0.15">
      <c r="A20" s="36" t="s">
        <v>24</v>
      </c>
      <c r="B20" s="36" t="s">
        <v>174</v>
      </c>
      <c r="C20" s="36">
        <v>2020</v>
      </c>
      <c r="D20" s="130" t="s">
        <v>175</v>
      </c>
      <c r="E20" s="36" t="s">
        <v>185</v>
      </c>
      <c r="F20" s="36" t="s">
        <v>186</v>
      </c>
      <c r="G20" s="36" t="s">
        <v>25</v>
      </c>
      <c r="H20" s="36" t="s">
        <v>164</v>
      </c>
      <c r="I20" s="36" t="s">
        <v>111</v>
      </c>
      <c r="J20" s="36" t="s">
        <v>27</v>
      </c>
      <c r="K20" s="36" t="s">
        <v>112</v>
      </c>
      <c r="L20" s="36">
        <v>1</v>
      </c>
      <c r="N20" s="36">
        <v>1</v>
      </c>
      <c r="O20" s="36">
        <v>0.5</v>
      </c>
      <c r="P20" s="128">
        <v>0.5</v>
      </c>
      <c r="Q20" s="114">
        <f t="shared" si="0"/>
        <v>0.5</v>
      </c>
      <c r="R20" s="36">
        <v>18</v>
      </c>
      <c r="S20" s="36">
        <v>123</v>
      </c>
      <c r="T20" s="115">
        <f t="shared" si="1"/>
        <v>27</v>
      </c>
      <c r="U20" s="36">
        <v>125</v>
      </c>
      <c r="V20" s="115">
        <f t="shared" si="2"/>
        <v>3375</v>
      </c>
      <c r="W20" s="36">
        <v>6</v>
      </c>
      <c r="X20" s="36" t="s">
        <v>35</v>
      </c>
      <c r="Y20" s="36" t="s">
        <v>43</v>
      </c>
      <c r="Z20" s="36" t="s">
        <v>55</v>
      </c>
      <c r="AA20" s="36" t="s">
        <v>36</v>
      </c>
      <c r="AB20" s="128" t="s">
        <v>178</v>
      </c>
      <c r="AE20" s="116"/>
      <c r="AP20" s="120" t="s">
        <v>96</v>
      </c>
      <c r="AR20" s="116" t="s">
        <v>89</v>
      </c>
      <c r="AV20" s="120" t="s">
        <v>114</v>
      </c>
    </row>
    <row r="21" spans="1:48" s="36" customFormat="1" ht="13.5" customHeight="1" x14ac:dyDescent="0.15">
      <c r="A21" s="36" t="s">
        <v>24</v>
      </c>
      <c r="B21" s="36" t="s">
        <v>174</v>
      </c>
      <c r="C21" s="36">
        <v>2020</v>
      </c>
      <c r="D21" s="130" t="s">
        <v>175</v>
      </c>
      <c r="E21" s="36" t="s">
        <v>185</v>
      </c>
      <c r="F21" s="36" t="s">
        <v>186</v>
      </c>
      <c r="G21" s="36" t="s">
        <v>25</v>
      </c>
      <c r="H21" s="36" t="s">
        <v>164</v>
      </c>
      <c r="I21" s="36" t="s">
        <v>111</v>
      </c>
      <c r="J21" s="36" t="s">
        <v>27</v>
      </c>
      <c r="K21" s="36" t="s">
        <v>112</v>
      </c>
      <c r="L21" s="36">
        <v>2</v>
      </c>
      <c r="N21" s="36">
        <v>1</v>
      </c>
      <c r="O21" s="36">
        <v>0.5</v>
      </c>
      <c r="P21" s="36">
        <v>0.7</v>
      </c>
      <c r="Q21" s="114">
        <f t="shared" si="0"/>
        <v>0.6</v>
      </c>
      <c r="R21" s="36">
        <v>18.3</v>
      </c>
      <c r="S21" s="36">
        <v>119</v>
      </c>
      <c r="T21" s="115">
        <f t="shared" si="1"/>
        <v>30</v>
      </c>
      <c r="U21" s="36">
        <v>125</v>
      </c>
      <c r="V21" s="115">
        <f t="shared" si="2"/>
        <v>3750</v>
      </c>
      <c r="W21" s="36">
        <v>6</v>
      </c>
      <c r="X21" s="36" t="s">
        <v>35</v>
      </c>
      <c r="Y21" s="36" t="s">
        <v>43</v>
      </c>
      <c r="Z21" s="36" t="s">
        <v>55</v>
      </c>
      <c r="AA21" s="36" t="s">
        <v>36</v>
      </c>
      <c r="AB21" s="128" t="s">
        <v>178</v>
      </c>
      <c r="AE21" s="116"/>
      <c r="AP21" s="120" t="s">
        <v>97</v>
      </c>
      <c r="AR21" s="116" t="s">
        <v>54</v>
      </c>
      <c r="AV21" s="120" t="s">
        <v>115</v>
      </c>
    </row>
    <row r="22" spans="1:48" s="36" customFormat="1" ht="13.5" customHeight="1" x14ac:dyDescent="0.15">
      <c r="A22" s="36" t="s">
        <v>24</v>
      </c>
      <c r="B22" s="36" t="s">
        <v>174</v>
      </c>
      <c r="C22" s="36">
        <v>2020</v>
      </c>
      <c r="D22" s="130" t="s">
        <v>175</v>
      </c>
      <c r="E22" s="36" t="s">
        <v>185</v>
      </c>
      <c r="F22" s="36" t="s">
        <v>186</v>
      </c>
      <c r="G22" s="36" t="s">
        <v>25</v>
      </c>
      <c r="H22" s="36" t="s">
        <v>164</v>
      </c>
      <c r="I22" s="36" t="s">
        <v>111</v>
      </c>
      <c r="J22" s="36" t="s">
        <v>27</v>
      </c>
      <c r="K22" s="36" t="s">
        <v>112</v>
      </c>
      <c r="L22" s="36">
        <v>3</v>
      </c>
      <c r="N22" s="36">
        <v>1</v>
      </c>
      <c r="O22" s="128">
        <v>0.75</v>
      </c>
      <c r="P22" s="36">
        <v>1</v>
      </c>
      <c r="Q22" s="114">
        <f t="shared" si="0"/>
        <v>0.875</v>
      </c>
      <c r="R22" s="36">
        <v>17.899999999999999</v>
      </c>
      <c r="S22" s="36">
        <v>122</v>
      </c>
      <c r="T22" s="115">
        <f t="shared" si="1"/>
        <v>27</v>
      </c>
      <c r="U22" s="36">
        <v>125</v>
      </c>
      <c r="V22" s="115">
        <f t="shared" si="2"/>
        <v>3375</v>
      </c>
      <c r="W22" s="36">
        <v>6</v>
      </c>
      <c r="X22" s="36" t="s">
        <v>35</v>
      </c>
      <c r="Y22" s="36" t="s">
        <v>43</v>
      </c>
      <c r="Z22" s="36" t="s">
        <v>55</v>
      </c>
      <c r="AA22" s="36" t="s">
        <v>36</v>
      </c>
      <c r="AB22" s="128" t="s">
        <v>178</v>
      </c>
      <c r="AE22" s="120"/>
      <c r="AP22" s="120" t="s">
        <v>98</v>
      </c>
      <c r="AR22" s="116" t="s">
        <v>69</v>
      </c>
      <c r="AV22" s="120"/>
    </row>
    <row r="23" spans="1:48" s="36" customFormat="1" ht="13.5" customHeight="1" x14ac:dyDescent="0.15">
      <c r="A23" s="36" t="s">
        <v>24</v>
      </c>
      <c r="B23" s="36" t="s">
        <v>174</v>
      </c>
      <c r="C23" s="36">
        <v>2020</v>
      </c>
      <c r="D23" s="130" t="s">
        <v>175</v>
      </c>
      <c r="E23" s="36" t="s">
        <v>185</v>
      </c>
      <c r="F23" s="36" t="s">
        <v>186</v>
      </c>
      <c r="G23" s="36" t="s">
        <v>25</v>
      </c>
      <c r="H23" s="36" t="s">
        <v>164</v>
      </c>
      <c r="I23" s="36" t="s">
        <v>111</v>
      </c>
      <c r="J23" s="36" t="s">
        <v>27</v>
      </c>
      <c r="K23" s="36" t="s">
        <v>112</v>
      </c>
      <c r="L23" s="36">
        <v>1</v>
      </c>
      <c r="N23" s="36">
        <v>6</v>
      </c>
      <c r="O23" s="128">
        <v>0.5</v>
      </c>
      <c r="P23" s="36">
        <v>0.5</v>
      </c>
      <c r="Q23" s="114">
        <f t="shared" si="0"/>
        <v>0.5</v>
      </c>
      <c r="R23" s="36">
        <v>14.6</v>
      </c>
      <c r="S23" s="36">
        <v>115</v>
      </c>
      <c r="T23" s="115">
        <f t="shared" si="1"/>
        <v>30</v>
      </c>
      <c r="U23" s="36">
        <v>695</v>
      </c>
      <c r="V23" s="115">
        <f t="shared" si="2"/>
        <v>3475</v>
      </c>
      <c r="W23" s="36">
        <v>2</v>
      </c>
      <c r="X23" s="36" t="s">
        <v>35</v>
      </c>
      <c r="Y23" s="36" t="s">
        <v>43</v>
      </c>
      <c r="Z23" s="36" t="s">
        <v>55</v>
      </c>
      <c r="AA23" s="36" t="s">
        <v>36</v>
      </c>
      <c r="AB23" s="128" t="s">
        <v>178</v>
      </c>
      <c r="AE23" s="116"/>
      <c r="AP23" s="120" t="s">
        <v>116</v>
      </c>
      <c r="AR23" s="116" t="s">
        <v>48</v>
      </c>
      <c r="AV23" s="120"/>
    </row>
    <row r="24" spans="1:48" s="36" customFormat="1" ht="13.5" customHeight="1" x14ac:dyDescent="0.15">
      <c r="A24" s="36" t="s">
        <v>24</v>
      </c>
      <c r="B24" s="36" t="s">
        <v>174</v>
      </c>
      <c r="C24" s="36">
        <v>2020</v>
      </c>
      <c r="D24" s="130" t="s">
        <v>175</v>
      </c>
      <c r="E24" s="36" t="s">
        <v>185</v>
      </c>
      <c r="F24" s="36" t="s">
        <v>186</v>
      </c>
      <c r="G24" s="36" t="s">
        <v>25</v>
      </c>
      <c r="H24" s="36" t="s">
        <v>164</v>
      </c>
      <c r="I24" s="36" t="s">
        <v>111</v>
      </c>
      <c r="J24" s="36" t="s">
        <v>27</v>
      </c>
      <c r="K24" s="36" t="s">
        <v>112</v>
      </c>
      <c r="L24" s="36">
        <v>2</v>
      </c>
      <c r="N24" s="36">
        <v>6</v>
      </c>
      <c r="O24" s="36">
        <v>0.5</v>
      </c>
      <c r="P24" s="36">
        <v>0.5</v>
      </c>
      <c r="Q24" s="114">
        <f t="shared" si="0"/>
        <v>0.5</v>
      </c>
      <c r="R24" s="36">
        <v>19.2</v>
      </c>
      <c r="S24" s="36">
        <v>126</v>
      </c>
      <c r="T24" s="115">
        <f t="shared" si="1"/>
        <v>27</v>
      </c>
      <c r="U24" s="36">
        <v>695</v>
      </c>
      <c r="V24" s="115">
        <f t="shared" si="2"/>
        <v>3127.5</v>
      </c>
      <c r="W24" s="36">
        <v>2</v>
      </c>
      <c r="X24" s="36" t="s">
        <v>35</v>
      </c>
      <c r="Y24" s="36" t="s">
        <v>43</v>
      </c>
      <c r="Z24" s="36" t="s">
        <v>55</v>
      </c>
      <c r="AA24" s="36" t="s">
        <v>36</v>
      </c>
      <c r="AB24" s="128" t="s">
        <v>178</v>
      </c>
      <c r="AE24" s="116"/>
      <c r="AP24" s="120" t="s">
        <v>117</v>
      </c>
      <c r="AR24" s="116" t="s">
        <v>77</v>
      </c>
      <c r="AV24" s="120"/>
    </row>
    <row r="25" spans="1:48" s="36" customFormat="1" ht="13.5" customHeight="1" x14ac:dyDescent="0.15">
      <c r="A25" s="36" t="s">
        <v>24</v>
      </c>
      <c r="B25" s="36" t="s">
        <v>174</v>
      </c>
      <c r="C25" s="36">
        <v>2020</v>
      </c>
      <c r="D25" s="130" t="s">
        <v>175</v>
      </c>
      <c r="E25" s="36" t="s">
        <v>185</v>
      </c>
      <c r="F25" s="36" t="s">
        <v>186</v>
      </c>
      <c r="G25" s="36" t="s">
        <v>25</v>
      </c>
      <c r="H25" s="36" t="s">
        <v>164</v>
      </c>
      <c r="I25" s="36" t="s">
        <v>111</v>
      </c>
      <c r="J25" s="36" t="s">
        <v>27</v>
      </c>
      <c r="K25" s="36" t="s">
        <v>112</v>
      </c>
      <c r="L25" s="36">
        <v>3</v>
      </c>
      <c r="N25" s="36">
        <v>6</v>
      </c>
      <c r="O25" s="36">
        <v>1.3</v>
      </c>
      <c r="P25" s="36">
        <v>1.5</v>
      </c>
      <c r="Q25" s="114">
        <f t="shared" si="0"/>
        <v>1.4</v>
      </c>
      <c r="R25" s="36">
        <v>18.399999999999999</v>
      </c>
      <c r="S25" s="36">
        <v>115</v>
      </c>
      <c r="T25" s="115">
        <f t="shared" si="1"/>
        <v>30</v>
      </c>
      <c r="U25" s="36">
        <v>695</v>
      </c>
      <c r="V25" s="115">
        <f t="shared" si="2"/>
        <v>3475</v>
      </c>
      <c r="W25" s="36">
        <v>2</v>
      </c>
      <c r="X25" s="36" t="s">
        <v>35</v>
      </c>
      <c r="Y25" s="36" t="s">
        <v>43</v>
      </c>
      <c r="Z25" s="36" t="s">
        <v>55</v>
      </c>
      <c r="AA25" s="36" t="s">
        <v>36</v>
      </c>
      <c r="AB25" s="128" t="s">
        <v>178</v>
      </c>
      <c r="AE25" s="120"/>
      <c r="AP25" s="120" t="s">
        <v>99</v>
      </c>
      <c r="AR25" s="120" t="s">
        <v>78</v>
      </c>
      <c r="AV25" s="120"/>
    </row>
    <row r="26" spans="1:48" s="36" customFormat="1" ht="13.5" customHeight="1" x14ac:dyDescent="0.15">
      <c r="A26" s="36" t="s">
        <v>24</v>
      </c>
      <c r="B26" s="36" t="s">
        <v>174</v>
      </c>
      <c r="C26" s="36">
        <v>2020</v>
      </c>
      <c r="D26" s="130" t="s">
        <v>175</v>
      </c>
      <c r="E26" s="36" t="s">
        <v>185</v>
      </c>
      <c r="F26" s="36" t="s">
        <v>186</v>
      </c>
      <c r="G26" s="36" t="s">
        <v>25</v>
      </c>
      <c r="H26" s="36" t="s">
        <v>164</v>
      </c>
      <c r="I26" s="36" t="s">
        <v>170</v>
      </c>
      <c r="J26" s="36" t="s">
        <v>27</v>
      </c>
      <c r="K26" s="36" t="s">
        <v>112</v>
      </c>
      <c r="L26" s="36">
        <v>1</v>
      </c>
      <c r="N26" s="36">
        <v>4</v>
      </c>
      <c r="O26" s="36">
        <v>0.8</v>
      </c>
      <c r="P26" s="36">
        <v>0.8</v>
      </c>
      <c r="Q26" s="114">
        <f t="shared" si="0"/>
        <v>0.8</v>
      </c>
      <c r="R26" s="36">
        <v>18.899999999999999</v>
      </c>
      <c r="S26" s="36">
        <v>104</v>
      </c>
      <c r="T26" s="115">
        <f t="shared" si="1"/>
        <v>33</v>
      </c>
      <c r="U26" s="36">
        <v>580</v>
      </c>
      <c r="V26" s="115">
        <f t="shared" si="2"/>
        <v>4785</v>
      </c>
      <c r="W26" s="36">
        <v>2</v>
      </c>
      <c r="X26" s="36" t="s">
        <v>35</v>
      </c>
      <c r="Y26" s="36" t="s">
        <v>43</v>
      </c>
      <c r="Z26" s="36" t="s">
        <v>55</v>
      </c>
      <c r="AA26" s="36" t="s">
        <v>36</v>
      </c>
      <c r="AB26" s="128" t="s">
        <v>178</v>
      </c>
      <c r="AE26" s="120"/>
      <c r="AP26" s="120" t="s">
        <v>100</v>
      </c>
      <c r="AR26" s="116" t="s">
        <v>138</v>
      </c>
      <c r="AV26" s="121"/>
    </row>
    <row r="27" spans="1:48" s="36" customFormat="1" ht="13.5" customHeight="1" x14ac:dyDescent="0.15">
      <c r="A27" s="36" t="s">
        <v>24</v>
      </c>
      <c r="B27" s="36" t="s">
        <v>174</v>
      </c>
      <c r="C27" s="36">
        <v>2020</v>
      </c>
      <c r="D27" s="130" t="s">
        <v>175</v>
      </c>
      <c r="E27" s="36" t="s">
        <v>185</v>
      </c>
      <c r="F27" s="36" t="s">
        <v>186</v>
      </c>
      <c r="G27" s="36" t="s">
        <v>25</v>
      </c>
      <c r="H27" s="36" t="s">
        <v>164</v>
      </c>
      <c r="I27" s="36" t="s">
        <v>170</v>
      </c>
      <c r="J27" s="36" t="s">
        <v>27</v>
      </c>
      <c r="K27" s="36" t="s">
        <v>112</v>
      </c>
      <c r="L27" s="36">
        <v>2</v>
      </c>
      <c r="N27" s="36">
        <v>4</v>
      </c>
      <c r="O27" s="36">
        <v>1.5</v>
      </c>
      <c r="P27" s="36">
        <v>1.5</v>
      </c>
      <c r="Q27" s="114">
        <f t="shared" si="0"/>
        <v>1.5</v>
      </c>
      <c r="R27" s="36">
        <v>15.2</v>
      </c>
      <c r="S27" s="36">
        <v>92</v>
      </c>
      <c r="T27" s="115">
        <f t="shared" si="1"/>
        <v>36</v>
      </c>
      <c r="U27" s="36">
        <v>580</v>
      </c>
      <c r="V27" s="115">
        <f t="shared" si="2"/>
        <v>5220</v>
      </c>
      <c r="W27" s="36">
        <v>2</v>
      </c>
      <c r="X27" s="36" t="s">
        <v>35</v>
      </c>
      <c r="Y27" s="36" t="s">
        <v>43</v>
      </c>
      <c r="Z27" s="36" t="s">
        <v>55</v>
      </c>
      <c r="AA27" s="36" t="s">
        <v>36</v>
      </c>
      <c r="AB27" s="128" t="s">
        <v>178</v>
      </c>
      <c r="AE27" s="121"/>
      <c r="AP27" s="120" t="s">
        <v>101</v>
      </c>
      <c r="AR27" s="116" t="s">
        <v>159</v>
      </c>
    </row>
    <row r="28" spans="1:48" s="36" customFormat="1" ht="13.5" customHeight="1" x14ac:dyDescent="0.15">
      <c r="A28" s="36" t="s">
        <v>24</v>
      </c>
      <c r="B28" s="36" t="s">
        <v>174</v>
      </c>
      <c r="C28" s="36">
        <v>2020</v>
      </c>
      <c r="D28" s="130" t="s">
        <v>175</v>
      </c>
      <c r="E28" s="36" t="s">
        <v>185</v>
      </c>
      <c r="F28" s="36" t="s">
        <v>186</v>
      </c>
      <c r="G28" s="36" t="s">
        <v>25</v>
      </c>
      <c r="H28" s="36" t="s">
        <v>164</v>
      </c>
      <c r="I28" s="36" t="s">
        <v>170</v>
      </c>
      <c r="J28" s="36" t="s">
        <v>27</v>
      </c>
      <c r="K28" s="36" t="s">
        <v>112</v>
      </c>
      <c r="L28" s="36">
        <v>3</v>
      </c>
      <c r="N28" s="36">
        <v>4</v>
      </c>
      <c r="O28" s="36">
        <v>1.3</v>
      </c>
      <c r="P28" s="36">
        <v>1.3</v>
      </c>
      <c r="Q28" s="114">
        <f t="shared" si="0"/>
        <v>1.3</v>
      </c>
      <c r="R28" s="36">
        <v>16</v>
      </c>
      <c r="S28" s="36">
        <v>100</v>
      </c>
      <c r="T28" s="115">
        <f t="shared" si="1"/>
        <v>33</v>
      </c>
      <c r="U28" s="36">
        <v>580</v>
      </c>
      <c r="V28" s="115">
        <f t="shared" si="2"/>
        <v>4785</v>
      </c>
      <c r="W28" s="36">
        <v>2</v>
      </c>
      <c r="X28" s="36" t="s">
        <v>35</v>
      </c>
      <c r="Y28" s="36" t="s">
        <v>43</v>
      </c>
      <c r="Z28" s="36" t="s">
        <v>55</v>
      </c>
      <c r="AA28" s="36" t="s">
        <v>36</v>
      </c>
      <c r="AB28" s="128" t="s">
        <v>178</v>
      </c>
      <c r="AP28" s="120" t="s">
        <v>156</v>
      </c>
      <c r="AR28" s="116" t="s">
        <v>158</v>
      </c>
    </row>
    <row r="29" spans="1:48" s="36" customFormat="1" ht="13.5" customHeight="1" x14ac:dyDescent="0.15">
      <c r="A29" s="36" t="s">
        <v>24</v>
      </c>
      <c r="B29" s="36" t="s">
        <v>174</v>
      </c>
      <c r="C29" s="36">
        <v>2020</v>
      </c>
      <c r="D29" s="130" t="s">
        <v>175</v>
      </c>
      <c r="E29" s="36" t="s">
        <v>179</v>
      </c>
      <c r="F29" s="36" t="s">
        <v>180</v>
      </c>
      <c r="G29" s="36" t="s">
        <v>25</v>
      </c>
      <c r="H29" s="36" t="s">
        <v>113</v>
      </c>
      <c r="I29" s="36" t="s">
        <v>111</v>
      </c>
      <c r="J29" s="36" t="s">
        <v>27</v>
      </c>
      <c r="K29" s="36" t="s">
        <v>112</v>
      </c>
      <c r="L29" s="36">
        <v>1</v>
      </c>
      <c r="N29" s="36">
        <v>1</v>
      </c>
      <c r="O29" s="36">
        <v>1.25</v>
      </c>
      <c r="P29" s="36">
        <v>1.3</v>
      </c>
      <c r="Q29" s="114">
        <f t="shared" si="0"/>
        <v>1.2749999999999999</v>
      </c>
      <c r="R29" s="36">
        <v>13</v>
      </c>
      <c r="S29" s="36">
        <v>129</v>
      </c>
      <c r="T29" s="115">
        <f t="shared" si="1"/>
        <v>25</v>
      </c>
      <c r="U29" s="36">
        <v>99</v>
      </c>
      <c r="V29" s="115">
        <f t="shared" si="2"/>
        <v>2475</v>
      </c>
      <c r="W29" s="36">
        <v>3</v>
      </c>
      <c r="X29" s="36" t="s">
        <v>35</v>
      </c>
      <c r="Y29" s="36" t="s">
        <v>43</v>
      </c>
      <c r="Z29" s="36" t="s">
        <v>36</v>
      </c>
      <c r="AA29" s="36" t="s">
        <v>76</v>
      </c>
      <c r="AB29" s="128" t="s">
        <v>178</v>
      </c>
      <c r="AP29" s="120" t="s">
        <v>157</v>
      </c>
      <c r="AR29" s="121"/>
      <c r="AV29" s="121"/>
    </row>
    <row r="30" spans="1:48" s="36" customFormat="1" ht="13.5" customHeight="1" x14ac:dyDescent="0.15">
      <c r="A30" s="36" t="s">
        <v>24</v>
      </c>
      <c r="B30" s="36" t="s">
        <v>174</v>
      </c>
      <c r="C30" s="36">
        <v>2020</v>
      </c>
      <c r="D30" s="130" t="s">
        <v>175</v>
      </c>
      <c r="E30" s="36" t="s">
        <v>179</v>
      </c>
      <c r="F30" s="36" t="s">
        <v>180</v>
      </c>
      <c r="G30" s="36" t="s">
        <v>25</v>
      </c>
      <c r="H30" s="36" t="s">
        <v>113</v>
      </c>
      <c r="I30" s="36" t="s">
        <v>111</v>
      </c>
      <c r="J30" s="36" t="s">
        <v>27</v>
      </c>
      <c r="K30" s="36" t="s">
        <v>112</v>
      </c>
      <c r="L30" s="36">
        <v>2</v>
      </c>
      <c r="N30" s="36">
        <v>1</v>
      </c>
      <c r="O30" s="36">
        <v>0.75</v>
      </c>
      <c r="P30" s="36">
        <v>0.6</v>
      </c>
      <c r="Q30" s="114">
        <f t="shared" si="0"/>
        <v>0.67500000000000004</v>
      </c>
      <c r="R30" s="36">
        <v>12.4</v>
      </c>
      <c r="S30" s="36">
        <v>128</v>
      </c>
      <c r="T30" s="115">
        <f t="shared" si="1"/>
        <v>27</v>
      </c>
      <c r="U30" s="36">
        <v>99</v>
      </c>
      <c r="V30" s="115">
        <f t="shared" si="2"/>
        <v>2673</v>
      </c>
      <c r="W30" s="36">
        <v>3</v>
      </c>
      <c r="X30" s="36" t="s">
        <v>35</v>
      </c>
      <c r="Y30" s="36" t="s">
        <v>43</v>
      </c>
      <c r="Z30" s="36" t="s">
        <v>36</v>
      </c>
      <c r="AA30" s="36" t="s">
        <v>76</v>
      </c>
      <c r="AB30" s="128" t="s">
        <v>178</v>
      </c>
      <c r="AP30" s="120"/>
      <c r="AR30" s="120"/>
    </row>
    <row r="31" spans="1:48" s="36" customFormat="1" ht="13.5" customHeight="1" x14ac:dyDescent="0.15">
      <c r="A31" s="36" t="s">
        <v>24</v>
      </c>
      <c r="B31" s="36" t="s">
        <v>174</v>
      </c>
      <c r="C31" s="36">
        <v>2020</v>
      </c>
      <c r="D31" s="130" t="s">
        <v>175</v>
      </c>
      <c r="E31" s="36" t="s">
        <v>179</v>
      </c>
      <c r="F31" s="36" t="s">
        <v>180</v>
      </c>
      <c r="G31" s="36" t="s">
        <v>25</v>
      </c>
      <c r="H31" s="36" t="s">
        <v>113</v>
      </c>
      <c r="I31" s="36" t="s">
        <v>111</v>
      </c>
      <c r="J31" s="36" t="s">
        <v>27</v>
      </c>
      <c r="K31" s="36" t="s">
        <v>112</v>
      </c>
      <c r="L31" s="36">
        <v>3</v>
      </c>
      <c r="N31" s="36">
        <v>1</v>
      </c>
      <c r="O31" s="36">
        <v>0.8</v>
      </c>
      <c r="P31" s="36">
        <v>1</v>
      </c>
      <c r="Q31" s="114">
        <f t="shared" si="0"/>
        <v>0.9</v>
      </c>
      <c r="R31" s="36">
        <v>11.7</v>
      </c>
      <c r="S31" s="36">
        <v>126</v>
      </c>
      <c r="T31" s="115">
        <f t="shared" si="1"/>
        <v>27</v>
      </c>
      <c r="U31" s="36">
        <v>99</v>
      </c>
      <c r="V31" s="115">
        <f t="shared" si="2"/>
        <v>2673</v>
      </c>
      <c r="W31" s="36">
        <v>3</v>
      </c>
      <c r="X31" s="36" t="s">
        <v>35</v>
      </c>
      <c r="Y31" s="36" t="s">
        <v>43</v>
      </c>
      <c r="Z31" s="36" t="s">
        <v>36</v>
      </c>
      <c r="AA31" s="36" t="s">
        <v>76</v>
      </c>
      <c r="AB31" s="128" t="s">
        <v>178</v>
      </c>
      <c r="AP31" s="120"/>
      <c r="AR31" s="120"/>
    </row>
    <row r="32" spans="1:48" s="36" customFormat="1" ht="13.5" customHeight="1" x14ac:dyDescent="0.15">
      <c r="A32" s="36" t="s">
        <v>24</v>
      </c>
      <c r="B32" s="36" t="s">
        <v>174</v>
      </c>
      <c r="C32" s="36">
        <v>2020</v>
      </c>
      <c r="D32" s="130" t="s">
        <v>175</v>
      </c>
      <c r="E32" s="36" t="s">
        <v>179</v>
      </c>
      <c r="F32" s="36" t="s">
        <v>180</v>
      </c>
      <c r="G32" s="36" t="s">
        <v>25</v>
      </c>
      <c r="H32" s="36" t="s">
        <v>113</v>
      </c>
      <c r="I32" s="36" t="s">
        <v>111</v>
      </c>
      <c r="J32" s="36" t="s">
        <v>27</v>
      </c>
      <c r="K32" s="36" t="s">
        <v>112</v>
      </c>
      <c r="L32" s="36">
        <v>1</v>
      </c>
      <c r="N32" s="36">
        <v>5</v>
      </c>
      <c r="O32" s="36">
        <v>1.3</v>
      </c>
      <c r="P32" s="36">
        <v>1.25</v>
      </c>
      <c r="Q32" s="114">
        <f t="shared" si="0"/>
        <v>1.2749999999999999</v>
      </c>
      <c r="R32" s="36">
        <v>13.3</v>
      </c>
      <c r="S32" s="36">
        <v>96</v>
      </c>
      <c r="T32" s="115">
        <f t="shared" si="1"/>
        <v>36</v>
      </c>
      <c r="U32" s="36">
        <v>398</v>
      </c>
      <c r="V32" s="115">
        <f t="shared" si="2"/>
        <v>2865.6</v>
      </c>
      <c r="W32" s="36">
        <v>3</v>
      </c>
      <c r="X32" s="36" t="s">
        <v>35</v>
      </c>
      <c r="Y32" s="36" t="s">
        <v>43</v>
      </c>
      <c r="Z32" s="36" t="s">
        <v>36</v>
      </c>
      <c r="AA32" s="36" t="s">
        <v>76</v>
      </c>
      <c r="AB32" s="128" t="s">
        <v>178</v>
      </c>
      <c r="AP32" s="121"/>
      <c r="AR32" s="121"/>
    </row>
    <row r="33" spans="1:28" s="36" customFormat="1" ht="13.5" customHeight="1" x14ac:dyDescent="0.15">
      <c r="A33" s="36" t="s">
        <v>24</v>
      </c>
      <c r="B33" s="36" t="s">
        <v>174</v>
      </c>
      <c r="C33" s="36">
        <v>2020</v>
      </c>
      <c r="D33" s="130" t="s">
        <v>175</v>
      </c>
      <c r="E33" s="36" t="s">
        <v>179</v>
      </c>
      <c r="F33" s="36" t="s">
        <v>180</v>
      </c>
      <c r="G33" s="36" t="s">
        <v>25</v>
      </c>
      <c r="H33" s="36" t="s">
        <v>113</v>
      </c>
      <c r="I33" s="36" t="s">
        <v>111</v>
      </c>
      <c r="J33" s="36" t="s">
        <v>27</v>
      </c>
      <c r="K33" s="36" t="s">
        <v>112</v>
      </c>
      <c r="L33" s="36">
        <v>2</v>
      </c>
      <c r="N33" s="36">
        <v>5</v>
      </c>
      <c r="O33" s="36">
        <v>1.75</v>
      </c>
      <c r="P33" s="36">
        <v>1.5</v>
      </c>
      <c r="Q33" s="114">
        <f t="shared" si="0"/>
        <v>1.625</v>
      </c>
      <c r="R33" s="36">
        <v>18.5</v>
      </c>
      <c r="S33" s="36">
        <v>95</v>
      </c>
      <c r="T33" s="115">
        <f t="shared" si="1"/>
        <v>36</v>
      </c>
      <c r="U33" s="36">
        <v>398</v>
      </c>
      <c r="V33" s="115">
        <f t="shared" si="2"/>
        <v>2865.6</v>
      </c>
      <c r="W33" s="36">
        <v>3</v>
      </c>
      <c r="X33" s="36" t="s">
        <v>35</v>
      </c>
      <c r="Y33" s="36" t="s">
        <v>43</v>
      </c>
      <c r="Z33" s="36" t="s">
        <v>36</v>
      </c>
      <c r="AA33" s="36" t="s">
        <v>76</v>
      </c>
      <c r="AB33" s="128" t="s">
        <v>178</v>
      </c>
    </row>
    <row r="34" spans="1:28" s="36" customFormat="1" ht="13.5" customHeight="1" x14ac:dyDescent="0.15">
      <c r="A34" s="36" t="s">
        <v>24</v>
      </c>
      <c r="B34" s="36" t="s">
        <v>174</v>
      </c>
      <c r="C34" s="36">
        <v>2020</v>
      </c>
      <c r="D34" s="130" t="s">
        <v>175</v>
      </c>
      <c r="E34" s="36" t="s">
        <v>179</v>
      </c>
      <c r="F34" s="36" t="s">
        <v>180</v>
      </c>
      <c r="G34" s="36" t="s">
        <v>25</v>
      </c>
      <c r="H34" s="36" t="s">
        <v>113</v>
      </c>
      <c r="I34" s="36" t="s">
        <v>111</v>
      </c>
      <c r="J34" s="36" t="s">
        <v>27</v>
      </c>
      <c r="K34" s="36" t="s">
        <v>112</v>
      </c>
      <c r="L34" s="36">
        <v>3</v>
      </c>
      <c r="N34" s="36">
        <v>5</v>
      </c>
      <c r="O34" s="36">
        <v>1.4</v>
      </c>
      <c r="P34" s="36">
        <v>1.4</v>
      </c>
      <c r="Q34" s="114">
        <f t="shared" si="0"/>
        <v>1.4</v>
      </c>
      <c r="R34" s="36">
        <v>13</v>
      </c>
      <c r="S34" s="36">
        <v>100</v>
      </c>
      <c r="T34" s="115">
        <f t="shared" si="1"/>
        <v>33</v>
      </c>
      <c r="U34" s="36">
        <v>398</v>
      </c>
      <c r="V34" s="115">
        <f t="shared" si="2"/>
        <v>2626.7999999999997</v>
      </c>
      <c r="W34" s="36">
        <v>3</v>
      </c>
      <c r="X34" s="36" t="s">
        <v>35</v>
      </c>
      <c r="Y34" s="36" t="s">
        <v>43</v>
      </c>
      <c r="Z34" s="36" t="s">
        <v>36</v>
      </c>
      <c r="AA34" s="36" t="s">
        <v>76</v>
      </c>
      <c r="AB34" s="128" t="s">
        <v>178</v>
      </c>
    </row>
    <row r="35" spans="1:28" s="36" customFormat="1" ht="13.5" customHeight="1" x14ac:dyDescent="0.15">
      <c r="A35" s="36" t="s">
        <v>24</v>
      </c>
      <c r="B35" s="36" t="s">
        <v>174</v>
      </c>
      <c r="C35" s="36">
        <v>2020</v>
      </c>
      <c r="D35" s="130" t="s">
        <v>175</v>
      </c>
      <c r="E35" s="36" t="s">
        <v>179</v>
      </c>
      <c r="F35" s="36" t="s">
        <v>180</v>
      </c>
      <c r="G35" s="36" t="s">
        <v>25</v>
      </c>
      <c r="H35" s="36" t="s">
        <v>107</v>
      </c>
      <c r="I35" s="36" t="s">
        <v>170</v>
      </c>
      <c r="J35" s="36" t="s">
        <v>66</v>
      </c>
      <c r="K35" s="36" t="s">
        <v>50</v>
      </c>
      <c r="L35" s="36">
        <v>1</v>
      </c>
      <c r="N35" s="36">
        <v>5</v>
      </c>
      <c r="O35" s="36">
        <v>1.3</v>
      </c>
      <c r="P35" s="36">
        <v>1</v>
      </c>
      <c r="Q35" s="114">
        <f t="shared" si="0"/>
        <v>1.1499999999999999</v>
      </c>
      <c r="R35" s="36">
        <v>12.6</v>
      </c>
      <c r="S35" s="36">
        <v>68</v>
      </c>
      <c r="T35" s="115">
        <f t="shared" si="1"/>
        <v>50</v>
      </c>
      <c r="U35" s="36">
        <v>398</v>
      </c>
      <c r="V35" s="115">
        <f t="shared" si="2"/>
        <v>3979.9999999999995</v>
      </c>
      <c r="W35" s="36">
        <v>1</v>
      </c>
      <c r="X35" s="36" t="s">
        <v>35</v>
      </c>
      <c r="Y35" s="36" t="s">
        <v>43</v>
      </c>
      <c r="Z35" s="36" t="s">
        <v>36</v>
      </c>
      <c r="AA35" s="36" t="s">
        <v>76</v>
      </c>
      <c r="AB35" s="128" t="s">
        <v>178</v>
      </c>
    </row>
    <row r="36" spans="1:28" s="36" customFormat="1" ht="13.5" customHeight="1" x14ac:dyDescent="0.15">
      <c r="A36" s="36" t="s">
        <v>24</v>
      </c>
      <c r="B36" s="36" t="s">
        <v>174</v>
      </c>
      <c r="C36" s="36">
        <v>2020</v>
      </c>
      <c r="D36" s="130" t="s">
        <v>175</v>
      </c>
      <c r="E36" s="36" t="s">
        <v>179</v>
      </c>
      <c r="F36" s="36" t="s">
        <v>180</v>
      </c>
      <c r="G36" s="36" t="s">
        <v>25</v>
      </c>
      <c r="H36" s="36" t="s">
        <v>107</v>
      </c>
      <c r="I36" s="36" t="s">
        <v>170</v>
      </c>
      <c r="J36" s="36" t="s">
        <v>66</v>
      </c>
      <c r="K36" s="36" t="s">
        <v>50</v>
      </c>
      <c r="L36" s="36">
        <v>2</v>
      </c>
      <c r="N36" s="36">
        <v>5</v>
      </c>
      <c r="O36" s="36">
        <v>1.3</v>
      </c>
      <c r="P36" s="36">
        <v>1</v>
      </c>
      <c r="Q36" s="114">
        <f t="shared" si="0"/>
        <v>1.1499999999999999</v>
      </c>
      <c r="R36" s="36">
        <v>11.9</v>
      </c>
      <c r="S36" s="36">
        <v>69</v>
      </c>
      <c r="T36" s="115">
        <f t="shared" si="1"/>
        <v>50</v>
      </c>
      <c r="U36" s="36">
        <v>398</v>
      </c>
      <c r="V36" s="115">
        <f t="shared" si="2"/>
        <v>3979.9999999999995</v>
      </c>
      <c r="W36" s="36">
        <v>1</v>
      </c>
      <c r="X36" s="36" t="s">
        <v>35</v>
      </c>
      <c r="Y36" s="36" t="s">
        <v>43</v>
      </c>
      <c r="Z36" s="36" t="s">
        <v>36</v>
      </c>
      <c r="AA36" s="36" t="s">
        <v>76</v>
      </c>
      <c r="AB36" s="128" t="s">
        <v>178</v>
      </c>
    </row>
    <row r="37" spans="1:28" s="36" customFormat="1" ht="13.5" customHeight="1" x14ac:dyDescent="0.15">
      <c r="A37" s="36" t="s">
        <v>24</v>
      </c>
      <c r="B37" s="36" t="s">
        <v>174</v>
      </c>
      <c r="C37" s="36">
        <v>2020</v>
      </c>
      <c r="D37" s="130" t="s">
        <v>175</v>
      </c>
      <c r="E37" s="36" t="s">
        <v>179</v>
      </c>
      <c r="F37" s="36" t="s">
        <v>180</v>
      </c>
      <c r="G37" s="36" t="s">
        <v>25</v>
      </c>
      <c r="H37" s="36" t="s">
        <v>107</v>
      </c>
      <c r="I37" s="36" t="s">
        <v>170</v>
      </c>
      <c r="J37" s="36" t="s">
        <v>66</v>
      </c>
      <c r="K37" s="36" t="s">
        <v>50</v>
      </c>
      <c r="L37" s="36">
        <v>3</v>
      </c>
      <c r="N37" s="36">
        <v>5</v>
      </c>
      <c r="O37" s="128">
        <v>1.1000000000000001</v>
      </c>
      <c r="P37" s="128">
        <v>1.25</v>
      </c>
      <c r="Q37" s="114">
        <f t="shared" si="0"/>
        <v>1.175</v>
      </c>
      <c r="R37" s="36">
        <v>12.2</v>
      </c>
      <c r="S37" s="36">
        <v>71</v>
      </c>
      <c r="T37" s="115">
        <f t="shared" si="1"/>
        <v>42</v>
      </c>
      <c r="U37" s="36">
        <v>398</v>
      </c>
      <c r="V37" s="115">
        <f t="shared" si="2"/>
        <v>3343.2</v>
      </c>
      <c r="W37" s="36">
        <v>1</v>
      </c>
      <c r="X37" s="36" t="s">
        <v>35</v>
      </c>
      <c r="Y37" s="36" t="s">
        <v>43</v>
      </c>
      <c r="Z37" s="36" t="s">
        <v>36</v>
      </c>
      <c r="AA37" s="36" t="s">
        <v>76</v>
      </c>
      <c r="AB37" s="128" t="s">
        <v>178</v>
      </c>
    </row>
    <row r="38" spans="1:28" s="36" customFormat="1" ht="13.5" customHeight="1" x14ac:dyDescent="0.15">
      <c r="A38" s="36" t="s">
        <v>24</v>
      </c>
      <c r="B38" s="36" t="s">
        <v>174</v>
      </c>
      <c r="C38" s="36">
        <v>2020</v>
      </c>
      <c r="D38" s="130" t="s">
        <v>175</v>
      </c>
      <c r="E38" s="36" t="s">
        <v>179</v>
      </c>
      <c r="F38" s="36" t="s">
        <v>180</v>
      </c>
      <c r="G38" s="36" t="s">
        <v>25</v>
      </c>
      <c r="H38" s="36" t="s">
        <v>164</v>
      </c>
      <c r="I38" s="36" t="s">
        <v>111</v>
      </c>
      <c r="J38" s="36" t="s">
        <v>27</v>
      </c>
      <c r="K38" s="36" t="s">
        <v>112</v>
      </c>
      <c r="L38" s="36">
        <v>1</v>
      </c>
      <c r="N38" s="36">
        <v>1</v>
      </c>
      <c r="O38" s="128">
        <v>1</v>
      </c>
      <c r="P38" s="128">
        <v>0.9</v>
      </c>
      <c r="Q38" s="114">
        <f t="shared" si="0"/>
        <v>0.95</v>
      </c>
      <c r="R38" s="36">
        <v>14.2</v>
      </c>
      <c r="S38" s="36">
        <v>130</v>
      </c>
      <c r="T38" s="115">
        <f t="shared" si="1"/>
        <v>25</v>
      </c>
      <c r="U38" s="36">
        <v>138</v>
      </c>
      <c r="V38" s="115">
        <f t="shared" si="2"/>
        <v>3450</v>
      </c>
      <c r="W38" s="36">
        <v>6</v>
      </c>
      <c r="X38" s="36" t="s">
        <v>35</v>
      </c>
      <c r="Y38" s="36" t="s">
        <v>43</v>
      </c>
      <c r="Z38" s="36" t="s">
        <v>36</v>
      </c>
      <c r="AA38" s="36" t="s">
        <v>76</v>
      </c>
      <c r="AB38" s="128" t="s">
        <v>178</v>
      </c>
    </row>
    <row r="39" spans="1:28" s="36" customFormat="1" ht="13.5" customHeight="1" x14ac:dyDescent="0.15">
      <c r="A39" s="36" t="s">
        <v>24</v>
      </c>
      <c r="B39" s="36" t="s">
        <v>174</v>
      </c>
      <c r="C39" s="36">
        <v>2020</v>
      </c>
      <c r="D39" s="130" t="s">
        <v>175</v>
      </c>
      <c r="E39" s="36" t="s">
        <v>179</v>
      </c>
      <c r="F39" s="36" t="s">
        <v>180</v>
      </c>
      <c r="G39" s="36" t="s">
        <v>25</v>
      </c>
      <c r="H39" s="36" t="s">
        <v>164</v>
      </c>
      <c r="I39" s="36" t="s">
        <v>111</v>
      </c>
      <c r="J39" s="36" t="s">
        <v>27</v>
      </c>
      <c r="K39" s="36" t="s">
        <v>112</v>
      </c>
      <c r="L39" s="36">
        <v>2</v>
      </c>
      <c r="N39" s="36">
        <v>1</v>
      </c>
      <c r="O39" s="36">
        <v>1.1000000000000001</v>
      </c>
      <c r="P39" s="36">
        <v>1</v>
      </c>
      <c r="Q39" s="114">
        <f t="shared" si="0"/>
        <v>1.05</v>
      </c>
      <c r="R39" s="128">
        <v>16.100000000000001</v>
      </c>
      <c r="S39" s="36">
        <v>132</v>
      </c>
      <c r="T39" s="115">
        <f t="shared" si="1"/>
        <v>25</v>
      </c>
      <c r="U39" s="36">
        <v>138</v>
      </c>
      <c r="V39" s="115">
        <f t="shared" si="2"/>
        <v>3450</v>
      </c>
      <c r="W39" s="36">
        <v>6</v>
      </c>
      <c r="X39" s="36" t="s">
        <v>35</v>
      </c>
      <c r="Y39" s="36" t="s">
        <v>43</v>
      </c>
      <c r="Z39" s="36" t="s">
        <v>36</v>
      </c>
      <c r="AA39" s="36" t="s">
        <v>76</v>
      </c>
      <c r="AB39" s="128" t="s">
        <v>178</v>
      </c>
    </row>
    <row r="40" spans="1:28" s="36" customFormat="1" ht="13.5" customHeight="1" x14ac:dyDescent="0.15">
      <c r="A40" s="36" t="s">
        <v>24</v>
      </c>
      <c r="B40" s="36" t="s">
        <v>174</v>
      </c>
      <c r="C40" s="36">
        <v>2020</v>
      </c>
      <c r="D40" s="130" t="s">
        <v>175</v>
      </c>
      <c r="E40" s="36" t="s">
        <v>179</v>
      </c>
      <c r="F40" s="36" t="s">
        <v>180</v>
      </c>
      <c r="G40" s="36" t="s">
        <v>25</v>
      </c>
      <c r="H40" s="36" t="s">
        <v>164</v>
      </c>
      <c r="I40" s="36" t="s">
        <v>111</v>
      </c>
      <c r="J40" s="36" t="s">
        <v>27</v>
      </c>
      <c r="K40" s="36" t="s">
        <v>112</v>
      </c>
      <c r="L40" s="36">
        <v>3</v>
      </c>
      <c r="N40" s="36">
        <v>1</v>
      </c>
      <c r="O40" s="36">
        <v>0.8</v>
      </c>
      <c r="P40" s="36">
        <v>0.75</v>
      </c>
      <c r="Q40" s="114">
        <f t="shared" si="0"/>
        <v>0.77500000000000002</v>
      </c>
      <c r="R40" s="36">
        <v>20.3</v>
      </c>
      <c r="S40" s="36">
        <v>133</v>
      </c>
      <c r="T40" s="115">
        <f t="shared" si="1"/>
        <v>25</v>
      </c>
      <c r="U40" s="36">
        <v>138</v>
      </c>
      <c r="V40" s="115">
        <f t="shared" si="2"/>
        <v>3450</v>
      </c>
      <c r="W40" s="36">
        <v>6</v>
      </c>
      <c r="X40" s="36" t="s">
        <v>35</v>
      </c>
      <c r="Y40" s="36" t="s">
        <v>43</v>
      </c>
      <c r="Z40" s="36" t="s">
        <v>36</v>
      </c>
      <c r="AA40" s="36" t="s">
        <v>76</v>
      </c>
      <c r="AB40" s="128" t="s">
        <v>178</v>
      </c>
    </row>
    <row r="41" spans="1:28" s="36" customFormat="1" ht="13.5" customHeight="1" x14ac:dyDescent="0.15">
      <c r="A41" s="36" t="s">
        <v>24</v>
      </c>
      <c r="B41" s="36" t="s">
        <v>174</v>
      </c>
      <c r="C41" s="36">
        <v>2020</v>
      </c>
      <c r="D41" s="130" t="s">
        <v>175</v>
      </c>
      <c r="E41" s="36" t="s">
        <v>179</v>
      </c>
      <c r="F41" s="36" t="s">
        <v>180</v>
      </c>
      <c r="G41" s="36" t="s">
        <v>25</v>
      </c>
      <c r="H41" s="36" t="s">
        <v>164</v>
      </c>
      <c r="I41" s="36" t="s">
        <v>111</v>
      </c>
      <c r="J41" s="36" t="s">
        <v>27</v>
      </c>
      <c r="K41" s="36" t="s">
        <v>112</v>
      </c>
      <c r="L41" s="36">
        <v>1</v>
      </c>
      <c r="N41" s="36">
        <v>4</v>
      </c>
      <c r="O41" s="36">
        <v>0.9</v>
      </c>
      <c r="P41" s="36">
        <v>0.75</v>
      </c>
      <c r="Q41" s="114">
        <f t="shared" si="0"/>
        <v>0.82499999999999996</v>
      </c>
      <c r="R41" s="36">
        <v>18.600000000000001</v>
      </c>
      <c r="S41" s="36">
        <v>109</v>
      </c>
      <c r="T41" s="115">
        <f t="shared" si="1"/>
        <v>33</v>
      </c>
      <c r="U41" s="36">
        <v>498</v>
      </c>
      <c r="V41" s="115">
        <f t="shared" si="2"/>
        <v>4108.5</v>
      </c>
      <c r="W41" s="36">
        <v>8</v>
      </c>
      <c r="X41" s="36" t="s">
        <v>35</v>
      </c>
      <c r="Y41" s="36" t="s">
        <v>43</v>
      </c>
      <c r="Z41" s="36" t="s">
        <v>36</v>
      </c>
      <c r="AA41" s="36" t="s">
        <v>76</v>
      </c>
      <c r="AB41" s="128" t="s">
        <v>178</v>
      </c>
    </row>
    <row r="42" spans="1:28" s="36" customFormat="1" ht="13.5" customHeight="1" x14ac:dyDescent="0.15">
      <c r="A42" s="36" t="s">
        <v>24</v>
      </c>
      <c r="B42" s="36" t="s">
        <v>174</v>
      </c>
      <c r="C42" s="36">
        <v>2020</v>
      </c>
      <c r="D42" s="130" t="s">
        <v>175</v>
      </c>
      <c r="E42" s="36" t="s">
        <v>179</v>
      </c>
      <c r="F42" s="36" t="s">
        <v>180</v>
      </c>
      <c r="G42" s="36" t="s">
        <v>25</v>
      </c>
      <c r="H42" s="36" t="s">
        <v>164</v>
      </c>
      <c r="I42" s="36" t="s">
        <v>111</v>
      </c>
      <c r="J42" s="36" t="s">
        <v>27</v>
      </c>
      <c r="K42" s="36" t="s">
        <v>112</v>
      </c>
      <c r="L42" s="36">
        <v>2</v>
      </c>
      <c r="N42" s="36">
        <v>4</v>
      </c>
      <c r="O42" s="36">
        <v>0.8</v>
      </c>
      <c r="P42" s="36">
        <v>0.8</v>
      </c>
      <c r="Q42" s="114">
        <f t="shared" si="0"/>
        <v>0.8</v>
      </c>
      <c r="R42" s="36">
        <v>20.6</v>
      </c>
      <c r="S42" s="36">
        <v>113</v>
      </c>
      <c r="T42" s="115">
        <f t="shared" si="1"/>
        <v>30</v>
      </c>
      <c r="U42" s="36">
        <v>498</v>
      </c>
      <c r="V42" s="115">
        <f t="shared" si="2"/>
        <v>3735</v>
      </c>
      <c r="W42" s="36">
        <v>8</v>
      </c>
      <c r="X42" s="36" t="s">
        <v>35</v>
      </c>
      <c r="Y42" s="36" t="s">
        <v>43</v>
      </c>
      <c r="Z42" s="36" t="s">
        <v>36</v>
      </c>
      <c r="AA42" s="36" t="s">
        <v>76</v>
      </c>
      <c r="AB42" s="128" t="s">
        <v>178</v>
      </c>
    </row>
    <row r="43" spans="1:28" s="36" customFormat="1" ht="13.5" customHeight="1" x14ac:dyDescent="0.15">
      <c r="A43" s="36" t="s">
        <v>24</v>
      </c>
      <c r="B43" s="36" t="s">
        <v>174</v>
      </c>
      <c r="C43" s="36">
        <v>2020</v>
      </c>
      <c r="D43" s="130" t="s">
        <v>175</v>
      </c>
      <c r="E43" s="36" t="s">
        <v>179</v>
      </c>
      <c r="F43" s="36" t="s">
        <v>180</v>
      </c>
      <c r="G43" s="36" t="s">
        <v>25</v>
      </c>
      <c r="H43" s="36" t="s">
        <v>164</v>
      </c>
      <c r="I43" s="36" t="s">
        <v>111</v>
      </c>
      <c r="J43" s="36" t="s">
        <v>27</v>
      </c>
      <c r="K43" s="36" t="s">
        <v>112</v>
      </c>
      <c r="L43" s="36">
        <v>3</v>
      </c>
      <c r="N43" s="36">
        <v>4</v>
      </c>
      <c r="O43" s="36">
        <v>1</v>
      </c>
      <c r="P43" s="36">
        <v>0.75</v>
      </c>
      <c r="Q43" s="114">
        <f t="shared" si="0"/>
        <v>0.875</v>
      </c>
      <c r="R43" s="36">
        <v>16.100000000000001</v>
      </c>
      <c r="S43" s="36">
        <v>112</v>
      </c>
      <c r="T43" s="115">
        <f t="shared" si="1"/>
        <v>33</v>
      </c>
      <c r="U43" s="36">
        <v>498</v>
      </c>
      <c r="V43" s="115">
        <f t="shared" si="2"/>
        <v>4108.5</v>
      </c>
      <c r="W43" s="36">
        <v>8</v>
      </c>
      <c r="X43" s="36" t="s">
        <v>35</v>
      </c>
      <c r="Y43" s="36" t="s">
        <v>43</v>
      </c>
      <c r="Z43" s="36" t="s">
        <v>36</v>
      </c>
      <c r="AA43" s="36" t="s">
        <v>76</v>
      </c>
      <c r="AB43" s="128" t="s">
        <v>178</v>
      </c>
    </row>
    <row r="44" spans="1:28" s="36" customFormat="1" ht="13.5" customHeight="1" x14ac:dyDescent="0.15">
      <c r="A44" s="36" t="s">
        <v>24</v>
      </c>
      <c r="B44" s="36" t="s">
        <v>174</v>
      </c>
      <c r="C44" s="36">
        <v>2020</v>
      </c>
      <c r="D44" s="130" t="s">
        <v>175</v>
      </c>
      <c r="E44" s="36" t="s">
        <v>179</v>
      </c>
      <c r="F44" s="36" t="s">
        <v>180</v>
      </c>
      <c r="G44" s="36" t="s">
        <v>25</v>
      </c>
      <c r="H44" s="36" t="s">
        <v>164</v>
      </c>
      <c r="I44" s="36" t="s">
        <v>170</v>
      </c>
      <c r="J44" s="36" t="s">
        <v>27</v>
      </c>
      <c r="K44" s="36" t="s">
        <v>112</v>
      </c>
      <c r="L44" s="36">
        <v>1</v>
      </c>
      <c r="N44" s="36">
        <v>4</v>
      </c>
      <c r="O44" s="36">
        <v>1.25</v>
      </c>
      <c r="P44" s="36">
        <v>1</v>
      </c>
      <c r="Q44" s="114">
        <f t="shared" si="0"/>
        <v>1.125</v>
      </c>
      <c r="R44" s="36">
        <v>15.1</v>
      </c>
      <c r="S44" s="36">
        <v>96</v>
      </c>
      <c r="T44" s="115">
        <f t="shared" si="1"/>
        <v>36</v>
      </c>
      <c r="U44" s="36">
        <v>498</v>
      </c>
      <c r="V44" s="115">
        <f t="shared" si="2"/>
        <v>4482</v>
      </c>
      <c r="W44" s="36">
        <v>2</v>
      </c>
      <c r="X44" s="36" t="s">
        <v>35</v>
      </c>
      <c r="Y44" s="36" t="s">
        <v>43</v>
      </c>
      <c r="Z44" s="36" t="s">
        <v>36</v>
      </c>
      <c r="AA44" s="36" t="s">
        <v>76</v>
      </c>
      <c r="AB44" s="128" t="s">
        <v>178</v>
      </c>
    </row>
    <row r="45" spans="1:28" s="36" customFormat="1" ht="13.5" customHeight="1" x14ac:dyDescent="0.15">
      <c r="A45" s="36" t="s">
        <v>24</v>
      </c>
      <c r="B45" s="36" t="s">
        <v>174</v>
      </c>
      <c r="C45" s="36">
        <v>2020</v>
      </c>
      <c r="D45" s="130" t="s">
        <v>175</v>
      </c>
      <c r="E45" s="36" t="s">
        <v>179</v>
      </c>
      <c r="F45" s="36" t="s">
        <v>180</v>
      </c>
      <c r="G45" s="36" t="s">
        <v>25</v>
      </c>
      <c r="H45" s="36" t="s">
        <v>164</v>
      </c>
      <c r="I45" s="36" t="s">
        <v>170</v>
      </c>
      <c r="J45" s="36" t="s">
        <v>27</v>
      </c>
      <c r="K45" s="36" t="s">
        <v>112</v>
      </c>
      <c r="L45" s="36">
        <v>2</v>
      </c>
      <c r="N45" s="36">
        <v>4</v>
      </c>
      <c r="O45" s="36">
        <v>0.9</v>
      </c>
      <c r="P45" s="36">
        <v>1</v>
      </c>
      <c r="Q45" s="114">
        <f t="shared" si="0"/>
        <v>0.95</v>
      </c>
      <c r="R45" s="36">
        <v>14.9</v>
      </c>
      <c r="S45" s="36">
        <v>101</v>
      </c>
      <c r="T45" s="115">
        <f t="shared" si="1"/>
        <v>33</v>
      </c>
      <c r="U45" s="36">
        <v>498</v>
      </c>
      <c r="V45" s="115">
        <f t="shared" si="2"/>
        <v>4108.5</v>
      </c>
      <c r="W45" s="36">
        <v>2</v>
      </c>
      <c r="X45" s="36" t="s">
        <v>35</v>
      </c>
      <c r="Y45" s="36" t="s">
        <v>43</v>
      </c>
      <c r="Z45" s="36" t="s">
        <v>36</v>
      </c>
      <c r="AA45" s="36" t="s">
        <v>76</v>
      </c>
      <c r="AB45" s="128" t="s">
        <v>178</v>
      </c>
    </row>
    <row r="46" spans="1:28" s="36" customFormat="1" ht="13.5" customHeight="1" x14ac:dyDescent="0.15">
      <c r="A46" s="36" t="s">
        <v>24</v>
      </c>
      <c r="B46" s="36" t="s">
        <v>174</v>
      </c>
      <c r="C46" s="36">
        <v>2020</v>
      </c>
      <c r="D46" s="130" t="s">
        <v>175</v>
      </c>
      <c r="E46" s="36" t="s">
        <v>179</v>
      </c>
      <c r="F46" s="36" t="s">
        <v>180</v>
      </c>
      <c r="G46" s="36" t="s">
        <v>25</v>
      </c>
      <c r="H46" s="36" t="s">
        <v>164</v>
      </c>
      <c r="I46" s="36" t="s">
        <v>170</v>
      </c>
      <c r="J46" s="36" t="s">
        <v>27</v>
      </c>
      <c r="K46" s="36" t="s">
        <v>112</v>
      </c>
      <c r="L46" s="36">
        <v>3</v>
      </c>
      <c r="N46" s="36">
        <v>4</v>
      </c>
      <c r="O46" s="36">
        <v>1.25</v>
      </c>
      <c r="P46" s="128">
        <v>1.1000000000000001</v>
      </c>
      <c r="Q46" s="114">
        <f t="shared" si="0"/>
        <v>1.175</v>
      </c>
      <c r="R46" s="36">
        <v>14.2</v>
      </c>
      <c r="S46" s="36">
        <v>101</v>
      </c>
      <c r="T46" s="115">
        <f t="shared" si="1"/>
        <v>33</v>
      </c>
      <c r="U46" s="36">
        <v>498</v>
      </c>
      <c r="V46" s="115">
        <f t="shared" si="2"/>
        <v>4108.5</v>
      </c>
      <c r="W46" s="36">
        <v>2</v>
      </c>
      <c r="X46" s="36" t="s">
        <v>35</v>
      </c>
      <c r="Y46" s="36" t="s">
        <v>43</v>
      </c>
      <c r="Z46" s="36" t="s">
        <v>36</v>
      </c>
      <c r="AA46" s="36" t="s">
        <v>76</v>
      </c>
      <c r="AB46" s="128" t="s">
        <v>178</v>
      </c>
    </row>
    <row r="47" spans="1:28" s="36" customFormat="1" ht="13.5" customHeight="1" x14ac:dyDescent="0.15">
      <c r="A47" s="36" t="s">
        <v>24</v>
      </c>
      <c r="B47" s="36" t="s">
        <v>174</v>
      </c>
      <c r="C47" s="36">
        <v>2020</v>
      </c>
      <c r="D47" s="130" t="s">
        <v>175</v>
      </c>
      <c r="E47" s="36" t="s">
        <v>191</v>
      </c>
      <c r="F47" s="36" t="s">
        <v>192</v>
      </c>
      <c r="G47" s="36" t="s">
        <v>25</v>
      </c>
      <c r="H47" s="36" t="s">
        <v>113</v>
      </c>
      <c r="I47" s="36" t="s">
        <v>111</v>
      </c>
      <c r="J47" s="36" t="s">
        <v>27</v>
      </c>
      <c r="K47" s="36" t="s">
        <v>112</v>
      </c>
      <c r="L47" s="36">
        <v>1</v>
      </c>
      <c r="N47" s="36">
        <v>1</v>
      </c>
      <c r="O47" s="36">
        <v>1.2</v>
      </c>
      <c r="P47" s="36">
        <v>1.25</v>
      </c>
      <c r="Q47" s="114">
        <f t="shared" si="0"/>
        <v>1.2250000000000001</v>
      </c>
      <c r="R47" s="36">
        <v>16.600000000000001</v>
      </c>
      <c r="S47" s="36">
        <v>103</v>
      </c>
      <c r="T47" s="115">
        <f t="shared" si="1"/>
        <v>33</v>
      </c>
      <c r="U47" s="36">
        <v>100</v>
      </c>
      <c r="V47" s="115">
        <f t="shared" si="2"/>
        <v>3300</v>
      </c>
      <c r="W47" s="36">
        <v>4</v>
      </c>
      <c r="X47" s="36" t="s">
        <v>35</v>
      </c>
      <c r="Y47" s="36" t="s">
        <v>43</v>
      </c>
      <c r="Z47" s="36" t="s">
        <v>76</v>
      </c>
      <c r="AA47" s="36" t="s">
        <v>36</v>
      </c>
      <c r="AB47" s="128" t="s">
        <v>178</v>
      </c>
    </row>
    <row r="48" spans="1:28" s="36" customFormat="1" ht="13.5" customHeight="1" x14ac:dyDescent="0.15">
      <c r="A48" s="36" t="s">
        <v>24</v>
      </c>
      <c r="B48" s="36" t="s">
        <v>174</v>
      </c>
      <c r="C48" s="36">
        <v>2020</v>
      </c>
      <c r="D48" s="130" t="s">
        <v>175</v>
      </c>
      <c r="E48" s="36" t="s">
        <v>191</v>
      </c>
      <c r="F48" s="36" t="s">
        <v>192</v>
      </c>
      <c r="G48" s="36" t="s">
        <v>25</v>
      </c>
      <c r="H48" s="36" t="s">
        <v>113</v>
      </c>
      <c r="I48" s="36" t="s">
        <v>111</v>
      </c>
      <c r="J48" s="36" t="s">
        <v>27</v>
      </c>
      <c r="K48" s="36" t="s">
        <v>112</v>
      </c>
      <c r="L48" s="36">
        <v>2</v>
      </c>
      <c r="N48" s="36">
        <v>1</v>
      </c>
      <c r="O48" s="36">
        <v>1.1000000000000001</v>
      </c>
      <c r="P48" s="36">
        <v>0.9</v>
      </c>
      <c r="Q48" s="114">
        <f t="shared" si="0"/>
        <v>1</v>
      </c>
      <c r="R48" s="36">
        <v>15</v>
      </c>
      <c r="S48" s="36">
        <v>110</v>
      </c>
      <c r="T48" s="115">
        <f t="shared" si="1"/>
        <v>33</v>
      </c>
      <c r="U48" s="36">
        <v>100</v>
      </c>
      <c r="V48" s="115">
        <f t="shared" si="2"/>
        <v>3300</v>
      </c>
      <c r="W48" s="36">
        <v>4</v>
      </c>
      <c r="X48" s="36" t="s">
        <v>35</v>
      </c>
      <c r="Y48" s="36" t="s">
        <v>43</v>
      </c>
      <c r="Z48" s="36" t="s">
        <v>76</v>
      </c>
      <c r="AA48" s="36" t="s">
        <v>36</v>
      </c>
      <c r="AB48" s="128" t="s">
        <v>178</v>
      </c>
    </row>
    <row r="49" spans="1:28" s="36" customFormat="1" ht="13.5" customHeight="1" x14ac:dyDescent="0.15">
      <c r="A49" s="36" t="s">
        <v>24</v>
      </c>
      <c r="B49" s="36" t="s">
        <v>174</v>
      </c>
      <c r="C49" s="36">
        <v>2020</v>
      </c>
      <c r="D49" s="130" t="s">
        <v>175</v>
      </c>
      <c r="E49" s="36" t="s">
        <v>191</v>
      </c>
      <c r="F49" s="36" t="s">
        <v>192</v>
      </c>
      <c r="G49" s="36" t="s">
        <v>25</v>
      </c>
      <c r="H49" s="36" t="s">
        <v>113</v>
      </c>
      <c r="I49" s="36" t="s">
        <v>111</v>
      </c>
      <c r="J49" s="36" t="s">
        <v>27</v>
      </c>
      <c r="K49" s="36" t="s">
        <v>112</v>
      </c>
      <c r="L49" s="36">
        <v>3</v>
      </c>
      <c r="N49" s="36">
        <v>1</v>
      </c>
      <c r="O49" s="36">
        <v>1.2</v>
      </c>
      <c r="P49" s="128">
        <v>1</v>
      </c>
      <c r="Q49" s="114">
        <f t="shared" si="0"/>
        <v>1.1000000000000001</v>
      </c>
      <c r="R49" s="36">
        <v>16.100000000000001</v>
      </c>
      <c r="S49" s="36">
        <v>109</v>
      </c>
      <c r="T49" s="115">
        <f t="shared" si="1"/>
        <v>33</v>
      </c>
      <c r="U49" s="36">
        <v>100</v>
      </c>
      <c r="V49" s="115">
        <f t="shared" si="2"/>
        <v>3300</v>
      </c>
      <c r="W49" s="36">
        <v>4</v>
      </c>
      <c r="X49" s="36" t="s">
        <v>35</v>
      </c>
      <c r="Y49" s="36" t="s">
        <v>43</v>
      </c>
      <c r="Z49" s="36" t="s">
        <v>76</v>
      </c>
      <c r="AA49" s="36" t="s">
        <v>36</v>
      </c>
      <c r="AB49" s="128" t="s">
        <v>178</v>
      </c>
    </row>
    <row r="50" spans="1:28" s="36" customFormat="1" ht="13.5" customHeight="1" x14ac:dyDescent="0.15">
      <c r="A50" s="36" t="s">
        <v>24</v>
      </c>
      <c r="B50" s="36" t="s">
        <v>174</v>
      </c>
      <c r="C50" s="36">
        <v>2020</v>
      </c>
      <c r="D50" s="130" t="s">
        <v>175</v>
      </c>
      <c r="E50" s="36" t="s">
        <v>191</v>
      </c>
      <c r="F50" s="36" t="s">
        <v>192</v>
      </c>
      <c r="G50" s="36" t="s">
        <v>25</v>
      </c>
      <c r="H50" s="36" t="s">
        <v>113</v>
      </c>
      <c r="I50" s="36" t="s">
        <v>111</v>
      </c>
      <c r="J50" s="36" t="s">
        <v>27</v>
      </c>
      <c r="K50" s="36" t="s">
        <v>112</v>
      </c>
      <c r="L50" s="36">
        <v>1</v>
      </c>
      <c r="N50" s="36">
        <v>3</v>
      </c>
      <c r="O50" s="36">
        <v>1</v>
      </c>
      <c r="P50" s="36">
        <v>1.1000000000000001</v>
      </c>
      <c r="Q50" s="114">
        <f t="shared" si="0"/>
        <v>1.05</v>
      </c>
      <c r="R50" s="36">
        <v>14.7</v>
      </c>
      <c r="S50" s="36">
        <v>139</v>
      </c>
      <c r="T50" s="115">
        <f t="shared" si="1"/>
        <v>22</v>
      </c>
      <c r="U50" s="36">
        <v>450</v>
      </c>
      <c r="V50" s="115">
        <f t="shared" si="2"/>
        <v>3300</v>
      </c>
      <c r="W50" s="36">
        <v>3</v>
      </c>
      <c r="X50" s="36" t="s">
        <v>35</v>
      </c>
      <c r="Y50" s="36" t="s">
        <v>43</v>
      </c>
      <c r="Z50" s="36" t="s">
        <v>76</v>
      </c>
      <c r="AA50" s="36" t="s">
        <v>36</v>
      </c>
      <c r="AB50" s="128" t="s">
        <v>178</v>
      </c>
    </row>
    <row r="51" spans="1:28" s="36" customFormat="1" ht="13.5" customHeight="1" x14ac:dyDescent="0.15">
      <c r="A51" s="36" t="s">
        <v>24</v>
      </c>
      <c r="B51" s="36" t="s">
        <v>174</v>
      </c>
      <c r="C51" s="36">
        <v>2020</v>
      </c>
      <c r="D51" s="130" t="s">
        <v>175</v>
      </c>
      <c r="E51" s="36" t="s">
        <v>191</v>
      </c>
      <c r="F51" s="36" t="s">
        <v>192</v>
      </c>
      <c r="G51" s="36" t="s">
        <v>25</v>
      </c>
      <c r="H51" s="36" t="s">
        <v>113</v>
      </c>
      <c r="I51" s="36" t="s">
        <v>111</v>
      </c>
      <c r="J51" s="36" t="s">
        <v>27</v>
      </c>
      <c r="K51" s="36" t="s">
        <v>112</v>
      </c>
      <c r="L51" s="36">
        <v>2</v>
      </c>
      <c r="N51" s="36">
        <v>3</v>
      </c>
      <c r="O51" s="36">
        <v>1.3</v>
      </c>
      <c r="P51" s="36">
        <v>1.5</v>
      </c>
      <c r="Q51" s="114">
        <f t="shared" si="0"/>
        <v>1.4</v>
      </c>
      <c r="R51" s="36">
        <v>14</v>
      </c>
      <c r="S51" s="36">
        <v>144</v>
      </c>
      <c r="T51" s="115">
        <f t="shared" si="1"/>
        <v>22</v>
      </c>
      <c r="U51" s="36">
        <v>450</v>
      </c>
      <c r="V51" s="115">
        <f t="shared" si="2"/>
        <v>3300</v>
      </c>
      <c r="W51" s="36">
        <v>3</v>
      </c>
      <c r="X51" s="36" t="s">
        <v>35</v>
      </c>
      <c r="Y51" s="36" t="s">
        <v>43</v>
      </c>
      <c r="Z51" s="36" t="s">
        <v>76</v>
      </c>
      <c r="AA51" s="36" t="s">
        <v>36</v>
      </c>
      <c r="AB51" s="128" t="s">
        <v>178</v>
      </c>
    </row>
    <row r="52" spans="1:28" s="36" customFormat="1" ht="13.5" customHeight="1" x14ac:dyDescent="0.15">
      <c r="A52" s="36" t="s">
        <v>24</v>
      </c>
      <c r="B52" s="36" t="s">
        <v>174</v>
      </c>
      <c r="C52" s="36">
        <v>2020</v>
      </c>
      <c r="D52" s="130" t="s">
        <v>175</v>
      </c>
      <c r="E52" s="36" t="s">
        <v>191</v>
      </c>
      <c r="F52" s="36" t="s">
        <v>192</v>
      </c>
      <c r="G52" s="36" t="s">
        <v>25</v>
      </c>
      <c r="H52" s="36" t="s">
        <v>113</v>
      </c>
      <c r="I52" s="36" t="s">
        <v>111</v>
      </c>
      <c r="J52" s="36" t="s">
        <v>27</v>
      </c>
      <c r="K52" s="36" t="s">
        <v>112</v>
      </c>
      <c r="L52" s="36">
        <v>3</v>
      </c>
      <c r="N52" s="36">
        <v>3</v>
      </c>
      <c r="O52" s="36">
        <v>1</v>
      </c>
      <c r="P52" s="36">
        <v>1.2</v>
      </c>
      <c r="Q52" s="114">
        <f t="shared" si="0"/>
        <v>1.1000000000000001</v>
      </c>
      <c r="R52" s="36">
        <v>15.6</v>
      </c>
      <c r="S52" s="36">
        <v>138</v>
      </c>
      <c r="T52" s="115">
        <f t="shared" si="1"/>
        <v>22</v>
      </c>
      <c r="U52" s="36">
        <v>450</v>
      </c>
      <c r="V52" s="115">
        <f t="shared" si="2"/>
        <v>3300</v>
      </c>
      <c r="W52" s="36">
        <v>3</v>
      </c>
      <c r="X52" s="36" t="s">
        <v>35</v>
      </c>
      <c r="Y52" s="36" t="s">
        <v>43</v>
      </c>
      <c r="Z52" s="36" t="s">
        <v>76</v>
      </c>
      <c r="AA52" s="36" t="s">
        <v>36</v>
      </c>
      <c r="AB52" s="128" t="s">
        <v>178</v>
      </c>
    </row>
    <row r="53" spans="1:28" s="36" customFormat="1" ht="13.5" customHeight="1" x14ac:dyDescent="0.15">
      <c r="A53" s="36" t="s">
        <v>24</v>
      </c>
      <c r="B53" s="36" t="s">
        <v>174</v>
      </c>
      <c r="C53" s="36">
        <v>2020</v>
      </c>
      <c r="D53" s="130" t="s">
        <v>175</v>
      </c>
      <c r="E53" s="36" t="s">
        <v>191</v>
      </c>
      <c r="F53" s="36" t="s">
        <v>192</v>
      </c>
      <c r="G53" s="36" t="s">
        <v>25</v>
      </c>
      <c r="H53" s="36" t="s">
        <v>113</v>
      </c>
      <c r="I53" s="36" t="s">
        <v>111</v>
      </c>
      <c r="J53" s="36" t="s">
        <v>27</v>
      </c>
      <c r="K53" s="36" t="s">
        <v>112</v>
      </c>
      <c r="L53" s="36">
        <v>1</v>
      </c>
      <c r="N53" s="36">
        <v>4</v>
      </c>
      <c r="O53" s="36">
        <v>0.6</v>
      </c>
      <c r="P53" s="36">
        <v>0.5</v>
      </c>
      <c r="Q53" s="114">
        <f t="shared" si="0"/>
        <v>0.55000000000000004</v>
      </c>
      <c r="R53" s="36">
        <v>16.100000000000001</v>
      </c>
      <c r="S53" s="36">
        <v>90</v>
      </c>
      <c r="T53" s="115">
        <f t="shared" si="1"/>
        <v>36</v>
      </c>
      <c r="U53" s="36">
        <v>398</v>
      </c>
      <c r="V53" s="115">
        <f t="shared" si="2"/>
        <v>3582</v>
      </c>
      <c r="W53" s="36">
        <v>3</v>
      </c>
      <c r="X53" s="36" t="s">
        <v>35</v>
      </c>
      <c r="Y53" s="36" t="s">
        <v>43</v>
      </c>
      <c r="Z53" s="36" t="s">
        <v>76</v>
      </c>
      <c r="AA53" s="36" t="s">
        <v>36</v>
      </c>
      <c r="AB53" s="128" t="s">
        <v>178</v>
      </c>
    </row>
    <row r="54" spans="1:28" s="36" customFormat="1" ht="13.5" customHeight="1" x14ac:dyDescent="0.15">
      <c r="A54" s="36" t="s">
        <v>24</v>
      </c>
      <c r="B54" s="36" t="s">
        <v>174</v>
      </c>
      <c r="C54" s="36">
        <v>2020</v>
      </c>
      <c r="D54" s="130" t="s">
        <v>175</v>
      </c>
      <c r="E54" s="36" t="s">
        <v>191</v>
      </c>
      <c r="F54" s="36" t="s">
        <v>192</v>
      </c>
      <c r="G54" s="36" t="s">
        <v>25</v>
      </c>
      <c r="H54" s="36" t="s">
        <v>113</v>
      </c>
      <c r="I54" s="36" t="s">
        <v>111</v>
      </c>
      <c r="J54" s="36" t="s">
        <v>27</v>
      </c>
      <c r="K54" s="36" t="s">
        <v>112</v>
      </c>
      <c r="L54" s="36">
        <v>2</v>
      </c>
      <c r="N54" s="36">
        <v>4</v>
      </c>
      <c r="O54" s="36">
        <v>1.2</v>
      </c>
      <c r="P54" s="36">
        <v>1</v>
      </c>
      <c r="Q54" s="114">
        <f t="shared" si="0"/>
        <v>1.1000000000000001</v>
      </c>
      <c r="R54" s="36">
        <v>14.9</v>
      </c>
      <c r="S54" s="36">
        <v>79</v>
      </c>
      <c r="T54" s="115">
        <f t="shared" si="1"/>
        <v>39</v>
      </c>
      <c r="U54" s="36">
        <v>398</v>
      </c>
      <c r="V54" s="115">
        <f t="shared" si="2"/>
        <v>3880.5</v>
      </c>
      <c r="W54" s="36">
        <v>3</v>
      </c>
      <c r="X54" s="36" t="s">
        <v>35</v>
      </c>
      <c r="Y54" s="36" t="s">
        <v>43</v>
      </c>
      <c r="Z54" s="36" t="s">
        <v>76</v>
      </c>
      <c r="AA54" s="36" t="s">
        <v>36</v>
      </c>
      <c r="AB54" s="128" t="s">
        <v>178</v>
      </c>
    </row>
    <row r="55" spans="1:28" s="36" customFormat="1" ht="13.5" customHeight="1" x14ac:dyDescent="0.15">
      <c r="A55" s="36" t="s">
        <v>24</v>
      </c>
      <c r="B55" s="36" t="s">
        <v>174</v>
      </c>
      <c r="C55" s="36">
        <v>2020</v>
      </c>
      <c r="D55" s="130" t="s">
        <v>175</v>
      </c>
      <c r="E55" s="36" t="s">
        <v>191</v>
      </c>
      <c r="F55" s="36" t="s">
        <v>192</v>
      </c>
      <c r="G55" s="36" t="s">
        <v>25</v>
      </c>
      <c r="H55" s="36" t="s">
        <v>113</v>
      </c>
      <c r="I55" s="36" t="s">
        <v>111</v>
      </c>
      <c r="J55" s="36" t="s">
        <v>27</v>
      </c>
      <c r="K55" s="36" t="s">
        <v>112</v>
      </c>
      <c r="L55" s="36">
        <v>3</v>
      </c>
      <c r="N55" s="36">
        <v>4</v>
      </c>
      <c r="O55" s="36">
        <v>0.6</v>
      </c>
      <c r="P55" s="36">
        <v>0.7</v>
      </c>
      <c r="Q55" s="114">
        <f t="shared" si="0"/>
        <v>0.64999999999999991</v>
      </c>
      <c r="R55" s="36">
        <v>12.2</v>
      </c>
      <c r="S55" s="36">
        <v>81</v>
      </c>
      <c r="T55" s="115">
        <f t="shared" si="1"/>
        <v>39</v>
      </c>
      <c r="U55" s="36">
        <v>398</v>
      </c>
      <c r="V55" s="115">
        <f t="shared" si="2"/>
        <v>3880.5</v>
      </c>
      <c r="W55" s="36">
        <v>3</v>
      </c>
      <c r="X55" s="36" t="s">
        <v>35</v>
      </c>
      <c r="Y55" s="36" t="s">
        <v>43</v>
      </c>
      <c r="Z55" s="36" t="s">
        <v>76</v>
      </c>
      <c r="AA55" s="36" t="s">
        <v>36</v>
      </c>
      <c r="AB55" s="128" t="s">
        <v>178</v>
      </c>
    </row>
    <row r="56" spans="1:28" s="36" customFormat="1" ht="13.5" customHeight="1" x14ac:dyDescent="0.15">
      <c r="A56" s="36" t="s">
        <v>24</v>
      </c>
      <c r="B56" s="36" t="s">
        <v>174</v>
      </c>
      <c r="C56" s="36">
        <v>2020</v>
      </c>
      <c r="D56" s="130" t="s">
        <v>175</v>
      </c>
      <c r="E56" s="36" t="s">
        <v>191</v>
      </c>
      <c r="F56" s="36" t="s">
        <v>192</v>
      </c>
      <c r="G56" s="36" t="s">
        <v>25</v>
      </c>
      <c r="H56" s="36" t="s">
        <v>164</v>
      </c>
      <c r="I56" s="36" t="s">
        <v>111</v>
      </c>
      <c r="J56" s="36" t="s">
        <v>27</v>
      </c>
      <c r="K56" s="36" t="s">
        <v>112</v>
      </c>
      <c r="L56" s="36">
        <v>1</v>
      </c>
      <c r="N56" s="36">
        <v>1</v>
      </c>
      <c r="O56" s="36">
        <v>1.3</v>
      </c>
      <c r="P56" s="36">
        <v>1.1000000000000001</v>
      </c>
      <c r="Q56" s="114">
        <f t="shared" si="0"/>
        <v>1.2000000000000002</v>
      </c>
      <c r="R56" s="36">
        <v>14.6</v>
      </c>
      <c r="S56" s="36">
        <v>118</v>
      </c>
      <c r="T56" s="115">
        <f t="shared" si="1"/>
        <v>30</v>
      </c>
      <c r="U56" s="36">
        <v>100</v>
      </c>
      <c r="V56" s="115">
        <f t="shared" si="2"/>
        <v>3000</v>
      </c>
      <c r="W56" s="36">
        <v>16</v>
      </c>
      <c r="X56" s="36" t="s">
        <v>35</v>
      </c>
      <c r="Y56" s="36" t="s">
        <v>43</v>
      </c>
      <c r="Z56" s="36" t="s">
        <v>76</v>
      </c>
      <c r="AA56" s="36" t="s">
        <v>36</v>
      </c>
      <c r="AB56" s="128" t="s">
        <v>178</v>
      </c>
    </row>
    <row r="57" spans="1:28" s="36" customFormat="1" ht="13.5" customHeight="1" x14ac:dyDescent="0.15">
      <c r="A57" s="36" t="s">
        <v>24</v>
      </c>
      <c r="B57" s="36" t="s">
        <v>174</v>
      </c>
      <c r="C57" s="36">
        <v>2020</v>
      </c>
      <c r="D57" s="130" t="s">
        <v>175</v>
      </c>
      <c r="E57" s="36" t="s">
        <v>191</v>
      </c>
      <c r="F57" s="36" t="s">
        <v>192</v>
      </c>
      <c r="G57" s="36" t="s">
        <v>25</v>
      </c>
      <c r="H57" s="36" t="s">
        <v>164</v>
      </c>
      <c r="I57" s="36" t="s">
        <v>111</v>
      </c>
      <c r="J57" s="36" t="s">
        <v>27</v>
      </c>
      <c r="K57" s="36" t="s">
        <v>112</v>
      </c>
      <c r="L57" s="36">
        <v>2</v>
      </c>
      <c r="N57" s="36">
        <v>1</v>
      </c>
      <c r="O57" s="36">
        <v>1</v>
      </c>
      <c r="P57" s="36">
        <v>1.1000000000000001</v>
      </c>
      <c r="Q57" s="114">
        <f t="shared" si="0"/>
        <v>1.05</v>
      </c>
      <c r="R57" s="36">
        <v>17.600000000000001</v>
      </c>
      <c r="S57" s="36">
        <v>110</v>
      </c>
      <c r="T57" s="115">
        <f t="shared" si="1"/>
        <v>33</v>
      </c>
      <c r="U57" s="36">
        <v>100</v>
      </c>
      <c r="V57" s="115">
        <f t="shared" si="2"/>
        <v>3300</v>
      </c>
      <c r="W57" s="36">
        <v>16</v>
      </c>
      <c r="X57" s="36" t="s">
        <v>35</v>
      </c>
      <c r="Y57" s="36" t="s">
        <v>43</v>
      </c>
      <c r="Z57" s="36" t="s">
        <v>76</v>
      </c>
      <c r="AA57" s="36" t="s">
        <v>36</v>
      </c>
      <c r="AB57" s="128" t="s">
        <v>178</v>
      </c>
    </row>
    <row r="58" spans="1:28" s="36" customFormat="1" ht="13.5" customHeight="1" x14ac:dyDescent="0.15">
      <c r="A58" s="36" t="s">
        <v>24</v>
      </c>
      <c r="B58" s="36" t="s">
        <v>174</v>
      </c>
      <c r="C58" s="36">
        <v>2020</v>
      </c>
      <c r="D58" s="130" t="s">
        <v>175</v>
      </c>
      <c r="E58" s="36" t="s">
        <v>191</v>
      </c>
      <c r="F58" s="36" t="s">
        <v>192</v>
      </c>
      <c r="G58" s="36" t="s">
        <v>25</v>
      </c>
      <c r="H58" s="36" t="s">
        <v>164</v>
      </c>
      <c r="I58" s="36" t="s">
        <v>111</v>
      </c>
      <c r="J58" s="36" t="s">
        <v>27</v>
      </c>
      <c r="K58" s="36" t="s">
        <v>112</v>
      </c>
      <c r="L58" s="36">
        <v>3</v>
      </c>
      <c r="N58" s="36">
        <v>1</v>
      </c>
      <c r="O58" s="36">
        <v>1</v>
      </c>
      <c r="P58" s="36">
        <v>1</v>
      </c>
      <c r="Q58" s="114">
        <f t="shared" si="0"/>
        <v>1</v>
      </c>
      <c r="R58" s="36">
        <v>16.5</v>
      </c>
      <c r="S58" s="36">
        <v>116</v>
      </c>
      <c r="T58" s="115">
        <f t="shared" si="1"/>
        <v>30</v>
      </c>
      <c r="U58" s="36">
        <v>100</v>
      </c>
      <c r="V58" s="115">
        <f t="shared" si="2"/>
        <v>3000</v>
      </c>
      <c r="W58" s="36">
        <v>16</v>
      </c>
      <c r="X58" s="36" t="s">
        <v>35</v>
      </c>
      <c r="Y58" s="36" t="s">
        <v>43</v>
      </c>
      <c r="Z58" s="36" t="s">
        <v>76</v>
      </c>
      <c r="AA58" s="36" t="s">
        <v>36</v>
      </c>
      <c r="AB58" s="128" t="s">
        <v>178</v>
      </c>
    </row>
    <row r="59" spans="1:28" s="36" customFormat="1" ht="13.5" customHeight="1" x14ac:dyDescent="0.15">
      <c r="A59" s="36" t="s">
        <v>24</v>
      </c>
      <c r="B59" s="36" t="s">
        <v>174</v>
      </c>
      <c r="C59" s="36">
        <v>2020</v>
      </c>
      <c r="D59" s="130" t="s">
        <v>175</v>
      </c>
      <c r="E59" s="36" t="s">
        <v>191</v>
      </c>
      <c r="F59" s="36" t="s">
        <v>192</v>
      </c>
      <c r="G59" s="36" t="s">
        <v>25</v>
      </c>
      <c r="H59" s="36" t="s">
        <v>164</v>
      </c>
      <c r="I59" s="36" t="s">
        <v>111</v>
      </c>
      <c r="J59" s="36" t="s">
        <v>27</v>
      </c>
      <c r="K59" s="36" t="s">
        <v>112</v>
      </c>
      <c r="L59" s="36">
        <v>1</v>
      </c>
      <c r="N59" s="36">
        <v>4</v>
      </c>
      <c r="O59" s="36">
        <v>0.75</v>
      </c>
      <c r="P59" s="36">
        <v>0.8</v>
      </c>
      <c r="Q59" s="114">
        <f t="shared" si="0"/>
        <v>0.77500000000000002</v>
      </c>
      <c r="R59" s="36">
        <v>11.9</v>
      </c>
      <c r="S59" s="36">
        <v>102</v>
      </c>
      <c r="T59" s="115">
        <f t="shared" si="1"/>
        <v>33</v>
      </c>
      <c r="U59" s="36">
        <v>498</v>
      </c>
      <c r="V59" s="115">
        <f t="shared" si="2"/>
        <v>4108.5</v>
      </c>
      <c r="W59" s="36">
        <v>4</v>
      </c>
      <c r="X59" s="36" t="s">
        <v>35</v>
      </c>
      <c r="Y59" s="36" t="s">
        <v>43</v>
      </c>
      <c r="Z59" s="36" t="s">
        <v>76</v>
      </c>
      <c r="AA59" s="36" t="s">
        <v>36</v>
      </c>
      <c r="AB59" s="128" t="s">
        <v>178</v>
      </c>
    </row>
    <row r="60" spans="1:28" s="36" customFormat="1" ht="13.5" customHeight="1" x14ac:dyDescent="0.15">
      <c r="A60" s="36" t="s">
        <v>24</v>
      </c>
      <c r="B60" s="36" t="s">
        <v>174</v>
      </c>
      <c r="C60" s="36">
        <v>2020</v>
      </c>
      <c r="D60" s="130" t="s">
        <v>175</v>
      </c>
      <c r="E60" s="36" t="s">
        <v>191</v>
      </c>
      <c r="F60" s="36" t="s">
        <v>192</v>
      </c>
      <c r="G60" s="36" t="s">
        <v>25</v>
      </c>
      <c r="H60" s="36" t="s">
        <v>164</v>
      </c>
      <c r="I60" s="36" t="s">
        <v>111</v>
      </c>
      <c r="J60" s="36" t="s">
        <v>27</v>
      </c>
      <c r="K60" s="36" t="s">
        <v>112</v>
      </c>
      <c r="L60" s="36">
        <v>2</v>
      </c>
      <c r="N60" s="36">
        <v>4</v>
      </c>
      <c r="O60" s="36">
        <v>0.8</v>
      </c>
      <c r="P60" s="36">
        <v>1</v>
      </c>
      <c r="Q60" s="114">
        <f t="shared" si="0"/>
        <v>0.9</v>
      </c>
      <c r="R60" s="36">
        <v>16</v>
      </c>
      <c r="S60" s="36">
        <v>91</v>
      </c>
      <c r="T60" s="115">
        <f>IF(H60="","",IF(OR(H60="GREEN",H60="GK"),IF(S60&gt;=$AX$2,VLOOKUP(S60,$AX$2:$AY$12,2,1),""),IF(S60&gt;=$AZ$2,VLOOKUP(S60,$AZ$2:$BA$12,2,1),"")))</f>
        <v>36</v>
      </c>
      <c r="U60" s="36">
        <v>498</v>
      </c>
      <c r="V60" s="115">
        <f t="shared" si="2"/>
        <v>4482</v>
      </c>
      <c r="W60" s="36">
        <v>4</v>
      </c>
      <c r="X60" s="36" t="s">
        <v>35</v>
      </c>
      <c r="Y60" s="36" t="s">
        <v>43</v>
      </c>
      <c r="Z60" s="36" t="s">
        <v>76</v>
      </c>
      <c r="AA60" s="36" t="s">
        <v>36</v>
      </c>
      <c r="AB60" s="128" t="s">
        <v>178</v>
      </c>
    </row>
    <row r="61" spans="1:28" s="36" customFormat="1" ht="13.5" customHeight="1" x14ac:dyDescent="0.15">
      <c r="A61" s="36" t="s">
        <v>24</v>
      </c>
      <c r="B61" s="36" t="s">
        <v>174</v>
      </c>
      <c r="C61" s="36">
        <v>2020</v>
      </c>
      <c r="D61" s="130" t="s">
        <v>175</v>
      </c>
      <c r="E61" s="36" t="s">
        <v>191</v>
      </c>
      <c r="F61" s="36" t="s">
        <v>192</v>
      </c>
      <c r="G61" s="36" t="s">
        <v>25</v>
      </c>
      <c r="H61" s="36" t="s">
        <v>164</v>
      </c>
      <c r="I61" s="36" t="s">
        <v>111</v>
      </c>
      <c r="J61" s="36" t="s">
        <v>27</v>
      </c>
      <c r="K61" s="36" t="s">
        <v>112</v>
      </c>
      <c r="L61" s="36">
        <v>3</v>
      </c>
      <c r="N61" s="36">
        <v>4</v>
      </c>
      <c r="O61" s="36">
        <v>0.6</v>
      </c>
      <c r="P61" s="36">
        <v>0.75</v>
      </c>
      <c r="Q61" s="114">
        <f t="shared" si="0"/>
        <v>0.67500000000000004</v>
      </c>
      <c r="R61" s="36">
        <v>13</v>
      </c>
      <c r="S61" s="36">
        <v>96</v>
      </c>
      <c r="T61" s="115">
        <f>IF(H61="","",IF(OR(H61="GREEN",H61="GK"),IF(S61&gt;=$AX$2,VLOOKUP(S61,$AX$2:$AY$12,2,1),""),IF(S61&gt;=$AZ$2,VLOOKUP(S61,$AZ$2:$BA$12,2,1),"")))</f>
        <v>36</v>
      </c>
      <c r="U61" s="36">
        <v>498</v>
      </c>
      <c r="V61" s="115">
        <f t="shared" si="2"/>
        <v>4482</v>
      </c>
      <c r="W61" s="36">
        <v>4</v>
      </c>
      <c r="X61" s="36" t="s">
        <v>35</v>
      </c>
      <c r="Y61" s="36" t="s">
        <v>43</v>
      </c>
      <c r="Z61" s="36" t="s">
        <v>76</v>
      </c>
      <c r="AA61" s="36" t="s">
        <v>36</v>
      </c>
      <c r="AB61" s="128" t="s">
        <v>178</v>
      </c>
    </row>
    <row r="62" spans="1:28" s="36" customFormat="1" ht="13.5" customHeight="1" x14ac:dyDescent="0.15">
      <c r="A62" s="36" t="s">
        <v>24</v>
      </c>
      <c r="B62" s="36" t="s">
        <v>174</v>
      </c>
      <c r="C62" s="36">
        <v>2020</v>
      </c>
      <c r="D62" s="130" t="s">
        <v>175</v>
      </c>
      <c r="E62" s="36" t="s">
        <v>191</v>
      </c>
      <c r="F62" s="36" t="s">
        <v>192</v>
      </c>
      <c r="G62" s="36" t="s">
        <v>25</v>
      </c>
      <c r="H62" s="36" t="s">
        <v>164</v>
      </c>
      <c r="I62" s="36" t="s">
        <v>111</v>
      </c>
      <c r="J62" s="36" t="s">
        <v>27</v>
      </c>
      <c r="K62" s="36" t="s">
        <v>112</v>
      </c>
      <c r="L62" s="36">
        <v>1</v>
      </c>
      <c r="N62" s="36">
        <v>8</v>
      </c>
      <c r="O62" s="36">
        <v>0.5</v>
      </c>
      <c r="P62" s="36">
        <v>0.6</v>
      </c>
      <c r="Q62" s="114">
        <f t="shared" si="0"/>
        <v>0.55000000000000004</v>
      </c>
      <c r="R62" s="36">
        <v>10.6</v>
      </c>
      <c r="S62" s="36">
        <v>91</v>
      </c>
      <c r="T62" s="115">
        <f t="shared" ref="T62:T154" si="3">IF(H62="","",IF(OR(H62="GREEN",H62="GK"),IF(S62&gt;=$AX$2,VLOOKUP(S62,$AX$2:$AY$12,2,1),""),IF(S62&gt;=$AZ$2,VLOOKUP(S62,$AZ$2:$BA$12,2,1),"")))</f>
        <v>36</v>
      </c>
      <c r="U62" s="36">
        <v>680</v>
      </c>
      <c r="V62" s="115">
        <f t="shared" si="2"/>
        <v>3060</v>
      </c>
      <c r="W62" s="36">
        <v>6</v>
      </c>
      <c r="X62" s="36" t="s">
        <v>35</v>
      </c>
      <c r="Y62" s="36" t="s">
        <v>43</v>
      </c>
      <c r="Z62" s="36" t="s">
        <v>76</v>
      </c>
      <c r="AA62" s="36" t="s">
        <v>36</v>
      </c>
      <c r="AB62" s="128" t="s">
        <v>178</v>
      </c>
    </row>
    <row r="63" spans="1:28" s="36" customFormat="1" ht="13.5" customHeight="1" x14ac:dyDescent="0.15">
      <c r="A63" s="36" t="s">
        <v>24</v>
      </c>
      <c r="B63" s="36" t="s">
        <v>174</v>
      </c>
      <c r="C63" s="36">
        <v>2020</v>
      </c>
      <c r="D63" s="130" t="s">
        <v>175</v>
      </c>
      <c r="E63" s="36" t="s">
        <v>191</v>
      </c>
      <c r="F63" s="36" t="s">
        <v>192</v>
      </c>
      <c r="G63" s="36" t="s">
        <v>25</v>
      </c>
      <c r="H63" s="36" t="s">
        <v>164</v>
      </c>
      <c r="I63" s="36" t="s">
        <v>111</v>
      </c>
      <c r="J63" s="36" t="s">
        <v>27</v>
      </c>
      <c r="K63" s="36" t="s">
        <v>112</v>
      </c>
      <c r="L63" s="36">
        <v>2</v>
      </c>
      <c r="N63" s="36">
        <v>8</v>
      </c>
      <c r="O63" s="36">
        <v>0.75</v>
      </c>
      <c r="P63" s="36">
        <v>0.6</v>
      </c>
      <c r="Q63" s="114">
        <f t="shared" si="0"/>
        <v>0.67500000000000004</v>
      </c>
      <c r="R63" s="36">
        <v>12.2</v>
      </c>
      <c r="S63" s="36">
        <v>88</v>
      </c>
      <c r="T63" s="115">
        <f t="shared" si="3"/>
        <v>36</v>
      </c>
      <c r="U63" s="36">
        <v>680</v>
      </c>
      <c r="V63" s="115">
        <f t="shared" si="2"/>
        <v>3060</v>
      </c>
      <c r="W63" s="36">
        <v>6</v>
      </c>
      <c r="X63" s="36" t="s">
        <v>35</v>
      </c>
      <c r="Y63" s="36" t="s">
        <v>43</v>
      </c>
      <c r="Z63" s="36" t="s">
        <v>76</v>
      </c>
      <c r="AA63" s="36" t="s">
        <v>36</v>
      </c>
      <c r="AB63" s="128" t="s">
        <v>178</v>
      </c>
    </row>
    <row r="64" spans="1:28" s="36" customFormat="1" ht="13.5" customHeight="1" x14ac:dyDescent="0.15">
      <c r="A64" s="36" t="s">
        <v>24</v>
      </c>
      <c r="B64" s="36" t="s">
        <v>174</v>
      </c>
      <c r="C64" s="36">
        <v>2020</v>
      </c>
      <c r="D64" s="130" t="s">
        <v>175</v>
      </c>
      <c r="E64" s="36" t="s">
        <v>191</v>
      </c>
      <c r="F64" s="36" t="s">
        <v>192</v>
      </c>
      <c r="G64" s="36" t="s">
        <v>25</v>
      </c>
      <c r="H64" s="36" t="s">
        <v>164</v>
      </c>
      <c r="I64" s="36" t="s">
        <v>111</v>
      </c>
      <c r="J64" s="36" t="s">
        <v>27</v>
      </c>
      <c r="K64" s="36" t="s">
        <v>112</v>
      </c>
      <c r="L64" s="36">
        <v>3</v>
      </c>
      <c r="N64" s="36">
        <v>8</v>
      </c>
      <c r="O64" s="36">
        <v>0.7</v>
      </c>
      <c r="P64" s="36">
        <v>0.75</v>
      </c>
      <c r="Q64" s="114">
        <f t="shared" si="0"/>
        <v>0.72499999999999998</v>
      </c>
      <c r="R64" s="36">
        <v>10.8</v>
      </c>
      <c r="S64" s="36">
        <v>85</v>
      </c>
      <c r="T64" s="115">
        <f t="shared" si="3"/>
        <v>36</v>
      </c>
      <c r="U64" s="36">
        <v>680</v>
      </c>
      <c r="V64" s="115">
        <f t="shared" si="2"/>
        <v>3060</v>
      </c>
      <c r="W64" s="36">
        <v>6</v>
      </c>
      <c r="X64" s="36" t="s">
        <v>35</v>
      </c>
      <c r="Y64" s="36" t="s">
        <v>43</v>
      </c>
      <c r="Z64" s="36" t="s">
        <v>76</v>
      </c>
      <c r="AA64" s="36" t="s">
        <v>36</v>
      </c>
      <c r="AB64" s="128" t="s">
        <v>178</v>
      </c>
    </row>
    <row r="65" spans="1:28" s="36" customFormat="1" ht="13.5" customHeight="1" x14ac:dyDescent="0.15">
      <c r="A65" s="36" t="s">
        <v>24</v>
      </c>
      <c r="B65" s="36" t="s">
        <v>174</v>
      </c>
      <c r="C65" s="36">
        <v>2020</v>
      </c>
      <c r="D65" s="130" t="s">
        <v>175</v>
      </c>
      <c r="E65" s="36" t="s">
        <v>187</v>
      </c>
      <c r="F65" s="36" t="s">
        <v>188</v>
      </c>
      <c r="G65" s="36" t="s">
        <v>25</v>
      </c>
      <c r="H65" s="36" t="s">
        <v>113</v>
      </c>
      <c r="I65" s="36" t="s">
        <v>111</v>
      </c>
      <c r="J65" s="36" t="s">
        <v>27</v>
      </c>
      <c r="K65" s="36" t="s">
        <v>112</v>
      </c>
      <c r="L65" s="36">
        <v>1</v>
      </c>
      <c r="N65" s="36">
        <v>1</v>
      </c>
      <c r="O65" s="36">
        <v>1.4</v>
      </c>
      <c r="P65" s="36">
        <v>1.5</v>
      </c>
      <c r="Q65" s="114">
        <f t="shared" si="0"/>
        <v>1.45</v>
      </c>
      <c r="R65" s="36">
        <v>11.5</v>
      </c>
      <c r="S65" s="36">
        <v>124</v>
      </c>
      <c r="T65" s="115">
        <f t="shared" si="3"/>
        <v>27</v>
      </c>
      <c r="U65" s="36">
        <v>128</v>
      </c>
      <c r="V65" s="115">
        <f t="shared" si="2"/>
        <v>3456</v>
      </c>
      <c r="W65" s="36">
        <v>2</v>
      </c>
      <c r="X65" s="36" t="s">
        <v>35</v>
      </c>
      <c r="Y65" s="36" t="s">
        <v>43</v>
      </c>
      <c r="Z65" s="36" t="s">
        <v>29</v>
      </c>
      <c r="AA65" s="36" t="s">
        <v>76</v>
      </c>
      <c r="AB65" s="128" t="s">
        <v>178</v>
      </c>
    </row>
    <row r="66" spans="1:28" s="36" customFormat="1" ht="13.5" customHeight="1" x14ac:dyDescent="0.15">
      <c r="A66" s="36" t="s">
        <v>24</v>
      </c>
      <c r="B66" s="36" t="s">
        <v>174</v>
      </c>
      <c r="C66" s="36">
        <v>2020</v>
      </c>
      <c r="D66" s="130" t="s">
        <v>175</v>
      </c>
      <c r="E66" s="36" t="s">
        <v>187</v>
      </c>
      <c r="F66" s="36" t="s">
        <v>188</v>
      </c>
      <c r="G66" s="36" t="s">
        <v>25</v>
      </c>
      <c r="H66" s="36" t="s">
        <v>113</v>
      </c>
      <c r="I66" s="36" t="s">
        <v>111</v>
      </c>
      <c r="J66" s="36" t="s">
        <v>27</v>
      </c>
      <c r="K66" s="36" t="s">
        <v>112</v>
      </c>
      <c r="L66" s="36">
        <v>2</v>
      </c>
      <c r="N66" s="36">
        <v>1</v>
      </c>
      <c r="O66" s="36">
        <v>1</v>
      </c>
      <c r="P66" s="36">
        <v>1.2</v>
      </c>
      <c r="Q66" s="114">
        <f t="shared" ref="Q66:Q77" si="4">IF(OR(O66="",P66=""),"",AVERAGE(O66,P66))</f>
        <v>1.1000000000000001</v>
      </c>
      <c r="R66" s="36">
        <v>14.2</v>
      </c>
      <c r="S66" s="36">
        <v>127</v>
      </c>
      <c r="T66" s="115">
        <f t="shared" si="3"/>
        <v>27</v>
      </c>
      <c r="U66" s="36">
        <v>128</v>
      </c>
      <c r="V66" s="115">
        <f t="shared" ref="V66:V70" si="5">IF(OR(N66="",U66="",T66=""),"",U66/N66*T66)</f>
        <v>3456</v>
      </c>
      <c r="W66" s="36">
        <v>2</v>
      </c>
      <c r="X66" s="36" t="s">
        <v>35</v>
      </c>
      <c r="Y66" s="36" t="s">
        <v>43</v>
      </c>
      <c r="Z66" s="36" t="s">
        <v>29</v>
      </c>
      <c r="AA66" s="36" t="s">
        <v>76</v>
      </c>
      <c r="AB66" s="128" t="s">
        <v>178</v>
      </c>
    </row>
    <row r="67" spans="1:28" s="36" customFormat="1" ht="13.5" customHeight="1" x14ac:dyDescent="0.15">
      <c r="A67" s="36" t="s">
        <v>24</v>
      </c>
      <c r="B67" s="36" t="s">
        <v>174</v>
      </c>
      <c r="C67" s="36">
        <v>2020</v>
      </c>
      <c r="D67" s="130" t="s">
        <v>175</v>
      </c>
      <c r="E67" s="36" t="s">
        <v>187</v>
      </c>
      <c r="F67" s="36" t="s">
        <v>188</v>
      </c>
      <c r="G67" s="36" t="s">
        <v>25</v>
      </c>
      <c r="H67" s="36" t="s">
        <v>113</v>
      </c>
      <c r="I67" s="36" t="s">
        <v>111</v>
      </c>
      <c r="J67" s="36" t="s">
        <v>27</v>
      </c>
      <c r="K67" s="36" t="s">
        <v>112</v>
      </c>
      <c r="L67" s="36">
        <v>3</v>
      </c>
      <c r="N67" s="36">
        <v>1</v>
      </c>
      <c r="O67" s="36">
        <v>1.75</v>
      </c>
      <c r="P67" s="36">
        <v>1.8</v>
      </c>
      <c r="Q67" s="114">
        <f t="shared" si="4"/>
        <v>1.7749999999999999</v>
      </c>
      <c r="R67" s="36">
        <v>13.3</v>
      </c>
      <c r="S67" s="36">
        <v>120</v>
      </c>
      <c r="T67" s="115">
        <f t="shared" si="3"/>
        <v>30</v>
      </c>
      <c r="U67" s="36">
        <v>128</v>
      </c>
      <c r="V67" s="115">
        <f t="shared" si="5"/>
        <v>3840</v>
      </c>
      <c r="W67" s="36">
        <v>2</v>
      </c>
      <c r="X67" s="36" t="s">
        <v>35</v>
      </c>
      <c r="Y67" s="36" t="s">
        <v>43</v>
      </c>
      <c r="Z67" s="36" t="s">
        <v>29</v>
      </c>
      <c r="AA67" s="36" t="s">
        <v>76</v>
      </c>
      <c r="AB67" s="128" t="s">
        <v>178</v>
      </c>
    </row>
    <row r="68" spans="1:28" s="36" customFormat="1" ht="13.5" customHeight="1" x14ac:dyDescent="0.15">
      <c r="A68" s="36" t="s">
        <v>24</v>
      </c>
      <c r="B68" s="36" t="s">
        <v>174</v>
      </c>
      <c r="C68" s="36">
        <v>2020</v>
      </c>
      <c r="D68" s="130" t="s">
        <v>175</v>
      </c>
      <c r="E68" s="36" t="s">
        <v>187</v>
      </c>
      <c r="F68" s="36" t="s">
        <v>188</v>
      </c>
      <c r="G68" s="36" t="s">
        <v>25</v>
      </c>
      <c r="H68" s="36" t="s">
        <v>113</v>
      </c>
      <c r="I68" s="36" t="s">
        <v>111</v>
      </c>
      <c r="J68" s="36" t="s">
        <v>27</v>
      </c>
      <c r="K68" s="36" t="s">
        <v>112</v>
      </c>
      <c r="L68" s="36">
        <v>1</v>
      </c>
      <c r="N68" s="36">
        <v>4</v>
      </c>
      <c r="O68" s="36">
        <v>0.5</v>
      </c>
      <c r="P68" s="36">
        <v>0.6</v>
      </c>
      <c r="Q68" s="114">
        <f t="shared" si="4"/>
        <v>0.55000000000000004</v>
      </c>
      <c r="R68" s="36">
        <v>11.1</v>
      </c>
      <c r="S68" s="36">
        <v>104</v>
      </c>
      <c r="T68" s="115">
        <f t="shared" si="3"/>
        <v>33</v>
      </c>
      <c r="U68" s="36">
        <v>398</v>
      </c>
      <c r="V68" s="115">
        <f t="shared" si="5"/>
        <v>3283.5</v>
      </c>
      <c r="W68" s="36">
        <v>2</v>
      </c>
      <c r="X68" s="36" t="s">
        <v>35</v>
      </c>
      <c r="Y68" s="36" t="s">
        <v>43</v>
      </c>
      <c r="Z68" s="36" t="s">
        <v>29</v>
      </c>
      <c r="AA68" s="36" t="s">
        <v>76</v>
      </c>
      <c r="AB68" s="128" t="s">
        <v>178</v>
      </c>
    </row>
    <row r="69" spans="1:28" s="36" customFormat="1" ht="13.5" customHeight="1" x14ac:dyDescent="0.15">
      <c r="A69" s="36" t="s">
        <v>24</v>
      </c>
      <c r="B69" s="36" t="s">
        <v>174</v>
      </c>
      <c r="C69" s="36">
        <v>2020</v>
      </c>
      <c r="D69" s="130" t="s">
        <v>175</v>
      </c>
      <c r="E69" s="36" t="s">
        <v>187</v>
      </c>
      <c r="F69" s="36" t="s">
        <v>188</v>
      </c>
      <c r="G69" s="36" t="s">
        <v>25</v>
      </c>
      <c r="H69" s="36" t="s">
        <v>113</v>
      </c>
      <c r="I69" s="36" t="s">
        <v>111</v>
      </c>
      <c r="J69" s="36" t="s">
        <v>27</v>
      </c>
      <c r="K69" s="36" t="s">
        <v>112</v>
      </c>
      <c r="L69" s="36">
        <v>2</v>
      </c>
      <c r="N69" s="36">
        <v>4</v>
      </c>
      <c r="O69" s="36">
        <v>0.8</v>
      </c>
      <c r="P69" s="36">
        <v>0.75</v>
      </c>
      <c r="Q69" s="114">
        <f t="shared" si="4"/>
        <v>0.77500000000000002</v>
      </c>
      <c r="R69" s="36">
        <v>11.9</v>
      </c>
      <c r="S69" s="36">
        <v>107</v>
      </c>
      <c r="T69" s="115">
        <f t="shared" si="3"/>
        <v>33</v>
      </c>
      <c r="U69" s="36">
        <v>398</v>
      </c>
      <c r="V69" s="115">
        <f t="shared" si="5"/>
        <v>3283.5</v>
      </c>
      <c r="W69" s="36">
        <v>2</v>
      </c>
      <c r="X69" s="36" t="s">
        <v>35</v>
      </c>
      <c r="Y69" s="36" t="s">
        <v>43</v>
      </c>
      <c r="Z69" s="36" t="s">
        <v>29</v>
      </c>
      <c r="AA69" s="36" t="s">
        <v>76</v>
      </c>
      <c r="AB69" s="128" t="s">
        <v>178</v>
      </c>
    </row>
    <row r="70" spans="1:28" s="36" customFormat="1" ht="13.5" customHeight="1" x14ac:dyDescent="0.15">
      <c r="A70" s="36" t="s">
        <v>24</v>
      </c>
      <c r="B70" s="36" t="s">
        <v>174</v>
      </c>
      <c r="C70" s="36">
        <v>2020</v>
      </c>
      <c r="D70" s="130" t="s">
        <v>175</v>
      </c>
      <c r="E70" s="36" t="s">
        <v>187</v>
      </c>
      <c r="F70" s="36" t="s">
        <v>188</v>
      </c>
      <c r="G70" s="36" t="s">
        <v>25</v>
      </c>
      <c r="H70" s="36" t="s">
        <v>113</v>
      </c>
      <c r="I70" s="36" t="s">
        <v>111</v>
      </c>
      <c r="J70" s="36" t="s">
        <v>27</v>
      </c>
      <c r="K70" s="36" t="s">
        <v>112</v>
      </c>
      <c r="L70" s="36">
        <v>3</v>
      </c>
      <c r="N70" s="36">
        <v>4</v>
      </c>
      <c r="O70" s="36">
        <v>0.75</v>
      </c>
      <c r="P70" s="36">
        <v>0.8</v>
      </c>
      <c r="Q70" s="114">
        <f t="shared" si="4"/>
        <v>0.77500000000000002</v>
      </c>
      <c r="R70" s="36">
        <v>11.7</v>
      </c>
      <c r="S70" s="36">
        <v>113</v>
      </c>
      <c r="T70" s="115">
        <f t="shared" si="3"/>
        <v>30</v>
      </c>
      <c r="U70" s="36">
        <v>398</v>
      </c>
      <c r="V70" s="115">
        <f t="shared" si="5"/>
        <v>2985</v>
      </c>
      <c r="W70" s="36">
        <v>2</v>
      </c>
      <c r="X70" s="36" t="s">
        <v>35</v>
      </c>
      <c r="Y70" s="36" t="s">
        <v>43</v>
      </c>
      <c r="Z70" s="36" t="s">
        <v>29</v>
      </c>
      <c r="AA70" s="36" t="s">
        <v>76</v>
      </c>
      <c r="AB70" s="128" t="s">
        <v>178</v>
      </c>
    </row>
    <row r="71" spans="1:28" s="36" customFormat="1" ht="13.5" customHeight="1" x14ac:dyDescent="0.15">
      <c r="A71" s="36" t="s">
        <v>24</v>
      </c>
      <c r="B71" s="36" t="s">
        <v>174</v>
      </c>
      <c r="C71" s="36">
        <v>2020</v>
      </c>
      <c r="D71" s="130" t="s">
        <v>175</v>
      </c>
      <c r="E71" s="36" t="s">
        <v>187</v>
      </c>
      <c r="F71" s="36" t="s">
        <v>188</v>
      </c>
      <c r="G71" s="36" t="s">
        <v>25</v>
      </c>
      <c r="H71" s="36" t="s">
        <v>164</v>
      </c>
      <c r="I71" s="36" t="s">
        <v>111</v>
      </c>
      <c r="J71" s="36" t="s">
        <v>27</v>
      </c>
      <c r="K71" s="36" t="s">
        <v>112</v>
      </c>
      <c r="L71" s="36">
        <v>1</v>
      </c>
      <c r="N71" s="36">
        <v>1</v>
      </c>
      <c r="O71" s="36">
        <v>1</v>
      </c>
      <c r="P71" s="36">
        <v>1</v>
      </c>
      <c r="Q71" s="114">
        <f t="shared" si="4"/>
        <v>1</v>
      </c>
      <c r="R71" s="36">
        <v>18.3</v>
      </c>
      <c r="S71" s="36">
        <v>115</v>
      </c>
      <c r="T71" s="115">
        <f t="shared" si="3"/>
        <v>30</v>
      </c>
      <c r="U71" s="36">
        <v>100</v>
      </c>
      <c r="V71" s="115">
        <f>IF(OR(N71="",U71="",T71=""),"",U71/N71*T71)</f>
        <v>3000</v>
      </c>
      <c r="W71" s="36">
        <v>3</v>
      </c>
      <c r="X71" s="36" t="s">
        <v>35</v>
      </c>
      <c r="Y71" s="36" t="s">
        <v>43</v>
      </c>
      <c r="Z71" s="36" t="s">
        <v>29</v>
      </c>
      <c r="AA71" s="36" t="s">
        <v>76</v>
      </c>
      <c r="AB71" s="128" t="s">
        <v>178</v>
      </c>
    </row>
    <row r="72" spans="1:28" s="36" customFormat="1" ht="13.5" customHeight="1" x14ac:dyDescent="0.15">
      <c r="A72" s="36" t="s">
        <v>24</v>
      </c>
      <c r="B72" s="36" t="s">
        <v>174</v>
      </c>
      <c r="C72" s="36">
        <v>2020</v>
      </c>
      <c r="D72" s="130" t="s">
        <v>175</v>
      </c>
      <c r="E72" s="36" t="s">
        <v>187</v>
      </c>
      <c r="F72" s="36" t="s">
        <v>188</v>
      </c>
      <c r="G72" s="36" t="s">
        <v>25</v>
      </c>
      <c r="H72" s="36" t="s">
        <v>164</v>
      </c>
      <c r="I72" s="36" t="s">
        <v>111</v>
      </c>
      <c r="J72" s="36" t="s">
        <v>27</v>
      </c>
      <c r="K72" s="36" t="s">
        <v>112</v>
      </c>
      <c r="L72" s="36">
        <v>2</v>
      </c>
      <c r="N72" s="36">
        <v>1</v>
      </c>
      <c r="O72" s="36">
        <v>1.25</v>
      </c>
      <c r="P72" s="36">
        <v>1.4</v>
      </c>
      <c r="Q72" s="114">
        <f t="shared" si="4"/>
        <v>1.325</v>
      </c>
      <c r="R72" s="36">
        <v>18.899999999999999</v>
      </c>
      <c r="S72" s="36">
        <v>124</v>
      </c>
      <c r="T72" s="115">
        <f t="shared" si="3"/>
        <v>27</v>
      </c>
      <c r="U72" s="36">
        <v>100</v>
      </c>
      <c r="V72" s="115">
        <f t="shared" ref="V72:V74" si="6">IF(OR(N72="",U72="",T72=""),"",U72/N72*T72)</f>
        <v>2700</v>
      </c>
      <c r="W72" s="36">
        <v>3</v>
      </c>
      <c r="X72" s="36" t="s">
        <v>35</v>
      </c>
      <c r="Y72" s="36" t="s">
        <v>43</v>
      </c>
      <c r="Z72" s="36" t="s">
        <v>29</v>
      </c>
      <c r="AA72" s="36" t="s">
        <v>76</v>
      </c>
      <c r="AB72" s="128" t="s">
        <v>178</v>
      </c>
    </row>
    <row r="73" spans="1:28" s="36" customFormat="1" ht="13.5" customHeight="1" x14ac:dyDescent="0.15">
      <c r="A73" s="36" t="s">
        <v>24</v>
      </c>
      <c r="B73" s="36" t="s">
        <v>174</v>
      </c>
      <c r="C73" s="36">
        <v>2020</v>
      </c>
      <c r="D73" s="130" t="s">
        <v>175</v>
      </c>
      <c r="E73" s="36" t="s">
        <v>187</v>
      </c>
      <c r="F73" s="36" t="s">
        <v>188</v>
      </c>
      <c r="G73" s="36" t="s">
        <v>25</v>
      </c>
      <c r="H73" s="36" t="s">
        <v>164</v>
      </c>
      <c r="I73" s="36" t="s">
        <v>111</v>
      </c>
      <c r="J73" s="36" t="s">
        <v>27</v>
      </c>
      <c r="K73" s="36" t="s">
        <v>112</v>
      </c>
      <c r="L73" s="36">
        <v>3</v>
      </c>
      <c r="N73" s="36">
        <v>1</v>
      </c>
      <c r="O73" s="36">
        <v>0.8</v>
      </c>
      <c r="P73" s="36">
        <v>0.75</v>
      </c>
      <c r="Q73" s="114">
        <f t="shared" si="4"/>
        <v>0.77500000000000002</v>
      </c>
      <c r="R73" s="36">
        <v>17.399999999999999</v>
      </c>
      <c r="S73" s="36">
        <v>118</v>
      </c>
      <c r="T73" s="115">
        <f t="shared" si="3"/>
        <v>30</v>
      </c>
      <c r="U73" s="36">
        <v>100</v>
      </c>
      <c r="V73" s="115">
        <f>IF(OR(N73="",U73="",T73=""),"",U73/N73*T73)</f>
        <v>3000</v>
      </c>
      <c r="W73" s="36">
        <v>3</v>
      </c>
      <c r="X73" s="36" t="s">
        <v>35</v>
      </c>
      <c r="Y73" s="36" t="s">
        <v>43</v>
      </c>
      <c r="Z73" s="36" t="s">
        <v>29</v>
      </c>
      <c r="AA73" s="36" t="s">
        <v>76</v>
      </c>
      <c r="AB73" s="128" t="s">
        <v>178</v>
      </c>
    </row>
    <row r="74" spans="1:28" s="36" customFormat="1" ht="13.5" customHeight="1" x14ac:dyDescent="0.15">
      <c r="A74" s="36" t="s">
        <v>24</v>
      </c>
      <c r="B74" s="36" t="s">
        <v>174</v>
      </c>
      <c r="C74" s="36">
        <v>2020</v>
      </c>
      <c r="D74" s="130" t="s">
        <v>175</v>
      </c>
      <c r="E74" s="36" t="s">
        <v>187</v>
      </c>
      <c r="F74" s="36" t="s">
        <v>188</v>
      </c>
      <c r="G74" s="36" t="s">
        <v>25</v>
      </c>
      <c r="H74" s="36" t="s">
        <v>164</v>
      </c>
      <c r="I74" s="36" t="s">
        <v>111</v>
      </c>
      <c r="J74" s="36" t="s">
        <v>27</v>
      </c>
      <c r="K74" s="36" t="s">
        <v>112</v>
      </c>
      <c r="L74" s="36">
        <v>1</v>
      </c>
      <c r="N74" s="36">
        <v>4</v>
      </c>
      <c r="O74" s="36">
        <v>0.7</v>
      </c>
      <c r="P74" s="36">
        <v>0.6</v>
      </c>
      <c r="Q74" s="114">
        <f t="shared" si="4"/>
        <v>0.64999999999999991</v>
      </c>
      <c r="R74" s="36">
        <v>16.899999999999999</v>
      </c>
      <c r="S74" s="36">
        <v>103</v>
      </c>
      <c r="T74" s="115">
        <f t="shared" si="3"/>
        <v>33</v>
      </c>
      <c r="U74" s="36">
        <v>498</v>
      </c>
      <c r="V74" s="115">
        <f t="shared" si="6"/>
        <v>4108.5</v>
      </c>
      <c r="W74" s="36">
        <v>4</v>
      </c>
      <c r="X74" s="36" t="s">
        <v>35</v>
      </c>
      <c r="Y74" s="36" t="s">
        <v>43</v>
      </c>
      <c r="Z74" s="36" t="s">
        <v>29</v>
      </c>
      <c r="AA74" s="36" t="s">
        <v>76</v>
      </c>
      <c r="AB74" s="128" t="s">
        <v>178</v>
      </c>
    </row>
    <row r="75" spans="1:28" s="36" customFormat="1" ht="13.5" customHeight="1" x14ac:dyDescent="0.15">
      <c r="A75" s="36" t="s">
        <v>24</v>
      </c>
      <c r="B75" s="36" t="s">
        <v>174</v>
      </c>
      <c r="C75" s="36">
        <v>2020</v>
      </c>
      <c r="D75" s="130" t="s">
        <v>175</v>
      </c>
      <c r="E75" s="36" t="s">
        <v>187</v>
      </c>
      <c r="F75" s="36" t="s">
        <v>188</v>
      </c>
      <c r="G75" s="36" t="s">
        <v>25</v>
      </c>
      <c r="H75" s="36" t="s">
        <v>164</v>
      </c>
      <c r="I75" s="36" t="s">
        <v>111</v>
      </c>
      <c r="J75" s="36" t="s">
        <v>27</v>
      </c>
      <c r="K75" s="36" t="s">
        <v>112</v>
      </c>
      <c r="L75" s="36">
        <v>2</v>
      </c>
      <c r="N75" s="36">
        <v>4</v>
      </c>
      <c r="O75" s="36">
        <v>0.7</v>
      </c>
      <c r="P75" s="36">
        <v>0.6</v>
      </c>
      <c r="Q75" s="114">
        <f t="shared" si="4"/>
        <v>0.64999999999999991</v>
      </c>
      <c r="R75" s="36">
        <v>11</v>
      </c>
      <c r="S75" s="36">
        <v>101</v>
      </c>
      <c r="T75" s="115">
        <f t="shared" si="3"/>
        <v>33</v>
      </c>
      <c r="U75" s="36">
        <v>498</v>
      </c>
      <c r="V75" s="115">
        <f>IF(OR(N75="",U75="",T75=""),"",U75/N75*T75)</f>
        <v>4108.5</v>
      </c>
      <c r="W75" s="36">
        <v>4</v>
      </c>
      <c r="X75" s="36" t="s">
        <v>35</v>
      </c>
      <c r="Y75" s="36" t="s">
        <v>43</v>
      </c>
      <c r="Z75" s="36" t="s">
        <v>29</v>
      </c>
      <c r="AA75" s="36" t="s">
        <v>76</v>
      </c>
      <c r="AB75" s="128" t="s">
        <v>178</v>
      </c>
    </row>
    <row r="76" spans="1:28" s="36" customFormat="1" ht="13.5" customHeight="1" x14ac:dyDescent="0.15">
      <c r="A76" s="36" t="s">
        <v>24</v>
      </c>
      <c r="B76" s="36" t="s">
        <v>174</v>
      </c>
      <c r="C76" s="36">
        <v>2020</v>
      </c>
      <c r="D76" s="130" t="s">
        <v>175</v>
      </c>
      <c r="E76" s="36" t="s">
        <v>187</v>
      </c>
      <c r="F76" s="36" t="s">
        <v>188</v>
      </c>
      <c r="G76" s="36" t="s">
        <v>25</v>
      </c>
      <c r="H76" s="36" t="s">
        <v>164</v>
      </c>
      <c r="I76" s="36" t="s">
        <v>111</v>
      </c>
      <c r="J76" s="36" t="s">
        <v>27</v>
      </c>
      <c r="K76" s="36" t="s">
        <v>112</v>
      </c>
      <c r="L76" s="36">
        <v>3</v>
      </c>
      <c r="N76" s="36">
        <v>4</v>
      </c>
      <c r="O76" s="36">
        <v>0.7</v>
      </c>
      <c r="P76" s="36">
        <v>0.7</v>
      </c>
      <c r="Q76" s="114">
        <f t="shared" si="4"/>
        <v>0.7</v>
      </c>
      <c r="R76" s="36">
        <v>11.8</v>
      </c>
      <c r="S76" s="36">
        <v>97</v>
      </c>
      <c r="T76" s="115">
        <f t="shared" si="3"/>
        <v>36</v>
      </c>
      <c r="U76" s="36">
        <v>498</v>
      </c>
      <c r="V76" s="115">
        <f>IF(OR(N76="",U76="",T76=""),"",U76/N76*T76)</f>
        <v>4482</v>
      </c>
      <c r="W76" s="36">
        <v>4</v>
      </c>
      <c r="X76" s="36" t="s">
        <v>35</v>
      </c>
      <c r="Y76" s="36" t="s">
        <v>43</v>
      </c>
      <c r="Z76" s="36" t="s">
        <v>29</v>
      </c>
      <c r="AA76" s="36" t="s">
        <v>76</v>
      </c>
      <c r="AB76" s="128" t="s">
        <v>178</v>
      </c>
    </row>
    <row r="77" spans="1:28" s="36" customFormat="1" ht="13.5" customHeight="1" x14ac:dyDescent="0.15">
      <c r="A77" s="36" t="s">
        <v>24</v>
      </c>
      <c r="B77" s="36" t="s">
        <v>174</v>
      </c>
      <c r="C77" s="36">
        <v>2020</v>
      </c>
      <c r="D77" s="130" t="s">
        <v>175</v>
      </c>
      <c r="E77" s="36" t="s">
        <v>196</v>
      </c>
      <c r="F77" s="36" t="s">
        <v>184</v>
      </c>
      <c r="G77" s="36" t="s">
        <v>25</v>
      </c>
      <c r="H77" s="36" t="s">
        <v>113</v>
      </c>
      <c r="I77" s="36" t="s">
        <v>111</v>
      </c>
      <c r="J77" s="36" t="s">
        <v>27</v>
      </c>
      <c r="K77" s="36" t="s">
        <v>112</v>
      </c>
      <c r="L77" s="36">
        <v>1</v>
      </c>
      <c r="N77" s="36">
        <v>1</v>
      </c>
      <c r="O77" s="36">
        <v>1.6</v>
      </c>
      <c r="P77" s="36">
        <v>1.6</v>
      </c>
      <c r="Q77" s="114">
        <f t="shared" si="4"/>
        <v>1.6</v>
      </c>
      <c r="R77" s="36">
        <v>10.9</v>
      </c>
      <c r="S77" s="36">
        <v>106</v>
      </c>
      <c r="T77" s="115">
        <f t="shared" si="3"/>
        <v>33</v>
      </c>
      <c r="U77" s="36">
        <v>98</v>
      </c>
      <c r="V77" s="115">
        <f t="shared" ref="V77:V154" si="7">IF(OR(N77="",U77="",T77=""),"",U77/N77*T77)</f>
        <v>3234</v>
      </c>
      <c r="W77" s="36">
        <v>6</v>
      </c>
      <c r="X77" s="36" t="s">
        <v>35</v>
      </c>
      <c r="Y77" s="36" t="s">
        <v>43</v>
      </c>
      <c r="Z77" s="36" t="s">
        <v>36</v>
      </c>
      <c r="AA77" s="36" t="s">
        <v>55</v>
      </c>
      <c r="AB77" s="128" t="s">
        <v>178</v>
      </c>
    </row>
    <row r="78" spans="1:28" s="36" customFormat="1" ht="13.5" customHeight="1" x14ac:dyDescent="0.15">
      <c r="A78" s="36" t="s">
        <v>24</v>
      </c>
      <c r="B78" s="36" t="s">
        <v>174</v>
      </c>
      <c r="C78" s="36">
        <v>2020</v>
      </c>
      <c r="D78" s="130" t="s">
        <v>175</v>
      </c>
      <c r="E78" s="36" t="s">
        <v>196</v>
      </c>
      <c r="F78" s="36" t="s">
        <v>184</v>
      </c>
      <c r="G78" s="36" t="s">
        <v>25</v>
      </c>
      <c r="H78" s="36" t="s">
        <v>113</v>
      </c>
      <c r="I78" s="36" t="s">
        <v>111</v>
      </c>
      <c r="J78" s="36" t="s">
        <v>27</v>
      </c>
      <c r="K78" s="36" t="s">
        <v>112</v>
      </c>
      <c r="L78" s="36">
        <v>2</v>
      </c>
      <c r="N78" s="36">
        <v>1</v>
      </c>
      <c r="O78" s="36">
        <v>1</v>
      </c>
      <c r="P78" s="128">
        <v>0.9</v>
      </c>
      <c r="Q78" s="114">
        <f>IF(OR(O78="",P78=""),"",AVERAGE(O78,P78))</f>
        <v>0.95</v>
      </c>
      <c r="R78" s="36">
        <v>12.9</v>
      </c>
      <c r="S78" s="36">
        <v>130</v>
      </c>
      <c r="T78" s="115">
        <f t="shared" si="3"/>
        <v>25</v>
      </c>
      <c r="U78" s="36">
        <v>98</v>
      </c>
      <c r="V78" s="115">
        <f t="shared" si="7"/>
        <v>2450</v>
      </c>
      <c r="W78" s="36">
        <v>6</v>
      </c>
      <c r="X78" s="36" t="s">
        <v>35</v>
      </c>
      <c r="Y78" s="36" t="s">
        <v>43</v>
      </c>
      <c r="Z78" s="36" t="s">
        <v>36</v>
      </c>
      <c r="AA78" s="36" t="s">
        <v>55</v>
      </c>
      <c r="AB78" s="128" t="s">
        <v>178</v>
      </c>
    </row>
    <row r="79" spans="1:28" s="36" customFormat="1" ht="13.5" customHeight="1" x14ac:dyDescent="0.15">
      <c r="A79" s="36" t="s">
        <v>24</v>
      </c>
      <c r="B79" s="36" t="s">
        <v>174</v>
      </c>
      <c r="C79" s="36">
        <v>2020</v>
      </c>
      <c r="D79" s="130" t="s">
        <v>175</v>
      </c>
      <c r="E79" s="36" t="s">
        <v>196</v>
      </c>
      <c r="F79" s="36" t="s">
        <v>184</v>
      </c>
      <c r="G79" s="36" t="s">
        <v>25</v>
      </c>
      <c r="H79" s="36" t="s">
        <v>113</v>
      </c>
      <c r="I79" s="36" t="s">
        <v>111</v>
      </c>
      <c r="J79" s="36" t="s">
        <v>27</v>
      </c>
      <c r="K79" s="36" t="s">
        <v>112</v>
      </c>
      <c r="L79" s="36">
        <v>3</v>
      </c>
      <c r="N79" s="36">
        <v>1</v>
      </c>
      <c r="O79" s="36">
        <v>1.75</v>
      </c>
      <c r="P79" s="36">
        <v>1.75</v>
      </c>
      <c r="Q79" s="114">
        <f>IF(OR(O79="",P79=""),"",AVERAGE(O79,P79))</f>
        <v>1.75</v>
      </c>
      <c r="R79" s="36">
        <v>11.4</v>
      </c>
      <c r="S79" s="36">
        <v>111</v>
      </c>
      <c r="T79" s="115">
        <f t="shared" si="3"/>
        <v>33</v>
      </c>
      <c r="U79" s="36">
        <v>98</v>
      </c>
      <c r="V79" s="115">
        <f t="shared" si="7"/>
        <v>3234</v>
      </c>
      <c r="W79" s="36">
        <v>6</v>
      </c>
      <c r="X79" s="36" t="s">
        <v>35</v>
      </c>
      <c r="Y79" s="36" t="s">
        <v>43</v>
      </c>
      <c r="Z79" s="36" t="s">
        <v>36</v>
      </c>
      <c r="AA79" s="36" t="s">
        <v>55</v>
      </c>
      <c r="AB79" s="128" t="s">
        <v>178</v>
      </c>
    </row>
    <row r="80" spans="1:28" s="36" customFormat="1" ht="13.5" customHeight="1" x14ac:dyDescent="0.15">
      <c r="A80" s="36" t="s">
        <v>24</v>
      </c>
      <c r="B80" s="36" t="s">
        <v>174</v>
      </c>
      <c r="C80" s="36">
        <v>2020</v>
      </c>
      <c r="D80" s="130" t="s">
        <v>175</v>
      </c>
      <c r="E80" s="36" t="s">
        <v>196</v>
      </c>
      <c r="F80" s="36" t="s">
        <v>184</v>
      </c>
      <c r="G80" s="36" t="s">
        <v>25</v>
      </c>
      <c r="H80" s="36" t="s">
        <v>113</v>
      </c>
      <c r="I80" s="36" t="s">
        <v>111</v>
      </c>
      <c r="J80" s="36" t="s">
        <v>27</v>
      </c>
      <c r="K80" s="36" t="s">
        <v>112</v>
      </c>
      <c r="L80" s="36">
        <v>1</v>
      </c>
      <c r="N80" s="36">
        <v>5</v>
      </c>
      <c r="O80" s="36">
        <v>0.75</v>
      </c>
      <c r="P80" s="36">
        <v>0.6</v>
      </c>
      <c r="Q80" s="114">
        <f t="shared" ref="Q80:Q154" si="8">IF(OR(O80="",P80=""),"",AVERAGE(O80,P80))</f>
        <v>0.67500000000000004</v>
      </c>
      <c r="R80" s="36">
        <v>13.1</v>
      </c>
      <c r="S80" s="36">
        <v>84</v>
      </c>
      <c r="T80" s="115">
        <f t="shared" si="3"/>
        <v>36</v>
      </c>
      <c r="U80" s="36">
        <v>398</v>
      </c>
      <c r="V80" s="115">
        <f t="shared" si="7"/>
        <v>2865.6</v>
      </c>
      <c r="W80" s="36">
        <v>1</v>
      </c>
      <c r="X80" s="36" t="s">
        <v>35</v>
      </c>
      <c r="Y80" s="36" t="s">
        <v>43</v>
      </c>
      <c r="Z80" s="36" t="s">
        <v>36</v>
      </c>
      <c r="AA80" s="36" t="s">
        <v>55</v>
      </c>
      <c r="AB80" s="128" t="s">
        <v>178</v>
      </c>
    </row>
    <row r="81" spans="1:28" s="36" customFormat="1" ht="13.5" customHeight="1" x14ac:dyDescent="0.15">
      <c r="A81" s="36" t="s">
        <v>24</v>
      </c>
      <c r="B81" s="36" t="s">
        <v>174</v>
      </c>
      <c r="C81" s="36">
        <v>2020</v>
      </c>
      <c r="D81" s="130" t="s">
        <v>175</v>
      </c>
      <c r="E81" s="36" t="s">
        <v>196</v>
      </c>
      <c r="F81" s="36" t="s">
        <v>184</v>
      </c>
      <c r="G81" s="36" t="s">
        <v>25</v>
      </c>
      <c r="H81" s="36" t="s">
        <v>113</v>
      </c>
      <c r="I81" s="36" t="s">
        <v>111</v>
      </c>
      <c r="J81" s="36" t="s">
        <v>27</v>
      </c>
      <c r="K81" s="36" t="s">
        <v>112</v>
      </c>
      <c r="L81" s="36">
        <v>2</v>
      </c>
      <c r="N81" s="36">
        <v>5</v>
      </c>
      <c r="O81" s="36">
        <v>0.6</v>
      </c>
      <c r="P81" s="36">
        <v>0.5</v>
      </c>
      <c r="Q81" s="114">
        <f t="shared" si="8"/>
        <v>0.55000000000000004</v>
      </c>
      <c r="R81" s="36">
        <v>11</v>
      </c>
      <c r="S81" s="36">
        <v>85</v>
      </c>
      <c r="T81" s="115">
        <f t="shared" si="3"/>
        <v>36</v>
      </c>
      <c r="U81" s="36">
        <v>398</v>
      </c>
      <c r="V81" s="115">
        <f t="shared" si="7"/>
        <v>2865.6</v>
      </c>
      <c r="W81" s="36">
        <v>1</v>
      </c>
      <c r="X81" s="36" t="s">
        <v>35</v>
      </c>
      <c r="Y81" s="36" t="s">
        <v>43</v>
      </c>
      <c r="Z81" s="36" t="s">
        <v>36</v>
      </c>
      <c r="AA81" s="36" t="s">
        <v>55</v>
      </c>
      <c r="AB81" s="128" t="s">
        <v>178</v>
      </c>
    </row>
    <row r="82" spans="1:28" s="36" customFormat="1" ht="13.5" customHeight="1" x14ac:dyDescent="0.15">
      <c r="A82" s="36" t="s">
        <v>24</v>
      </c>
      <c r="B82" s="36" t="s">
        <v>174</v>
      </c>
      <c r="C82" s="36">
        <v>2020</v>
      </c>
      <c r="D82" s="130" t="s">
        <v>175</v>
      </c>
      <c r="E82" s="36" t="s">
        <v>196</v>
      </c>
      <c r="F82" s="36" t="s">
        <v>184</v>
      </c>
      <c r="G82" s="36" t="s">
        <v>25</v>
      </c>
      <c r="H82" s="36" t="s">
        <v>113</v>
      </c>
      <c r="I82" s="36" t="s">
        <v>111</v>
      </c>
      <c r="J82" s="36" t="s">
        <v>27</v>
      </c>
      <c r="K82" s="36" t="s">
        <v>112</v>
      </c>
      <c r="L82" s="36">
        <v>3</v>
      </c>
      <c r="N82" s="36">
        <v>5</v>
      </c>
      <c r="O82" s="36">
        <v>0.75</v>
      </c>
      <c r="P82" s="36">
        <v>0.75</v>
      </c>
      <c r="Q82" s="114">
        <f t="shared" si="8"/>
        <v>0.75</v>
      </c>
      <c r="R82" s="36">
        <v>13.2</v>
      </c>
      <c r="S82" s="36">
        <v>82</v>
      </c>
      <c r="T82" s="115">
        <f t="shared" si="3"/>
        <v>39</v>
      </c>
      <c r="U82" s="36">
        <v>398</v>
      </c>
      <c r="V82" s="115">
        <f t="shared" si="7"/>
        <v>3104.3999999999996</v>
      </c>
      <c r="W82" s="36">
        <v>1</v>
      </c>
      <c r="X82" s="36" t="s">
        <v>35</v>
      </c>
      <c r="Y82" s="36" t="s">
        <v>43</v>
      </c>
      <c r="Z82" s="36" t="s">
        <v>36</v>
      </c>
      <c r="AA82" s="36" t="s">
        <v>55</v>
      </c>
      <c r="AB82" s="128" t="s">
        <v>178</v>
      </c>
    </row>
    <row r="83" spans="1:28" s="36" customFormat="1" ht="13.5" customHeight="1" x14ac:dyDescent="0.15">
      <c r="A83" s="36" t="s">
        <v>24</v>
      </c>
      <c r="B83" s="36" t="s">
        <v>174</v>
      </c>
      <c r="C83" s="36">
        <v>2020</v>
      </c>
      <c r="D83" s="130" t="s">
        <v>175</v>
      </c>
      <c r="E83" s="36" t="s">
        <v>196</v>
      </c>
      <c r="F83" s="36" t="s">
        <v>184</v>
      </c>
      <c r="G83" s="36" t="s">
        <v>25</v>
      </c>
      <c r="H83" s="36" t="s">
        <v>164</v>
      </c>
      <c r="I83" s="36" t="s">
        <v>111</v>
      </c>
      <c r="J83" s="36" t="s">
        <v>27</v>
      </c>
      <c r="K83" s="36" t="s">
        <v>112</v>
      </c>
      <c r="L83" s="36">
        <v>1</v>
      </c>
      <c r="N83" s="36">
        <v>1</v>
      </c>
      <c r="O83" s="36">
        <v>1</v>
      </c>
      <c r="P83" s="36">
        <v>0.9</v>
      </c>
      <c r="Q83" s="114">
        <f t="shared" si="8"/>
        <v>0.95</v>
      </c>
      <c r="R83" s="36">
        <v>16.600000000000001</v>
      </c>
      <c r="S83" s="36">
        <v>109</v>
      </c>
      <c r="T83" s="115">
        <f t="shared" si="3"/>
        <v>33</v>
      </c>
      <c r="U83" s="36">
        <v>100</v>
      </c>
      <c r="V83" s="115">
        <f t="shared" si="7"/>
        <v>3300</v>
      </c>
      <c r="W83" s="36">
        <v>6</v>
      </c>
      <c r="X83" s="36" t="s">
        <v>35</v>
      </c>
      <c r="Y83" s="36" t="s">
        <v>43</v>
      </c>
      <c r="Z83" s="36" t="s">
        <v>36</v>
      </c>
      <c r="AA83" s="36" t="s">
        <v>55</v>
      </c>
      <c r="AB83" s="128" t="s">
        <v>178</v>
      </c>
    </row>
    <row r="84" spans="1:28" s="36" customFormat="1" ht="13.5" customHeight="1" x14ac:dyDescent="0.15">
      <c r="A84" s="36" t="s">
        <v>24</v>
      </c>
      <c r="B84" s="36" t="s">
        <v>174</v>
      </c>
      <c r="C84" s="36">
        <v>2020</v>
      </c>
      <c r="D84" s="130" t="s">
        <v>175</v>
      </c>
      <c r="E84" s="36" t="s">
        <v>196</v>
      </c>
      <c r="F84" s="36" t="s">
        <v>184</v>
      </c>
      <c r="G84" s="36" t="s">
        <v>25</v>
      </c>
      <c r="H84" s="36" t="s">
        <v>164</v>
      </c>
      <c r="I84" s="36" t="s">
        <v>111</v>
      </c>
      <c r="J84" s="36" t="s">
        <v>27</v>
      </c>
      <c r="K84" s="36" t="s">
        <v>112</v>
      </c>
      <c r="L84" s="36">
        <v>2</v>
      </c>
      <c r="N84" s="36">
        <v>1</v>
      </c>
      <c r="O84" s="36">
        <v>1.2</v>
      </c>
      <c r="P84" s="36">
        <v>1.1000000000000001</v>
      </c>
      <c r="Q84" s="114">
        <f t="shared" si="8"/>
        <v>1.1499999999999999</v>
      </c>
      <c r="R84" s="36">
        <v>11.1</v>
      </c>
      <c r="S84" s="36">
        <v>116</v>
      </c>
      <c r="T84" s="115">
        <f t="shared" si="3"/>
        <v>30</v>
      </c>
      <c r="U84" s="36">
        <v>100</v>
      </c>
      <c r="V84" s="115">
        <f t="shared" si="7"/>
        <v>3000</v>
      </c>
      <c r="W84" s="36">
        <v>6</v>
      </c>
      <c r="X84" s="36" t="s">
        <v>35</v>
      </c>
      <c r="Y84" s="36" t="s">
        <v>43</v>
      </c>
      <c r="Z84" s="36" t="s">
        <v>36</v>
      </c>
      <c r="AA84" s="36" t="s">
        <v>55</v>
      </c>
      <c r="AB84" s="128" t="s">
        <v>178</v>
      </c>
    </row>
    <row r="85" spans="1:28" s="36" customFormat="1" ht="13.5" customHeight="1" x14ac:dyDescent="0.15">
      <c r="A85" s="36" t="s">
        <v>24</v>
      </c>
      <c r="B85" s="36" t="s">
        <v>174</v>
      </c>
      <c r="C85" s="36">
        <v>2020</v>
      </c>
      <c r="D85" s="130" t="s">
        <v>175</v>
      </c>
      <c r="E85" s="36" t="s">
        <v>196</v>
      </c>
      <c r="F85" s="36" t="s">
        <v>184</v>
      </c>
      <c r="G85" s="36" t="s">
        <v>25</v>
      </c>
      <c r="H85" s="36" t="s">
        <v>164</v>
      </c>
      <c r="I85" s="36" t="s">
        <v>111</v>
      </c>
      <c r="J85" s="36" t="s">
        <v>27</v>
      </c>
      <c r="K85" s="36" t="s">
        <v>112</v>
      </c>
      <c r="L85" s="36">
        <v>3</v>
      </c>
      <c r="N85" s="36">
        <v>1</v>
      </c>
      <c r="O85" s="36">
        <v>1</v>
      </c>
      <c r="P85" s="36">
        <v>0.9</v>
      </c>
      <c r="Q85" s="114">
        <f t="shared" si="8"/>
        <v>0.95</v>
      </c>
      <c r="R85" s="36">
        <v>13.5</v>
      </c>
      <c r="S85" s="36">
        <v>109</v>
      </c>
      <c r="T85" s="115">
        <f t="shared" si="3"/>
        <v>33</v>
      </c>
      <c r="U85" s="36">
        <v>100</v>
      </c>
      <c r="V85" s="115">
        <f t="shared" si="7"/>
        <v>3300</v>
      </c>
      <c r="W85" s="36">
        <v>6</v>
      </c>
      <c r="X85" s="36" t="s">
        <v>35</v>
      </c>
      <c r="Y85" s="36" t="s">
        <v>43</v>
      </c>
      <c r="Z85" s="36" t="s">
        <v>36</v>
      </c>
      <c r="AA85" s="36" t="s">
        <v>55</v>
      </c>
      <c r="AB85" s="128" t="s">
        <v>178</v>
      </c>
    </row>
    <row r="86" spans="1:28" s="36" customFormat="1" ht="13.5" customHeight="1" x14ac:dyDescent="0.15">
      <c r="A86" s="36" t="s">
        <v>24</v>
      </c>
      <c r="B86" s="128" t="s">
        <v>174</v>
      </c>
      <c r="C86" s="36">
        <v>2020</v>
      </c>
      <c r="D86" s="130" t="s">
        <v>175</v>
      </c>
      <c r="E86" s="36" t="s">
        <v>196</v>
      </c>
      <c r="F86" s="36" t="s">
        <v>184</v>
      </c>
      <c r="G86" s="36" t="s">
        <v>25</v>
      </c>
      <c r="H86" s="36" t="s">
        <v>164</v>
      </c>
      <c r="I86" s="36" t="s">
        <v>111</v>
      </c>
      <c r="J86" s="36" t="s">
        <v>27</v>
      </c>
      <c r="K86" s="36" t="s">
        <v>112</v>
      </c>
      <c r="L86" s="36">
        <v>1</v>
      </c>
      <c r="N86" s="36">
        <v>4</v>
      </c>
      <c r="O86" s="36">
        <v>1</v>
      </c>
      <c r="P86" s="36">
        <v>1</v>
      </c>
      <c r="Q86" s="114">
        <f t="shared" si="8"/>
        <v>1</v>
      </c>
      <c r="R86" s="36">
        <v>18.100000000000001</v>
      </c>
      <c r="S86" s="36">
        <v>87</v>
      </c>
      <c r="T86" s="115">
        <f t="shared" si="3"/>
        <v>36</v>
      </c>
      <c r="U86" s="36">
        <v>398</v>
      </c>
      <c r="V86" s="115">
        <f t="shared" si="7"/>
        <v>3582</v>
      </c>
      <c r="W86" s="36">
        <v>2</v>
      </c>
      <c r="X86" s="36" t="s">
        <v>35</v>
      </c>
      <c r="Y86" s="36" t="s">
        <v>43</v>
      </c>
      <c r="Z86" s="36" t="s">
        <v>36</v>
      </c>
      <c r="AA86" s="36" t="s">
        <v>55</v>
      </c>
      <c r="AB86" s="128" t="s">
        <v>178</v>
      </c>
    </row>
    <row r="87" spans="1:28" s="36" customFormat="1" ht="13.5" customHeight="1" x14ac:dyDescent="0.15">
      <c r="A87" s="36" t="s">
        <v>24</v>
      </c>
      <c r="B87" s="128" t="s">
        <v>174</v>
      </c>
      <c r="C87" s="36">
        <v>2020</v>
      </c>
      <c r="D87" s="130" t="s">
        <v>175</v>
      </c>
      <c r="E87" s="36" t="s">
        <v>196</v>
      </c>
      <c r="F87" s="36" t="s">
        <v>184</v>
      </c>
      <c r="G87" s="36" t="s">
        <v>25</v>
      </c>
      <c r="H87" s="36" t="s">
        <v>164</v>
      </c>
      <c r="I87" s="36" t="s">
        <v>111</v>
      </c>
      <c r="J87" s="36" t="s">
        <v>27</v>
      </c>
      <c r="K87" s="36" t="s">
        <v>112</v>
      </c>
      <c r="L87" s="36">
        <v>2</v>
      </c>
      <c r="N87" s="36">
        <v>4</v>
      </c>
      <c r="O87" s="36">
        <v>0.75</v>
      </c>
      <c r="P87" s="36">
        <v>0.75</v>
      </c>
      <c r="Q87" s="114">
        <f t="shared" si="8"/>
        <v>0.75</v>
      </c>
      <c r="R87" s="36">
        <v>13.5</v>
      </c>
      <c r="S87" s="36">
        <v>93</v>
      </c>
      <c r="T87" s="115">
        <f t="shared" si="3"/>
        <v>36</v>
      </c>
      <c r="U87" s="36">
        <v>398</v>
      </c>
      <c r="V87" s="115">
        <f t="shared" si="7"/>
        <v>3582</v>
      </c>
      <c r="W87" s="36">
        <v>2</v>
      </c>
      <c r="X87" s="36" t="s">
        <v>35</v>
      </c>
      <c r="Y87" s="36" t="s">
        <v>43</v>
      </c>
      <c r="Z87" s="36" t="s">
        <v>36</v>
      </c>
      <c r="AA87" s="36" t="s">
        <v>55</v>
      </c>
      <c r="AB87" s="128" t="s">
        <v>178</v>
      </c>
    </row>
    <row r="88" spans="1:28" s="36" customFormat="1" ht="13.5" customHeight="1" x14ac:dyDescent="0.15">
      <c r="A88" s="36" t="s">
        <v>24</v>
      </c>
      <c r="B88" s="128" t="s">
        <v>174</v>
      </c>
      <c r="C88" s="36">
        <v>2020</v>
      </c>
      <c r="D88" s="130" t="s">
        <v>175</v>
      </c>
      <c r="E88" s="36" t="s">
        <v>196</v>
      </c>
      <c r="F88" s="36" t="s">
        <v>184</v>
      </c>
      <c r="G88" s="36" t="s">
        <v>25</v>
      </c>
      <c r="H88" s="36" t="s">
        <v>164</v>
      </c>
      <c r="I88" s="36" t="s">
        <v>111</v>
      </c>
      <c r="J88" s="36" t="s">
        <v>27</v>
      </c>
      <c r="K88" s="36" t="s">
        <v>112</v>
      </c>
      <c r="L88" s="36">
        <v>3</v>
      </c>
      <c r="N88" s="36">
        <v>4</v>
      </c>
      <c r="O88" s="36">
        <v>0.75</v>
      </c>
      <c r="P88" s="36">
        <v>0.8</v>
      </c>
      <c r="Q88" s="114">
        <f t="shared" si="8"/>
        <v>0.77500000000000002</v>
      </c>
      <c r="R88" s="36">
        <v>11.8</v>
      </c>
      <c r="S88" s="36">
        <v>89</v>
      </c>
      <c r="T88" s="115">
        <f t="shared" si="3"/>
        <v>36</v>
      </c>
      <c r="U88" s="36">
        <v>398</v>
      </c>
      <c r="V88" s="115">
        <f t="shared" si="7"/>
        <v>3582</v>
      </c>
      <c r="W88" s="36">
        <v>2</v>
      </c>
      <c r="X88" s="36" t="s">
        <v>35</v>
      </c>
      <c r="Y88" s="36" t="s">
        <v>43</v>
      </c>
      <c r="Z88" s="36" t="s">
        <v>36</v>
      </c>
      <c r="AA88" s="36" t="s">
        <v>55</v>
      </c>
      <c r="AB88" s="128" t="s">
        <v>178</v>
      </c>
    </row>
    <row r="89" spans="1:28" s="36" customFormat="1" ht="13.5" customHeight="1" x14ac:dyDescent="0.15">
      <c r="A89" s="36" t="s">
        <v>24</v>
      </c>
      <c r="B89" s="128" t="s">
        <v>174</v>
      </c>
      <c r="C89" s="36">
        <v>2020</v>
      </c>
      <c r="D89" s="130" t="s">
        <v>175</v>
      </c>
      <c r="E89" s="36" t="s">
        <v>189</v>
      </c>
      <c r="F89" s="36" t="s">
        <v>190</v>
      </c>
      <c r="G89" s="36" t="s">
        <v>25</v>
      </c>
      <c r="H89" s="36" t="s">
        <v>113</v>
      </c>
      <c r="I89" s="36" t="s">
        <v>111</v>
      </c>
      <c r="J89" s="36" t="s">
        <v>27</v>
      </c>
      <c r="K89" s="36" t="s">
        <v>112</v>
      </c>
      <c r="L89" s="36">
        <v>1</v>
      </c>
      <c r="N89" s="36">
        <v>1</v>
      </c>
      <c r="O89" s="36">
        <v>0.7</v>
      </c>
      <c r="P89" s="36">
        <v>0.75</v>
      </c>
      <c r="Q89" s="114">
        <f t="shared" si="8"/>
        <v>0.72499999999999998</v>
      </c>
      <c r="R89" s="36">
        <v>10.9</v>
      </c>
      <c r="S89" s="36">
        <v>94</v>
      </c>
      <c r="T89" s="115">
        <f t="shared" si="3"/>
        <v>36</v>
      </c>
      <c r="U89" s="36">
        <v>88</v>
      </c>
      <c r="V89" s="115">
        <f t="shared" si="7"/>
        <v>3168</v>
      </c>
      <c r="W89" s="36">
        <v>6</v>
      </c>
      <c r="X89" s="36" t="s">
        <v>35</v>
      </c>
      <c r="Y89" s="36" t="s">
        <v>43</v>
      </c>
      <c r="Z89" s="36" t="s">
        <v>36</v>
      </c>
      <c r="AA89" s="36" t="s">
        <v>29</v>
      </c>
      <c r="AB89" s="128" t="s">
        <v>178</v>
      </c>
    </row>
    <row r="90" spans="1:28" s="36" customFormat="1" ht="13.5" customHeight="1" x14ac:dyDescent="0.15">
      <c r="A90" s="36" t="s">
        <v>24</v>
      </c>
      <c r="B90" s="128" t="s">
        <v>174</v>
      </c>
      <c r="C90" s="36">
        <v>2020</v>
      </c>
      <c r="D90" s="130" t="s">
        <v>175</v>
      </c>
      <c r="E90" s="36" t="s">
        <v>189</v>
      </c>
      <c r="F90" s="36" t="s">
        <v>190</v>
      </c>
      <c r="G90" s="36" t="s">
        <v>25</v>
      </c>
      <c r="H90" s="36" t="s">
        <v>113</v>
      </c>
      <c r="I90" s="36" t="s">
        <v>111</v>
      </c>
      <c r="J90" s="36" t="s">
        <v>27</v>
      </c>
      <c r="K90" s="36" t="s">
        <v>112</v>
      </c>
      <c r="L90" s="36">
        <v>2</v>
      </c>
      <c r="N90" s="36">
        <v>1</v>
      </c>
      <c r="O90" s="36">
        <v>0.7</v>
      </c>
      <c r="P90" s="36">
        <v>0.7</v>
      </c>
      <c r="Q90" s="114">
        <f t="shared" si="8"/>
        <v>0.7</v>
      </c>
      <c r="R90" s="36">
        <v>11</v>
      </c>
      <c r="S90" s="36">
        <v>89</v>
      </c>
      <c r="T90" s="115">
        <f t="shared" si="3"/>
        <v>36</v>
      </c>
      <c r="U90" s="36">
        <v>88</v>
      </c>
      <c r="V90" s="115">
        <f t="shared" si="7"/>
        <v>3168</v>
      </c>
      <c r="W90" s="36">
        <v>6</v>
      </c>
      <c r="X90" s="36" t="s">
        <v>35</v>
      </c>
      <c r="Y90" s="36" t="s">
        <v>43</v>
      </c>
      <c r="Z90" s="36" t="s">
        <v>36</v>
      </c>
      <c r="AA90" s="36" t="s">
        <v>29</v>
      </c>
      <c r="AB90" s="128" t="s">
        <v>178</v>
      </c>
    </row>
    <row r="91" spans="1:28" s="36" customFormat="1" ht="13.5" customHeight="1" x14ac:dyDescent="0.15">
      <c r="A91" s="36" t="s">
        <v>24</v>
      </c>
      <c r="B91" s="128" t="s">
        <v>174</v>
      </c>
      <c r="C91" s="36">
        <v>2020</v>
      </c>
      <c r="D91" s="130" t="s">
        <v>175</v>
      </c>
      <c r="E91" s="36" t="s">
        <v>189</v>
      </c>
      <c r="F91" s="36" t="s">
        <v>190</v>
      </c>
      <c r="G91" s="36" t="s">
        <v>25</v>
      </c>
      <c r="H91" s="36" t="s">
        <v>113</v>
      </c>
      <c r="I91" s="36" t="s">
        <v>111</v>
      </c>
      <c r="J91" s="36" t="s">
        <v>27</v>
      </c>
      <c r="K91" s="36" t="s">
        <v>112</v>
      </c>
      <c r="L91" s="36">
        <v>3</v>
      </c>
      <c r="N91" s="36">
        <v>1</v>
      </c>
      <c r="O91" s="36">
        <v>1.2</v>
      </c>
      <c r="P91" s="36">
        <v>1</v>
      </c>
      <c r="Q91" s="114">
        <f t="shared" si="8"/>
        <v>1.1000000000000001</v>
      </c>
      <c r="R91" s="36">
        <v>11.8</v>
      </c>
      <c r="S91" s="36">
        <v>85</v>
      </c>
      <c r="T91" s="115">
        <f t="shared" si="3"/>
        <v>36</v>
      </c>
      <c r="U91" s="36">
        <v>88</v>
      </c>
      <c r="V91" s="115">
        <f t="shared" si="7"/>
        <v>3168</v>
      </c>
      <c r="W91" s="36">
        <v>6</v>
      </c>
      <c r="X91" s="36" t="s">
        <v>35</v>
      </c>
      <c r="Y91" s="36" t="s">
        <v>43</v>
      </c>
      <c r="Z91" s="36" t="s">
        <v>36</v>
      </c>
      <c r="AA91" s="36" t="s">
        <v>29</v>
      </c>
      <c r="AB91" s="128" t="s">
        <v>178</v>
      </c>
    </row>
    <row r="92" spans="1:28" s="36" customFormat="1" ht="13.5" customHeight="1" x14ac:dyDescent="0.15">
      <c r="A92" s="36" t="s">
        <v>24</v>
      </c>
      <c r="B92" s="36" t="s">
        <v>174</v>
      </c>
      <c r="C92" s="36">
        <v>2020</v>
      </c>
      <c r="D92" s="130" t="s">
        <v>175</v>
      </c>
      <c r="E92" s="36" t="s">
        <v>189</v>
      </c>
      <c r="F92" s="36" t="s">
        <v>190</v>
      </c>
      <c r="G92" s="36" t="s">
        <v>25</v>
      </c>
      <c r="H92" s="36" t="s">
        <v>113</v>
      </c>
      <c r="I92" s="36" t="s">
        <v>111</v>
      </c>
      <c r="J92" s="36" t="s">
        <v>27</v>
      </c>
      <c r="K92" s="36" t="s">
        <v>112</v>
      </c>
      <c r="L92" s="36">
        <v>1</v>
      </c>
      <c r="N92" s="36">
        <v>4</v>
      </c>
      <c r="O92" s="36">
        <v>0.7</v>
      </c>
      <c r="P92" s="36">
        <v>0.8</v>
      </c>
      <c r="Q92" s="114">
        <f t="shared" si="8"/>
        <v>0.75</v>
      </c>
      <c r="R92" s="36">
        <v>15.8</v>
      </c>
      <c r="S92" s="36">
        <v>125</v>
      </c>
      <c r="T92" s="115">
        <f t="shared" si="3"/>
        <v>27</v>
      </c>
      <c r="U92" s="36">
        <v>498</v>
      </c>
      <c r="V92" s="115">
        <f t="shared" si="7"/>
        <v>3361.5</v>
      </c>
      <c r="W92" s="36">
        <v>6</v>
      </c>
      <c r="X92" s="36" t="s">
        <v>35</v>
      </c>
      <c r="Y92" s="36" t="s">
        <v>43</v>
      </c>
      <c r="Z92" s="36" t="s">
        <v>36</v>
      </c>
      <c r="AA92" s="36" t="s">
        <v>29</v>
      </c>
      <c r="AB92" s="36" t="s">
        <v>178</v>
      </c>
    </row>
    <row r="93" spans="1:28" s="36" customFormat="1" ht="13.5" customHeight="1" x14ac:dyDescent="0.15">
      <c r="A93" s="36" t="s">
        <v>24</v>
      </c>
      <c r="B93" s="36" t="s">
        <v>174</v>
      </c>
      <c r="C93" s="36">
        <v>2020</v>
      </c>
      <c r="D93" s="130" t="s">
        <v>175</v>
      </c>
      <c r="E93" s="36" t="s">
        <v>189</v>
      </c>
      <c r="F93" s="36" t="s">
        <v>190</v>
      </c>
      <c r="G93" s="36" t="s">
        <v>25</v>
      </c>
      <c r="H93" s="36" t="s">
        <v>113</v>
      </c>
      <c r="I93" s="36" t="s">
        <v>111</v>
      </c>
      <c r="J93" s="36" t="s">
        <v>27</v>
      </c>
      <c r="K93" s="36" t="s">
        <v>112</v>
      </c>
      <c r="L93" s="36">
        <v>2</v>
      </c>
      <c r="N93" s="36">
        <v>4</v>
      </c>
      <c r="O93" s="36">
        <v>1.5</v>
      </c>
      <c r="P93" s="36">
        <v>1.8</v>
      </c>
      <c r="Q93" s="114">
        <f t="shared" si="8"/>
        <v>1.65</v>
      </c>
      <c r="R93" s="36">
        <v>12</v>
      </c>
      <c r="S93" s="36">
        <v>123</v>
      </c>
      <c r="T93" s="115">
        <f t="shared" si="3"/>
        <v>27</v>
      </c>
      <c r="U93" s="36">
        <v>498</v>
      </c>
      <c r="V93" s="115">
        <f t="shared" si="7"/>
        <v>3361.5</v>
      </c>
      <c r="W93" s="36">
        <v>6</v>
      </c>
      <c r="X93" s="36" t="s">
        <v>35</v>
      </c>
      <c r="Y93" s="36" t="s">
        <v>43</v>
      </c>
      <c r="Z93" s="36" t="s">
        <v>36</v>
      </c>
      <c r="AA93" s="36" t="s">
        <v>29</v>
      </c>
      <c r="AB93" s="36" t="s">
        <v>178</v>
      </c>
    </row>
    <row r="94" spans="1:28" s="36" customFormat="1" ht="13.5" customHeight="1" x14ac:dyDescent="0.15">
      <c r="A94" s="36" t="s">
        <v>24</v>
      </c>
      <c r="B94" s="36" t="s">
        <v>174</v>
      </c>
      <c r="C94" s="36">
        <v>2020</v>
      </c>
      <c r="D94" s="130" t="s">
        <v>175</v>
      </c>
      <c r="E94" s="36" t="s">
        <v>189</v>
      </c>
      <c r="F94" s="36" t="s">
        <v>190</v>
      </c>
      <c r="G94" s="36" t="s">
        <v>25</v>
      </c>
      <c r="H94" s="36" t="s">
        <v>113</v>
      </c>
      <c r="I94" s="36" t="s">
        <v>111</v>
      </c>
      <c r="J94" s="36" t="s">
        <v>27</v>
      </c>
      <c r="K94" s="36" t="s">
        <v>112</v>
      </c>
      <c r="L94" s="36">
        <v>3</v>
      </c>
      <c r="N94" s="36">
        <v>4</v>
      </c>
      <c r="O94" s="36">
        <v>1.75</v>
      </c>
      <c r="P94" s="36">
        <v>1.6</v>
      </c>
      <c r="Q94" s="114">
        <f t="shared" si="8"/>
        <v>1.675</v>
      </c>
      <c r="R94" s="36">
        <v>11.7</v>
      </c>
      <c r="S94" s="36">
        <v>122</v>
      </c>
      <c r="T94" s="115">
        <f t="shared" si="3"/>
        <v>27</v>
      </c>
      <c r="U94" s="36">
        <v>498</v>
      </c>
      <c r="V94" s="115">
        <f t="shared" si="7"/>
        <v>3361.5</v>
      </c>
      <c r="W94" s="36">
        <v>6</v>
      </c>
      <c r="X94" s="36" t="s">
        <v>35</v>
      </c>
      <c r="Y94" s="36" t="s">
        <v>43</v>
      </c>
      <c r="Z94" s="36" t="s">
        <v>36</v>
      </c>
      <c r="AA94" s="36" t="s">
        <v>29</v>
      </c>
      <c r="AB94" s="36" t="s">
        <v>178</v>
      </c>
    </row>
    <row r="95" spans="1:28" s="36" customFormat="1" ht="13.5" customHeight="1" x14ac:dyDescent="0.15">
      <c r="A95" s="36" t="s">
        <v>24</v>
      </c>
      <c r="B95" s="36" t="s">
        <v>174</v>
      </c>
      <c r="C95" s="36">
        <v>2020</v>
      </c>
      <c r="D95" s="130" t="s">
        <v>175</v>
      </c>
      <c r="E95" s="36" t="s">
        <v>189</v>
      </c>
      <c r="F95" s="36" t="s">
        <v>190</v>
      </c>
      <c r="G95" s="36" t="s">
        <v>25</v>
      </c>
      <c r="H95" s="36" t="s">
        <v>164</v>
      </c>
      <c r="I95" s="36" t="s">
        <v>111</v>
      </c>
      <c r="J95" s="36" t="s">
        <v>27</v>
      </c>
      <c r="K95" s="36" t="s">
        <v>112</v>
      </c>
      <c r="L95" s="36">
        <v>1</v>
      </c>
      <c r="N95" s="36">
        <v>1</v>
      </c>
      <c r="O95" s="36">
        <v>0.8</v>
      </c>
      <c r="P95" s="36">
        <v>0.8</v>
      </c>
      <c r="Q95" s="114">
        <f t="shared" si="8"/>
        <v>0.8</v>
      </c>
      <c r="R95" s="36">
        <v>14.1</v>
      </c>
      <c r="S95" s="36">
        <v>126</v>
      </c>
      <c r="T95" s="115">
        <f t="shared" si="3"/>
        <v>27</v>
      </c>
      <c r="U95" s="36">
        <v>138</v>
      </c>
      <c r="V95" s="115">
        <f t="shared" si="7"/>
        <v>3726</v>
      </c>
      <c r="W95" s="36">
        <v>5</v>
      </c>
      <c r="X95" s="36" t="s">
        <v>35</v>
      </c>
      <c r="Y95" s="36" t="s">
        <v>43</v>
      </c>
      <c r="Z95" s="36" t="s">
        <v>36</v>
      </c>
      <c r="AA95" s="36" t="s">
        <v>29</v>
      </c>
      <c r="AB95" s="36" t="s">
        <v>178</v>
      </c>
    </row>
    <row r="96" spans="1:28" s="36" customFormat="1" ht="13.5" customHeight="1" x14ac:dyDescent="0.15">
      <c r="A96" s="36" t="s">
        <v>24</v>
      </c>
      <c r="B96" s="36" t="s">
        <v>174</v>
      </c>
      <c r="C96" s="36">
        <v>2020</v>
      </c>
      <c r="D96" s="130" t="s">
        <v>175</v>
      </c>
      <c r="E96" s="36" t="s">
        <v>189</v>
      </c>
      <c r="F96" s="36" t="s">
        <v>190</v>
      </c>
      <c r="G96" s="36" t="s">
        <v>25</v>
      </c>
      <c r="H96" s="36" t="s">
        <v>164</v>
      </c>
      <c r="I96" s="36" t="s">
        <v>111</v>
      </c>
      <c r="J96" s="36" t="s">
        <v>27</v>
      </c>
      <c r="K96" s="36" t="s">
        <v>112</v>
      </c>
      <c r="L96" s="36">
        <v>2</v>
      </c>
      <c r="N96" s="36">
        <v>1</v>
      </c>
      <c r="O96" s="36">
        <v>0.8</v>
      </c>
      <c r="P96" s="36">
        <v>1</v>
      </c>
      <c r="Q96" s="114">
        <f t="shared" si="8"/>
        <v>0.9</v>
      </c>
      <c r="R96" s="36">
        <v>13.2</v>
      </c>
      <c r="S96" s="36">
        <v>131</v>
      </c>
      <c r="T96" s="115">
        <f t="shared" si="3"/>
        <v>25</v>
      </c>
      <c r="U96" s="36">
        <v>138</v>
      </c>
      <c r="V96" s="115">
        <f t="shared" si="7"/>
        <v>3450</v>
      </c>
      <c r="W96" s="36">
        <v>5</v>
      </c>
      <c r="X96" s="36" t="s">
        <v>35</v>
      </c>
      <c r="Y96" s="36" t="s">
        <v>43</v>
      </c>
      <c r="Z96" s="36" t="s">
        <v>36</v>
      </c>
      <c r="AA96" s="36" t="s">
        <v>29</v>
      </c>
      <c r="AB96" s="36" t="s">
        <v>178</v>
      </c>
    </row>
    <row r="97" spans="1:28" s="36" customFormat="1" ht="13.5" customHeight="1" x14ac:dyDescent="0.15">
      <c r="A97" s="36" t="s">
        <v>24</v>
      </c>
      <c r="B97" s="36" t="s">
        <v>174</v>
      </c>
      <c r="C97" s="36">
        <v>2020</v>
      </c>
      <c r="D97" s="130" t="s">
        <v>175</v>
      </c>
      <c r="E97" s="36" t="s">
        <v>189</v>
      </c>
      <c r="F97" s="36" t="s">
        <v>190</v>
      </c>
      <c r="G97" s="36" t="s">
        <v>25</v>
      </c>
      <c r="H97" s="36" t="s">
        <v>164</v>
      </c>
      <c r="I97" s="36" t="s">
        <v>111</v>
      </c>
      <c r="J97" s="36" t="s">
        <v>27</v>
      </c>
      <c r="K97" s="36" t="s">
        <v>112</v>
      </c>
      <c r="L97" s="36">
        <v>3</v>
      </c>
      <c r="N97" s="36">
        <v>1</v>
      </c>
      <c r="O97" s="36">
        <v>0.75</v>
      </c>
      <c r="P97" s="36">
        <v>0.75</v>
      </c>
      <c r="Q97" s="114">
        <f t="shared" si="8"/>
        <v>0.75</v>
      </c>
      <c r="R97" s="36">
        <v>15.9</v>
      </c>
      <c r="S97" s="36">
        <v>131</v>
      </c>
      <c r="T97" s="115">
        <f t="shared" si="3"/>
        <v>25</v>
      </c>
      <c r="U97" s="36">
        <v>138</v>
      </c>
      <c r="V97" s="115">
        <f t="shared" si="7"/>
        <v>3450</v>
      </c>
      <c r="W97" s="36">
        <v>5</v>
      </c>
      <c r="X97" s="36" t="s">
        <v>35</v>
      </c>
      <c r="Y97" s="36" t="s">
        <v>43</v>
      </c>
      <c r="Z97" s="36" t="s">
        <v>36</v>
      </c>
      <c r="AA97" s="36" t="s">
        <v>29</v>
      </c>
      <c r="AB97" s="36" t="s">
        <v>178</v>
      </c>
    </row>
    <row r="98" spans="1:28" s="36" customFormat="1" ht="13.5" customHeight="1" x14ac:dyDescent="0.15">
      <c r="A98" s="36" t="s">
        <v>24</v>
      </c>
      <c r="B98" s="36" t="s">
        <v>174</v>
      </c>
      <c r="C98" s="36">
        <v>2020</v>
      </c>
      <c r="D98" s="130" t="s">
        <v>175</v>
      </c>
      <c r="E98" s="36" t="s">
        <v>189</v>
      </c>
      <c r="F98" s="36" t="s">
        <v>190</v>
      </c>
      <c r="G98" s="36" t="s">
        <v>25</v>
      </c>
      <c r="H98" s="36" t="s">
        <v>164</v>
      </c>
      <c r="I98" s="36" t="s">
        <v>111</v>
      </c>
      <c r="J98" s="36" t="s">
        <v>27</v>
      </c>
      <c r="K98" s="36" t="s">
        <v>112</v>
      </c>
      <c r="L98" s="36">
        <v>1</v>
      </c>
      <c r="N98" s="36">
        <v>4</v>
      </c>
      <c r="O98" s="36">
        <v>1</v>
      </c>
      <c r="P98" s="36">
        <v>0.9</v>
      </c>
      <c r="Q98" s="114">
        <f t="shared" si="8"/>
        <v>0.95</v>
      </c>
      <c r="R98" s="36">
        <v>11.4</v>
      </c>
      <c r="S98" s="36">
        <v>102</v>
      </c>
      <c r="T98" s="115">
        <f t="shared" si="3"/>
        <v>33</v>
      </c>
      <c r="U98" s="36">
        <v>498</v>
      </c>
      <c r="V98" s="115">
        <f t="shared" si="7"/>
        <v>4108.5</v>
      </c>
      <c r="W98" s="36">
        <v>8</v>
      </c>
      <c r="X98" s="36" t="s">
        <v>35</v>
      </c>
      <c r="Y98" s="36" t="s">
        <v>43</v>
      </c>
      <c r="Z98" s="36" t="s">
        <v>36</v>
      </c>
      <c r="AA98" s="36" t="s">
        <v>29</v>
      </c>
      <c r="AB98" s="36" t="s">
        <v>178</v>
      </c>
    </row>
    <row r="99" spans="1:28" s="36" customFormat="1" ht="13.5" customHeight="1" x14ac:dyDescent="0.15">
      <c r="A99" s="36" t="s">
        <v>24</v>
      </c>
      <c r="B99" s="36" t="s">
        <v>174</v>
      </c>
      <c r="C99" s="36">
        <v>2020</v>
      </c>
      <c r="D99" s="130" t="s">
        <v>175</v>
      </c>
      <c r="E99" s="36" t="s">
        <v>189</v>
      </c>
      <c r="F99" s="36" t="s">
        <v>190</v>
      </c>
      <c r="G99" s="36" t="s">
        <v>25</v>
      </c>
      <c r="H99" s="36" t="s">
        <v>164</v>
      </c>
      <c r="I99" s="36" t="s">
        <v>111</v>
      </c>
      <c r="J99" s="36" t="s">
        <v>27</v>
      </c>
      <c r="K99" s="36" t="s">
        <v>112</v>
      </c>
      <c r="L99" s="36">
        <v>2</v>
      </c>
      <c r="N99" s="36">
        <v>4</v>
      </c>
      <c r="O99" s="36">
        <v>1</v>
      </c>
      <c r="P99" s="36">
        <v>1</v>
      </c>
      <c r="Q99" s="114">
        <f t="shared" si="8"/>
        <v>1</v>
      </c>
      <c r="R99" s="36">
        <v>14.4</v>
      </c>
      <c r="S99" s="36">
        <v>105</v>
      </c>
      <c r="T99" s="115">
        <f t="shared" si="3"/>
        <v>33</v>
      </c>
      <c r="U99" s="36">
        <v>498</v>
      </c>
      <c r="V99" s="115">
        <f t="shared" si="7"/>
        <v>4108.5</v>
      </c>
      <c r="W99" s="36">
        <v>8</v>
      </c>
      <c r="X99" s="36" t="s">
        <v>35</v>
      </c>
      <c r="Y99" s="36" t="s">
        <v>43</v>
      </c>
      <c r="Z99" s="36" t="s">
        <v>36</v>
      </c>
      <c r="AA99" s="36" t="s">
        <v>29</v>
      </c>
      <c r="AB99" s="36" t="s">
        <v>178</v>
      </c>
    </row>
    <row r="100" spans="1:28" s="36" customFormat="1" ht="13.5" customHeight="1" x14ac:dyDescent="0.15">
      <c r="A100" s="36" t="s">
        <v>24</v>
      </c>
      <c r="B100" s="36" t="s">
        <v>174</v>
      </c>
      <c r="C100" s="36">
        <v>2020</v>
      </c>
      <c r="D100" s="130" t="s">
        <v>175</v>
      </c>
      <c r="E100" s="36" t="s">
        <v>189</v>
      </c>
      <c r="F100" s="36" t="s">
        <v>190</v>
      </c>
      <c r="G100" s="36" t="s">
        <v>25</v>
      </c>
      <c r="H100" s="36" t="s">
        <v>164</v>
      </c>
      <c r="I100" s="36" t="s">
        <v>111</v>
      </c>
      <c r="J100" s="36" t="s">
        <v>27</v>
      </c>
      <c r="K100" s="36" t="s">
        <v>112</v>
      </c>
      <c r="L100" s="36">
        <v>3</v>
      </c>
      <c r="N100" s="36">
        <v>4</v>
      </c>
      <c r="O100" s="36">
        <v>1.25</v>
      </c>
      <c r="P100" s="36">
        <v>1.2</v>
      </c>
      <c r="Q100" s="114">
        <f t="shared" si="8"/>
        <v>1.2250000000000001</v>
      </c>
      <c r="R100" s="36">
        <v>11.8</v>
      </c>
      <c r="S100" s="36">
        <v>104</v>
      </c>
      <c r="T100" s="115">
        <f t="shared" si="3"/>
        <v>33</v>
      </c>
      <c r="U100" s="36">
        <v>498</v>
      </c>
      <c r="V100" s="115">
        <f t="shared" si="7"/>
        <v>4108.5</v>
      </c>
      <c r="W100" s="36">
        <v>8</v>
      </c>
      <c r="X100" s="36" t="s">
        <v>35</v>
      </c>
      <c r="Y100" s="36" t="s">
        <v>43</v>
      </c>
      <c r="Z100" s="36" t="s">
        <v>36</v>
      </c>
      <c r="AA100" s="36" t="s">
        <v>29</v>
      </c>
      <c r="AB100" s="36" t="s">
        <v>178</v>
      </c>
    </row>
    <row r="101" spans="1:28" s="36" customFormat="1" ht="13.5" customHeight="1" x14ac:dyDescent="0.15">
      <c r="A101" s="36" t="s">
        <v>24</v>
      </c>
      <c r="B101" s="36" t="s">
        <v>174</v>
      </c>
      <c r="C101" s="36">
        <v>2020</v>
      </c>
      <c r="D101" s="130" t="s">
        <v>175</v>
      </c>
      <c r="E101" s="36" t="s">
        <v>195</v>
      </c>
      <c r="F101" s="36" t="s">
        <v>188</v>
      </c>
      <c r="G101" s="36" t="s">
        <v>25</v>
      </c>
      <c r="H101" s="36" t="s">
        <v>113</v>
      </c>
      <c r="I101" s="36" t="s">
        <v>111</v>
      </c>
      <c r="J101" s="36" t="s">
        <v>27</v>
      </c>
      <c r="K101" s="36" t="s">
        <v>112</v>
      </c>
      <c r="L101" s="36">
        <v>1</v>
      </c>
      <c r="N101" s="36">
        <v>1</v>
      </c>
      <c r="O101" s="36">
        <v>1.1000000000000001</v>
      </c>
      <c r="P101" s="36">
        <v>1</v>
      </c>
      <c r="Q101" s="114">
        <f t="shared" si="8"/>
        <v>1.05</v>
      </c>
      <c r="R101" s="36">
        <v>11.9</v>
      </c>
      <c r="S101" s="36">
        <v>119</v>
      </c>
      <c r="T101" s="115">
        <f t="shared" si="3"/>
        <v>30</v>
      </c>
      <c r="U101" s="36">
        <v>98</v>
      </c>
      <c r="V101" s="115">
        <f t="shared" si="7"/>
        <v>2940</v>
      </c>
      <c r="W101" s="36">
        <v>1</v>
      </c>
      <c r="X101" s="36" t="s">
        <v>35</v>
      </c>
      <c r="Y101" s="36" t="s">
        <v>43</v>
      </c>
      <c r="Z101" s="36" t="s">
        <v>29</v>
      </c>
      <c r="AA101" s="36" t="s">
        <v>36</v>
      </c>
      <c r="AB101" s="36" t="s">
        <v>178</v>
      </c>
    </row>
    <row r="102" spans="1:28" s="36" customFormat="1" ht="13.5" customHeight="1" x14ac:dyDescent="0.15">
      <c r="A102" s="36" t="s">
        <v>24</v>
      </c>
      <c r="B102" s="36" t="s">
        <v>174</v>
      </c>
      <c r="C102" s="36">
        <v>2020</v>
      </c>
      <c r="D102" s="130" t="s">
        <v>175</v>
      </c>
      <c r="E102" s="36" t="s">
        <v>195</v>
      </c>
      <c r="F102" s="36" t="s">
        <v>188</v>
      </c>
      <c r="G102" s="36" t="s">
        <v>25</v>
      </c>
      <c r="H102" s="36" t="s">
        <v>113</v>
      </c>
      <c r="I102" s="36" t="s">
        <v>111</v>
      </c>
      <c r="J102" s="36" t="s">
        <v>27</v>
      </c>
      <c r="K102" s="36" t="s">
        <v>112</v>
      </c>
      <c r="L102" s="36">
        <v>2</v>
      </c>
      <c r="N102" s="36">
        <v>1</v>
      </c>
      <c r="O102" s="36">
        <v>1</v>
      </c>
      <c r="P102" s="36">
        <v>1.1000000000000001</v>
      </c>
      <c r="Q102" s="114">
        <f t="shared" si="8"/>
        <v>1.05</v>
      </c>
      <c r="R102" s="36">
        <v>11</v>
      </c>
      <c r="S102" s="36">
        <v>117</v>
      </c>
      <c r="T102" s="115">
        <f t="shared" si="3"/>
        <v>30</v>
      </c>
      <c r="U102" s="36">
        <v>98</v>
      </c>
      <c r="V102" s="115">
        <f t="shared" si="7"/>
        <v>2940</v>
      </c>
      <c r="W102" s="36">
        <v>1</v>
      </c>
      <c r="X102" s="36" t="s">
        <v>35</v>
      </c>
      <c r="Y102" s="36" t="s">
        <v>43</v>
      </c>
      <c r="Z102" s="36" t="s">
        <v>29</v>
      </c>
      <c r="AA102" s="36" t="s">
        <v>36</v>
      </c>
      <c r="AB102" s="36" t="s">
        <v>178</v>
      </c>
    </row>
    <row r="103" spans="1:28" s="36" customFormat="1" ht="13.5" customHeight="1" x14ac:dyDescent="0.15">
      <c r="A103" s="36" t="s">
        <v>24</v>
      </c>
      <c r="B103" s="36" t="s">
        <v>174</v>
      </c>
      <c r="C103" s="36">
        <v>2020</v>
      </c>
      <c r="D103" s="130" t="s">
        <v>175</v>
      </c>
      <c r="E103" s="36" t="s">
        <v>195</v>
      </c>
      <c r="F103" s="36" t="s">
        <v>188</v>
      </c>
      <c r="G103" s="36" t="s">
        <v>25</v>
      </c>
      <c r="H103" s="36" t="s">
        <v>113</v>
      </c>
      <c r="I103" s="36" t="s">
        <v>111</v>
      </c>
      <c r="J103" s="36" t="s">
        <v>27</v>
      </c>
      <c r="K103" s="36" t="s">
        <v>112</v>
      </c>
      <c r="L103" s="36">
        <v>3</v>
      </c>
      <c r="N103" s="36">
        <v>1</v>
      </c>
      <c r="O103" s="36">
        <v>0.7</v>
      </c>
      <c r="P103" s="36">
        <v>1</v>
      </c>
      <c r="Q103" s="114">
        <f t="shared" si="8"/>
        <v>0.85</v>
      </c>
      <c r="R103" s="36">
        <v>12.8</v>
      </c>
      <c r="S103" s="36">
        <v>123</v>
      </c>
      <c r="T103" s="115">
        <f t="shared" si="3"/>
        <v>27</v>
      </c>
      <c r="U103" s="36">
        <v>98</v>
      </c>
      <c r="V103" s="115">
        <f t="shared" si="7"/>
        <v>2646</v>
      </c>
      <c r="W103" s="36">
        <v>1</v>
      </c>
      <c r="X103" s="36" t="s">
        <v>35</v>
      </c>
      <c r="Y103" s="36" t="s">
        <v>43</v>
      </c>
      <c r="Z103" s="36" t="s">
        <v>29</v>
      </c>
      <c r="AA103" s="36" t="s">
        <v>36</v>
      </c>
      <c r="AB103" s="36" t="s">
        <v>178</v>
      </c>
    </row>
    <row r="104" spans="1:28" s="36" customFormat="1" ht="13.5" customHeight="1" x14ac:dyDescent="0.15">
      <c r="A104" s="36" t="s">
        <v>24</v>
      </c>
      <c r="B104" s="36" t="s">
        <v>174</v>
      </c>
      <c r="C104" s="36">
        <v>2020</v>
      </c>
      <c r="D104" s="130" t="s">
        <v>175</v>
      </c>
      <c r="E104" s="36" t="s">
        <v>195</v>
      </c>
      <c r="F104" s="36" t="s">
        <v>188</v>
      </c>
      <c r="G104" s="36" t="s">
        <v>25</v>
      </c>
      <c r="H104" s="36" t="s">
        <v>113</v>
      </c>
      <c r="I104" s="36" t="s">
        <v>111</v>
      </c>
      <c r="J104" s="36" t="s">
        <v>27</v>
      </c>
      <c r="K104" s="36" t="s">
        <v>112</v>
      </c>
      <c r="L104" s="36">
        <v>1</v>
      </c>
      <c r="N104" s="36">
        <v>4</v>
      </c>
      <c r="O104" s="36">
        <v>0.9</v>
      </c>
      <c r="P104" s="36">
        <v>1</v>
      </c>
      <c r="Q104" s="114">
        <f t="shared" si="8"/>
        <v>0.95</v>
      </c>
      <c r="R104" s="36">
        <v>17.899999999999999</v>
      </c>
      <c r="S104" s="36">
        <v>82</v>
      </c>
      <c r="T104" s="115">
        <f t="shared" si="3"/>
        <v>39</v>
      </c>
      <c r="U104" s="36">
        <v>298</v>
      </c>
      <c r="V104" s="115">
        <f t="shared" si="7"/>
        <v>2905.5</v>
      </c>
      <c r="W104" s="36">
        <v>1</v>
      </c>
      <c r="X104" s="36" t="s">
        <v>35</v>
      </c>
      <c r="Y104" s="36" t="s">
        <v>43</v>
      </c>
      <c r="Z104" s="36" t="s">
        <v>29</v>
      </c>
      <c r="AA104" s="36" t="s">
        <v>36</v>
      </c>
      <c r="AB104" s="36" t="s">
        <v>178</v>
      </c>
    </row>
    <row r="105" spans="1:28" s="36" customFormat="1" ht="13.5" customHeight="1" x14ac:dyDescent="0.15">
      <c r="A105" s="36" t="s">
        <v>24</v>
      </c>
      <c r="B105" s="36" t="s">
        <v>174</v>
      </c>
      <c r="C105" s="36">
        <v>2020</v>
      </c>
      <c r="D105" s="130" t="s">
        <v>175</v>
      </c>
      <c r="E105" s="36" t="s">
        <v>195</v>
      </c>
      <c r="F105" s="36" t="s">
        <v>188</v>
      </c>
      <c r="G105" s="36" t="s">
        <v>25</v>
      </c>
      <c r="H105" s="36" t="s">
        <v>113</v>
      </c>
      <c r="I105" s="36" t="s">
        <v>111</v>
      </c>
      <c r="J105" s="36" t="s">
        <v>27</v>
      </c>
      <c r="K105" s="36" t="s">
        <v>112</v>
      </c>
      <c r="L105" s="36">
        <v>2</v>
      </c>
      <c r="N105" s="36">
        <v>4</v>
      </c>
      <c r="O105" s="36">
        <v>0.5</v>
      </c>
      <c r="P105" s="36">
        <v>0.7</v>
      </c>
      <c r="Q105" s="114">
        <f t="shared" si="8"/>
        <v>0.6</v>
      </c>
      <c r="R105" s="36">
        <v>14.8</v>
      </c>
      <c r="S105" s="36">
        <v>85</v>
      </c>
      <c r="T105" s="115">
        <f t="shared" si="3"/>
        <v>36</v>
      </c>
      <c r="U105" s="36">
        <v>298</v>
      </c>
      <c r="V105" s="115">
        <f t="shared" si="7"/>
        <v>2682</v>
      </c>
      <c r="W105" s="36">
        <v>1</v>
      </c>
      <c r="X105" s="36" t="s">
        <v>35</v>
      </c>
      <c r="Y105" s="36" t="s">
        <v>43</v>
      </c>
      <c r="Z105" s="36" t="s">
        <v>29</v>
      </c>
      <c r="AA105" s="36" t="s">
        <v>36</v>
      </c>
      <c r="AB105" s="36" t="s">
        <v>178</v>
      </c>
    </row>
    <row r="106" spans="1:28" s="36" customFormat="1" ht="13.5" customHeight="1" x14ac:dyDescent="0.15">
      <c r="A106" s="36" t="s">
        <v>24</v>
      </c>
      <c r="B106" s="36" t="s">
        <v>174</v>
      </c>
      <c r="C106" s="36">
        <v>2020</v>
      </c>
      <c r="D106" s="130" t="s">
        <v>175</v>
      </c>
      <c r="E106" s="36" t="s">
        <v>195</v>
      </c>
      <c r="F106" s="36" t="s">
        <v>188</v>
      </c>
      <c r="G106" s="36" t="s">
        <v>25</v>
      </c>
      <c r="H106" s="36" t="s">
        <v>113</v>
      </c>
      <c r="I106" s="36" t="s">
        <v>111</v>
      </c>
      <c r="J106" s="36" t="s">
        <v>27</v>
      </c>
      <c r="K106" s="36" t="s">
        <v>112</v>
      </c>
      <c r="L106" s="36">
        <v>3</v>
      </c>
      <c r="N106" s="36">
        <v>4</v>
      </c>
      <c r="O106" s="36">
        <v>0.7</v>
      </c>
      <c r="P106" s="36">
        <v>0.75</v>
      </c>
      <c r="Q106" s="114">
        <f t="shared" si="8"/>
        <v>0.72499999999999998</v>
      </c>
      <c r="R106" s="36">
        <v>10.1</v>
      </c>
      <c r="S106" s="36">
        <v>80</v>
      </c>
      <c r="T106" s="115">
        <f t="shared" si="3"/>
        <v>39</v>
      </c>
      <c r="U106" s="36">
        <v>298</v>
      </c>
      <c r="V106" s="115">
        <f t="shared" si="7"/>
        <v>2905.5</v>
      </c>
      <c r="W106" s="36">
        <v>1</v>
      </c>
      <c r="X106" s="36" t="s">
        <v>35</v>
      </c>
      <c r="Y106" s="36" t="s">
        <v>43</v>
      </c>
      <c r="Z106" s="36" t="s">
        <v>29</v>
      </c>
      <c r="AA106" s="36" t="s">
        <v>36</v>
      </c>
      <c r="AB106" s="36" t="s">
        <v>178</v>
      </c>
    </row>
    <row r="107" spans="1:28" s="36" customFormat="1" ht="13.5" customHeight="1" x14ac:dyDescent="0.15">
      <c r="A107" s="36" t="s">
        <v>24</v>
      </c>
      <c r="B107" s="36" t="s">
        <v>174</v>
      </c>
      <c r="C107" s="36">
        <v>2020</v>
      </c>
      <c r="D107" s="130" t="s">
        <v>175</v>
      </c>
      <c r="E107" s="36" t="s">
        <v>195</v>
      </c>
      <c r="F107" s="36" t="s">
        <v>188</v>
      </c>
      <c r="G107" s="36" t="s">
        <v>25</v>
      </c>
      <c r="H107" s="36" t="s">
        <v>164</v>
      </c>
      <c r="I107" s="36" t="s">
        <v>111</v>
      </c>
      <c r="J107" s="36" t="s">
        <v>27</v>
      </c>
      <c r="K107" s="36" t="s">
        <v>112</v>
      </c>
      <c r="L107" s="36">
        <v>1</v>
      </c>
      <c r="N107" s="36">
        <v>1</v>
      </c>
      <c r="O107" s="36">
        <v>1</v>
      </c>
      <c r="P107" s="36">
        <v>0.9</v>
      </c>
      <c r="Q107" s="114">
        <f t="shared" si="8"/>
        <v>0.95</v>
      </c>
      <c r="R107" s="36">
        <v>17.3</v>
      </c>
      <c r="S107" s="36">
        <v>119</v>
      </c>
      <c r="T107" s="115">
        <f t="shared" si="3"/>
        <v>30</v>
      </c>
      <c r="U107" s="36">
        <v>98</v>
      </c>
      <c r="V107" s="115">
        <f t="shared" si="7"/>
        <v>2940</v>
      </c>
      <c r="W107" s="36">
        <v>4</v>
      </c>
      <c r="X107" s="36" t="s">
        <v>35</v>
      </c>
      <c r="Y107" s="36" t="s">
        <v>43</v>
      </c>
      <c r="Z107" s="36" t="s">
        <v>29</v>
      </c>
      <c r="AA107" s="36" t="s">
        <v>36</v>
      </c>
      <c r="AB107" s="36" t="s">
        <v>178</v>
      </c>
    </row>
    <row r="108" spans="1:28" s="36" customFormat="1" ht="13.5" customHeight="1" x14ac:dyDescent="0.15">
      <c r="A108" s="36" t="s">
        <v>24</v>
      </c>
      <c r="B108" s="36" t="s">
        <v>174</v>
      </c>
      <c r="C108" s="36">
        <v>2020</v>
      </c>
      <c r="D108" s="130" t="s">
        <v>175</v>
      </c>
      <c r="E108" s="36" t="s">
        <v>195</v>
      </c>
      <c r="F108" s="36" t="s">
        <v>188</v>
      </c>
      <c r="G108" s="36" t="s">
        <v>25</v>
      </c>
      <c r="H108" s="36" t="s">
        <v>164</v>
      </c>
      <c r="I108" s="36" t="s">
        <v>111</v>
      </c>
      <c r="J108" s="36" t="s">
        <v>27</v>
      </c>
      <c r="K108" s="36" t="s">
        <v>112</v>
      </c>
      <c r="L108" s="36">
        <v>2</v>
      </c>
      <c r="N108" s="36">
        <v>1</v>
      </c>
      <c r="O108" s="36">
        <v>1.25</v>
      </c>
      <c r="P108" s="36">
        <v>1.25</v>
      </c>
      <c r="Q108" s="114">
        <f t="shared" si="8"/>
        <v>1.25</v>
      </c>
      <c r="R108" s="36">
        <v>11</v>
      </c>
      <c r="S108" s="36">
        <v>121</v>
      </c>
      <c r="T108" s="115">
        <f t="shared" si="3"/>
        <v>27</v>
      </c>
      <c r="U108" s="36">
        <v>98</v>
      </c>
      <c r="V108" s="115">
        <f t="shared" si="7"/>
        <v>2646</v>
      </c>
      <c r="W108" s="36">
        <v>4</v>
      </c>
      <c r="X108" s="36" t="s">
        <v>35</v>
      </c>
      <c r="Y108" s="36" t="s">
        <v>43</v>
      </c>
      <c r="Z108" s="36" t="s">
        <v>29</v>
      </c>
      <c r="AA108" s="36" t="s">
        <v>36</v>
      </c>
      <c r="AB108" s="36" t="s">
        <v>178</v>
      </c>
    </row>
    <row r="109" spans="1:28" s="36" customFormat="1" ht="13.5" customHeight="1" x14ac:dyDescent="0.15">
      <c r="A109" s="36" t="s">
        <v>24</v>
      </c>
      <c r="B109" s="36" t="s">
        <v>174</v>
      </c>
      <c r="C109" s="36">
        <v>2020</v>
      </c>
      <c r="D109" s="130" t="s">
        <v>175</v>
      </c>
      <c r="E109" s="36" t="s">
        <v>195</v>
      </c>
      <c r="F109" s="36" t="s">
        <v>188</v>
      </c>
      <c r="G109" s="36" t="s">
        <v>25</v>
      </c>
      <c r="H109" s="36" t="s">
        <v>164</v>
      </c>
      <c r="I109" s="36" t="s">
        <v>111</v>
      </c>
      <c r="J109" s="36" t="s">
        <v>27</v>
      </c>
      <c r="K109" s="36" t="s">
        <v>112</v>
      </c>
      <c r="L109" s="36">
        <v>3</v>
      </c>
      <c r="N109" s="36">
        <v>1</v>
      </c>
      <c r="O109" s="36">
        <v>0.75</v>
      </c>
      <c r="P109" s="36">
        <v>1</v>
      </c>
      <c r="Q109" s="114">
        <f t="shared" si="8"/>
        <v>0.875</v>
      </c>
      <c r="R109" s="36">
        <v>15.7</v>
      </c>
      <c r="S109" s="36">
        <v>118</v>
      </c>
      <c r="T109" s="115">
        <f t="shared" si="3"/>
        <v>30</v>
      </c>
      <c r="U109" s="36">
        <v>98</v>
      </c>
      <c r="V109" s="115">
        <f t="shared" si="7"/>
        <v>2940</v>
      </c>
      <c r="W109" s="36">
        <v>4</v>
      </c>
      <c r="X109" s="36" t="s">
        <v>35</v>
      </c>
      <c r="Y109" s="36" t="s">
        <v>43</v>
      </c>
      <c r="Z109" s="36" t="s">
        <v>29</v>
      </c>
      <c r="AA109" s="36" t="s">
        <v>36</v>
      </c>
      <c r="AB109" s="36" t="s">
        <v>178</v>
      </c>
    </row>
    <row r="110" spans="1:28" s="36" customFormat="1" ht="13.5" customHeight="1" x14ac:dyDescent="0.15">
      <c r="A110" s="36" t="s">
        <v>24</v>
      </c>
      <c r="B110" s="36" t="s">
        <v>174</v>
      </c>
      <c r="C110" s="36">
        <v>2020</v>
      </c>
      <c r="D110" s="130" t="s">
        <v>175</v>
      </c>
      <c r="E110" s="36" t="s">
        <v>195</v>
      </c>
      <c r="F110" s="36" t="s">
        <v>188</v>
      </c>
      <c r="G110" s="36" t="s">
        <v>25</v>
      </c>
      <c r="H110" s="36" t="s">
        <v>164</v>
      </c>
      <c r="I110" s="36" t="s">
        <v>111</v>
      </c>
      <c r="J110" s="36" t="s">
        <v>27</v>
      </c>
      <c r="K110" s="36" t="s">
        <v>112</v>
      </c>
      <c r="L110" s="36">
        <v>1</v>
      </c>
      <c r="N110" s="36">
        <v>6</v>
      </c>
      <c r="O110" s="36">
        <v>1.2</v>
      </c>
      <c r="P110" s="36">
        <v>1.25</v>
      </c>
      <c r="Q110" s="114">
        <f t="shared" si="8"/>
        <v>1.2250000000000001</v>
      </c>
      <c r="R110" s="36">
        <v>14.1</v>
      </c>
      <c r="S110" s="36">
        <v>123</v>
      </c>
      <c r="T110" s="115">
        <f t="shared" si="3"/>
        <v>27</v>
      </c>
      <c r="U110" s="36">
        <v>550</v>
      </c>
      <c r="V110" s="115">
        <f t="shared" si="7"/>
        <v>2475</v>
      </c>
      <c r="W110" s="36">
        <v>2</v>
      </c>
      <c r="X110" s="36" t="s">
        <v>35</v>
      </c>
      <c r="Y110" s="36" t="s">
        <v>43</v>
      </c>
      <c r="Z110" s="36" t="s">
        <v>29</v>
      </c>
      <c r="AA110" s="36" t="s">
        <v>36</v>
      </c>
      <c r="AB110" s="36" t="s">
        <v>178</v>
      </c>
    </row>
    <row r="111" spans="1:28" s="36" customFormat="1" ht="13.5" customHeight="1" x14ac:dyDescent="0.15">
      <c r="A111" s="36" t="s">
        <v>24</v>
      </c>
      <c r="B111" s="36" t="s">
        <v>174</v>
      </c>
      <c r="C111" s="36">
        <v>2020</v>
      </c>
      <c r="D111" s="130" t="s">
        <v>175</v>
      </c>
      <c r="E111" s="36" t="s">
        <v>195</v>
      </c>
      <c r="F111" s="36" t="s">
        <v>188</v>
      </c>
      <c r="G111" s="36" t="s">
        <v>25</v>
      </c>
      <c r="H111" s="36" t="s">
        <v>164</v>
      </c>
      <c r="I111" s="36" t="s">
        <v>111</v>
      </c>
      <c r="J111" s="36" t="s">
        <v>27</v>
      </c>
      <c r="K111" s="36" t="s">
        <v>112</v>
      </c>
      <c r="L111" s="36">
        <v>2</v>
      </c>
      <c r="N111" s="36">
        <v>6</v>
      </c>
      <c r="O111" s="36">
        <v>1.2</v>
      </c>
      <c r="P111" s="36">
        <v>1.3</v>
      </c>
      <c r="Q111" s="114">
        <f t="shared" si="8"/>
        <v>1.25</v>
      </c>
      <c r="R111" s="36">
        <v>12.2</v>
      </c>
      <c r="S111" s="36">
        <v>116</v>
      </c>
      <c r="T111" s="115">
        <f t="shared" si="3"/>
        <v>30</v>
      </c>
      <c r="U111" s="36">
        <v>550</v>
      </c>
      <c r="V111" s="115">
        <f t="shared" si="7"/>
        <v>2750</v>
      </c>
      <c r="W111" s="36">
        <v>2</v>
      </c>
      <c r="X111" s="36" t="s">
        <v>35</v>
      </c>
      <c r="Y111" s="36" t="s">
        <v>43</v>
      </c>
      <c r="Z111" s="36" t="s">
        <v>29</v>
      </c>
      <c r="AA111" s="36" t="s">
        <v>36</v>
      </c>
      <c r="AB111" s="36" t="s">
        <v>178</v>
      </c>
    </row>
    <row r="112" spans="1:28" s="36" customFormat="1" ht="13.5" customHeight="1" x14ac:dyDescent="0.15">
      <c r="A112" s="36" t="s">
        <v>24</v>
      </c>
      <c r="B112" s="36" t="s">
        <v>174</v>
      </c>
      <c r="C112" s="36">
        <v>2020</v>
      </c>
      <c r="D112" s="130" t="s">
        <v>175</v>
      </c>
      <c r="E112" s="36" t="s">
        <v>195</v>
      </c>
      <c r="F112" s="36" t="s">
        <v>188</v>
      </c>
      <c r="G112" s="36" t="s">
        <v>25</v>
      </c>
      <c r="H112" s="36" t="s">
        <v>164</v>
      </c>
      <c r="I112" s="36" t="s">
        <v>111</v>
      </c>
      <c r="J112" s="36" t="s">
        <v>27</v>
      </c>
      <c r="K112" s="36" t="s">
        <v>112</v>
      </c>
      <c r="L112" s="36">
        <v>3</v>
      </c>
      <c r="N112" s="36">
        <v>6</v>
      </c>
      <c r="O112" s="36">
        <v>1.5</v>
      </c>
      <c r="P112" s="36">
        <v>1.3</v>
      </c>
      <c r="Q112" s="114">
        <f t="shared" si="8"/>
        <v>1.4</v>
      </c>
      <c r="R112" s="36">
        <v>17.100000000000001</v>
      </c>
      <c r="S112" s="36">
        <v>119</v>
      </c>
      <c r="T112" s="115">
        <f t="shared" si="3"/>
        <v>30</v>
      </c>
      <c r="U112" s="36">
        <v>550</v>
      </c>
      <c r="V112" s="115">
        <f t="shared" si="7"/>
        <v>2750</v>
      </c>
      <c r="W112" s="36">
        <v>2</v>
      </c>
      <c r="X112" s="36" t="s">
        <v>35</v>
      </c>
      <c r="Y112" s="36" t="s">
        <v>43</v>
      </c>
      <c r="Z112" s="36" t="s">
        <v>29</v>
      </c>
      <c r="AA112" s="36" t="s">
        <v>36</v>
      </c>
      <c r="AB112" s="36" t="s">
        <v>178</v>
      </c>
    </row>
    <row r="113" spans="1:28" s="36" customFormat="1" ht="13.5" customHeight="1" x14ac:dyDescent="0.15">
      <c r="A113" s="36" t="s">
        <v>24</v>
      </c>
      <c r="B113" s="36" t="s">
        <v>174</v>
      </c>
      <c r="C113" s="36">
        <v>2020</v>
      </c>
      <c r="D113" s="130" t="s">
        <v>175</v>
      </c>
      <c r="E113" s="36" t="s">
        <v>195</v>
      </c>
      <c r="F113" s="36" t="s">
        <v>188</v>
      </c>
      <c r="G113" s="36" t="s">
        <v>25</v>
      </c>
      <c r="H113" s="36" t="s">
        <v>164</v>
      </c>
      <c r="I113" s="36" t="s">
        <v>170</v>
      </c>
      <c r="J113" s="36" t="s">
        <v>27</v>
      </c>
      <c r="K113" s="36" t="s">
        <v>112</v>
      </c>
      <c r="L113" s="36">
        <v>1</v>
      </c>
      <c r="N113" s="36">
        <v>4</v>
      </c>
      <c r="O113" s="36">
        <v>1</v>
      </c>
      <c r="P113" s="36">
        <v>0.8</v>
      </c>
      <c r="Q113" s="114">
        <f t="shared" si="8"/>
        <v>0.9</v>
      </c>
      <c r="R113" s="36">
        <v>13.4</v>
      </c>
      <c r="S113" s="36">
        <v>94</v>
      </c>
      <c r="T113" s="115">
        <f t="shared" si="3"/>
        <v>36</v>
      </c>
      <c r="U113" s="36">
        <v>580</v>
      </c>
      <c r="V113" s="115">
        <f t="shared" si="7"/>
        <v>5220</v>
      </c>
      <c r="W113" s="36">
        <v>2</v>
      </c>
      <c r="X113" s="36" t="s">
        <v>35</v>
      </c>
      <c r="Y113" s="36" t="s">
        <v>43</v>
      </c>
      <c r="Z113" s="36" t="s">
        <v>29</v>
      </c>
      <c r="AA113" s="36" t="s">
        <v>36</v>
      </c>
      <c r="AB113" s="36" t="s">
        <v>178</v>
      </c>
    </row>
    <row r="114" spans="1:28" s="36" customFormat="1" ht="13.5" customHeight="1" x14ac:dyDescent="0.15">
      <c r="A114" s="36" t="s">
        <v>24</v>
      </c>
      <c r="B114" s="36" t="s">
        <v>174</v>
      </c>
      <c r="C114" s="36">
        <v>2020</v>
      </c>
      <c r="D114" s="130" t="s">
        <v>175</v>
      </c>
      <c r="E114" s="36" t="s">
        <v>195</v>
      </c>
      <c r="F114" s="36" t="s">
        <v>188</v>
      </c>
      <c r="G114" s="36" t="s">
        <v>25</v>
      </c>
      <c r="H114" s="36" t="s">
        <v>164</v>
      </c>
      <c r="I114" s="36" t="s">
        <v>170</v>
      </c>
      <c r="J114" s="36" t="s">
        <v>27</v>
      </c>
      <c r="K114" s="36" t="s">
        <v>112</v>
      </c>
      <c r="L114" s="36">
        <v>2</v>
      </c>
      <c r="N114" s="36">
        <v>4</v>
      </c>
      <c r="O114" s="36">
        <v>1.25</v>
      </c>
      <c r="P114" s="36">
        <v>1.2</v>
      </c>
      <c r="Q114" s="114">
        <f t="shared" si="8"/>
        <v>1.2250000000000001</v>
      </c>
      <c r="R114" s="36">
        <v>13.4</v>
      </c>
      <c r="S114" s="36">
        <v>96</v>
      </c>
      <c r="T114" s="115">
        <f t="shared" si="3"/>
        <v>36</v>
      </c>
      <c r="U114" s="36">
        <v>580</v>
      </c>
      <c r="V114" s="115">
        <f t="shared" si="7"/>
        <v>5220</v>
      </c>
      <c r="W114" s="36">
        <v>2</v>
      </c>
      <c r="X114" s="36" t="s">
        <v>35</v>
      </c>
      <c r="Y114" s="36" t="s">
        <v>43</v>
      </c>
      <c r="Z114" s="36" t="s">
        <v>29</v>
      </c>
      <c r="AA114" s="36" t="s">
        <v>36</v>
      </c>
      <c r="AB114" s="36" t="s">
        <v>178</v>
      </c>
    </row>
    <row r="115" spans="1:28" s="36" customFormat="1" ht="13.5" customHeight="1" x14ac:dyDescent="0.15">
      <c r="A115" s="36" t="s">
        <v>24</v>
      </c>
      <c r="B115" s="36" t="s">
        <v>174</v>
      </c>
      <c r="C115" s="36">
        <v>2020</v>
      </c>
      <c r="D115" s="130" t="s">
        <v>175</v>
      </c>
      <c r="E115" s="36" t="s">
        <v>195</v>
      </c>
      <c r="F115" s="36" t="s">
        <v>188</v>
      </c>
      <c r="G115" s="36" t="s">
        <v>25</v>
      </c>
      <c r="H115" s="36" t="s">
        <v>164</v>
      </c>
      <c r="I115" s="36" t="s">
        <v>170</v>
      </c>
      <c r="J115" s="36" t="s">
        <v>27</v>
      </c>
      <c r="K115" s="36" t="s">
        <v>112</v>
      </c>
      <c r="L115" s="36">
        <v>3</v>
      </c>
      <c r="N115" s="36">
        <v>4</v>
      </c>
      <c r="O115" s="36">
        <v>1</v>
      </c>
      <c r="P115" s="36">
        <v>0.8</v>
      </c>
      <c r="Q115" s="114">
        <f t="shared" si="8"/>
        <v>0.9</v>
      </c>
      <c r="R115" s="36">
        <v>10.3</v>
      </c>
      <c r="S115" s="36">
        <v>97</v>
      </c>
      <c r="T115" s="115">
        <f t="shared" si="3"/>
        <v>36</v>
      </c>
      <c r="U115" s="36">
        <v>580</v>
      </c>
      <c r="V115" s="115">
        <f t="shared" si="7"/>
        <v>5220</v>
      </c>
      <c r="W115" s="36">
        <v>2</v>
      </c>
      <c r="X115" s="36" t="s">
        <v>35</v>
      </c>
      <c r="Y115" s="36" t="s">
        <v>43</v>
      </c>
      <c r="Z115" s="36" t="s">
        <v>29</v>
      </c>
      <c r="AA115" s="36" t="s">
        <v>36</v>
      </c>
      <c r="AB115" s="36" t="s">
        <v>178</v>
      </c>
    </row>
    <row r="116" spans="1:28" s="36" customFormat="1" ht="13.5" customHeight="1" x14ac:dyDescent="0.15">
      <c r="A116" s="36" t="s">
        <v>24</v>
      </c>
      <c r="B116" s="36" t="s">
        <v>174</v>
      </c>
      <c r="C116" s="36">
        <v>2020</v>
      </c>
      <c r="D116" s="130" t="s">
        <v>175</v>
      </c>
      <c r="E116" s="36" t="s">
        <v>197</v>
      </c>
      <c r="F116" s="36" t="s">
        <v>194</v>
      </c>
      <c r="G116" s="36" t="s">
        <v>25</v>
      </c>
      <c r="H116" s="36" t="s">
        <v>113</v>
      </c>
      <c r="I116" s="36" t="s">
        <v>111</v>
      </c>
      <c r="J116" s="36" t="s">
        <v>27</v>
      </c>
      <c r="K116" s="36" t="s">
        <v>112</v>
      </c>
      <c r="L116" s="36">
        <v>1</v>
      </c>
      <c r="N116" s="36">
        <v>1</v>
      </c>
      <c r="O116" s="36">
        <v>0.9</v>
      </c>
      <c r="P116" s="36">
        <v>0.8</v>
      </c>
      <c r="Q116" s="114">
        <f t="shared" si="8"/>
        <v>0.85000000000000009</v>
      </c>
      <c r="R116" s="36">
        <v>11.3</v>
      </c>
      <c r="S116" s="36">
        <v>96</v>
      </c>
      <c r="T116" s="115">
        <f t="shared" si="3"/>
        <v>36</v>
      </c>
      <c r="U116" s="36">
        <v>98</v>
      </c>
      <c r="V116" s="115">
        <f t="shared" si="7"/>
        <v>3528</v>
      </c>
      <c r="W116" s="36">
        <v>2</v>
      </c>
      <c r="X116" s="36" t="s">
        <v>35</v>
      </c>
      <c r="Y116" s="36" t="s">
        <v>76</v>
      </c>
      <c r="Z116" s="36" t="s">
        <v>36</v>
      </c>
      <c r="AA116" s="36" t="s">
        <v>43</v>
      </c>
      <c r="AB116" s="36" t="s">
        <v>178</v>
      </c>
    </row>
    <row r="117" spans="1:28" s="36" customFormat="1" ht="13.5" customHeight="1" x14ac:dyDescent="0.15">
      <c r="A117" s="36" t="s">
        <v>24</v>
      </c>
      <c r="B117" s="36" t="s">
        <v>174</v>
      </c>
      <c r="C117" s="36">
        <v>2020</v>
      </c>
      <c r="D117" s="130" t="s">
        <v>175</v>
      </c>
      <c r="E117" s="36" t="s">
        <v>197</v>
      </c>
      <c r="F117" s="36" t="s">
        <v>194</v>
      </c>
      <c r="G117" s="36" t="s">
        <v>25</v>
      </c>
      <c r="H117" s="36" t="s">
        <v>113</v>
      </c>
      <c r="I117" s="36" t="s">
        <v>111</v>
      </c>
      <c r="J117" s="36" t="s">
        <v>27</v>
      </c>
      <c r="K117" s="36" t="s">
        <v>112</v>
      </c>
      <c r="L117" s="36">
        <v>2</v>
      </c>
      <c r="N117" s="36">
        <v>1</v>
      </c>
      <c r="O117" s="36">
        <v>1.25</v>
      </c>
      <c r="P117" s="36">
        <v>1.3</v>
      </c>
      <c r="Q117" s="114">
        <f t="shared" si="8"/>
        <v>1.2749999999999999</v>
      </c>
      <c r="R117" s="36">
        <v>13.1</v>
      </c>
      <c r="S117" s="36">
        <v>101</v>
      </c>
      <c r="T117" s="115">
        <f t="shared" si="3"/>
        <v>33</v>
      </c>
      <c r="U117" s="36">
        <v>98</v>
      </c>
      <c r="V117" s="115">
        <f t="shared" si="7"/>
        <v>3234</v>
      </c>
      <c r="W117" s="36">
        <v>2</v>
      </c>
      <c r="X117" s="36" t="s">
        <v>35</v>
      </c>
      <c r="Y117" s="36" t="s">
        <v>76</v>
      </c>
      <c r="Z117" s="36" t="s">
        <v>36</v>
      </c>
      <c r="AA117" s="36" t="s">
        <v>43</v>
      </c>
      <c r="AB117" s="36" t="s">
        <v>178</v>
      </c>
    </row>
    <row r="118" spans="1:28" s="36" customFormat="1" ht="13.5" customHeight="1" x14ac:dyDescent="0.15">
      <c r="A118" s="36" t="s">
        <v>24</v>
      </c>
      <c r="B118" s="36" t="s">
        <v>174</v>
      </c>
      <c r="C118" s="36">
        <v>2020</v>
      </c>
      <c r="D118" s="130" t="s">
        <v>175</v>
      </c>
      <c r="E118" s="36" t="s">
        <v>197</v>
      </c>
      <c r="F118" s="36" t="s">
        <v>194</v>
      </c>
      <c r="G118" s="36" t="s">
        <v>25</v>
      </c>
      <c r="H118" s="36" t="s">
        <v>113</v>
      </c>
      <c r="I118" s="36" t="s">
        <v>111</v>
      </c>
      <c r="J118" s="36" t="s">
        <v>27</v>
      </c>
      <c r="K118" s="36" t="s">
        <v>112</v>
      </c>
      <c r="L118" s="36">
        <v>3</v>
      </c>
      <c r="N118" s="36">
        <v>1</v>
      </c>
      <c r="O118" s="36">
        <v>1.3</v>
      </c>
      <c r="P118" s="36">
        <v>1.3</v>
      </c>
      <c r="Q118" s="114">
        <f t="shared" si="8"/>
        <v>1.3</v>
      </c>
      <c r="R118" s="36">
        <v>13.7</v>
      </c>
      <c r="S118" s="36">
        <v>96</v>
      </c>
      <c r="T118" s="115">
        <f t="shared" si="3"/>
        <v>36</v>
      </c>
      <c r="U118" s="36">
        <v>98</v>
      </c>
      <c r="V118" s="115">
        <f t="shared" si="7"/>
        <v>3528</v>
      </c>
      <c r="W118" s="36">
        <v>2</v>
      </c>
      <c r="X118" s="36" t="s">
        <v>35</v>
      </c>
      <c r="Y118" s="36" t="s">
        <v>76</v>
      </c>
      <c r="Z118" s="36" t="s">
        <v>36</v>
      </c>
      <c r="AA118" s="36" t="s">
        <v>43</v>
      </c>
      <c r="AB118" s="36" t="s">
        <v>178</v>
      </c>
    </row>
    <row r="119" spans="1:28" s="36" customFormat="1" ht="13.5" customHeight="1" x14ac:dyDescent="0.15">
      <c r="A119" s="36" t="s">
        <v>24</v>
      </c>
      <c r="B119" s="36" t="s">
        <v>174</v>
      </c>
      <c r="C119" s="36">
        <v>2020</v>
      </c>
      <c r="D119" s="130" t="s">
        <v>175</v>
      </c>
      <c r="E119" s="36" t="s">
        <v>197</v>
      </c>
      <c r="F119" s="36" t="s">
        <v>194</v>
      </c>
      <c r="G119" s="36" t="s">
        <v>25</v>
      </c>
      <c r="H119" s="36" t="s">
        <v>113</v>
      </c>
      <c r="I119" s="36" t="s">
        <v>111</v>
      </c>
      <c r="J119" s="36" t="s">
        <v>27</v>
      </c>
      <c r="K119" s="36" t="s">
        <v>112</v>
      </c>
      <c r="L119" s="36">
        <v>1</v>
      </c>
      <c r="N119" s="36">
        <v>4</v>
      </c>
      <c r="O119" s="36">
        <v>1.2</v>
      </c>
      <c r="P119" s="36">
        <v>1</v>
      </c>
      <c r="Q119" s="114">
        <f t="shared" si="8"/>
        <v>1.1000000000000001</v>
      </c>
      <c r="R119" s="36">
        <v>10.6</v>
      </c>
      <c r="S119" s="36">
        <v>121</v>
      </c>
      <c r="T119" s="115">
        <f t="shared" si="3"/>
        <v>27</v>
      </c>
      <c r="U119" s="36">
        <v>398</v>
      </c>
      <c r="V119" s="115">
        <f t="shared" si="7"/>
        <v>2686.5</v>
      </c>
      <c r="W119" s="36">
        <v>2</v>
      </c>
      <c r="X119" s="36" t="s">
        <v>35</v>
      </c>
      <c r="Y119" s="36" t="s">
        <v>76</v>
      </c>
      <c r="Z119" s="36" t="s">
        <v>36</v>
      </c>
      <c r="AA119" s="36" t="s">
        <v>43</v>
      </c>
      <c r="AB119" s="36" t="s">
        <v>178</v>
      </c>
    </row>
    <row r="120" spans="1:28" s="36" customFormat="1" ht="13.5" customHeight="1" x14ac:dyDescent="0.15">
      <c r="A120" s="36" t="s">
        <v>24</v>
      </c>
      <c r="B120" s="36" t="s">
        <v>174</v>
      </c>
      <c r="C120" s="36">
        <v>2020</v>
      </c>
      <c r="D120" s="130" t="s">
        <v>175</v>
      </c>
      <c r="E120" s="36" t="s">
        <v>197</v>
      </c>
      <c r="F120" s="36" t="s">
        <v>194</v>
      </c>
      <c r="G120" s="36" t="s">
        <v>25</v>
      </c>
      <c r="H120" s="36" t="s">
        <v>113</v>
      </c>
      <c r="I120" s="36" t="s">
        <v>111</v>
      </c>
      <c r="J120" s="36" t="s">
        <v>27</v>
      </c>
      <c r="K120" s="36" t="s">
        <v>112</v>
      </c>
      <c r="L120" s="36">
        <v>2</v>
      </c>
      <c r="N120" s="36">
        <v>4</v>
      </c>
      <c r="O120" s="36">
        <v>1.3</v>
      </c>
      <c r="P120" s="36">
        <v>1.3</v>
      </c>
      <c r="Q120" s="114">
        <f t="shared" si="8"/>
        <v>1.3</v>
      </c>
      <c r="R120" s="36">
        <v>11.4</v>
      </c>
      <c r="S120" s="36">
        <v>119</v>
      </c>
      <c r="T120" s="115">
        <f t="shared" si="3"/>
        <v>30</v>
      </c>
      <c r="U120" s="36">
        <v>398</v>
      </c>
      <c r="V120" s="115">
        <f t="shared" si="7"/>
        <v>2985</v>
      </c>
      <c r="W120" s="36">
        <v>2</v>
      </c>
      <c r="X120" s="36" t="s">
        <v>35</v>
      </c>
      <c r="Y120" s="36" t="s">
        <v>76</v>
      </c>
      <c r="Z120" s="36" t="s">
        <v>36</v>
      </c>
      <c r="AA120" s="36" t="s">
        <v>43</v>
      </c>
      <c r="AB120" s="36" t="s">
        <v>178</v>
      </c>
    </row>
    <row r="121" spans="1:28" s="36" customFormat="1" ht="13.5" customHeight="1" x14ac:dyDescent="0.15">
      <c r="A121" s="36" t="s">
        <v>24</v>
      </c>
      <c r="B121" s="36" t="s">
        <v>174</v>
      </c>
      <c r="C121" s="36">
        <v>2020</v>
      </c>
      <c r="D121" s="130" t="s">
        <v>175</v>
      </c>
      <c r="E121" s="36" t="s">
        <v>197</v>
      </c>
      <c r="F121" s="36" t="s">
        <v>194</v>
      </c>
      <c r="G121" s="36" t="s">
        <v>25</v>
      </c>
      <c r="H121" s="36" t="s">
        <v>113</v>
      </c>
      <c r="I121" s="36" t="s">
        <v>111</v>
      </c>
      <c r="J121" s="36" t="s">
        <v>27</v>
      </c>
      <c r="K121" s="36" t="s">
        <v>112</v>
      </c>
      <c r="L121" s="36">
        <v>3</v>
      </c>
      <c r="N121" s="36">
        <v>4</v>
      </c>
      <c r="O121" s="36">
        <v>1.5</v>
      </c>
      <c r="P121" s="36">
        <v>1.7</v>
      </c>
      <c r="Q121" s="127">
        <f t="shared" si="8"/>
        <v>1.6</v>
      </c>
      <c r="R121" s="36">
        <v>11.1</v>
      </c>
      <c r="S121" s="36">
        <v>126</v>
      </c>
      <c r="T121" s="115">
        <f t="shared" si="3"/>
        <v>27</v>
      </c>
      <c r="U121" s="36">
        <v>398</v>
      </c>
      <c r="V121" s="115">
        <f t="shared" si="7"/>
        <v>2686.5</v>
      </c>
      <c r="W121" s="36">
        <v>2</v>
      </c>
      <c r="X121" s="36" t="s">
        <v>35</v>
      </c>
      <c r="Y121" s="36" t="s">
        <v>76</v>
      </c>
      <c r="Z121" s="36" t="s">
        <v>36</v>
      </c>
      <c r="AA121" s="36" t="s">
        <v>43</v>
      </c>
      <c r="AB121" s="36" t="s">
        <v>178</v>
      </c>
    </row>
    <row r="122" spans="1:28" s="36" customFormat="1" ht="13.5" customHeight="1" x14ac:dyDescent="0.15">
      <c r="A122" s="36" t="s">
        <v>24</v>
      </c>
      <c r="B122" s="36" t="s">
        <v>174</v>
      </c>
      <c r="C122" s="36">
        <v>2020</v>
      </c>
      <c r="D122" s="130" t="s">
        <v>175</v>
      </c>
      <c r="E122" s="36" t="s">
        <v>197</v>
      </c>
      <c r="F122" s="36" t="s">
        <v>194</v>
      </c>
      <c r="G122" s="36" t="s">
        <v>25</v>
      </c>
      <c r="H122" s="36" t="s">
        <v>164</v>
      </c>
      <c r="I122" s="36" t="s">
        <v>111</v>
      </c>
      <c r="J122" s="36" t="s">
        <v>27</v>
      </c>
      <c r="K122" s="36" t="s">
        <v>112</v>
      </c>
      <c r="L122" s="36">
        <v>1</v>
      </c>
      <c r="N122" s="36">
        <v>1</v>
      </c>
      <c r="O122" s="36">
        <v>0.8</v>
      </c>
      <c r="P122" s="36">
        <v>0.9</v>
      </c>
      <c r="Q122" s="127">
        <f t="shared" si="8"/>
        <v>0.85000000000000009</v>
      </c>
      <c r="R122" s="36">
        <v>13.8</v>
      </c>
      <c r="S122" s="36">
        <v>110</v>
      </c>
      <c r="T122" s="115">
        <f t="shared" si="3"/>
        <v>33</v>
      </c>
      <c r="U122" s="36">
        <v>98</v>
      </c>
      <c r="V122" s="115">
        <f t="shared" si="7"/>
        <v>3234</v>
      </c>
      <c r="W122" s="36">
        <v>2</v>
      </c>
      <c r="X122" s="36" t="s">
        <v>35</v>
      </c>
      <c r="Y122" s="36" t="s">
        <v>76</v>
      </c>
      <c r="Z122" s="36" t="s">
        <v>36</v>
      </c>
      <c r="AA122" s="36" t="s">
        <v>43</v>
      </c>
      <c r="AB122" s="36" t="s">
        <v>178</v>
      </c>
    </row>
    <row r="123" spans="1:28" s="36" customFormat="1" ht="13.5" customHeight="1" x14ac:dyDescent="0.15">
      <c r="A123" s="36" t="s">
        <v>24</v>
      </c>
      <c r="B123" s="36" t="s">
        <v>174</v>
      </c>
      <c r="C123" s="36">
        <v>2020</v>
      </c>
      <c r="D123" s="130" t="s">
        <v>175</v>
      </c>
      <c r="E123" s="36" t="s">
        <v>197</v>
      </c>
      <c r="F123" s="36" t="s">
        <v>194</v>
      </c>
      <c r="G123" s="36" t="s">
        <v>25</v>
      </c>
      <c r="H123" s="36" t="s">
        <v>164</v>
      </c>
      <c r="I123" s="36" t="s">
        <v>111</v>
      </c>
      <c r="J123" s="36" t="s">
        <v>27</v>
      </c>
      <c r="K123" s="36" t="s">
        <v>112</v>
      </c>
      <c r="L123" s="36">
        <v>2</v>
      </c>
      <c r="N123" s="36">
        <v>1</v>
      </c>
      <c r="O123" s="36">
        <v>1.2</v>
      </c>
      <c r="P123" s="36">
        <v>1</v>
      </c>
      <c r="Q123" s="127">
        <f t="shared" si="8"/>
        <v>1.1000000000000001</v>
      </c>
      <c r="R123" s="36">
        <v>12</v>
      </c>
      <c r="S123" s="36">
        <v>112</v>
      </c>
      <c r="T123" s="115">
        <f t="shared" si="3"/>
        <v>33</v>
      </c>
      <c r="U123" s="36">
        <v>98</v>
      </c>
      <c r="V123" s="115">
        <f t="shared" si="7"/>
        <v>3234</v>
      </c>
      <c r="W123" s="36">
        <v>2</v>
      </c>
      <c r="X123" s="36" t="s">
        <v>35</v>
      </c>
      <c r="Y123" s="36" t="s">
        <v>76</v>
      </c>
      <c r="Z123" s="36" t="s">
        <v>36</v>
      </c>
      <c r="AA123" s="36" t="s">
        <v>43</v>
      </c>
      <c r="AB123" s="36" t="s">
        <v>178</v>
      </c>
    </row>
    <row r="124" spans="1:28" s="36" customFormat="1" ht="13.5" customHeight="1" x14ac:dyDescent="0.15">
      <c r="A124" s="36" t="s">
        <v>24</v>
      </c>
      <c r="B124" s="36" t="s">
        <v>174</v>
      </c>
      <c r="C124" s="36">
        <v>2020</v>
      </c>
      <c r="D124" s="130" t="s">
        <v>175</v>
      </c>
      <c r="E124" s="36" t="s">
        <v>197</v>
      </c>
      <c r="F124" s="36" t="s">
        <v>194</v>
      </c>
      <c r="G124" s="36" t="s">
        <v>25</v>
      </c>
      <c r="H124" s="36" t="s">
        <v>164</v>
      </c>
      <c r="I124" s="36" t="s">
        <v>111</v>
      </c>
      <c r="J124" s="36" t="s">
        <v>27</v>
      </c>
      <c r="K124" s="36" t="s">
        <v>112</v>
      </c>
      <c r="L124" s="36">
        <v>3</v>
      </c>
      <c r="N124" s="36">
        <v>1</v>
      </c>
      <c r="O124" s="36">
        <v>0.8</v>
      </c>
      <c r="P124" s="36">
        <v>0.75</v>
      </c>
      <c r="Q124" s="127">
        <f t="shared" si="8"/>
        <v>0.77500000000000002</v>
      </c>
      <c r="R124" s="36">
        <v>15.7</v>
      </c>
      <c r="S124" s="36">
        <v>113</v>
      </c>
      <c r="T124" s="115">
        <f t="shared" si="3"/>
        <v>30</v>
      </c>
      <c r="U124" s="36">
        <v>98</v>
      </c>
      <c r="V124" s="115">
        <f t="shared" si="7"/>
        <v>2940</v>
      </c>
      <c r="W124" s="36">
        <v>2</v>
      </c>
      <c r="X124" s="36" t="s">
        <v>35</v>
      </c>
      <c r="Y124" s="36" t="s">
        <v>76</v>
      </c>
      <c r="Z124" s="36" t="s">
        <v>36</v>
      </c>
      <c r="AA124" s="36" t="s">
        <v>43</v>
      </c>
      <c r="AB124" s="36" t="s">
        <v>178</v>
      </c>
    </row>
    <row r="125" spans="1:28" s="36" customFormat="1" ht="13.5" customHeight="1" x14ac:dyDescent="0.15">
      <c r="A125" s="36" t="s">
        <v>24</v>
      </c>
      <c r="B125" s="36" t="s">
        <v>174</v>
      </c>
      <c r="C125" s="36">
        <v>2020</v>
      </c>
      <c r="D125" s="130" t="s">
        <v>175</v>
      </c>
      <c r="E125" s="36" t="s">
        <v>197</v>
      </c>
      <c r="F125" s="36" t="s">
        <v>194</v>
      </c>
      <c r="G125" s="36" t="s">
        <v>25</v>
      </c>
      <c r="H125" s="36" t="s">
        <v>164</v>
      </c>
      <c r="I125" s="36" t="s">
        <v>111</v>
      </c>
      <c r="J125" s="36" t="s">
        <v>27</v>
      </c>
      <c r="K125" s="36" t="s">
        <v>112</v>
      </c>
      <c r="L125" s="36">
        <v>1</v>
      </c>
      <c r="N125" s="36">
        <v>4</v>
      </c>
      <c r="O125" s="36">
        <v>1</v>
      </c>
      <c r="P125" s="36">
        <v>1</v>
      </c>
      <c r="Q125" s="127">
        <f t="shared" si="8"/>
        <v>1</v>
      </c>
      <c r="R125" s="36">
        <v>13.3</v>
      </c>
      <c r="S125" s="36">
        <v>112</v>
      </c>
      <c r="T125" s="115">
        <f t="shared" si="3"/>
        <v>33</v>
      </c>
      <c r="U125" s="36">
        <v>498</v>
      </c>
      <c r="V125" s="115">
        <f t="shared" si="7"/>
        <v>4108.5</v>
      </c>
      <c r="W125" s="36">
        <v>2</v>
      </c>
      <c r="X125" s="36" t="s">
        <v>35</v>
      </c>
      <c r="Y125" s="36" t="s">
        <v>76</v>
      </c>
      <c r="Z125" s="36" t="s">
        <v>36</v>
      </c>
      <c r="AA125" s="36" t="s">
        <v>43</v>
      </c>
      <c r="AB125" s="36" t="s">
        <v>178</v>
      </c>
    </row>
    <row r="126" spans="1:28" s="36" customFormat="1" ht="13.5" customHeight="1" x14ac:dyDescent="0.15">
      <c r="A126" s="36" t="s">
        <v>24</v>
      </c>
      <c r="B126" s="36" t="s">
        <v>174</v>
      </c>
      <c r="C126" s="36">
        <v>2020</v>
      </c>
      <c r="D126" s="130" t="s">
        <v>175</v>
      </c>
      <c r="E126" s="36" t="s">
        <v>197</v>
      </c>
      <c r="F126" s="36" t="s">
        <v>194</v>
      </c>
      <c r="G126" s="36" t="s">
        <v>25</v>
      </c>
      <c r="H126" s="36" t="s">
        <v>164</v>
      </c>
      <c r="I126" s="36" t="s">
        <v>111</v>
      </c>
      <c r="J126" s="36" t="s">
        <v>27</v>
      </c>
      <c r="K126" s="36" t="s">
        <v>112</v>
      </c>
      <c r="L126" s="36">
        <v>2</v>
      </c>
      <c r="N126" s="36">
        <v>4</v>
      </c>
      <c r="O126" s="36">
        <v>0.8</v>
      </c>
      <c r="P126" s="36">
        <v>0.9</v>
      </c>
      <c r="Q126" s="127">
        <f t="shared" si="8"/>
        <v>0.85000000000000009</v>
      </c>
      <c r="R126" s="36">
        <v>12.3</v>
      </c>
      <c r="S126" s="36">
        <v>111</v>
      </c>
      <c r="T126" s="115">
        <f t="shared" si="3"/>
        <v>33</v>
      </c>
      <c r="U126" s="36">
        <v>498</v>
      </c>
      <c r="V126" s="115">
        <f t="shared" si="7"/>
        <v>4108.5</v>
      </c>
      <c r="W126" s="36">
        <v>2</v>
      </c>
      <c r="X126" s="36" t="s">
        <v>35</v>
      </c>
      <c r="Y126" s="36" t="s">
        <v>76</v>
      </c>
      <c r="Z126" s="36" t="s">
        <v>36</v>
      </c>
      <c r="AA126" s="36" t="s">
        <v>43</v>
      </c>
      <c r="AB126" s="36" t="s">
        <v>178</v>
      </c>
    </row>
    <row r="127" spans="1:28" s="36" customFormat="1" ht="13.5" customHeight="1" x14ac:dyDescent="0.15">
      <c r="A127" s="36" t="s">
        <v>24</v>
      </c>
      <c r="B127" s="36" t="s">
        <v>174</v>
      </c>
      <c r="C127" s="36">
        <v>2020</v>
      </c>
      <c r="D127" s="130" t="s">
        <v>175</v>
      </c>
      <c r="E127" s="36" t="s">
        <v>197</v>
      </c>
      <c r="F127" s="36" t="s">
        <v>194</v>
      </c>
      <c r="G127" s="36" t="s">
        <v>25</v>
      </c>
      <c r="H127" s="36" t="s">
        <v>164</v>
      </c>
      <c r="I127" s="36" t="s">
        <v>111</v>
      </c>
      <c r="J127" s="36" t="s">
        <v>27</v>
      </c>
      <c r="K127" s="36" t="s">
        <v>112</v>
      </c>
      <c r="L127" s="36">
        <v>3</v>
      </c>
      <c r="N127" s="36">
        <v>4</v>
      </c>
      <c r="O127" s="36">
        <v>0.75</v>
      </c>
      <c r="P127" s="36">
        <v>0.8</v>
      </c>
      <c r="Q127" s="127">
        <f t="shared" si="8"/>
        <v>0.77500000000000002</v>
      </c>
      <c r="R127" s="36">
        <v>12</v>
      </c>
      <c r="S127" s="36">
        <v>109</v>
      </c>
      <c r="T127" s="115">
        <f t="shared" si="3"/>
        <v>33</v>
      </c>
      <c r="U127" s="36">
        <v>498</v>
      </c>
      <c r="V127" s="115">
        <f t="shared" si="7"/>
        <v>4108.5</v>
      </c>
      <c r="W127" s="36">
        <v>2</v>
      </c>
      <c r="X127" s="36" t="s">
        <v>35</v>
      </c>
      <c r="Y127" s="36" t="s">
        <v>76</v>
      </c>
      <c r="Z127" s="36" t="s">
        <v>36</v>
      </c>
      <c r="AA127" s="36" t="s">
        <v>43</v>
      </c>
      <c r="AB127" s="36" t="s">
        <v>178</v>
      </c>
    </row>
    <row r="128" spans="1:28" s="36" customFormat="1" ht="13.5" customHeight="1" x14ac:dyDescent="0.15">
      <c r="A128" s="36" t="s">
        <v>24</v>
      </c>
      <c r="B128" s="36" t="s">
        <v>174</v>
      </c>
      <c r="C128" s="36">
        <v>2020</v>
      </c>
      <c r="D128" s="130" t="s">
        <v>175</v>
      </c>
      <c r="E128" s="36" t="s">
        <v>181</v>
      </c>
      <c r="F128" s="36" t="s">
        <v>182</v>
      </c>
      <c r="G128" s="36" t="s">
        <v>25</v>
      </c>
      <c r="H128" s="36" t="s">
        <v>113</v>
      </c>
      <c r="I128" s="36" t="s">
        <v>111</v>
      </c>
      <c r="J128" s="36" t="s">
        <v>27</v>
      </c>
      <c r="K128" s="36" t="s">
        <v>112</v>
      </c>
      <c r="L128" s="36">
        <v>1</v>
      </c>
      <c r="N128" s="36">
        <v>1</v>
      </c>
      <c r="O128" s="36">
        <v>1</v>
      </c>
      <c r="P128" s="36">
        <v>0.75</v>
      </c>
      <c r="Q128" s="127">
        <f t="shared" si="8"/>
        <v>0.875</v>
      </c>
      <c r="R128" s="36">
        <v>11.1</v>
      </c>
      <c r="S128" s="36">
        <v>117</v>
      </c>
      <c r="T128" s="115">
        <f t="shared" si="3"/>
        <v>30</v>
      </c>
      <c r="U128" s="36">
        <v>93</v>
      </c>
      <c r="V128" s="115">
        <f t="shared" si="7"/>
        <v>2790</v>
      </c>
      <c r="W128" s="36">
        <v>4</v>
      </c>
      <c r="X128" s="36" t="s">
        <v>35</v>
      </c>
      <c r="Y128" s="36" t="s">
        <v>43</v>
      </c>
      <c r="Z128" s="36" t="s">
        <v>36</v>
      </c>
      <c r="AA128" s="36" t="s">
        <v>55</v>
      </c>
      <c r="AB128" s="36" t="s">
        <v>178</v>
      </c>
    </row>
    <row r="129" spans="1:28" s="36" customFormat="1" ht="13.5" customHeight="1" x14ac:dyDescent="0.15">
      <c r="A129" s="36" t="s">
        <v>24</v>
      </c>
      <c r="B129" s="36" t="s">
        <v>174</v>
      </c>
      <c r="C129" s="36">
        <v>2020</v>
      </c>
      <c r="D129" s="130" t="s">
        <v>175</v>
      </c>
      <c r="E129" s="36" t="s">
        <v>181</v>
      </c>
      <c r="F129" s="36" t="s">
        <v>182</v>
      </c>
      <c r="G129" s="36" t="s">
        <v>25</v>
      </c>
      <c r="H129" s="36" t="s">
        <v>113</v>
      </c>
      <c r="I129" s="36" t="s">
        <v>111</v>
      </c>
      <c r="J129" s="36" t="s">
        <v>27</v>
      </c>
      <c r="K129" s="36" t="s">
        <v>112</v>
      </c>
      <c r="L129" s="36">
        <v>2</v>
      </c>
      <c r="N129" s="36">
        <v>1</v>
      </c>
      <c r="O129" s="36">
        <v>1.1000000000000001</v>
      </c>
      <c r="P129" s="36">
        <v>1.1000000000000001</v>
      </c>
      <c r="Q129" s="127">
        <f t="shared" si="8"/>
        <v>1.1000000000000001</v>
      </c>
      <c r="R129" s="36">
        <v>10.9</v>
      </c>
      <c r="S129" s="36">
        <v>107</v>
      </c>
      <c r="T129" s="115">
        <f t="shared" si="3"/>
        <v>33</v>
      </c>
      <c r="U129" s="36">
        <v>93</v>
      </c>
      <c r="V129" s="115">
        <f t="shared" si="7"/>
        <v>3069</v>
      </c>
      <c r="W129" s="36">
        <v>4</v>
      </c>
      <c r="X129" s="36" t="s">
        <v>35</v>
      </c>
      <c r="Y129" s="36" t="s">
        <v>43</v>
      </c>
      <c r="Z129" s="36" t="s">
        <v>36</v>
      </c>
      <c r="AA129" s="36" t="s">
        <v>55</v>
      </c>
      <c r="AB129" s="36" t="s">
        <v>178</v>
      </c>
    </row>
    <row r="130" spans="1:28" s="36" customFormat="1" ht="13.5" customHeight="1" x14ac:dyDescent="0.15">
      <c r="A130" s="36" t="s">
        <v>24</v>
      </c>
      <c r="B130" s="36" t="s">
        <v>174</v>
      </c>
      <c r="C130" s="36">
        <v>2020</v>
      </c>
      <c r="D130" s="130" t="s">
        <v>175</v>
      </c>
      <c r="E130" s="36" t="s">
        <v>181</v>
      </c>
      <c r="F130" s="36" t="s">
        <v>182</v>
      </c>
      <c r="G130" s="36" t="s">
        <v>25</v>
      </c>
      <c r="H130" s="36" t="s">
        <v>113</v>
      </c>
      <c r="I130" s="36" t="s">
        <v>111</v>
      </c>
      <c r="J130" s="36" t="s">
        <v>27</v>
      </c>
      <c r="K130" s="36" t="s">
        <v>112</v>
      </c>
      <c r="L130" s="36">
        <v>3</v>
      </c>
      <c r="N130" s="36">
        <v>1</v>
      </c>
      <c r="O130" s="36">
        <v>1</v>
      </c>
      <c r="P130" s="36">
        <v>1.25</v>
      </c>
      <c r="Q130" s="127">
        <f t="shared" si="8"/>
        <v>1.125</v>
      </c>
      <c r="R130" s="36">
        <v>11.8</v>
      </c>
      <c r="S130" s="36">
        <v>120</v>
      </c>
      <c r="T130" s="115">
        <f t="shared" si="3"/>
        <v>30</v>
      </c>
      <c r="U130" s="36">
        <v>93</v>
      </c>
      <c r="V130" s="115">
        <f t="shared" si="7"/>
        <v>2790</v>
      </c>
      <c r="W130" s="36">
        <v>4</v>
      </c>
      <c r="X130" s="36" t="s">
        <v>35</v>
      </c>
      <c r="Y130" s="36" t="s">
        <v>43</v>
      </c>
      <c r="Z130" s="36" t="s">
        <v>36</v>
      </c>
      <c r="AA130" s="36" t="s">
        <v>55</v>
      </c>
      <c r="AB130" s="36" t="s">
        <v>178</v>
      </c>
    </row>
    <row r="131" spans="1:28" s="36" customFormat="1" ht="13.5" customHeight="1" x14ac:dyDescent="0.15">
      <c r="A131" s="36" t="s">
        <v>24</v>
      </c>
      <c r="B131" s="36" t="s">
        <v>174</v>
      </c>
      <c r="C131" s="36">
        <v>2020</v>
      </c>
      <c r="D131" s="130" t="s">
        <v>175</v>
      </c>
      <c r="E131" s="36" t="s">
        <v>181</v>
      </c>
      <c r="F131" s="36" t="s">
        <v>182</v>
      </c>
      <c r="G131" s="36" t="s">
        <v>25</v>
      </c>
      <c r="H131" s="36" t="s">
        <v>113</v>
      </c>
      <c r="I131" s="36" t="s">
        <v>111</v>
      </c>
      <c r="J131" s="36" t="s">
        <v>27</v>
      </c>
      <c r="K131" s="36" t="s">
        <v>112</v>
      </c>
      <c r="L131" s="36">
        <v>1</v>
      </c>
      <c r="N131" s="36">
        <v>3</v>
      </c>
      <c r="O131" s="36">
        <v>0.8</v>
      </c>
      <c r="P131" s="36">
        <v>0.75</v>
      </c>
      <c r="Q131" s="127">
        <f t="shared" si="8"/>
        <v>0.77500000000000002</v>
      </c>
      <c r="R131" s="36">
        <v>13.9</v>
      </c>
      <c r="S131" s="36">
        <v>120</v>
      </c>
      <c r="T131" s="115">
        <f t="shared" si="3"/>
        <v>30</v>
      </c>
      <c r="U131" s="36">
        <v>375</v>
      </c>
      <c r="V131" s="115">
        <f t="shared" si="7"/>
        <v>3750</v>
      </c>
      <c r="W131" s="36">
        <v>4</v>
      </c>
      <c r="X131" s="36" t="s">
        <v>35</v>
      </c>
      <c r="Y131" s="36" t="s">
        <v>43</v>
      </c>
      <c r="Z131" s="36" t="s">
        <v>36</v>
      </c>
      <c r="AA131" s="36" t="s">
        <v>55</v>
      </c>
      <c r="AB131" s="36" t="s">
        <v>178</v>
      </c>
    </row>
    <row r="132" spans="1:28" s="36" customFormat="1" ht="13.5" customHeight="1" x14ac:dyDescent="0.15">
      <c r="A132" s="36" t="s">
        <v>24</v>
      </c>
      <c r="B132" s="36" t="s">
        <v>174</v>
      </c>
      <c r="C132" s="36">
        <v>2020</v>
      </c>
      <c r="D132" s="130" t="s">
        <v>175</v>
      </c>
      <c r="E132" s="36" t="s">
        <v>181</v>
      </c>
      <c r="F132" s="36" t="s">
        <v>182</v>
      </c>
      <c r="G132" s="36" t="s">
        <v>25</v>
      </c>
      <c r="H132" s="36" t="s">
        <v>113</v>
      </c>
      <c r="I132" s="36" t="s">
        <v>111</v>
      </c>
      <c r="J132" s="36" t="s">
        <v>27</v>
      </c>
      <c r="K132" s="36" t="s">
        <v>112</v>
      </c>
      <c r="L132" s="36">
        <v>2</v>
      </c>
      <c r="N132" s="36">
        <v>3</v>
      </c>
      <c r="O132" s="36">
        <v>0.75</v>
      </c>
      <c r="P132" s="36">
        <v>0.9</v>
      </c>
      <c r="Q132" s="127">
        <f t="shared" si="8"/>
        <v>0.82499999999999996</v>
      </c>
      <c r="R132" s="36">
        <v>11.9</v>
      </c>
      <c r="S132" s="36">
        <v>133</v>
      </c>
      <c r="T132" s="115">
        <f t="shared" si="3"/>
        <v>25</v>
      </c>
      <c r="U132" s="36">
        <v>375</v>
      </c>
      <c r="V132" s="115">
        <f t="shared" si="7"/>
        <v>3125</v>
      </c>
      <c r="W132" s="36">
        <v>4</v>
      </c>
      <c r="X132" s="36" t="s">
        <v>35</v>
      </c>
      <c r="Y132" s="36" t="s">
        <v>43</v>
      </c>
      <c r="Z132" s="36" t="s">
        <v>36</v>
      </c>
      <c r="AA132" s="36" t="s">
        <v>55</v>
      </c>
      <c r="AB132" s="36" t="s">
        <v>178</v>
      </c>
    </row>
    <row r="133" spans="1:28" s="36" customFormat="1" ht="13.5" customHeight="1" x14ac:dyDescent="0.15">
      <c r="A133" s="36" t="s">
        <v>24</v>
      </c>
      <c r="B133" s="36" t="s">
        <v>174</v>
      </c>
      <c r="C133" s="36">
        <v>2020</v>
      </c>
      <c r="D133" s="130" t="s">
        <v>175</v>
      </c>
      <c r="E133" s="36" t="s">
        <v>181</v>
      </c>
      <c r="F133" s="36" t="s">
        <v>182</v>
      </c>
      <c r="G133" s="36" t="s">
        <v>25</v>
      </c>
      <c r="H133" s="36" t="s">
        <v>113</v>
      </c>
      <c r="I133" s="36" t="s">
        <v>111</v>
      </c>
      <c r="J133" s="36" t="s">
        <v>27</v>
      </c>
      <c r="K133" s="36" t="s">
        <v>112</v>
      </c>
      <c r="L133" s="36">
        <v>3</v>
      </c>
      <c r="N133" s="36">
        <v>3</v>
      </c>
      <c r="O133" s="36">
        <v>1.2</v>
      </c>
      <c r="P133" s="36">
        <v>1</v>
      </c>
      <c r="Q133" s="127">
        <f t="shared" si="8"/>
        <v>1.1000000000000001</v>
      </c>
      <c r="R133" s="36">
        <v>11.6</v>
      </c>
      <c r="S133" s="36">
        <v>139</v>
      </c>
      <c r="T133" s="115">
        <f t="shared" si="3"/>
        <v>22</v>
      </c>
      <c r="U133" s="36">
        <v>375</v>
      </c>
      <c r="V133" s="115">
        <f t="shared" si="7"/>
        <v>2750</v>
      </c>
      <c r="W133" s="36">
        <v>4</v>
      </c>
      <c r="X133" s="36" t="s">
        <v>35</v>
      </c>
      <c r="Y133" s="36" t="s">
        <v>43</v>
      </c>
      <c r="Z133" s="36" t="s">
        <v>36</v>
      </c>
      <c r="AA133" s="36" t="s">
        <v>55</v>
      </c>
      <c r="AB133" s="36" t="s">
        <v>178</v>
      </c>
    </row>
    <row r="134" spans="1:28" s="36" customFormat="1" ht="13.5" customHeight="1" x14ac:dyDescent="0.15">
      <c r="A134" s="36" t="s">
        <v>24</v>
      </c>
      <c r="B134" s="36" t="s">
        <v>174</v>
      </c>
      <c r="C134" s="36">
        <v>2020</v>
      </c>
      <c r="D134" s="130" t="s">
        <v>175</v>
      </c>
      <c r="E134" s="36" t="s">
        <v>181</v>
      </c>
      <c r="F134" s="36" t="s">
        <v>182</v>
      </c>
      <c r="G134" s="36" t="s">
        <v>25</v>
      </c>
      <c r="H134" s="36" t="s">
        <v>164</v>
      </c>
      <c r="I134" s="36" t="s">
        <v>111</v>
      </c>
      <c r="J134" s="36" t="s">
        <v>27</v>
      </c>
      <c r="K134" s="36" t="s">
        <v>112</v>
      </c>
      <c r="L134" s="36">
        <v>1</v>
      </c>
      <c r="N134" s="36">
        <v>1</v>
      </c>
      <c r="O134" s="36">
        <v>0.8</v>
      </c>
      <c r="P134" s="36">
        <v>0.75</v>
      </c>
      <c r="Q134" s="127">
        <f t="shared" si="8"/>
        <v>0.77500000000000002</v>
      </c>
      <c r="R134" s="36">
        <v>16.7</v>
      </c>
      <c r="S134" s="36">
        <v>131</v>
      </c>
      <c r="T134" s="115">
        <f t="shared" si="3"/>
        <v>25</v>
      </c>
      <c r="U134" s="36">
        <v>93</v>
      </c>
      <c r="V134" s="115">
        <f t="shared" si="7"/>
        <v>2325</v>
      </c>
      <c r="W134" s="36">
        <v>7</v>
      </c>
      <c r="X134" s="36" t="s">
        <v>35</v>
      </c>
      <c r="Y134" s="36" t="s">
        <v>43</v>
      </c>
      <c r="Z134" s="36" t="s">
        <v>36</v>
      </c>
      <c r="AA134" s="36" t="s">
        <v>55</v>
      </c>
      <c r="AB134" s="36" t="s">
        <v>178</v>
      </c>
    </row>
    <row r="135" spans="1:28" s="36" customFormat="1" ht="13.5" customHeight="1" x14ac:dyDescent="0.15">
      <c r="A135" s="36" t="s">
        <v>24</v>
      </c>
      <c r="B135" s="36" t="s">
        <v>174</v>
      </c>
      <c r="C135" s="36">
        <v>2020</v>
      </c>
      <c r="D135" s="130" t="s">
        <v>175</v>
      </c>
      <c r="E135" s="36" t="s">
        <v>181</v>
      </c>
      <c r="F135" s="36" t="s">
        <v>182</v>
      </c>
      <c r="G135" s="36" t="s">
        <v>25</v>
      </c>
      <c r="H135" s="36" t="s">
        <v>164</v>
      </c>
      <c r="I135" s="36" t="s">
        <v>111</v>
      </c>
      <c r="J135" s="36" t="s">
        <v>27</v>
      </c>
      <c r="K135" s="36" t="s">
        <v>112</v>
      </c>
      <c r="L135" s="36">
        <v>2</v>
      </c>
      <c r="N135" s="36">
        <v>1</v>
      </c>
      <c r="O135" s="36">
        <v>1.1000000000000001</v>
      </c>
      <c r="P135" s="36">
        <v>1</v>
      </c>
      <c r="Q135" s="127">
        <f t="shared" si="8"/>
        <v>1.05</v>
      </c>
      <c r="R135" s="36">
        <v>12.9</v>
      </c>
      <c r="S135" s="36">
        <v>126</v>
      </c>
      <c r="T135" s="115">
        <f t="shared" si="3"/>
        <v>27</v>
      </c>
      <c r="U135" s="36">
        <v>93</v>
      </c>
      <c r="V135" s="115">
        <f t="shared" si="7"/>
        <v>2511</v>
      </c>
      <c r="W135" s="36">
        <v>7</v>
      </c>
      <c r="X135" s="36" t="s">
        <v>35</v>
      </c>
      <c r="Y135" s="36" t="s">
        <v>43</v>
      </c>
      <c r="Z135" s="36" t="s">
        <v>36</v>
      </c>
      <c r="AA135" s="36" t="s">
        <v>55</v>
      </c>
      <c r="AB135" s="36" t="s">
        <v>178</v>
      </c>
    </row>
    <row r="136" spans="1:28" s="36" customFormat="1" ht="13.5" customHeight="1" x14ac:dyDescent="0.15">
      <c r="A136" s="36" t="s">
        <v>24</v>
      </c>
      <c r="B136" s="36" t="s">
        <v>174</v>
      </c>
      <c r="C136" s="36">
        <v>2020</v>
      </c>
      <c r="D136" s="130" t="s">
        <v>175</v>
      </c>
      <c r="E136" s="36" t="s">
        <v>181</v>
      </c>
      <c r="F136" s="36" t="s">
        <v>182</v>
      </c>
      <c r="G136" s="36" t="s">
        <v>25</v>
      </c>
      <c r="H136" s="36" t="s">
        <v>164</v>
      </c>
      <c r="I136" s="36" t="s">
        <v>111</v>
      </c>
      <c r="J136" s="36" t="s">
        <v>27</v>
      </c>
      <c r="K136" s="36" t="s">
        <v>112</v>
      </c>
      <c r="L136" s="36">
        <v>3</v>
      </c>
      <c r="N136" s="36">
        <v>1</v>
      </c>
      <c r="O136" s="36">
        <v>0.8</v>
      </c>
      <c r="P136" s="36">
        <v>0.75</v>
      </c>
      <c r="Q136" s="127">
        <f t="shared" si="8"/>
        <v>0.77500000000000002</v>
      </c>
      <c r="R136" s="36">
        <v>13.1</v>
      </c>
      <c r="S136" s="36">
        <v>130</v>
      </c>
      <c r="T136" s="115">
        <f t="shared" si="3"/>
        <v>25</v>
      </c>
      <c r="U136" s="36">
        <v>93</v>
      </c>
      <c r="V136" s="115">
        <f t="shared" si="7"/>
        <v>2325</v>
      </c>
      <c r="W136" s="36">
        <v>7</v>
      </c>
      <c r="X136" s="36" t="s">
        <v>35</v>
      </c>
      <c r="Y136" s="36" t="s">
        <v>43</v>
      </c>
      <c r="Z136" s="36" t="s">
        <v>36</v>
      </c>
      <c r="AA136" s="36" t="s">
        <v>55</v>
      </c>
      <c r="AB136" s="36" t="s">
        <v>178</v>
      </c>
    </row>
    <row r="137" spans="1:28" s="36" customFormat="1" ht="13.5" customHeight="1" x14ac:dyDescent="0.15">
      <c r="A137" s="36" t="s">
        <v>24</v>
      </c>
      <c r="B137" s="36" t="s">
        <v>174</v>
      </c>
      <c r="C137" s="36">
        <v>2020</v>
      </c>
      <c r="D137" s="130" t="s">
        <v>175</v>
      </c>
      <c r="E137" s="36" t="s">
        <v>181</v>
      </c>
      <c r="F137" s="36" t="s">
        <v>182</v>
      </c>
      <c r="G137" s="36" t="s">
        <v>25</v>
      </c>
      <c r="H137" s="36" t="s">
        <v>164</v>
      </c>
      <c r="I137" s="36" t="s">
        <v>111</v>
      </c>
      <c r="J137" s="36" t="s">
        <v>27</v>
      </c>
      <c r="K137" s="36" t="s">
        <v>112</v>
      </c>
      <c r="L137" s="36">
        <v>1</v>
      </c>
      <c r="N137" s="36">
        <v>4</v>
      </c>
      <c r="O137" s="36">
        <v>0.6</v>
      </c>
      <c r="P137" s="36">
        <v>0.5</v>
      </c>
      <c r="Q137" s="127">
        <f t="shared" si="8"/>
        <v>0.55000000000000004</v>
      </c>
      <c r="R137" s="36">
        <v>15.9</v>
      </c>
      <c r="S137" s="36">
        <v>82</v>
      </c>
      <c r="T137" s="115">
        <f t="shared" si="3"/>
        <v>39</v>
      </c>
      <c r="U137" s="36">
        <v>298</v>
      </c>
      <c r="V137" s="115">
        <f t="shared" si="7"/>
        <v>2905.5</v>
      </c>
      <c r="W137" s="36">
        <v>6</v>
      </c>
      <c r="X137" s="36" t="s">
        <v>35</v>
      </c>
      <c r="Y137" s="36" t="s">
        <v>43</v>
      </c>
      <c r="Z137" s="36" t="s">
        <v>36</v>
      </c>
      <c r="AA137" s="36" t="s">
        <v>55</v>
      </c>
      <c r="AB137" s="36" t="s">
        <v>178</v>
      </c>
    </row>
    <row r="138" spans="1:28" s="36" customFormat="1" ht="13.5" customHeight="1" x14ac:dyDescent="0.15">
      <c r="A138" s="36" t="s">
        <v>24</v>
      </c>
      <c r="B138" s="36" t="s">
        <v>174</v>
      </c>
      <c r="C138" s="36">
        <v>2020</v>
      </c>
      <c r="D138" s="130" t="s">
        <v>175</v>
      </c>
      <c r="E138" s="36" t="s">
        <v>181</v>
      </c>
      <c r="F138" s="36" t="s">
        <v>182</v>
      </c>
      <c r="G138" s="36" t="s">
        <v>25</v>
      </c>
      <c r="H138" s="36" t="s">
        <v>164</v>
      </c>
      <c r="I138" s="36" t="s">
        <v>111</v>
      </c>
      <c r="J138" s="36" t="s">
        <v>27</v>
      </c>
      <c r="K138" s="36" t="s">
        <v>112</v>
      </c>
      <c r="L138" s="36">
        <v>2</v>
      </c>
      <c r="N138" s="36">
        <v>4</v>
      </c>
      <c r="O138" s="36">
        <v>0.7</v>
      </c>
      <c r="P138" s="36">
        <v>0.7</v>
      </c>
      <c r="Q138" s="127">
        <f t="shared" si="8"/>
        <v>0.7</v>
      </c>
      <c r="R138" s="36">
        <v>15.3</v>
      </c>
      <c r="S138" s="36">
        <v>84</v>
      </c>
      <c r="T138" s="115">
        <f t="shared" si="3"/>
        <v>36</v>
      </c>
      <c r="U138" s="36">
        <v>298</v>
      </c>
      <c r="V138" s="115">
        <f t="shared" si="7"/>
        <v>2682</v>
      </c>
      <c r="W138" s="36">
        <v>6</v>
      </c>
      <c r="X138" s="36" t="s">
        <v>35</v>
      </c>
      <c r="Y138" s="36" t="s">
        <v>43</v>
      </c>
      <c r="Z138" s="36" t="s">
        <v>36</v>
      </c>
      <c r="AA138" s="36" t="s">
        <v>55</v>
      </c>
      <c r="AB138" s="36" t="s">
        <v>178</v>
      </c>
    </row>
    <row r="139" spans="1:28" s="36" customFormat="1" ht="13.5" customHeight="1" x14ac:dyDescent="0.15">
      <c r="A139" s="36" t="s">
        <v>24</v>
      </c>
      <c r="B139" s="36" t="s">
        <v>174</v>
      </c>
      <c r="C139" s="36">
        <v>2020</v>
      </c>
      <c r="D139" s="130" t="s">
        <v>175</v>
      </c>
      <c r="E139" s="36" t="s">
        <v>181</v>
      </c>
      <c r="F139" s="36" t="s">
        <v>182</v>
      </c>
      <c r="G139" s="36" t="s">
        <v>25</v>
      </c>
      <c r="H139" s="36" t="s">
        <v>164</v>
      </c>
      <c r="I139" s="36" t="s">
        <v>111</v>
      </c>
      <c r="J139" s="36" t="s">
        <v>27</v>
      </c>
      <c r="K139" s="36" t="s">
        <v>112</v>
      </c>
      <c r="L139" s="36">
        <v>3</v>
      </c>
      <c r="N139" s="36">
        <v>4</v>
      </c>
      <c r="O139" s="36">
        <v>0.5</v>
      </c>
      <c r="P139" s="36">
        <v>0.5</v>
      </c>
      <c r="Q139" s="127">
        <f t="shared" si="8"/>
        <v>0.5</v>
      </c>
      <c r="R139" s="36">
        <v>13.7</v>
      </c>
      <c r="S139" s="36">
        <v>85</v>
      </c>
      <c r="T139" s="115">
        <f t="shared" si="3"/>
        <v>36</v>
      </c>
      <c r="U139" s="36">
        <v>298</v>
      </c>
      <c r="V139" s="115">
        <f t="shared" si="7"/>
        <v>2682</v>
      </c>
      <c r="W139" s="36">
        <v>6</v>
      </c>
      <c r="X139" s="36" t="s">
        <v>35</v>
      </c>
      <c r="Y139" s="36" t="s">
        <v>43</v>
      </c>
      <c r="Z139" s="36" t="s">
        <v>36</v>
      </c>
      <c r="AA139" s="36" t="s">
        <v>55</v>
      </c>
      <c r="AB139" s="36" t="s">
        <v>178</v>
      </c>
    </row>
    <row r="140" spans="1:28" s="36" customFormat="1" ht="13.5" customHeight="1" x14ac:dyDescent="0.15">
      <c r="A140" s="36" t="s">
        <v>24</v>
      </c>
      <c r="B140" s="36" t="s">
        <v>174</v>
      </c>
      <c r="C140" s="36">
        <v>2020</v>
      </c>
      <c r="D140" s="130" t="s">
        <v>175</v>
      </c>
      <c r="E140" s="36" t="s">
        <v>181</v>
      </c>
      <c r="F140" s="36" t="s">
        <v>182</v>
      </c>
      <c r="G140" s="36" t="s">
        <v>25</v>
      </c>
      <c r="H140" s="36" t="s">
        <v>164</v>
      </c>
      <c r="I140" s="36" t="s">
        <v>111</v>
      </c>
      <c r="J140" s="36" t="s">
        <v>27</v>
      </c>
      <c r="K140" s="36" t="s">
        <v>112</v>
      </c>
      <c r="L140" s="36">
        <v>1</v>
      </c>
      <c r="N140" s="36">
        <v>8</v>
      </c>
      <c r="O140" s="36">
        <v>0.8</v>
      </c>
      <c r="P140" s="36">
        <v>0.8</v>
      </c>
      <c r="Q140" s="127">
        <f t="shared" si="8"/>
        <v>0.8</v>
      </c>
      <c r="R140" s="36">
        <v>11.9</v>
      </c>
      <c r="S140" s="36">
        <v>111</v>
      </c>
      <c r="T140" s="115">
        <f t="shared" si="3"/>
        <v>33</v>
      </c>
      <c r="U140" s="36">
        <v>698</v>
      </c>
      <c r="V140" s="115">
        <f t="shared" si="7"/>
        <v>2879.25</v>
      </c>
      <c r="W140" s="36">
        <v>2</v>
      </c>
      <c r="X140" s="36" t="s">
        <v>35</v>
      </c>
      <c r="Y140" s="36" t="s">
        <v>43</v>
      </c>
      <c r="Z140" s="36" t="s">
        <v>36</v>
      </c>
      <c r="AA140" s="36" t="s">
        <v>55</v>
      </c>
      <c r="AB140" s="36" t="s">
        <v>178</v>
      </c>
    </row>
    <row r="141" spans="1:28" s="36" customFormat="1" ht="13.5" customHeight="1" x14ac:dyDescent="0.15">
      <c r="A141" s="36" t="s">
        <v>24</v>
      </c>
      <c r="B141" s="36" t="s">
        <v>174</v>
      </c>
      <c r="C141" s="36">
        <v>2020</v>
      </c>
      <c r="D141" s="130" t="s">
        <v>175</v>
      </c>
      <c r="E141" s="36" t="s">
        <v>181</v>
      </c>
      <c r="F141" s="36" t="s">
        <v>182</v>
      </c>
      <c r="G141" s="36" t="s">
        <v>25</v>
      </c>
      <c r="H141" s="36" t="s">
        <v>164</v>
      </c>
      <c r="I141" s="36" t="s">
        <v>111</v>
      </c>
      <c r="J141" s="36" t="s">
        <v>27</v>
      </c>
      <c r="K141" s="36" t="s">
        <v>112</v>
      </c>
      <c r="L141" s="36">
        <v>2</v>
      </c>
      <c r="N141" s="36">
        <v>8</v>
      </c>
      <c r="O141" s="36">
        <v>1.1000000000000001</v>
      </c>
      <c r="P141" s="36">
        <v>1</v>
      </c>
      <c r="Q141" s="127">
        <f t="shared" si="8"/>
        <v>1.05</v>
      </c>
      <c r="R141" s="36">
        <v>12</v>
      </c>
      <c r="S141" s="36">
        <v>105</v>
      </c>
      <c r="T141" s="115">
        <f t="shared" si="3"/>
        <v>33</v>
      </c>
      <c r="U141" s="36">
        <v>698</v>
      </c>
      <c r="V141" s="115">
        <f t="shared" si="7"/>
        <v>2879.25</v>
      </c>
      <c r="W141" s="36">
        <v>2</v>
      </c>
      <c r="X141" s="36" t="s">
        <v>35</v>
      </c>
      <c r="Y141" s="36" t="s">
        <v>43</v>
      </c>
      <c r="Z141" s="36" t="s">
        <v>36</v>
      </c>
      <c r="AA141" s="36" t="s">
        <v>55</v>
      </c>
      <c r="AB141" s="36" t="s">
        <v>178</v>
      </c>
    </row>
    <row r="142" spans="1:28" s="36" customFormat="1" ht="13.5" customHeight="1" x14ac:dyDescent="0.15">
      <c r="A142" s="36" t="s">
        <v>24</v>
      </c>
      <c r="B142" s="36" t="s">
        <v>174</v>
      </c>
      <c r="C142" s="36">
        <v>2020</v>
      </c>
      <c r="D142" s="130" t="s">
        <v>175</v>
      </c>
      <c r="E142" s="36" t="s">
        <v>181</v>
      </c>
      <c r="F142" s="36" t="s">
        <v>182</v>
      </c>
      <c r="G142" s="36" t="s">
        <v>25</v>
      </c>
      <c r="H142" s="36" t="s">
        <v>164</v>
      </c>
      <c r="I142" s="36" t="s">
        <v>111</v>
      </c>
      <c r="J142" s="36" t="s">
        <v>27</v>
      </c>
      <c r="K142" s="36" t="s">
        <v>112</v>
      </c>
      <c r="L142" s="36">
        <v>3</v>
      </c>
      <c r="N142" s="36">
        <v>8</v>
      </c>
      <c r="O142" s="36">
        <v>1</v>
      </c>
      <c r="P142" s="36">
        <v>0.8</v>
      </c>
      <c r="Q142" s="127">
        <f t="shared" si="8"/>
        <v>0.9</v>
      </c>
      <c r="R142" s="36">
        <v>14</v>
      </c>
      <c r="S142" s="36">
        <v>110</v>
      </c>
      <c r="T142" s="115">
        <f t="shared" si="3"/>
        <v>33</v>
      </c>
      <c r="U142" s="36">
        <v>698</v>
      </c>
      <c r="V142" s="115">
        <f t="shared" si="7"/>
        <v>2879.25</v>
      </c>
      <c r="W142" s="36">
        <v>2</v>
      </c>
      <c r="X142" s="36" t="s">
        <v>35</v>
      </c>
      <c r="Y142" s="36" t="s">
        <v>43</v>
      </c>
      <c r="Z142" s="36" t="s">
        <v>36</v>
      </c>
      <c r="AA142" s="36" t="s">
        <v>55</v>
      </c>
      <c r="AB142" s="36" t="s">
        <v>178</v>
      </c>
    </row>
    <row r="143" spans="1:28" x14ac:dyDescent="0.15">
      <c r="Q143" s="105" t="str">
        <f t="shared" si="8"/>
        <v/>
      </c>
      <c r="T143" s="16" t="str">
        <f t="shared" si="3"/>
        <v/>
      </c>
      <c r="V143" s="16" t="str">
        <f t="shared" si="7"/>
        <v/>
      </c>
    </row>
    <row r="144" spans="1:28" x14ac:dyDescent="0.15">
      <c r="Q144" s="105" t="str">
        <f t="shared" si="8"/>
        <v/>
      </c>
      <c r="T144" s="16" t="str">
        <f t="shared" si="3"/>
        <v/>
      </c>
      <c r="V144" s="16" t="str">
        <f t="shared" si="7"/>
        <v/>
      </c>
    </row>
    <row r="145" spans="17:22" x14ac:dyDescent="0.15">
      <c r="Q145" s="105" t="str">
        <f t="shared" si="8"/>
        <v/>
      </c>
      <c r="T145" s="16" t="str">
        <f t="shared" si="3"/>
        <v/>
      </c>
      <c r="V145" s="16" t="str">
        <f t="shared" si="7"/>
        <v/>
      </c>
    </row>
    <row r="146" spans="17:22" x14ac:dyDescent="0.15">
      <c r="Q146" s="105" t="str">
        <f t="shared" si="8"/>
        <v/>
      </c>
      <c r="T146" s="16" t="str">
        <f t="shared" si="3"/>
        <v/>
      </c>
      <c r="V146" s="16" t="str">
        <f t="shared" si="7"/>
        <v/>
      </c>
    </row>
    <row r="147" spans="17:22" x14ac:dyDescent="0.15">
      <c r="Q147" s="105" t="str">
        <f t="shared" si="8"/>
        <v/>
      </c>
      <c r="T147" s="16" t="str">
        <f t="shared" si="3"/>
        <v/>
      </c>
      <c r="V147" s="16" t="str">
        <f t="shared" si="7"/>
        <v/>
      </c>
    </row>
    <row r="148" spans="17:22" x14ac:dyDescent="0.15">
      <c r="Q148" s="105" t="str">
        <f t="shared" si="8"/>
        <v/>
      </c>
      <c r="T148" s="16" t="str">
        <f t="shared" si="3"/>
        <v/>
      </c>
      <c r="V148" s="16" t="str">
        <f t="shared" si="7"/>
        <v/>
      </c>
    </row>
    <row r="149" spans="17:22" x14ac:dyDescent="0.15">
      <c r="Q149" s="105" t="str">
        <f t="shared" si="8"/>
        <v/>
      </c>
      <c r="T149" s="16" t="str">
        <f t="shared" si="3"/>
        <v/>
      </c>
      <c r="V149" s="16" t="str">
        <f t="shared" si="7"/>
        <v/>
      </c>
    </row>
    <row r="150" spans="17:22" x14ac:dyDescent="0.15">
      <c r="Q150" s="105" t="str">
        <f t="shared" si="8"/>
        <v/>
      </c>
      <c r="T150" s="16" t="str">
        <f t="shared" si="3"/>
        <v/>
      </c>
      <c r="V150" s="16" t="str">
        <f t="shared" si="7"/>
        <v/>
      </c>
    </row>
    <row r="151" spans="17:22" x14ac:dyDescent="0.15">
      <c r="Q151" s="105" t="str">
        <f t="shared" si="8"/>
        <v/>
      </c>
      <c r="T151" s="16" t="str">
        <f t="shared" si="3"/>
        <v/>
      </c>
      <c r="V151" s="16" t="str">
        <f t="shared" si="7"/>
        <v/>
      </c>
    </row>
    <row r="152" spans="17:22" x14ac:dyDescent="0.15">
      <c r="Q152" s="105" t="str">
        <f t="shared" si="8"/>
        <v/>
      </c>
      <c r="T152" s="16" t="str">
        <f t="shared" si="3"/>
        <v/>
      </c>
      <c r="V152" s="16" t="str">
        <f t="shared" si="7"/>
        <v/>
      </c>
    </row>
    <row r="153" spans="17:22" x14ac:dyDescent="0.15">
      <c r="Q153" s="105" t="str">
        <f t="shared" si="8"/>
        <v/>
      </c>
      <c r="T153" s="16" t="str">
        <f t="shared" si="3"/>
        <v/>
      </c>
      <c r="V153" s="16" t="str">
        <f t="shared" si="7"/>
        <v/>
      </c>
    </row>
    <row r="154" spans="17:22" x14ac:dyDescent="0.15">
      <c r="Q154" s="105" t="str">
        <f t="shared" si="8"/>
        <v/>
      </c>
      <c r="T154" s="16" t="str">
        <f t="shared" si="3"/>
        <v/>
      </c>
      <c r="V154" s="16" t="str">
        <f t="shared" si="7"/>
        <v/>
      </c>
    </row>
  </sheetData>
  <autoFilter ref="A1:BA154" xr:uid="{00000000-0009-0000-0000-000000000000}"/>
  <phoneticPr fontId="3"/>
  <dataValidations count="18">
    <dataValidation type="list" allowBlank="1" showInputMessage="1" showErrorMessage="1" sqref="F158:F1048576 F1:F148" xr:uid="{A0132D41-CAAD-47DF-B9BC-D9AA41A6DE10}">
      <formula1>$AH$2:$AH$11</formula1>
    </dataValidation>
    <dataValidation type="list" allowBlank="1" showInputMessage="1" showErrorMessage="1" sqref="K2:K1000" xr:uid="{119DF685-280A-4875-9311-235E902434B1}">
      <formula1>$AR$2:$AR$28</formula1>
    </dataValidation>
    <dataValidation type="list" allowBlank="1" showInputMessage="1" showErrorMessage="1" sqref="J2:J1000" xr:uid="{FA5E8723-B524-4F7B-9719-BDCF892CCD8E}">
      <formula1>$AP$2:$AP$29</formula1>
    </dataValidation>
    <dataValidation type="list" allowBlank="1" showInputMessage="1" showErrorMessage="1" sqref="H2:H1184" xr:uid="{466FD03C-A790-4671-A3D0-95E5F0E2EE4D}">
      <formula1>$AL$2:$AL$9</formula1>
    </dataValidation>
    <dataValidation type="decimal" allowBlank="1" showInputMessage="1" showErrorMessage="1" error="硬度を正しく入力して下さい。" sqref="O2:P497" xr:uid="{E1531EB7-89B3-4FDC-9EB4-976DD3FA0A40}">
      <formula1>0</formula1>
      <formula2>7</formula2>
    </dataValidation>
    <dataValidation type="list" allowBlank="1" showInputMessage="1" showErrorMessage="1" sqref="Y2:AA497" xr:uid="{17ED4407-CCE1-45F9-A35B-B9D7CBB2E2D5}">
      <formula1>$AV$2:$AV$21</formula1>
    </dataValidation>
    <dataValidation type="list" allowBlank="1" showInputMessage="1" showErrorMessage="1" sqref="A3:A497" xr:uid="{AE4F94AA-5A61-4F1B-A03A-51CFB573FA60}">
      <formula1>$AE$2:$AE$19</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xr:uid="{917D6F5B-BFAB-4B3A-A5F2-9D7933F01F79}">
      <formula1>$AH$2:$AH$10</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xr:uid="{E6D8FB31-A7B1-4AEB-924D-FCB4BF7C42CF}">
      <formula1>$AV$2:$AV$20</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xr:uid="{D7CE82AC-6C93-437F-8329-6785823C47C8}">
      <formula1>$AL$5:$AL$9</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xr:uid="{1ECCBFC5-DED3-4492-A8FC-318737D36F29}">
      <formula1>$AT$2:$AT$3</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xr:uid="{F7F7BF6A-DA5C-41ED-BBBF-10A3523CE64C}">
      <formula1>$AR$2:$AR$30</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xr:uid="{8B9379D5-BB82-4594-A174-03047ABAD1C0}">
      <formula1>$AP$2:$AP$15</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xr:uid="{D5399549-8969-4237-8A8B-46EF8C9FC87C}">
      <formula1>$AN$5:$AN$6</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148 G158:G497" xr:uid="{471932BD-CC1D-494D-8217-F288DF378359}">
      <formula1>$AJ$2:$AJ$4</formula1>
    </dataValidation>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148 E158:E497" xr:uid="{30AD29EE-42A6-4B96-805C-AA67AFF572EA}">
      <formula1>$AG$2:$AG$11</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xr:uid="{514D393B-BE34-4BB5-BF7E-F59171E8C1B6}"/>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xr:uid="{34EA8D0F-9F02-4982-A062-07ECD6DE77B1}">
      <formula1>$AE$2:$AE$22</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8B3F3-2734-48B0-833F-543044FD9A49}">
  <dimension ref="A1:BA151"/>
  <sheetViews>
    <sheetView zoomScale="85" zoomScaleNormal="85" workbookViewId="0">
      <pane ySplit="1" topLeftCell="A2" activePane="bottomLeft" state="frozen"/>
      <selection pane="bottomLeft" activeCell="A2" sqref="A2"/>
    </sheetView>
  </sheetViews>
  <sheetFormatPr defaultColWidth="9" defaultRowHeight="13.5" x14ac:dyDescent="0.15"/>
  <cols>
    <col min="1" max="3" width="9" style="77"/>
    <col min="4" max="4" width="11" style="77" customWidth="1"/>
    <col min="5" max="5" width="10.875" style="77" customWidth="1"/>
    <col min="6" max="16" width="9" style="77"/>
    <col min="17" max="17" width="9" style="16"/>
    <col min="18" max="18" width="9" style="77"/>
    <col min="19" max="19" width="11.625" style="77" customWidth="1"/>
    <col min="20" max="20" width="9" style="16"/>
    <col min="21" max="21" width="9" style="77"/>
    <col min="22" max="22" width="9" style="16"/>
    <col min="23" max="32" width="9" style="77"/>
    <col min="33" max="33" width="14.375" style="77" customWidth="1"/>
    <col min="34" max="34" width="11.375" style="77" customWidth="1"/>
    <col min="35" max="16384" width="9" style="77"/>
  </cols>
  <sheetData>
    <row r="1" spans="1:53" ht="45" x14ac:dyDescent="0.15">
      <c r="A1" s="40" t="s">
        <v>0</v>
      </c>
      <c r="B1" s="92" t="s">
        <v>198</v>
      </c>
      <c r="C1" s="92" t="s">
        <v>199</v>
      </c>
      <c r="D1" s="93" t="s">
        <v>2</v>
      </c>
      <c r="E1" s="83" t="s">
        <v>3</v>
      </c>
      <c r="F1" s="83" t="s">
        <v>4</v>
      </c>
      <c r="G1" s="83" t="s">
        <v>5</v>
      </c>
      <c r="H1" s="83" t="s">
        <v>6</v>
      </c>
      <c r="I1" s="83" t="s">
        <v>7</v>
      </c>
      <c r="J1" s="83" t="s">
        <v>8</v>
      </c>
      <c r="K1" s="83" t="s">
        <v>9</v>
      </c>
      <c r="L1" s="93" t="s">
        <v>200</v>
      </c>
      <c r="M1" s="93" t="s">
        <v>201</v>
      </c>
      <c r="N1" s="93" t="s">
        <v>11</v>
      </c>
      <c r="O1" s="93" t="s">
        <v>202</v>
      </c>
      <c r="P1" s="93" t="s">
        <v>203</v>
      </c>
      <c r="Q1" s="132" t="s">
        <v>204</v>
      </c>
      <c r="R1" s="93" t="s">
        <v>205</v>
      </c>
      <c r="S1" s="93" t="s">
        <v>206</v>
      </c>
      <c r="T1" s="132" t="s">
        <v>13</v>
      </c>
      <c r="U1" s="94" t="s">
        <v>92</v>
      </c>
      <c r="V1" s="133" t="s">
        <v>14</v>
      </c>
      <c r="W1" s="93" t="s">
        <v>207</v>
      </c>
      <c r="X1" s="83" t="s">
        <v>16</v>
      </c>
      <c r="Y1" s="83" t="s">
        <v>17</v>
      </c>
      <c r="Z1" s="83" t="s">
        <v>18</v>
      </c>
      <c r="AA1" s="83" t="s">
        <v>19</v>
      </c>
      <c r="AB1" s="42" t="s">
        <v>208</v>
      </c>
      <c r="AE1" s="96" t="s">
        <v>0</v>
      </c>
      <c r="AF1" s="97"/>
      <c r="AG1" s="96" t="s">
        <v>3</v>
      </c>
      <c r="AH1" s="96" t="s">
        <v>4</v>
      </c>
      <c r="AI1" s="97"/>
      <c r="AJ1" s="96" t="s">
        <v>5</v>
      </c>
      <c r="AK1" s="97"/>
      <c r="AL1" s="10" t="s">
        <v>6</v>
      </c>
      <c r="AM1" s="97"/>
      <c r="AN1" s="10" t="s">
        <v>7</v>
      </c>
      <c r="AO1" s="97"/>
      <c r="AP1" s="10" t="s">
        <v>20</v>
      </c>
      <c r="AQ1" s="97"/>
      <c r="AR1" s="10" t="s">
        <v>9</v>
      </c>
      <c r="AS1" s="97"/>
      <c r="AT1" s="11" t="s">
        <v>209</v>
      </c>
      <c r="AU1" s="97"/>
      <c r="AV1" s="10" t="s">
        <v>22</v>
      </c>
      <c r="AX1" s="12" t="s">
        <v>210</v>
      </c>
      <c r="AY1" s="13" t="s">
        <v>211</v>
      </c>
      <c r="AZ1" s="13" t="s">
        <v>212</v>
      </c>
      <c r="BA1" s="14" t="s">
        <v>213</v>
      </c>
    </row>
    <row r="2" spans="1:53" s="36" customFormat="1" ht="13.5" customHeight="1" x14ac:dyDescent="0.15">
      <c r="A2" s="36" t="s">
        <v>30</v>
      </c>
      <c r="B2" s="36" t="s">
        <v>174</v>
      </c>
      <c r="C2" s="36">
        <v>2020</v>
      </c>
      <c r="D2" s="106" t="s">
        <v>370</v>
      </c>
      <c r="E2" s="36" t="s">
        <v>191</v>
      </c>
      <c r="F2" s="36" t="s">
        <v>214</v>
      </c>
      <c r="G2" s="36" t="s">
        <v>25</v>
      </c>
      <c r="H2" s="36" t="s">
        <v>113</v>
      </c>
      <c r="I2" s="36" t="s">
        <v>111</v>
      </c>
      <c r="J2" s="36" t="s">
        <v>27</v>
      </c>
      <c r="K2" s="36" t="s">
        <v>112</v>
      </c>
      <c r="L2" s="36">
        <v>1</v>
      </c>
      <c r="N2" s="36">
        <v>1</v>
      </c>
      <c r="O2" s="36">
        <v>0.95</v>
      </c>
      <c r="P2" s="36">
        <v>1</v>
      </c>
      <c r="Q2" s="115">
        <v>0.7</v>
      </c>
      <c r="R2" s="36">
        <v>13.3</v>
      </c>
      <c r="S2" s="36">
        <v>138</v>
      </c>
      <c r="T2" s="115">
        <f t="shared" ref="T2:T65" si="0">IF(H2="","",IF(OR(H2="GREEN",H2="GK"),IF(S2&gt;=$AX$2,VLOOKUP(S2,$AX$2:$AY$10,2,1),""),IF(S2&gt;=$AZ$2,VLOOKUP(S2,$AZ$2:$BA$10,2,1),"")))</f>
        <v>22</v>
      </c>
      <c r="U2" s="36">
        <v>98</v>
      </c>
      <c r="V2" s="115">
        <f t="shared" ref="V2:V65" si="1">IF(OR(N2="",U2="",T2=""),"",U2/N2*T2)</f>
        <v>2156</v>
      </c>
      <c r="W2" s="36">
        <v>3</v>
      </c>
      <c r="X2" s="36" t="s">
        <v>35</v>
      </c>
      <c r="Y2" s="36" t="s">
        <v>43</v>
      </c>
      <c r="Z2" s="36" t="s">
        <v>55</v>
      </c>
      <c r="AA2" s="36" t="s">
        <v>72</v>
      </c>
      <c r="AB2" s="36" t="s">
        <v>178</v>
      </c>
      <c r="AE2" s="109" t="s">
        <v>24</v>
      </c>
      <c r="AG2" s="136" t="s">
        <v>191</v>
      </c>
      <c r="AH2" s="137" t="s">
        <v>214</v>
      </c>
      <c r="AJ2" s="110" t="s">
        <v>25</v>
      </c>
      <c r="AL2" s="109" t="s">
        <v>215</v>
      </c>
      <c r="AN2" s="110" t="s">
        <v>26</v>
      </c>
      <c r="AP2" s="110" t="s">
        <v>27</v>
      </c>
      <c r="AR2" s="110" t="s">
        <v>112</v>
      </c>
      <c r="AT2" s="110" t="s">
        <v>28</v>
      </c>
      <c r="AV2" s="110" t="s">
        <v>29</v>
      </c>
      <c r="AX2" s="111">
        <v>1</v>
      </c>
      <c r="AY2" s="112">
        <v>50</v>
      </c>
      <c r="AZ2" s="112">
        <v>1</v>
      </c>
      <c r="BA2" s="113">
        <v>50</v>
      </c>
    </row>
    <row r="3" spans="1:53" s="36" customFormat="1" ht="13.5" customHeight="1" x14ac:dyDescent="0.15">
      <c r="A3" s="36" t="s">
        <v>30</v>
      </c>
      <c r="B3" s="36" t="s">
        <v>174</v>
      </c>
      <c r="C3" s="36">
        <v>2020</v>
      </c>
      <c r="D3" s="106" t="s">
        <v>370</v>
      </c>
      <c r="E3" s="36" t="s">
        <v>191</v>
      </c>
      <c r="F3" s="36" t="s">
        <v>214</v>
      </c>
      <c r="G3" s="36" t="s">
        <v>25</v>
      </c>
      <c r="H3" s="36" t="s">
        <v>113</v>
      </c>
      <c r="I3" s="36" t="s">
        <v>111</v>
      </c>
      <c r="J3" s="36" t="s">
        <v>27</v>
      </c>
      <c r="K3" s="36" t="s">
        <v>112</v>
      </c>
      <c r="L3" s="36">
        <v>2</v>
      </c>
      <c r="N3" s="36">
        <v>1</v>
      </c>
      <c r="O3" s="36">
        <v>0.7</v>
      </c>
      <c r="P3" s="36">
        <v>0.85</v>
      </c>
      <c r="Q3" s="115">
        <v>0.53</v>
      </c>
      <c r="R3" s="36">
        <v>10.199999999999999</v>
      </c>
      <c r="S3" s="36">
        <v>134</v>
      </c>
      <c r="T3" s="115">
        <f t="shared" si="0"/>
        <v>25</v>
      </c>
      <c r="U3" s="36">
        <v>98</v>
      </c>
      <c r="V3" s="115">
        <f t="shared" si="1"/>
        <v>2450</v>
      </c>
      <c r="W3" s="36">
        <v>3</v>
      </c>
      <c r="X3" s="36" t="s">
        <v>35</v>
      </c>
      <c r="Y3" s="36" t="s">
        <v>43</v>
      </c>
      <c r="Z3" s="36" t="s">
        <v>55</v>
      </c>
      <c r="AA3" s="36" t="s">
        <v>72</v>
      </c>
      <c r="AB3" s="36" t="s">
        <v>178</v>
      </c>
      <c r="AE3" s="116" t="s">
        <v>30</v>
      </c>
      <c r="AG3" s="138" t="s">
        <v>216</v>
      </c>
      <c r="AH3" s="138" t="s">
        <v>214</v>
      </c>
      <c r="AJ3" s="116" t="s">
        <v>31</v>
      </c>
      <c r="AL3" s="116" t="s">
        <v>217</v>
      </c>
      <c r="AN3" s="116" t="s">
        <v>32</v>
      </c>
      <c r="AP3" s="116" t="s">
        <v>33</v>
      </c>
      <c r="AR3" s="116" t="s">
        <v>34</v>
      </c>
      <c r="AT3" s="116" t="s">
        <v>35</v>
      </c>
      <c r="AV3" s="116" t="s">
        <v>36</v>
      </c>
      <c r="AX3" s="117">
        <v>72</v>
      </c>
      <c r="AY3" s="118">
        <v>46</v>
      </c>
      <c r="AZ3" s="118">
        <v>71</v>
      </c>
      <c r="BA3" s="119">
        <v>42</v>
      </c>
    </row>
    <row r="4" spans="1:53" s="36" customFormat="1" ht="13.5" customHeight="1" x14ac:dyDescent="0.15">
      <c r="A4" s="36" t="s">
        <v>30</v>
      </c>
      <c r="B4" s="36" t="s">
        <v>174</v>
      </c>
      <c r="C4" s="36">
        <v>2020</v>
      </c>
      <c r="D4" s="106" t="s">
        <v>370</v>
      </c>
      <c r="E4" s="36" t="s">
        <v>191</v>
      </c>
      <c r="F4" s="36" t="s">
        <v>214</v>
      </c>
      <c r="G4" s="36" t="s">
        <v>25</v>
      </c>
      <c r="H4" s="36" t="s">
        <v>113</v>
      </c>
      <c r="I4" s="36" t="s">
        <v>111</v>
      </c>
      <c r="J4" s="36" t="s">
        <v>27</v>
      </c>
      <c r="K4" s="36" t="s">
        <v>112</v>
      </c>
      <c r="L4" s="36">
        <v>3</v>
      </c>
      <c r="N4" s="36">
        <v>1</v>
      </c>
      <c r="O4" s="36">
        <v>0.8</v>
      </c>
      <c r="P4" s="36">
        <v>0.9</v>
      </c>
      <c r="Q4" s="115">
        <v>0.55000000000000004</v>
      </c>
      <c r="R4" s="36">
        <v>12.2</v>
      </c>
      <c r="S4" s="36">
        <v>132</v>
      </c>
      <c r="T4" s="115">
        <f t="shared" si="0"/>
        <v>25</v>
      </c>
      <c r="U4" s="36">
        <v>98</v>
      </c>
      <c r="V4" s="115">
        <f t="shared" si="1"/>
        <v>2450</v>
      </c>
      <c r="W4" s="36">
        <v>3</v>
      </c>
      <c r="X4" s="36" t="s">
        <v>35</v>
      </c>
      <c r="Y4" s="36" t="s">
        <v>43</v>
      </c>
      <c r="Z4" s="36" t="s">
        <v>55</v>
      </c>
      <c r="AA4" s="36" t="s">
        <v>72</v>
      </c>
      <c r="AB4" s="36" t="s">
        <v>178</v>
      </c>
      <c r="AE4" s="116" t="s">
        <v>23</v>
      </c>
      <c r="AG4" s="138" t="s">
        <v>216</v>
      </c>
      <c r="AH4" s="138" t="s">
        <v>218</v>
      </c>
      <c r="AJ4" s="120" t="s">
        <v>37</v>
      </c>
      <c r="AL4" s="116" t="s">
        <v>219</v>
      </c>
      <c r="AN4" s="121" t="s">
        <v>220</v>
      </c>
      <c r="AP4" s="116" t="s">
        <v>221</v>
      </c>
      <c r="AR4" s="116" t="s">
        <v>222</v>
      </c>
      <c r="AT4" s="121"/>
      <c r="AV4" s="116" t="s">
        <v>39</v>
      </c>
      <c r="AX4" s="117">
        <v>75</v>
      </c>
      <c r="AY4" s="118">
        <v>42</v>
      </c>
      <c r="AZ4" s="118">
        <v>76</v>
      </c>
      <c r="BA4" s="119">
        <v>39</v>
      </c>
    </row>
    <row r="5" spans="1:53" s="36" customFormat="1" ht="13.5" customHeight="1" x14ac:dyDescent="0.15">
      <c r="A5" s="36" t="s">
        <v>30</v>
      </c>
      <c r="B5" s="36" t="s">
        <v>174</v>
      </c>
      <c r="C5" s="36">
        <v>2020</v>
      </c>
      <c r="D5" s="106" t="s">
        <v>370</v>
      </c>
      <c r="E5" s="36" t="s">
        <v>191</v>
      </c>
      <c r="F5" s="36" t="s">
        <v>214</v>
      </c>
      <c r="G5" s="36" t="s">
        <v>25</v>
      </c>
      <c r="H5" s="36" t="s">
        <v>113</v>
      </c>
      <c r="I5" s="36" t="s">
        <v>111</v>
      </c>
      <c r="J5" s="36" t="s">
        <v>27</v>
      </c>
      <c r="K5" s="36" t="s">
        <v>112</v>
      </c>
      <c r="L5" s="36">
        <v>1</v>
      </c>
      <c r="N5" s="36">
        <v>8</v>
      </c>
      <c r="O5" s="36">
        <v>1.2</v>
      </c>
      <c r="P5" s="36">
        <v>1.3</v>
      </c>
      <c r="Q5" s="115">
        <v>1.25</v>
      </c>
      <c r="R5" s="36">
        <v>14.2</v>
      </c>
      <c r="S5" s="36">
        <v>112</v>
      </c>
      <c r="T5" s="115">
        <f t="shared" si="0"/>
        <v>33</v>
      </c>
      <c r="U5" s="36">
        <v>598</v>
      </c>
      <c r="V5" s="115">
        <f t="shared" si="1"/>
        <v>2466.75</v>
      </c>
      <c r="W5" s="36">
        <v>2</v>
      </c>
      <c r="X5" s="36" t="s">
        <v>35</v>
      </c>
      <c r="Y5" s="36" t="s">
        <v>43</v>
      </c>
      <c r="Z5" s="36" t="s">
        <v>55</v>
      </c>
      <c r="AA5" s="36" t="s">
        <v>72</v>
      </c>
      <c r="AB5" s="36" t="s">
        <v>178</v>
      </c>
      <c r="AE5" s="116" t="s">
        <v>40</v>
      </c>
      <c r="AG5" s="138" t="s">
        <v>223</v>
      </c>
      <c r="AH5" s="138" t="s">
        <v>214</v>
      </c>
      <c r="AJ5" s="121"/>
      <c r="AL5" s="116" t="s">
        <v>113</v>
      </c>
      <c r="AN5" s="122" t="s">
        <v>111</v>
      </c>
      <c r="AP5" s="116" t="s">
        <v>224</v>
      </c>
      <c r="AR5" s="116" t="s">
        <v>42</v>
      </c>
      <c r="AV5" s="116" t="s">
        <v>43</v>
      </c>
      <c r="AX5" s="117">
        <v>84</v>
      </c>
      <c r="AY5" s="118">
        <v>39</v>
      </c>
      <c r="AZ5" s="118">
        <v>84</v>
      </c>
      <c r="BA5" s="119">
        <v>36</v>
      </c>
    </row>
    <row r="6" spans="1:53" s="36" customFormat="1" ht="13.5" customHeight="1" x14ac:dyDescent="0.15">
      <c r="A6" s="36" t="s">
        <v>30</v>
      </c>
      <c r="B6" s="36" t="s">
        <v>174</v>
      </c>
      <c r="C6" s="36">
        <v>2020</v>
      </c>
      <c r="D6" s="106" t="s">
        <v>370</v>
      </c>
      <c r="E6" s="36" t="s">
        <v>191</v>
      </c>
      <c r="F6" s="36" t="s">
        <v>214</v>
      </c>
      <c r="G6" s="36" t="s">
        <v>25</v>
      </c>
      <c r="H6" s="36" t="s">
        <v>113</v>
      </c>
      <c r="I6" s="36" t="s">
        <v>111</v>
      </c>
      <c r="J6" s="36" t="s">
        <v>27</v>
      </c>
      <c r="K6" s="36" t="s">
        <v>112</v>
      </c>
      <c r="L6" s="36">
        <v>2</v>
      </c>
      <c r="N6" s="36">
        <v>8</v>
      </c>
      <c r="O6" s="36">
        <v>0.9</v>
      </c>
      <c r="P6" s="36">
        <v>1.1000000000000001</v>
      </c>
      <c r="Q6" s="115">
        <v>1.28</v>
      </c>
      <c r="R6" s="36">
        <v>11.5</v>
      </c>
      <c r="S6" s="36">
        <v>110</v>
      </c>
      <c r="T6" s="115">
        <f t="shared" si="0"/>
        <v>33</v>
      </c>
      <c r="U6" s="36">
        <v>598</v>
      </c>
      <c r="V6" s="115">
        <f t="shared" si="1"/>
        <v>2466.75</v>
      </c>
      <c r="W6" s="36">
        <v>2</v>
      </c>
      <c r="X6" s="36" t="s">
        <v>35</v>
      </c>
      <c r="Y6" s="36" t="s">
        <v>43</v>
      </c>
      <c r="Z6" s="36" t="s">
        <v>55</v>
      </c>
      <c r="AA6" s="36" t="s">
        <v>72</v>
      </c>
      <c r="AB6" s="36" t="s">
        <v>178</v>
      </c>
      <c r="AE6" s="116" t="s">
        <v>44</v>
      </c>
      <c r="AG6" s="138" t="s">
        <v>223</v>
      </c>
      <c r="AH6" s="138" t="s">
        <v>225</v>
      </c>
      <c r="AL6" s="116" t="s">
        <v>226</v>
      </c>
      <c r="AN6" s="122" t="s">
        <v>170</v>
      </c>
      <c r="AP6" s="116" t="s">
        <v>41</v>
      </c>
      <c r="AR6" s="116" t="s">
        <v>46</v>
      </c>
      <c r="AV6" s="116" t="s">
        <v>47</v>
      </c>
      <c r="AX6" s="117">
        <v>97</v>
      </c>
      <c r="AY6" s="118">
        <v>36</v>
      </c>
      <c r="AZ6" s="118">
        <v>99</v>
      </c>
      <c r="BA6" s="119">
        <v>33</v>
      </c>
    </row>
    <row r="7" spans="1:53" s="36" customFormat="1" ht="13.5" customHeight="1" x14ac:dyDescent="0.15">
      <c r="A7" s="36" t="s">
        <v>30</v>
      </c>
      <c r="B7" s="36" t="s">
        <v>174</v>
      </c>
      <c r="C7" s="36">
        <v>2020</v>
      </c>
      <c r="D7" s="106" t="s">
        <v>370</v>
      </c>
      <c r="E7" s="36" t="s">
        <v>191</v>
      </c>
      <c r="F7" s="36" t="s">
        <v>214</v>
      </c>
      <c r="G7" s="36" t="s">
        <v>25</v>
      </c>
      <c r="H7" s="36" t="s">
        <v>113</v>
      </c>
      <c r="I7" s="36" t="s">
        <v>111</v>
      </c>
      <c r="J7" s="36" t="s">
        <v>27</v>
      </c>
      <c r="K7" s="36" t="s">
        <v>112</v>
      </c>
      <c r="L7" s="36">
        <v>3</v>
      </c>
      <c r="N7" s="36">
        <v>8</v>
      </c>
      <c r="O7" s="36">
        <v>0.85</v>
      </c>
      <c r="P7" s="36">
        <v>1</v>
      </c>
      <c r="Q7" s="115">
        <v>1.1000000000000001</v>
      </c>
      <c r="R7" s="36">
        <v>14.2</v>
      </c>
      <c r="S7" s="36">
        <v>111</v>
      </c>
      <c r="T7" s="115">
        <f t="shared" si="0"/>
        <v>33</v>
      </c>
      <c r="U7" s="36">
        <v>598</v>
      </c>
      <c r="V7" s="115">
        <f t="shared" si="1"/>
        <v>2466.75</v>
      </c>
      <c r="W7" s="36">
        <v>2</v>
      </c>
      <c r="X7" s="36" t="s">
        <v>35</v>
      </c>
      <c r="Y7" s="36" t="s">
        <v>43</v>
      </c>
      <c r="Z7" s="36" t="s">
        <v>55</v>
      </c>
      <c r="AA7" s="36" t="s">
        <v>72</v>
      </c>
      <c r="AB7" s="36" t="s">
        <v>178</v>
      </c>
      <c r="AE7" s="116" t="s">
        <v>48</v>
      </c>
      <c r="AG7" s="138" t="s">
        <v>227</v>
      </c>
      <c r="AH7" s="138" t="s">
        <v>225</v>
      </c>
      <c r="AL7" s="116" t="s">
        <v>228</v>
      </c>
      <c r="AP7" s="116" t="s">
        <v>45</v>
      </c>
      <c r="AR7" s="116" t="s">
        <v>229</v>
      </c>
      <c r="AV7" s="116" t="s">
        <v>51</v>
      </c>
      <c r="AX7" s="117">
        <v>109</v>
      </c>
      <c r="AY7" s="118">
        <v>33</v>
      </c>
      <c r="AZ7" s="118">
        <v>113</v>
      </c>
      <c r="BA7" s="119">
        <v>30</v>
      </c>
    </row>
    <row r="8" spans="1:53" s="36" customFormat="1" ht="13.5" customHeight="1" x14ac:dyDescent="0.15">
      <c r="A8" s="36" t="s">
        <v>30</v>
      </c>
      <c r="B8" s="36" t="s">
        <v>174</v>
      </c>
      <c r="C8" s="36">
        <v>2020</v>
      </c>
      <c r="D8" s="106" t="s">
        <v>370</v>
      </c>
      <c r="E8" s="36" t="s">
        <v>191</v>
      </c>
      <c r="F8" s="36" t="s">
        <v>214</v>
      </c>
      <c r="G8" s="36" t="s">
        <v>25</v>
      </c>
      <c r="H8" s="36" t="s">
        <v>113</v>
      </c>
      <c r="I8" s="36" t="s">
        <v>111</v>
      </c>
      <c r="J8" s="36" t="s">
        <v>27</v>
      </c>
      <c r="K8" s="36" t="s">
        <v>112</v>
      </c>
      <c r="L8" s="36">
        <v>1</v>
      </c>
      <c r="N8" s="36">
        <v>12</v>
      </c>
      <c r="O8" s="36">
        <v>0.8</v>
      </c>
      <c r="P8" s="36">
        <v>0.8</v>
      </c>
      <c r="Q8" s="115">
        <v>0.85</v>
      </c>
      <c r="R8" s="36">
        <v>13.5</v>
      </c>
      <c r="S8" s="36">
        <v>124</v>
      </c>
      <c r="T8" s="108">
        <f t="shared" si="0"/>
        <v>27</v>
      </c>
      <c r="U8" s="36">
        <v>880</v>
      </c>
      <c r="V8" s="108">
        <f t="shared" si="1"/>
        <v>1979.9999999999998</v>
      </c>
      <c r="W8" s="36">
        <v>4</v>
      </c>
      <c r="X8" s="36" t="s">
        <v>35</v>
      </c>
      <c r="Y8" s="36" t="s">
        <v>43</v>
      </c>
      <c r="Z8" s="36" t="s">
        <v>55</v>
      </c>
      <c r="AA8" s="36" t="s">
        <v>72</v>
      </c>
      <c r="AB8" s="36" t="s">
        <v>178</v>
      </c>
      <c r="AE8" s="116" t="s">
        <v>46</v>
      </c>
      <c r="AG8" s="138" t="s">
        <v>230</v>
      </c>
      <c r="AH8" s="138" t="s">
        <v>231</v>
      </c>
      <c r="AL8" s="116" t="s">
        <v>164</v>
      </c>
      <c r="AP8" s="116" t="s">
        <v>49</v>
      </c>
      <c r="AR8" s="116" t="s">
        <v>67</v>
      </c>
      <c r="AV8" s="116" t="s">
        <v>82</v>
      </c>
      <c r="AX8" s="117">
        <v>119</v>
      </c>
      <c r="AY8" s="118">
        <v>30</v>
      </c>
      <c r="AZ8" s="118">
        <v>121</v>
      </c>
      <c r="BA8" s="119">
        <v>27</v>
      </c>
    </row>
    <row r="9" spans="1:53" s="36" customFormat="1" ht="13.5" customHeight="1" x14ac:dyDescent="0.15">
      <c r="A9" s="36" t="s">
        <v>30</v>
      </c>
      <c r="B9" s="36" t="s">
        <v>174</v>
      </c>
      <c r="C9" s="36">
        <v>2020</v>
      </c>
      <c r="D9" s="106" t="s">
        <v>370</v>
      </c>
      <c r="E9" s="36" t="s">
        <v>191</v>
      </c>
      <c r="F9" s="36" t="s">
        <v>214</v>
      </c>
      <c r="G9" s="36" t="s">
        <v>25</v>
      </c>
      <c r="H9" s="36" t="s">
        <v>113</v>
      </c>
      <c r="I9" s="36" t="s">
        <v>111</v>
      </c>
      <c r="J9" s="36" t="s">
        <v>27</v>
      </c>
      <c r="K9" s="36" t="s">
        <v>112</v>
      </c>
      <c r="L9" s="36">
        <v>2</v>
      </c>
      <c r="N9" s="36">
        <v>12</v>
      </c>
      <c r="O9" s="36">
        <v>0.65</v>
      </c>
      <c r="P9" s="36">
        <v>0.45</v>
      </c>
      <c r="Q9" s="115">
        <v>0.65</v>
      </c>
      <c r="R9" s="36">
        <v>12</v>
      </c>
      <c r="S9" s="36">
        <v>126</v>
      </c>
      <c r="T9" s="108">
        <f t="shared" si="0"/>
        <v>27</v>
      </c>
      <c r="U9" s="36">
        <v>880</v>
      </c>
      <c r="V9" s="115">
        <f t="shared" si="1"/>
        <v>1979.9999999999998</v>
      </c>
      <c r="W9" s="36">
        <v>4</v>
      </c>
      <c r="X9" s="36" t="s">
        <v>35</v>
      </c>
      <c r="Y9" s="36" t="s">
        <v>43</v>
      </c>
      <c r="Z9" s="36" t="s">
        <v>55</v>
      </c>
      <c r="AA9" s="36" t="s">
        <v>72</v>
      </c>
      <c r="AB9" s="36" t="s">
        <v>178</v>
      </c>
      <c r="AE9" s="116" t="s">
        <v>232</v>
      </c>
      <c r="AG9" s="138" t="s">
        <v>233</v>
      </c>
      <c r="AH9" s="138" t="s">
        <v>234</v>
      </c>
      <c r="AL9" s="116" t="s">
        <v>235</v>
      </c>
      <c r="AP9" s="116" t="s">
        <v>80</v>
      </c>
      <c r="AR9" s="116" t="s">
        <v>236</v>
      </c>
      <c r="AV9" s="116" t="s">
        <v>86</v>
      </c>
      <c r="AX9" s="117">
        <v>128</v>
      </c>
      <c r="AY9" s="118">
        <v>27</v>
      </c>
      <c r="AZ9" s="118">
        <v>129</v>
      </c>
      <c r="BA9" s="119">
        <v>25</v>
      </c>
    </row>
    <row r="10" spans="1:53" s="36" customFormat="1" ht="13.5" customHeight="1" x14ac:dyDescent="0.15">
      <c r="A10" s="36" t="s">
        <v>30</v>
      </c>
      <c r="B10" s="36" t="s">
        <v>174</v>
      </c>
      <c r="C10" s="36">
        <v>2020</v>
      </c>
      <c r="D10" s="106" t="s">
        <v>370</v>
      </c>
      <c r="E10" s="36" t="s">
        <v>191</v>
      </c>
      <c r="F10" s="36" t="s">
        <v>214</v>
      </c>
      <c r="G10" s="36" t="s">
        <v>25</v>
      </c>
      <c r="H10" s="36" t="s">
        <v>113</v>
      </c>
      <c r="I10" s="36" t="s">
        <v>111</v>
      </c>
      <c r="J10" s="36" t="s">
        <v>27</v>
      </c>
      <c r="K10" s="36" t="s">
        <v>112</v>
      </c>
      <c r="L10" s="36">
        <v>3</v>
      </c>
      <c r="N10" s="36">
        <v>12</v>
      </c>
      <c r="O10" s="36">
        <v>0.5</v>
      </c>
      <c r="P10" s="36">
        <v>0.4</v>
      </c>
      <c r="Q10" s="115">
        <v>0.75</v>
      </c>
      <c r="R10" s="36">
        <v>13.4</v>
      </c>
      <c r="S10" s="36">
        <v>122</v>
      </c>
      <c r="T10" s="108">
        <f t="shared" si="0"/>
        <v>27</v>
      </c>
      <c r="U10" s="36">
        <v>880</v>
      </c>
      <c r="V10" s="115">
        <f t="shared" si="1"/>
        <v>1979.9999999999998</v>
      </c>
      <c r="W10" s="36">
        <v>4</v>
      </c>
      <c r="X10" s="36" t="s">
        <v>35</v>
      </c>
      <c r="Y10" s="36" t="s">
        <v>43</v>
      </c>
      <c r="Z10" s="36" t="s">
        <v>55</v>
      </c>
      <c r="AA10" s="36" t="s">
        <v>72</v>
      </c>
      <c r="AB10" s="36" t="s">
        <v>178</v>
      </c>
      <c r="AE10" s="116" t="s">
        <v>237</v>
      </c>
      <c r="AG10" s="138" t="s">
        <v>230</v>
      </c>
      <c r="AH10" s="138" t="s">
        <v>238</v>
      </c>
      <c r="AP10" s="116" t="s">
        <v>84</v>
      </c>
      <c r="AR10" s="116" t="s">
        <v>239</v>
      </c>
      <c r="AV10" s="116" t="s">
        <v>90</v>
      </c>
      <c r="AX10" s="117">
        <v>138</v>
      </c>
      <c r="AY10" s="118">
        <v>25</v>
      </c>
      <c r="AZ10" s="118">
        <v>138</v>
      </c>
      <c r="BA10" s="119">
        <v>22</v>
      </c>
    </row>
    <row r="11" spans="1:53" s="36" customFormat="1" ht="13.5" customHeight="1" x14ac:dyDescent="0.15">
      <c r="A11" s="36" t="s">
        <v>30</v>
      </c>
      <c r="B11" s="36" t="s">
        <v>174</v>
      </c>
      <c r="C11" s="36">
        <v>2020</v>
      </c>
      <c r="D11" s="106" t="s">
        <v>370</v>
      </c>
      <c r="E11" s="36" t="s">
        <v>191</v>
      </c>
      <c r="F11" s="36" t="s">
        <v>214</v>
      </c>
      <c r="G11" s="36" t="s">
        <v>25</v>
      </c>
      <c r="H11" s="36" t="s">
        <v>164</v>
      </c>
      <c r="I11" s="36" t="s">
        <v>111</v>
      </c>
      <c r="J11" s="36" t="s">
        <v>27</v>
      </c>
      <c r="K11" s="36" t="s">
        <v>112</v>
      </c>
      <c r="L11" s="36">
        <v>1</v>
      </c>
      <c r="N11" s="36">
        <v>1</v>
      </c>
      <c r="O11" s="36">
        <v>0.4</v>
      </c>
      <c r="P11" s="36">
        <v>0.55000000000000004</v>
      </c>
      <c r="Q11" s="115">
        <v>0.28000000000000003</v>
      </c>
      <c r="R11" s="36">
        <v>16.2</v>
      </c>
      <c r="S11" s="36">
        <v>123</v>
      </c>
      <c r="T11" s="108">
        <f t="shared" si="0"/>
        <v>27</v>
      </c>
      <c r="U11" s="36">
        <v>138</v>
      </c>
      <c r="V11" s="108">
        <f t="shared" si="1"/>
        <v>3726</v>
      </c>
      <c r="W11" s="36">
        <v>4</v>
      </c>
      <c r="X11" s="36" t="s">
        <v>35</v>
      </c>
      <c r="Y11" s="36" t="s">
        <v>43</v>
      </c>
      <c r="Z11" s="36" t="s">
        <v>55</v>
      </c>
      <c r="AA11" s="36" t="s">
        <v>72</v>
      </c>
      <c r="AB11" s="36" t="s">
        <v>178</v>
      </c>
      <c r="AE11" s="116" t="s">
        <v>54</v>
      </c>
      <c r="AG11" s="138" t="s">
        <v>240</v>
      </c>
      <c r="AH11" s="138" t="s">
        <v>241</v>
      </c>
      <c r="AP11" s="116" t="s">
        <v>88</v>
      </c>
      <c r="AR11" s="116" t="s">
        <v>242</v>
      </c>
      <c r="AV11" s="116" t="s">
        <v>55</v>
      </c>
      <c r="AX11" s="117">
        <v>151</v>
      </c>
      <c r="AY11" s="118">
        <v>22</v>
      </c>
      <c r="AZ11" s="118">
        <v>152</v>
      </c>
      <c r="BA11" s="119">
        <v>18</v>
      </c>
    </row>
    <row r="12" spans="1:53" s="36" customFormat="1" ht="13.5" customHeight="1" x14ac:dyDescent="0.15">
      <c r="A12" s="36" t="s">
        <v>30</v>
      </c>
      <c r="B12" s="36" t="s">
        <v>174</v>
      </c>
      <c r="C12" s="36">
        <v>2020</v>
      </c>
      <c r="D12" s="106" t="s">
        <v>370</v>
      </c>
      <c r="E12" s="36" t="s">
        <v>191</v>
      </c>
      <c r="F12" s="36" t="s">
        <v>214</v>
      </c>
      <c r="G12" s="36" t="s">
        <v>25</v>
      </c>
      <c r="H12" s="36" t="s">
        <v>164</v>
      </c>
      <c r="I12" s="36" t="s">
        <v>111</v>
      </c>
      <c r="J12" s="36" t="s">
        <v>27</v>
      </c>
      <c r="K12" s="36" t="s">
        <v>112</v>
      </c>
      <c r="L12" s="36">
        <v>2</v>
      </c>
      <c r="N12" s="36">
        <v>1</v>
      </c>
      <c r="O12" s="36">
        <v>0.3</v>
      </c>
      <c r="P12" s="36">
        <v>0.35</v>
      </c>
      <c r="Q12" s="115">
        <v>0.4</v>
      </c>
      <c r="R12" s="36">
        <v>15.2</v>
      </c>
      <c r="S12" s="36">
        <v>124</v>
      </c>
      <c r="T12" s="108">
        <f t="shared" si="0"/>
        <v>27</v>
      </c>
      <c r="U12" s="36">
        <v>138</v>
      </c>
      <c r="V12" s="115">
        <f t="shared" si="1"/>
        <v>3726</v>
      </c>
      <c r="W12" s="36">
        <v>4</v>
      </c>
      <c r="X12" s="36" t="s">
        <v>35</v>
      </c>
      <c r="Y12" s="36" t="s">
        <v>43</v>
      </c>
      <c r="Z12" s="36" t="s">
        <v>55</v>
      </c>
      <c r="AA12" s="36" t="s">
        <v>72</v>
      </c>
      <c r="AB12" s="36" t="s">
        <v>178</v>
      </c>
      <c r="AE12" s="116" t="s">
        <v>243</v>
      </c>
      <c r="AG12" s="116"/>
      <c r="AH12" s="116"/>
      <c r="AP12" s="116" t="s">
        <v>53</v>
      </c>
      <c r="AR12" s="116" t="s">
        <v>244</v>
      </c>
      <c r="AV12" s="116" t="s">
        <v>58</v>
      </c>
      <c r="AX12" s="124">
        <v>180</v>
      </c>
      <c r="AY12" s="125">
        <v>18</v>
      </c>
      <c r="AZ12" s="125">
        <v>181</v>
      </c>
      <c r="BA12" s="126">
        <v>16</v>
      </c>
    </row>
    <row r="13" spans="1:53" s="36" customFormat="1" ht="13.5" customHeight="1" x14ac:dyDescent="0.15">
      <c r="A13" s="36" t="s">
        <v>30</v>
      </c>
      <c r="B13" s="36" t="s">
        <v>174</v>
      </c>
      <c r="C13" s="36">
        <v>2020</v>
      </c>
      <c r="D13" s="106" t="s">
        <v>370</v>
      </c>
      <c r="E13" s="36" t="s">
        <v>191</v>
      </c>
      <c r="F13" s="36" t="s">
        <v>214</v>
      </c>
      <c r="G13" s="36" t="s">
        <v>25</v>
      </c>
      <c r="H13" s="36" t="s">
        <v>164</v>
      </c>
      <c r="I13" s="36" t="s">
        <v>111</v>
      </c>
      <c r="J13" s="36" t="s">
        <v>27</v>
      </c>
      <c r="K13" s="36" t="s">
        <v>112</v>
      </c>
      <c r="L13" s="36">
        <v>3</v>
      </c>
      <c r="N13" s="36">
        <v>1</v>
      </c>
      <c r="O13" s="36">
        <v>0.35</v>
      </c>
      <c r="P13" s="36">
        <v>0.25</v>
      </c>
      <c r="Q13" s="115">
        <v>0.33</v>
      </c>
      <c r="R13" s="36">
        <v>17</v>
      </c>
      <c r="S13" s="36">
        <v>128</v>
      </c>
      <c r="T13" s="108">
        <f t="shared" si="0"/>
        <v>27</v>
      </c>
      <c r="U13" s="36">
        <v>138</v>
      </c>
      <c r="V13" s="115">
        <f t="shared" si="1"/>
        <v>3726</v>
      </c>
      <c r="W13" s="36">
        <v>4</v>
      </c>
      <c r="X13" s="36" t="s">
        <v>35</v>
      </c>
      <c r="Y13" s="36" t="s">
        <v>43</v>
      </c>
      <c r="Z13" s="36" t="s">
        <v>55</v>
      </c>
      <c r="AA13" s="36" t="s">
        <v>72</v>
      </c>
      <c r="AB13" s="36" t="s">
        <v>178</v>
      </c>
      <c r="AE13" s="116" t="s">
        <v>245</v>
      </c>
      <c r="AG13" s="116"/>
      <c r="AH13" s="116"/>
      <c r="AP13" s="116" t="s">
        <v>57</v>
      </c>
      <c r="AR13" s="116" t="s">
        <v>237</v>
      </c>
      <c r="AV13" s="116" t="s">
        <v>61</v>
      </c>
    </row>
    <row r="14" spans="1:53" s="36" customFormat="1" ht="13.5" customHeight="1" x14ac:dyDescent="0.15">
      <c r="A14" s="36" t="s">
        <v>30</v>
      </c>
      <c r="B14" s="36" t="s">
        <v>174</v>
      </c>
      <c r="C14" s="36">
        <v>2020</v>
      </c>
      <c r="D14" s="106" t="s">
        <v>370</v>
      </c>
      <c r="E14" s="36" t="s">
        <v>191</v>
      </c>
      <c r="F14" s="36" t="s">
        <v>214</v>
      </c>
      <c r="G14" s="36" t="s">
        <v>25</v>
      </c>
      <c r="H14" s="36" t="s">
        <v>164</v>
      </c>
      <c r="I14" s="36" t="s">
        <v>111</v>
      </c>
      <c r="J14" s="36" t="s">
        <v>27</v>
      </c>
      <c r="K14" s="36" t="s">
        <v>112</v>
      </c>
      <c r="L14" s="36">
        <v>1</v>
      </c>
      <c r="N14" s="36">
        <v>6</v>
      </c>
      <c r="O14" s="36">
        <v>0.3</v>
      </c>
      <c r="P14" s="36">
        <v>0.3</v>
      </c>
      <c r="Q14" s="115">
        <v>0.43</v>
      </c>
      <c r="R14" s="36">
        <v>14.2</v>
      </c>
      <c r="S14" s="36">
        <v>120</v>
      </c>
      <c r="T14" s="108">
        <f t="shared" si="0"/>
        <v>30</v>
      </c>
      <c r="U14" s="36">
        <v>798</v>
      </c>
      <c r="V14" s="108">
        <f t="shared" si="1"/>
        <v>3990</v>
      </c>
      <c r="W14" s="36">
        <v>2</v>
      </c>
      <c r="X14" s="36" t="s">
        <v>35</v>
      </c>
      <c r="Y14" s="36" t="s">
        <v>43</v>
      </c>
      <c r="Z14" s="36" t="s">
        <v>55</v>
      </c>
      <c r="AA14" s="36" t="s">
        <v>72</v>
      </c>
      <c r="AB14" s="36" t="s">
        <v>178</v>
      </c>
      <c r="AE14" s="116" t="s">
        <v>81</v>
      </c>
      <c r="AG14" s="116"/>
      <c r="AH14" s="116"/>
      <c r="AP14" s="116" t="s">
        <v>60</v>
      </c>
      <c r="AR14" s="116" t="s">
        <v>246</v>
      </c>
      <c r="AV14" s="116" t="s">
        <v>64</v>
      </c>
    </row>
    <row r="15" spans="1:53" s="36" customFormat="1" ht="13.5" customHeight="1" x14ac:dyDescent="0.15">
      <c r="A15" s="36" t="s">
        <v>30</v>
      </c>
      <c r="B15" s="36" t="s">
        <v>174</v>
      </c>
      <c r="C15" s="36">
        <v>2020</v>
      </c>
      <c r="D15" s="106" t="s">
        <v>370</v>
      </c>
      <c r="E15" s="36" t="s">
        <v>191</v>
      </c>
      <c r="F15" s="36" t="s">
        <v>214</v>
      </c>
      <c r="G15" s="36" t="s">
        <v>25</v>
      </c>
      <c r="H15" s="36" t="s">
        <v>164</v>
      </c>
      <c r="I15" s="36" t="s">
        <v>111</v>
      </c>
      <c r="J15" s="36" t="s">
        <v>27</v>
      </c>
      <c r="K15" s="36" t="s">
        <v>112</v>
      </c>
      <c r="L15" s="36">
        <v>2</v>
      </c>
      <c r="N15" s="36">
        <v>6</v>
      </c>
      <c r="O15" s="36">
        <v>0.45</v>
      </c>
      <c r="P15" s="36">
        <v>0.4</v>
      </c>
      <c r="Q15" s="115">
        <v>0.38</v>
      </c>
      <c r="R15" s="36">
        <v>13.8</v>
      </c>
      <c r="S15" s="36">
        <v>118</v>
      </c>
      <c r="T15" s="108">
        <f t="shared" si="0"/>
        <v>30</v>
      </c>
      <c r="U15" s="36">
        <v>798</v>
      </c>
      <c r="V15" s="115">
        <f t="shared" si="1"/>
        <v>3990</v>
      </c>
      <c r="W15" s="36">
        <v>2</v>
      </c>
      <c r="X15" s="36" t="s">
        <v>35</v>
      </c>
      <c r="Y15" s="36" t="s">
        <v>43</v>
      </c>
      <c r="Z15" s="36" t="s">
        <v>55</v>
      </c>
      <c r="AA15" s="36" t="s">
        <v>72</v>
      </c>
      <c r="AB15" s="36" t="s">
        <v>178</v>
      </c>
      <c r="AE15" s="116" t="s">
        <v>247</v>
      </c>
      <c r="AG15" s="116"/>
      <c r="AH15" s="116"/>
      <c r="AP15" s="116" t="s">
        <v>63</v>
      </c>
      <c r="AR15" s="116" t="s">
        <v>66</v>
      </c>
      <c r="AV15" s="116" t="s">
        <v>91</v>
      </c>
    </row>
    <row r="16" spans="1:53" s="36" customFormat="1" ht="13.5" customHeight="1" x14ac:dyDescent="0.15">
      <c r="A16" s="36" t="s">
        <v>30</v>
      </c>
      <c r="B16" s="36" t="s">
        <v>174</v>
      </c>
      <c r="C16" s="36">
        <v>2020</v>
      </c>
      <c r="D16" s="106" t="s">
        <v>370</v>
      </c>
      <c r="E16" s="36" t="s">
        <v>191</v>
      </c>
      <c r="F16" s="36" t="s">
        <v>214</v>
      </c>
      <c r="G16" s="36" t="s">
        <v>25</v>
      </c>
      <c r="H16" s="36" t="s">
        <v>164</v>
      </c>
      <c r="I16" s="36" t="s">
        <v>111</v>
      </c>
      <c r="J16" s="36" t="s">
        <v>27</v>
      </c>
      <c r="K16" s="36" t="s">
        <v>112</v>
      </c>
      <c r="L16" s="36">
        <v>3</v>
      </c>
      <c r="N16" s="36">
        <v>6</v>
      </c>
      <c r="O16" s="36">
        <v>0.7</v>
      </c>
      <c r="P16" s="36">
        <v>0.6</v>
      </c>
      <c r="Q16" s="115">
        <v>0.43</v>
      </c>
      <c r="R16" s="36">
        <v>12.4</v>
      </c>
      <c r="S16" s="36">
        <v>120</v>
      </c>
      <c r="T16" s="108">
        <f t="shared" si="0"/>
        <v>30</v>
      </c>
      <c r="U16" s="36">
        <v>798</v>
      </c>
      <c r="V16" s="115">
        <f t="shared" si="1"/>
        <v>3990</v>
      </c>
      <c r="W16" s="36">
        <v>2</v>
      </c>
      <c r="X16" s="36" t="s">
        <v>35</v>
      </c>
      <c r="Y16" s="36" t="s">
        <v>43</v>
      </c>
      <c r="Z16" s="36" t="s">
        <v>55</v>
      </c>
      <c r="AA16" s="36" t="s">
        <v>72</v>
      </c>
      <c r="AB16" s="36" t="s">
        <v>178</v>
      </c>
      <c r="AE16" s="116" t="s">
        <v>248</v>
      </c>
      <c r="AG16" s="121"/>
      <c r="AH16" s="121"/>
      <c r="AP16" s="116" t="s">
        <v>66</v>
      </c>
      <c r="AR16" s="116" t="s">
        <v>50</v>
      </c>
      <c r="AV16" s="116" t="s">
        <v>70</v>
      </c>
    </row>
    <row r="17" spans="1:48" s="36" customFormat="1" ht="13.5" customHeight="1" x14ac:dyDescent="0.15">
      <c r="A17" s="36" t="s">
        <v>30</v>
      </c>
      <c r="B17" s="36" t="s">
        <v>174</v>
      </c>
      <c r="C17" s="36">
        <v>2020</v>
      </c>
      <c r="D17" s="106" t="s">
        <v>370</v>
      </c>
      <c r="E17" s="36" t="s">
        <v>191</v>
      </c>
      <c r="F17" s="36" t="s">
        <v>214</v>
      </c>
      <c r="G17" s="36" t="s">
        <v>25</v>
      </c>
      <c r="H17" s="36" t="s">
        <v>164</v>
      </c>
      <c r="I17" s="36" t="s">
        <v>111</v>
      </c>
      <c r="J17" s="36" t="s">
        <v>27</v>
      </c>
      <c r="K17" s="36" t="s">
        <v>112</v>
      </c>
      <c r="L17" s="36">
        <v>1</v>
      </c>
      <c r="N17" s="36">
        <v>8</v>
      </c>
      <c r="O17" s="36">
        <v>0.65</v>
      </c>
      <c r="P17" s="36">
        <v>0.55000000000000004</v>
      </c>
      <c r="Q17" s="115">
        <v>0.28000000000000003</v>
      </c>
      <c r="R17" s="36">
        <v>16.5</v>
      </c>
      <c r="S17" s="36">
        <v>126</v>
      </c>
      <c r="T17" s="108">
        <f t="shared" si="0"/>
        <v>27</v>
      </c>
      <c r="U17" s="36">
        <v>1280</v>
      </c>
      <c r="V17" s="108">
        <f t="shared" si="1"/>
        <v>4320</v>
      </c>
      <c r="W17" s="36">
        <v>2</v>
      </c>
      <c r="X17" s="36" t="s">
        <v>35</v>
      </c>
      <c r="Y17" s="36" t="s">
        <v>43</v>
      </c>
      <c r="Z17" s="36" t="s">
        <v>55</v>
      </c>
      <c r="AA17" s="36" t="s">
        <v>72</v>
      </c>
      <c r="AB17" s="36" t="s">
        <v>178</v>
      </c>
      <c r="AE17" s="116" t="s">
        <v>249</v>
      </c>
      <c r="AP17" s="120" t="s">
        <v>250</v>
      </c>
      <c r="AR17" s="116" t="s">
        <v>81</v>
      </c>
      <c r="AV17" s="116" t="s">
        <v>72</v>
      </c>
    </row>
    <row r="18" spans="1:48" s="36" customFormat="1" ht="13.5" customHeight="1" x14ac:dyDescent="0.15">
      <c r="A18" s="36" t="s">
        <v>30</v>
      </c>
      <c r="B18" s="36" t="s">
        <v>174</v>
      </c>
      <c r="C18" s="36">
        <v>2020</v>
      </c>
      <c r="D18" s="106" t="s">
        <v>370</v>
      </c>
      <c r="E18" s="36" t="s">
        <v>191</v>
      </c>
      <c r="F18" s="36" t="s">
        <v>214</v>
      </c>
      <c r="G18" s="36" t="s">
        <v>25</v>
      </c>
      <c r="H18" s="36" t="s">
        <v>164</v>
      </c>
      <c r="I18" s="36" t="s">
        <v>111</v>
      </c>
      <c r="J18" s="36" t="s">
        <v>27</v>
      </c>
      <c r="K18" s="36" t="s">
        <v>112</v>
      </c>
      <c r="L18" s="36">
        <v>2</v>
      </c>
      <c r="N18" s="36">
        <v>8</v>
      </c>
      <c r="O18" s="36">
        <v>0.45</v>
      </c>
      <c r="P18" s="36">
        <v>0.5</v>
      </c>
      <c r="Q18" s="115">
        <v>0.4</v>
      </c>
      <c r="R18" s="36">
        <v>15</v>
      </c>
      <c r="S18" s="36">
        <v>124</v>
      </c>
      <c r="T18" s="108">
        <f t="shared" si="0"/>
        <v>27</v>
      </c>
      <c r="U18" s="36">
        <v>1280</v>
      </c>
      <c r="V18" s="115">
        <f t="shared" si="1"/>
        <v>4320</v>
      </c>
      <c r="W18" s="36">
        <v>2</v>
      </c>
      <c r="X18" s="36" t="s">
        <v>35</v>
      </c>
      <c r="Y18" s="36" t="s">
        <v>43</v>
      </c>
      <c r="Z18" s="36" t="s">
        <v>55</v>
      </c>
      <c r="AA18" s="36" t="s">
        <v>72</v>
      </c>
      <c r="AB18" s="36" t="s">
        <v>178</v>
      </c>
      <c r="AE18" s="116" t="s">
        <v>242</v>
      </c>
      <c r="AP18" s="120" t="s">
        <v>251</v>
      </c>
      <c r="AR18" s="116" t="s">
        <v>85</v>
      </c>
      <c r="AV18" s="116" t="s">
        <v>74</v>
      </c>
    </row>
    <row r="19" spans="1:48" s="36" customFormat="1" ht="13.5" customHeight="1" x14ac:dyDescent="0.15">
      <c r="A19" s="36" t="s">
        <v>30</v>
      </c>
      <c r="B19" s="36" t="s">
        <v>174</v>
      </c>
      <c r="C19" s="36">
        <v>2020</v>
      </c>
      <c r="D19" s="106" t="s">
        <v>370</v>
      </c>
      <c r="E19" s="36" t="s">
        <v>191</v>
      </c>
      <c r="F19" s="36" t="s">
        <v>214</v>
      </c>
      <c r="G19" s="36" t="s">
        <v>25</v>
      </c>
      <c r="H19" s="36" t="s">
        <v>164</v>
      </c>
      <c r="I19" s="36" t="s">
        <v>111</v>
      </c>
      <c r="J19" s="36" t="s">
        <v>27</v>
      </c>
      <c r="K19" s="36" t="s">
        <v>112</v>
      </c>
      <c r="L19" s="36">
        <v>3</v>
      </c>
      <c r="N19" s="36">
        <v>8</v>
      </c>
      <c r="O19" s="36">
        <v>0.5</v>
      </c>
      <c r="P19" s="36">
        <v>0.45</v>
      </c>
      <c r="Q19" s="115">
        <v>0.33</v>
      </c>
      <c r="R19" s="36">
        <v>14.5</v>
      </c>
      <c r="S19" s="36">
        <v>128</v>
      </c>
      <c r="T19" s="108">
        <f t="shared" si="0"/>
        <v>27</v>
      </c>
      <c r="U19" s="36">
        <v>1280</v>
      </c>
      <c r="V19" s="115">
        <f t="shared" si="1"/>
        <v>4320</v>
      </c>
      <c r="W19" s="36">
        <v>2</v>
      </c>
      <c r="X19" s="36" t="s">
        <v>35</v>
      </c>
      <c r="Y19" s="36" t="s">
        <v>43</v>
      </c>
      <c r="Z19" s="36" t="s">
        <v>55</v>
      </c>
      <c r="AA19" s="36" t="s">
        <v>72</v>
      </c>
      <c r="AB19" s="36" t="s">
        <v>178</v>
      </c>
      <c r="AE19" s="120" t="s">
        <v>236</v>
      </c>
      <c r="AP19" s="120" t="s">
        <v>252</v>
      </c>
      <c r="AR19" s="116" t="s">
        <v>253</v>
      </c>
      <c r="AV19" s="116" t="s">
        <v>76</v>
      </c>
    </row>
    <row r="20" spans="1:48" s="36" customFormat="1" ht="13.5" customHeight="1" x14ac:dyDescent="0.15">
      <c r="A20" s="36" t="s">
        <v>30</v>
      </c>
      <c r="B20" s="36" t="s">
        <v>174</v>
      </c>
      <c r="C20" s="36">
        <v>2020</v>
      </c>
      <c r="D20" s="106" t="s">
        <v>370</v>
      </c>
      <c r="E20" s="36" t="s">
        <v>191</v>
      </c>
      <c r="F20" s="36" t="s">
        <v>214</v>
      </c>
      <c r="G20" s="36" t="s">
        <v>25</v>
      </c>
      <c r="H20" s="36" t="s">
        <v>235</v>
      </c>
      <c r="I20" s="36" t="s">
        <v>111</v>
      </c>
      <c r="J20" s="36" t="s">
        <v>27</v>
      </c>
      <c r="K20" s="36" t="s">
        <v>112</v>
      </c>
      <c r="L20" s="36">
        <v>1</v>
      </c>
      <c r="N20" s="36">
        <v>7</v>
      </c>
      <c r="O20" s="36">
        <v>0.25</v>
      </c>
      <c r="P20" s="36">
        <v>0.25</v>
      </c>
      <c r="Q20" s="115">
        <v>0.43</v>
      </c>
      <c r="R20" s="36">
        <v>16.8</v>
      </c>
      <c r="S20" s="36">
        <v>79</v>
      </c>
      <c r="T20" s="108">
        <f t="shared" si="0"/>
        <v>39</v>
      </c>
      <c r="U20" s="36">
        <v>798</v>
      </c>
      <c r="V20" s="108">
        <f t="shared" si="1"/>
        <v>4446</v>
      </c>
      <c r="W20" s="36">
        <v>2</v>
      </c>
      <c r="X20" s="36" t="s">
        <v>35</v>
      </c>
      <c r="Y20" s="36" t="s">
        <v>43</v>
      </c>
      <c r="Z20" s="36" t="s">
        <v>55</v>
      </c>
      <c r="AA20" s="36" t="s">
        <v>72</v>
      </c>
      <c r="AB20" s="36" t="s">
        <v>178</v>
      </c>
      <c r="AE20" s="120"/>
      <c r="AP20" s="120" t="s">
        <v>254</v>
      </c>
      <c r="AR20" s="116" t="s">
        <v>89</v>
      </c>
      <c r="AV20" s="120" t="s">
        <v>255</v>
      </c>
    </row>
    <row r="21" spans="1:48" s="36" customFormat="1" ht="13.5" customHeight="1" x14ac:dyDescent="0.15">
      <c r="A21" s="36" t="s">
        <v>30</v>
      </c>
      <c r="B21" s="36" t="s">
        <v>174</v>
      </c>
      <c r="C21" s="36">
        <v>2020</v>
      </c>
      <c r="D21" s="106" t="s">
        <v>370</v>
      </c>
      <c r="E21" s="36" t="s">
        <v>191</v>
      </c>
      <c r="F21" s="36" t="s">
        <v>214</v>
      </c>
      <c r="G21" s="36" t="s">
        <v>25</v>
      </c>
      <c r="H21" s="36" t="s">
        <v>235</v>
      </c>
      <c r="I21" s="36" t="s">
        <v>111</v>
      </c>
      <c r="J21" s="36" t="s">
        <v>27</v>
      </c>
      <c r="K21" s="36" t="s">
        <v>112</v>
      </c>
      <c r="L21" s="36">
        <v>2</v>
      </c>
      <c r="N21" s="36">
        <v>7</v>
      </c>
      <c r="O21" s="36">
        <v>0.25</v>
      </c>
      <c r="P21" s="36">
        <v>0.3</v>
      </c>
      <c r="Q21" s="115">
        <v>0.38</v>
      </c>
      <c r="R21" s="36">
        <v>17.399999999999999</v>
      </c>
      <c r="S21" s="36">
        <v>74</v>
      </c>
      <c r="T21" s="108">
        <f t="shared" si="0"/>
        <v>42</v>
      </c>
      <c r="U21" s="36">
        <v>798</v>
      </c>
      <c r="V21" s="115">
        <f t="shared" si="1"/>
        <v>4788</v>
      </c>
      <c r="W21" s="36">
        <v>2</v>
      </c>
      <c r="X21" s="36" t="s">
        <v>35</v>
      </c>
      <c r="Y21" s="36" t="s">
        <v>43</v>
      </c>
      <c r="Z21" s="36" t="s">
        <v>55</v>
      </c>
      <c r="AA21" s="36" t="s">
        <v>72</v>
      </c>
      <c r="AB21" s="36" t="s">
        <v>178</v>
      </c>
      <c r="AE21" s="121"/>
      <c r="AP21" s="120" t="s">
        <v>256</v>
      </c>
      <c r="AR21" s="116" t="s">
        <v>54</v>
      </c>
      <c r="AV21" s="120" t="s">
        <v>257</v>
      </c>
    </row>
    <row r="22" spans="1:48" s="36" customFormat="1" ht="13.5" customHeight="1" x14ac:dyDescent="0.15">
      <c r="A22" s="36" t="s">
        <v>30</v>
      </c>
      <c r="B22" s="36" t="s">
        <v>174</v>
      </c>
      <c r="C22" s="36">
        <v>2020</v>
      </c>
      <c r="D22" s="106" t="s">
        <v>370</v>
      </c>
      <c r="E22" s="36" t="s">
        <v>191</v>
      </c>
      <c r="F22" s="36" t="s">
        <v>214</v>
      </c>
      <c r="G22" s="36" t="s">
        <v>25</v>
      </c>
      <c r="H22" s="36" t="s">
        <v>235</v>
      </c>
      <c r="I22" s="36" t="s">
        <v>111</v>
      </c>
      <c r="J22" s="36" t="s">
        <v>27</v>
      </c>
      <c r="K22" s="36" t="s">
        <v>112</v>
      </c>
      <c r="L22" s="36">
        <v>3</v>
      </c>
      <c r="N22" s="36">
        <v>7</v>
      </c>
      <c r="O22" s="36">
        <v>0.25</v>
      </c>
      <c r="P22" s="36">
        <v>0.25</v>
      </c>
      <c r="Q22" s="115">
        <v>0.43</v>
      </c>
      <c r="R22" s="36">
        <v>15.4</v>
      </c>
      <c r="S22" s="36">
        <v>71</v>
      </c>
      <c r="T22" s="108">
        <f t="shared" si="0"/>
        <v>42</v>
      </c>
      <c r="U22" s="36">
        <v>798</v>
      </c>
      <c r="V22" s="115">
        <f t="shared" si="1"/>
        <v>4788</v>
      </c>
      <c r="W22" s="36">
        <v>2</v>
      </c>
      <c r="X22" s="36" t="s">
        <v>35</v>
      </c>
      <c r="Y22" s="36" t="s">
        <v>43</v>
      </c>
      <c r="Z22" s="36" t="s">
        <v>55</v>
      </c>
      <c r="AA22" s="36" t="s">
        <v>72</v>
      </c>
      <c r="AB22" s="36" t="s">
        <v>178</v>
      </c>
      <c r="AP22" s="120" t="s">
        <v>258</v>
      </c>
      <c r="AR22" s="116" t="s">
        <v>69</v>
      </c>
      <c r="AV22" s="120"/>
    </row>
    <row r="23" spans="1:48" s="36" customFormat="1" ht="13.5" customHeight="1" x14ac:dyDescent="0.15">
      <c r="A23" s="36" t="s">
        <v>30</v>
      </c>
      <c r="B23" s="36" t="s">
        <v>174</v>
      </c>
      <c r="C23" s="36">
        <v>2020</v>
      </c>
      <c r="D23" s="106" t="s">
        <v>370</v>
      </c>
      <c r="E23" s="36" t="s">
        <v>216</v>
      </c>
      <c r="F23" s="36" t="s">
        <v>214</v>
      </c>
      <c r="G23" s="36" t="s">
        <v>25</v>
      </c>
      <c r="H23" s="36" t="s">
        <v>164</v>
      </c>
      <c r="I23" s="36" t="s">
        <v>111</v>
      </c>
      <c r="J23" s="36" t="s">
        <v>27</v>
      </c>
      <c r="K23" s="36" t="s">
        <v>112</v>
      </c>
      <c r="L23" s="36">
        <v>1</v>
      </c>
      <c r="N23" s="36">
        <v>1</v>
      </c>
      <c r="O23" s="36">
        <v>0.45</v>
      </c>
      <c r="P23" s="36">
        <v>0.5</v>
      </c>
      <c r="Q23" s="115">
        <v>0.28000000000000003</v>
      </c>
      <c r="R23" s="36">
        <v>17.2</v>
      </c>
      <c r="S23" s="36">
        <v>137</v>
      </c>
      <c r="T23" s="108">
        <f t="shared" si="0"/>
        <v>25</v>
      </c>
      <c r="U23" s="36">
        <v>138</v>
      </c>
      <c r="V23" s="108">
        <f t="shared" si="1"/>
        <v>3450</v>
      </c>
      <c r="W23" s="36">
        <v>4</v>
      </c>
      <c r="X23" s="36" t="s">
        <v>35</v>
      </c>
      <c r="Y23" s="36" t="s">
        <v>43</v>
      </c>
      <c r="Z23" s="36" t="s">
        <v>55</v>
      </c>
      <c r="AA23" s="36" t="s">
        <v>29</v>
      </c>
      <c r="AB23" s="36" t="s">
        <v>178</v>
      </c>
      <c r="AP23" s="120" t="s">
        <v>259</v>
      </c>
      <c r="AR23" s="121" t="s">
        <v>260</v>
      </c>
      <c r="AV23" s="121"/>
    </row>
    <row r="24" spans="1:48" s="36" customFormat="1" ht="13.5" customHeight="1" x14ac:dyDescent="0.15">
      <c r="A24" s="36" t="s">
        <v>30</v>
      </c>
      <c r="B24" s="36" t="s">
        <v>174</v>
      </c>
      <c r="C24" s="36">
        <v>2020</v>
      </c>
      <c r="D24" s="106" t="s">
        <v>370</v>
      </c>
      <c r="E24" s="36" t="s">
        <v>216</v>
      </c>
      <c r="F24" s="36" t="s">
        <v>214</v>
      </c>
      <c r="G24" s="36" t="s">
        <v>25</v>
      </c>
      <c r="H24" s="36" t="s">
        <v>164</v>
      </c>
      <c r="I24" s="36" t="s">
        <v>111</v>
      </c>
      <c r="J24" s="36" t="s">
        <v>27</v>
      </c>
      <c r="K24" s="36" t="s">
        <v>112</v>
      </c>
      <c r="L24" s="36">
        <v>2</v>
      </c>
      <c r="N24" s="36">
        <v>1</v>
      </c>
      <c r="O24" s="36">
        <v>0.6</v>
      </c>
      <c r="P24" s="36">
        <v>0.65</v>
      </c>
      <c r="Q24" s="115">
        <v>0.4</v>
      </c>
      <c r="R24" s="36">
        <v>15.2</v>
      </c>
      <c r="S24" s="36">
        <v>138</v>
      </c>
      <c r="T24" s="108">
        <f t="shared" si="0"/>
        <v>22</v>
      </c>
      <c r="U24" s="36">
        <v>138</v>
      </c>
      <c r="V24" s="115">
        <f t="shared" si="1"/>
        <v>3036</v>
      </c>
      <c r="W24" s="36">
        <v>4</v>
      </c>
      <c r="X24" s="36" t="s">
        <v>35</v>
      </c>
      <c r="Y24" s="36" t="s">
        <v>43</v>
      </c>
      <c r="Z24" s="36" t="s">
        <v>55</v>
      </c>
      <c r="AA24" s="36" t="s">
        <v>29</v>
      </c>
      <c r="AB24" s="36" t="s">
        <v>178</v>
      </c>
      <c r="AP24" s="120" t="s">
        <v>261</v>
      </c>
    </row>
    <row r="25" spans="1:48" s="36" customFormat="1" ht="13.5" customHeight="1" x14ac:dyDescent="0.15">
      <c r="A25" s="36" t="s">
        <v>30</v>
      </c>
      <c r="B25" s="36" t="s">
        <v>174</v>
      </c>
      <c r="C25" s="36">
        <v>2020</v>
      </c>
      <c r="D25" s="106" t="s">
        <v>370</v>
      </c>
      <c r="E25" s="36" t="s">
        <v>216</v>
      </c>
      <c r="F25" s="36" t="s">
        <v>214</v>
      </c>
      <c r="G25" s="36" t="s">
        <v>25</v>
      </c>
      <c r="H25" s="36" t="s">
        <v>164</v>
      </c>
      <c r="I25" s="36" t="s">
        <v>111</v>
      </c>
      <c r="J25" s="36" t="s">
        <v>27</v>
      </c>
      <c r="K25" s="36" t="s">
        <v>112</v>
      </c>
      <c r="L25" s="36">
        <v>3</v>
      </c>
      <c r="N25" s="36">
        <v>1</v>
      </c>
      <c r="O25" s="36">
        <v>0.45</v>
      </c>
      <c r="P25" s="36">
        <v>0.4</v>
      </c>
      <c r="Q25" s="115">
        <v>0.33</v>
      </c>
      <c r="R25" s="36">
        <v>15.8</v>
      </c>
      <c r="S25" s="36">
        <v>132</v>
      </c>
      <c r="T25" s="108">
        <f t="shared" si="0"/>
        <v>25</v>
      </c>
      <c r="U25" s="36">
        <v>138</v>
      </c>
      <c r="V25" s="115">
        <f t="shared" si="1"/>
        <v>3450</v>
      </c>
      <c r="W25" s="36">
        <v>4</v>
      </c>
      <c r="X25" s="36" t="s">
        <v>35</v>
      </c>
      <c r="Y25" s="36" t="s">
        <v>43</v>
      </c>
      <c r="Z25" s="36" t="s">
        <v>55</v>
      </c>
      <c r="AA25" s="36" t="s">
        <v>29</v>
      </c>
      <c r="AB25" s="36" t="s">
        <v>178</v>
      </c>
    </row>
    <row r="26" spans="1:48" s="36" customFormat="1" ht="13.5" customHeight="1" x14ac:dyDescent="0.15">
      <c r="A26" s="36" t="s">
        <v>30</v>
      </c>
      <c r="B26" s="36" t="s">
        <v>174</v>
      </c>
      <c r="C26" s="36">
        <v>2020</v>
      </c>
      <c r="D26" s="106" t="s">
        <v>370</v>
      </c>
      <c r="E26" s="36" t="s">
        <v>216</v>
      </c>
      <c r="F26" s="36" t="s">
        <v>214</v>
      </c>
      <c r="G26" s="36" t="s">
        <v>25</v>
      </c>
      <c r="H26" s="36" t="s">
        <v>164</v>
      </c>
      <c r="I26" s="36" t="s">
        <v>111</v>
      </c>
      <c r="J26" s="36" t="s">
        <v>27</v>
      </c>
      <c r="K26" s="36" t="s">
        <v>112</v>
      </c>
      <c r="L26" s="36">
        <v>1</v>
      </c>
      <c r="N26" s="36">
        <v>4</v>
      </c>
      <c r="O26" s="36">
        <v>0.3</v>
      </c>
      <c r="P26" s="36">
        <v>0.5</v>
      </c>
      <c r="Q26" s="115">
        <v>0.43</v>
      </c>
      <c r="R26" s="36">
        <v>13.4</v>
      </c>
      <c r="S26" s="36">
        <v>105</v>
      </c>
      <c r="T26" s="108">
        <f t="shared" si="0"/>
        <v>33</v>
      </c>
      <c r="U26" s="36">
        <v>498</v>
      </c>
      <c r="V26" s="108">
        <f t="shared" si="1"/>
        <v>4108.5</v>
      </c>
      <c r="W26" s="36">
        <v>4</v>
      </c>
      <c r="X26" s="36" t="s">
        <v>35</v>
      </c>
      <c r="Y26" s="36" t="s">
        <v>43</v>
      </c>
      <c r="Z26" s="36" t="s">
        <v>55</v>
      </c>
      <c r="AA26" s="36" t="s">
        <v>29</v>
      </c>
      <c r="AB26" s="36" t="s">
        <v>178</v>
      </c>
    </row>
    <row r="27" spans="1:48" s="36" customFormat="1" ht="13.5" customHeight="1" x14ac:dyDescent="0.15">
      <c r="A27" s="36" t="s">
        <v>30</v>
      </c>
      <c r="B27" s="36" t="s">
        <v>174</v>
      </c>
      <c r="C27" s="36">
        <v>2020</v>
      </c>
      <c r="D27" s="106" t="s">
        <v>370</v>
      </c>
      <c r="E27" s="36" t="s">
        <v>216</v>
      </c>
      <c r="F27" s="36" t="s">
        <v>214</v>
      </c>
      <c r="G27" s="36" t="s">
        <v>25</v>
      </c>
      <c r="H27" s="36" t="s">
        <v>164</v>
      </c>
      <c r="I27" s="36" t="s">
        <v>111</v>
      </c>
      <c r="J27" s="36" t="s">
        <v>27</v>
      </c>
      <c r="K27" s="36" t="s">
        <v>112</v>
      </c>
      <c r="L27" s="36">
        <v>2</v>
      </c>
      <c r="N27" s="36">
        <v>4</v>
      </c>
      <c r="O27" s="36">
        <v>0.35</v>
      </c>
      <c r="P27" s="36">
        <v>0.4</v>
      </c>
      <c r="Q27" s="115">
        <v>0.38</v>
      </c>
      <c r="R27" s="36">
        <v>12.5</v>
      </c>
      <c r="S27" s="36">
        <v>100</v>
      </c>
      <c r="T27" s="108">
        <f t="shared" si="0"/>
        <v>33</v>
      </c>
      <c r="U27" s="36">
        <v>498</v>
      </c>
      <c r="V27" s="115">
        <f t="shared" si="1"/>
        <v>4108.5</v>
      </c>
      <c r="W27" s="36">
        <v>4</v>
      </c>
      <c r="X27" s="36" t="s">
        <v>35</v>
      </c>
      <c r="Y27" s="36" t="s">
        <v>43</v>
      </c>
      <c r="Z27" s="36" t="s">
        <v>55</v>
      </c>
      <c r="AA27" s="36" t="s">
        <v>29</v>
      </c>
      <c r="AB27" s="36" t="s">
        <v>178</v>
      </c>
    </row>
    <row r="28" spans="1:48" s="36" customFormat="1" ht="13.5" customHeight="1" x14ac:dyDescent="0.15">
      <c r="A28" s="36" t="s">
        <v>30</v>
      </c>
      <c r="B28" s="36" t="s">
        <v>174</v>
      </c>
      <c r="C28" s="36">
        <v>2020</v>
      </c>
      <c r="D28" s="106" t="s">
        <v>370</v>
      </c>
      <c r="E28" s="36" t="s">
        <v>216</v>
      </c>
      <c r="F28" s="36" t="s">
        <v>214</v>
      </c>
      <c r="G28" s="36" t="s">
        <v>25</v>
      </c>
      <c r="H28" s="36" t="s">
        <v>164</v>
      </c>
      <c r="I28" s="36" t="s">
        <v>111</v>
      </c>
      <c r="J28" s="36" t="s">
        <v>27</v>
      </c>
      <c r="K28" s="36" t="s">
        <v>112</v>
      </c>
      <c r="L28" s="36">
        <v>3</v>
      </c>
      <c r="N28" s="36">
        <v>4</v>
      </c>
      <c r="O28" s="36">
        <v>0.4</v>
      </c>
      <c r="P28" s="36">
        <v>0.55000000000000004</v>
      </c>
      <c r="Q28" s="115">
        <v>0.43</v>
      </c>
      <c r="R28" s="36">
        <v>14.9</v>
      </c>
      <c r="S28" s="36">
        <v>104</v>
      </c>
      <c r="T28" s="108">
        <f t="shared" si="0"/>
        <v>33</v>
      </c>
      <c r="U28" s="36">
        <v>498</v>
      </c>
      <c r="V28" s="115">
        <f t="shared" si="1"/>
        <v>4108.5</v>
      </c>
      <c r="W28" s="36">
        <v>4</v>
      </c>
      <c r="X28" s="36" t="s">
        <v>35</v>
      </c>
      <c r="Y28" s="36" t="s">
        <v>43</v>
      </c>
      <c r="Z28" s="36" t="s">
        <v>55</v>
      </c>
      <c r="AA28" s="36" t="s">
        <v>29</v>
      </c>
      <c r="AB28" s="36" t="s">
        <v>178</v>
      </c>
    </row>
    <row r="29" spans="1:48" s="36" customFormat="1" ht="13.5" customHeight="1" x14ac:dyDescent="0.15">
      <c r="A29" s="36" t="s">
        <v>30</v>
      </c>
      <c r="B29" s="36" t="s">
        <v>174</v>
      </c>
      <c r="C29" s="36">
        <v>2020</v>
      </c>
      <c r="D29" s="106" t="s">
        <v>370</v>
      </c>
      <c r="E29" s="36" t="s">
        <v>216</v>
      </c>
      <c r="F29" s="36" t="s">
        <v>214</v>
      </c>
      <c r="G29" s="36" t="s">
        <v>25</v>
      </c>
      <c r="H29" s="36" t="s">
        <v>164</v>
      </c>
      <c r="I29" s="36" t="s">
        <v>111</v>
      </c>
      <c r="J29" s="36" t="s">
        <v>27</v>
      </c>
      <c r="K29" s="36" t="s">
        <v>112</v>
      </c>
      <c r="L29" s="36">
        <v>1</v>
      </c>
      <c r="N29" s="36">
        <v>6</v>
      </c>
      <c r="O29" s="36">
        <v>0.7</v>
      </c>
      <c r="P29" s="36">
        <v>0.65</v>
      </c>
      <c r="Q29" s="115">
        <v>1.1499999999999999</v>
      </c>
      <c r="R29" s="36">
        <v>17.399999999999999</v>
      </c>
      <c r="S29" s="36">
        <v>98</v>
      </c>
      <c r="T29" s="108">
        <f t="shared" si="0"/>
        <v>36</v>
      </c>
      <c r="U29" s="36">
        <v>680</v>
      </c>
      <c r="V29" s="108">
        <f t="shared" si="1"/>
        <v>4080</v>
      </c>
      <c r="W29" s="36">
        <v>2</v>
      </c>
      <c r="X29" s="36" t="s">
        <v>35</v>
      </c>
      <c r="Y29" s="36" t="s">
        <v>43</v>
      </c>
      <c r="Z29" s="36" t="s">
        <v>55</v>
      </c>
      <c r="AA29" s="36" t="s">
        <v>29</v>
      </c>
      <c r="AB29" s="36" t="s">
        <v>178</v>
      </c>
    </row>
    <row r="30" spans="1:48" s="36" customFormat="1" ht="13.5" customHeight="1" x14ac:dyDescent="0.15">
      <c r="A30" s="36" t="s">
        <v>30</v>
      </c>
      <c r="B30" s="36" t="s">
        <v>174</v>
      </c>
      <c r="C30" s="36">
        <v>2020</v>
      </c>
      <c r="D30" s="106" t="s">
        <v>370</v>
      </c>
      <c r="E30" s="36" t="s">
        <v>216</v>
      </c>
      <c r="F30" s="36" t="s">
        <v>214</v>
      </c>
      <c r="G30" s="36" t="s">
        <v>25</v>
      </c>
      <c r="H30" s="36" t="s">
        <v>164</v>
      </c>
      <c r="I30" s="36" t="s">
        <v>111</v>
      </c>
      <c r="J30" s="36" t="s">
        <v>27</v>
      </c>
      <c r="K30" s="36" t="s">
        <v>112</v>
      </c>
      <c r="L30" s="36">
        <v>2</v>
      </c>
      <c r="N30" s="36">
        <v>6</v>
      </c>
      <c r="O30" s="36">
        <v>0.85</v>
      </c>
      <c r="P30" s="36">
        <v>0.8</v>
      </c>
      <c r="Q30" s="115">
        <v>0.93</v>
      </c>
      <c r="R30" s="36">
        <v>15</v>
      </c>
      <c r="S30" s="36">
        <v>103</v>
      </c>
      <c r="T30" s="108">
        <f t="shared" si="0"/>
        <v>33</v>
      </c>
      <c r="U30" s="36">
        <v>680</v>
      </c>
      <c r="V30" s="108">
        <f t="shared" si="1"/>
        <v>3740</v>
      </c>
      <c r="W30" s="36">
        <v>2</v>
      </c>
      <c r="X30" s="36" t="s">
        <v>35</v>
      </c>
      <c r="Y30" s="36" t="s">
        <v>43</v>
      </c>
      <c r="Z30" s="36" t="s">
        <v>55</v>
      </c>
      <c r="AA30" s="36" t="s">
        <v>29</v>
      </c>
      <c r="AB30" s="36" t="s">
        <v>178</v>
      </c>
    </row>
    <row r="31" spans="1:48" s="36" customFormat="1" ht="13.5" customHeight="1" x14ac:dyDescent="0.15">
      <c r="A31" s="36" t="s">
        <v>30</v>
      </c>
      <c r="B31" s="36" t="s">
        <v>174</v>
      </c>
      <c r="C31" s="36">
        <v>2020</v>
      </c>
      <c r="D31" s="106" t="s">
        <v>370</v>
      </c>
      <c r="E31" s="36" t="s">
        <v>216</v>
      </c>
      <c r="F31" s="36" t="s">
        <v>214</v>
      </c>
      <c r="G31" s="36" t="s">
        <v>25</v>
      </c>
      <c r="H31" s="36" t="s">
        <v>164</v>
      </c>
      <c r="I31" s="36" t="s">
        <v>111</v>
      </c>
      <c r="J31" s="36" t="s">
        <v>27</v>
      </c>
      <c r="K31" s="36" t="s">
        <v>112</v>
      </c>
      <c r="L31" s="36">
        <v>3</v>
      </c>
      <c r="N31" s="36">
        <v>6</v>
      </c>
      <c r="O31" s="36">
        <v>0.65</v>
      </c>
      <c r="P31" s="36">
        <v>0.9</v>
      </c>
      <c r="Q31" s="115">
        <v>0.98</v>
      </c>
      <c r="R31" s="36">
        <v>12.2</v>
      </c>
      <c r="S31" s="36">
        <v>99</v>
      </c>
      <c r="T31" s="108">
        <f t="shared" si="0"/>
        <v>33</v>
      </c>
      <c r="U31" s="36">
        <v>680</v>
      </c>
      <c r="V31" s="108">
        <f t="shared" si="1"/>
        <v>3740</v>
      </c>
      <c r="W31" s="36">
        <v>2</v>
      </c>
      <c r="X31" s="36" t="s">
        <v>35</v>
      </c>
      <c r="Y31" s="36" t="s">
        <v>43</v>
      </c>
      <c r="Z31" s="36" t="s">
        <v>55</v>
      </c>
      <c r="AA31" s="36" t="s">
        <v>29</v>
      </c>
      <c r="AB31" s="36" t="s">
        <v>178</v>
      </c>
    </row>
    <row r="32" spans="1:48" s="36" customFormat="1" ht="13.5" customHeight="1" x14ac:dyDescent="0.15">
      <c r="A32" s="36" t="s">
        <v>30</v>
      </c>
      <c r="B32" s="36" t="s">
        <v>174</v>
      </c>
      <c r="C32" s="36">
        <v>2020</v>
      </c>
      <c r="D32" s="106" t="s">
        <v>370</v>
      </c>
      <c r="E32" s="36" t="s">
        <v>216</v>
      </c>
      <c r="F32" s="36" t="s">
        <v>214</v>
      </c>
      <c r="G32" s="36" t="s">
        <v>25</v>
      </c>
      <c r="H32" s="36" t="s">
        <v>113</v>
      </c>
      <c r="I32" s="36" t="s">
        <v>111</v>
      </c>
      <c r="J32" s="36" t="s">
        <v>27</v>
      </c>
      <c r="K32" s="36" t="s">
        <v>112</v>
      </c>
      <c r="L32" s="36">
        <v>1</v>
      </c>
      <c r="N32" s="36">
        <v>1</v>
      </c>
      <c r="O32" s="36">
        <v>0.8</v>
      </c>
      <c r="P32" s="36">
        <v>0.75</v>
      </c>
      <c r="Q32" s="115">
        <v>0.38</v>
      </c>
      <c r="R32" s="36">
        <v>13.4</v>
      </c>
      <c r="S32" s="36">
        <v>137</v>
      </c>
      <c r="T32" s="108">
        <f t="shared" si="0"/>
        <v>25</v>
      </c>
      <c r="U32" s="36">
        <v>138</v>
      </c>
      <c r="V32" s="108">
        <f t="shared" si="1"/>
        <v>3450</v>
      </c>
      <c r="W32" s="36">
        <v>4</v>
      </c>
      <c r="X32" s="36" t="s">
        <v>35</v>
      </c>
      <c r="Y32" s="36" t="s">
        <v>43</v>
      </c>
      <c r="Z32" s="36" t="s">
        <v>55</v>
      </c>
      <c r="AA32" s="36" t="s">
        <v>29</v>
      </c>
      <c r="AB32" s="36" t="s">
        <v>178</v>
      </c>
    </row>
    <row r="33" spans="1:28" s="36" customFormat="1" ht="13.5" customHeight="1" x14ac:dyDescent="0.15">
      <c r="A33" s="36" t="s">
        <v>30</v>
      </c>
      <c r="B33" s="36" t="s">
        <v>174</v>
      </c>
      <c r="C33" s="36">
        <v>2020</v>
      </c>
      <c r="D33" s="106" t="s">
        <v>370</v>
      </c>
      <c r="E33" s="36" t="s">
        <v>216</v>
      </c>
      <c r="F33" s="36" t="s">
        <v>214</v>
      </c>
      <c r="G33" s="36" t="s">
        <v>25</v>
      </c>
      <c r="H33" s="36" t="s">
        <v>113</v>
      </c>
      <c r="I33" s="36" t="s">
        <v>111</v>
      </c>
      <c r="J33" s="36" t="s">
        <v>27</v>
      </c>
      <c r="K33" s="36" t="s">
        <v>112</v>
      </c>
      <c r="L33" s="36">
        <v>2</v>
      </c>
      <c r="N33" s="36">
        <v>1</v>
      </c>
      <c r="O33" s="36">
        <v>0.9</v>
      </c>
      <c r="P33" s="36">
        <v>0.8</v>
      </c>
      <c r="Q33" s="115">
        <v>0.48</v>
      </c>
      <c r="R33" s="36">
        <v>14.2</v>
      </c>
      <c r="S33" s="36">
        <v>134</v>
      </c>
      <c r="T33" s="108">
        <f t="shared" si="0"/>
        <v>25</v>
      </c>
      <c r="U33" s="36">
        <v>138</v>
      </c>
      <c r="V33" s="108">
        <f t="shared" si="1"/>
        <v>3450</v>
      </c>
      <c r="W33" s="36">
        <v>4</v>
      </c>
      <c r="X33" s="36" t="s">
        <v>35</v>
      </c>
      <c r="Y33" s="36" t="s">
        <v>43</v>
      </c>
      <c r="Z33" s="36" t="s">
        <v>55</v>
      </c>
      <c r="AA33" s="36" t="s">
        <v>29</v>
      </c>
      <c r="AB33" s="36" t="s">
        <v>178</v>
      </c>
    </row>
    <row r="34" spans="1:28" s="36" customFormat="1" ht="13.5" customHeight="1" x14ac:dyDescent="0.15">
      <c r="A34" s="36" t="s">
        <v>30</v>
      </c>
      <c r="B34" s="36" t="s">
        <v>174</v>
      </c>
      <c r="C34" s="36">
        <v>2020</v>
      </c>
      <c r="D34" s="106" t="s">
        <v>370</v>
      </c>
      <c r="E34" s="36" t="s">
        <v>216</v>
      </c>
      <c r="F34" s="36" t="s">
        <v>214</v>
      </c>
      <c r="G34" s="36" t="s">
        <v>25</v>
      </c>
      <c r="H34" s="36" t="s">
        <v>113</v>
      </c>
      <c r="I34" s="36" t="s">
        <v>111</v>
      </c>
      <c r="J34" s="36" t="s">
        <v>27</v>
      </c>
      <c r="K34" s="36" t="s">
        <v>112</v>
      </c>
      <c r="L34" s="36">
        <v>3</v>
      </c>
      <c r="N34" s="36">
        <v>1</v>
      </c>
      <c r="O34" s="36">
        <v>0.8</v>
      </c>
      <c r="P34" s="36">
        <v>0.75</v>
      </c>
      <c r="Q34" s="115">
        <v>0.48</v>
      </c>
      <c r="R34" s="36">
        <v>14.7</v>
      </c>
      <c r="S34" s="36">
        <v>132</v>
      </c>
      <c r="T34" s="108">
        <f t="shared" si="0"/>
        <v>25</v>
      </c>
      <c r="U34" s="36">
        <v>138</v>
      </c>
      <c r="V34" s="108">
        <f t="shared" si="1"/>
        <v>3450</v>
      </c>
      <c r="W34" s="36">
        <v>4</v>
      </c>
      <c r="X34" s="36" t="s">
        <v>35</v>
      </c>
      <c r="Y34" s="36" t="s">
        <v>43</v>
      </c>
      <c r="Z34" s="36" t="s">
        <v>55</v>
      </c>
      <c r="AA34" s="36" t="s">
        <v>29</v>
      </c>
      <c r="AB34" s="36" t="s">
        <v>178</v>
      </c>
    </row>
    <row r="35" spans="1:28" s="36" customFormat="1" ht="13.5" customHeight="1" x14ac:dyDescent="0.15">
      <c r="A35" s="36" t="s">
        <v>30</v>
      </c>
      <c r="B35" s="36" t="s">
        <v>174</v>
      </c>
      <c r="C35" s="36">
        <v>2020</v>
      </c>
      <c r="D35" s="106" t="s">
        <v>370</v>
      </c>
      <c r="E35" s="36" t="s">
        <v>216</v>
      </c>
      <c r="F35" s="36" t="s">
        <v>214</v>
      </c>
      <c r="G35" s="36" t="s">
        <v>25</v>
      </c>
      <c r="H35" s="36" t="s">
        <v>113</v>
      </c>
      <c r="I35" s="36" t="s">
        <v>111</v>
      </c>
      <c r="J35" s="36" t="s">
        <v>27</v>
      </c>
      <c r="K35" s="36" t="s">
        <v>112</v>
      </c>
      <c r="L35" s="36">
        <v>1</v>
      </c>
      <c r="N35" s="36">
        <v>4</v>
      </c>
      <c r="O35" s="36">
        <v>0.6</v>
      </c>
      <c r="P35" s="36">
        <v>0.45</v>
      </c>
      <c r="Q35" s="115">
        <v>0.68</v>
      </c>
      <c r="R35" s="36">
        <v>13.8</v>
      </c>
      <c r="S35" s="36">
        <v>120</v>
      </c>
      <c r="T35" s="108">
        <f t="shared" si="0"/>
        <v>30</v>
      </c>
      <c r="U35" s="36">
        <v>398</v>
      </c>
      <c r="V35" s="108">
        <f t="shared" si="1"/>
        <v>2985</v>
      </c>
      <c r="W35" s="36">
        <v>2</v>
      </c>
      <c r="X35" s="36" t="s">
        <v>35</v>
      </c>
      <c r="Y35" s="36" t="s">
        <v>43</v>
      </c>
      <c r="Z35" s="36" t="s">
        <v>55</v>
      </c>
      <c r="AA35" s="36" t="s">
        <v>29</v>
      </c>
      <c r="AB35" s="36" t="s">
        <v>178</v>
      </c>
    </row>
    <row r="36" spans="1:28" s="36" customFormat="1" ht="13.5" customHeight="1" x14ac:dyDescent="0.15">
      <c r="A36" s="36" t="s">
        <v>30</v>
      </c>
      <c r="B36" s="36" t="s">
        <v>174</v>
      </c>
      <c r="C36" s="36">
        <v>2020</v>
      </c>
      <c r="D36" s="106" t="s">
        <v>370</v>
      </c>
      <c r="E36" s="36" t="s">
        <v>216</v>
      </c>
      <c r="F36" s="36" t="s">
        <v>214</v>
      </c>
      <c r="G36" s="36" t="s">
        <v>25</v>
      </c>
      <c r="H36" s="36" t="s">
        <v>113</v>
      </c>
      <c r="I36" s="36" t="s">
        <v>111</v>
      </c>
      <c r="J36" s="36" t="s">
        <v>27</v>
      </c>
      <c r="K36" s="36" t="s">
        <v>112</v>
      </c>
      <c r="L36" s="36">
        <v>2</v>
      </c>
      <c r="N36" s="36">
        <v>4</v>
      </c>
      <c r="O36" s="36">
        <v>0.8</v>
      </c>
      <c r="P36" s="36">
        <v>0.9</v>
      </c>
      <c r="Q36" s="115">
        <v>0.63</v>
      </c>
      <c r="R36" s="36">
        <v>16.2</v>
      </c>
      <c r="S36" s="36">
        <v>114</v>
      </c>
      <c r="T36" s="108">
        <f t="shared" si="0"/>
        <v>30</v>
      </c>
      <c r="U36" s="36">
        <v>398</v>
      </c>
      <c r="V36" s="108">
        <f t="shared" si="1"/>
        <v>2985</v>
      </c>
      <c r="W36" s="36">
        <v>2</v>
      </c>
      <c r="X36" s="36" t="s">
        <v>35</v>
      </c>
      <c r="Y36" s="36" t="s">
        <v>43</v>
      </c>
      <c r="Z36" s="36" t="s">
        <v>55</v>
      </c>
      <c r="AA36" s="36" t="s">
        <v>29</v>
      </c>
      <c r="AB36" s="36" t="s">
        <v>178</v>
      </c>
    </row>
    <row r="37" spans="1:28" s="36" customFormat="1" ht="13.5" customHeight="1" x14ac:dyDescent="0.15">
      <c r="A37" s="36" t="s">
        <v>30</v>
      </c>
      <c r="B37" s="36" t="s">
        <v>174</v>
      </c>
      <c r="C37" s="36">
        <v>2020</v>
      </c>
      <c r="D37" s="106" t="s">
        <v>370</v>
      </c>
      <c r="E37" s="36" t="s">
        <v>216</v>
      </c>
      <c r="F37" s="36" t="s">
        <v>214</v>
      </c>
      <c r="G37" s="36" t="s">
        <v>25</v>
      </c>
      <c r="H37" s="36" t="s">
        <v>113</v>
      </c>
      <c r="I37" s="36" t="s">
        <v>111</v>
      </c>
      <c r="J37" s="36" t="s">
        <v>27</v>
      </c>
      <c r="K37" s="36" t="s">
        <v>112</v>
      </c>
      <c r="L37" s="36">
        <v>3</v>
      </c>
      <c r="N37" s="36">
        <v>4</v>
      </c>
      <c r="O37" s="36">
        <v>0.65</v>
      </c>
      <c r="P37" s="36">
        <v>0.55000000000000004</v>
      </c>
      <c r="Q37" s="115">
        <v>0.6</v>
      </c>
      <c r="R37" s="36">
        <v>15.8</v>
      </c>
      <c r="S37" s="36">
        <v>116</v>
      </c>
      <c r="T37" s="108">
        <f t="shared" si="0"/>
        <v>30</v>
      </c>
      <c r="U37" s="36">
        <v>398</v>
      </c>
      <c r="V37" s="108">
        <f t="shared" si="1"/>
        <v>2985</v>
      </c>
      <c r="W37" s="36">
        <v>2</v>
      </c>
      <c r="X37" s="36" t="s">
        <v>35</v>
      </c>
      <c r="Y37" s="36" t="s">
        <v>43</v>
      </c>
      <c r="Z37" s="36" t="s">
        <v>55</v>
      </c>
      <c r="AA37" s="36" t="s">
        <v>29</v>
      </c>
      <c r="AB37" s="36" t="s">
        <v>178</v>
      </c>
    </row>
    <row r="38" spans="1:28" s="36" customFormat="1" ht="13.5" customHeight="1" x14ac:dyDescent="0.15">
      <c r="A38" s="36" t="s">
        <v>30</v>
      </c>
      <c r="B38" s="36" t="s">
        <v>174</v>
      </c>
      <c r="C38" s="36">
        <v>2020</v>
      </c>
      <c r="D38" s="106" t="s">
        <v>370</v>
      </c>
      <c r="E38" s="36" t="s">
        <v>216</v>
      </c>
      <c r="F38" s="36" t="s">
        <v>214</v>
      </c>
      <c r="G38" s="36" t="s">
        <v>25</v>
      </c>
      <c r="H38" s="36" t="s">
        <v>113</v>
      </c>
      <c r="I38" s="36" t="s">
        <v>111</v>
      </c>
      <c r="J38" s="36" t="s">
        <v>27</v>
      </c>
      <c r="K38" s="36" t="s">
        <v>112</v>
      </c>
      <c r="L38" s="36">
        <v>1</v>
      </c>
      <c r="N38" s="36">
        <v>7</v>
      </c>
      <c r="O38" s="36">
        <v>1.1000000000000001</v>
      </c>
      <c r="P38" s="36">
        <v>1.35</v>
      </c>
      <c r="Q38" s="115">
        <v>0.6</v>
      </c>
      <c r="R38" s="36">
        <v>14.7</v>
      </c>
      <c r="S38" s="36">
        <v>95</v>
      </c>
      <c r="T38" s="108">
        <f t="shared" si="0"/>
        <v>36</v>
      </c>
      <c r="U38" s="36">
        <v>580</v>
      </c>
      <c r="V38" s="108">
        <f t="shared" si="1"/>
        <v>2982.8571428571431</v>
      </c>
      <c r="W38" s="36">
        <v>2</v>
      </c>
      <c r="X38" s="36" t="s">
        <v>35</v>
      </c>
      <c r="Y38" s="36" t="s">
        <v>43</v>
      </c>
      <c r="Z38" s="36" t="s">
        <v>55</v>
      </c>
      <c r="AA38" s="36" t="s">
        <v>29</v>
      </c>
      <c r="AB38" s="36" t="s">
        <v>178</v>
      </c>
    </row>
    <row r="39" spans="1:28" s="36" customFormat="1" ht="13.5" customHeight="1" x14ac:dyDescent="0.15">
      <c r="A39" s="36" t="s">
        <v>30</v>
      </c>
      <c r="B39" s="36" t="s">
        <v>174</v>
      </c>
      <c r="C39" s="36">
        <v>2020</v>
      </c>
      <c r="D39" s="106" t="s">
        <v>370</v>
      </c>
      <c r="E39" s="36" t="s">
        <v>216</v>
      </c>
      <c r="F39" s="36" t="s">
        <v>214</v>
      </c>
      <c r="G39" s="36" t="s">
        <v>25</v>
      </c>
      <c r="H39" s="36" t="s">
        <v>113</v>
      </c>
      <c r="I39" s="36" t="s">
        <v>111</v>
      </c>
      <c r="J39" s="36" t="s">
        <v>27</v>
      </c>
      <c r="K39" s="36" t="s">
        <v>112</v>
      </c>
      <c r="L39" s="36">
        <v>2</v>
      </c>
      <c r="N39" s="36">
        <v>7</v>
      </c>
      <c r="O39" s="36">
        <v>1</v>
      </c>
      <c r="P39" s="36">
        <v>1.2</v>
      </c>
      <c r="Q39" s="115">
        <v>0.88</v>
      </c>
      <c r="R39" s="36">
        <v>14</v>
      </c>
      <c r="S39" s="36">
        <v>90</v>
      </c>
      <c r="T39" s="108">
        <f t="shared" si="0"/>
        <v>36</v>
      </c>
      <c r="U39" s="36">
        <v>580</v>
      </c>
      <c r="V39" s="115">
        <f t="shared" si="1"/>
        <v>2982.8571428571431</v>
      </c>
      <c r="W39" s="36">
        <v>2</v>
      </c>
      <c r="X39" s="36" t="s">
        <v>35</v>
      </c>
      <c r="Y39" s="36" t="s">
        <v>43</v>
      </c>
      <c r="Z39" s="36" t="s">
        <v>55</v>
      </c>
      <c r="AA39" s="36" t="s">
        <v>29</v>
      </c>
      <c r="AB39" s="36" t="s">
        <v>178</v>
      </c>
    </row>
    <row r="40" spans="1:28" s="36" customFormat="1" ht="13.5" customHeight="1" x14ac:dyDescent="0.15">
      <c r="A40" s="36" t="s">
        <v>30</v>
      </c>
      <c r="B40" s="36" t="s">
        <v>174</v>
      </c>
      <c r="C40" s="36">
        <v>2020</v>
      </c>
      <c r="D40" s="106" t="s">
        <v>370</v>
      </c>
      <c r="E40" s="36" t="s">
        <v>216</v>
      </c>
      <c r="F40" s="36" t="s">
        <v>214</v>
      </c>
      <c r="G40" s="36" t="s">
        <v>25</v>
      </c>
      <c r="H40" s="36" t="s">
        <v>113</v>
      </c>
      <c r="I40" s="36" t="s">
        <v>111</v>
      </c>
      <c r="J40" s="36" t="s">
        <v>27</v>
      </c>
      <c r="K40" s="36" t="s">
        <v>112</v>
      </c>
      <c r="L40" s="36">
        <v>3</v>
      </c>
      <c r="N40" s="36">
        <v>7</v>
      </c>
      <c r="O40" s="36">
        <v>0.9</v>
      </c>
      <c r="P40" s="36">
        <v>0.85</v>
      </c>
      <c r="Q40" s="115">
        <v>0.75</v>
      </c>
      <c r="R40" s="36">
        <v>14.2</v>
      </c>
      <c r="S40" s="36">
        <v>99</v>
      </c>
      <c r="T40" s="108">
        <f t="shared" si="0"/>
        <v>33</v>
      </c>
      <c r="U40" s="36">
        <v>580</v>
      </c>
      <c r="V40" s="115">
        <f t="shared" si="1"/>
        <v>2734.2857142857142</v>
      </c>
      <c r="W40" s="36">
        <v>2</v>
      </c>
      <c r="X40" s="36" t="s">
        <v>35</v>
      </c>
      <c r="Y40" s="36" t="s">
        <v>43</v>
      </c>
      <c r="Z40" s="36" t="s">
        <v>55</v>
      </c>
      <c r="AA40" s="36" t="s">
        <v>29</v>
      </c>
      <c r="AB40" s="36" t="s">
        <v>178</v>
      </c>
    </row>
    <row r="41" spans="1:28" s="36" customFormat="1" ht="13.5" customHeight="1" x14ac:dyDescent="0.15">
      <c r="A41" s="36" t="s">
        <v>30</v>
      </c>
      <c r="B41" s="36" t="s">
        <v>174</v>
      </c>
      <c r="C41" s="36">
        <v>2020</v>
      </c>
      <c r="D41" s="106" t="s">
        <v>370</v>
      </c>
      <c r="E41" s="36" t="s">
        <v>216</v>
      </c>
      <c r="F41" s="36" t="s">
        <v>218</v>
      </c>
      <c r="G41" s="36" t="s">
        <v>25</v>
      </c>
      <c r="H41" s="36" t="s">
        <v>164</v>
      </c>
      <c r="I41" s="36" t="s">
        <v>111</v>
      </c>
      <c r="J41" s="36" t="s">
        <v>27</v>
      </c>
      <c r="K41" s="36" t="s">
        <v>112</v>
      </c>
      <c r="L41" s="36">
        <v>1</v>
      </c>
      <c r="N41" s="36">
        <v>1</v>
      </c>
      <c r="O41" s="36">
        <v>1</v>
      </c>
      <c r="P41" s="36">
        <v>0.95</v>
      </c>
      <c r="Q41" s="134">
        <f t="shared" ref="Q41:Q55" si="2">IF(OR(O41="",P41=""),"",AVERAGE(O41,P41))</f>
        <v>0.97499999999999998</v>
      </c>
      <c r="R41" s="36">
        <v>13.2</v>
      </c>
      <c r="S41" s="36">
        <v>134</v>
      </c>
      <c r="T41" s="115">
        <f t="shared" si="0"/>
        <v>25</v>
      </c>
      <c r="U41" s="36">
        <v>158</v>
      </c>
      <c r="V41" s="115">
        <f t="shared" si="1"/>
        <v>3950</v>
      </c>
      <c r="W41" s="36">
        <v>4</v>
      </c>
      <c r="X41" s="36" t="s">
        <v>35</v>
      </c>
      <c r="Y41" s="36" t="s">
        <v>43</v>
      </c>
      <c r="Z41" s="36" t="s">
        <v>55</v>
      </c>
      <c r="AA41" s="36" t="s">
        <v>29</v>
      </c>
      <c r="AB41" s="36" t="s">
        <v>178</v>
      </c>
    </row>
    <row r="42" spans="1:28" s="36" customFormat="1" ht="13.5" customHeight="1" x14ac:dyDescent="0.15">
      <c r="A42" s="36" t="s">
        <v>30</v>
      </c>
      <c r="B42" s="36" t="s">
        <v>174</v>
      </c>
      <c r="C42" s="36">
        <v>2020</v>
      </c>
      <c r="D42" s="106" t="s">
        <v>370</v>
      </c>
      <c r="E42" s="36" t="s">
        <v>216</v>
      </c>
      <c r="F42" s="36" t="s">
        <v>218</v>
      </c>
      <c r="G42" s="36" t="s">
        <v>25</v>
      </c>
      <c r="H42" s="36" t="s">
        <v>164</v>
      </c>
      <c r="I42" s="36" t="s">
        <v>111</v>
      </c>
      <c r="J42" s="36" t="s">
        <v>27</v>
      </c>
      <c r="K42" s="36" t="s">
        <v>112</v>
      </c>
      <c r="L42" s="36">
        <v>2</v>
      </c>
      <c r="N42" s="36">
        <v>1</v>
      </c>
      <c r="O42" s="36">
        <v>0.8</v>
      </c>
      <c r="P42" s="36">
        <v>0.75</v>
      </c>
      <c r="Q42" s="134">
        <f t="shared" si="2"/>
        <v>0.77500000000000002</v>
      </c>
      <c r="R42" s="36">
        <v>15.2</v>
      </c>
      <c r="S42" s="36">
        <v>132</v>
      </c>
      <c r="T42" s="115">
        <f t="shared" si="0"/>
        <v>25</v>
      </c>
      <c r="U42" s="36">
        <v>158</v>
      </c>
      <c r="V42" s="115">
        <f t="shared" si="1"/>
        <v>3950</v>
      </c>
      <c r="W42" s="36">
        <v>4</v>
      </c>
      <c r="X42" s="36" t="s">
        <v>35</v>
      </c>
      <c r="Y42" s="36" t="s">
        <v>43</v>
      </c>
      <c r="Z42" s="36" t="s">
        <v>55</v>
      </c>
      <c r="AA42" s="36" t="s">
        <v>29</v>
      </c>
      <c r="AB42" s="36" t="s">
        <v>178</v>
      </c>
    </row>
    <row r="43" spans="1:28" s="36" customFormat="1" ht="13.5" customHeight="1" x14ac:dyDescent="0.15">
      <c r="A43" s="36" t="s">
        <v>30</v>
      </c>
      <c r="B43" s="36" t="s">
        <v>174</v>
      </c>
      <c r="C43" s="36">
        <v>2020</v>
      </c>
      <c r="D43" s="106" t="s">
        <v>370</v>
      </c>
      <c r="E43" s="36" t="s">
        <v>216</v>
      </c>
      <c r="F43" s="36" t="s">
        <v>218</v>
      </c>
      <c r="G43" s="36" t="s">
        <v>25</v>
      </c>
      <c r="H43" s="36" t="s">
        <v>164</v>
      </c>
      <c r="I43" s="36" t="s">
        <v>111</v>
      </c>
      <c r="J43" s="36" t="s">
        <v>27</v>
      </c>
      <c r="K43" s="36" t="s">
        <v>112</v>
      </c>
      <c r="L43" s="36">
        <v>3</v>
      </c>
      <c r="N43" s="36">
        <v>1</v>
      </c>
      <c r="O43" s="36">
        <v>0.85</v>
      </c>
      <c r="P43" s="36">
        <v>0.8</v>
      </c>
      <c r="Q43" s="134">
        <f t="shared" si="2"/>
        <v>0.82499999999999996</v>
      </c>
      <c r="R43" s="36">
        <v>15.7</v>
      </c>
      <c r="S43" s="36">
        <v>136</v>
      </c>
      <c r="T43" s="115">
        <f t="shared" si="0"/>
        <v>25</v>
      </c>
      <c r="U43" s="36">
        <v>158</v>
      </c>
      <c r="V43" s="115">
        <f t="shared" si="1"/>
        <v>3950</v>
      </c>
      <c r="W43" s="36">
        <v>4</v>
      </c>
      <c r="X43" s="36" t="s">
        <v>35</v>
      </c>
      <c r="Y43" s="36" t="s">
        <v>43</v>
      </c>
      <c r="Z43" s="36" t="s">
        <v>55</v>
      </c>
      <c r="AA43" s="36" t="s">
        <v>29</v>
      </c>
      <c r="AB43" s="36" t="s">
        <v>178</v>
      </c>
    </row>
    <row r="44" spans="1:28" s="36" customFormat="1" ht="13.5" customHeight="1" x14ac:dyDescent="0.15">
      <c r="A44" s="36" t="s">
        <v>30</v>
      </c>
      <c r="B44" s="36" t="s">
        <v>174</v>
      </c>
      <c r="C44" s="36">
        <v>2020</v>
      </c>
      <c r="D44" s="106" t="s">
        <v>370</v>
      </c>
      <c r="E44" s="36" t="s">
        <v>216</v>
      </c>
      <c r="F44" s="36" t="s">
        <v>218</v>
      </c>
      <c r="G44" s="36" t="s">
        <v>25</v>
      </c>
      <c r="H44" s="36" t="s">
        <v>164</v>
      </c>
      <c r="I44" s="36" t="s">
        <v>111</v>
      </c>
      <c r="J44" s="36" t="s">
        <v>27</v>
      </c>
      <c r="K44" s="36" t="s">
        <v>112</v>
      </c>
      <c r="L44" s="36">
        <v>1</v>
      </c>
      <c r="N44" s="36">
        <v>4</v>
      </c>
      <c r="O44" s="36">
        <v>0.7</v>
      </c>
      <c r="P44" s="36">
        <v>0.65</v>
      </c>
      <c r="Q44" s="135">
        <f t="shared" si="2"/>
        <v>0.67500000000000004</v>
      </c>
      <c r="R44" s="36">
        <v>15.5</v>
      </c>
      <c r="S44" s="36">
        <v>122</v>
      </c>
      <c r="T44" s="108">
        <f t="shared" si="0"/>
        <v>27</v>
      </c>
      <c r="U44" s="36">
        <v>498</v>
      </c>
      <c r="V44" s="108">
        <f t="shared" si="1"/>
        <v>3361.5</v>
      </c>
      <c r="W44" s="36">
        <v>3</v>
      </c>
      <c r="X44" s="36" t="s">
        <v>35</v>
      </c>
      <c r="Y44" s="36" t="s">
        <v>43</v>
      </c>
      <c r="Z44" s="36" t="s">
        <v>55</v>
      </c>
      <c r="AA44" s="36" t="s">
        <v>29</v>
      </c>
      <c r="AB44" s="36" t="s">
        <v>178</v>
      </c>
    </row>
    <row r="45" spans="1:28" s="36" customFormat="1" ht="13.5" customHeight="1" x14ac:dyDescent="0.15">
      <c r="A45" s="36" t="s">
        <v>30</v>
      </c>
      <c r="B45" s="36" t="s">
        <v>174</v>
      </c>
      <c r="C45" s="36">
        <v>2020</v>
      </c>
      <c r="D45" s="106" t="s">
        <v>370</v>
      </c>
      <c r="E45" s="36" t="s">
        <v>216</v>
      </c>
      <c r="F45" s="36" t="s">
        <v>218</v>
      </c>
      <c r="G45" s="36" t="s">
        <v>25</v>
      </c>
      <c r="H45" s="36" t="s">
        <v>164</v>
      </c>
      <c r="I45" s="36" t="s">
        <v>111</v>
      </c>
      <c r="J45" s="36" t="s">
        <v>27</v>
      </c>
      <c r="K45" s="36" t="s">
        <v>112</v>
      </c>
      <c r="L45" s="36">
        <v>2</v>
      </c>
      <c r="N45" s="36">
        <v>4</v>
      </c>
      <c r="O45" s="36">
        <v>0.65</v>
      </c>
      <c r="P45" s="36">
        <v>0.75</v>
      </c>
      <c r="Q45" s="135">
        <f t="shared" si="2"/>
        <v>0.7</v>
      </c>
      <c r="R45" s="36">
        <v>12.4</v>
      </c>
      <c r="S45" s="36">
        <v>122</v>
      </c>
      <c r="T45" s="108">
        <f t="shared" si="0"/>
        <v>27</v>
      </c>
      <c r="U45" s="36">
        <v>498</v>
      </c>
      <c r="V45" s="108">
        <f t="shared" si="1"/>
        <v>3361.5</v>
      </c>
      <c r="W45" s="36">
        <v>3</v>
      </c>
      <c r="X45" s="36" t="s">
        <v>35</v>
      </c>
      <c r="Y45" s="36" t="s">
        <v>43</v>
      </c>
      <c r="Z45" s="36" t="s">
        <v>55</v>
      </c>
      <c r="AA45" s="36" t="s">
        <v>29</v>
      </c>
      <c r="AB45" s="36" t="s">
        <v>178</v>
      </c>
    </row>
    <row r="46" spans="1:28" s="36" customFormat="1" ht="13.5" customHeight="1" x14ac:dyDescent="0.15">
      <c r="A46" s="36" t="s">
        <v>30</v>
      </c>
      <c r="B46" s="36" t="s">
        <v>174</v>
      </c>
      <c r="C46" s="36">
        <v>2020</v>
      </c>
      <c r="D46" s="106" t="s">
        <v>370</v>
      </c>
      <c r="E46" s="36" t="s">
        <v>216</v>
      </c>
      <c r="F46" s="36" t="s">
        <v>218</v>
      </c>
      <c r="G46" s="36" t="s">
        <v>25</v>
      </c>
      <c r="H46" s="36" t="s">
        <v>164</v>
      </c>
      <c r="I46" s="36" t="s">
        <v>111</v>
      </c>
      <c r="J46" s="36" t="s">
        <v>27</v>
      </c>
      <c r="K46" s="36" t="s">
        <v>112</v>
      </c>
      <c r="L46" s="36">
        <v>3</v>
      </c>
      <c r="N46" s="36">
        <v>4</v>
      </c>
      <c r="O46" s="36">
        <v>0.5</v>
      </c>
      <c r="P46" s="36">
        <v>0.55000000000000004</v>
      </c>
      <c r="Q46" s="135">
        <f t="shared" si="2"/>
        <v>0.52500000000000002</v>
      </c>
      <c r="R46" s="36">
        <v>13.5</v>
      </c>
      <c r="S46" s="36">
        <v>123</v>
      </c>
      <c r="T46" s="108">
        <f t="shared" si="0"/>
        <v>27</v>
      </c>
      <c r="U46" s="36">
        <v>498</v>
      </c>
      <c r="V46" s="108">
        <f t="shared" si="1"/>
        <v>3361.5</v>
      </c>
      <c r="W46" s="36">
        <v>3</v>
      </c>
      <c r="X46" s="36" t="s">
        <v>35</v>
      </c>
      <c r="Y46" s="36" t="s">
        <v>43</v>
      </c>
      <c r="Z46" s="36" t="s">
        <v>55</v>
      </c>
      <c r="AA46" s="36" t="s">
        <v>29</v>
      </c>
      <c r="AB46" s="36" t="s">
        <v>178</v>
      </c>
    </row>
    <row r="47" spans="1:28" s="36" customFormat="1" ht="13.5" customHeight="1" x14ac:dyDescent="0.15">
      <c r="A47" s="36" t="s">
        <v>30</v>
      </c>
      <c r="B47" s="36" t="s">
        <v>174</v>
      </c>
      <c r="C47" s="36">
        <v>2020</v>
      </c>
      <c r="D47" s="106" t="s">
        <v>370</v>
      </c>
      <c r="E47" s="36" t="s">
        <v>216</v>
      </c>
      <c r="F47" s="36" t="s">
        <v>218</v>
      </c>
      <c r="G47" s="36" t="s">
        <v>25</v>
      </c>
      <c r="H47" s="36" t="s">
        <v>164</v>
      </c>
      <c r="I47" s="36" t="s">
        <v>111</v>
      </c>
      <c r="J47" s="36" t="s">
        <v>27</v>
      </c>
      <c r="K47" s="36" t="s">
        <v>112</v>
      </c>
      <c r="L47" s="36">
        <v>1</v>
      </c>
      <c r="N47" s="36">
        <v>6</v>
      </c>
      <c r="O47" s="36">
        <v>0.35</v>
      </c>
      <c r="P47" s="36">
        <v>0.4</v>
      </c>
      <c r="Q47" s="135">
        <f t="shared" si="2"/>
        <v>0.375</v>
      </c>
      <c r="R47" s="36">
        <v>16.399999999999999</v>
      </c>
      <c r="S47" s="36">
        <v>114</v>
      </c>
      <c r="T47" s="108">
        <f t="shared" si="0"/>
        <v>30</v>
      </c>
      <c r="U47" s="36">
        <v>680</v>
      </c>
      <c r="V47" s="108">
        <f t="shared" si="1"/>
        <v>3400</v>
      </c>
      <c r="W47" s="36">
        <v>3</v>
      </c>
      <c r="X47" s="36" t="s">
        <v>35</v>
      </c>
      <c r="Y47" s="36" t="s">
        <v>43</v>
      </c>
      <c r="Z47" s="36" t="s">
        <v>55</v>
      </c>
      <c r="AA47" s="36" t="s">
        <v>29</v>
      </c>
      <c r="AB47" s="36" t="s">
        <v>178</v>
      </c>
    </row>
    <row r="48" spans="1:28" s="36" customFormat="1" ht="13.5" customHeight="1" x14ac:dyDescent="0.15">
      <c r="A48" s="36" t="s">
        <v>30</v>
      </c>
      <c r="B48" s="36" t="s">
        <v>174</v>
      </c>
      <c r="C48" s="36">
        <v>2020</v>
      </c>
      <c r="D48" s="106" t="s">
        <v>370</v>
      </c>
      <c r="E48" s="36" t="s">
        <v>216</v>
      </c>
      <c r="F48" s="36" t="s">
        <v>218</v>
      </c>
      <c r="G48" s="36" t="s">
        <v>25</v>
      </c>
      <c r="H48" s="36" t="s">
        <v>164</v>
      </c>
      <c r="I48" s="36" t="s">
        <v>111</v>
      </c>
      <c r="J48" s="36" t="s">
        <v>27</v>
      </c>
      <c r="K48" s="36" t="s">
        <v>112</v>
      </c>
      <c r="L48" s="36">
        <v>2</v>
      </c>
      <c r="N48" s="36">
        <v>6</v>
      </c>
      <c r="O48" s="36">
        <v>0.45</v>
      </c>
      <c r="P48" s="36">
        <v>0.55000000000000004</v>
      </c>
      <c r="Q48" s="135">
        <f t="shared" si="2"/>
        <v>0.5</v>
      </c>
      <c r="R48" s="36">
        <v>17.3</v>
      </c>
      <c r="S48" s="36">
        <v>113</v>
      </c>
      <c r="T48" s="108">
        <f t="shared" si="0"/>
        <v>30</v>
      </c>
      <c r="U48" s="36">
        <v>680</v>
      </c>
      <c r="V48" s="115">
        <f t="shared" si="1"/>
        <v>3400</v>
      </c>
      <c r="W48" s="36">
        <v>3</v>
      </c>
      <c r="X48" s="36" t="s">
        <v>35</v>
      </c>
      <c r="Y48" s="36" t="s">
        <v>43</v>
      </c>
      <c r="Z48" s="36" t="s">
        <v>55</v>
      </c>
      <c r="AA48" s="36" t="s">
        <v>29</v>
      </c>
      <c r="AB48" s="36" t="s">
        <v>178</v>
      </c>
    </row>
    <row r="49" spans="1:34" s="36" customFormat="1" ht="13.5" customHeight="1" x14ac:dyDescent="0.15">
      <c r="A49" s="36" t="s">
        <v>30</v>
      </c>
      <c r="B49" s="36" t="s">
        <v>174</v>
      </c>
      <c r="C49" s="36">
        <v>2020</v>
      </c>
      <c r="D49" s="106" t="s">
        <v>370</v>
      </c>
      <c r="E49" s="36" t="s">
        <v>216</v>
      </c>
      <c r="F49" s="36" t="s">
        <v>218</v>
      </c>
      <c r="G49" s="36" t="s">
        <v>25</v>
      </c>
      <c r="H49" s="36" t="s">
        <v>164</v>
      </c>
      <c r="I49" s="36" t="s">
        <v>111</v>
      </c>
      <c r="J49" s="36" t="s">
        <v>27</v>
      </c>
      <c r="K49" s="36" t="s">
        <v>112</v>
      </c>
      <c r="L49" s="36">
        <v>3</v>
      </c>
      <c r="N49" s="36">
        <v>6</v>
      </c>
      <c r="O49" s="36">
        <v>0.25</v>
      </c>
      <c r="P49" s="36">
        <v>0.25</v>
      </c>
      <c r="Q49" s="135">
        <f t="shared" si="2"/>
        <v>0.25</v>
      </c>
      <c r="R49" s="36">
        <v>15.2</v>
      </c>
      <c r="S49" s="36">
        <v>110</v>
      </c>
      <c r="T49" s="108">
        <f t="shared" si="0"/>
        <v>33</v>
      </c>
      <c r="U49" s="36">
        <v>680</v>
      </c>
      <c r="V49" s="115">
        <f t="shared" si="1"/>
        <v>3740</v>
      </c>
      <c r="W49" s="36">
        <v>3</v>
      </c>
      <c r="X49" s="36" t="s">
        <v>35</v>
      </c>
      <c r="Y49" s="36" t="s">
        <v>43</v>
      </c>
      <c r="Z49" s="36" t="s">
        <v>55</v>
      </c>
      <c r="AA49" s="36" t="s">
        <v>29</v>
      </c>
      <c r="AB49" s="36" t="s">
        <v>178</v>
      </c>
    </row>
    <row r="50" spans="1:34" s="36" customFormat="1" ht="13.5" customHeight="1" x14ac:dyDescent="0.15">
      <c r="A50" s="36" t="s">
        <v>30</v>
      </c>
      <c r="B50" s="36" t="s">
        <v>174</v>
      </c>
      <c r="C50" s="36">
        <v>2020</v>
      </c>
      <c r="D50" s="106" t="s">
        <v>370</v>
      </c>
      <c r="E50" s="36" t="s">
        <v>216</v>
      </c>
      <c r="F50" s="36" t="s">
        <v>218</v>
      </c>
      <c r="G50" s="36" t="s">
        <v>25</v>
      </c>
      <c r="H50" s="36" t="s">
        <v>113</v>
      </c>
      <c r="I50" s="36" t="s">
        <v>111</v>
      </c>
      <c r="J50" s="36" t="s">
        <v>27</v>
      </c>
      <c r="K50" s="36" t="s">
        <v>112</v>
      </c>
      <c r="L50" s="36">
        <v>1</v>
      </c>
      <c r="N50" s="36">
        <v>1</v>
      </c>
      <c r="O50" s="36">
        <v>1.1000000000000001</v>
      </c>
      <c r="P50" s="36">
        <v>1.1499999999999999</v>
      </c>
      <c r="Q50" s="135">
        <f t="shared" si="2"/>
        <v>1.125</v>
      </c>
      <c r="R50" s="36">
        <v>14.8</v>
      </c>
      <c r="S50" s="36">
        <v>128</v>
      </c>
      <c r="T50" s="115">
        <f t="shared" si="0"/>
        <v>27</v>
      </c>
      <c r="U50" s="36">
        <v>98</v>
      </c>
      <c r="V50" s="115">
        <f t="shared" si="1"/>
        <v>2646</v>
      </c>
      <c r="W50" s="36">
        <v>4</v>
      </c>
      <c r="X50" s="36" t="s">
        <v>35</v>
      </c>
      <c r="Y50" s="36" t="s">
        <v>43</v>
      </c>
      <c r="Z50" s="36" t="s">
        <v>55</v>
      </c>
      <c r="AA50" s="36" t="s">
        <v>29</v>
      </c>
      <c r="AB50" s="36" t="s">
        <v>178</v>
      </c>
    </row>
    <row r="51" spans="1:34" s="36" customFormat="1" ht="13.5" customHeight="1" x14ac:dyDescent="0.15">
      <c r="A51" s="36" t="s">
        <v>30</v>
      </c>
      <c r="B51" s="36" t="s">
        <v>174</v>
      </c>
      <c r="C51" s="36">
        <v>2020</v>
      </c>
      <c r="D51" s="106" t="s">
        <v>370</v>
      </c>
      <c r="E51" s="36" t="s">
        <v>216</v>
      </c>
      <c r="F51" s="36" t="s">
        <v>218</v>
      </c>
      <c r="G51" s="36" t="s">
        <v>25</v>
      </c>
      <c r="H51" s="36" t="s">
        <v>113</v>
      </c>
      <c r="I51" s="36" t="s">
        <v>111</v>
      </c>
      <c r="J51" s="36" t="s">
        <v>27</v>
      </c>
      <c r="K51" s="36" t="s">
        <v>112</v>
      </c>
      <c r="L51" s="36">
        <v>2</v>
      </c>
      <c r="N51" s="36">
        <v>1</v>
      </c>
      <c r="O51" s="36">
        <v>0.9</v>
      </c>
      <c r="P51" s="36">
        <v>1</v>
      </c>
      <c r="Q51" s="134">
        <f t="shared" si="2"/>
        <v>0.95</v>
      </c>
      <c r="R51" s="36">
        <v>14.2</v>
      </c>
      <c r="S51" s="36">
        <v>126</v>
      </c>
      <c r="T51" s="115">
        <f t="shared" si="0"/>
        <v>27</v>
      </c>
      <c r="U51" s="36">
        <v>98</v>
      </c>
      <c r="V51" s="115">
        <f t="shared" si="1"/>
        <v>2646</v>
      </c>
      <c r="W51" s="36">
        <v>4</v>
      </c>
      <c r="X51" s="36" t="s">
        <v>35</v>
      </c>
      <c r="Y51" s="36" t="s">
        <v>43</v>
      </c>
      <c r="Z51" s="36" t="s">
        <v>55</v>
      </c>
      <c r="AA51" s="36" t="s">
        <v>29</v>
      </c>
      <c r="AB51" s="36" t="s">
        <v>178</v>
      </c>
    </row>
    <row r="52" spans="1:34" s="36" customFormat="1" ht="13.5" customHeight="1" x14ac:dyDescent="0.15">
      <c r="A52" s="36" t="s">
        <v>30</v>
      </c>
      <c r="B52" s="36" t="s">
        <v>174</v>
      </c>
      <c r="C52" s="36">
        <v>2020</v>
      </c>
      <c r="D52" s="106" t="s">
        <v>370</v>
      </c>
      <c r="E52" s="36" t="s">
        <v>216</v>
      </c>
      <c r="F52" s="36" t="s">
        <v>218</v>
      </c>
      <c r="G52" s="36" t="s">
        <v>25</v>
      </c>
      <c r="H52" s="36" t="s">
        <v>113</v>
      </c>
      <c r="I52" s="36" t="s">
        <v>111</v>
      </c>
      <c r="J52" s="36" t="s">
        <v>27</v>
      </c>
      <c r="K52" s="36" t="s">
        <v>112</v>
      </c>
      <c r="L52" s="36">
        <v>3</v>
      </c>
      <c r="N52" s="36">
        <v>1</v>
      </c>
      <c r="O52" s="36">
        <v>1.3</v>
      </c>
      <c r="P52" s="36">
        <v>1.1499999999999999</v>
      </c>
      <c r="Q52" s="134">
        <f t="shared" si="2"/>
        <v>1.2250000000000001</v>
      </c>
      <c r="R52" s="36">
        <v>10.5</v>
      </c>
      <c r="S52" s="36">
        <v>127</v>
      </c>
      <c r="T52" s="115">
        <f t="shared" si="0"/>
        <v>27</v>
      </c>
      <c r="U52" s="36">
        <v>98</v>
      </c>
      <c r="V52" s="115">
        <f t="shared" si="1"/>
        <v>2646</v>
      </c>
      <c r="W52" s="36">
        <v>4</v>
      </c>
      <c r="X52" s="36" t="s">
        <v>35</v>
      </c>
      <c r="Y52" s="36" t="s">
        <v>43</v>
      </c>
      <c r="Z52" s="36" t="s">
        <v>55</v>
      </c>
      <c r="AA52" s="36" t="s">
        <v>29</v>
      </c>
      <c r="AB52" s="36" t="s">
        <v>178</v>
      </c>
    </row>
    <row r="53" spans="1:34" s="36" customFormat="1" ht="13.5" customHeight="1" x14ac:dyDescent="0.15">
      <c r="A53" s="36" t="s">
        <v>30</v>
      </c>
      <c r="B53" s="36" t="s">
        <v>174</v>
      </c>
      <c r="C53" s="36">
        <v>2020</v>
      </c>
      <c r="D53" s="106" t="s">
        <v>370</v>
      </c>
      <c r="E53" s="36" t="s">
        <v>216</v>
      </c>
      <c r="F53" s="36" t="s">
        <v>218</v>
      </c>
      <c r="G53" s="36" t="s">
        <v>25</v>
      </c>
      <c r="H53" s="36" t="s">
        <v>113</v>
      </c>
      <c r="I53" s="36" t="s">
        <v>111</v>
      </c>
      <c r="J53" s="36" t="s">
        <v>27</v>
      </c>
      <c r="K53" s="36" t="s">
        <v>112</v>
      </c>
      <c r="L53" s="36">
        <v>1</v>
      </c>
      <c r="N53" s="36">
        <v>5</v>
      </c>
      <c r="O53" s="36">
        <v>1.5</v>
      </c>
      <c r="P53" s="36">
        <v>1.3</v>
      </c>
      <c r="Q53" s="134">
        <f t="shared" si="2"/>
        <v>1.4</v>
      </c>
      <c r="R53" s="36">
        <v>13.8</v>
      </c>
      <c r="S53" s="36">
        <v>108</v>
      </c>
      <c r="T53" s="115">
        <f t="shared" si="0"/>
        <v>33</v>
      </c>
      <c r="U53" s="36">
        <v>398</v>
      </c>
      <c r="V53" s="115">
        <f t="shared" si="1"/>
        <v>2626.7999999999997</v>
      </c>
      <c r="W53" s="36">
        <v>3</v>
      </c>
      <c r="X53" s="36" t="s">
        <v>35</v>
      </c>
      <c r="Y53" s="36" t="s">
        <v>43</v>
      </c>
      <c r="Z53" s="36" t="s">
        <v>55</v>
      </c>
      <c r="AA53" s="36" t="s">
        <v>29</v>
      </c>
      <c r="AB53" s="36" t="s">
        <v>178</v>
      </c>
      <c r="AC53" s="139"/>
      <c r="AD53" s="139"/>
      <c r="AE53" s="139"/>
      <c r="AF53" s="139"/>
      <c r="AG53" s="139"/>
      <c r="AH53" s="139"/>
    </row>
    <row r="54" spans="1:34" s="36" customFormat="1" ht="13.5" customHeight="1" x14ac:dyDescent="0.15">
      <c r="A54" s="36" t="s">
        <v>30</v>
      </c>
      <c r="B54" s="36" t="s">
        <v>174</v>
      </c>
      <c r="C54" s="36">
        <v>2020</v>
      </c>
      <c r="D54" s="106" t="s">
        <v>370</v>
      </c>
      <c r="E54" s="36" t="s">
        <v>216</v>
      </c>
      <c r="F54" s="36" t="s">
        <v>218</v>
      </c>
      <c r="G54" s="36" t="s">
        <v>25</v>
      </c>
      <c r="H54" s="36" t="s">
        <v>113</v>
      </c>
      <c r="I54" s="36" t="s">
        <v>111</v>
      </c>
      <c r="J54" s="36" t="s">
        <v>27</v>
      </c>
      <c r="K54" s="36" t="s">
        <v>112</v>
      </c>
      <c r="L54" s="36">
        <v>2</v>
      </c>
      <c r="N54" s="36">
        <v>5</v>
      </c>
      <c r="O54" s="36">
        <v>1.2</v>
      </c>
      <c r="P54" s="36">
        <v>1.25</v>
      </c>
      <c r="Q54" s="134">
        <f t="shared" si="2"/>
        <v>1.2250000000000001</v>
      </c>
      <c r="R54" s="36">
        <v>11.9</v>
      </c>
      <c r="S54" s="36">
        <v>109</v>
      </c>
      <c r="T54" s="115">
        <f t="shared" si="0"/>
        <v>33</v>
      </c>
      <c r="U54" s="36">
        <v>398</v>
      </c>
      <c r="V54" s="115">
        <f t="shared" si="1"/>
        <v>2626.7999999999997</v>
      </c>
      <c r="W54" s="36">
        <v>3</v>
      </c>
      <c r="X54" s="36" t="s">
        <v>35</v>
      </c>
      <c r="Y54" s="36" t="s">
        <v>43</v>
      </c>
      <c r="Z54" s="36" t="s">
        <v>55</v>
      </c>
      <c r="AA54" s="36" t="s">
        <v>29</v>
      </c>
      <c r="AB54" s="36" t="s">
        <v>178</v>
      </c>
      <c r="AC54" s="139"/>
      <c r="AD54" s="139"/>
      <c r="AE54" s="139"/>
      <c r="AF54" s="139"/>
      <c r="AG54" s="139"/>
      <c r="AH54" s="139"/>
    </row>
    <row r="55" spans="1:34" s="36" customFormat="1" ht="13.5" customHeight="1" x14ac:dyDescent="0.15">
      <c r="A55" s="36" t="s">
        <v>30</v>
      </c>
      <c r="B55" s="36" t="s">
        <v>174</v>
      </c>
      <c r="C55" s="36">
        <v>2020</v>
      </c>
      <c r="D55" s="106" t="s">
        <v>370</v>
      </c>
      <c r="E55" s="36" t="s">
        <v>216</v>
      </c>
      <c r="F55" s="36" t="s">
        <v>218</v>
      </c>
      <c r="G55" s="36" t="s">
        <v>25</v>
      </c>
      <c r="H55" s="36" t="s">
        <v>113</v>
      </c>
      <c r="I55" s="36" t="s">
        <v>111</v>
      </c>
      <c r="J55" s="36" t="s">
        <v>27</v>
      </c>
      <c r="K55" s="36" t="s">
        <v>112</v>
      </c>
      <c r="L55" s="36">
        <v>3</v>
      </c>
      <c r="N55" s="36">
        <v>5</v>
      </c>
      <c r="O55" s="36">
        <v>1.1000000000000001</v>
      </c>
      <c r="P55" s="36">
        <v>1</v>
      </c>
      <c r="Q55" s="134">
        <f t="shared" si="2"/>
        <v>1.05</v>
      </c>
      <c r="R55" s="36">
        <v>11.2</v>
      </c>
      <c r="S55" s="36">
        <v>110</v>
      </c>
      <c r="T55" s="115">
        <f t="shared" si="0"/>
        <v>33</v>
      </c>
      <c r="U55" s="36">
        <v>398</v>
      </c>
      <c r="V55" s="115">
        <f t="shared" si="1"/>
        <v>2626.7999999999997</v>
      </c>
      <c r="W55" s="36">
        <v>3</v>
      </c>
      <c r="X55" s="36" t="s">
        <v>35</v>
      </c>
      <c r="Y55" s="36" t="s">
        <v>43</v>
      </c>
      <c r="Z55" s="36" t="s">
        <v>55</v>
      </c>
      <c r="AA55" s="36" t="s">
        <v>29</v>
      </c>
      <c r="AB55" s="36" t="s">
        <v>178</v>
      </c>
      <c r="AC55" s="139"/>
      <c r="AD55" s="139"/>
      <c r="AE55" s="139"/>
      <c r="AF55" s="139"/>
      <c r="AG55" s="139"/>
      <c r="AH55" s="139"/>
    </row>
    <row r="56" spans="1:34" s="36" customFormat="1" ht="13.5" customHeight="1" x14ac:dyDescent="0.15">
      <c r="A56" s="36" t="s">
        <v>30</v>
      </c>
      <c r="B56" s="36" t="s">
        <v>174</v>
      </c>
      <c r="C56" s="36">
        <v>2020</v>
      </c>
      <c r="D56" s="106" t="s">
        <v>370</v>
      </c>
      <c r="E56" s="36" t="s">
        <v>216</v>
      </c>
      <c r="F56" s="36" t="s">
        <v>218</v>
      </c>
      <c r="G56" s="36" t="s">
        <v>25</v>
      </c>
      <c r="H56" s="36" t="s">
        <v>113</v>
      </c>
      <c r="I56" s="36" t="s">
        <v>111</v>
      </c>
      <c r="J56" s="36" t="s">
        <v>27</v>
      </c>
      <c r="K56" s="36" t="s">
        <v>112</v>
      </c>
      <c r="L56" s="36">
        <v>1</v>
      </c>
      <c r="N56" s="36">
        <v>7</v>
      </c>
      <c r="O56" s="36">
        <v>0.7</v>
      </c>
      <c r="P56" s="36">
        <v>0.75</v>
      </c>
      <c r="Q56" s="134">
        <v>0.45</v>
      </c>
      <c r="R56" s="36">
        <v>13.5</v>
      </c>
      <c r="S56" s="36">
        <v>99</v>
      </c>
      <c r="T56" s="115">
        <f t="shared" si="0"/>
        <v>33</v>
      </c>
      <c r="U56" s="36">
        <v>580</v>
      </c>
      <c r="V56" s="115">
        <f t="shared" si="1"/>
        <v>2734.2857142857142</v>
      </c>
      <c r="W56" s="36">
        <v>1</v>
      </c>
      <c r="X56" s="36" t="s">
        <v>35</v>
      </c>
      <c r="Y56" s="36" t="s">
        <v>43</v>
      </c>
      <c r="Z56" s="36" t="s">
        <v>55</v>
      </c>
      <c r="AA56" s="36" t="s">
        <v>29</v>
      </c>
      <c r="AB56" s="36" t="s">
        <v>178</v>
      </c>
    </row>
    <row r="57" spans="1:34" s="36" customFormat="1" ht="13.5" customHeight="1" x14ac:dyDescent="0.15">
      <c r="A57" s="36" t="s">
        <v>30</v>
      </c>
      <c r="B57" s="36" t="s">
        <v>174</v>
      </c>
      <c r="C57" s="36">
        <v>2020</v>
      </c>
      <c r="D57" s="106" t="s">
        <v>370</v>
      </c>
      <c r="E57" s="36" t="s">
        <v>216</v>
      </c>
      <c r="F57" s="36" t="s">
        <v>218</v>
      </c>
      <c r="G57" s="36" t="s">
        <v>25</v>
      </c>
      <c r="H57" s="36" t="s">
        <v>113</v>
      </c>
      <c r="I57" s="36" t="s">
        <v>111</v>
      </c>
      <c r="J57" s="36" t="s">
        <v>27</v>
      </c>
      <c r="K57" s="36" t="s">
        <v>112</v>
      </c>
      <c r="L57" s="36">
        <v>2</v>
      </c>
      <c r="N57" s="36">
        <v>7</v>
      </c>
      <c r="O57" s="36">
        <v>0.8</v>
      </c>
      <c r="P57" s="36">
        <v>0.85</v>
      </c>
      <c r="Q57" s="134">
        <v>0.5</v>
      </c>
      <c r="R57" s="36">
        <v>12.1</v>
      </c>
      <c r="S57" s="36">
        <v>102</v>
      </c>
      <c r="T57" s="115">
        <f t="shared" si="0"/>
        <v>33</v>
      </c>
      <c r="U57" s="36">
        <v>580</v>
      </c>
      <c r="V57" s="115">
        <f t="shared" si="1"/>
        <v>2734.2857142857142</v>
      </c>
      <c r="W57" s="36">
        <v>1</v>
      </c>
      <c r="X57" s="36" t="s">
        <v>35</v>
      </c>
      <c r="Y57" s="36" t="s">
        <v>43</v>
      </c>
      <c r="Z57" s="36" t="s">
        <v>55</v>
      </c>
      <c r="AA57" s="36" t="s">
        <v>29</v>
      </c>
      <c r="AB57" s="36" t="s">
        <v>178</v>
      </c>
    </row>
    <row r="58" spans="1:34" s="36" customFormat="1" ht="13.5" customHeight="1" x14ac:dyDescent="0.15">
      <c r="A58" s="36" t="s">
        <v>30</v>
      </c>
      <c r="B58" s="36" t="s">
        <v>174</v>
      </c>
      <c r="C58" s="36">
        <v>2020</v>
      </c>
      <c r="D58" s="106" t="s">
        <v>370</v>
      </c>
      <c r="E58" s="36" t="s">
        <v>216</v>
      </c>
      <c r="F58" s="36" t="s">
        <v>218</v>
      </c>
      <c r="G58" s="36" t="s">
        <v>25</v>
      </c>
      <c r="H58" s="36" t="s">
        <v>113</v>
      </c>
      <c r="I58" s="36" t="s">
        <v>111</v>
      </c>
      <c r="J58" s="36" t="s">
        <v>27</v>
      </c>
      <c r="K58" s="36" t="s">
        <v>112</v>
      </c>
      <c r="L58" s="36">
        <v>3</v>
      </c>
      <c r="N58" s="36">
        <v>7</v>
      </c>
      <c r="O58" s="36">
        <v>0.65</v>
      </c>
      <c r="P58" s="36">
        <v>0.5</v>
      </c>
      <c r="Q58" s="134">
        <v>0.35</v>
      </c>
      <c r="R58" s="36">
        <v>12.1</v>
      </c>
      <c r="S58" s="36">
        <v>104</v>
      </c>
      <c r="T58" s="115">
        <f t="shared" si="0"/>
        <v>33</v>
      </c>
      <c r="U58" s="36">
        <v>580</v>
      </c>
      <c r="V58" s="115">
        <f t="shared" si="1"/>
        <v>2734.2857142857142</v>
      </c>
      <c r="W58" s="36">
        <v>1</v>
      </c>
      <c r="X58" s="36" t="s">
        <v>35</v>
      </c>
      <c r="Y58" s="36" t="s">
        <v>43</v>
      </c>
      <c r="Z58" s="36" t="s">
        <v>55</v>
      </c>
      <c r="AA58" s="36" t="s">
        <v>29</v>
      </c>
      <c r="AB58" s="36" t="s">
        <v>178</v>
      </c>
    </row>
    <row r="59" spans="1:34" s="36" customFormat="1" ht="13.5" customHeight="1" x14ac:dyDescent="0.15">
      <c r="A59" s="36" t="s">
        <v>30</v>
      </c>
      <c r="B59" s="36" t="s">
        <v>174</v>
      </c>
      <c r="C59" s="36">
        <v>2020</v>
      </c>
      <c r="D59" s="106" t="s">
        <v>370</v>
      </c>
      <c r="E59" s="36" t="s">
        <v>223</v>
      </c>
      <c r="F59" s="36" t="s">
        <v>214</v>
      </c>
      <c r="G59" s="36" t="s">
        <v>25</v>
      </c>
      <c r="H59" s="36" t="s">
        <v>164</v>
      </c>
      <c r="I59" s="36" t="s">
        <v>111</v>
      </c>
      <c r="J59" s="36" t="s">
        <v>27</v>
      </c>
      <c r="K59" s="36" t="s">
        <v>112</v>
      </c>
      <c r="L59" s="36">
        <v>1</v>
      </c>
      <c r="N59" s="36">
        <v>1</v>
      </c>
      <c r="O59" s="36">
        <v>0.65</v>
      </c>
      <c r="P59" s="36">
        <v>0.6</v>
      </c>
      <c r="Q59" s="134">
        <v>0.57999999999999996</v>
      </c>
      <c r="R59" s="36">
        <v>13.4</v>
      </c>
      <c r="S59" s="36">
        <v>132</v>
      </c>
      <c r="T59" s="115">
        <f t="shared" si="0"/>
        <v>25</v>
      </c>
      <c r="U59" s="36">
        <v>158</v>
      </c>
      <c r="V59" s="115">
        <f t="shared" si="1"/>
        <v>3950</v>
      </c>
      <c r="W59" s="36">
        <v>3</v>
      </c>
      <c r="X59" s="36" t="s">
        <v>35</v>
      </c>
      <c r="Y59" s="36" t="s">
        <v>55</v>
      </c>
      <c r="Z59" s="36" t="s">
        <v>43</v>
      </c>
      <c r="AA59" s="36" t="s">
        <v>47</v>
      </c>
      <c r="AB59" s="36" t="s">
        <v>178</v>
      </c>
    </row>
    <row r="60" spans="1:34" s="36" customFormat="1" ht="13.5" customHeight="1" x14ac:dyDescent="0.15">
      <c r="A60" s="36" t="s">
        <v>30</v>
      </c>
      <c r="B60" s="36" t="s">
        <v>174</v>
      </c>
      <c r="C60" s="36">
        <v>2020</v>
      </c>
      <c r="D60" s="106" t="s">
        <v>370</v>
      </c>
      <c r="E60" s="36" t="s">
        <v>223</v>
      </c>
      <c r="F60" s="36" t="s">
        <v>214</v>
      </c>
      <c r="G60" s="36" t="s">
        <v>25</v>
      </c>
      <c r="H60" s="36" t="s">
        <v>164</v>
      </c>
      <c r="I60" s="36" t="s">
        <v>111</v>
      </c>
      <c r="J60" s="36" t="s">
        <v>27</v>
      </c>
      <c r="K60" s="36" t="s">
        <v>112</v>
      </c>
      <c r="L60" s="36">
        <v>2</v>
      </c>
      <c r="N60" s="36">
        <v>1</v>
      </c>
      <c r="O60" s="36">
        <v>0.5</v>
      </c>
      <c r="P60" s="36">
        <v>0.55000000000000004</v>
      </c>
      <c r="Q60" s="134">
        <v>0.8</v>
      </c>
      <c r="R60" s="36">
        <v>14.2</v>
      </c>
      <c r="S60" s="36">
        <v>134</v>
      </c>
      <c r="T60" s="115">
        <f t="shared" si="0"/>
        <v>25</v>
      </c>
      <c r="U60" s="36">
        <v>158</v>
      </c>
      <c r="V60" s="115">
        <f t="shared" si="1"/>
        <v>3950</v>
      </c>
      <c r="W60" s="36">
        <v>3</v>
      </c>
      <c r="X60" s="36" t="s">
        <v>35</v>
      </c>
      <c r="Y60" s="36" t="s">
        <v>55</v>
      </c>
      <c r="Z60" s="36" t="s">
        <v>43</v>
      </c>
      <c r="AA60" s="36" t="s">
        <v>47</v>
      </c>
      <c r="AB60" s="36" t="s">
        <v>178</v>
      </c>
    </row>
    <row r="61" spans="1:34" s="36" customFormat="1" ht="13.5" customHeight="1" x14ac:dyDescent="0.15">
      <c r="A61" s="36" t="s">
        <v>30</v>
      </c>
      <c r="B61" s="36" t="s">
        <v>174</v>
      </c>
      <c r="C61" s="36">
        <v>2020</v>
      </c>
      <c r="D61" s="106" t="s">
        <v>370</v>
      </c>
      <c r="E61" s="36" t="s">
        <v>223</v>
      </c>
      <c r="F61" s="36" t="s">
        <v>214</v>
      </c>
      <c r="G61" s="36" t="s">
        <v>25</v>
      </c>
      <c r="H61" s="36" t="s">
        <v>164</v>
      </c>
      <c r="I61" s="36" t="s">
        <v>111</v>
      </c>
      <c r="J61" s="36" t="s">
        <v>27</v>
      </c>
      <c r="K61" s="36" t="s">
        <v>112</v>
      </c>
      <c r="L61" s="36">
        <v>3</v>
      </c>
      <c r="N61" s="36">
        <v>1</v>
      </c>
      <c r="O61" s="36">
        <v>0.4</v>
      </c>
      <c r="P61" s="36">
        <v>0.65</v>
      </c>
      <c r="Q61" s="134">
        <v>0.68</v>
      </c>
      <c r="R61" s="36">
        <v>14.6</v>
      </c>
      <c r="S61" s="36">
        <v>136</v>
      </c>
      <c r="T61" s="115">
        <f t="shared" si="0"/>
        <v>25</v>
      </c>
      <c r="U61" s="36">
        <v>158</v>
      </c>
      <c r="V61" s="115">
        <f t="shared" si="1"/>
        <v>3950</v>
      </c>
      <c r="W61" s="36">
        <v>3</v>
      </c>
      <c r="X61" s="36" t="s">
        <v>35</v>
      </c>
      <c r="Y61" s="36" t="s">
        <v>55</v>
      </c>
      <c r="Z61" s="36" t="s">
        <v>43</v>
      </c>
      <c r="AA61" s="36" t="s">
        <v>47</v>
      </c>
      <c r="AB61" s="36" t="s">
        <v>178</v>
      </c>
    </row>
    <row r="62" spans="1:34" s="36" customFormat="1" ht="13.5" customHeight="1" x14ac:dyDescent="0.15">
      <c r="A62" s="36" t="s">
        <v>30</v>
      </c>
      <c r="B62" s="36" t="s">
        <v>174</v>
      </c>
      <c r="C62" s="36">
        <v>2020</v>
      </c>
      <c r="D62" s="106" t="s">
        <v>370</v>
      </c>
      <c r="E62" s="36" t="s">
        <v>223</v>
      </c>
      <c r="F62" s="36" t="s">
        <v>214</v>
      </c>
      <c r="G62" s="36" t="s">
        <v>25</v>
      </c>
      <c r="H62" s="36" t="s">
        <v>164</v>
      </c>
      <c r="I62" s="36" t="s">
        <v>111</v>
      </c>
      <c r="J62" s="36" t="s">
        <v>27</v>
      </c>
      <c r="K62" s="36" t="s">
        <v>112</v>
      </c>
      <c r="L62" s="36">
        <v>1</v>
      </c>
      <c r="N62" s="36">
        <v>4</v>
      </c>
      <c r="O62" s="36">
        <v>0.35</v>
      </c>
      <c r="P62" s="36">
        <v>0.4</v>
      </c>
      <c r="Q62" s="134">
        <v>0.83</v>
      </c>
      <c r="R62" s="36">
        <v>16.100000000000001</v>
      </c>
      <c r="S62" s="36">
        <v>130</v>
      </c>
      <c r="T62" s="115">
        <f t="shared" si="0"/>
        <v>25</v>
      </c>
      <c r="U62" s="36">
        <v>598</v>
      </c>
      <c r="V62" s="115">
        <f t="shared" si="1"/>
        <v>3737.5</v>
      </c>
      <c r="W62" s="36">
        <v>4</v>
      </c>
      <c r="X62" s="36" t="s">
        <v>35</v>
      </c>
      <c r="Y62" s="36" t="s">
        <v>55</v>
      </c>
      <c r="Z62" s="36" t="s">
        <v>43</v>
      </c>
      <c r="AA62" s="36" t="s">
        <v>47</v>
      </c>
      <c r="AB62" s="36" t="s">
        <v>178</v>
      </c>
    </row>
    <row r="63" spans="1:34" s="36" customFormat="1" ht="13.5" customHeight="1" x14ac:dyDescent="0.15">
      <c r="A63" s="36" t="s">
        <v>30</v>
      </c>
      <c r="B63" s="36" t="s">
        <v>174</v>
      </c>
      <c r="C63" s="36">
        <v>2020</v>
      </c>
      <c r="D63" s="106" t="s">
        <v>370</v>
      </c>
      <c r="E63" s="36" t="s">
        <v>223</v>
      </c>
      <c r="F63" s="36" t="s">
        <v>214</v>
      </c>
      <c r="G63" s="36" t="s">
        <v>25</v>
      </c>
      <c r="H63" s="36" t="s">
        <v>164</v>
      </c>
      <c r="I63" s="36" t="s">
        <v>111</v>
      </c>
      <c r="J63" s="36" t="s">
        <v>27</v>
      </c>
      <c r="K63" s="36" t="s">
        <v>112</v>
      </c>
      <c r="L63" s="36">
        <v>2</v>
      </c>
      <c r="N63" s="36">
        <v>4</v>
      </c>
      <c r="O63" s="36">
        <v>0.3</v>
      </c>
      <c r="P63" s="36">
        <v>0.25</v>
      </c>
      <c r="Q63" s="134">
        <v>0.73</v>
      </c>
      <c r="R63" s="36">
        <v>15.1</v>
      </c>
      <c r="S63" s="36">
        <v>131</v>
      </c>
      <c r="T63" s="115">
        <f t="shared" si="0"/>
        <v>25</v>
      </c>
      <c r="U63" s="36">
        <v>598</v>
      </c>
      <c r="V63" s="115">
        <f t="shared" si="1"/>
        <v>3737.5</v>
      </c>
      <c r="W63" s="36">
        <v>4</v>
      </c>
      <c r="X63" s="36" t="s">
        <v>35</v>
      </c>
      <c r="Y63" s="36" t="s">
        <v>55</v>
      </c>
      <c r="Z63" s="36" t="s">
        <v>43</v>
      </c>
      <c r="AA63" s="36" t="s">
        <v>47</v>
      </c>
      <c r="AB63" s="36" t="s">
        <v>178</v>
      </c>
    </row>
    <row r="64" spans="1:34" s="36" customFormat="1" ht="13.5" customHeight="1" x14ac:dyDescent="0.15">
      <c r="A64" s="36" t="s">
        <v>30</v>
      </c>
      <c r="B64" s="36" t="s">
        <v>174</v>
      </c>
      <c r="C64" s="36">
        <v>2020</v>
      </c>
      <c r="D64" s="106" t="s">
        <v>370</v>
      </c>
      <c r="E64" s="36" t="s">
        <v>223</v>
      </c>
      <c r="F64" s="36" t="s">
        <v>214</v>
      </c>
      <c r="G64" s="36" t="s">
        <v>25</v>
      </c>
      <c r="H64" s="36" t="s">
        <v>164</v>
      </c>
      <c r="I64" s="36" t="s">
        <v>111</v>
      </c>
      <c r="J64" s="36" t="s">
        <v>27</v>
      </c>
      <c r="K64" s="36" t="s">
        <v>112</v>
      </c>
      <c r="L64" s="36">
        <v>3</v>
      </c>
      <c r="N64" s="36">
        <v>4</v>
      </c>
      <c r="O64" s="36">
        <v>0.3</v>
      </c>
      <c r="P64" s="36">
        <v>0.3</v>
      </c>
      <c r="Q64" s="134">
        <v>0.63</v>
      </c>
      <c r="R64" s="36">
        <v>13.2</v>
      </c>
      <c r="S64" s="36">
        <v>128</v>
      </c>
      <c r="T64" s="115">
        <f t="shared" si="0"/>
        <v>27</v>
      </c>
      <c r="U64" s="36">
        <v>598</v>
      </c>
      <c r="V64" s="115">
        <f t="shared" si="1"/>
        <v>4036.5</v>
      </c>
      <c r="W64" s="36">
        <v>4</v>
      </c>
      <c r="X64" s="36" t="s">
        <v>35</v>
      </c>
      <c r="Y64" s="36" t="s">
        <v>55</v>
      </c>
      <c r="Z64" s="36" t="s">
        <v>43</v>
      </c>
      <c r="AA64" s="36" t="s">
        <v>47</v>
      </c>
      <c r="AB64" s="36" t="s">
        <v>178</v>
      </c>
    </row>
    <row r="65" spans="1:28" s="36" customFormat="1" ht="13.5" customHeight="1" x14ac:dyDescent="0.15">
      <c r="A65" s="36" t="s">
        <v>30</v>
      </c>
      <c r="B65" s="36" t="s">
        <v>174</v>
      </c>
      <c r="C65" s="36">
        <v>2020</v>
      </c>
      <c r="D65" s="106" t="s">
        <v>370</v>
      </c>
      <c r="E65" s="36" t="s">
        <v>223</v>
      </c>
      <c r="F65" s="36" t="s">
        <v>214</v>
      </c>
      <c r="G65" s="36" t="s">
        <v>25</v>
      </c>
      <c r="H65" s="36" t="s">
        <v>164</v>
      </c>
      <c r="I65" s="36" t="s">
        <v>111</v>
      </c>
      <c r="J65" s="36" t="s">
        <v>27</v>
      </c>
      <c r="K65" s="36" t="s">
        <v>112</v>
      </c>
      <c r="L65" s="36">
        <v>1</v>
      </c>
      <c r="N65" s="36">
        <v>8</v>
      </c>
      <c r="O65" s="36">
        <v>0.7</v>
      </c>
      <c r="P65" s="36">
        <v>0.75</v>
      </c>
      <c r="Q65" s="115">
        <v>0.65</v>
      </c>
      <c r="R65" s="36">
        <v>14.1</v>
      </c>
      <c r="S65" s="36">
        <v>120</v>
      </c>
      <c r="T65" s="115">
        <f t="shared" si="0"/>
        <v>30</v>
      </c>
      <c r="U65" s="36">
        <v>1250</v>
      </c>
      <c r="V65" s="115">
        <f t="shared" si="1"/>
        <v>4687.5</v>
      </c>
      <c r="W65" s="36">
        <v>2</v>
      </c>
      <c r="X65" s="36" t="s">
        <v>35</v>
      </c>
      <c r="Y65" s="36" t="s">
        <v>55</v>
      </c>
      <c r="Z65" s="36" t="s">
        <v>43</v>
      </c>
      <c r="AA65" s="36" t="s">
        <v>47</v>
      </c>
      <c r="AB65" s="36" t="s">
        <v>178</v>
      </c>
    </row>
    <row r="66" spans="1:28" s="36" customFormat="1" ht="13.5" customHeight="1" x14ac:dyDescent="0.15">
      <c r="A66" s="36" t="s">
        <v>30</v>
      </c>
      <c r="B66" s="36" t="s">
        <v>174</v>
      </c>
      <c r="C66" s="36">
        <v>2020</v>
      </c>
      <c r="D66" s="106" t="s">
        <v>370</v>
      </c>
      <c r="E66" s="36" t="s">
        <v>223</v>
      </c>
      <c r="F66" s="36" t="s">
        <v>214</v>
      </c>
      <c r="G66" s="36" t="s">
        <v>25</v>
      </c>
      <c r="H66" s="36" t="s">
        <v>164</v>
      </c>
      <c r="I66" s="36" t="s">
        <v>111</v>
      </c>
      <c r="J66" s="36" t="s">
        <v>27</v>
      </c>
      <c r="K66" s="36" t="s">
        <v>112</v>
      </c>
      <c r="L66" s="36">
        <v>2</v>
      </c>
      <c r="N66" s="36">
        <v>8</v>
      </c>
      <c r="O66" s="36">
        <v>0.65</v>
      </c>
      <c r="P66" s="36">
        <v>0.5</v>
      </c>
      <c r="Q66" s="115">
        <v>0.78</v>
      </c>
      <c r="R66" s="36">
        <v>15.7</v>
      </c>
      <c r="S66" s="36">
        <v>124</v>
      </c>
      <c r="T66" s="115">
        <f t="shared" ref="T66:T73" si="3">IF(H66="","",IF(OR(H66="GREEN",H66="GK"),IF(S66&gt;=$AX$2,VLOOKUP(S66,$AX$2:$AY$10,2,1),""),IF(S66&gt;=$AZ$2,VLOOKUP(S66,$AZ$2:$BA$10,2,1),"")))</f>
        <v>27</v>
      </c>
      <c r="U66" s="36">
        <v>1250</v>
      </c>
      <c r="V66" s="115">
        <f t="shared" ref="V66:V129" si="4">IF(OR(N66="",U66="",T66=""),"",U66/N66*T66)</f>
        <v>4218.75</v>
      </c>
      <c r="W66" s="36">
        <v>2</v>
      </c>
      <c r="X66" s="36" t="s">
        <v>35</v>
      </c>
      <c r="Y66" s="36" t="s">
        <v>55</v>
      </c>
      <c r="Z66" s="36" t="s">
        <v>43</v>
      </c>
      <c r="AA66" s="36" t="s">
        <v>47</v>
      </c>
      <c r="AB66" s="36" t="s">
        <v>178</v>
      </c>
    </row>
    <row r="67" spans="1:28" s="36" customFormat="1" ht="13.5" customHeight="1" x14ac:dyDescent="0.15">
      <c r="A67" s="36" t="s">
        <v>30</v>
      </c>
      <c r="B67" s="36" t="s">
        <v>174</v>
      </c>
      <c r="C67" s="36">
        <v>2020</v>
      </c>
      <c r="D67" s="106" t="s">
        <v>370</v>
      </c>
      <c r="E67" s="36" t="s">
        <v>223</v>
      </c>
      <c r="F67" s="36" t="s">
        <v>214</v>
      </c>
      <c r="G67" s="36" t="s">
        <v>25</v>
      </c>
      <c r="H67" s="36" t="s">
        <v>164</v>
      </c>
      <c r="I67" s="36" t="s">
        <v>111</v>
      </c>
      <c r="J67" s="36" t="s">
        <v>27</v>
      </c>
      <c r="K67" s="36" t="s">
        <v>112</v>
      </c>
      <c r="L67" s="36">
        <v>3</v>
      </c>
      <c r="N67" s="36">
        <v>8</v>
      </c>
      <c r="O67" s="36">
        <v>0.5</v>
      </c>
      <c r="P67" s="36">
        <v>0.65</v>
      </c>
      <c r="Q67" s="115">
        <v>0.55000000000000004</v>
      </c>
      <c r="R67" s="36">
        <v>15.4</v>
      </c>
      <c r="S67" s="36">
        <v>125</v>
      </c>
      <c r="T67" s="115">
        <f t="shared" si="3"/>
        <v>27</v>
      </c>
      <c r="U67" s="36">
        <v>1250</v>
      </c>
      <c r="V67" s="115">
        <f t="shared" si="4"/>
        <v>4218.75</v>
      </c>
      <c r="W67" s="36">
        <v>2</v>
      </c>
      <c r="X67" s="36" t="s">
        <v>35</v>
      </c>
      <c r="Y67" s="36" t="s">
        <v>55</v>
      </c>
      <c r="Z67" s="36" t="s">
        <v>43</v>
      </c>
      <c r="AA67" s="36" t="s">
        <v>47</v>
      </c>
      <c r="AB67" s="36" t="s">
        <v>178</v>
      </c>
    </row>
    <row r="68" spans="1:28" s="36" customFormat="1" ht="13.5" customHeight="1" x14ac:dyDescent="0.15">
      <c r="A68" s="36" t="s">
        <v>30</v>
      </c>
      <c r="B68" s="36" t="s">
        <v>174</v>
      </c>
      <c r="C68" s="36">
        <v>2020</v>
      </c>
      <c r="D68" s="106" t="s">
        <v>370</v>
      </c>
      <c r="E68" s="36" t="s">
        <v>223</v>
      </c>
      <c r="F68" s="36" t="s">
        <v>225</v>
      </c>
      <c r="G68" s="36" t="s">
        <v>25</v>
      </c>
      <c r="H68" s="36" t="s">
        <v>164</v>
      </c>
      <c r="I68" s="36" t="s">
        <v>111</v>
      </c>
      <c r="J68" s="36" t="s">
        <v>27</v>
      </c>
      <c r="K68" s="36" t="s">
        <v>112</v>
      </c>
      <c r="L68" s="36">
        <v>1</v>
      </c>
      <c r="N68" s="36">
        <v>1</v>
      </c>
      <c r="O68" s="36">
        <v>0.45</v>
      </c>
      <c r="P68" s="36">
        <v>0.4</v>
      </c>
      <c r="Q68" s="134">
        <v>0.8</v>
      </c>
      <c r="R68" s="36">
        <v>14.3</v>
      </c>
      <c r="S68" s="36">
        <v>135</v>
      </c>
      <c r="T68" s="115">
        <f t="shared" si="3"/>
        <v>25</v>
      </c>
      <c r="U68" s="36">
        <v>158</v>
      </c>
      <c r="V68" s="115">
        <f t="shared" si="4"/>
        <v>3950</v>
      </c>
      <c r="W68" s="36">
        <v>4</v>
      </c>
      <c r="X68" s="36" t="s">
        <v>35</v>
      </c>
      <c r="Y68" s="36" t="s">
        <v>55</v>
      </c>
      <c r="Z68" s="36" t="s">
        <v>43</v>
      </c>
      <c r="AA68" s="36" t="s">
        <v>82</v>
      </c>
      <c r="AB68" s="36" t="s">
        <v>178</v>
      </c>
    </row>
    <row r="69" spans="1:28" s="36" customFormat="1" ht="13.5" customHeight="1" x14ac:dyDescent="0.15">
      <c r="A69" s="36" t="s">
        <v>30</v>
      </c>
      <c r="B69" s="36" t="s">
        <v>174</v>
      </c>
      <c r="C69" s="36">
        <v>2020</v>
      </c>
      <c r="D69" s="106" t="s">
        <v>370</v>
      </c>
      <c r="E69" s="36" t="s">
        <v>223</v>
      </c>
      <c r="F69" s="36" t="s">
        <v>225</v>
      </c>
      <c r="G69" s="36" t="s">
        <v>25</v>
      </c>
      <c r="H69" s="36" t="s">
        <v>164</v>
      </c>
      <c r="I69" s="36" t="s">
        <v>111</v>
      </c>
      <c r="J69" s="36" t="s">
        <v>27</v>
      </c>
      <c r="K69" s="36" t="s">
        <v>112</v>
      </c>
      <c r="L69" s="36">
        <v>2</v>
      </c>
      <c r="N69" s="36">
        <v>1</v>
      </c>
      <c r="O69" s="36">
        <v>0.5</v>
      </c>
      <c r="P69" s="36">
        <v>0.55000000000000004</v>
      </c>
      <c r="Q69" s="134">
        <v>0.55000000000000004</v>
      </c>
      <c r="R69" s="36">
        <v>15.2</v>
      </c>
      <c r="S69" s="36">
        <v>134</v>
      </c>
      <c r="T69" s="115">
        <f t="shared" si="3"/>
        <v>25</v>
      </c>
      <c r="U69" s="36">
        <v>158</v>
      </c>
      <c r="V69" s="115">
        <f t="shared" si="4"/>
        <v>3950</v>
      </c>
      <c r="W69" s="36">
        <v>4</v>
      </c>
      <c r="X69" s="36" t="s">
        <v>35</v>
      </c>
      <c r="Y69" s="36" t="s">
        <v>55</v>
      </c>
      <c r="Z69" s="36" t="s">
        <v>43</v>
      </c>
      <c r="AA69" s="36" t="s">
        <v>82</v>
      </c>
      <c r="AB69" s="36" t="s">
        <v>178</v>
      </c>
    </row>
    <row r="70" spans="1:28" s="36" customFormat="1" ht="13.5" customHeight="1" x14ac:dyDescent="0.15">
      <c r="A70" s="36" t="s">
        <v>30</v>
      </c>
      <c r="B70" s="36" t="s">
        <v>174</v>
      </c>
      <c r="C70" s="36">
        <v>2020</v>
      </c>
      <c r="D70" s="106" t="s">
        <v>370</v>
      </c>
      <c r="E70" s="36" t="s">
        <v>223</v>
      </c>
      <c r="F70" s="36" t="s">
        <v>225</v>
      </c>
      <c r="G70" s="36" t="s">
        <v>25</v>
      </c>
      <c r="H70" s="36" t="s">
        <v>164</v>
      </c>
      <c r="I70" s="36" t="s">
        <v>111</v>
      </c>
      <c r="J70" s="36" t="s">
        <v>27</v>
      </c>
      <c r="K70" s="36" t="s">
        <v>112</v>
      </c>
      <c r="L70" s="36">
        <v>3</v>
      </c>
      <c r="N70" s="36">
        <v>1</v>
      </c>
      <c r="O70" s="36">
        <v>0.5</v>
      </c>
      <c r="P70" s="36">
        <v>0.4</v>
      </c>
      <c r="Q70" s="134">
        <v>0.53</v>
      </c>
      <c r="R70" s="36">
        <v>15.3</v>
      </c>
      <c r="S70" s="36">
        <v>136</v>
      </c>
      <c r="T70" s="115">
        <f t="shared" si="3"/>
        <v>25</v>
      </c>
      <c r="U70" s="36">
        <v>158</v>
      </c>
      <c r="V70" s="115">
        <f t="shared" si="4"/>
        <v>3950</v>
      </c>
      <c r="W70" s="36">
        <v>4</v>
      </c>
      <c r="X70" s="36" t="s">
        <v>35</v>
      </c>
      <c r="Y70" s="36" t="s">
        <v>55</v>
      </c>
      <c r="Z70" s="36" t="s">
        <v>43</v>
      </c>
      <c r="AA70" s="36" t="s">
        <v>82</v>
      </c>
      <c r="AB70" s="36" t="s">
        <v>178</v>
      </c>
    </row>
    <row r="71" spans="1:28" s="36" customFormat="1" ht="13.5" customHeight="1" x14ac:dyDescent="0.15">
      <c r="A71" s="36" t="s">
        <v>30</v>
      </c>
      <c r="B71" s="36" t="s">
        <v>174</v>
      </c>
      <c r="C71" s="36">
        <v>2020</v>
      </c>
      <c r="D71" s="106" t="s">
        <v>370</v>
      </c>
      <c r="E71" s="36" t="s">
        <v>223</v>
      </c>
      <c r="F71" s="36" t="s">
        <v>225</v>
      </c>
      <c r="G71" s="36" t="s">
        <v>25</v>
      </c>
      <c r="H71" s="36" t="s">
        <v>164</v>
      </c>
      <c r="I71" s="36" t="s">
        <v>111</v>
      </c>
      <c r="J71" s="36" t="s">
        <v>27</v>
      </c>
      <c r="K71" s="36" t="s">
        <v>112</v>
      </c>
      <c r="L71" s="36">
        <v>1</v>
      </c>
      <c r="N71" s="36">
        <v>4</v>
      </c>
      <c r="O71" s="36">
        <v>0.35</v>
      </c>
      <c r="P71" s="36">
        <v>0.45</v>
      </c>
      <c r="Q71" s="115">
        <v>0.55000000000000004</v>
      </c>
      <c r="R71" s="36">
        <v>16.2</v>
      </c>
      <c r="S71" s="36">
        <v>128</v>
      </c>
      <c r="T71" s="115">
        <f t="shared" si="3"/>
        <v>27</v>
      </c>
      <c r="U71" s="36">
        <v>598</v>
      </c>
      <c r="V71" s="115">
        <f t="shared" si="4"/>
        <v>4036.5</v>
      </c>
      <c r="W71" s="36">
        <v>2</v>
      </c>
      <c r="X71" s="36" t="s">
        <v>35</v>
      </c>
      <c r="Y71" s="36" t="s">
        <v>55</v>
      </c>
      <c r="Z71" s="36" t="s">
        <v>43</v>
      </c>
      <c r="AA71" s="36" t="s">
        <v>82</v>
      </c>
      <c r="AB71" s="36" t="s">
        <v>178</v>
      </c>
    </row>
    <row r="72" spans="1:28" s="36" customFormat="1" ht="13.5" customHeight="1" x14ac:dyDescent="0.15">
      <c r="A72" s="36" t="s">
        <v>30</v>
      </c>
      <c r="B72" s="36" t="s">
        <v>174</v>
      </c>
      <c r="C72" s="36">
        <v>2020</v>
      </c>
      <c r="D72" s="106" t="s">
        <v>370</v>
      </c>
      <c r="E72" s="36" t="s">
        <v>223</v>
      </c>
      <c r="F72" s="36" t="s">
        <v>225</v>
      </c>
      <c r="G72" s="36" t="s">
        <v>25</v>
      </c>
      <c r="H72" s="36" t="s">
        <v>164</v>
      </c>
      <c r="I72" s="36" t="s">
        <v>111</v>
      </c>
      <c r="J72" s="36" t="s">
        <v>27</v>
      </c>
      <c r="K72" s="36" t="s">
        <v>112</v>
      </c>
      <c r="L72" s="36">
        <v>2</v>
      </c>
      <c r="N72" s="36">
        <v>4</v>
      </c>
      <c r="O72" s="36">
        <v>0.3</v>
      </c>
      <c r="P72" s="36">
        <v>0.35</v>
      </c>
      <c r="Q72" s="115">
        <v>0.57999999999999996</v>
      </c>
      <c r="R72" s="36">
        <v>11.2</v>
      </c>
      <c r="S72" s="36">
        <v>127</v>
      </c>
      <c r="T72" s="115">
        <f t="shared" si="3"/>
        <v>27</v>
      </c>
      <c r="U72" s="36">
        <v>598</v>
      </c>
      <c r="V72" s="115">
        <f t="shared" si="4"/>
        <v>4036.5</v>
      </c>
      <c r="W72" s="36">
        <v>2</v>
      </c>
      <c r="X72" s="36" t="s">
        <v>35</v>
      </c>
      <c r="Y72" s="36" t="s">
        <v>55</v>
      </c>
      <c r="Z72" s="36" t="s">
        <v>43</v>
      </c>
      <c r="AA72" s="36" t="s">
        <v>82</v>
      </c>
      <c r="AB72" s="36" t="s">
        <v>178</v>
      </c>
    </row>
    <row r="73" spans="1:28" s="36" customFormat="1" ht="13.5" customHeight="1" x14ac:dyDescent="0.15">
      <c r="A73" s="36" t="s">
        <v>30</v>
      </c>
      <c r="B73" s="36" t="s">
        <v>174</v>
      </c>
      <c r="C73" s="36">
        <v>2020</v>
      </c>
      <c r="D73" s="106" t="s">
        <v>370</v>
      </c>
      <c r="E73" s="36" t="s">
        <v>223</v>
      </c>
      <c r="F73" s="36" t="s">
        <v>225</v>
      </c>
      <c r="G73" s="36" t="s">
        <v>25</v>
      </c>
      <c r="H73" s="36" t="s">
        <v>164</v>
      </c>
      <c r="I73" s="36" t="s">
        <v>111</v>
      </c>
      <c r="J73" s="36" t="s">
        <v>27</v>
      </c>
      <c r="K73" s="36" t="s">
        <v>112</v>
      </c>
      <c r="L73" s="36">
        <v>3</v>
      </c>
      <c r="N73" s="36">
        <v>4</v>
      </c>
      <c r="O73" s="36">
        <v>0.45</v>
      </c>
      <c r="P73" s="36">
        <v>0.5</v>
      </c>
      <c r="Q73" s="115">
        <v>0.7</v>
      </c>
      <c r="R73" s="36">
        <v>14.2</v>
      </c>
      <c r="S73" s="36">
        <v>125</v>
      </c>
      <c r="T73" s="115">
        <f t="shared" si="3"/>
        <v>27</v>
      </c>
      <c r="U73" s="36">
        <v>598</v>
      </c>
      <c r="V73" s="115">
        <f t="shared" si="4"/>
        <v>4036.5</v>
      </c>
      <c r="W73" s="36">
        <v>2</v>
      </c>
      <c r="X73" s="36" t="s">
        <v>35</v>
      </c>
      <c r="Y73" s="36" t="s">
        <v>55</v>
      </c>
      <c r="Z73" s="36" t="s">
        <v>43</v>
      </c>
      <c r="AA73" s="36" t="s">
        <v>82</v>
      </c>
      <c r="AB73" s="36" t="s">
        <v>178</v>
      </c>
    </row>
    <row r="74" spans="1:28" s="36" customFormat="1" ht="13.5" customHeight="1" x14ac:dyDescent="0.15">
      <c r="A74" s="36" t="s">
        <v>30</v>
      </c>
      <c r="B74" s="36" t="s">
        <v>174</v>
      </c>
      <c r="C74" s="36">
        <v>2020</v>
      </c>
      <c r="D74" s="106" t="s">
        <v>370</v>
      </c>
      <c r="E74" s="36" t="s">
        <v>223</v>
      </c>
      <c r="F74" s="36" t="s">
        <v>225</v>
      </c>
      <c r="G74" s="36" t="s">
        <v>25</v>
      </c>
      <c r="H74" s="36" t="s">
        <v>164</v>
      </c>
      <c r="I74" s="36" t="s">
        <v>111</v>
      </c>
      <c r="J74" s="36" t="s">
        <v>27</v>
      </c>
      <c r="K74" s="36" t="s">
        <v>112</v>
      </c>
      <c r="L74" s="36">
        <v>1</v>
      </c>
      <c r="N74" s="36">
        <v>8</v>
      </c>
      <c r="O74" s="36">
        <v>0.6</v>
      </c>
      <c r="P74" s="36">
        <v>0.45</v>
      </c>
      <c r="Q74" s="115">
        <v>0.57999999999999996</v>
      </c>
      <c r="R74" s="36">
        <v>13.1</v>
      </c>
      <c r="S74" s="36">
        <v>123</v>
      </c>
      <c r="T74" s="115">
        <f t="shared" ref="T74:T85" si="5">IF(H74="","",IF(OR(H74="GREEN",H74="GK"),IF(S74&gt;=$AX$2,VLOOKUP(S74,$AX$2:$AY$12,2,1),""),IF(S74&gt;=$AZ$2,VLOOKUP(S74,$AZ$2:$BA$12,2,1),"")))</f>
        <v>27</v>
      </c>
      <c r="U74" s="36">
        <v>1180</v>
      </c>
      <c r="V74" s="115">
        <f t="shared" si="4"/>
        <v>3982.5</v>
      </c>
      <c r="W74" s="36">
        <v>2</v>
      </c>
      <c r="X74" s="36" t="s">
        <v>35</v>
      </c>
      <c r="Y74" s="36" t="s">
        <v>55</v>
      </c>
      <c r="Z74" s="36" t="s">
        <v>43</v>
      </c>
      <c r="AA74" s="36" t="s">
        <v>82</v>
      </c>
      <c r="AB74" s="36" t="s">
        <v>178</v>
      </c>
    </row>
    <row r="75" spans="1:28" s="36" customFormat="1" ht="13.5" customHeight="1" x14ac:dyDescent="0.15">
      <c r="A75" s="36" t="s">
        <v>30</v>
      </c>
      <c r="B75" s="36" t="s">
        <v>174</v>
      </c>
      <c r="C75" s="36">
        <v>2020</v>
      </c>
      <c r="D75" s="106" t="s">
        <v>370</v>
      </c>
      <c r="E75" s="36" t="s">
        <v>223</v>
      </c>
      <c r="F75" s="36" t="s">
        <v>225</v>
      </c>
      <c r="G75" s="36" t="s">
        <v>25</v>
      </c>
      <c r="H75" s="36" t="s">
        <v>164</v>
      </c>
      <c r="I75" s="36" t="s">
        <v>111</v>
      </c>
      <c r="J75" s="36" t="s">
        <v>27</v>
      </c>
      <c r="K75" s="36" t="s">
        <v>112</v>
      </c>
      <c r="L75" s="36">
        <v>2</v>
      </c>
      <c r="N75" s="36">
        <v>8</v>
      </c>
      <c r="O75" s="36">
        <v>0.8</v>
      </c>
      <c r="P75" s="36">
        <v>0.5</v>
      </c>
      <c r="Q75" s="115">
        <v>0.75</v>
      </c>
      <c r="R75" s="36">
        <v>13.8</v>
      </c>
      <c r="S75" s="36">
        <v>120</v>
      </c>
      <c r="T75" s="115">
        <f t="shared" si="5"/>
        <v>30</v>
      </c>
      <c r="U75" s="36">
        <v>1180</v>
      </c>
      <c r="V75" s="115">
        <f t="shared" si="4"/>
        <v>4425</v>
      </c>
      <c r="W75" s="36">
        <v>2</v>
      </c>
      <c r="X75" s="36" t="s">
        <v>35</v>
      </c>
      <c r="Y75" s="36" t="s">
        <v>55</v>
      </c>
      <c r="Z75" s="36" t="s">
        <v>43</v>
      </c>
      <c r="AA75" s="36" t="s">
        <v>82</v>
      </c>
      <c r="AB75" s="36" t="s">
        <v>178</v>
      </c>
    </row>
    <row r="76" spans="1:28" s="36" customFormat="1" ht="13.5" customHeight="1" x14ac:dyDescent="0.15">
      <c r="A76" s="36" t="s">
        <v>30</v>
      </c>
      <c r="B76" s="36" t="s">
        <v>174</v>
      </c>
      <c r="C76" s="36">
        <v>2020</v>
      </c>
      <c r="D76" s="106" t="s">
        <v>370</v>
      </c>
      <c r="E76" s="36" t="s">
        <v>223</v>
      </c>
      <c r="F76" s="36" t="s">
        <v>225</v>
      </c>
      <c r="G76" s="36" t="s">
        <v>25</v>
      </c>
      <c r="H76" s="36" t="s">
        <v>164</v>
      </c>
      <c r="I76" s="36" t="s">
        <v>111</v>
      </c>
      <c r="J76" s="36" t="s">
        <v>27</v>
      </c>
      <c r="K76" s="36" t="s">
        <v>112</v>
      </c>
      <c r="L76" s="36">
        <v>3</v>
      </c>
      <c r="N76" s="36">
        <v>8</v>
      </c>
      <c r="O76" s="36">
        <v>0.75</v>
      </c>
      <c r="P76" s="36">
        <v>0.75</v>
      </c>
      <c r="Q76" s="115">
        <v>0.48</v>
      </c>
      <c r="R76" s="36">
        <v>15.2</v>
      </c>
      <c r="S76" s="36">
        <v>122</v>
      </c>
      <c r="T76" s="115">
        <f t="shared" si="5"/>
        <v>27</v>
      </c>
      <c r="U76" s="36">
        <v>1180</v>
      </c>
      <c r="V76" s="115">
        <f t="shared" si="4"/>
        <v>3982.5</v>
      </c>
      <c r="W76" s="36">
        <v>2</v>
      </c>
      <c r="X76" s="36" t="s">
        <v>35</v>
      </c>
      <c r="Y76" s="36" t="s">
        <v>55</v>
      </c>
      <c r="Z76" s="36" t="s">
        <v>43</v>
      </c>
      <c r="AA76" s="36" t="s">
        <v>82</v>
      </c>
      <c r="AB76" s="36" t="s">
        <v>178</v>
      </c>
    </row>
    <row r="77" spans="1:28" s="36" customFormat="1" ht="13.5" customHeight="1" x14ac:dyDescent="0.15">
      <c r="A77" s="36" t="s">
        <v>30</v>
      </c>
      <c r="B77" s="36" t="s">
        <v>174</v>
      </c>
      <c r="C77" s="36">
        <v>2020</v>
      </c>
      <c r="D77" s="106" t="s">
        <v>370</v>
      </c>
      <c r="E77" s="36" t="s">
        <v>223</v>
      </c>
      <c r="F77" s="36" t="s">
        <v>225</v>
      </c>
      <c r="G77" s="36" t="s">
        <v>25</v>
      </c>
      <c r="H77" s="36" t="s">
        <v>113</v>
      </c>
      <c r="I77" s="36" t="s">
        <v>111</v>
      </c>
      <c r="J77" s="36" t="s">
        <v>27</v>
      </c>
      <c r="K77" s="36" t="s">
        <v>112</v>
      </c>
      <c r="L77" s="36">
        <v>1</v>
      </c>
      <c r="N77" s="36">
        <v>1</v>
      </c>
      <c r="O77" s="36">
        <v>1.1000000000000001</v>
      </c>
      <c r="P77" s="36">
        <v>0.95</v>
      </c>
      <c r="Q77" s="115">
        <v>0.57999999999999996</v>
      </c>
      <c r="R77" s="36">
        <v>12.1</v>
      </c>
      <c r="S77" s="36">
        <v>130</v>
      </c>
      <c r="T77" s="115">
        <f t="shared" si="5"/>
        <v>25</v>
      </c>
      <c r="U77" s="36">
        <v>158</v>
      </c>
      <c r="V77" s="115">
        <f t="shared" si="4"/>
        <v>3950</v>
      </c>
      <c r="W77" s="36">
        <v>1</v>
      </c>
      <c r="X77" s="36" t="s">
        <v>35</v>
      </c>
      <c r="Y77" s="36" t="s">
        <v>55</v>
      </c>
      <c r="Z77" s="36" t="s">
        <v>43</v>
      </c>
      <c r="AA77" s="36" t="s">
        <v>82</v>
      </c>
      <c r="AB77" s="36" t="s">
        <v>178</v>
      </c>
    </row>
    <row r="78" spans="1:28" s="36" customFormat="1" ht="13.5" customHeight="1" x14ac:dyDescent="0.15">
      <c r="A78" s="36" t="s">
        <v>30</v>
      </c>
      <c r="B78" s="36" t="s">
        <v>174</v>
      </c>
      <c r="C78" s="36">
        <v>2020</v>
      </c>
      <c r="D78" s="106" t="s">
        <v>370</v>
      </c>
      <c r="E78" s="36" t="s">
        <v>223</v>
      </c>
      <c r="F78" s="36" t="s">
        <v>225</v>
      </c>
      <c r="G78" s="36" t="s">
        <v>25</v>
      </c>
      <c r="H78" s="36" t="s">
        <v>113</v>
      </c>
      <c r="I78" s="36" t="s">
        <v>111</v>
      </c>
      <c r="J78" s="36" t="s">
        <v>27</v>
      </c>
      <c r="K78" s="36" t="s">
        <v>112</v>
      </c>
      <c r="L78" s="36">
        <v>2</v>
      </c>
      <c r="N78" s="36">
        <v>1</v>
      </c>
      <c r="O78" s="36">
        <v>1.2</v>
      </c>
      <c r="P78" s="36">
        <v>1.1000000000000001</v>
      </c>
      <c r="Q78" s="115">
        <v>0.75</v>
      </c>
      <c r="R78" s="36">
        <v>13.1</v>
      </c>
      <c r="S78" s="36">
        <v>134</v>
      </c>
      <c r="T78" s="115">
        <f t="shared" si="5"/>
        <v>25</v>
      </c>
      <c r="U78" s="36">
        <v>158</v>
      </c>
      <c r="V78" s="115">
        <f t="shared" si="4"/>
        <v>3950</v>
      </c>
      <c r="W78" s="36">
        <v>1</v>
      </c>
      <c r="X78" s="36" t="s">
        <v>35</v>
      </c>
      <c r="Y78" s="36" t="s">
        <v>55</v>
      </c>
      <c r="Z78" s="36" t="s">
        <v>43</v>
      </c>
      <c r="AA78" s="36" t="s">
        <v>82</v>
      </c>
      <c r="AB78" s="36" t="s">
        <v>178</v>
      </c>
    </row>
    <row r="79" spans="1:28" s="36" customFormat="1" ht="13.5" customHeight="1" x14ac:dyDescent="0.15">
      <c r="A79" s="36" t="s">
        <v>30</v>
      </c>
      <c r="B79" s="36" t="s">
        <v>174</v>
      </c>
      <c r="C79" s="36">
        <v>2020</v>
      </c>
      <c r="D79" s="106" t="s">
        <v>370</v>
      </c>
      <c r="E79" s="36" t="s">
        <v>223</v>
      </c>
      <c r="F79" s="36" t="s">
        <v>225</v>
      </c>
      <c r="G79" s="36" t="s">
        <v>25</v>
      </c>
      <c r="H79" s="36" t="s">
        <v>113</v>
      </c>
      <c r="I79" s="36" t="s">
        <v>111</v>
      </c>
      <c r="J79" s="36" t="s">
        <v>27</v>
      </c>
      <c r="K79" s="36" t="s">
        <v>112</v>
      </c>
      <c r="L79" s="36">
        <v>3</v>
      </c>
      <c r="N79" s="36">
        <v>1</v>
      </c>
      <c r="O79" s="36">
        <v>1</v>
      </c>
      <c r="P79" s="36">
        <v>0.95</v>
      </c>
      <c r="Q79" s="115">
        <v>0.48</v>
      </c>
      <c r="R79" s="36">
        <v>11.2</v>
      </c>
      <c r="S79" s="36">
        <v>136</v>
      </c>
      <c r="T79" s="115">
        <f t="shared" si="5"/>
        <v>25</v>
      </c>
      <c r="U79" s="36">
        <v>158</v>
      </c>
      <c r="V79" s="115">
        <f t="shared" si="4"/>
        <v>3950</v>
      </c>
      <c r="W79" s="36">
        <v>1</v>
      </c>
      <c r="X79" s="36" t="s">
        <v>35</v>
      </c>
      <c r="Y79" s="36" t="s">
        <v>55</v>
      </c>
      <c r="Z79" s="36" t="s">
        <v>43</v>
      </c>
      <c r="AA79" s="36" t="s">
        <v>82</v>
      </c>
      <c r="AB79" s="36" t="s">
        <v>178</v>
      </c>
    </row>
    <row r="80" spans="1:28" s="36" customFormat="1" ht="13.5" customHeight="1" x14ac:dyDescent="0.15">
      <c r="A80" s="36" t="s">
        <v>30</v>
      </c>
      <c r="B80" s="36" t="s">
        <v>174</v>
      </c>
      <c r="C80" s="36">
        <v>2020</v>
      </c>
      <c r="D80" s="106" t="s">
        <v>370</v>
      </c>
      <c r="E80" s="36" t="s">
        <v>223</v>
      </c>
      <c r="F80" s="36" t="s">
        <v>225</v>
      </c>
      <c r="G80" s="36" t="s">
        <v>25</v>
      </c>
      <c r="H80" s="36" t="s">
        <v>113</v>
      </c>
      <c r="I80" s="36" t="s">
        <v>111</v>
      </c>
      <c r="J80" s="36" t="s">
        <v>27</v>
      </c>
      <c r="K80" s="36" t="s">
        <v>112</v>
      </c>
      <c r="L80" s="36">
        <v>1</v>
      </c>
      <c r="N80" s="36">
        <v>4</v>
      </c>
      <c r="O80" s="36">
        <v>0.95</v>
      </c>
      <c r="P80" s="36">
        <v>0.8</v>
      </c>
      <c r="Q80" s="115">
        <v>0.57999999999999996</v>
      </c>
      <c r="R80" s="36">
        <v>13.8</v>
      </c>
      <c r="S80" s="36">
        <v>124</v>
      </c>
      <c r="T80" s="115">
        <f t="shared" si="5"/>
        <v>27</v>
      </c>
      <c r="U80" s="36">
        <v>398</v>
      </c>
      <c r="V80" s="115">
        <f t="shared" si="4"/>
        <v>2686.5</v>
      </c>
      <c r="W80" s="36">
        <v>2</v>
      </c>
      <c r="X80" s="36" t="s">
        <v>35</v>
      </c>
      <c r="Y80" s="36" t="s">
        <v>55</v>
      </c>
      <c r="Z80" s="36" t="s">
        <v>43</v>
      </c>
      <c r="AA80" s="36" t="s">
        <v>82</v>
      </c>
      <c r="AB80" s="36" t="s">
        <v>178</v>
      </c>
    </row>
    <row r="81" spans="1:28" s="36" customFormat="1" ht="13.5" customHeight="1" x14ac:dyDescent="0.15">
      <c r="A81" s="36" t="s">
        <v>30</v>
      </c>
      <c r="B81" s="36" t="s">
        <v>174</v>
      </c>
      <c r="C81" s="36">
        <v>2020</v>
      </c>
      <c r="D81" s="106" t="s">
        <v>370</v>
      </c>
      <c r="E81" s="36" t="s">
        <v>223</v>
      </c>
      <c r="F81" s="36" t="s">
        <v>225</v>
      </c>
      <c r="G81" s="36" t="s">
        <v>25</v>
      </c>
      <c r="H81" s="36" t="s">
        <v>113</v>
      </c>
      <c r="I81" s="36" t="s">
        <v>111</v>
      </c>
      <c r="J81" s="36" t="s">
        <v>27</v>
      </c>
      <c r="K81" s="36" t="s">
        <v>112</v>
      </c>
      <c r="L81" s="36">
        <v>2</v>
      </c>
      <c r="N81" s="36">
        <v>4</v>
      </c>
      <c r="O81" s="36">
        <v>0.9</v>
      </c>
      <c r="P81" s="36">
        <v>1.05</v>
      </c>
      <c r="Q81" s="115">
        <v>0.75</v>
      </c>
      <c r="R81" s="36">
        <v>13.7</v>
      </c>
      <c r="S81" s="36">
        <v>122</v>
      </c>
      <c r="T81" s="115">
        <f t="shared" si="5"/>
        <v>27</v>
      </c>
      <c r="U81" s="36">
        <v>398</v>
      </c>
      <c r="V81" s="115">
        <f t="shared" si="4"/>
        <v>2686.5</v>
      </c>
      <c r="W81" s="36">
        <v>2</v>
      </c>
      <c r="X81" s="36" t="s">
        <v>35</v>
      </c>
      <c r="Y81" s="36" t="s">
        <v>55</v>
      </c>
      <c r="Z81" s="36" t="s">
        <v>43</v>
      </c>
      <c r="AA81" s="36" t="s">
        <v>82</v>
      </c>
      <c r="AB81" s="36" t="s">
        <v>178</v>
      </c>
    </row>
    <row r="82" spans="1:28" s="36" customFormat="1" ht="13.5" customHeight="1" x14ac:dyDescent="0.15">
      <c r="A82" s="36" t="s">
        <v>30</v>
      </c>
      <c r="B82" s="36" t="s">
        <v>174</v>
      </c>
      <c r="C82" s="36">
        <v>2020</v>
      </c>
      <c r="D82" s="106" t="s">
        <v>370</v>
      </c>
      <c r="E82" s="36" t="s">
        <v>223</v>
      </c>
      <c r="F82" s="36" t="s">
        <v>225</v>
      </c>
      <c r="G82" s="36" t="s">
        <v>25</v>
      </c>
      <c r="H82" s="36" t="s">
        <v>113</v>
      </c>
      <c r="I82" s="36" t="s">
        <v>111</v>
      </c>
      <c r="J82" s="36" t="s">
        <v>27</v>
      </c>
      <c r="K82" s="36" t="s">
        <v>112</v>
      </c>
      <c r="L82" s="36">
        <v>3</v>
      </c>
      <c r="N82" s="36">
        <v>4</v>
      </c>
      <c r="O82" s="36">
        <v>1</v>
      </c>
      <c r="P82" s="36">
        <v>0.9</v>
      </c>
      <c r="Q82" s="115">
        <v>0.48</v>
      </c>
      <c r="R82" s="36">
        <v>13.4</v>
      </c>
      <c r="S82" s="36">
        <v>125</v>
      </c>
      <c r="T82" s="115">
        <f t="shared" si="5"/>
        <v>27</v>
      </c>
      <c r="U82" s="36">
        <v>398</v>
      </c>
      <c r="V82" s="115">
        <f t="shared" si="4"/>
        <v>2686.5</v>
      </c>
      <c r="W82" s="36">
        <v>2</v>
      </c>
      <c r="X82" s="36" t="s">
        <v>35</v>
      </c>
      <c r="Y82" s="36" t="s">
        <v>55</v>
      </c>
      <c r="Z82" s="36" t="s">
        <v>43</v>
      </c>
      <c r="AA82" s="36" t="s">
        <v>82</v>
      </c>
      <c r="AB82" s="36" t="s">
        <v>178</v>
      </c>
    </row>
    <row r="83" spans="1:28" s="36" customFormat="1" ht="13.5" customHeight="1" x14ac:dyDescent="0.15">
      <c r="A83" s="36" t="s">
        <v>30</v>
      </c>
      <c r="B83" s="36" t="s">
        <v>174</v>
      </c>
      <c r="C83" s="36">
        <v>2020</v>
      </c>
      <c r="D83" s="106" t="s">
        <v>370</v>
      </c>
      <c r="E83" s="36" t="s">
        <v>223</v>
      </c>
      <c r="F83" s="36" t="s">
        <v>225</v>
      </c>
      <c r="G83" s="36" t="s">
        <v>25</v>
      </c>
      <c r="H83" s="36" t="s">
        <v>113</v>
      </c>
      <c r="I83" s="36" t="s">
        <v>111</v>
      </c>
      <c r="J83" s="36" t="s">
        <v>27</v>
      </c>
      <c r="K83" s="36" t="s">
        <v>112</v>
      </c>
      <c r="L83" s="36">
        <v>1</v>
      </c>
      <c r="N83" s="36">
        <v>8</v>
      </c>
      <c r="O83" s="36">
        <v>0.7</v>
      </c>
      <c r="P83" s="36">
        <v>0.85</v>
      </c>
      <c r="Q83" s="115">
        <v>0.57999999999999996</v>
      </c>
      <c r="R83" s="36">
        <v>14.8</v>
      </c>
      <c r="S83" s="36">
        <v>110</v>
      </c>
      <c r="T83" s="115">
        <f t="shared" si="5"/>
        <v>33</v>
      </c>
      <c r="U83" s="36">
        <v>780</v>
      </c>
      <c r="V83" s="115">
        <f t="shared" si="4"/>
        <v>3217.5</v>
      </c>
      <c r="W83" s="36">
        <v>2</v>
      </c>
      <c r="X83" s="36" t="s">
        <v>35</v>
      </c>
      <c r="Y83" s="36" t="s">
        <v>55</v>
      </c>
      <c r="Z83" s="36" t="s">
        <v>43</v>
      </c>
      <c r="AA83" s="36" t="s">
        <v>82</v>
      </c>
      <c r="AB83" s="36" t="s">
        <v>178</v>
      </c>
    </row>
    <row r="84" spans="1:28" s="36" customFormat="1" ht="13.5" customHeight="1" x14ac:dyDescent="0.15">
      <c r="A84" s="36" t="s">
        <v>30</v>
      </c>
      <c r="B84" s="36" t="s">
        <v>174</v>
      </c>
      <c r="C84" s="36">
        <v>2020</v>
      </c>
      <c r="D84" s="106" t="s">
        <v>370</v>
      </c>
      <c r="E84" s="36" t="s">
        <v>223</v>
      </c>
      <c r="F84" s="36" t="s">
        <v>225</v>
      </c>
      <c r="G84" s="36" t="s">
        <v>25</v>
      </c>
      <c r="H84" s="36" t="s">
        <v>113</v>
      </c>
      <c r="I84" s="36" t="s">
        <v>111</v>
      </c>
      <c r="J84" s="36" t="s">
        <v>27</v>
      </c>
      <c r="K84" s="36" t="s">
        <v>112</v>
      </c>
      <c r="L84" s="36">
        <v>2</v>
      </c>
      <c r="N84" s="36">
        <v>8</v>
      </c>
      <c r="O84" s="36">
        <v>0.65</v>
      </c>
      <c r="P84" s="36">
        <v>0.75</v>
      </c>
      <c r="Q84" s="115">
        <v>0.75</v>
      </c>
      <c r="R84" s="36">
        <v>14.2</v>
      </c>
      <c r="S84" s="36">
        <v>104</v>
      </c>
      <c r="T84" s="115">
        <f t="shared" si="5"/>
        <v>33</v>
      </c>
      <c r="U84" s="36">
        <v>780</v>
      </c>
      <c r="V84" s="115">
        <f t="shared" si="4"/>
        <v>3217.5</v>
      </c>
      <c r="W84" s="36">
        <v>2</v>
      </c>
      <c r="X84" s="36" t="s">
        <v>35</v>
      </c>
      <c r="Y84" s="36" t="s">
        <v>55</v>
      </c>
      <c r="Z84" s="36" t="s">
        <v>43</v>
      </c>
      <c r="AA84" s="36" t="s">
        <v>82</v>
      </c>
      <c r="AB84" s="36" t="s">
        <v>178</v>
      </c>
    </row>
    <row r="85" spans="1:28" s="36" customFormat="1" ht="13.5" customHeight="1" x14ac:dyDescent="0.15">
      <c r="A85" s="36" t="s">
        <v>30</v>
      </c>
      <c r="B85" s="36" t="s">
        <v>174</v>
      </c>
      <c r="C85" s="36">
        <v>2020</v>
      </c>
      <c r="D85" s="106" t="s">
        <v>370</v>
      </c>
      <c r="E85" s="36" t="s">
        <v>223</v>
      </c>
      <c r="F85" s="36" t="s">
        <v>225</v>
      </c>
      <c r="G85" s="36" t="s">
        <v>25</v>
      </c>
      <c r="H85" s="36" t="s">
        <v>113</v>
      </c>
      <c r="I85" s="36" t="s">
        <v>111</v>
      </c>
      <c r="J85" s="36" t="s">
        <v>27</v>
      </c>
      <c r="K85" s="36" t="s">
        <v>112</v>
      </c>
      <c r="L85" s="36">
        <v>3</v>
      </c>
      <c r="N85" s="36">
        <v>8</v>
      </c>
      <c r="O85" s="36">
        <v>0.7</v>
      </c>
      <c r="P85" s="36">
        <v>0.5</v>
      </c>
      <c r="Q85" s="115">
        <v>0.48</v>
      </c>
      <c r="R85" s="36">
        <v>14.8</v>
      </c>
      <c r="S85" s="36">
        <v>102</v>
      </c>
      <c r="T85" s="115">
        <f t="shared" si="5"/>
        <v>33</v>
      </c>
      <c r="U85" s="36">
        <v>780</v>
      </c>
      <c r="V85" s="115">
        <f t="shared" si="4"/>
        <v>3217.5</v>
      </c>
      <c r="W85" s="36">
        <v>2</v>
      </c>
      <c r="X85" s="36" t="s">
        <v>35</v>
      </c>
      <c r="Y85" s="36" t="s">
        <v>55</v>
      </c>
      <c r="Z85" s="36" t="s">
        <v>43</v>
      </c>
      <c r="AA85" s="36" t="s">
        <v>82</v>
      </c>
      <c r="AB85" s="36" t="s">
        <v>178</v>
      </c>
    </row>
    <row r="86" spans="1:28" s="36" customFormat="1" ht="13.5" customHeight="1" x14ac:dyDescent="0.15">
      <c r="A86" s="36" t="s">
        <v>30</v>
      </c>
      <c r="B86" s="36" t="s">
        <v>174</v>
      </c>
      <c r="C86" s="36">
        <v>2020</v>
      </c>
      <c r="D86" s="106" t="s">
        <v>370</v>
      </c>
      <c r="E86" s="36" t="s">
        <v>227</v>
      </c>
      <c r="F86" s="36" t="s">
        <v>225</v>
      </c>
      <c r="G86" s="36" t="s">
        <v>25</v>
      </c>
      <c r="H86" s="36" t="s">
        <v>215</v>
      </c>
      <c r="I86" s="36" t="s">
        <v>111</v>
      </c>
      <c r="J86" s="36" t="s">
        <v>66</v>
      </c>
      <c r="K86" s="36" t="s">
        <v>50</v>
      </c>
      <c r="L86" s="36">
        <v>1</v>
      </c>
      <c r="N86" s="36">
        <v>1</v>
      </c>
      <c r="O86" s="36">
        <v>1.1000000000000001</v>
      </c>
      <c r="P86" s="36">
        <v>1.2</v>
      </c>
      <c r="Q86" s="134">
        <v>0.55000000000000004</v>
      </c>
      <c r="R86" s="36">
        <v>10.199999999999999</v>
      </c>
      <c r="S86" s="36">
        <v>120</v>
      </c>
      <c r="T86" s="115">
        <f t="shared" ref="T86:T149" si="6">IF(H86="","",IF(OR(H86="GREEN",H86="GK"),IF(S86&gt;=$AX$2,VLOOKUP(S86,$AX$2:$AY$10,2,1),""),IF(S86&gt;=$AZ$2,VLOOKUP(S86,$AZ$2:$BA$10,2,1),"")))</f>
        <v>30</v>
      </c>
      <c r="U86" s="36">
        <v>77</v>
      </c>
      <c r="V86" s="115">
        <f t="shared" si="4"/>
        <v>2310</v>
      </c>
      <c r="W86" s="36">
        <v>3</v>
      </c>
      <c r="X86" s="36" t="s">
        <v>35</v>
      </c>
      <c r="Y86" s="36" t="s">
        <v>43</v>
      </c>
      <c r="Z86" s="36" t="s">
        <v>55</v>
      </c>
      <c r="AA86" s="36" t="s">
        <v>90</v>
      </c>
      <c r="AB86" s="36" t="s">
        <v>178</v>
      </c>
    </row>
    <row r="87" spans="1:28" s="36" customFormat="1" ht="13.5" customHeight="1" x14ac:dyDescent="0.15">
      <c r="A87" s="36" t="s">
        <v>30</v>
      </c>
      <c r="B87" s="36" t="s">
        <v>174</v>
      </c>
      <c r="C87" s="36">
        <v>2020</v>
      </c>
      <c r="D87" s="106" t="s">
        <v>370</v>
      </c>
      <c r="E87" s="36" t="s">
        <v>227</v>
      </c>
      <c r="F87" s="36" t="s">
        <v>225</v>
      </c>
      <c r="G87" s="36" t="s">
        <v>25</v>
      </c>
      <c r="H87" s="36" t="s">
        <v>215</v>
      </c>
      <c r="I87" s="36" t="s">
        <v>111</v>
      </c>
      <c r="J87" s="36" t="s">
        <v>66</v>
      </c>
      <c r="K87" s="36" t="s">
        <v>50</v>
      </c>
      <c r="L87" s="36">
        <v>2</v>
      </c>
      <c r="N87" s="36">
        <v>1</v>
      </c>
      <c r="O87" s="36">
        <v>0.9</v>
      </c>
      <c r="P87" s="36">
        <v>0.95</v>
      </c>
      <c r="Q87" s="134">
        <v>0.65</v>
      </c>
      <c r="R87" s="36">
        <v>13.4</v>
      </c>
      <c r="S87" s="36">
        <v>115</v>
      </c>
      <c r="T87" s="115">
        <f t="shared" si="6"/>
        <v>30</v>
      </c>
      <c r="U87" s="36">
        <v>77</v>
      </c>
      <c r="V87" s="115">
        <f t="shared" si="4"/>
        <v>2310</v>
      </c>
      <c r="W87" s="36">
        <v>3</v>
      </c>
      <c r="X87" s="36" t="s">
        <v>35</v>
      </c>
      <c r="Y87" s="36" t="s">
        <v>43</v>
      </c>
      <c r="Z87" s="36" t="s">
        <v>55</v>
      </c>
      <c r="AA87" s="36" t="s">
        <v>90</v>
      </c>
      <c r="AB87" s="36" t="s">
        <v>178</v>
      </c>
    </row>
    <row r="88" spans="1:28" s="36" customFormat="1" ht="13.5" customHeight="1" x14ac:dyDescent="0.15">
      <c r="A88" s="36" t="s">
        <v>30</v>
      </c>
      <c r="B88" s="36" t="s">
        <v>174</v>
      </c>
      <c r="C88" s="36">
        <v>2020</v>
      </c>
      <c r="D88" s="106" t="s">
        <v>370</v>
      </c>
      <c r="E88" s="36" t="s">
        <v>227</v>
      </c>
      <c r="F88" s="36" t="s">
        <v>225</v>
      </c>
      <c r="G88" s="36" t="s">
        <v>25</v>
      </c>
      <c r="H88" s="36" t="s">
        <v>215</v>
      </c>
      <c r="I88" s="36" t="s">
        <v>111</v>
      </c>
      <c r="J88" s="36" t="s">
        <v>66</v>
      </c>
      <c r="K88" s="36" t="s">
        <v>50</v>
      </c>
      <c r="L88" s="36">
        <v>3</v>
      </c>
      <c r="N88" s="36">
        <v>1</v>
      </c>
      <c r="O88" s="36">
        <v>1.2</v>
      </c>
      <c r="P88" s="36">
        <v>1.25</v>
      </c>
      <c r="Q88" s="134">
        <v>0.65</v>
      </c>
      <c r="R88" s="36">
        <v>12.5</v>
      </c>
      <c r="S88" s="36">
        <v>117</v>
      </c>
      <c r="T88" s="115">
        <f t="shared" si="6"/>
        <v>30</v>
      </c>
      <c r="U88" s="36">
        <v>77</v>
      </c>
      <c r="V88" s="115">
        <f t="shared" si="4"/>
        <v>2310</v>
      </c>
      <c r="W88" s="36">
        <v>3</v>
      </c>
      <c r="X88" s="36" t="s">
        <v>35</v>
      </c>
      <c r="Y88" s="36" t="s">
        <v>43</v>
      </c>
      <c r="Z88" s="36" t="s">
        <v>55</v>
      </c>
      <c r="AA88" s="36" t="s">
        <v>90</v>
      </c>
      <c r="AB88" s="36" t="s">
        <v>178</v>
      </c>
    </row>
    <row r="89" spans="1:28" s="36" customFormat="1" ht="13.5" customHeight="1" x14ac:dyDescent="0.15">
      <c r="A89" s="36" t="s">
        <v>30</v>
      </c>
      <c r="B89" s="36" t="s">
        <v>174</v>
      </c>
      <c r="C89" s="36">
        <v>2020</v>
      </c>
      <c r="D89" s="106" t="s">
        <v>370</v>
      </c>
      <c r="E89" s="36" t="s">
        <v>227</v>
      </c>
      <c r="F89" s="36" t="s">
        <v>225</v>
      </c>
      <c r="G89" s="36" t="s">
        <v>25</v>
      </c>
      <c r="H89" s="36" t="s">
        <v>164</v>
      </c>
      <c r="I89" s="36" t="s">
        <v>111</v>
      </c>
      <c r="J89" s="36" t="s">
        <v>27</v>
      </c>
      <c r="K89" s="36" t="s">
        <v>112</v>
      </c>
      <c r="L89" s="36">
        <v>1</v>
      </c>
      <c r="N89" s="36">
        <v>1</v>
      </c>
      <c r="O89" s="36">
        <v>0.65</v>
      </c>
      <c r="P89" s="36">
        <v>0.65</v>
      </c>
      <c r="Q89" s="134">
        <v>0.55000000000000004</v>
      </c>
      <c r="R89" s="36">
        <v>14.2</v>
      </c>
      <c r="S89" s="36">
        <v>123</v>
      </c>
      <c r="T89" s="115">
        <f t="shared" si="6"/>
        <v>27</v>
      </c>
      <c r="U89" s="36">
        <v>77</v>
      </c>
      <c r="V89" s="115">
        <f t="shared" si="4"/>
        <v>2079</v>
      </c>
      <c r="W89" s="36">
        <v>4</v>
      </c>
      <c r="X89" s="36" t="s">
        <v>35</v>
      </c>
      <c r="Y89" s="36" t="s">
        <v>43</v>
      </c>
      <c r="Z89" s="36" t="s">
        <v>55</v>
      </c>
      <c r="AA89" s="36" t="s">
        <v>90</v>
      </c>
      <c r="AB89" s="36" t="s">
        <v>178</v>
      </c>
    </row>
    <row r="90" spans="1:28" s="36" customFormat="1" ht="13.5" customHeight="1" x14ac:dyDescent="0.15">
      <c r="A90" s="36" t="s">
        <v>30</v>
      </c>
      <c r="B90" s="36" t="s">
        <v>174</v>
      </c>
      <c r="C90" s="36">
        <v>2020</v>
      </c>
      <c r="D90" s="106" t="s">
        <v>370</v>
      </c>
      <c r="E90" s="36" t="s">
        <v>227</v>
      </c>
      <c r="F90" s="36" t="s">
        <v>225</v>
      </c>
      <c r="G90" s="36" t="s">
        <v>25</v>
      </c>
      <c r="H90" s="36" t="s">
        <v>164</v>
      </c>
      <c r="I90" s="36" t="s">
        <v>111</v>
      </c>
      <c r="J90" s="36" t="s">
        <v>27</v>
      </c>
      <c r="K90" s="36" t="s">
        <v>112</v>
      </c>
      <c r="L90" s="36">
        <v>2</v>
      </c>
      <c r="N90" s="36">
        <v>1</v>
      </c>
      <c r="O90" s="36">
        <v>0.5</v>
      </c>
      <c r="P90" s="36">
        <v>0.5</v>
      </c>
      <c r="Q90" s="134">
        <v>0.65</v>
      </c>
      <c r="R90" s="36">
        <v>14.8</v>
      </c>
      <c r="S90" s="36">
        <v>124</v>
      </c>
      <c r="T90" s="115">
        <f t="shared" si="6"/>
        <v>27</v>
      </c>
      <c r="U90" s="36">
        <v>77</v>
      </c>
      <c r="V90" s="115">
        <f t="shared" si="4"/>
        <v>2079</v>
      </c>
      <c r="W90" s="36">
        <v>4</v>
      </c>
      <c r="X90" s="36" t="s">
        <v>35</v>
      </c>
      <c r="Y90" s="36" t="s">
        <v>43</v>
      </c>
      <c r="Z90" s="36" t="s">
        <v>55</v>
      </c>
      <c r="AA90" s="36" t="s">
        <v>90</v>
      </c>
      <c r="AB90" s="36" t="s">
        <v>178</v>
      </c>
    </row>
    <row r="91" spans="1:28" s="36" customFormat="1" ht="13.5" customHeight="1" x14ac:dyDescent="0.15">
      <c r="A91" s="36" t="s">
        <v>30</v>
      </c>
      <c r="B91" s="36" t="s">
        <v>174</v>
      </c>
      <c r="C91" s="36">
        <v>2020</v>
      </c>
      <c r="D91" s="106" t="s">
        <v>370</v>
      </c>
      <c r="E91" s="36" t="s">
        <v>227</v>
      </c>
      <c r="F91" s="36" t="s">
        <v>225</v>
      </c>
      <c r="G91" s="36" t="s">
        <v>25</v>
      </c>
      <c r="H91" s="36" t="s">
        <v>164</v>
      </c>
      <c r="I91" s="36" t="s">
        <v>111</v>
      </c>
      <c r="J91" s="36" t="s">
        <v>27</v>
      </c>
      <c r="K91" s="36" t="s">
        <v>112</v>
      </c>
      <c r="L91" s="36">
        <v>3</v>
      </c>
      <c r="N91" s="36">
        <v>1</v>
      </c>
      <c r="O91" s="36">
        <v>0.35</v>
      </c>
      <c r="P91" s="36">
        <v>0.35</v>
      </c>
      <c r="Q91" s="134">
        <v>0.65</v>
      </c>
      <c r="R91" s="36">
        <v>15.4</v>
      </c>
      <c r="S91" s="36">
        <v>120</v>
      </c>
      <c r="T91" s="115">
        <f t="shared" si="6"/>
        <v>30</v>
      </c>
      <c r="U91" s="36">
        <v>77</v>
      </c>
      <c r="V91" s="115">
        <f t="shared" si="4"/>
        <v>2310</v>
      </c>
      <c r="W91" s="36">
        <v>4</v>
      </c>
      <c r="X91" s="36" t="s">
        <v>35</v>
      </c>
      <c r="Y91" s="36" t="s">
        <v>43</v>
      </c>
      <c r="Z91" s="36" t="s">
        <v>55</v>
      </c>
      <c r="AA91" s="36" t="s">
        <v>90</v>
      </c>
      <c r="AB91" s="36" t="s">
        <v>178</v>
      </c>
    </row>
    <row r="92" spans="1:28" s="36" customFormat="1" ht="13.5" customHeight="1" x14ac:dyDescent="0.15">
      <c r="A92" s="36" t="s">
        <v>30</v>
      </c>
      <c r="B92" s="36" t="s">
        <v>174</v>
      </c>
      <c r="C92" s="36">
        <v>2020</v>
      </c>
      <c r="D92" s="106" t="s">
        <v>370</v>
      </c>
      <c r="E92" s="36" t="s">
        <v>227</v>
      </c>
      <c r="F92" s="36" t="s">
        <v>225</v>
      </c>
      <c r="G92" s="36" t="s">
        <v>25</v>
      </c>
      <c r="H92" s="36" t="s">
        <v>164</v>
      </c>
      <c r="I92" s="36" t="s">
        <v>111</v>
      </c>
      <c r="J92" s="36" t="s">
        <v>27</v>
      </c>
      <c r="K92" s="36" t="s">
        <v>112</v>
      </c>
      <c r="L92" s="36">
        <v>1</v>
      </c>
      <c r="N92" s="36">
        <v>6</v>
      </c>
      <c r="O92" s="36">
        <v>0.45</v>
      </c>
      <c r="P92" s="36">
        <v>0.45</v>
      </c>
      <c r="Q92" s="115">
        <v>0.3</v>
      </c>
      <c r="R92" s="36">
        <v>15.2</v>
      </c>
      <c r="S92" s="36">
        <v>113</v>
      </c>
      <c r="T92" s="115">
        <f t="shared" si="6"/>
        <v>30</v>
      </c>
      <c r="U92" s="36">
        <v>770</v>
      </c>
      <c r="V92" s="115">
        <f t="shared" si="4"/>
        <v>3850.0000000000005</v>
      </c>
      <c r="W92" s="36">
        <v>2</v>
      </c>
      <c r="X92" s="36" t="s">
        <v>35</v>
      </c>
      <c r="Y92" s="36" t="s">
        <v>43</v>
      </c>
      <c r="Z92" s="36" t="s">
        <v>55</v>
      </c>
      <c r="AA92" s="36" t="s">
        <v>90</v>
      </c>
      <c r="AB92" s="36" t="s">
        <v>178</v>
      </c>
    </row>
    <row r="93" spans="1:28" s="36" customFormat="1" ht="13.5" customHeight="1" x14ac:dyDescent="0.15">
      <c r="A93" s="36" t="s">
        <v>30</v>
      </c>
      <c r="B93" s="36" t="s">
        <v>174</v>
      </c>
      <c r="C93" s="36">
        <v>2020</v>
      </c>
      <c r="D93" s="106" t="s">
        <v>370</v>
      </c>
      <c r="E93" s="36" t="s">
        <v>227</v>
      </c>
      <c r="F93" s="36" t="s">
        <v>225</v>
      </c>
      <c r="G93" s="36" t="s">
        <v>25</v>
      </c>
      <c r="H93" s="36" t="s">
        <v>164</v>
      </c>
      <c r="I93" s="36" t="s">
        <v>111</v>
      </c>
      <c r="J93" s="36" t="s">
        <v>27</v>
      </c>
      <c r="K93" s="36" t="s">
        <v>112</v>
      </c>
      <c r="L93" s="36">
        <v>2</v>
      </c>
      <c r="N93" s="36">
        <v>6</v>
      </c>
      <c r="O93" s="36">
        <v>0.3</v>
      </c>
      <c r="P93" s="36">
        <v>0.3</v>
      </c>
      <c r="Q93" s="115">
        <v>0.4</v>
      </c>
      <c r="R93" s="36">
        <v>16.8</v>
      </c>
      <c r="S93" s="36">
        <v>114</v>
      </c>
      <c r="T93" s="115">
        <f t="shared" si="6"/>
        <v>30</v>
      </c>
      <c r="U93" s="36">
        <v>770</v>
      </c>
      <c r="V93" s="115">
        <f t="shared" si="4"/>
        <v>3850.0000000000005</v>
      </c>
      <c r="W93" s="36">
        <v>2</v>
      </c>
      <c r="X93" s="36" t="s">
        <v>35</v>
      </c>
      <c r="Y93" s="36" t="s">
        <v>43</v>
      </c>
      <c r="Z93" s="36" t="s">
        <v>55</v>
      </c>
      <c r="AA93" s="36" t="s">
        <v>90</v>
      </c>
      <c r="AB93" s="36" t="s">
        <v>178</v>
      </c>
    </row>
    <row r="94" spans="1:28" s="36" customFormat="1" ht="13.5" customHeight="1" x14ac:dyDescent="0.15">
      <c r="A94" s="36" t="s">
        <v>30</v>
      </c>
      <c r="B94" s="36" t="s">
        <v>174</v>
      </c>
      <c r="C94" s="36">
        <v>2020</v>
      </c>
      <c r="D94" s="106" t="s">
        <v>370</v>
      </c>
      <c r="E94" s="36" t="s">
        <v>227</v>
      </c>
      <c r="F94" s="36" t="s">
        <v>225</v>
      </c>
      <c r="G94" s="36" t="s">
        <v>25</v>
      </c>
      <c r="H94" s="36" t="s">
        <v>164</v>
      </c>
      <c r="I94" s="36" t="s">
        <v>111</v>
      </c>
      <c r="J94" s="36" t="s">
        <v>27</v>
      </c>
      <c r="K94" s="36" t="s">
        <v>112</v>
      </c>
      <c r="L94" s="36">
        <v>3</v>
      </c>
      <c r="N94" s="36">
        <v>6</v>
      </c>
      <c r="O94" s="36">
        <v>0.3</v>
      </c>
      <c r="P94" s="36">
        <v>0.25</v>
      </c>
      <c r="Q94" s="115">
        <v>0.43</v>
      </c>
      <c r="R94" s="36">
        <v>17.100000000000001</v>
      </c>
      <c r="S94" s="36">
        <v>116</v>
      </c>
      <c r="T94" s="115">
        <f t="shared" si="6"/>
        <v>30</v>
      </c>
      <c r="U94" s="36">
        <v>770</v>
      </c>
      <c r="V94" s="115">
        <f t="shared" si="4"/>
        <v>3850.0000000000005</v>
      </c>
      <c r="W94" s="36">
        <v>2</v>
      </c>
      <c r="X94" s="36" t="s">
        <v>35</v>
      </c>
      <c r="Y94" s="36" t="s">
        <v>43</v>
      </c>
      <c r="Z94" s="36" t="s">
        <v>55</v>
      </c>
      <c r="AA94" s="36" t="s">
        <v>90</v>
      </c>
      <c r="AB94" s="36" t="s">
        <v>178</v>
      </c>
    </row>
    <row r="95" spans="1:28" s="36" customFormat="1" ht="13.5" customHeight="1" x14ac:dyDescent="0.15">
      <c r="A95" s="36" t="s">
        <v>30</v>
      </c>
      <c r="B95" s="36" t="s">
        <v>174</v>
      </c>
      <c r="C95" s="36">
        <v>2020</v>
      </c>
      <c r="D95" s="106" t="s">
        <v>370</v>
      </c>
      <c r="E95" s="36" t="s">
        <v>227</v>
      </c>
      <c r="F95" s="36" t="s">
        <v>225</v>
      </c>
      <c r="G95" s="36" t="s">
        <v>25</v>
      </c>
      <c r="H95" s="36" t="s">
        <v>164</v>
      </c>
      <c r="I95" s="36" t="s">
        <v>111</v>
      </c>
      <c r="J95" s="36" t="s">
        <v>27</v>
      </c>
      <c r="K95" s="36" t="s">
        <v>112</v>
      </c>
      <c r="L95" s="36">
        <v>1</v>
      </c>
      <c r="N95" s="36">
        <v>8</v>
      </c>
      <c r="O95" s="36">
        <v>0.25</v>
      </c>
      <c r="P95" s="36">
        <v>0.3</v>
      </c>
      <c r="Q95" s="115">
        <v>1.03</v>
      </c>
      <c r="R95" s="36">
        <v>15.2</v>
      </c>
      <c r="S95" s="36">
        <v>100</v>
      </c>
      <c r="T95" s="115">
        <f t="shared" si="6"/>
        <v>33</v>
      </c>
      <c r="U95" s="36">
        <v>970</v>
      </c>
      <c r="V95" s="115">
        <f t="shared" si="4"/>
        <v>4001.25</v>
      </c>
      <c r="W95" s="36">
        <v>2</v>
      </c>
      <c r="X95" s="36" t="s">
        <v>35</v>
      </c>
      <c r="Y95" s="36" t="s">
        <v>43</v>
      </c>
      <c r="Z95" s="36" t="s">
        <v>55</v>
      </c>
      <c r="AA95" s="36" t="s">
        <v>90</v>
      </c>
      <c r="AB95" s="36" t="s">
        <v>178</v>
      </c>
    </row>
    <row r="96" spans="1:28" s="36" customFormat="1" ht="13.5" customHeight="1" x14ac:dyDescent="0.15">
      <c r="A96" s="36" t="s">
        <v>30</v>
      </c>
      <c r="B96" s="36" t="s">
        <v>174</v>
      </c>
      <c r="C96" s="36">
        <v>2020</v>
      </c>
      <c r="D96" s="106" t="s">
        <v>370</v>
      </c>
      <c r="E96" s="36" t="s">
        <v>227</v>
      </c>
      <c r="F96" s="36" t="s">
        <v>225</v>
      </c>
      <c r="G96" s="36" t="s">
        <v>25</v>
      </c>
      <c r="H96" s="36" t="s">
        <v>164</v>
      </c>
      <c r="I96" s="36" t="s">
        <v>111</v>
      </c>
      <c r="J96" s="36" t="s">
        <v>27</v>
      </c>
      <c r="K96" s="36" t="s">
        <v>112</v>
      </c>
      <c r="L96" s="36">
        <v>2</v>
      </c>
      <c r="N96" s="36">
        <v>8</v>
      </c>
      <c r="O96" s="36">
        <v>0.35</v>
      </c>
      <c r="P96" s="36">
        <v>0.3</v>
      </c>
      <c r="Q96" s="115">
        <v>0.88</v>
      </c>
      <c r="R96" s="36">
        <v>16.3</v>
      </c>
      <c r="S96" s="36">
        <v>102</v>
      </c>
      <c r="T96" s="115">
        <f t="shared" si="6"/>
        <v>33</v>
      </c>
      <c r="U96" s="36">
        <v>970</v>
      </c>
      <c r="V96" s="115">
        <f t="shared" si="4"/>
        <v>4001.25</v>
      </c>
      <c r="W96" s="36">
        <v>2</v>
      </c>
      <c r="X96" s="36" t="s">
        <v>35</v>
      </c>
      <c r="Y96" s="36" t="s">
        <v>43</v>
      </c>
      <c r="Z96" s="36" t="s">
        <v>55</v>
      </c>
      <c r="AA96" s="36" t="s">
        <v>90</v>
      </c>
      <c r="AB96" s="36" t="s">
        <v>178</v>
      </c>
    </row>
    <row r="97" spans="1:28" s="36" customFormat="1" ht="13.5" customHeight="1" x14ac:dyDescent="0.15">
      <c r="A97" s="36" t="s">
        <v>30</v>
      </c>
      <c r="B97" s="36" t="s">
        <v>174</v>
      </c>
      <c r="C97" s="36">
        <v>2020</v>
      </c>
      <c r="D97" s="106" t="s">
        <v>370</v>
      </c>
      <c r="E97" s="36" t="s">
        <v>227</v>
      </c>
      <c r="F97" s="36" t="s">
        <v>225</v>
      </c>
      <c r="G97" s="36" t="s">
        <v>25</v>
      </c>
      <c r="H97" s="36" t="s">
        <v>164</v>
      </c>
      <c r="I97" s="36" t="s">
        <v>111</v>
      </c>
      <c r="J97" s="36" t="s">
        <v>27</v>
      </c>
      <c r="K97" s="36" t="s">
        <v>112</v>
      </c>
      <c r="L97" s="36">
        <v>3</v>
      </c>
      <c r="N97" s="36">
        <v>8</v>
      </c>
      <c r="O97" s="36">
        <v>0.45</v>
      </c>
      <c r="P97" s="36">
        <v>0.3</v>
      </c>
      <c r="Q97" s="115">
        <v>0.73</v>
      </c>
      <c r="R97" s="36">
        <v>16</v>
      </c>
      <c r="S97" s="36">
        <v>95</v>
      </c>
      <c r="T97" s="115">
        <f t="shared" si="6"/>
        <v>36</v>
      </c>
      <c r="U97" s="36">
        <v>970</v>
      </c>
      <c r="V97" s="115">
        <f t="shared" si="4"/>
        <v>4365</v>
      </c>
      <c r="W97" s="36">
        <v>2</v>
      </c>
      <c r="X97" s="36" t="s">
        <v>35</v>
      </c>
      <c r="Y97" s="36" t="s">
        <v>43</v>
      </c>
      <c r="Z97" s="36" t="s">
        <v>55</v>
      </c>
      <c r="AA97" s="36" t="s">
        <v>90</v>
      </c>
      <c r="AB97" s="36" t="s">
        <v>178</v>
      </c>
    </row>
    <row r="98" spans="1:28" s="36" customFormat="1" ht="13.5" customHeight="1" x14ac:dyDescent="0.15">
      <c r="A98" s="36" t="s">
        <v>30</v>
      </c>
      <c r="B98" s="36" t="s">
        <v>174</v>
      </c>
      <c r="C98" s="36">
        <v>2020</v>
      </c>
      <c r="D98" s="106" t="s">
        <v>370</v>
      </c>
      <c r="E98" s="36" t="s">
        <v>230</v>
      </c>
      <c r="F98" s="36" t="s">
        <v>231</v>
      </c>
      <c r="G98" s="36" t="s">
        <v>25</v>
      </c>
      <c r="H98" s="36" t="s">
        <v>164</v>
      </c>
      <c r="I98" s="36" t="s">
        <v>111</v>
      </c>
      <c r="J98" s="36" t="s">
        <v>27</v>
      </c>
      <c r="K98" s="36" t="s">
        <v>112</v>
      </c>
      <c r="L98" s="36">
        <v>1</v>
      </c>
      <c r="N98" s="36">
        <v>1</v>
      </c>
      <c r="O98" s="36">
        <v>0.65</v>
      </c>
      <c r="P98" s="36">
        <v>0.7</v>
      </c>
      <c r="Q98" s="115">
        <v>0.48</v>
      </c>
      <c r="R98" s="36">
        <v>13.5</v>
      </c>
      <c r="S98" s="36">
        <v>124</v>
      </c>
      <c r="T98" s="115">
        <f t="shared" si="6"/>
        <v>27</v>
      </c>
      <c r="U98" s="36">
        <v>98</v>
      </c>
      <c r="V98" s="115">
        <f t="shared" si="4"/>
        <v>2646</v>
      </c>
      <c r="W98" s="36">
        <v>8</v>
      </c>
      <c r="X98" s="36" t="s">
        <v>35</v>
      </c>
      <c r="Y98" s="36" t="s">
        <v>43</v>
      </c>
      <c r="Z98" s="36" t="s">
        <v>55</v>
      </c>
      <c r="AA98" s="36" t="s">
        <v>82</v>
      </c>
      <c r="AB98" s="36" t="s">
        <v>178</v>
      </c>
    </row>
    <row r="99" spans="1:28" s="36" customFormat="1" ht="13.5" customHeight="1" x14ac:dyDescent="0.15">
      <c r="A99" s="36" t="s">
        <v>30</v>
      </c>
      <c r="B99" s="36" t="s">
        <v>174</v>
      </c>
      <c r="C99" s="36">
        <v>2020</v>
      </c>
      <c r="D99" s="106" t="s">
        <v>370</v>
      </c>
      <c r="E99" s="36" t="s">
        <v>230</v>
      </c>
      <c r="F99" s="36" t="s">
        <v>231</v>
      </c>
      <c r="G99" s="36" t="s">
        <v>25</v>
      </c>
      <c r="H99" s="36" t="s">
        <v>164</v>
      </c>
      <c r="I99" s="36" t="s">
        <v>111</v>
      </c>
      <c r="J99" s="36" t="s">
        <v>27</v>
      </c>
      <c r="K99" s="36" t="s">
        <v>112</v>
      </c>
      <c r="L99" s="36">
        <v>2</v>
      </c>
      <c r="N99" s="36">
        <v>1</v>
      </c>
      <c r="O99" s="36">
        <v>0.5</v>
      </c>
      <c r="P99" s="36">
        <v>0.45</v>
      </c>
      <c r="Q99" s="115">
        <v>0.7</v>
      </c>
      <c r="R99" s="36">
        <v>14.2</v>
      </c>
      <c r="S99" s="36">
        <v>126</v>
      </c>
      <c r="T99" s="115">
        <f t="shared" si="6"/>
        <v>27</v>
      </c>
      <c r="U99" s="36">
        <v>98</v>
      </c>
      <c r="V99" s="115">
        <f t="shared" si="4"/>
        <v>2646</v>
      </c>
      <c r="W99" s="36">
        <v>8</v>
      </c>
      <c r="X99" s="36" t="s">
        <v>35</v>
      </c>
      <c r="Y99" s="36" t="s">
        <v>43</v>
      </c>
      <c r="Z99" s="36" t="s">
        <v>55</v>
      </c>
      <c r="AA99" s="36" t="s">
        <v>82</v>
      </c>
      <c r="AB99" s="36" t="s">
        <v>178</v>
      </c>
    </row>
    <row r="100" spans="1:28" s="36" customFormat="1" ht="13.5" customHeight="1" x14ac:dyDescent="0.15">
      <c r="A100" s="36" t="s">
        <v>30</v>
      </c>
      <c r="B100" s="36" t="s">
        <v>174</v>
      </c>
      <c r="C100" s="36">
        <v>2020</v>
      </c>
      <c r="D100" s="106" t="s">
        <v>370</v>
      </c>
      <c r="E100" s="36" t="s">
        <v>230</v>
      </c>
      <c r="F100" s="36" t="s">
        <v>231</v>
      </c>
      <c r="G100" s="36" t="s">
        <v>25</v>
      </c>
      <c r="H100" s="36" t="s">
        <v>164</v>
      </c>
      <c r="I100" s="36" t="s">
        <v>111</v>
      </c>
      <c r="J100" s="36" t="s">
        <v>27</v>
      </c>
      <c r="K100" s="36" t="s">
        <v>112</v>
      </c>
      <c r="L100" s="36">
        <v>3</v>
      </c>
      <c r="N100" s="36">
        <v>1</v>
      </c>
      <c r="O100" s="36">
        <v>0.45</v>
      </c>
      <c r="P100" s="36">
        <v>0.5</v>
      </c>
      <c r="Q100" s="115">
        <v>0.57999999999999996</v>
      </c>
      <c r="R100" s="36">
        <v>15.2</v>
      </c>
      <c r="S100" s="36">
        <v>122</v>
      </c>
      <c r="T100" s="115">
        <f t="shared" si="6"/>
        <v>27</v>
      </c>
      <c r="U100" s="36">
        <v>98</v>
      </c>
      <c r="V100" s="115">
        <f t="shared" si="4"/>
        <v>2646</v>
      </c>
      <c r="W100" s="36">
        <v>8</v>
      </c>
      <c r="X100" s="36" t="s">
        <v>35</v>
      </c>
      <c r="Y100" s="36" t="s">
        <v>43</v>
      </c>
      <c r="Z100" s="36" t="s">
        <v>55</v>
      </c>
      <c r="AA100" s="36" t="s">
        <v>82</v>
      </c>
      <c r="AB100" s="36" t="s">
        <v>178</v>
      </c>
    </row>
    <row r="101" spans="1:28" s="36" customFormat="1" ht="13.5" customHeight="1" x14ac:dyDescent="0.15">
      <c r="A101" s="36" t="s">
        <v>30</v>
      </c>
      <c r="B101" s="36" t="s">
        <v>174</v>
      </c>
      <c r="C101" s="36">
        <v>2020</v>
      </c>
      <c r="D101" s="106" t="s">
        <v>370</v>
      </c>
      <c r="E101" s="36" t="s">
        <v>230</v>
      </c>
      <c r="F101" s="36" t="s">
        <v>231</v>
      </c>
      <c r="G101" s="36" t="s">
        <v>25</v>
      </c>
      <c r="H101" s="36" t="s">
        <v>113</v>
      </c>
      <c r="I101" s="36" t="s">
        <v>111</v>
      </c>
      <c r="J101" s="36" t="s">
        <v>27</v>
      </c>
      <c r="K101" s="36" t="s">
        <v>112</v>
      </c>
      <c r="L101" s="36">
        <v>1</v>
      </c>
      <c r="N101" s="36">
        <v>10</v>
      </c>
      <c r="O101" s="36">
        <v>0.6</v>
      </c>
      <c r="P101" s="36">
        <v>0.65</v>
      </c>
      <c r="Q101" s="115">
        <f t="shared" ref="Q101:Q151" si="7">IF(OR(O101="",P101=""),"",AVERAGE(O101,P101))</f>
        <v>0.625</v>
      </c>
      <c r="R101" s="36">
        <v>10.199999999999999</v>
      </c>
      <c r="S101" s="36">
        <v>90</v>
      </c>
      <c r="T101" s="115">
        <f t="shared" si="6"/>
        <v>36</v>
      </c>
      <c r="U101" s="36">
        <v>880</v>
      </c>
      <c r="V101" s="115">
        <f t="shared" si="4"/>
        <v>3168</v>
      </c>
      <c r="W101" s="36">
        <v>2</v>
      </c>
      <c r="X101" s="36" t="s">
        <v>35</v>
      </c>
      <c r="Y101" s="36" t="s">
        <v>43</v>
      </c>
      <c r="Z101" s="36" t="s">
        <v>55</v>
      </c>
      <c r="AA101" s="36" t="s">
        <v>82</v>
      </c>
      <c r="AB101" s="36" t="s">
        <v>178</v>
      </c>
    </row>
    <row r="102" spans="1:28" s="36" customFormat="1" ht="13.5" customHeight="1" x14ac:dyDescent="0.15">
      <c r="A102" s="36" t="s">
        <v>30</v>
      </c>
      <c r="B102" s="36" t="s">
        <v>174</v>
      </c>
      <c r="C102" s="36">
        <v>2020</v>
      </c>
      <c r="D102" s="106" t="s">
        <v>370</v>
      </c>
      <c r="E102" s="36" t="s">
        <v>230</v>
      </c>
      <c r="F102" s="36" t="s">
        <v>231</v>
      </c>
      <c r="G102" s="36" t="s">
        <v>25</v>
      </c>
      <c r="H102" s="36" t="s">
        <v>113</v>
      </c>
      <c r="I102" s="36" t="s">
        <v>111</v>
      </c>
      <c r="J102" s="36" t="s">
        <v>27</v>
      </c>
      <c r="K102" s="36" t="s">
        <v>112</v>
      </c>
      <c r="L102" s="36">
        <v>2</v>
      </c>
      <c r="N102" s="36">
        <v>10</v>
      </c>
      <c r="O102" s="36">
        <v>0.9</v>
      </c>
      <c r="P102" s="36">
        <v>1</v>
      </c>
      <c r="Q102" s="115">
        <f t="shared" si="7"/>
        <v>0.95</v>
      </c>
      <c r="R102" s="36">
        <v>13.2</v>
      </c>
      <c r="S102" s="36">
        <v>97</v>
      </c>
      <c r="T102" s="115">
        <f t="shared" si="6"/>
        <v>36</v>
      </c>
      <c r="U102" s="36">
        <v>880</v>
      </c>
      <c r="V102" s="115">
        <f t="shared" si="4"/>
        <v>3168</v>
      </c>
      <c r="W102" s="36">
        <v>2</v>
      </c>
      <c r="X102" s="36" t="s">
        <v>35</v>
      </c>
      <c r="Y102" s="36" t="s">
        <v>43</v>
      </c>
      <c r="Z102" s="36" t="s">
        <v>55</v>
      </c>
      <c r="AA102" s="36" t="s">
        <v>82</v>
      </c>
      <c r="AB102" s="36" t="s">
        <v>178</v>
      </c>
    </row>
    <row r="103" spans="1:28" s="36" customFormat="1" ht="13.5" customHeight="1" x14ac:dyDescent="0.15">
      <c r="A103" s="36" t="s">
        <v>30</v>
      </c>
      <c r="B103" s="36" t="s">
        <v>174</v>
      </c>
      <c r="C103" s="36">
        <v>2020</v>
      </c>
      <c r="D103" s="106" t="s">
        <v>370</v>
      </c>
      <c r="E103" s="36" t="s">
        <v>230</v>
      </c>
      <c r="F103" s="36" t="s">
        <v>231</v>
      </c>
      <c r="G103" s="36" t="s">
        <v>25</v>
      </c>
      <c r="H103" s="36" t="s">
        <v>113</v>
      </c>
      <c r="I103" s="36" t="s">
        <v>111</v>
      </c>
      <c r="J103" s="36" t="s">
        <v>27</v>
      </c>
      <c r="K103" s="36" t="s">
        <v>112</v>
      </c>
      <c r="L103" s="36">
        <v>3</v>
      </c>
      <c r="N103" s="36">
        <v>10</v>
      </c>
      <c r="O103" s="36">
        <v>0.95</v>
      </c>
      <c r="P103" s="36">
        <v>0.8</v>
      </c>
      <c r="Q103" s="115">
        <f t="shared" si="7"/>
        <v>0.875</v>
      </c>
      <c r="R103" s="36">
        <v>13.8</v>
      </c>
      <c r="S103" s="36">
        <v>94</v>
      </c>
      <c r="T103" s="115">
        <f t="shared" si="6"/>
        <v>36</v>
      </c>
      <c r="U103" s="36">
        <v>880</v>
      </c>
      <c r="V103" s="115">
        <f t="shared" si="4"/>
        <v>3168</v>
      </c>
      <c r="W103" s="36">
        <v>2</v>
      </c>
      <c r="X103" s="36" t="s">
        <v>35</v>
      </c>
      <c r="Y103" s="36" t="s">
        <v>43</v>
      </c>
      <c r="Z103" s="36" t="s">
        <v>55</v>
      </c>
      <c r="AA103" s="36" t="s">
        <v>82</v>
      </c>
      <c r="AB103" s="36" t="s">
        <v>178</v>
      </c>
    </row>
    <row r="104" spans="1:28" s="36" customFormat="1" ht="13.5" customHeight="1" x14ac:dyDescent="0.15">
      <c r="A104" s="36" t="s">
        <v>30</v>
      </c>
      <c r="B104" s="36" t="s">
        <v>174</v>
      </c>
      <c r="C104" s="36">
        <v>2020</v>
      </c>
      <c r="D104" s="106" t="s">
        <v>370</v>
      </c>
      <c r="E104" s="36" t="s">
        <v>230</v>
      </c>
      <c r="F104" s="36" t="s">
        <v>231</v>
      </c>
      <c r="G104" s="36" t="s">
        <v>25</v>
      </c>
      <c r="H104" s="36" t="s">
        <v>113</v>
      </c>
      <c r="I104" s="36" t="s">
        <v>111</v>
      </c>
      <c r="J104" s="36" t="s">
        <v>27</v>
      </c>
      <c r="K104" s="36" t="s">
        <v>112</v>
      </c>
      <c r="L104" s="36">
        <v>1</v>
      </c>
      <c r="N104" s="36">
        <v>1</v>
      </c>
      <c r="O104" s="36">
        <v>0.6</v>
      </c>
      <c r="P104" s="36">
        <v>0.55000000000000004</v>
      </c>
      <c r="Q104" s="115">
        <f t="shared" si="7"/>
        <v>0.57499999999999996</v>
      </c>
      <c r="R104" s="36">
        <v>12.1</v>
      </c>
      <c r="S104" s="36">
        <v>125</v>
      </c>
      <c r="T104" s="115">
        <f t="shared" si="6"/>
        <v>27</v>
      </c>
      <c r="U104" s="36">
        <v>98</v>
      </c>
      <c r="V104" s="115">
        <f t="shared" si="4"/>
        <v>2646</v>
      </c>
      <c r="W104" s="36">
        <v>3</v>
      </c>
      <c r="X104" s="36" t="s">
        <v>35</v>
      </c>
      <c r="Y104" s="36" t="s">
        <v>43</v>
      </c>
      <c r="Z104" s="36" t="s">
        <v>55</v>
      </c>
      <c r="AA104" s="36" t="s">
        <v>82</v>
      </c>
      <c r="AB104" s="36" t="s">
        <v>178</v>
      </c>
    </row>
    <row r="105" spans="1:28" s="36" customFormat="1" ht="13.5" customHeight="1" x14ac:dyDescent="0.15">
      <c r="A105" s="36" t="s">
        <v>30</v>
      </c>
      <c r="B105" s="36" t="s">
        <v>174</v>
      </c>
      <c r="C105" s="36">
        <v>2020</v>
      </c>
      <c r="D105" s="106" t="s">
        <v>370</v>
      </c>
      <c r="E105" s="36" t="s">
        <v>230</v>
      </c>
      <c r="F105" s="36" t="s">
        <v>231</v>
      </c>
      <c r="G105" s="36" t="s">
        <v>25</v>
      </c>
      <c r="H105" s="36" t="s">
        <v>113</v>
      </c>
      <c r="I105" s="36" t="s">
        <v>111</v>
      </c>
      <c r="J105" s="36" t="s">
        <v>27</v>
      </c>
      <c r="K105" s="36" t="s">
        <v>112</v>
      </c>
      <c r="L105" s="36">
        <v>2</v>
      </c>
      <c r="N105" s="36">
        <v>1</v>
      </c>
      <c r="O105" s="36">
        <v>0.8</v>
      </c>
      <c r="P105" s="36">
        <v>0.9</v>
      </c>
      <c r="Q105" s="115">
        <f t="shared" si="7"/>
        <v>0.85000000000000009</v>
      </c>
      <c r="R105" s="36">
        <v>11.5</v>
      </c>
      <c r="S105" s="36">
        <v>128</v>
      </c>
      <c r="T105" s="115">
        <f t="shared" si="6"/>
        <v>27</v>
      </c>
      <c r="U105" s="36">
        <v>98</v>
      </c>
      <c r="V105" s="115">
        <f t="shared" si="4"/>
        <v>2646</v>
      </c>
      <c r="W105" s="36">
        <v>3</v>
      </c>
      <c r="X105" s="36" t="s">
        <v>35</v>
      </c>
      <c r="Y105" s="36" t="s">
        <v>43</v>
      </c>
      <c r="Z105" s="36" t="s">
        <v>55</v>
      </c>
      <c r="AA105" s="36" t="s">
        <v>82</v>
      </c>
      <c r="AB105" s="36" t="s">
        <v>178</v>
      </c>
    </row>
    <row r="106" spans="1:28" s="36" customFormat="1" ht="13.5" customHeight="1" x14ac:dyDescent="0.15">
      <c r="A106" s="36" t="s">
        <v>30</v>
      </c>
      <c r="B106" s="36" t="s">
        <v>174</v>
      </c>
      <c r="C106" s="36">
        <v>2020</v>
      </c>
      <c r="D106" s="106" t="s">
        <v>370</v>
      </c>
      <c r="E106" s="36" t="s">
        <v>230</v>
      </c>
      <c r="F106" s="36" t="s">
        <v>231</v>
      </c>
      <c r="G106" s="36" t="s">
        <v>25</v>
      </c>
      <c r="H106" s="36" t="s">
        <v>113</v>
      </c>
      <c r="I106" s="36" t="s">
        <v>111</v>
      </c>
      <c r="J106" s="36" t="s">
        <v>27</v>
      </c>
      <c r="K106" s="36" t="s">
        <v>112</v>
      </c>
      <c r="L106" s="36">
        <v>3</v>
      </c>
      <c r="N106" s="36">
        <v>1</v>
      </c>
      <c r="O106" s="36">
        <v>0.95</v>
      </c>
      <c r="P106" s="36">
        <v>0.8</v>
      </c>
      <c r="Q106" s="115">
        <f t="shared" si="7"/>
        <v>0.875</v>
      </c>
      <c r="R106" s="36">
        <v>13.4</v>
      </c>
      <c r="S106" s="36">
        <v>124</v>
      </c>
      <c r="T106" s="115">
        <f t="shared" si="6"/>
        <v>27</v>
      </c>
      <c r="U106" s="36">
        <v>98</v>
      </c>
      <c r="V106" s="115">
        <f t="shared" si="4"/>
        <v>2646</v>
      </c>
      <c r="W106" s="36">
        <v>3</v>
      </c>
      <c r="X106" s="36" t="s">
        <v>35</v>
      </c>
      <c r="Y106" s="36" t="s">
        <v>43</v>
      </c>
      <c r="Z106" s="36" t="s">
        <v>55</v>
      </c>
      <c r="AA106" s="36" t="s">
        <v>82</v>
      </c>
      <c r="AB106" s="36" t="s">
        <v>178</v>
      </c>
    </row>
    <row r="107" spans="1:28" s="36" customFormat="1" ht="13.5" customHeight="1" x14ac:dyDescent="0.15">
      <c r="A107" s="36" t="s">
        <v>30</v>
      </c>
      <c r="B107" s="36" t="s">
        <v>174</v>
      </c>
      <c r="C107" s="36">
        <v>2020</v>
      </c>
      <c r="D107" s="106" t="s">
        <v>370</v>
      </c>
      <c r="E107" s="36" t="s">
        <v>230</v>
      </c>
      <c r="F107" s="36" t="s">
        <v>231</v>
      </c>
      <c r="G107" s="36" t="s">
        <v>25</v>
      </c>
      <c r="H107" s="36" t="s">
        <v>113</v>
      </c>
      <c r="I107" s="36" t="s">
        <v>111</v>
      </c>
      <c r="J107" s="36" t="s">
        <v>27</v>
      </c>
      <c r="K107" s="36" t="s">
        <v>112</v>
      </c>
      <c r="L107" s="36">
        <v>1</v>
      </c>
      <c r="N107" s="36">
        <v>5</v>
      </c>
      <c r="O107" s="36">
        <v>1</v>
      </c>
      <c r="P107" s="36">
        <v>1.2</v>
      </c>
      <c r="Q107" s="115">
        <f t="shared" si="7"/>
        <v>1.1000000000000001</v>
      </c>
      <c r="R107" s="36">
        <v>13</v>
      </c>
      <c r="S107" s="36">
        <v>120</v>
      </c>
      <c r="T107" s="115">
        <f t="shared" si="6"/>
        <v>30</v>
      </c>
      <c r="U107" s="36">
        <v>398</v>
      </c>
      <c r="V107" s="115">
        <f t="shared" si="4"/>
        <v>2388</v>
      </c>
      <c r="W107" s="36">
        <v>4</v>
      </c>
      <c r="X107" s="36" t="s">
        <v>35</v>
      </c>
      <c r="Y107" s="36" t="s">
        <v>43</v>
      </c>
      <c r="Z107" s="36" t="s">
        <v>55</v>
      </c>
      <c r="AA107" s="36" t="s">
        <v>82</v>
      </c>
      <c r="AB107" s="36" t="s">
        <v>178</v>
      </c>
    </row>
    <row r="108" spans="1:28" s="36" customFormat="1" ht="13.5" customHeight="1" x14ac:dyDescent="0.15">
      <c r="A108" s="36" t="s">
        <v>30</v>
      </c>
      <c r="B108" s="36" t="s">
        <v>174</v>
      </c>
      <c r="C108" s="36">
        <v>2020</v>
      </c>
      <c r="D108" s="106" t="s">
        <v>370</v>
      </c>
      <c r="E108" s="36" t="s">
        <v>230</v>
      </c>
      <c r="F108" s="36" t="s">
        <v>231</v>
      </c>
      <c r="G108" s="36" t="s">
        <v>25</v>
      </c>
      <c r="H108" s="36" t="s">
        <v>113</v>
      </c>
      <c r="I108" s="36" t="s">
        <v>111</v>
      </c>
      <c r="J108" s="36" t="s">
        <v>27</v>
      </c>
      <c r="K108" s="36" t="s">
        <v>112</v>
      </c>
      <c r="L108" s="36">
        <v>2</v>
      </c>
      <c r="N108" s="36">
        <v>5</v>
      </c>
      <c r="O108" s="36">
        <v>1.5</v>
      </c>
      <c r="P108" s="36">
        <v>1.4</v>
      </c>
      <c r="Q108" s="115">
        <f t="shared" si="7"/>
        <v>1.45</v>
      </c>
      <c r="R108" s="36">
        <v>11.1</v>
      </c>
      <c r="S108" s="36">
        <v>115</v>
      </c>
      <c r="T108" s="115">
        <f t="shared" si="6"/>
        <v>30</v>
      </c>
      <c r="U108" s="36">
        <v>398</v>
      </c>
      <c r="V108" s="115">
        <f t="shared" si="4"/>
        <v>2388</v>
      </c>
      <c r="W108" s="36">
        <v>4</v>
      </c>
      <c r="X108" s="36" t="s">
        <v>35</v>
      </c>
      <c r="Y108" s="36" t="s">
        <v>43</v>
      </c>
      <c r="Z108" s="36" t="s">
        <v>55</v>
      </c>
      <c r="AA108" s="36" t="s">
        <v>82</v>
      </c>
      <c r="AB108" s="36" t="s">
        <v>178</v>
      </c>
    </row>
    <row r="109" spans="1:28" s="36" customFormat="1" ht="13.5" customHeight="1" x14ac:dyDescent="0.15">
      <c r="A109" s="36" t="s">
        <v>30</v>
      </c>
      <c r="B109" s="36" t="s">
        <v>174</v>
      </c>
      <c r="C109" s="36">
        <v>2020</v>
      </c>
      <c r="D109" s="106" t="s">
        <v>370</v>
      </c>
      <c r="E109" s="36" t="s">
        <v>230</v>
      </c>
      <c r="F109" s="36" t="s">
        <v>231</v>
      </c>
      <c r="G109" s="36" t="s">
        <v>25</v>
      </c>
      <c r="H109" s="36" t="s">
        <v>113</v>
      </c>
      <c r="I109" s="36" t="s">
        <v>111</v>
      </c>
      <c r="J109" s="36" t="s">
        <v>27</v>
      </c>
      <c r="K109" s="36" t="s">
        <v>112</v>
      </c>
      <c r="L109" s="36">
        <v>3</v>
      </c>
      <c r="N109" s="36">
        <v>5</v>
      </c>
      <c r="O109" s="36">
        <v>1.3</v>
      </c>
      <c r="P109" s="36">
        <v>1.3</v>
      </c>
      <c r="Q109" s="115">
        <f t="shared" si="7"/>
        <v>1.3</v>
      </c>
      <c r="R109" s="36">
        <v>10.4</v>
      </c>
      <c r="S109" s="36">
        <v>117</v>
      </c>
      <c r="T109" s="115">
        <f t="shared" si="6"/>
        <v>30</v>
      </c>
      <c r="U109" s="36">
        <v>398</v>
      </c>
      <c r="V109" s="115">
        <f t="shared" si="4"/>
        <v>2388</v>
      </c>
      <c r="W109" s="36">
        <v>4</v>
      </c>
      <c r="X109" s="36" t="s">
        <v>35</v>
      </c>
      <c r="Y109" s="36" t="s">
        <v>43</v>
      </c>
      <c r="Z109" s="36" t="s">
        <v>55</v>
      </c>
      <c r="AA109" s="36" t="s">
        <v>82</v>
      </c>
      <c r="AB109" s="36" t="s">
        <v>178</v>
      </c>
    </row>
    <row r="110" spans="1:28" s="36" customFormat="1" ht="13.5" customHeight="1" x14ac:dyDescent="0.15">
      <c r="A110" s="36" t="s">
        <v>30</v>
      </c>
      <c r="B110" s="36" t="s">
        <v>174</v>
      </c>
      <c r="C110" s="36">
        <v>2020</v>
      </c>
      <c r="D110" s="106" t="s">
        <v>370</v>
      </c>
      <c r="E110" s="36" t="s">
        <v>230</v>
      </c>
      <c r="F110" s="36" t="s">
        <v>238</v>
      </c>
      <c r="G110" s="36" t="s">
        <v>25</v>
      </c>
      <c r="H110" s="36" t="s">
        <v>164</v>
      </c>
      <c r="I110" s="36" t="s">
        <v>111</v>
      </c>
      <c r="J110" s="36" t="s">
        <v>27</v>
      </c>
      <c r="K110" s="36" t="s">
        <v>112</v>
      </c>
      <c r="L110" s="36">
        <v>1</v>
      </c>
      <c r="N110" s="36">
        <v>1</v>
      </c>
      <c r="O110" s="36">
        <v>0.45</v>
      </c>
      <c r="P110" s="36">
        <v>0.65</v>
      </c>
      <c r="Q110" s="134">
        <f t="shared" si="7"/>
        <v>0.55000000000000004</v>
      </c>
      <c r="R110" s="36">
        <v>15.2</v>
      </c>
      <c r="S110" s="36">
        <v>127</v>
      </c>
      <c r="T110" s="115">
        <f t="shared" si="6"/>
        <v>27</v>
      </c>
      <c r="U110" s="36">
        <v>98</v>
      </c>
      <c r="V110" s="115">
        <f t="shared" si="4"/>
        <v>2646</v>
      </c>
      <c r="W110" s="36">
        <v>3</v>
      </c>
      <c r="X110" s="36" t="s">
        <v>35</v>
      </c>
      <c r="Y110" s="36" t="s">
        <v>43</v>
      </c>
      <c r="Z110" s="36" t="s">
        <v>55</v>
      </c>
      <c r="AA110" s="36" t="s">
        <v>29</v>
      </c>
      <c r="AB110" s="36" t="s">
        <v>178</v>
      </c>
    </row>
    <row r="111" spans="1:28" s="36" customFormat="1" ht="13.5" customHeight="1" x14ac:dyDescent="0.15">
      <c r="A111" s="36" t="s">
        <v>30</v>
      </c>
      <c r="B111" s="36" t="s">
        <v>174</v>
      </c>
      <c r="C111" s="36">
        <v>2020</v>
      </c>
      <c r="D111" s="106" t="s">
        <v>370</v>
      </c>
      <c r="E111" s="36" t="s">
        <v>230</v>
      </c>
      <c r="F111" s="36" t="s">
        <v>238</v>
      </c>
      <c r="G111" s="36" t="s">
        <v>25</v>
      </c>
      <c r="H111" s="36" t="s">
        <v>164</v>
      </c>
      <c r="I111" s="36" t="s">
        <v>111</v>
      </c>
      <c r="J111" s="36" t="s">
        <v>27</v>
      </c>
      <c r="K111" s="36" t="s">
        <v>112</v>
      </c>
      <c r="L111" s="36">
        <v>2</v>
      </c>
      <c r="N111" s="36">
        <v>1</v>
      </c>
      <c r="O111" s="36">
        <v>0.5</v>
      </c>
      <c r="P111" s="36">
        <v>0.7</v>
      </c>
      <c r="Q111" s="134">
        <f t="shared" si="7"/>
        <v>0.6</v>
      </c>
      <c r="R111" s="36">
        <v>15</v>
      </c>
      <c r="S111" s="36">
        <v>125</v>
      </c>
      <c r="T111" s="115">
        <f t="shared" si="6"/>
        <v>27</v>
      </c>
      <c r="U111" s="36">
        <v>98</v>
      </c>
      <c r="V111" s="115">
        <f t="shared" si="4"/>
        <v>2646</v>
      </c>
      <c r="W111" s="36">
        <v>3</v>
      </c>
      <c r="X111" s="36" t="s">
        <v>35</v>
      </c>
      <c r="Y111" s="36" t="s">
        <v>43</v>
      </c>
      <c r="Z111" s="36" t="s">
        <v>55</v>
      </c>
      <c r="AA111" s="36" t="s">
        <v>29</v>
      </c>
      <c r="AB111" s="36" t="s">
        <v>178</v>
      </c>
    </row>
    <row r="112" spans="1:28" s="36" customFormat="1" ht="13.5" customHeight="1" x14ac:dyDescent="0.15">
      <c r="A112" s="36" t="s">
        <v>30</v>
      </c>
      <c r="B112" s="36" t="s">
        <v>174</v>
      </c>
      <c r="C112" s="36">
        <v>2020</v>
      </c>
      <c r="D112" s="106" t="s">
        <v>370</v>
      </c>
      <c r="E112" s="36" t="s">
        <v>230</v>
      </c>
      <c r="F112" s="36" t="s">
        <v>238</v>
      </c>
      <c r="G112" s="36" t="s">
        <v>25</v>
      </c>
      <c r="H112" s="36" t="s">
        <v>164</v>
      </c>
      <c r="I112" s="36" t="s">
        <v>111</v>
      </c>
      <c r="J112" s="36" t="s">
        <v>27</v>
      </c>
      <c r="K112" s="36" t="s">
        <v>112</v>
      </c>
      <c r="L112" s="36">
        <v>3</v>
      </c>
      <c r="N112" s="36">
        <v>1</v>
      </c>
      <c r="O112" s="36">
        <v>0.25</v>
      </c>
      <c r="P112" s="36">
        <v>0.3</v>
      </c>
      <c r="Q112" s="134">
        <f t="shared" si="7"/>
        <v>0.27500000000000002</v>
      </c>
      <c r="R112" s="36">
        <v>12.4</v>
      </c>
      <c r="S112" s="36">
        <v>129</v>
      </c>
      <c r="T112" s="115">
        <f t="shared" si="6"/>
        <v>25</v>
      </c>
      <c r="U112" s="36">
        <v>98</v>
      </c>
      <c r="V112" s="115">
        <f t="shared" si="4"/>
        <v>2450</v>
      </c>
      <c r="W112" s="36">
        <v>3</v>
      </c>
      <c r="X112" s="36" t="s">
        <v>35</v>
      </c>
      <c r="Y112" s="36" t="s">
        <v>43</v>
      </c>
      <c r="Z112" s="36" t="s">
        <v>55</v>
      </c>
      <c r="AA112" s="36" t="s">
        <v>29</v>
      </c>
      <c r="AB112" s="36" t="s">
        <v>178</v>
      </c>
    </row>
    <row r="113" spans="1:28" s="36" customFormat="1" ht="13.5" customHeight="1" x14ac:dyDescent="0.15">
      <c r="A113" s="36" t="s">
        <v>30</v>
      </c>
      <c r="B113" s="36" t="s">
        <v>174</v>
      </c>
      <c r="C113" s="36">
        <v>2020</v>
      </c>
      <c r="D113" s="106" t="s">
        <v>370</v>
      </c>
      <c r="E113" s="36" t="s">
        <v>230</v>
      </c>
      <c r="F113" s="36" t="s">
        <v>238</v>
      </c>
      <c r="G113" s="36" t="s">
        <v>25</v>
      </c>
      <c r="H113" s="36" t="s">
        <v>164</v>
      </c>
      <c r="I113" s="36" t="s">
        <v>111</v>
      </c>
      <c r="J113" s="36" t="s">
        <v>27</v>
      </c>
      <c r="K113" s="36" t="s">
        <v>112</v>
      </c>
      <c r="L113" s="36">
        <v>1</v>
      </c>
      <c r="N113" s="36">
        <v>4</v>
      </c>
      <c r="O113" s="36">
        <v>0.75</v>
      </c>
      <c r="P113" s="36">
        <v>0.5</v>
      </c>
      <c r="Q113" s="115">
        <f t="shared" si="7"/>
        <v>0.625</v>
      </c>
      <c r="R113" s="36">
        <v>13.2</v>
      </c>
      <c r="S113" s="36">
        <v>120</v>
      </c>
      <c r="T113" s="108">
        <f t="shared" si="6"/>
        <v>30</v>
      </c>
      <c r="U113" s="36">
        <v>480</v>
      </c>
      <c r="V113" s="108">
        <f t="shared" si="4"/>
        <v>3600</v>
      </c>
      <c r="W113" s="36">
        <v>2</v>
      </c>
      <c r="X113" s="36" t="s">
        <v>35</v>
      </c>
      <c r="Y113" s="36" t="s">
        <v>43</v>
      </c>
      <c r="Z113" s="36" t="s">
        <v>55</v>
      </c>
      <c r="AA113" s="36" t="s">
        <v>29</v>
      </c>
      <c r="AB113" s="36" t="s">
        <v>178</v>
      </c>
    </row>
    <row r="114" spans="1:28" s="36" customFormat="1" ht="13.5" customHeight="1" x14ac:dyDescent="0.15">
      <c r="A114" s="36" t="s">
        <v>30</v>
      </c>
      <c r="B114" s="36" t="s">
        <v>174</v>
      </c>
      <c r="C114" s="36">
        <v>2020</v>
      </c>
      <c r="D114" s="106" t="s">
        <v>370</v>
      </c>
      <c r="E114" s="36" t="s">
        <v>230</v>
      </c>
      <c r="F114" s="36" t="s">
        <v>238</v>
      </c>
      <c r="G114" s="36" t="s">
        <v>25</v>
      </c>
      <c r="H114" s="36" t="s">
        <v>164</v>
      </c>
      <c r="I114" s="36" t="s">
        <v>111</v>
      </c>
      <c r="J114" s="36" t="s">
        <v>27</v>
      </c>
      <c r="K114" s="36" t="s">
        <v>112</v>
      </c>
      <c r="L114" s="36">
        <v>2</v>
      </c>
      <c r="N114" s="36">
        <v>4</v>
      </c>
      <c r="O114" s="36">
        <v>0.45</v>
      </c>
      <c r="P114" s="36">
        <v>0.65</v>
      </c>
      <c r="Q114" s="115">
        <f t="shared" si="7"/>
        <v>0.55000000000000004</v>
      </c>
      <c r="R114" s="36">
        <v>13.7</v>
      </c>
      <c r="S114" s="36">
        <v>124</v>
      </c>
      <c r="T114" s="108">
        <f t="shared" si="6"/>
        <v>27</v>
      </c>
      <c r="U114" s="36">
        <v>480</v>
      </c>
      <c r="V114" s="108">
        <f t="shared" si="4"/>
        <v>3240</v>
      </c>
      <c r="W114" s="36">
        <v>2</v>
      </c>
      <c r="X114" s="36" t="s">
        <v>35</v>
      </c>
      <c r="Y114" s="36" t="s">
        <v>43</v>
      </c>
      <c r="Z114" s="36" t="s">
        <v>55</v>
      </c>
      <c r="AA114" s="36" t="s">
        <v>29</v>
      </c>
      <c r="AB114" s="36" t="s">
        <v>178</v>
      </c>
    </row>
    <row r="115" spans="1:28" s="36" customFormat="1" ht="13.5" customHeight="1" x14ac:dyDescent="0.15">
      <c r="A115" s="36" t="s">
        <v>30</v>
      </c>
      <c r="B115" s="36" t="s">
        <v>174</v>
      </c>
      <c r="C115" s="36">
        <v>2020</v>
      </c>
      <c r="D115" s="106" t="s">
        <v>370</v>
      </c>
      <c r="E115" s="36" t="s">
        <v>230</v>
      </c>
      <c r="F115" s="36" t="s">
        <v>238</v>
      </c>
      <c r="G115" s="36" t="s">
        <v>25</v>
      </c>
      <c r="H115" s="36" t="s">
        <v>164</v>
      </c>
      <c r="I115" s="36" t="s">
        <v>111</v>
      </c>
      <c r="J115" s="36" t="s">
        <v>27</v>
      </c>
      <c r="K115" s="36" t="s">
        <v>112</v>
      </c>
      <c r="L115" s="36">
        <v>3</v>
      </c>
      <c r="N115" s="36">
        <v>4</v>
      </c>
      <c r="O115" s="36">
        <v>0.9</v>
      </c>
      <c r="P115" s="36">
        <v>0.85</v>
      </c>
      <c r="Q115" s="115">
        <f t="shared" si="7"/>
        <v>0.875</v>
      </c>
      <c r="R115" s="36">
        <v>14.1</v>
      </c>
      <c r="S115" s="36">
        <v>122</v>
      </c>
      <c r="T115" s="108">
        <f t="shared" si="6"/>
        <v>27</v>
      </c>
      <c r="U115" s="36">
        <v>480</v>
      </c>
      <c r="V115" s="108">
        <f t="shared" si="4"/>
        <v>3240</v>
      </c>
      <c r="W115" s="36">
        <v>2</v>
      </c>
      <c r="X115" s="36" t="s">
        <v>35</v>
      </c>
      <c r="Y115" s="36" t="s">
        <v>43</v>
      </c>
      <c r="Z115" s="36" t="s">
        <v>55</v>
      </c>
      <c r="AA115" s="36" t="s">
        <v>29</v>
      </c>
      <c r="AB115" s="36" t="s">
        <v>178</v>
      </c>
    </row>
    <row r="116" spans="1:28" s="36" customFormat="1" ht="13.5" customHeight="1" x14ac:dyDescent="0.15">
      <c r="A116" s="36" t="s">
        <v>30</v>
      </c>
      <c r="B116" s="36" t="s">
        <v>174</v>
      </c>
      <c r="C116" s="36">
        <v>2020</v>
      </c>
      <c r="D116" s="106" t="s">
        <v>370</v>
      </c>
      <c r="E116" s="36" t="s">
        <v>230</v>
      </c>
      <c r="F116" s="36" t="s">
        <v>238</v>
      </c>
      <c r="G116" s="36" t="s">
        <v>25</v>
      </c>
      <c r="H116" s="36" t="s">
        <v>113</v>
      </c>
      <c r="I116" s="36" t="s">
        <v>111</v>
      </c>
      <c r="J116" s="36" t="s">
        <v>27</v>
      </c>
      <c r="K116" s="36" t="s">
        <v>112</v>
      </c>
      <c r="L116" s="36">
        <v>1</v>
      </c>
      <c r="N116" s="36">
        <v>1</v>
      </c>
      <c r="O116" s="36">
        <v>1</v>
      </c>
      <c r="P116" s="36">
        <v>1.2</v>
      </c>
      <c r="Q116" s="115">
        <f t="shared" si="7"/>
        <v>1.1000000000000001</v>
      </c>
      <c r="R116" s="36">
        <v>14.2</v>
      </c>
      <c r="S116" s="36">
        <v>132</v>
      </c>
      <c r="T116" s="108">
        <f t="shared" si="6"/>
        <v>25</v>
      </c>
      <c r="U116" s="36">
        <v>88</v>
      </c>
      <c r="V116" s="108">
        <f t="shared" si="4"/>
        <v>2200</v>
      </c>
      <c r="W116" s="36">
        <v>3</v>
      </c>
      <c r="X116" s="36" t="s">
        <v>35</v>
      </c>
      <c r="Y116" s="36" t="s">
        <v>43</v>
      </c>
      <c r="Z116" s="36" t="s">
        <v>55</v>
      </c>
      <c r="AA116" s="36" t="s">
        <v>29</v>
      </c>
      <c r="AB116" s="36" t="s">
        <v>178</v>
      </c>
    </row>
    <row r="117" spans="1:28" s="36" customFormat="1" ht="13.5" customHeight="1" x14ac:dyDescent="0.15">
      <c r="A117" s="36" t="s">
        <v>30</v>
      </c>
      <c r="B117" s="36" t="s">
        <v>174</v>
      </c>
      <c r="C117" s="36">
        <v>2020</v>
      </c>
      <c r="D117" s="106" t="s">
        <v>370</v>
      </c>
      <c r="E117" s="36" t="s">
        <v>230</v>
      </c>
      <c r="F117" s="36" t="s">
        <v>238</v>
      </c>
      <c r="G117" s="36" t="s">
        <v>25</v>
      </c>
      <c r="H117" s="36" t="s">
        <v>113</v>
      </c>
      <c r="I117" s="36" t="s">
        <v>111</v>
      </c>
      <c r="J117" s="36" t="s">
        <v>27</v>
      </c>
      <c r="K117" s="36" t="s">
        <v>112</v>
      </c>
      <c r="L117" s="36">
        <v>2</v>
      </c>
      <c r="N117" s="36">
        <v>1</v>
      </c>
      <c r="O117" s="36">
        <v>0.9</v>
      </c>
      <c r="P117" s="36">
        <v>1</v>
      </c>
      <c r="Q117" s="115">
        <f t="shared" si="7"/>
        <v>0.95</v>
      </c>
      <c r="R117" s="36">
        <v>12.5</v>
      </c>
      <c r="S117" s="36">
        <v>132</v>
      </c>
      <c r="T117" s="108">
        <f t="shared" si="6"/>
        <v>25</v>
      </c>
      <c r="U117" s="36">
        <v>88</v>
      </c>
      <c r="V117" s="108">
        <f t="shared" si="4"/>
        <v>2200</v>
      </c>
      <c r="W117" s="36">
        <v>3</v>
      </c>
      <c r="X117" s="36" t="s">
        <v>35</v>
      </c>
      <c r="Y117" s="36" t="s">
        <v>43</v>
      </c>
      <c r="Z117" s="36" t="s">
        <v>55</v>
      </c>
      <c r="AA117" s="36" t="s">
        <v>29</v>
      </c>
      <c r="AB117" s="36" t="s">
        <v>178</v>
      </c>
    </row>
    <row r="118" spans="1:28" s="36" customFormat="1" ht="13.5" customHeight="1" x14ac:dyDescent="0.15">
      <c r="A118" s="36" t="s">
        <v>30</v>
      </c>
      <c r="B118" s="36" t="s">
        <v>174</v>
      </c>
      <c r="C118" s="36">
        <v>2020</v>
      </c>
      <c r="D118" s="106" t="s">
        <v>370</v>
      </c>
      <c r="E118" s="36" t="s">
        <v>230</v>
      </c>
      <c r="F118" s="36" t="s">
        <v>238</v>
      </c>
      <c r="G118" s="36" t="s">
        <v>25</v>
      </c>
      <c r="H118" s="36" t="s">
        <v>113</v>
      </c>
      <c r="I118" s="36" t="s">
        <v>111</v>
      </c>
      <c r="J118" s="36" t="s">
        <v>27</v>
      </c>
      <c r="K118" s="36" t="s">
        <v>112</v>
      </c>
      <c r="L118" s="36">
        <v>3</v>
      </c>
      <c r="N118" s="36">
        <v>1</v>
      </c>
      <c r="O118" s="36">
        <v>0.85</v>
      </c>
      <c r="P118" s="36">
        <v>0.7</v>
      </c>
      <c r="Q118" s="115">
        <f t="shared" si="7"/>
        <v>0.77499999999999991</v>
      </c>
      <c r="R118" s="36">
        <v>13.5</v>
      </c>
      <c r="S118" s="36">
        <v>130</v>
      </c>
      <c r="T118" s="108">
        <f t="shared" si="6"/>
        <v>25</v>
      </c>
      <c r="U118" s="36">
        <v>88</v>
      </c>
      <c r="V118" s="108">
        <f t="shared" si="4"/>
        <v>2200</v>
      </c>
      <c r="W118" s="36">
        <v>3</v>
      </c>
      <c r="X118" s="36" t="s">
        <v>35</v>
      </c>
      <c r="Y118" s="36" t="s">
        <v>43</v>
      </c>
      <c r="Z118" s="36" t="s">
        <v>55</v>
      </c>
      <c r="AA118" s="36" t="s">
        <v>29</v>
      </c>
      <c r="AB118" s="36" t="s">
        <v>178</v>
      </c>
    </row>
    <row r="119" spans="1:28" s="36" customFormat="1" ht="13.5" customHeight="1" x14ac:dyDescent="0.15">
      <c r="A119" s="36" t="s">
        <v>30</v>
      </c>
      <c r="B119" s="36" t="s">
        <v>174</v>
      </c>
      <c r="C119" s="36">
        <v>2020</v>
      </c>
      <c r="D119" s="106" t="s">
        <v>370</v>
      </c>
      <c r="E119" s="36" t="s">
        <v>230</v>
      </c>
      <c r="F119" s="36" t="s">
        <v>238</v>
      </c>
      <c r="G119" s="36" t="s">
        <v>25</v>
      </c>
      <c r="H119" s="36" t="s">
        <v>113</v>
      </c>
      <c r="I119" s="36" t="s">
        <v>111</v>
      </c>
      <c r="J119" s="36" t="s">
        <v>27</v>
      </c>
      <c r="K119" s="36" t="s">
        <v>112</v>
      </c>
      <c r="L119" s="36">
        <v>1</v>
      </c>
      <c r="N119" s="36">
        <v>5</v>
      </c>
      <c r="O119" s="36">
        <v>0.65</v>
      </c>
      <c r="P119" s="36">
        <v>0.5</v>
      </c>
      <c r="Q119" s="115">
        <f t="shared" si="7"/>
        <v>0.57499999999999996</v>
      </c>
      <c r="R119" s="36">
        <v>10.199999999999999</v>
      </c>
      <c r="S119" s="36">
        <v>115</v>
      </c>
      <c r="T119" s="108">
        <f t="shared" si="6"/>
        <v>30</v>
      </c>
      <c r="U119" s="36">
        <v>350</v>
      </c>
      <c r="V119" s="108">
        <f t="shared" si="4"/>
        <v>2100</v>
      </c>
      <c r="W119" s="36">
        <v>2</v>
      </c>
      <c r="X119" s="36" t="s">
        <v>35</v>
      </c>
      <c r="Y119" s="36" t="s">
        <v>43</v>
      </c>
      <c r="Z119" s="36" t="s">
        <v>55</v>
      </c>
      <c r="AA119" s="36" t="s">
        <v>29</v>
      </c>
      <c r="AB119" s="36" t="s">
        <v>178</v>
      </c>
    </row>
    <row r="120" spans="1:28" s="36" customFormat="1" ht="13.5" customHeight="1" x14ac:dyDescent="0.15">
      <c r="A120" s="36" t="s">
        <v>30</v>
      </c>
      <c r="B120" s="36" t="s">
        <v>174</v>
      </c>
      <c r="C120" s="36">
        <v>2020</v>
      </c>
      <c r="D120" s="106" t="s">
        <v>370</v>
      </c>
      <c r="E120" s="36" t="s">
        <v>230</v>
      </c>
      <c r="F120" s="36" t="s">
        <v>238</v>
      </c>
      <c r="G120" s="36" t="s">
        <v>25</v>
      </c>
      <c r="H120" s="36" t="s">
        <v>113</v>
      </c>
      <c r="I120" s="36" t="s">
        <v>111</v>
      </c>
      <c r="J120" s="36" t="s">
        <v>27</v>
      </c>
      <c r="K120" s="36" t="s">
        <v>112</v>
      </c>
      <c r="L120" s="36">
        <v>2</v>
      </c>
      <c r="N120" s="36">
        <v>5</v>
      </c>
      <c r="O120" s="36">
        <v>0.5</v>
      </c>
      <c r="P120" s="36">
        <v>0.45</v>
      </c>
      <c r="Q120" s="115">
        <f t="shared" si="7"/>
        <v>0.47499999999999998</v>
      </c>
      <c r="R120" s="36">
        <v>14.7</v>
      </c>
      <c r="S120" s="36">
        <v>117</v>
      </c>
      <c r="T120" s="108">
        <f t="shared" si="6"/>
        <v>30</v>
      </c>
      <c r="U120" s="36">
        <v>350</v>
      </c>
      <c r="V120" s="115">
        <f t="shared" si="4"/>
        <v>2100</v>
      </c>
      <c r="W120" s="36">
        <v>2</v>
      </c>
      <c r="X120" s="36" t="s">
        <v>35</v>
      </c>
      <c r="Y120" s="36" t="s">
        <v>43</v>
      </c>
      <c r="Z120" s="36" t="s">
        <v>55</v>
      </c>
      <c r="AA120" s="36" t="s">
        <v>29</v>
      </c>
      <c r="AB120" s="36" t="s">
        <v>178</v>
      </c>
    </row>
    <row r="121" spans="1:28" s="36" customFormat="1" ht="13.5" customHeight="1" x14ac:dyDescent="0.15">
      <c r="A121" s="36" t="s">
        <v>30</v>
      </c>
      <c r="B121" s="36" t="s">
        <v>174</v>
      </c>
      <c r="C121" s="36">
        <v>2020</v>
      </c>
      <c r="D121" s="106" t="s">
        <v>370</v>
      </c>
      <c r="E121" s="36" t="s">
        <v>230</v>
      </c>
      <c r="F121" s="36" t="s">
        <v>238</v>
      </c>
      <c r="G121" s="36" t="s">
        <v>25</v>
      </c>
      <c r="H121" s="36" t="s">
        <v>113</v>
      </c>
      <c r="I121" s="36" t="s">
        <v>111</v>
      </c>
      <c r="J121" s="36" t="s">
        <v>27</v>
      </c>
      <c r="K121" s="36" t="s">
        <v>112</v>
      </c>
      <c r="L121" s="36">
        <v>3</v>
      </c>
      <c r="N121" s="36">
        <v>5</v>
      </c>
      <c r="O121" s="36">
        <v>0.4</v>
      </c>
      <c r="P121" s="36">
        <v>0.5</v>
      </c>
      <c r="Q121" s="115">
        <f t="shared" si="7"/>
        <v>0.45</v>
      </c>
      <c r="R121" s="36">
        <v>14.5</v>
      </c>
      <c r="S121" s="36">
        <v>118</v>
      </c>
      <c r="T121" s="108">
        <f t="shared" si="6"/>
        <v>30</v>
      </c>
      <c r="U121" s="36">
        <v>350</v>
      </c>
      <c r="V121" s="115">
        <f t="shared" si="4"/>
        <v>2100</v>
      </c>
      <c r="W121" s="36">
        <v>2</v>
      </c>
      <c r="X121" s="36" t="s">
        <v>35</v>
      </c>
      <c r="Y121" s="36" t="s">
        <v>43</v>
      </c>
      <c r="Z121" s="36" t="s">
        <v>55</v>
      </c>
      <c r="AA121" s="36" t="s">
        <v>29</v>
      </c>
      <c r="AB121" s="36" t="s">
        <v>178</v>
      </c>
    </row>
    <row r="122" spans="1:28" s="36" customFormat="1" ht="13.5" customHeight="1" x14ac:dyDescent="0.15">
      <c r="A122" s="36" t="s">
        <v>30</v>
      </c>
      <c r="B122" s="36" t="s">
        <v>174</v>
      </c>
      <c r="C122" s="36">
        <v>2020</v>
      </c>
      <c r="D122" s="106" t="s">
        <v>370</v>
      </c>
      <c r="E122" s="36" t="s">
        <v>233</v>
      </c>
      <c r="F122" s="36" t="s">
        <v>234</v>
      </c>
      <c r="G122" s="36" t="s">
        <v>25</v>
      </c>
      <c r="H122" s="36" t="s">
        <v>164</v>
      </c>
      <c r="I122" s="36" t="s">
        <v>111</v>
      </c>
      <c r="J122" s="36" t="s">
        <v>27</v>
      </c>
      <c r="K122" s="36" t="s">
        <v>112</v>
      </c>
      <c r="L122" s="36">
        <v>1</v>
      </c>
      <c r="N122" s="36">
        <v>1</v>
      </c>
      <c r="O122" s="36">
        <v>0.35</v>
      </c>
      <c r="P122" s="36">
        <v>0.35</v>
      </c>
      <c r="Q122" s="115">
        <f t="shared" si="7"/>
        <v>0.35</v>
      </c>
      <c r="R122" s="36">
        <v>16.5</v>
      </c>
      <c r="S122" s="36">
        <v>120</v>
      </c>
      <c r="T122" s="115">
        <f t="shared" si="6"/>
        <v>30</v>
      </c>
      <c r="U122" s="36">
        <v>95</v>
      </c>
      <c r="V122" s="115">
        <f t="shared" si="4"/>
        <v>2850</v>
      </c>
      <c r="W122" s="36">
        <v>4</v>
      </c>
      <c r="X122" s="36" t="s">
        <v>35</v>
      </c>
      <c r="Y122" s="36" t="s">
        <v>43</v>
      </c>
      <c r="Z122" s="36" t="s">
        <v>55</v>
      </c>
      <c r="AA122" s="36" t="s">
        <v>36</v>
      </c>
      <c r="AB122" s="36" t="s">
        <v>178</v>
      </c>
    </row>
    <row r="123" spans="1:28" s="36" customFormat="1" ht="13.5" customHeight="1" x14ac:dyDescent="0.15">
      <c r="A123" s="36" t="s">
        <v>30</v>
      </c>
      <c r="B123" s="36" t="s">
        <v>174</v>
      </c>
      <c r="C123" s="36">
        <v>2020</v>
      </c>
      <c r="D123" s="106" t="s">
        <v>370</v>
      </c>
      <c r="E123" s="36" t="s">
        <v>233</v>
      </c>
      <c r="F123" s="36" t="s">
        <v>234</v>
      </c>
      <c r="G123" s="36" t="s">
        <v>25</v>
      </c>
      <c r="H123" s="36" t="s">
        <v>164</v>
      </c>
      <c r="I123" s="36" t="s">
        <v>111</v>
      </c>
      <c r="J123" s="36" t="s">
        <v>27</v>
      </c>
      <c r="K123" s="36" t="s">
        <v>112</v>
      </c>
      <c r="L123" s="36">
        <v>2</v>
      </c>
      <c r="N123" s="36">
        <v>1</v>
      </c>
      <c r="O123" s="36">
        <v>0.5</v>
      </c>
      <c r="P123" s="36">
        <v>0.45</v>
      </c>
      <c r="Q123" s="115">
        <f t="shared" si="7"/>
        <v>0.47499999999999998</v>
      </c>
      <c r="R123" s="36">
        <v>14.7</v>
      </c>
      <c r="S123" s="36">
        <v>122</v>
      </c>
      <c r="T123" s="115">
        <f t="shared" si="6"/>
        <v>27</v>
      </c>
      <c r="U123" s="36">
        <v>95</v>
      </c>
      <c r="V123" s="115">
        <f t="shared" si="4"/>
        <v>2565</v>
      </c>
      <c r="W123" s="36">
        <v>4</v>
      </c>
      <c r="X123" s="36" t="s">
        <v>35</v>
      </c>
      <c r="Y123" s="36" t="s">
        <v>43</v>
      </c>
      <c r="Z123" s="36" t="s">
        <v>55</v>
      </c>
      <c r="AA123" s="36" t="s">
        <v>36</v>
      </c>
      <c r="AB123" s="36" t="s">
        <v>178</v>
      </c>
    </row>
    <row r="124" spans="1:28" s="36" customFormat="1" ht="13.5" customHeight="1" x14ac:dyDescent="0.15">
      <c r="A124" s="36" t="s">
        <v>30</v>
      </c>
      <c r="B124" s="36" t="s">
        <v>174</v>
      </c>
      <c r="C124" s="36">
        <v>2020</v>
      </c>
      <c r="D124" s="106" t="s">
        <v>370</v>
      </c>
      <c r="E124" s="36" t="s">
        <v>233</v>
      </c>
      <c r="F124" s="36" t="s">
        <v>234</v>
      </c>
      <c r="G124" s="36" t="s">
        <v>25</v>
      </c>
      <c r="H124" s="36" t="s">
        <v>164</v>
      </c>
      <c r="I124" s="36" t="s">
        <v>111</v>
      </c>
      <c r="J124" s="36" t="s">
        <v>27</v>
      </c>
      <c r="K124" s="36" t="s">
        <v>112</v>
      </c>
      <c r="L124" s="36">
        <v>3</v>
      </c>
      <c r="N124" s="36">
        <v>1</v>
      </c>
      <c r="O124" s="36">
        <v>0.3</v>
      </c>
      <c r="P124" s="36">
        <v>0.25</v>
      </c>
      <c r="Q124" s="115">
        <f t="shared" si="7"/>
        <v>0.27500000000000002</v>
      </c>
      <c r="R124" s="36">
        <v>13.8</v>
      </c>
      <c r="S124" s="36">
        <v>124</v>
      </c>
      <c r="T124" s="115">
        <f t="shared" si="6"/>
        <v>27</v>
      </c>
      <c r="U124" s="36">
        <v>95</v>
      </c>
      <c r="V124" s="115">
        <f t="shared" si="4"/>
        <v>2565</v>
      </c>
      <c r="W124" s="36">
        <v>4</v>
      </c>
      <c r="X124" s="36" t="s">
        <v>35</v>
      </c>
      <c r="Y124" s="36" t="s">
        <v>43</v>
      </c>
      <c r="Z124" s="36" t="s">
        <v>55</v>
      </c>
      <c r="AA124" s="36" t="s">
        <v>36</v>
      </c>
      <c r="AB124" s="36" t="s">
        <v>178</v>
      </c>
    </row>
    <row r="125" spans="1:28" s="36" customFormat="1" ht="13.5" customHeight="1" x14ac:dyDescent="0.15">
      <c r="A125" s="36" t="s">
        <v>30</v>
      </c>
      <c r="B125" s="36" t="s">
        <v>174</v>
      </c>
      <c r="C125" s="36">
        <v>2020</v>
      </c>
      <c r="D125" s="106" t="s">
        <v>370</v>
      </c>
      <c r="E125" s="36" t="s">
        <v>233</v>
      </c>
      <c r="F125" s="36" t="s">
        <v>234</v>
      </c>
      <c r="G125" s="36" t="s">
        <v>25</v>
      </c>
      <c r="H125" s="36" t="s">
        <v>164</v>
      </c>
      <c r="I125" s="36" t="s">
        <v>111</v>
      </c>
      <c r="J125" s="36" t="s">
        <v>27</v>
      </c>
      <c r="K125" s="36" t="s">
        <v>112</v>
      </c>
      <c r="L125" s="36">
        <v>1</v>
      </c>
      <c r="N125" s="36">
        <v>4</v>
      </c>
      <c r="O125" s="36">
        <v>0.45</v>
      </c>
      <c r="P125" s="36">
        <v>0.4</v>
      </c>
      <c r="Q125" s="134">
        <f t="shared" si="7"/>
        <v>0.42500000000000004</v>
      </c>
      <c r="R125" s="36">
        <v>14.1</v>
      </c>
      <c r="S125" s="36">
        <v>123</v>
      </c>
      <c r="T125" s="115">
        <f t="shared" si="6"/>
        <v>27</v>
      </c>
      <c r="U125" s="36">
        <v>387</v>
      </c>
      <c r="V125" s="115">
        <f t="shared" si="4"/>
        <v>2612.25</v>
      </c>
      <c r="W125" s="36">
        <v>2</v>
      </c>
      <c r="X125" s="36" t="s">
        <v>35</v>
      </c>
      <c r="Y125" s="36" t="s">
        <v>43</v>
      </c>
      <c r="Z125" s="36" t="s">
        <v>55</v>
      </c>
      <c r="AA125" s="36" t="s">
        <v>36</v>
      </c>
      <c r="AB125" s="36" t="s">
        <v>178</v>
      </c>
    </row>
    <row r="126" spans="1:28" s="36" customFormat="1" ht="13.5" customHeight="1" x14ac:dyDescent="0.15">
      <c r="A126" s="36" t="s">
        <v>30</v>
      </c>
      <c r="B126" s="36" t="s">
        <v>174</v>
      </c>
      <c r="C126" s="36">
        <v>2020</v>
      </c>
      <c r="D126" s="106" t="s">
        <v>370</v>
      </c>
      <c r="E126" s="36" t="s">
        <v>233</v>
      </c>
      <c r="F126" s="36" t="s">
        <v>234</v>
      </c>
      <c r="G126" s="36" t="s">
        <v>25</v>
      </c>
      <c r="H126" s="36" t="s">
        <v>164</v>
      </c>
      <c r="I126" s="36" t="s">
        <v>111</v>
      </c>
      <c r="J126" s="36" t="s">
        <v>27</v>
      </c>
      <c r="K126" s="36" t="s">
        <v>112</v>
      </c>
      <c r="L126" s="36">
        <v>2</v>
      </c>
      <c r="N126" s="36">
        <v>4</v>
      </c>
      <c r="O126" s="36">
        <v>0.8</v>
      </c>
      <c r="P126" s="36">
        <v>0.65</v>
      </c>
      <c r="Q126" s="134">
        <f t="shared" si="7"/>
        <v>0.72500000000000009</v>
      </c>
      <c r="R126" s="36">
        <v>14</v>
      </c>
      <c r="S126" s="36">
        <v>122</v>
      </c>
      <c r="T126" s="115">
        <f t="shared" si="6"/>
        <v>27</v>
      </c>
      <c r="U126" s="36">
        <v>387</v>
      </c>
      <c r="V126" s="115">
        <f t="shared" si="4"/>
        <v>2612.25</v>
      </c>
      <c r="W126" s="36">
        <v>2</v>
      </c>
      <c r="X126" s="36" t="s">
        <v>35</v>
      </c>
      <c r="Y126" s="36" t="s">
        <v>43</v>
      </c>
      <c r="Z126" s="36" t="s">
        <v>55</v>
      </c>
      <c r="AA126" s="36" t="s">
        <v>36</v>
      </c>
      <c r="AB126" s="36" t="s">
        <v>178</v>
      </c>
    </row>
    <row r="127" spans="1:28" s="36" customFormat="1" ht="13.5" customHeight="1" x14ac:dyDescent="0.15">
      <c r="A127" s="36" t="s">
        <v>30</v>
      </c>
      <c r="B127" s="36" t="s">
        <v>174</v>
      </c>
      <c r="C127" s="36">
        <v>2020</v>
      </c>
      <c r="D127" s="106" t="s">
        <v>370</v>
      </c>
      <c r="E127" s="36" t="s">
        <v>233</v>
      </c>
      <c r="F127" s="36" t="s">
        <v>234</v>
      </c>
      <c r="G127" s="36" t="s">
        <v>25</v>
      </c>
      <c r="H127" s="36" t="s">
        <v>164</v>
      </c>
      <c r="I127" s="36" t="s">
        <v>111</v>
      </c>
      <c r="J127" s="36" t="s">
        <v>27</v>
      </c>
      <c r="K127" s="36" t="s">
        <v>112</v>
      </c>
      <c r="L127" s="36">
        <v>3</v>
      </c>
      <c r="N127" s="36">
        <v>4</v>
      </c>
      <c r="O127" s="36">
        <v>0.65</v>
      </c>
      <c r="P127" s="36">
        <v>0.5</v>
      </c>
      <c r="Q127" s="134">
        <f t="shared" si="7"/>
        <v>0.57499999999999996</v>
      </c>
      <c r="R127" s="36">
        <v>15.2</v>
      </c>
      <c r="S127" s="36">
        <v>124</v>
      </c>
      <c r="T127" s="115">
        <f t="shared" si="6"/>
        <v>27</v>
      </c>
      <c r="U127" s="36">
        <v>387</v>
      </c>
      <c r="V127" s="115">
        <f t="shared" si="4"/>
        <v>2612.25</v>
      </c>
      <c r="W127" s="36">
        <v>2</v>
      </c>
      <c r="X127" s="36" t="s">
        <v>35</v>
      </c>
      <c r="Y127" s="36" t="s">
        <v>43</v>
      </c>
      <c r="Z127" s="36" t="s">
        <v>55</v>
      </c>
      <c r="AA127" s="36" t="s">
        <v>36</v>
      </c>
      <c r="AB127" s="36" t="s">
        <v>178</v>
      </c>
    </row>
    <row r="128" spans="1:28" s="36" customFormat="1" ht="13.5" customHeight="1" x14ac:dyDescent="0.15">
      <c r="A128" s="36" t="s">
        <v>30</v>
      </c>
      <c r="B128" s="36" t="s">
        <v>174</v>
      </c>
      <c r="C128" s="36">
        <v>2020</v>
      </c>
      <c r="D128" s="106" t="s">
        <v>370</v>
      </c>
      <c r="E128" s="36" t="s">
        <v>233</v>
      </c>
      <c r="F128" s="36" t="s">
        <v>234</v>
      </c>
      <c r="G128" s="36" t="s">
        <v>25</v>
      </c>
      <c r="H128" s="36" t="s">
        <v>164</v>
      </c>
      <c r="I128" s="36" t="s">
        <v>111</v>
      </c>
      <c r="J128" s="36" t="s">
        <v>27</v>
      </c>
      <c r="K128" s="36" t="s">
        <v>112</v>
      </c>
      <c r="L128" s="36">
        <v>1</v>
      </c>
      <c r="N128" s="36">
        <v>8</v>
      </c>
      <c r="O128" s="36">
        <v>0.9</v>
      </c>
      <c r="P128" s="36">
        <v>1</v>
      </c>
      <c r="Q128" s="134">
        <f t="shared" si="7"/>
        <v>0.95</v>
      </c>
      <c r="R128" s="36">
        <v>15.9</v>
      </c>
      <c r="S128" s="36">
        <v>105</v>
      </c>
      <c r="T128" s="115">
        <f t="shared" si="6"/>
        <v>33</v>
      </c>
      <c r="U128" s="36">
        <v>779</v>
      </c>
      <c r="V128" s="115">
        <f t="shared" si="4"/>
        <v>3213.375</v>
      </c>
      <c r="W128" s="36">
        <v>2</v>
      </c>
      <c r="X128" s="36" t="s">
        <v>35</v>
      </c>
      <c r="Y128" s="36" t="s">
        <v>43</v>
      </c>
      <c r="Z128" s="36" t="s">
        <v>55</v>
      </c>
      <c r="AA128" s="36" t="s">
        <v>36</v>
      </c>
      <c r="AB128" s="36" t="s">
        <v>178</v>
      </c>
    </row>
    <row r="129" spans="1:28" s="36" customFormat="1" ht="13.5" customHeight="1" x14ac:dyDescent="0.15">
      <c r="A129" s="36" t="s">
        <v>30</v>
      </c>
      <c r="B129" s="36" t="s">
        <v>174</v>
      </c>
      <c r="C129" s="36">
        <v>2020</v>
      </c>
      <c r="D129" s="106" t="s">
        <v>370</v>
      </c>
      <c r="E129" s="36" t="s">
        <v>233</v>
      </c>
      <c r="F129" s="36" t="s">
        <v>234</v>
      </c>
      <c r="G129" s="36" t="s">
        <v>25</v>
      </c>
      <c r="H129" s="36" t="s">
        <v>164</v>
      </c>
      <c r="I129" s="36" t="s">
        <v>111</v>
      </c>
      <c r="J129" s="36" t="s">
        <v>27</v>
      </c>
      <c r="K129" s="36" t="s">
        <v>112</v>
      </c>
      <c r="L129" s="36">
        <v>2</v>
      </c>
      <c r="N129" s="36">
        <v>8</v>
      </c>
      <c r="O129" s="36">
        <v>0.8</v>
      </c>
      <c r="P129" s="36">
        <v>0.95</v>
      </c>
      <c r="Q129" s="134">
        <f t="shared" si="7"/>
        <v>0.875</v>
      </c>
      <c r="R129" s="36">
        <v>16.2</v>
      </c>
      <c r="S129" s="36">
        <v>110</v>
      </c>
      <c r="T129" s="115">
        <f t="shared" si="6"/>
        <v>33</v>
      </c>
      <c r="U129" s="36">
        <v>779</v>
      </c>
      <c r="V129" s="115">
        <f t="shared" si="4"/>
        <v>3213.375</v>
      </c>
      <c r="W129" s="36">
        <v>2</v>
      </c>
      <c r="X129" s="36" t="s">
        <v>35</v>
      </c>
      <c r="Y129" s="36" t="s">
        <v>43</v>
      </c>
      <c r="Z129" s="36" t="s">
        <v>55</v>
      </c>
      <c r="AA129" s="36" t="s">
        <v>36</v>
      </c>
      <c r="AB129" s="36" t="s">
        <v>178</v>
      </c>
    </row>
    <row r="130" spans="1:28" s="36" customFormat="1" ht="13.5" customHeight="1" x14ac:dyDescent="0.15">
      <c r="A130" s="36" t="s">
        <v>30</v>
      </c>
      <c r="B130" s="36" t="s">
        <v>174</v>
      </c>
      <c r="C130" s="36">
        <v>2020</v>
      </c>
      <c r="D130" s="106" t="s">
        <v>370</v>
      </c>
      <c r="E130" s="36" t="s">
        <v>233</v>
      </c>
      <c r="F130" s="36" t="s">
        <v>234</v>
      </c>
      <c r="G130" s="36" t="s">
        <v>25</v>
      </c>
      <c r="H130" s="36" t="s">
        <v>164</v>
      </c>
      <c r="I130" s="36" t="s">
        <v>111</v>
      </c>
      <c r="J130" s="36" t="s">
        <v>27</v>
      </c>
      <c r="K130" s="36" t="s">
        <v>112</v>
      </c>
      <c r="L130" s="36">
        <v>3</v>
      </c>
      <c r="N130" s="36">
        <v>8</v>
      </c>
      <c r="O130" s="36">
        <v>0.9</v>
      </c>
      <c r="P130" s="36">
        <v>0.95</v>
      </c>
      <c r="Q130" s="134">
        <f t="shared" si="7"/>
        <v>0.92500000000000004</v>
      </c>
      <c r="R130" s="36">
        <v>12.7</v>
      </c>
      <c r="S130" s="36">
        <v>107</v>
      </c>
      <c r="T130" s="115">
        <f t="shared" si="6"/>
        <v>33</v>
      </c>
      <c r="U130" s="36">
        <v>779</v>
      </c>
      <c r="V130" s="115">
        <f t="shared" ref="V130:V151" si="8">IF(OR(N130="",U130="",T130=""),"",U130/N130*T130)</f>
        <v>3213.375</v>
      </c>
      <c r="W130" s="36">
        <v>2</v>
      </c>
      <c r="X130" s="36" t="s">
        <v>35</v>
      </c>
      <c r="Y130" s="36" t="s">
        <v>43</v>
      </c>
      <c r="Z130" s="36" t="s">
        <v>55</v>
      </c>
      <c r="AA130" s="36" t="s">
        <v>36</v>
      </c>
      <c r="AB130" s="36" t="s">
        <v>178</v>
      </c>
    </row>
    <row r="131" spans="1:28" s="36" customFormat="1" ht="13.5" customHeight="1" x14ac:dyDescent="0.15">
      <c r="A131" s="36" t="s">
        <v>30</v>
      </c>
      <c r="B131" s="36" t="s">
        <v>174</v>
      </c>
      <c r="C131" s="36">
        <v>2020</v>
      </c>
      <c r="D131" s="106" t="s">
        <v>370</v>
      </c>
      <c r="E131" s="36" t="s">
        <v>233</v>
      </c>
      <c r="F131" s="36" t="s">
        <v>234</v>
      </c>
      <c r="G131" s="36" t="s">
        <v>25</v>
      </c>
      <c r="H131" s="36" t="s">
        <v>113</v>
      </c>
      <c r="I131" s="36" t="s">
        <v>111</v>
      </c>
      <c r="J131" s="36" t="s">
        <v>27</v>
      </c>
      <c r="K131" s="36" t="s">
        <v>112</v>
      </c>
      <c r="L131" s="36">
        <v>1</v>
      </c>
      <c r="N131" s="36">
        <v>1</v>
      </c>
      <c r="O131" s="36">
        <v>0.65</v>
      </c>
      <c r="P131" s="36">
        <v>0.55000000000000004</v>
      </c>
      <c r="Q131" s="134">
        <f t="shared" si="7"/>
        <v>0.60000000000000009</v>
      </c>
      <c r="R131" s="36">
        <v>15.2</v>
      </c>
      <c r="S131" s="36">
        <v>123</v>
      </c>
      <c r="T131" s="115">
        <f t="shared" si="6"/>
        <v>27</v>
      </c>
      <c r="U131" s="36">
        <v>95</v>
      </c>
      <c r="V131" s="115">
        <f t="shared" si="8"/>
        <v>2565</v>
      </c>
      <c r="W131" s="36">
        <v>4</v>
      </c>
      <c r="X131" s="36" t="s">
        <v>35</v>
      </c>
      <c r="Y131" s="36" t="s">
        <v>43</v>
      </c>
      <c r="Z131" s="36" t="s">
        <v>55</v>
      </c>
      <c r="AA131" s="36" t="s">
        <v>36</v>
      </c>
      <c r="AB131" s="36" t="s">
        <v>178</v>
      </c>
    </row>
    <row r="132" spans="1:28" s="36" customFormat="1" ht="13.5" customHeight="1" x14ac:dyDescent="0.15">
      <c r="A132" s="36" t="s">
        <v>30</v>
      </c>
      <c r="B132" s="36" t="s">
        <v>174</v>
      </c>
      <c r="C132" s="36">
        <v>2020</v>
      </c>
      <c r="D132" s="106" t="s">
        <v>370</v>
      </c>
      <c r="E132" s="36" t="s">
        <v>233</v>
      </c>
      <c r="F132" s="36" t="s">
        <v>234</v>
      </c>
      <c r="G132" s="36" t="s">
        <v>25</v>
      </c>
      <c r="H132" s="36" t="s">
        <v>113</v>
      </c>
      <c r="I132" s="36" t="s">
        <v>111</v>
      </c>
      <c r="J132" s="36" t="s">
        <v>27</v>
      </c>
      <c r="K132" s="36" t="s">
        <v>112</v>
      </c>
      <c r="L132" s="36">
        <v>2</v>
      </c>
      <c r="N132" s="36">
        <v>1</v>
      </c>
      <c r="O132" s="36">
        <v>0.5</v>
      </c>
      <c r="P132" s="36">
        <v>0.45</v>
      </c>
      <c r="Q132" s="134">
        <f t="shared" si="7"/>
        <v>0.47499999999999998</v>
      </c>
      <c r="R132" s="36">
        <v>14.7</v>
      </c>
      <c r="S132" s="36">
        <v>124</v>
      </c>
      <c r="T132" s="115">
        <f t="shared" si="6"/>
        <v>27</v>
      </c>
      <c r="U132" s="36">
        <v>95</v>
      </c>
      <c r="V132" s="115">
        <f t="shared" si="8"/>
        <v>2565</v>
      </c>
      <c r="W132" s="36">
        <v>4</v>
      </c>
      <c r="X132" s="36" t="s">
        <v>35</v>
      </c>
      <c r="Y132" s="36" t="s">
        <v>43</v>
      </c>
      <c r="Z132" s="36" t="s">
        <v>55</v>
      </c>
      <c r="AA132" s="36" t="s">
        <v>36</v>
      </c>
      <c r="AB132" s="36" t="s">
        <v>178</v>
      </c>
    </row>
    <row r="133" spans="1:28" s="36" customFormat="1" ht="13.5" customHeight="1" x14ac:dyDescent="0.15">
      <c r="A133" s="36" t="s">
        <v>30</v>
      </c>
      <c r="B133" s="36" t="s">
        <v>174</v>
      </c>
      <c r="C133" s="36">
        <v>2020</v>
      </c>
      <c r="D133" s="106" t="s">
        <v>370</v>
      </c>
      <c r="E133" s="36" t="s">
        <v>233</v>
      </c>
      <c r="F133" s="36" t="s">
        <v>234</v>
      </c>
      <c r="G133" s="36" t="s">
        <v>25</v>
      </c>
      <c r="H133" s="36" t="s">
        <v>113</v>
      </c>
      <c r="I133" s="36" t="s">
        <v>111</v>
      </c>
      <c r="J133" s="36" t="s">
        <v>27</v>
      </c>
      <c r="K133" s="36" t="s">
        <v>112</v>
      </c>
      <c r="L133" s="36">
        <v>3</v>
      </c>
      <c r="N133" s="36">
        <v>1</v>
      </c>
      <c r="O133" s="36">
        <v>0.7</v>
      </c>
      <c r="P133" s="36">
        <v>0.85</v>
      </c>
      <c r="Q133" s="134">
        <f t="shared" si="7"/>
        <v>0.77499999999999991</v>
      </c>
      <c r="R133" s="36">
        <v>14.8</v>
      </c>
      <c r="S133" s="36">
        <v>122</v>
      </c>
      <c r="T133" s="115">
        <f t="shared" si="6"/>
        <v>27</v>
      </c>
      <c r="U133" s="36">
        <v>95</v>
      </c>
      <c r="V133" s="115">
        <f t="shared" si="8"/>
        <v>2565</v>
      </c>
      <c r="W133" s="36">
        <v>4</v>
      </c>
      <c r="X133" s="36" t="s">
        <v>35</v>
      </c>
      <c r="Y133" s="36" t="s">
        <v>43</v>
      </c>
      <c r="Z133" s="36" t="s">
        <v>55</v>
      </c>
      <c r="AA133" s="36" t="s">
        <v>36</v>
      </c>
      <c r="AB133" s="36" t="s">
        <v>178</v>
      </c>
    </row>
    <row r="134" spans="1:28" s="36" customFormat="1" ht="13.5" customHeight="1" x14ac:dyDescent="0.15">
      <c r="A134" s="36" t="s">
        <v>30</v>
      </c>
      <c r="B134" s="36" t="s">
        <v>174</v>
      </c>
      <c r="C134" s="36">
        <v>2020</v>
      </c>
      <c r="D134" s="106" t="s">
        <v>370</v>
      </c>
      <c r="E134" s="36" t="s">
        <v>233</v>
      </c>
      <c r="F134" s="36" t="s">
        <v>234</v>
      </c>
      <c r="G134" s="36" t="s">
        <v>25</v>
      </c>
      <c r="H134" s="36" t="s">
        <v>113</v>
      </c>
      <c r="I134" s="36" t="s">
        <v>111</v>
      </c>
      <c r="J134" s="36" t="s">
        <v>27</v>
      </c>
      <c r="K134" s="36" t="s">
        <v>112</v>
      </c>
      <c r="L134" s="36">
        <v>1</v>
      </c>
      <c r="N134" s="36">
        <v>4</v>
      </c>
      <c r="O134" s="36">
        <v>0.95</v>
      </c>
      <c r="P134" s="36">
        <v>1.1000000000000001</v>
      </c>
      <c r="Q134" s="134">
        <f t="shared" si="7"/>
        <v>1.0249999999999999</v>
      </c>
      <c r="R134" s="36">
        <v>13.5</v>
      </c>
      <c r="S134" s="36">
        <v>121</v>
      </c>
      <c r="T134" s="115">
        <f t="shared" si="6"/>
        <v>27</v>
      </c>
      <c r="U134" s="36">
        <v>387</v>
      </c>
      <c r="V134" s="115">
        <f t="shared" si="8"/>
        <v>2612.25</v>
      </c>
      <c r="W134" s="36">
        <v>3</v>
      </c>
      <c r="X134" s="36" t="s">
        <v>35</v>
      </c>
      <c r="Y134" s="36" t="s">
        <v>43</v>
      </c>
      <c r="Z134" s="36" t="s">
        <v>55</v>
      </c>
      <c r="AA134" s="36" t="s">
        <v>36</v>
      </c>
      <c r="AB134" s="36" t="s">
        <v>178</v>
      </c>
    </row>
    <row r="135" spans="1:28" s="36" customFormat="1" ht="13.5" customHeight="1" x14ac:dyDescent="0.15">
      <c r="A135" s="36" t="s">
        <v>30</v>
      </c>
      <c r="B135" s="36" t="s">
        <v>174</v>
      </c>
      <c r="C135" s="36">
        <v>2020</v>
      </c>
      <c r="D135" s="106" t="s">
        <v>370</v>
      </c>
      <c r="E135" s="36" t="s">
        <v>233</v>
      </c>
      <c r="F135" s="36" t="s">
        <v>234</v>
      </c>
      <c r="G135" s="36" t="s">
        <v>25</v>
      </c>
      <c r="H135" s="36" t="s">
        <v>113</v>
      </c>
      <c r="I135" s="36" t="s">
        <v>111</v>
      </c>
      <c r="J135" s="36" t="s">
        <v>27</v>
      </c>
      <c r="K135" s="36" t="s">
        <v>112</v>
      </c>
      <c r="L135" s="36">
        <v>2</v>
      </c>
      <c r="N135" s="36">
        <v>4</v>
      </c>
      <c r="O135" s="36">
        <v>1</v>
      </c>
      <c r="P135" s="36">
        <v>1.1499999999999999</v>
      </c>
      <c r="Q135" s="134">
        <f t="shared" si="7"/>
        <v>1.075</v>
      </c>
      <c r="R135" s="36">
        <v>14.2</v>
      </c>
      <c r="S135" s="36">
        <v>118</v>
      </c>
      <c r="T135" s="115">
        <f t="shared" si="6"/>
        <v>30</v>
      </c>
      <c r="U135" s="36">
        <v>387</v>
      </c>
      <c r="V135" s="115">
        <f t="shared" si="8"/>
        <v>2902.5</v>
      </c>
      <c r="W135" s="36">
        <v>3</v>
      </c>
      <c r="X135" s="36" t="s">
        <v>35</v>
      </c>
      <c r="Y135" s="36" t="s">
        <v>43</v>
      </c>
      <c r="Z135" s="36" t="s">
        <v>55</v>
      </c>
      <c r="AA135" s="36" t="s">
        <v>36</v>
      </c>
      <c r="AB135" s="36" t="s">
        <v>178</v>
      </c>
    </row>
    <row r="136" spans="1:28" s="36" customFormat="1" ht="13.5" customHeight="1" x14ac:dyDescent="0.15">
      <c r="A136" s="36" t="s">
        <v>30</v>
      </c>
      <c r="B136" s="36" t="s">
        <v>174</v>
      </c>
      <c r="C136" s="36">
        <v>2020</v>
      </c>
      <c r="D136" s="106" t="s">
        <v>370</v>
      </c>
      <c r="E136" s="36" t="s">
        <v>233</v>
      </c>
      <c r="F136" s="36" t="s">
        <v>234</v>
      </c>
      <c r="G136" s="36" t="s">
        <v>25</v>
      </c>
      <c r="H136" s="36" t="s">
        <v>113</v>
      </c>
      <c r="I136" s="36" t="s">
        <v>111</v>
      </c>
      <c r="J136" s="36" t="s">
        <v>27</v>
      </c>
      <c r="K136" s="36" t="s">
        <v>112</v>
      </c>
      <c r="L136" s="36">
        <v>3</v>
      </c>
      <c r="N136" s="36">
        <v>4</v>
      </c>
      <c r="O136" s="36">
        <v>1.1499999999999999</v>
      </c>
      <c r="P136" s="36">
        <v>1.2</v>
      </c>
      <c r="Q136" s="134">
        <f t="shared" si="7"/>
        <v>1.1749999999999998</v>
      </c>
      <c r="R136" s="36">
        <v>12.4</v>
      </c>
      <c r="S136" s="36">
        <v>119</v>
      </c>
      <c r="T136" s="115">
        <f t="shared" si="6"/>
        <v>30</v>
      </c>
      <c r="U136" s="36">
        <v>387</v>
      </c>
      <c r="V136" s="115">
        <f t="shared" si="8"/>
        <v>2902.5</v>
      </c>
      <c r="W136" s="36">
        <v>3</v>
      </c>
      <c r="X136" s="36" t="s">
        <v>35</v>
      </c>
      <c r="Y136" s="36" t="s">
        <v>43</v>
      </c>
      <c r="Z136" s="36" t="s">
        <v>55</v>
      </c>
      <c r="AA136" s="36" t="s">
        <v>36</v>
      </c>
      <c r="AB136" s="36" t="s">
        <v>178</v>
      </c>
    </row>
    <row r="137" spans="1:28" s="36" customFormat="1" ht="13.5" customHeight="1" x14ac:dyDescent="0.15">
      <c r="A137" s="36" t="s">
        <v>30</v>
      </c>
      <c r="B137" s="36" t="s">
        <v>174</v>
      </c>
      <c r="C137" s="36">
        <v>2020</v>
      </c>
      <c r="D137" s="106" t="s">
        <v>370</v>
      </c>
      <c r="E137" s="36" t="s">
        <v>233</v>
      </c>
      <c r="F137" s="36" t="s">
        <v>234</v>
      </c>
      <c r="G137" s="36" t="s">
        <v>25</v>
      </c>
      <c r="H137" s="36" t="s">
        <v>113</v>
      </c>
      <c r="I137" s="36" t="s">
        <v>111</v>
      </c>
      <c r="J137" s="36" t="s">
        <v>27</v>
      </c>
      <c r="K137" s="36" t="s">
        <v>112</v>
      </c>
      <c r="L137" s="36">
        <v>1</v>
      </c>
      <c r="N137" s="36">
        <v>8</v>
      </c>
      <c r="O137" s="36">
        <v>0.9</v>
      </c>
      <c r="P137" s="36">
        <v>0.95</v>
      </c>
      <c r="Q137" s="134">
        <f t="shared" si="7"/>
        <v>0.92500000000000004</v>
      </c>
      <c r="R137" s="36">
        <v>13.2</v>
      </c>
      <c r="S137" s="36">
        <v>102</v>
      </c>
      <c r="T137" s="115">
        <f t="shared" si="6"/>
        <v>33</v>
      </c>
      <c r="U137" s="36">
        <v>497</v>
      </c>
      <c r="V137" s="115">
        <f t="shared" si="8"/>
        <v>2050.125</v>
      </c>
      <c r="W137" s="36">
        <v>3</v>
      </c>
      <c r="X137" s="36" t="s">
        <v>35</v>
      </c>
      <c r="Y137" s="36" t="s">
        <v>43</v>
      </c>
      <c r="Z137" s="36" t="s">
        <v>55</v>
      </c>
      <c r="AA137" s="36" t="s">
        <v>36</v>
      </c>
      <c r="AB137" s="36" t="s">
        <v>178</v>
      </c>
    </row>
    <row r="138" spans="1:28" s="36" customFormat="1" ht="13.5" customHeight="1" x14ac:dyDescent="0.15">
      <c r="A138" s="36" t="s">
        <v>30</v>
      </c>
      <c r="B138" s="36" t="s">
        <v>174</v>
      </c>
      <c r="C138" s="36">
        <v>2020</v>
      </c>
      <c r="D138" s="106" t="s">
        <v>370</v>
      </c>
      <c r="E138" s="36" t="s">
        <v>233</v>
      </c>
      <c r="F138" s="36" t="s">
        <v>234</v>
      </c>
      <c r="G138" s="36" t="s">
        <v>25</v>
      </c>
      <c r="H138" s="36" t="s">
        <v>113</v>
      </c>
      <c r="I138" s="36" t="s">
        <v>111</v>
      </c>
      <c r="J138" s="36" t="s">
        <v>27</v>
      </c>
      <c r="K138" s="36" t="s">
        <v>112</v>
      </c>
      <c r="L138" s="36">
        <v>2</v>
      </c>
      <c r="N138" s="36">
        <v>8</v>
      </c>
      <c r="O138" s="36">
        <v>0.8</v>
      </c>
      <c r="P138" s="36">
        <v>0.85</v>
      </c>
      <c r="Q138" s="134">
        <f t="shared" si="7"/>
        <v>0.82499999999999996</v>
      </c>
      <c r="R138" s="36">
        <v>13.1</v>
      </c>
      <c r="S138" s="36">
        <v>100</v>
      </c>
      <c r="T138" s="115">
        <f t="shared" si="6"/>
        <v>33</v>
      </c>
      <c r="U138" s="36">
        <v>497</v>
      </c>
      <c r="V138" s="115">
        <f t="shared" si="8"/>
        <v>2050.125</v>
      </c>
      <c r="W138" s="36">
        <v>3</v>
      </c>
      <c r="X138" s="36" t="s">
        <v>35</v>
      </c>
      <c r="Y138" s="36" t="s">
        <v>43</v>
      </c>
      <c r="Z138" s="36" t="s">
        <v>55</v>
      </c>
      <c r="AA138" s="36" t="s">
        <v>36</v>
      </c>
      <c r="AB138" s="36" t="s">
        <v>178</v>
      </c>
    </row>
    <row r="139" spans="1:28" s="36" customFormat="1" ht="13.5" customHeight="1" x14ac:dyDescent="0.15">
      <c r="A139" s="36" t="s">
        <v>30</v>
      </c>
      <c r="B139" s="36" t="s">
        <v>174</v>
      </c>
      <c r="C139" s="36">
        <v>2020</v>
      </c>
      <c r="D139" s="106" t="s">
        <v>370</v>
      </c>
      <c r="E139" s="36" t="s">
        <v>233</v>
      </c>
      <c r="F139" s="36" t="s">
        <v>234</v>
      </c>
      <c r="G139" s="36" t="s">
        <v>25</v>
      </c>
      <c r="H139" s="36" t="s">
        <v>113</v>
      </c>
      <c r="I139" s="36" t="s">
        <v>111</v>
      </c>
      <c r="J139" s="36" t="s">
        <v>27</v>
      </c>
      <c r="K139" s="36" t="s">
        <v>112</v>
      </c>
      <c r="L139" s="36">
        <v>3</v>
      </c>
      <c r="N139" s="36">
        <v>8</v>
      </c>
      <c r="O139" s="36">
        <v>0.65</v>
      </c>
      <c r="P139" s="36">
        <v>0.6</v>
      </c>
      <c r="Q139" s="134">
        <f t="shared" si="7"/>
        <v>0.625</v>
      </c>
      <c r="R139" s="36">
        <v>12.8</v>
      </c>
      <c r="S139" s="36">
        <v>103</v>
      </c>
      <c r="T139" s="115">
        <f t="shared" si="6"/>
        <v>33</v>
      </c>
      <c r="U139" s="36">
        <v>497</v>
      </c>
      <c r="V139" s="115">
        <f t="shared" si="8"/>
        <v>2050.125</v>
      </c>
      <c r="W139" s="36">
        <v>3</v>
      </c>
      <c r="X139" s="36" t="s">
        <v>35</v>
      </c>
      <c r="Y139" s="36" t="s">
        <v>43</v>
      </c>
      <c r="Z139" s="36" t="s">
        <v>55</v>
      </c>
      <c r="AA139" s="36" t="s">
        <v>36</v>
      </c>
      <c r="AB139" s="36" t="s">
        <v>178</v>
      </c>
    </row>
    <row r="140" spans="1:28" s="36" customFormat="1" ht="13.5" customHeight="1" x14ac:dyDescent="0.15">
      <c r="A140" s="36" t="s">
        <v>30</v>
      </c>
      <c r="B140" s="36" t="s">
        <v>174</v>
      </c>
      <c r="C140" s="36">
        <v>2020</v>
      </c>
      <c r="D140" s="106" t="s">
        <v>370</v>
      </c>
      <c r="E140" s="36" t="s">
        <v>240</v>
      </c>
      <c r="F140" s="36" t="s">
        <v>241</v>
      </c>
      <c r="G140" s="36" t="s">
        <v>25</v>
      </c>
      <c r="H140" s="36" t="s">
        <v>164</v>
      </c>
      <c r="I140" s="36" t="s">
        <v>111</v>
      </c>
      <c r="J140" s="36" t="s">
        <v>27</v>
      </c>
      <c r="K140" s="36" t="s">
        <v>112</v>
      </c>
      <c r="L140" s="36">
        <v>1</v>
      </c>
      <c r="N140" s="36">
        <v>1</v>
      </c>
      <c r="O140" s="36">
        <v>0.45</v>
      </c>
      <c r="P140" s="36">
        <v>0.35</v>
      </c>
      <c r="Q140" s="134">
        <f t="shared" si="7"/>
        <v>0.4</v>
      </c>
      <c r="R140" s="36">
        <v>16.8</v>
      </c>
      <c r="S140" s="36">
        <v>135</v>
      </c>
      <c r="T140" s="115">
        <f t="shared" si="6"/>
        <v>25</v>
      </c>
      <c r="U140" s="36">
        <v>127</v>
      </c>
      <c r="V140" s="115">
        <f t="shared" si="8"/>
        <v>3175</v>
      </c>
      <c r="W140" s="36">
        <v>8</v>
      </c>
      <c r="X140" s="36" t="s">
        <v>35</v>
      </c>
      <c r="Y140" s="36" t="s">
        <v>43</v>
      </c>
      <c r="Z140" s="36" t="s">
        <v>55</v>
      </c>
      <c r="AA140" s="36" t="s">
        <v>47</v>
      </c>
      <c r="AB140" s="36" t="s">
        <v>178</v>
      </c>
    </row>
    <row r="141" spans="1:28" s="36" customFormat="1" ht="13.5" customHeight="1" x14ac:dyDescent="0.15">
      <c r="A141" s="36" t="s">
        <v>30</v>
      </c>
      <c r="B141" s="36" t="s">
        <v>174</v>
      </c>
      <c r="C141" s="36">
        <v>2020</v>
      </c>
      <c r="D141" s="106" t="s">
        <v>370</v>
      </c>
      <c r="E141" s="36" t="s">
        <v>240</v>
      </c>
      <c r="F141" s="36" t="s">
        <v>241</v>
      </c>
      <c r="G141" s="36" t="s">
        <v>25</v>
      </c>
      <c r="H141" s="36" t="s">
        <v>164</v>
      </c>
      <c r="I141" s="36" t="s">
        <v>111</v>
      </c>
      <c r="J141" s="36" t="s">
        <v>27</v>
      </c>
      <c r="K141" s="36" t="s">
        <v>112</v>
      </c>
      <c r="L141" s="36">
        <v>2</v>
      </c>
      <c r="N141" s="36">
        <v>1</v>
      </c>
      <c r="O141" s="36">
        <v>0.5</v>
      </c>
      <c r="P141" s="36">
        <v>0.4</v>
      </c>
      <c r="Q141" s="134">
        <f t="shared" si="7"/>
        <v>0.45</v>
      </c>
      <c r="R141" s="36">
        <v>18.2</v>
      </c>
      <c r="S141" s="36">
        <v>132</v>
      </c>
      <c r="T141" s="115">
        <f t="shared" si="6"/>
        <v>25</v>
      </c>
      <c r="U141" s="36">
        <v>127</v>
      </c>
      <c r="V141" s="115">
        <f t="shared" si="8"/>
        <v>3175</v>
      </c>
      <c r="W141" s="36">
        <v>8</v>
      </c>
      <c r="X141" s="36" t="s">
        <v>35</v>
      </c>
      <c r="Y141" s="36" t="s">
        <v>43</v>
      </c>
      <c r="Z141" s="36" t="s">
        <v>55</v>
      </c>
      <c r="AA141" s="36" t="s">
        <v>47</v>
      </c>
      <c r="AB141" s="36" t="s">
        <v>178</v>
      </c>
    </row>
    <row r="142" spans="1:28" s="36" customFormat="1" ht="13.5" customHeight="1" x14ac:dyDescent="0.15">
      <c r="A142" s="36" t="s">
        <v>30</v>
      </c>
      <c r="B142" s="36" t="s">
        <v>174</v>
      </c>
      <c r="C142" s="36">
        <v>2020</v>
      </c>
      <c r="D142" s="106" t="s">
        <v>370</v>
      </c>
      <c r="E142" s="36" t="s">
        <v>240</v>
      </c>
      <c r="F142" s="36" t="s">
        <v>241</v>
      </c>
      <c r="G142" s="36" t="s">
        <v>25</v>
      </c>
      <c r="H142" s="36" t="s">
        <v>164</v>
      </c>
      <c r="I142" s="36" t="s">
        <v>111</v>
      </c>
      <c r="J142" s="36" t="s">
        <v>27</v>
      </c>
      <c r="K142" s="36" t="s">
        <v>112</v>
      </c>
      <c r="L142" s="36">
        <v>3</v>
      </c>
      <c r="N142" s="36">
        <v>1</v>
      </c>
      <c r="O142" s="36">
        <v>0.35</v>
      </c>
      <c r="P142" s="36">
        <v>0.4</v>
      </c>
      <c r="Q142" s="134">
        <f t="shared" si="7"/>
        <v>0.375</v>
      </c>
      <c r="R142" s="36">
        <v>17.8</v>
      </c>
      <c r="S142" s="36">
        <v>129</v>
      </c>
      <c r="T142" s="115">
        <f t="shared" si="6"/>
        <v>25</v>
      </c>
      <c r="U142" s="36">
        <v>127</v>
      </c>
      <c r="V142" s="115">
        <f t="shared" si="8"/>
        <v>3175</v>
      </c>
      <c r="W142" s="36">
        <v>8</v>
      </c>
      <c r="X142" s="36" t="s">
        <v>35</v>
      </c>
      <c r="Y142" s="36" t="s">
        <v>43</v>
      </c>
      <c r="Z142" s="36" t="s">
        <v>55</v>
      </c>
      <c r="AA142" s="36" t="s">
        <v>47</v>
      </c>
      <c r="AB142" s="36" t="s">
        <v>178</v>
      </c>
    </row>
    <row r="143" spans="1:28" s="36" customFormat="1" ht="13.5" customHeight="1" x14ac:dyDescent="0.15">
      <c r="A143" s="36" t="s">
        <v>30</v>
      </c>
      <c r="B143" s="36" t="s">
        <v>174</v>
      </c>
      <c r="C143" s="36">
        <v>2020</v>
      </c>
      <c r="D143" s="106" t="s">
        <v>370</v>
      </c>
      <c r="E143" s="36" t="s">
        <v>240</v>
      </c>
      <c r="F143" s="36" t="s">
        <v>241</v>
      </c>
      <c r="G143" s="36" t="s">
        <v>25</v>
      </c>
      <c r="H143" s="36" t="s">
        <v>164</v>
      </c>
      <c r="I143" s="36" t="s">
        <v>111</v>
      </c>
      <c r="J143" s="36" t="s">
        <v>27</v>
      </c>
      <c r="K143" s="36" t="s">
        <v>112</v>
      </c>
      <c r="L143" s="36">
        <v>1</v>
      </c>
      <c r="N143" s="36">
        <v>4</v>
      </c>
      <c r="O143" s="36">
        <v>0.8</v>
      </c>
      <c r="P143" s="36">
        <v>0.8</v>
      </c>
      <c r="Q143" s="134">
        <f t="shared" si="7"/>
        <v>0.8</v>
      </c>
      <c r="R143" s="36">
        <v>15.2</v>
      </c>
      <c r="S143" s="36">
        <v>125</v>
      </c>
      <c r="T143" s="115">
        <f t="shared" si="6"/>
        <v>27</v>
      </c>
      <c r="U143" s="139">
        <v>397</v>
      </c>
      <c r="V143" s="115">
        <f t="shared" si="8"/>
        <v>2679.75</v>
      </c>
      <c r="W143" s="36">
        <v>2</v>
      </c>
      <c r="X143" s="36" t="s">
        <v>35</v>
      </c>
      <c r="Y143" s="36" t="s">
        <v>43</v>
      </c>
      <c r="Z143" s="36" t="s">
        <v>55</v>
      </c>
      <c r="AA143" s="36" t="s">
        <v>47</v>
      </c>
      <c r="AB143" s="36" t="s">
        <v>178</v>
      </c>
    </row>
    <row r="144" spans="1:28" s="36" customFormat="1" ht="13.5" customHeight="1" x14ac:dyDescent="0.15">
      <c r="A144" s="36" t="s">
        <v>30</v>
      </c>
      <c r="B144" s="36" t="s">
        <v>174</v>
      </c>
      <c r="C144" s="36">
        <v>2020</v>
      </c>
      <c r="D144" s="106" t="s">
        <v>370</v>
      </c>
      <c r="E144" s="36" t="s">
        <v>240</v>
      </c>
      <c r="F144" s="36" t="s">
        <v>241</v>
      </c>
      <c r="G144" s="36" t="s">
        <v>25</v>
      </c>
      <c r="H144" s="36" t="s">
        <v>164</v>
      </c>
      <c r="I144" s="36" t="s">
        <v>111</v>
      </c>
      <c r="J144" s="36" t="s">
        <v>27</v>
      </c>
      <c r="K144" s="36" t="s">
        <v>112</v>
      </c>
      <c r="L144" s="36">
        <v>2</v>
      </c>
      <c r="N144" s="36">
        <v>4</v>
      </c>
      <c r="O144" s="36">
        <v>0.65</v>
      </c>
      <c r="P144" s="36">
        <v>0.65</v>
      </c>
      <c r="Q144" s="134">
        <f t="shared" si="7"/>
        <v>0.65</v>
      </c>
      <c r="R144" s="36">
        <v>15</v>
      </c>
      <c r="S144" s="36">
        <v>123</v>
      </c>
      <c r="T144" s="115">
        <f t="shared" si="6"/>
        <v>27</v>
      </c>
      <c r="U144" s="139">
        <v>397</v>
      </c>
      <c r="V144" s="115">
        <f t="shared" si="8"/>
        <v>2679.75</v>
      </c>
      <c r="W144" s="36">
        <v>2</v>
      </c>
      <c r="X144" s="36" t="s">
        <v>35</v>
      </c>
      <c r="Y144" s="36" t="s">
        <v>43</v>
      </c>
      <c r="Z144" s="36" t="s">
        <v>55</v>
      </c>
      <c r="AA144" s="36" t="s">
        <v>47</v>
      </c>
      <c r="AB144" s="36" t="s">
        <v>178</v>
      </c>
    </row>
    <row r="145" spans="1:28" s="36" customFormat="1" ht="13.5" customHeight="1" x14ac:dyDescent="0.15">
      <c r="A145" s="36" t="s">
        <v>30</v>
      </c>
      <c r="B145" s="36" t="s">
        <v>174</v>
      </c>
      <c r="C145" s="36">
        <v>2020</v>
      </c>
      <c r="D145" s="106" t="s">
        <v>370</v>
      </c>
      <c r="E145" s="36" t="s">
        <v>240</v>
      </c>
      <c r="F145" s="36" t="s">
        <v>241</v>
      </c>
      <c r="G145" s="36" t="s">
        <v>25</v>
      </c>
      <c r="H145" s="36" t="s">
        <v>164</v>
      </c>
      <c r="I145" s="36" t="s">
        <v>111</v>
      </c>
      <c r="J145" s="36" t="s">
        <v>27</v>
      </c>
      <c r="K145" s="36" t="s">
        <v>112</v>
      </c>
      <c r="L145" s="36">
        <v>3</v>
      </c>
      <c r="N145" s="36">
        <v>4</v>
      </c>
      <c r="O145" s="36">
        <v>0.5</v>
      </c>
      <c r="P145" s="36">
        <v>0.7</v>
      </c>
      <c r="Q145" s="134">
        <f t="shared" si="7"/>
        <v>0.6</v>
      </c>
      <c r="R145" s="36">
        <v>14.2</v>
      </c>
      <c r="S145" s="36">
        <v>122</v>
      </c>
      <c r="T145" s="115">
        <f t="shared" si="6"/>
        <v>27</v>
      </c>
      <c r="U145" s="139">
        <v>397</v>
      </c>
      <c r="V145" s="115">
        <f t="shared" si="8"/>
        <v>2679.75</v>
      </c>
      <c r="W145" s="36">
        <v>2</v>
      </c>
      <c r="X145" s="36" t="s">
        <v>35</v>
      </c>
      <c r="Y145" s="36" t="s">
        <v>43</v>
      </c>
      <c r="Z145" s="36" t="s">
        <v>55</v>
      </c>
      <c r="AA145" s="36" t="s">
        <v>47</v>
      </c>
      <c r="AB145" s="36" t="s">
        <v>178</v>
      </c>
    </row>
    <row r="146" spans="1:28" s="36" customFormat="1" ht="13.5" customHeight="1" x14ac:dyDescent="0.15">
      <c r="A146" s="36" t="s">
        <v>30</v>
      </c>
      <c r="B146" s="36" t="s">
        <v>174</v>
      </c>
      <c r="C146" s="36">
        <v>2020</v>
      </c>
      <c r="D146" s="106" t="s">
        <v>370</v>
      </c>
      <c r="E146" s="36" t="s">
        <v>240</v>
      </c>
      <c r="F146" s="36" t="s">
        <v>241</v>
      </c>
      <c r="G146" s="36" t="s">
        <v>25</v>
      </c>
      <c r="H146" s="36" t="s">
        <v>113</v>
      </c>
      <c r="I146" s="36" t="s">
        <v>111</v>
      </c>
      <c r="J146" s="36" t="s">
        <v>27</v>
      </c>
      <c r="K146" s="36" t="s">
        <v>112</v>
      </c>
      <c r="L146" s="36">
        <v>1</v>
      </c>
      <c r="N146" s="36">
        <v>1</v>
      </c>
      <c r="O146" s="36">
        <v>0.7</v>
      </c>
      <c r="P146" s="36">
        <v>0.85</v>
      </c>
      <c r="Q146" s="134">
        <f t="shared" si="7"/>
        <v>0.77499999999999991</v>
      </c>
      <c r="R146" s="36">
        <v>13.1</v>
      </c>
      <c r="S146" s="36">
        <v>137</v>
      </c>
      <c r="T146" s="115">
        <f t="shared" si="6"/>
        <v>25</v>
      </c>
      <c r="U146" s="139">
        <v>127</v>
      </c>
      <c r="V146" s="115">
        <f t="shared" si="8"/>
        <v>3175</v>
      </c>
      <c r="W146" s="36">
        <v>2</v>
      </c>
      <c r="X146" s="36" t="s">
        <v>35</v>
      </c>
      <c r="Y146" s="36" t="s">
        <v>43</v>
      </c>
      <c r="Z146" s="36" t="s">
        <v>55</v>
      </c>
      <c r="AA146" s="36" t="s">
        <v>47</v>
      </c>
      <c r="AB146" s="36" t="s">
        <v>178</v>
      </c>
    </row>
    <row r="147" spans="1:28" s="36" customFormat="1" ht="13.5" customHeight="1" x14ac:dyDescent="0.15">
      <c r="A147" s="36" t="s">
        <v>30</v>
      </c>
      <c r="B147" s="36" t="s">
        <v>174</v>
      </c>
      <c r="C147" s="36">
        <v>2020</v>
      </c>
      <c r="D147" s="106" t="s">
        <v>370</v>
      </c>
      <c r="E147" s="36" t="s">
        <v>240</v>
      </c>
      <c r="F147" s="36" t="s">
        <v>241</v>
      </c>
      <c r="G147" s="36" t="s">
        <v>25</v>
      </c>
      <c r="H147" s="36" t="s">
        <v>113</v>
      </c>
      <c r="I147" s="36" t="s">
        <v>111</v>
      </c>
      <c r="J147" s="36" t="s">
        <v>27</v>
      </c>
      <c r="K147" s="36" t="s">
        <v>112</v>
      </c>
      <c r="L147" s="36">
        <v>2</v>
      </c>
      <c r="N147" s="36">
        <v>1</v>
      </c>
      <c r="O147" s="36">
        <v>0.95</v>
      </c>
      <c r="P147" s="36">
        <v>1</v>
      </c>
      <c r="Q147" s="134">
        <f t="shared" si="7"/>
        <v>0.97499999999999998</v>
      </c>
      <c r="R147" s="36">
        <v>13.4</v>
      </c>
      <c r="S147" s="36">
        <v>134</v>
      </c>
      <c r="T147" s="115">
        <f t="shared" si="6"/>
        <v>25</v>
      </c>
      <c r="U147" s="139">
        <v>127</v>
      </c>
      <c r="V147" s="115">
        <f t="shared" si="8"/>
        <v>3175</v>
      </c>
      <c r="W147" s="36">
        <v>2</v>
      </c>
      <c r="X147" s="36" t="s">
        <v>35</v>
      </c>
      <c r="Y147" s="36" t="s">
        <v>43</v>
      </c>
      <c r="Z147" s="36" t="s">
        <v>55</v>
      </c>
      <c r="AA147" s="36" t="s">
        <v>47</v>
      </c>
      <c r="AB147" s="36" t="s">
        <v>178</v>
      </c>
    </row>
    <row r="148" spans="1:28" s="36" customFormat="1" ht="13.5" customHeight="1" x14ac:dyDescent="0.15">
      <c r="A148" s="36" t="s">
        <v>30</v>
      </c>
      <c r="B148" s="36" t="s">
        <v>174</v>
      </c>
      <c r="C148" s="36">
        <v>2020</v>
      </c>
      <c r="D148" s="106" t="s">
        <v>370</v>
      </c>
      <c r="E148" s="36" t="s">
        <v>240</v>
      </c>
      <c r="F148" s="36" t="s">
        <v>241</v>
      </c>
      <c r="G148" s="36" t="s">
        <v>25</v>
      </c>
      <c r="H148" s="36" t="s">
        <v>113</v>
      </c>
      <c r="I148" s="36" t="s">
        <v>111</v>
      </c>
      <c r="J148" s="36" t="s">
        <v>27</v>
      </c>
      <c r="K148" s="36" t="s">
        <v>112</v>
      </c>
      <c r="L148" s="36">
        <v>3</v>
      </c>
      <c r="N148" s="36">
        <v>1</v>
      </c>
      <c r="O148" s="36">
        <v>1</v>
      </c>
      <c r="P148" s="36">
        <v>1.05</v>
      </c>
      <c r="Q148" s="134">
        <f t="shared" si="7"/>
        <v>1.0249999999999999</v>
      </c>
      <c r="R148" s="36">
        <v>12</v>
      </c>
      <c r="S148" s="36">
        <v>132</v>
      </c>
      <c r="T148" s="115">
        <f t="shared" si="6"/>
        <v>25</v>
      </c>
      <c r="U148" s="139">
        <v>127</v>
      </c>
      <c r="V148" s="115">
        <f t="shared" si="8"/>
        <v>3175</v>
      </c>
      <c r="W148" s="36">
        <v>2</v>
      </c>
      <c r="X148" s="36" t="s">
        <v>35</v>
      </c>
      <c r="Y148" s="36" t="s">
        <v>43</v>
      </c>
      <c r="Z148" s="36" t="s">
        <v>55</v>
      </c>
      <c r="AA148" s="36" t="s">
        <v>47</v>
      </c>
      <c r="AB148" s="36" t="s">
        <v>178</v>
      </c>
    </row>
    <row r="149" spans="1:28" s="36" customFormat="1" ht="13.5" customHeight="1" x14ac:dyDescent="0.15">
      <c r="A149" s="36" t="s">
        <v>30</v>
      </c>
      <c r="B149" s="36" t="s">
        <v>174</v>
      </c>
      <c r="C149" s="36">
        <v>2020</v>
      </c>
      <c r="D149" s="106" t="s">
        <v>370</v>
      </c>
      <c r="E149" s="36" t="s">
        <v>240</v>
      </c>
      <c r="F149" s="36" t="s">
        <v>241</v>
      </c>
      <c r="G149" s="36" t="s">
        <v>25</v>
      </c>
      <c r="H149" s="36" t="s">
        <v>113</v>
      </c>
      <c r="I149" s="36" t="s">
        <v>111</v>
      </c>
      <c r="J149" s="36" t="s">
        <v>27</v>
      </c>
      <c r="K149" s="36" t="s">
        <v>112</v>
      </c>
      <c r="L149" s="36">
        <v>1</v>
      </c>
      <c r="N149" s="36">
        <v>4</v>
      </c>
      <c r="O149" s="36">
        <v>0.8</v>
      </c>
      <c r="P149" s="36">
        <v>0.95</v>
      </c>
      <c r="Q149" s="134">
        <f t="shared" si="7"/>
        <v>0.875</v>
      </c>
      <c r="R149" s="36">
        <v>12.8</v>
      </c>
      <c r="S149" s="36">
        <v>120</v>
      </c>
      <c r="T149" s="115">
        <f t="shared" si="6"/>
        <v>30</v>
      </c>
      <c r="U149" s="139">
        <v>397</v>
      </c>
      <c r="V149" s="115">
        <f t="shared" si="8"/>
        <v>2977.5</v>
      </c>
      <c r="W149" s="36">
        <v>1</v>
      </c>
      <c r="X149" s="36" t="s">
        <v>35</v>
      </c>
      <c r="Y149" s="36" t="s">
        <v>43</v>
      </c>
      <c r="Z149" s="36" t="s">
        <v>55</v>
      </c>
      <c r="AA149" s="36" t="s">
        <v>47</v>
      </c>
      <c r="AB149" s="36" t="s">
        <v>178</v>
      </c>
    </row>
    <row r="150" spans="1:28" s="36" customFormat="1" ht="13.5" customHeight="1" x14ac:dyDescent="0.15">
      <c r="A150" s="36" t="s">
        <v>30</v>
      </c>
      <c r="B150" s="36" t="s">
        <v>174</v>
      </c>
      <c r="C150" s="36">
        <v>2020</v>
      </c>
      <c r="D150" s="106" t="s">
        <v>370</v>
      </c>
      <c r="E150" s="36" t="s">
        <v>240</v>
      </c>
      <c r="F150" s="36" t="s">
        <v>241</v>
      </c>
      <c r="G150" s="36" t="s">
        <v>25</v>
      </c>
      <c r="H150" s="36" t="s">
        <v>113</v>
      </c>
      <c r="I150" s="36" t="s">
        <v>111</v>
      </c>
      <c r="J150" s="36" t="s">
        <v>27</v>
      </c>
      <c r="K150" s="36" t="s">
        <v>112</v>
      </c>
      <c r="L150" s="36">
        <v>2</v>
      </c>
      <c r="N150" s="36">
        <v>4</v>
      </c>
      <c r="O150" s="36">
        <v>0.9</v>
      </c>
      <c r="P150" s="36">
        <v>0.85</v>
      </c>
      <c r="Q150" s="134">
        <f t="shared" si="7"/>
        <v>0.875</v>
      </c>
      <c r="R150" s="36">
        <v>13.7</v>
      </c>
      <c r="S150" s="36">
        <v>120</v>
      </c>
      <c r="T150" s="115">
        <f t="shared" ref="T150:T151" si="9">IF(H150="","",IF(OR(H150="GREEN",H150="GK"),IF(S150&gt;=$AX$2,VLOOKUP(S150,$AX$2:$AY$10,2,1),""),IF(S150&gt;=$AZ$2,VLOOKUP(S150,$AZ$2:$BA$10,2,1),"")))</f>
        <v>30</v>
      </c>
      <c r="U150" s="139">
        <v>397</v>
      </c>
      <c r="V150" s="115">
        <f t="shared" si="8"/>
        <v>2977.5</v>
      </c>
      <c r="W150" s="36">
        <v>1</v>
      </c>
      <c r="X150" s="36" t="s">
        <v>35</v>
      </c>
      <c r="Y150" s="36" t="s">
        <v>43</v>
      </c>
      <c r="Z150" s="36" t="s">
        <v>55</v>
      </c>
      <c r="AA150" s="36" t="s">
        <v>47</v>
      </c>
      <c r="AB150" s="36" t="s">
        <v>178</v>
      </c>
    </row>
    <row r="151" spans="1:28" s="36" customFormat="1" ht="13.5" customHeight="1" x14ac:dyDescent="0.15">
      <c r="A151" s="36" t="s">
        <v>30</v>
      </c>
      <c r="B151" s="36" t="s">
        <v>174</v>
      </c>
      <c r="C151" s="36">
        <v>2020</v>
      </c>
      <c r="D151" s="106" t="s">
        <v>370</v>
      </c>
      <c r="E151" s="36" t="s">
        <v>240</v>
      </c>
      <c r="F151" s="36" t="s">
        <v>241</v>
      </c>
      <c r="G151" s="36" t="s">
        <v>25</v>
      </c>
      <c r="H151" s="36" t="s">
        <v>113</v>
      </c>
      <c r="I151" s="36" t="s">
        <v>111</v>
      </c>
      <c r="J151" s="36" t="s">
        <v>27</v>
      </c>
      <c r="K151" s="36" t="s">
        <v>112</v>
      </c>
      <c r="L151" s="36">
        <v>3</v>
      </c>
      <c r="N151" s="36">
        <v>4</v>
      </c>
      <c r="O151" s="36">
        <v>0.8</v>
      </c>
      <c r="P151" s="36">
        <v>0.7</v>
      </c>
      <c r="Q151" s="134">
        <f t="shared" si="7"/>
        <v>0.75</v>
      </c>
      <c r="R151" s="36">
        <v>13.4</v>
      </c>
      <c r="S151" s="36">
        <v>117</v>
      </c>
      <c r="T151" s="115">
        <f t="shared" si="9"/>
        <v>30</v>
      </c>
      <c r="U151" s="139">
        <v>397</v>
      </c>
      <c r="V151" s="115">
        <f t="shared" si="8"/>
        <v>2977.5</v>
      </c>
      <c r="W151" s="36">
        <v>1</v>
      </c>
      <c r="X151" s="36" t="s">
        <v>35</v>
      </c>
      <c r="Y151" s="36" t="s">
        <v>43</v>
      </c>
      <c r="Z151" s="36" t="s">
        <v>55</v>
      </c>
      <c r="AA151" s="36" t="s">
        <v>47</v>
      </c>
      <c r="AB151" s="36" t="s">
        <v>178</v>
      </c>
    </row>
  </sheetData>
  <autoFilter ref="A1:BA151" xr:uid="{00000000-0009-0000-0000-000001000000}"/>
  <phoneticPr fontId="3"/>
  <dataValidations count="20">
    <dataValidation type="list" allowBlank="1" showInputMessage="1" showErrorMessage="1" sqref="Y152:AA347" xr:uid="{CF4F7839-09B7-4909-A4B8-033BF29F5AF3}">
      <formula1>$AV$2:$AV$16</formula1>
    </dataValidation>
    <dataValidation type="decimal" allowBlank="1" showInputMessage="1" showErrorMessage="1" error="硬度を正しく入力して下さい。" sqref="O2:P347" xr:uid="{CE10C93A-76D5-4E28-BA61-7EA7EBE78A59}">
      <formula1>0</formula1>
      <formula2>7</formula2>
    </dataValidation>
    <dataValidation type="list" allowBlank="1" showInputMessage="1" showErrorMessage="1" sqref="K152:K163" xr:uid="{A7B1AFB8-9709-438B-8BD1-EA3B2CAACDE5}">
      <formula1>$AR$2:$AR$23</formula1>
    </dataValidation>
    <dataValidation type="list" allowBlank="1" showInputMessage="1" showErrorMessage="1" sqref="J152:J347" xr:uid="{7EFE4436-EC9E-4226-B165-9A90EE182AF9}">
      <formula1>$AP$2:$AP$19</formula1>
    </dataValidation>
    <dataValidation type="list" allowBlank="1" showInputMessage="1" showErrorMessage="1" sqref="G2:G347" xr:uid="{82AAD957-7D3B-48C6-BA59-F59297140CCC}">
      <formula1>$AJ$2:$AJ$4</formula1>
    </dataValidation>
    <dataValidation type="list" allowBlank="1" showInputMessage="1" showErrorMessage="1" sqref="F152:F347" xr:uid="{EB036752-7666-4627-8ACB-6D4BB13CE4AC}">
      <formula1>$AH$2:$AH$9</formula1>
    </dataValidation>
    <dataValidation type="list" allowBlank="1" showInputMessage="1" showErrorMessage="1" sqref="E152:E347" xr:uid="{1AD37DB3-DE17-4620-AAE5-357875E6D31F}">
      <formula1>$AG$2:$AG$10</formula1>
    </dataValidation>
    <dataValidation type="list" allowBlank="1" showInputMessage="1" showErrorMessage="1" sqref="E2:E151" xr:uid="{6C2DAAE5-B3E2-4547-9A20-25B8270FFE34}">
      <formula1>$AG$2:$AG$11</formula1>
    </dataValidation>
    <dataValidation allowBlank="1" showInputMessage="1" showErrorMessage="1" sqref="B3:B73" xr:uid="{4AE1AA38-D5AE-47C1-A14C-77677219C9D2}"/>
    <dataValidation type="list" allowBlank="1" showInputMessage="1" showErrorMessage="1" sqref="A152:A347" xr:uid="{ED491E3B-3122-490F-9CD9-DDE165734814}">
      <formula1>$AE$2:$AE$16</formula1>
    </dataValidation>
    <dataValidation type="list" allowBlank="1" showInputMessage="1" showErrorMessage="1" sqref="Y2:AA151" xr:uid="{C272E89D-2031-4C96-8021-23305F61A038}">
      <formula1>$AV$2:$AV$23</formula1>
    </dataValidation>
    <dataValidation type="list" allowBlank="1" showInputMessage="1" showErrorMessage="1" sqref="F2:F151" xr:uid="{CEF2C4B7-2980-49F0-81DE-F686949F0EC4}">
      <formula1>$AH$2:$AH$11</formula1>
    </dataValidation>
    <dataValidation type="list" allowBlank="1" showInputMessage="1" showErrorMessage="1" sqref="K124:K151" xr:uid="{C801D486-88B5-467E-9BEC-8C6B8CFEDCAE}">
      <formula1>$AR$2:$AR$25</formula1>
    </dataValidation>
    <dataValidation type="list" allowBlank="1" showInputMessage="1" showErrorMessage="1" sqref="K2:K123" xr:uid="{DC737E91-DC76-4409-B66D-436AD9A45CC7}">
      <formula1>$AR$2:$AR$26</formula1>
    </dataValidation>
    <dataValidation type="list" allowBlank="1" showInputMessage="1" showErrorMessage="1" sqref="K164:K347" xr:uid="{3D19F8EB-B419-4853-9210-6DE6242C889F}">
      <formula1>$AR$2:$AR$19</formula1>
    </dataValidation>
    <dataValidation type="list" allowBlank="1" showInputMessage="1" showErrorMessage="1" sqref="J2:J151" xr:uid="{321E665B-5393-4DAA-83E4-14B99818A35E}">
      <formula1>$AP$2:$AP$27</formula1>
    </dataValidation>
    <dataValidation type="list" allowBlank="1" showInputMessage="1" showErrorMessage="1" sqref="X2:X347" xr:uid="{EC7A66EE-0078-44BD-BB84-097EEA46196D}">
      <formula1>$AT$2:$AT$3</formula1>
    </dataValidation>
    <dataValidation type="list" allowBlank="1" showInputMessage="1" showErrorMessage="1" sqref="H2:H1288" xr:uid="{54D3078C-243C-41A8-B0DD-666558583FE3}">
      <formula1>$AL$2:$AL$9</formula1>
    </dataValidation>
    <dataValidation type="list" allowBlank="1" showInputMessage="1" showErrorMessage="1" sqref="I2:I347" xr:uid="{05E14A01-3E0B-45E0-9183-B062F30F7A64}">
      <formula1>$AN$5:$AN$6</formula1>
    </dataValidation>
    <dataValidation type="list" allowBlank="1" showInputMessage="1" showErrorMessage="1" sqref="A3:A151" xr:uid="{0BD1FACF-BC09-4811-BB05-6F2D5A6A300D}">
      <formula1>$AE$2:$AE$19</formula1>
    </dataValidation>
  </dataValidations>
  <pageMargins left="0.69930555555555596" right="0.69930555555555596" top="0.75" bottom="0.75" header="0.3" footer="0.3"/>
  <pageSetup paperSize="9"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F7C2F-CF23-4573-B553-A15D2F0A8F9B}">
  <dimension ref="A1:BA127"/>
  <sheetViews>
    <sheetView zoomScale="85" zoomScaleNormal="85" workbookViewId="0">
      <pane ySplit="1" topLeftCell="A2" activePane="bottomLeft" state="frozen"/>
      <selection pane="bottomLeft" activeCell="A2" sqref="A2"/>
    </sheetView>
  </sheetViews>
  <sheetFormatPr defaultColWidth="9" defaultRowHeight="13.5" x14ac:dyDescent="0.15"/>
  <cols>
    <col min="1" max="3" width="9" style="77"/>
    <col min="4" max="4" width="10.5" style="77" customWidth="1"/>
    <col min="5" max="13" width="9" style="77"/>
    <col min="14" max="14" width="9.5" style="77" customWidth="1"/>
    <col min="15" max="16" width="9" style="77"/>
    <col min="17" max="17" width="9" style="16"/>
    <col min="18" max="19" width="9" style="77"/>
    <col min="20" max="20" width="9" style="16"/>
    <col min="21" max="21" width="9" style="77"/>
    <col min="22" max="22" width="9" style="16"/>
    <col min="23" max="32" width="9" style="77"/>
    <col min="33" max="33" width="15.875" style="77" customWidth="1"/>
    <col min="34" max="34" width="11.375" style="77" customWidth="1"/>
    <col min="35" max="259" width="9" style="77"/>
    <col min="260" max="260" width="10.5" style="77" customWidth="1"/>
    <col min="261" max="269" width="9" style="77"/>
    <col min="270" max="270" width="9.5" style="77" customWidth="1"/>
    <col min="271" max="288" width="9" style="77"/>
    <col min="289" max="289" width="15.875" style="77" customWidth="1"/>
    <col min="290" max="290" width="11.375" style="77" customWidth="1"/>
    <col min="291" max="515" width="9" style="77"/>
    <col min="516" max="516" width="10.5" style="77" customWidth="1"/>
    <col min="517" max="525" width="9" style="77"/>
    <col min="526" max="526" width="9.5" style="77" customWidth="1"/>
    <col min="527" max="544" width="9" style="77"/>
    <col min="545" max="545" width="15.875" style="77" customWidth="1"/>
    <col min="546" max="546" width="11.375" style="77" customWidth="1"/>
    <col min="547" max="771" width="9" style="77"/>
    <col min="772" max="772" width="10.5" style="77" customWidth="1"/>
    <col min="773" max="781" width="9" style="77"/>
    <col min="782" max="782" width="9.5" style="77" customWidth="1"/>
    <col min="783" max="800" width="9" style="77"/>
    <col min="801" max="801" width="15.875" style="77" customWidth="1"/>
    <col min="802" max="802" width="11.375" style="77" customWidth="1"/>
    <col min="803" max="1027" width="9" style="77"/>
    <col min="1028" max="1028" width="10.5" style="77" customWidth="1"/>
    <col min="1029" max="1037" width="9" style="77"/>
    <col min="1038" max="1038" width="9.5" style="77" customWidth="1"/>
    <col min="1039" max="1056" width="9" style="77"/>
    <col min="1057" max="1057" width="15.875" style="77" customWidth="1"/>
    <col min="1058" max="1058" width="11.375" style="77" customWidth="1"/>
    <col min="1059" max="1283" width="9" style="77"/>
    <col min="1284" max="1284" width="10.5" style="77" customWidth="1"/>
    <col min="1285" max="1293" width="9" style="77"/>
    <col min="1294" max="1294" width="9.5" style="77" customWidth="1"/>
    <col min="1295" max="1312" width="9" style="77"/>
    <col min="1313" max="1313" width="15.875" style="77" customWidth="1"/>
    <col min="1314" max="1314" width="11.375" style="77" customWidth="1"/>
    <col min="1315" max="1539" width="9" style="77"/>
    <col min="1540" max="1540" width="10.5" style="77" customWidth="1"/>
    <col min="1541" max="1549" width="9" style="77"/>
    <col min="1550" max="1550" width="9.5" style="77" customWidth="1"/>
    <col min="1551" max="1568" width="9" style="77"/>
    <col min="1569" max="1569" width="15.875" style="77" customWidth="1"/>
    <col min="1570" max="1570" width="11.375" style="77" customWidth="1"/>
    <col min="1571" max="1795" width="9" style="77"/>
    <col min="1796" max="1796" width="10.5" style="77" customWidth="1"/>
    <col min="1797" max="1805" width="9" style="77"/>
    <col min="1806" max="1806" width="9.5" style="77" customWidth="1"/>
    <col min="1807" max="1824" width="9" style="77"/>
    <col min="1825" max="1825" width="15.875" style="77" customWidth="1"/>
    <col min="1826" max="1826" width="11.375" style="77" customWidth="1"/>
    <col min="1827" max="2051" width="9" style="77"/>
    <col min="2052" max="2052" width="10.5" style="77" customWidth="1"/>
    <col min="2053" max="2061" width="9" style="77"/>
    <col min="2062" max="2062" width="9.5" style="77" customWidth="1"/>
    <col min="2063" max="2080" width="9" style="77"/>
    <col min="2081" max="2081" width="15.875" style="77" customWidth="1"/>
    <col min="2082" max="2082" width="11.375" style="77" customWidth="1"/>
    <col min="2083" max="2307" width="9" style="77"/>
    <col min="2308" max="2308" width="10.5" style="77" customWidth="1"/>
    <col min="2309" max="2317" width="9" style="77"/>
    <col min="2318" max="2318" width="9.5" style="77" customWidth="1"/>
    <col min="2319" max="2336" width="9" style="77"/>
    <col min="2337" max="2337" width="15.875" style="77" customWidth="1"/>
    <col min="2338" max="2338" width="11.375" style="77" customWidth="1"/>
    <col min="2339" max="2563" width="9" style="77"/>
    <col min="2564" max="2564" width="10.5" style="77" customWidth="1"/>
    <col min="2565" max="2573" width="9" style="77"/>
    <col min="2574" max="2574" width="9.5" style="77" customWidth="1"/>
    <col min="2575" max="2592" width="9" style="77"/>
    <col min="2593" max="2593" width="15.875" style="77" customWidth="1"/>
    <col min="2594" max="2594" width="11.375" style="77" customWidth="1"/>
    <col min="2595" max="2819" width="9" style="77"/>
    <col min="2820" max="2820" width="10.5" style="77" customWidth="1"/>
    <col min="2821" max="2829" width="9" style="77"/>
    <col min="2830" max="2830" width="9.5" style="77" customWidth="1"/>
    <col min="2831" max="2848" width="9" style="77"/>
    <col min="2849" max="2849" width="15.875" style="77" customWidth="1"/>
    <col min="2850" max="2850" width="11.375" style="77" customWidth="1"/>
    <col min="2851" max="3075" width="9" style="77"/>
    <col min="3076" max="3076" width="10.5" style="77" customWidth="1"/>
    <col min="3077" max="3085" width="9" style="77"/>
    <col min="3086" max="3086" width="9.5" style="77" customWidth="1"/>
    <col min="3087" max="3104" width="9" style="77"/>
    <col min="3105" max="3105" width="15.875" style="77" customWidth="1"/>
    <col min="3106" max="3106" width="11.375" style="77" customWidth="1"/>
    <col min="3107" max="3331" width="9" style="77"/>
    <col min="3332" max="3332" width="10.5" style="77" customWidth="1"/>
    <col min="3333" max="3341" width="9" style="77"/>
    <col min="3342" max="3342" width="9.5" style="77" customWidth="1"/>
    <col min="3343" max="3360" width="9" style="77"/>
    <col min="3361" max="3361" width="15.875" style="77" customWidth="1"/>
    <col min="3362" max="3362" width="11.375" style="77" customWidth="1"/>
    <col min="3363" max="3587" width="9" style="77"/>
    <col min="3588" max="3588" width="10.5" style="77" customWidth="1"/>
    <col min="3589" max="3597" width="9" style="77"/>
    <col min="3598" max="3598" width="9.5" style="77" customWidth="1"/>
    <col min="3599" max="3616" width="9" style="77"/>
    <col min="3617" max="3617" width="15.875" style="77" customWidth="1"/>
    <col min="3618" max="3618" width="11.375" style="77" customWidth="1"/>
    <col min="3619" max="3843" width="9" style="77"/>
    <col min="3844" max="3844" width="10.5" style="77" customWidth="1"/>
    <col min="3845" max="3853" width="9" style="77"/>
    <col min="3854" max="3854" width="9.5" style="77" customWidth="1"/>
    <col min="3855" max="3872" width="9" style="77"/>
    <col min="3873" max="3873" width="15.875" style="77" customWidth="1"/>
    <col min="3874" max="3874" width="11.375" style="77" customWidth="1"/>
    <col min="3875" max="4099" width="9" style="77"/>
    <col min="4100" max="4100" width="10.5" style="77" customWidth="1"/>
    <col min="4101" max="4109" width="9" style="77"/>
    <col min="4110" max="4110" width="9.5" style="77" customWidth="1"/>
    <col min="4111" max="4128" width="9" style="77"/>
    <col min="4129" max="4129" width="15.875" style="77" customWidth="1"/>
    <col min="4130" max="4130" width="11.375" style="77" customWidth="1"/>
    <col min="4131" max="4355" width="9" style="77"/>
    <col min="4356" max="4356" width="10.5" style="77" customWidth="1"/>
    <col min="4357" max="4365" width="9" style="77"/>
    <col min="4366" max="4366" width="9.5" style="77" customWidth="1"/>
    <col min="4367" max="4384" width="9" style="77"/>
    <col min="4385" max="4385" width="15.875" style="77" customWidth="1"/>
    <col min="4386" max="4386" width="11.375" style="77" customWidth="1"/>
    <col min="4387" max="4611" width="9" style="77"/>
    <col min="4612" max="4612" width="10.5" style="77" customWidth="1"/>
    <col min="4613" max="4621" width="9" style="77"/>
    <col min="4622" max="4622" width="9.5" style="77" customWidth="1"/>
    <col min="4623" max="4640" width="9" style="77"/>
    <col min="4641" max="4641" width="15.875" style="77" customWidth="1"/>
    <col min="4642" max="4642" width="11.375" style="77" customWidth="1"/>
    <col min="4643" max="4867" width="9" style="77"/>
    <col min="4868" max="4868" width="10.5" style="77" customWidth="1"/>
    <col min="4869" max="4877" width="9" style="77"/>
    <col min="4878" max="4878" width="9.5" style="77" customWidth="1"/>
    <col min="4879" max="4896" width="9" style="77"/>
    <col min="4897" max="4897" width="15.875" style="77" customWidth="1"/>
    <col min="4898" max="4898" width="11.375" style="77" customWidth="1"/>
    <col min="4899" max="5123" width="9" style="77"/>
    <col min="5124" max="5124" width="10.5" style="77" customWidth="1"/>
    <col min="5125" max="5133" width="9" style="77"/>
    <col min="5134" max="5134" width="9.5" style="77" customWidth="1"/>
    <col min="5135" max="5152" width="9" style="77"/>
    <col min="5153" max="5153" width="15.875" style="77" customWidth="1"/>
    <col min="5154" max="5154" width="11.375" style="77" customWidth="1"/>
    <col min="5155" max="5379" width="9" style="77"/>
    <col min="5380" max="5380" width="10.5" style="77" customWidth="1"/>
    <col min="5381" max="5389" width="9" style="77"/>
    <col min="5390" max="5390" width="9.5" style="77" customWidth="1"/>
    <col min="5391" max="5408" width="9" style="77"/>
    <col min="5409" max="5409" width="15.875" style="77" customWidth="1"/>
    <col min="5410" max="5410" width="11.375" style="77" customWidth="1"/>
    <col min="5411" max="5635" width="9" style="77"/>
    <col min="5636" max="5636" width="10.5" style="77" customWidth="1"/>
    <col min="5637" max="5645" width="9" style="77"/>
    <col min="5646" max="5646" width="9.5" style="77" customWidth="1"/>
    <col min="5647" max="5664" width="9" style="77"/>
    <col min="5665" max="5665" width="15.875" style="77" customWidth="1"/>
    <col min="5666" max="5666" width="11.375" style="77" customWidth="1"/>
    <col min="5667" max="5891" width="9" style="77"/>
    <col min="5892" max="5892" width="10.5" style="77" customWidth="1"/>
    <col min="5893" max="5901" width="9" style="77"/>
    <col min="5902" max="5902" width="9.5" style="77" customWidth="1"/>
    <col min="5903" max="5920" width="9" style="77"/>
    <col min="5921" max="5921" width="15.875" style="77" customWidth="1"/>
    <col min="5922" max="5922" width="11.375" style="77" customWidth="1"/>
    <col min="5923" max="6147" width="9" style="77"/>
    <col min="6148" max="6148" width="10.5" style="77" customWidth="1"/>
    <col min="6149" max="6157" width="9" style="77"/>
    <col min="6158" max="6158" width="9.5" style="77" customWidth="1"/>
    <col min="6159" max="6176" width="9" style="77"/>
    <col min="6177" max="6177" width="15.875" style="77" customWidth="1"/>
    <col min="6178" max="6178" width="11.375" style="77" customWidth="1"/>
    <col min="6179" max="6403" width="9" style="77"/>
    <col min="6404" max="6404" width="10.5" style="77" customWidth="1"/>
    <col min="6405" max="6413" width="9" style="77"/>
    <col min="6414" max="6414" width="9.5" style="77" customWidth="1"/>
    <col min="6415" max="6432" width="9" style="77"/>
    <col min="6433" max="6433" width="15.875" style="77" customWidth="1"/>
    <col min="6434" max="6434" width="11.375" style="77" customWidth="1"/>
    <col min="6435" max="6659" width="9" style="77"/>
    <col min="6660" max="6660" width="10.5" style="77" customWidth="1"/>
    <col min="6661" max="6669" width="9" style="77"/>
    <col min="6670" max="6670" width="9.5" style="77" customWidth="1"/>
    <col min="6671" max="6688" width="9" style="77"/>
    <col min="6689" max="6689" width="15.875" style="77" customWidth="1"/>
    <col min="6690" max="6690" width="11.375" style="77" customWidth="1"/>
    <col min="6691" max="6915" width="9" style="77"/>
    <col min="6916" max="6916" width="10.5" style="77" customWidth="1"/>
    <col min="6917" max="6925" width="9" style="77"/>
    <col min="6926" max="6926" width="9.5" style="77" customWidth="1"/>
    <col min="6927" max="6944" width="9" style="77"/>
    <col min="6945" max="6945" width="15.875" style="77" customWidth="1"/>
    <col min="6946" max="6946" width="11.375" style="77" customWidth="1"/>
    <col min="6947" max="7171" width="9" style="77"/>
    <col min="7172" max="7172" width="10.5" style="77" customWidth="1"/>
    <col min="7173" max="7181" width="9" style="77"/>
    <col min="7182" max="7182" width="9.5" style="77" customWidth="1"/>
    <col min="7183" max="7200" width="9" style="77"/>
    <col min="7201" max="7201" width="15.875" style="77" customWidth="1"/>
    <col min="7202" max="7202" width="11.375" style="77" customWidth="1"/>
    <col min="7203" max="7427" width="9" style="77"/>
    <col min="7428" max="7428" width="10.5" style="77" customWidth="1"/>
    <col min="7429" max="7437" width="9" style="77"/>
    <col min="7438" max="7438" width="9.5" style="77" customWidth="1"/>
    <col min="7439" max="7456" width="9" style="77"/>
    <col min="7457" max="7457" width="15.875" style="77" customWidth="1"/>
    <col min="7458" max="7458" width="11.375" style="77" customWidth="1"/>
    <col min="7459" max="7683" width="9" style="77"/>
    <col min="7684" max="7684" width="10.5" style="77" customWidth="1"/>
    <col min="7685" max="7693" width="9" style="77"/>
    <col min="7694" max="7694" width="9.5" style="77" customWidth="1"/>
    <col min="7695" max="7712" width="9" style="77"/>
    <col min="7713" max="7713" width="15.875" style="77" customWidth="1"/>
    <col min="7714" max="7714" width="11.375" style="77" customWidth="1"/>
    <col min="7715" max="7939" width="9" style="77"/>
    <col min="7940" max="7940" width="10.5" style="77" customWidth="1"/>
    <col min="7941" max="7949" width="9" style="77"/>
    <col min="7950" max="7950" width="9.5" style="77" customWidth="1"/>
    <col min="7951" max="7968" width="9" style="77"/>
    <col min="7969" max="7969" width="15.875" style="77" customWidth="1"/>
    <col min="7970" max="7970" width="11.375" style="77" customWidth="1"/>
    <col min="7971" max="8195" width="9" style="77"/>
    <col min="8196" max="8196" width="10.5" style="77" customWidth="1"/>
    <col min="8197" max="8205" width="9" style="77"/>
    <col min="8206" max="8206" width="9.5" style="77" customWidth="1"/>
    <col min="8207" max="8224" width="9" style="77"/>
    <col min="8225" max="8225" width="15.875" style="77" customWidth="1"/>
    <col min="8226" max="8226" width="11.375" style="77" customWidth="1"/>
    <col min="8227" max="8451" width="9" style="77"/>
    <col min="8452" max="8452" width="10.5" style="77" customWidth="1"/>
    <col min="8453" max="8461" width="9" style="77"/>
    <col min="8462" max="8462" width="9.5" style="77" customWidth="1"/>
    <col min="8463" max="8480" width="9" style="77"/>
    <col min="8481" max="8481" width="15.875" style="77" customWidth="1"/>
    <col min="8482" max="8482" width="11.375" style="77" customWidth="1"/>
    <col min="8483" max="8707" width="9" style="77"/>
    <col min="8708" max="8708" width="10.5" style="77" customWidth="1"/>
    <col min="8709" max="8717" width="9" style="77"/>
    <col min="8718" max="8718" width="9.5" style="77" customWidth="1"/>
    <col min="8719" max="8736" width="9" style="77"/>
    <col min="8737" max="8737" width="15.875" style="77" customWidth="1"/>
    <col min="8738" max="8738" width="11.375" style="77" customWidth="1"/>
    <col min="8739" max="8963" width="9" style="77"/>
    <col min="8964" max="8964" width="10.5" style="77" customWidth="1"/>
    <col min="8965" max="8973" width="9" style="77"/>
    <col min="8974" max="8974" width="9.5" style="77" customWidth="1"/>
    <col min="8975" max="8992" width="9" style="77"/>
    <col min="8993" max="8993" width="15.875" style="77" customWidth="1"/>
    <col min="8994" max="8994" width="11.375" style="77" customWidth="1"/>
    <col min="8995" max="9219" width="9" style="77"/>
    <col min="9220" max="9220" width="10.5" style="77" customWidth="1"/>
    <col min="9221" max="9229" width="9" style="77"/>
    <col min="9230" max="9230" width="9.5" style="77" customWidth="1"/>
    <col min="9231" max="9248" width="9" style="77"/>
    <col min="9249" max="9249" width="15.875" style="77" customWidth="1"/>
    <col min="9250" max="9250" width="11.375" style="77" customWidth="1"/>
    <col min="9251" max="9475" width="9" style="77"/>
    <col min="9476" max="9476" width="10.5" style="77" customWidth="1"/>
    <col min="9477" max="9485" width="9" style="77"/>
    <col min="9486" max="9486" width="9.5" style="77" customWidth="1"/>
    <col min="9487" max="9504" width="9" style="77"/>
    <col min="9505" max="9505" width="15.875" style="77" customWidth="1"/>
    <col min="9506" max="9506" width="11.375" style="77" customWidth="1"/>
    <col min="9507" max="9731" width="9" style="77"/>
    <col min="9732" max="9732" width="10.5" style="77" customWidth="1"/>
    <col min="9733" max="9741" width="9" style="77"/>
    <col min="9742" max="9742" width="9.5" style="77" customWidth="1"/>
    <col min="9743" max="9760" width="9" style="77"/>
    <col min="9761" max="9761" width="15.875" style="77" customWidth="1"/>
    <col min="9762" max="9762" width="11.375" style="77" customWidth="1"/>
    <col min="9763" max="9987" width="9" style="77"/>
    <col min="9988" max="9988" width="10.5" style="77" customWidth="1"/>
    <col min="9989" max="9997" width="9" style="77"/>
    <col min="9998" max="9998" width="9.5" style="77" customWidth="1"/>
    <col min="9999" max="10016" width="9" style="77"/>
    <col min="10017" max="10017" width="15.875" style="77" customWidth="1"/>
    <col min="10018" max="10018" width="11.375" style="77" customWidth="1"/>
    <col min="10019" max="10243" width="9" style="77"/>
    <col min="10244" max="10244" width="10.5" style="77" customWidth="1"/>
    <col min="10245" max="10253" width="9" style="77"/>
    <col min="10254" max="10254" width="9.5" style="77" customWidth="1"/>
    <col min="10255" max="10272" width="9" style="77"/>
    <col min="10273" max="10273" width="15.875" style="77" customWidth="1"/>
    <col min="10274" max="10274" width="11.375" style="77" customWidth="1"/>
    <col min="10275" max="10499" width="9" style="77"/>
    <col min="10500" max="10500" width="10.5" style="77" customWidth="1"/>
    <col min="10501" max="10509" width="9" style="77"/>
    <col min="10510" max="10510" width="9.5" style="77" customWidth="1"/>
    <col min="10511" max="10528" width="9" style="77"/>
    <col min="10529" max="10529" width="15.875" style="77" customWidth="1"/>
    <col min="10530" max="10530" width="11.375" style="77" customWidth="1"/>
    <col min="10531" max="10755" width="9" style="77"/>
    <col min="10756" max="10756" width="10.5" style="77" customWidth="1"/>
    <col min="10757" max="10765" width="9" style="77"/>
    <col min="10766" max="10766" width="9.5" style="77" customWidth="1"/>
    <col min="10767" max="10784" width="9" style="77"/>
    <col min="10785" max="10785" width="15.875" style="77" customWidth="1"/>
    <col min="10786" max="10786" width="11.375" style="77" customWidth="1"/>
    <col min="10787" max="11011" width="9" style="77"/>
    <col min="11012" max="11012" width="10.5" style="77" customWidth="1"/>
    <col min="11013" max="11021" width="9" style="77"/>
    <col min="11022" max="11022" width="9.5" style="77" customWidth="1"/>
    <col min="11023" max="11040" width="9" style="77"/>
    <col min="11041" max="11041" width="15.875" style="77" customWidth="1"/>
    <col min="11042" max="11042" width="11.375" style="77" customWidth="1"/>
    <col min="11043" max="11267" width="9" style="77"/>
    <col min="11268" max="11268" width="10.5" style="77" customWidth="1"/>
    <col min="11269" max="11277" width="9" style="77"/>
    <col min="11278" max="11278" width="9.5" style="77" customWidth="1"/>
    <col min="11279" max="11296" width="9" style="77"/>
    <col min="11297" max="11297" width="15.875" style="77" customWidth="1"/>
    <col min="11298" max="11298" width="11.375" style="77" customWidth="1"/>
    <col min="11299" max="11523" width="9" style="77"/>
    <col min="11524" max="11524" width="10.5" style="77" customWidth="1"/>
    <col min="11525" max="11533" width="9" style="77"/>
    <col min="11534" max="11534" width="9.5" style="77" customWidth="1"/>
    <col min="11535" max="11552" width="9" style="77"/>
    <col min="11553" max="11553" width="15.875" style="77" customWidth="1"/>
    <col min="11554" max="11554" width="11.375" style="77" customWidth="1"/>
    <col min="11555" max="11779" width="9" style="77"/>
    <col min="11780" max="11780" width="10.5" style="77" customWidth="1"/>
    <col min="11781" max="11789" width="9" style="77"/>
    <col min="11790" max="11790" width="9.5" style="77" customWidth="1"/>
    <col min="11791" max="11808" width="9" style="77"/>
    <col min="11809" max="11809" width="15.875" style="77" customWidth="1"/>
    <col min="11810" max="11810" width="11.375" style="77" customWidth="1"/>
    <col min="11811" max="12035" width="9" style="77"/>
    <col min="12036" max="12036" width="10.5" style="77" customWidth="1"/>
    <col min="12037" max="12045" width="9" style="77"/>
    <col min="12046" max="12046" width="9.5" style="77" customWidth="1"/>
    <col min="12047" max="12064" width="9" style="77"/>
    <col min="12065" max="12065" width="15.875" style="77" customWidth="1"/>
    <col min="12066" max="12066" width="11.375" style="77" customWidth="1"/>
    <col min="12067" max="12291" width="9" style="77"/>
    <col min="12292" max="12292" width="10.5" style="77" customWidth="1"/>
    <col min="12293" max="12301" width="9" style="77"/>
    <col min="12302" max="12302" width="9.5" style="77" customWidth="1"/>
    <col min="12303" max="12320" width="9" style="77"/>
    <col min="12321" max="12321" width="15.875" style="77" customWidth="1"/>
    <col min="12322" max="12322" width="11.375" style="77" customWidth="1"/>
    <col min="12323" max="12547" width="9" style="77"/>
    <col min="12548" max="12548" width="10.5" style="77" customWidth="1"/>
    <col min="12549" max="12557" width="9" style="77"/>
    <col min="12558" max="12558" width="9.5" style="77" customWidth="1"/>
    <col min="12559" max="12576" width="9" style="77"/>
    <col min="12577" max="12577" width="15.875" style="77" customWidth="1"/>
    <col min="12578" max="12578" width="11.375" style="77" customWidth="1"/>
    <col min="12579" max="12803" width="9" style="77"/>
    <col min="12804" max="12804" width="10.5" style="77" customWidth="1"/>
    <col min="12805" max="12813" width="9" style="77"/>
    <col min="12814" max="12814" width="9.5" style="77" customWidth="1"/>
    <col min="12815" max="12832" width="9" style="77"/>
    <col min="12833" max="12833" width="15.875" style="77" customWidth="1"/>
    <col min="12834" max="12834" width="11.375" style="77" customWidth="1"/>
    <col min="12835" max="13059" width="9" style="77"/>
    <col min="13060" max="13060" width="10.5" style="77" customWidth="1"/>
    <col min="13061" max="13069" width="9" style="77"/>
    <col min="13070" max="13070" width="9.5" style="77" customWidth="1"/>
    <col min="13071" max="13088" width="9" style="77"/>
    <col min="13089" max="13089" width="15.875" style="77" customWidth="1"/>
    <col min="13090" max="13090" width="11.375" style="77" customWidth="1"/>
    <col min="13091" max="13315" width="9" style="77"/>
    <col min="13316" max="13316" width="10.5" style="77" customWidth="1"/>
    <col min="13317" max="13325" width="9" style="77"/>
    <col min="13326" max="13326" width="9.5" style="77" customWidth="1"/>
    <col min="13327" max="13344" width="9" style="77"/>
    <col min="13345" max="13345" width="15.875" style="77" customWidth="1"/>
    <col min="13346" max="13346" width="11.375" style="77" customWidth="1"/>
    <col min="13347" max="13571" width="9" style="77"/>
    <col min="13572" max="13572" width="10.5" style="77" customWidth="1"/>
    <col min="13573" max="13581" width="9" style="77"/>
    <col min="13582" max="13582" width="9.5" style="77" customWidth="1"/>
    <col min="13583" max="13600" width="9" style="77"/>
    <col min="13601" max="13601" width="15.875" style="77" customWidth="1"/>
    <col min="13602" max="13602" width="11.375" style="77" customWidth="1"/>
    <col min="13603" max="13827" width="9" style="77"/>
    <col min="13828" max="13828" width="10.5" style="77" customWidth="1"/>
    <col min="13829" max="13837" width="9" style="77"/>
    <col min="13838" max="13838" width="9.5" style="77" customWidth="1"/>
    <col min="13839" max="13856" width="9" style="77"/>
    <col min="13857" max="13857" width="15.875" style="77" customWidth="1"/>
    <col min="13858" max="13858" width="11.375" style="77" customWidth="1"/>
    <col min="13859" max="14083" width="9" style="77"/>
    <col min="14084" max="14084" width="10.5" style="77" customWidth="1"/>
    <col min="14085" max="14093" width="9" style="77"/>
    <col min="14094" max="14094" width="9.5" style="77" customWidth="1"/>
    <col min="14095" max="14112" width="9" style="77"/>
    <col min="14113" max="14113" width="15.875" style="77" customWidth="1"/>
    <col min="14114" max="14114" width="11.375" style="77" customWidth="1"/>
    <col min="14115" max="14339" width="9" style="77"/>
    <col min="14340" max="14340" width="10.5" style="77" customWidth="1"/>
    <col min="14341" max="14349" width="9" style="77"/>
    <col min="14350" max="14350" width="9.5" style="77" customWidth="1"/>
    <col min="14351" max="14368" width="9" style="77"/>
    <col min="14369" max="14369" width="15.875" style="77" customWidth="1"/>
    <col min="14370" max="14370" width="11.375" style="77" customWidth="1"/>
    <col min="14371" max="14595" width="9" style="77"/>
    <col min="14596" max="14596" width="10.5" style="77" customWidth="1"/>
    <col min="14597" max="14605" width="9" style="77"/>
    <col min="14606" max="14606" width="9.5" style="77" customWidth="1"/>
    <col min="14607" max="14624" width="9" style="77"/>
    <col min="14625" max="14625" width="15.875" style="77" customWidth="1"/>
    <col min="14626" max="14626" width="11.375" style="77" customWidth="1"/>
    <col min="14627" max="14851" width="9" style="77"/>
    <col min="14852" max="14852" width="10.5" style="77" customWidth="1"/>
    <col min="14853" max="14861" width="9" style="77"/>
    <col min="14862" max="14862" width="9.5" style="77" customWidth="1"/>
    <col min="14863" max="14880" width="9" style="77"/>
    <col min="14881" max="14881" width="15.875" style="77" customWidth="1"/>
    <col min="14882" max="14882" width="11.375" style="77" customWidth="1"/>
    <col min="14883" max="15107" width="9" style="77"/>
    <col min="15108" max="15108" width="10.5" style="77" customWidth="1"/>
    <col min="15109" max="15117" width="9" style="77"/>
    <col min="15118" max="15118" width="9.5" style="77" customWidth="1"/>
    <col min="15119" max="15136" width="9" style="77"/>
    <col min="15137" max="15137" width="15.875" style="77" customWidth="1"/>
    <col min="15138" max="15138" width="11.375" style="77" customWidth="1"/>
    <col min="15139" max="15363" width="9" style="77"/>
    <col min="15364" max="15364" width="10.5" style="77" customWidth="1"/>
    <col min="15365" max="15373" width="9" style="77"/>
    <col min="15374" max="15374" width="9.5" style="77" customWidth="1"/>
    <col min="15375" max="15392" width="9" style="77"/>
    <col min="15393" max="15393" width="15.875" style="77" customWidth="1"/>
    <col min="15394" max="15394" width="11.375" style="77" customWidth="1"/>
    <col min="15395" max="15619" width="9" style="77"/>
    <col min="15620" max="15620" width="10.5" style="77" customWidth="1"/>
    <col min="15621" max="15629" width="9" style="77"/>
    <col min="15630" max="15630" width="9.5" style="77" customWidth="1"/>
    <col min="15631" max="15648" width="9" style="77"/>
    <col min="15649" max="15649" width="15.875" style="77" customWidth="1"/>
    <col min="15650" max="15650" width="11.375" style="77" customWidth="1"/>
    <col min="15651" max="15875" width="9" style="77"/>
    <col min="15876" max="15876" width="10.5" style="77" customWidth="1"/>
    <col min="15877" max="15885" width="9" style="77"/>
    <col min="15886" max="15886" width="9.5" style="77" customWidth="1"/>
    <col min="15887" max="15904" width="9" style="77"/>
    <col min="15905" max="15905" width="15.875" style="77" customWidth="1"/>
    <col min="15906" max="15906" width="11.375" style="77" customWidth="1"/>
    <col min="15907" max="16131" width="9" style="77"/>
    <col min="16132" max="16132" width="10.5" style="77" customWidth="1"/>
    <col min="16133" max="16141" width="9" style="77"/>
    <col min="16142" max="16142" width="9.5" style="77" customWidth="1"/>
    <col min="16143" max="16160" width="9" style="77"/>
    <col min="16161" max="16161" width="15.875" style="77" customWidth="1"/>
    <col min="16162" max="16162" width="11.375" style="77" customWidth="1"/>
    <col min="16163" max="16384" width="9" style="77"/>
  </cols>
  <sheetData>
    <row r="1" spans="1:53" ht="45" x14ac:dyDescent="0.15">
      <c r="A1" s="197" t="s">
        <v>0</v>
      </c>
      <c r="B1" s="92" t="s">
        <v>198</v>
      </c>
      <c r="C1" s="92" t="s">
        <v>411</v>
      </c>
      <c r="D1" s="93" t="s">
        <v>2</v>
      </c>
      <c r="E1" s="198" t="s">
        <v>3</v>
      </c>
      <c r="F1" s="198" t="s">
        <v>4</v>
      </c>
      <c r="G1" s="198" t="s">
        <v>5</v>
      </c>
      <c r="H1" s="198" t="s">
        <v>6</v>
      </c>
      <c r="I1" s="198" t="s">
        <v>7</v>
      </c>
      <c r="J1" s="198" t="s">
        <v>8</v>
      </c>
      <c r="K1" s="198" t="s">
        <v>9</v>
      </c>
      <c r="L1" s="93" t="s">
        <v>200</v>
      </c>
      <c r="M1" s="93" t="s">
        <v>201</v>
      </c>
      <c r="N1" s="93" t="s">
        <v>11</v>
      </c>
      <c r="O1" s="93" t="s">
        <v>202</v>
      </c>
      <c r="P1" s="93" t="s">
        <v>203</v>
      </c>
      <c r="Q1" s="3" t="s">
        <v>204</v>
      </c>
      <c r="R1" s="93" t="s">
        <v>205</v>
      </c>
      <c r="S1" s="93" t="s">
        <v>206</v>
      </c>
      <c r="T1" s="3" t="s">
        <v>13</v>
      </c>
      <c r="U1" s="94" t="s">
        <v>92</v>
      </c>
      <c r="V1" s="5" t="s">
        <v>14</v>
      </c>
      <c r="W1" s="93" t="s">
        <v>207</v>
      </c>
      <c r="X1" s="198" t="s">
        <v>16</v>
      </c>
      <c r="Y1" s="198" t="s">
        <v>17</v>
      </c>
      <c r="Z1" s="198" t="s">
        <v>18</v>
      </c>
      <c r="AA1" s="199" t="s">
        <v>19</v>
      </c>
      <c r="AB1" s="95" t="s">
        <v>208</v>
      </c>
      <c r="AE1" s="96" t="s">
        <v>0</v>
      </c>
      <c r="AF1" s="97"/>
      <c r="AG1" s="96" t="s">
        <v>3</v>
      </c>
      <c r="AH1" s="96" t="s">
        <v>4</v>
      </c>
      <c r="AI1" s="97"/>
      <c r="AJ1" s="96" t="s">
        <v>5</v>
      </c>
      <c r="AK1" s="97"/>
      <c r="AL1" s="10" t="s">
        <v>6</v>
      </c>
      <c r="AM1" s="97"/>
      <c r="AN1" s="10" t="s">
        <v>7</v>
      </c>
      <c r="AO1" s="97"/>
      <c r="AP1" s="10" t="s">
        <v>20</v>
      </c>
      <c r="AQ1" s="97"/>
      <c r="AR1" s="10" t="s">
        <v>9</v>
      </c>
      <c r="AS1" s="97"/>
      <c r="AT1" s="11" t="s">
        <v>209</v>
      </c>
      <c r="AU1" s="97"/>
      <c r="AV1" s="10" t="s">
        <v>22</v>
      </c>
      <c r="AX1" s="12" t="s">
        <v>262</v>
      </c>
      <c r="AY1" s="13" t="s">
        <v>211</v>
      </c>
      <c r="AZ1" s="13" t="s">
        <v>263</v>
      </c>
      <c r="BA1" s="14" t="s">
        <v>213</v>
      </c>
    </row>
    <row r="2" spans="1:53" s="36" customFormat="1" x14ac:dyDescent="0.15">
      <c r="A2" s="36" t="s">
        <v>44</v>
      </c>
      <c r="B2" s="36" t="s">
        <v>174</v>
      </c>
      <c r="C2" s="36">
        <v>2020</v>
      </c>
      <c r="D2" s="200" t="s">
        <v>161</v>
      </c>
      <c r="E2" s="36" t="s">
        <v>399</v>
      </c>
      <c r="F2" s="36" t="s">
        <v>400</v>
      </c>
      <c r="G2" s="36" t="s">
        <v>31</v>
      </c>
      <c r="H2" s="36" t="s">
        <v>164</v>
      </c>
      <c r="I2" s="36" t="s">
        <v>170</v>
      </c>
      <c r="J2" s="36" t="s">
        <v>27</v>
      </c>
      <c r="K2" s="36" t="s">
        <v>112</v>
      </c>
      <c r="L2" s="36">
        <v>1</v>
      </c>
      <c r="N2" s="36">
        <v>1</v>
      </c>
      <c r="O2" s="36">
        <v>0.95</v>
      </c>
      <c r="P2" s="36">
        <v>1.05</v>
      </c>
      <c r="Q2" s="134">
        <f>IF(OR(O2="",P2=""),"",AVERAGE(O2,P2))</f>
        <v>1</v>
      </c>
      <c r="R2" s="36">
        <v>16.399999999999999</v>
      </c>
      <c r="S2" s="36">
        <v>120</v>
      </c>
      <c r="T2" s="115">
        <f t="shared" ref="T2:T65" si="0">IF(H2="","",IF(OR(H2="GREEN",H2="GK"),IF(S2&gt;=$AX$2,VLOOKUP(S2,$AX$2:$AY$10,2,1),""),IF(S2&gt;=$AZ$2,VLOOKUP(S2,$AZ$2:$BA$10,2,1),"")))</f>
        <v>30</v>
      </c>
      <c r="U2" s="36">
        <v>159</v>
      </c>
      <c r="V2" s="115">
        <f>IF(OR(N2="",U2="",T2=""),"",U2/N2*T2)</f>
        <v>4770</v>
      </c>
      <c r="W2" s="36">
        <v>10</v>
      </c>
      <c r="X2" s="36" t="s">
        <v>28</v>
      </c>
      <c r="Y2" s="36" t="s">
        <v>43</v>
      </c>
      <c r="Z2" s="36" t="s">
        <v>29</v>
      </c>
      <c r="AA2" s="36" t="s">
        <v>90</v>
      </c>
      <c r="AB2" s="36" t="s">
        <v>178</v>
      </c>
      <c r="AE2" s="109" t="s">
        <v>24</v>
      </c>
      <c r="AG2" s="116" t="s">
        <v>401</v>
      </c>
      <c r="AH2" s="201" t="s">
        <v>402</v>
      </c>
      <c r="AJ2" s="110" t="s">
        <v>25</v>
      </c>
      <c r="AL2" s="110" t="s">
        <v>215</v>
      </c>
      <c r="AN2" s="110" t="s">
        <v>26</v>
      </c>
      <c r="AP2" s="110" t="s">
        <v>27</v>
      </c>
      <c r="AR2" s="110" t="s">
        <v>112</v>
      </c>
      <c r="AT2" s="110" t="s">
        <v>28</v>
      </c>
      <c r="AV2" s="110" t="s">
        <v>29</v>
      </c>
      <c r="AX2" s="111">
        <v>1</v>
      </c>
      <c r="AY2" s="112">
        <v>50</v>
      </c>
      <c r="AZ2" s="112">
        <v>1</v>
      </c>
      <c r="BA2" s="113">
        <v>50</v>
      </c>
    </row>
    <row r="3" spans="1:53" s="36" customFormat="1" x14ac:dyDescent="0.15">
      <c r="A3" s="36" t="s">
        <v>44</v>
      </c>
      <c r="B3" s="36" t="s">
        <v>174</v>
      </c>
      <c r="C3" s="36">
        <v>2020</v>
      </c>
      <c r="D3" s="200" t="s">
        <v>161</v>
      </c>
      <c r="E3" s="36" t="s">
        <v>399</v>
      </c>
      <c r="F3" s="36" t="s">
        <v>400</v>
      </c>
      <c r="G3" s="36" t="s">
        <v>31</v>
      </c>
      <c r="H3" s="36" t="s">
        <v>164</v>
      </c>
      <c r="I3" s="36" t="s">
        <v>170</v>
      </c>
      <c r="J3" s="36" t="s">
        <v>27</v>
      </c>
      <c r="K3" s="36" t="s">
        <v>112</v>
      </c>
      <c r="L3" s="36">
        <v>2</v>
      </c>
      <c r="N3" s="36">
        <v>1</v>
      </c>
      <c r="O3" s="36">
        <v>0.6</v>
      </c>
      <c r="P3" s="36">
        <v>0.65</v>
      </c>
      <c r="Q3" s="134">
        <f t="shared" ref="Q3:Q66" si="1">IF(OR(O3="",P3=""),"",AVERAGE(O3,P3))</f>
        <v>0.625</v>
      </c>
      <c r="R3" s="36">
        <v>17.100000000000001</v>
      </c>
      <c r="S3" s="36">
        <v>122</v>
      </c>
      <c r="T3" s="115">
        <f t="shared" si="0"/>
        <v>27</v>
      </c>
      <c r="U3" s="36">
        <v>159</v>
      </c>
      <c r="V3" s="115">
        <f t="shared" ref="V3:V66" si="2">IF(OR(N3="",U3="",T3=""),"",U3/N3*T3)</f>
        <v>4293</v>
      </c>
      <c r="W3" s="36">
        <v>10</v>
      </c>
      <c r="X3" s="36" t="s">
        <v>28</v>
      </c>
      <c r="Y3" s="36" t="s">
        <v>43</v>
      </c>
      <c r="Z3" s="36" t="s">
        <v>29</v>
      </c>
      <c r="AA3" s="36" t="s">
        <v>90</v>
      </c>
      <c r="AB3" s="36" t="s">
        <v>178</v>
      </c>
      <c r="AE3" s="116" t="s">
        <v>30</v>
      </c>
      <c r="AG3" s="116" t="s">
        <v>403</v>
      </c>
      <c r="AH3" s="201" t="s">
        <v>404</v>
      </c>
      <c r="AJ3" s="116" t="s">
        <v>31</v>
      </c>
      <c r="AL3" s="116" t="s">
        <v>217</v>
      </c>
      <c r="AN3" s="116" t="s">
        <v>32</v>
      </c>
      <c r="AP3" s="116" t="s">
        <v>33</v>
      </c>
      <c r="AR3" s="116" t="s">
        <v>34</v>
      </c>
      <c r="AT3" s="116" t="s">
        <v>35</v>
      </c>
      <c r="AV3" s="116" t="s">
        <v>36</v>
      </c>
      <c r="AX3" s="117">
        <v>72</v>
      </c>
      <c r="AY3" s="118">
        <v>46</v>
      </c>
      <c r="AZ3" s="118">
        <v>71</v>
      </c>
      <c r="BA3" s="119">
        <v>42</v>
      </c>
    </row>
    <row r="4" spans="1:53" s="36" customFormat="1" x14ac:dyDescent="0.15">
      <c r="A4" s="36" t="s">
        <v>44</v>
      </c>
      <c r="B4" s="36" t="s">
        <v>174</v>
      </c>
      <c r="C4" s="36">
        <v>2020</v>
      </c>
      <c r="D4" s="200" t="s">
        <v>161</v>
      </c>
      <c r="E4" s="36" t="s">
        <v>399</v>
      </c>
      <c r="F4" s="36" t="s">
        <v>400</v>
      </c>
      <c r="G4" s="36" t="s">
        <v>31</v>
      </c>
      <c r="H4" s="36" t="s">
        <v>164</v>
      </c>
      <c r="I4" s="36" t="s">
        <v>170</v>
      </c>
      <c r="J4" s="36" t="s">
        <v>27</v>
      </c>
      <c r="K4" s="36" t="s">
        <v>112</v>
      </c>
      <c r="L4" s="36">
        <v>3</v>
      </c>
      <c r="N4" s="36">
        <v>1</v>
      </c>
      <c r="O4" s="36">
        <v>0.75</v>
      </c>
      <c r="P4" s="36">
        <v>0.75</v>
      </c>
      <c r="Q4" s="134">
        <f t="shared" si="1"/>
        <v>0.75</v>
      </c>
      <c r="R4" s="36">
        <v>15.3</v>
      </c>
      <c r="S4" s="36">
        <v>115</v>
      </c>
      <c r="T4" s="115">
        <f t="shared" si="0"/>
        <v>30</v>
      </c>
      <c r="U4" s="36">
        <v>159</v>
      </c>
      <c r="V4" s="115">
        <f t="shared" si="2"/>
        <v>4770</v>
      </c>
      <c r="W4" s="36">
        <v>10</v>
      </c>
      <c r="X4" s="36" t="s">
        <v>28</v>
      </c>
      <c r="Y4" s="36" t="s">
        <v>43</v>
      </c>
      <c r="Z4" s="36" t="s">
        <v>29</v>
      </c>
      <c r="AA4" s="36" t="s">
        <v>90</v>
      </c>
      <c r="AB4" s="36" t="s">
        <v>178</v>
      </c>
      <c r="AE4" s="116" t="s">
        <v>23</v>
      </c>
      <c r="AG4" s="116" t="s">
        <v>405</v>
      </c>
      <c r="AH4" s="201" t="s">
        <v>406</v>
      </c>
      <c r="AJ4" s="120" t="s">
        <v>37</v>
      </c>
      <c r="AL4" s="120" t="s">
        <v>219</v>
      </c>
      <c r="AN4" s="121" t="s">
        <v>220</v>
      </c>
      <c r="AP4" s="116" t="s">
        <v>221</v>
      </c>
      <c r="AR4" s="116" t="s">
        <v>222</v>
      </c>
      <c r="AT4" s="121"/>
      <c r="AV4" s="116" t="s">
        <v>39</v>
      </c>
      <c r="AX4" s="117">
        <v>75</v>
      </c>
      <c r="AY4" s="118">
        <v>42</v>
      </c>
      <c r="AZ4" s="118">
        <v>76</v>
      </c>
      <c r="BA4" s="119">
        <v>39</v>
      </c>
    </row>
    <row r="5" spans="1:53" s="36" customFormat="1" x14ac:dyDescent="0.15">
      <c r="A5" s="36" t="s">
        <v>44</v>
      </c>
      <c r="B5" s="36" t="s">
        <v>174</v>
      </c>
      <c r="C5" s="36">
        <v>2020</v>
      </c>
      <c r="D5" s="200" t="s">
        <v>161</v>
      </c>
      <c r="E5" s="36" t="s">
        <v>399</v>
      </c>
      <c r="F5" s="36" t="s">
        <v>400</v>
      </c>
      <c r="G5" s="36" t="s">
        <v>31</v>
      </c>
      <c r="H5" s="36" t="s">
        <v>164</v>
      </c>
      <c r="I5" s="36" t="s">
        <v>170</v>
      </c>
      <c r="J5" s="36" t="s">
        <v>27</v>
      </c>
      <c r="K5" s="36" t="s">
        <v>112</v>
      </c>
      <c r="L5" s="36">
        <v>1</v>
      </c>
      <c r="N5" s="36">
        <v>4</v>
      </c>
      <c r="O5" s="36">
        <v>0.75</v>
      </c>
      <c r="P5" s="36">
        <v>0.7</v>
      </c>
      <c r="Q5" s="134">
        <f t="shared" si="1"/>
        <v>0.72499999999999998</v>
      </c>
      <c r="R5" s="36">
        <v>16.399999999999999</v>
      </c>
      <c r="S5" s="36">
        <v>97</v>
      </c>
      <c r="T5" s="115">
        <f t="shared" si="0"/>
        <v>36</v>
      </c>
      <c r="U5" s="36">
        <v>599</v>
      </c>
      <c r="V5" s="115">
        <f t="shared" si="2"/>
        <v>5391</v>
      </c>
      <c r="W5" s="36">
        <v>4</v>
      </c>
      <c r="X5" s="36" t="s">
        <v>28</v>
      </c>
      <c r="Y5" s="36" t="s">
        <v>43</v>
      </c>
      <c r="Z5" s="36" t="s">
        <v>29</v>
      </c>
      <c r="AA5" s="36" t="s">
        <v>90</v>
      </c>
      <c r="AB5" s="36" t="s">
        <v>178</v>
      </c>
      <c r="AE5" s="116" t="s">
        <v>40</v>
      </c>
      <c r="AG5" s="116" t="s">
        <v>407</v>
      </c>
      <c r="AH5" s="201" t="s">
        <v>400</v>
      </c>
      <c r="AJ5" s="121"/>
      <c r="AL5" s="122" t="s">
        <v>113</v>
      </c>
      <c r="AN5" s="122" t="s">
        <v>111</v>
      </c>
      <c r="AP5" s="116" t="s">
        <v>224</v>
      </c>
      <c r="AR5" s="116" t="s">
        <v>42</v>
      </c>
      <c r="AV5" s="116" t="s">
        <v>43</v>
      </c>
      <c r="AX5" s="117">
        <v>84</v>
      </c>
      <c r="AY5" s="118">
        <v>39</v>
      </c>
      <c r="AZ5" s="118">
        <v>84</v>
      </c>
      <c r="BA5" s="119">
        <v>36</v>
      </c>
    </row>
    <row r="6" spans="1:53" s="36" customFormat="1" x14ac:dyDescent="0.15">
      <c r="A6" s="36" t="s">
        <v>44</v>
      </c>
      <c r="B6" s="36" t="s">
        <v>174</v>
      </c>
      <c r="C6" s="36">
        <v>2020</v>
      </c>
      <c r="D6" s="200" t="s">
        <v>161</v>
      </c>
      <c r="E6" s="36" t="s">
        <v>399</v>
      </c>
      <c r="F6" s="36" t="s">
        <v>400</v>
      </c>
      <c r="G6" s="36" t="s">
        <v>31</v>
      </c>
      <c r="H6" s="36" t="s">
        <v>164</v>
      </c>
      <c r="I6" s="36" t="s">
        <v>170</v>
      </c>
      <c r="J6" s="36" t="s">
        <v>27</v>
      </c>
      <c r="K6" s="36" t="s">
        <v>112</v>
      </c>
      <c r="L6" s="36">
        <v>2</v>
      </c>
      <c r="N6" s="36">
        <v>4</v>
      </c>
      <c r="O6" s="36">
        <v>0.6</v>
      </c>
      <c r="P6" s="36">
        <v>0.55000000000000004</v>
      </c>
      <c r="Q6" s="134">
        <f t="shared" si="1"/>
        <v>0.57499999999999996</v>
      </c>
      <c r="R6" s="36">
        <v>15.3</v>
      </c>
      <c r="S6" s="36">
        <v>104</v>
      </c>
      <c r="T6" s="115">
        <f t="shared" si="0"/>
        <v>33</v>
      </c>
      <c r="U6" s="36">
        <v>599</v>
      </c>
      <c r="V6" s="115">
        <f t="shared" si="2"/>
        <v>4941.75</v>
      </c>
      <c r="W6" s="36">
        <v>4</v>
      </c>
      <c r="X6" s="36" t="s">
        <v>28</v>
      </c>
      <c r="Y6" s="36" t="s">
        <v>43</v>
      </c>
      <c r="Z6" s="36" t="s">
        <v>29</v>
      </c>
      <c r="AA6" s="36" t="s">
        <v>90</v>
      </c>
      <c r="AB6" s="36" t="s">
        <v>178</v>
      </c>
      <c r="AE6" s="116" t="s">
        <v>44</v>
      </c>
      <c r="AG6" s="116" t="s">
        <v>408</v>
      </c>
      <c r="AH6" s="201" t="s">
        <v>400</v>
      </c>
      <c r="AL6" s="122" t="s">
        <v>226</v>
      </c>
      <c r="AN6" s="122" t="s">
        <v>170</v>
      </c>
      <c r="AP6" s="116" t="s">
        <v>41</v>
      </c>
      <c r="AR6" s="116" t="s">
        <v>46</v>
      </c>
      <c r="AV6" s="116" t="s">
        <v>47</v>
      </c>
      <c r="AX6" s="117">
        <v>97</v>
      </c>
      <c r="AY6" s="118">
        <v>36</v>
      </c>
      <c r="AZ6" s="118">
        <v>99</v>
      </c>
      <c r="BA6" s="119">
        <v>33</v>
      </c>
    </row>
    <row r="7" spans="1:53" s="36" customFormat="1" x14ac:dyDescent="0.15">
      <c r="A7" s="36" t="s">
        <v>44</v>
      </c>
      <c r="B7" s="36" t="s">
        <v>174</v>
      </c>
      <c r="C7" s="36">
        <v>2020</v>
      </c>
      <c r="D7" s="200" t="s">
        <v>161</v>
      </c>
      <c r="E7" s="36" t="s">
        <v>399</v>
      </c>
      <c r="F7" s="36" t="s">
        <v>400</v>
      </c>
      <c r="G7" s="36" t="s">
        <v>31</v>
      </c>
      <c r="H7" s="36" t="s">
        <v>164</v>
      </c>
      <c r="I7" s="36" t="s">
        <v>170</v>
      </c>
      <c r="J7" s="36" t="s">
        <v>27</v>
      </c>
      <c r="K7" s="36" t="s">
        <v>112</v>
      </c>
      <c r="L7" s="36">
        <v>3</v>
      </c>
      <c r="N7" s="36">
        <v>4</v>
      </c>
      <c r="O7" s="36">
        <v>0.9</v>
      </c>
      <c r="P7" s="36">
        <v>0.7</v>
      </c>
      <c r="Q7" s="134">
        <f t="shared" si="1"/>
        <v>0.8</v>
      </c>
      <c r="R7" s="36">
        <v>16.7</v>
      </c>
      <c r="S7" s="36">
        <v>103</v>
      </c>
      <c r="T7" s="115">
        <f t="shared" si="0"/>
        <v>33</v>
      </c>
      <c r="U7" s="36">
        <v>599</v>
      </c>
      <c r="V7" s="115">
        <f t="shared" si="2"/>
        <v>4941.75</v>
      </c>
      <c r="W7" s="36">
        <v>4</v>
      </c>
      <c r="X7" s="36" t="s">
        <v>28</v>
      </c>
      <c r="Y7" s="36" t="s">
        <v>43</v>
      </c>
      <c r="Z7" s="36" t="s">
        <v>29</v>
      </c>
      <c r="AA7" s="36" t="s">
        <v>90</v>
      </c>
      <c r="AB7" s="36" t="s">
        <v>178</v>
      </c>
      <c r="AE7" s="116" t="s">
        <v>48</v>
      </c>
      <c r="AG7" s="116" t="s">
        <v>196</v>
      </c>
      <c r="AH7" s="201" t="s">
        <v>409</v>
      </c>
      <c r="AL7" s="190" t="s">
        <v>228</v>
      </c>
      <c r="AP7" s="116" t="s">
        <v>45</v>
      </c>
      <c r="AR7" s="116" t="s">
        <v>229</v>
      </c>
      <c r="AV7" s="116" t="s">
        <v>51</v>
      </c>
      <c r="AX7" s="117">
        <v>109</v>
      </c>
      <c r="AY7" s="118">
        <v>33</v>
      </c>
      <c r="AZ7" s="118">
        <v>113</v>
      </c>
      <c r="BA7" s="119">
        <v>30</v>
      </c>
    </row>
    <row r="8" spans="1:53" s="36" customFormat="1" x14ac:dyDescent="0.15">
      <c r="A8" s="36" t="s">
        <v>44</v>
      </c>
      <c r="B8" s="36" t="s">
        <v>174</v>
      </c>
      <c r="C8" s="36">
        <v>2020</v>
      </c>
      <c r="D8" s="200" t="s">
        <v>161</v>
      </c>
      <c r="E8" s="36" t="s">
        <v>399</v>
      </c>
      <c r="F8" s="36" t="s">
        <v>400</v>
      </c>
      <c r="G8" s="36" t="s">
        <v>31</v>
      </c>
      <c r="H8" s="36" t="s">
        <v>164</v>
      </c>
      <c r="I8" s="36" t="s">
        <v>170</v>
      </c>
      <c r="J8" s="36" t="s">
        <v>27</v>
      </c>
      <c r="K8" s="36" t="s">
        <v>112</v>
      </c>
      <c r="L8" s="36">
        <v>1</v>
      </c>
      <c r="N8" s="36">
        <v>8</v>
      </c>
      <c r="O8" s="36">
        <v>0.7</v>
      </c>
      <c r="P8" s="36">
        <v>0.7</v>
      </c>
      <c r="Q8" s="134">
        <f t="shared" si="1"/>
        <v>0.7</v>
      </c>
      <c r="R8" s="36">
        <v>15</v>
      </c>
      <c r="S8" s="36">
        <v>103</v>
      </c>
      <c r="T8" s="115">
        <f t="shared" si="0"/>
        <v>33</v>
      </c>
      <c r="U8" s="36">
        <v>999</v>
      </c>
      <c r="V8" s="115">
        <f t="shared" si="2"/>
        <v>4120.875</v>
      </c>
      <c r="W8" s="36">
        <v>4</v>
      </c>
      <c r="X8" s="36" t="s">
        <v>28</v>
      </c>
      <c r="Y8" s="36" t="s">
        <v>43</v>
      </c>
      <c r="Z8" s="36" t="s">
        <v>29</v>
      </c>
      <c r="AA8" s="36" t="s">
        <v>90</v>
      </c>
      <c r="AB8" s="36" t="s">
        <v>178</v>
      </c>
      <c r="AE8" s="116" t="s">
        <v>46</v>
      </c>
      <c r="AG8" s="116" t="s">
        <v>410</v>
      </c>
      <c r="AH8" s="201" t="s">
        <v>409</v>
      </c>
      <c r="AL8" s="190" t="s">
        <v>164</v>
      </c>
      <c r="AP8" s="116" t="s">
        <v>49</v>
      </c>
      <c r="AR8" s="116" t="s">
        <v>67</v>
      </c>
      <c r="AV8" s="116" t="s">
        <v>82</v>
      </c>
      <c r="AX8" s="117">
        <v>119</v>
      </c>
      <c r="AY8" s="118">
        <v>30</v>
      </c>
      <c r="AZ8" s="118">
        <v>121</v>
      </c>
      <c r="BA8" s="119">
        <v>27</v>
      </c>
    </row>
    <row r="9" spans="1:53" s="36" customFormat="1" x14ac:dyDescent="0.15">
      <c r="A9" s="36" t="s">
        <v>44</v>
      </c>
      <c r="B9" s="36" t="s">
        <v>174</v>
      </c>
      <c r="C9" s="36">
        <v>2020</v>
      </c>
      <c r="D9" s="200" t="s">
        <v>161</v>
      </c>
      <c r="E9" s="36" t="s">
        <v>399</v>
      </c>
      <c r="F9" s="36" t="s">
        <v>400</v>
      </c>
      <c r="G9" s="36" t="s">
        <v>31</v>
      </c>
      <c r="H9" s="36" t="s">
        <v>164</v>
      </c>
      <c r="I9" s="36" t="s">
        <v>170</v>
      </c>
      <c r="J9" s="36" t="s">
        <v>27</v>
      </c>
      <c r="K9" s="36" t="s">
        <v>112</v>
      </c>
      <c r="L9" s="36">
        <v>2</v>
      </c>
      <c r="N9" s="36">
        <v>8</v>
      </c>
      <c r="O9" s="36">
        <v>0.6</v>
      </c>
      <c r="P9" s="36">
        <v>0.7</v>
      </c>
      <c r="Q9" s="134">
        <f t="shared" si="1"/>
        <v>0.64999999999999991</v>
      </c>
      <c r="R9" s="36">
        <v>15.3</v>
      </c>
      <c r="S9" s="36">
        <v>93</v>
      </c>
      <c r="T9" s="115">
        <f t="shared" si="0"/>
        <v>36</v>
      </c>
      <c r="U9" s="36">
        <v>999</v>
      </c>
      <c r="V9" s="115">
        <f t="shared" si="2"/>
        <v>4495.5</v>
      </c>
      <c r="W9" s="36">
        <v>4</v>
      </c>
      <c r="X9" s="36" t="s">
        <v>28</v>
      </c>
      <c r="Y9" s="36" t="s">
        <v>43</v>
      </c>
      <c r="Z9" s="36" t="s">
        <v>29</v>
      </c>
      <c r="AA9" s="36" t="s">
        <v>90</v>
      </c>
      <c r="AB9" s="36" t="s">
        <v>178</v>
      </c>
      <c r="AE9" s="116" t="s">
        <v>232</v>
      </c>
      <c r="AG9" s="116" t="s">
        <v>399</v>
      </c>
      <c r="AH9" s="116" t="s">
        <v>404</v>
      </c>
      <c r="AL9" s="122" t="s">
        <v>235</v>
      </c>
      <c r="AP9" s="116" t="s">
        <v>80</v>
      </c>
      <c r="AR9" s="116" t="s">
        <v>236</v>
      </c>
      <c r="AV9" s="116" t="s">
        <v>86</v>
      </c>
      <c r="AX9" s="117">
        <v>128</v>
      </c>
      <c r="AY9" s="118">
        <v>27</v>
      </c>
      <c r="AZ9" s="118">
        <v>129</v>
      </c>
      <c r="BA9" s="119">
        <v>25</v>
      </c>
    </row>
    <row r="10" spans="1:53" s="36" customFormat="1" x14ac:dyDescent="0.15">
      <c r="A10" s="36" t="s">
        <v>44</v>
      </c>
      <c r="B10" s="36" t="s">
        <v>174</v>
      </c>
      <c r="C10" s="36">
        <v>2020</v>
      </c>
      <c r="D10" s="200" t="s">
        <v>161</v>
      </c>
      <c r="E10" s="36" t="s">
        <v>399</v>
      </c>
      <c r="F10" s="36" t="s">
        <v>400</v>
      </c>
      <c r="G10" s="36" t="s">
        <v>31</v>
      </c>
      <c r="H10" s="36" t="s">
        <v>164</v>
      </c>
      <c r="I10" s="36" t="s">
        <v>170</v>
      </c>
      <c r="J10" s="36" t="s">
        <v>27</v>
      </c>
      <c r="K10" s="36" t="s">
        <v>112</v>
      </c>
      <c r="L10" s="36">
        <v>3</v>
      </c>
      <c r="N10" s="36">
        <v>8</v>
      </c>
      <c r="O10" s="36">
        <v>1</v>
      </c>
      <c r="P10" s="36">
        <v>1</v>
      </c>
      <c r="Q10" s="134">
        <f t="shared" si="1"/>
        <v>1</v>
      </c>
      <c r="R10" s="36">
        <v>12.9</v>
      </c>
      <c r="S10" s="36">
        <v>95</v>
      </c>
      <c r="T10" s="115">
        <f t="shared" si="0"/>
        <v>36</v>
      </c>
      <c r="U10" s="36">
        <v>999</v>
      </c>
      <c r="V10" s="115">
        <f t="shared" si="2"/>
        <v>4495.5</v>
      </c>
      <c r="W10" s="36">
        <v>4</v>
      </c>
      <c r="X10" s="36" t="s">
        <v>28</v>
      </c>
      <c r="Y10" s="36" t="s">
        <v>43</v>
      </c>
      <c r="Z10" s="36" t="s">
        <v>29</v>
      </c>
      <c r="AA10" s="36" t="s">
        <v>90</v>
      </c>
      <c r="AB10" s="36" t="s">
        <v>178</v>
      </c>
      <c r="AE10" s="116" t="s">
        <v>237</v>
      </c>
      <c r="AG10" s="116" t="s">
        <v>196</v>
      </c>
      <c r="AH10" s="201" t="s">
        <v>400</v>
      </c>
      <c r="AL10" s="190"/>
      <c r="AP10" s="116" t="s">
        <v>84</v>
      </c>
      <c r="AR10" s="116" t="s">
        <v>239</v>
      </c>
      <c r="AV10" s="116" t="s">
        <v>90</v>
      </c>
      <c r="AX10" s="117">
        <v>138</v>
      </c>
      <c r="AY10" s="118">
        <v>25</v>
      </c>
      <c r="AZ10" s="118">
        <v>138</v>
      </c>
      <c r="BA10" s="119">
        <v>22</v>
      </c>
    </row>
    <row r="11" spans="1:53" s="36" customFormat="1" x14ac:dyDescent="0.15">
      <c r="A11" s="36" t="s">
        <v>44</v>
      </c>
      <c r="B11" s="36" t="s">
        <v>174</v>
      </c>
      <c r="C11" s="36">
        <v>2020</v>
      </c>
      <c r="D11" s="200" t="s">
        <v>161</v>
      </c>
      <c r="E11" s="36" t="s">
        <v>403</v>
      </c>
      <c r="F11" s="36" t="s">
        <v>404</v>
      </c>
      <c r="G11" s="36" t="s">
        <v>25</v>
      </c>
      <c r="H11" s="36" t="s">
        <v>113</v>
      </c>
      <c r="I11" s="36" t="s">
        <v>111</v>
      </c>
      <c r="J11" s="36" t="s">
        <v>27</v>
      </c>
      <c r="K11" s="36" t="s">
        <v>112</v>
      </c>
      <c r="L11" s="36">
        <v>1</v>
      </c>
      <c r="N11" s="36">
        <v>5</v>
      </c>
      <c r="O11" s="36">
        <v>0.6</v>
      </c>
      <c r="P11" s="36">
        <v>0.55000000000000004</v>
      </c>
      <c r="Q11" s="134">
        <f t="shared" si="1"/>
        <v>0.57499999999999996</v>
      </c>
      <c r="R11" s="36">
        <v>13.3</v>
      </c>
      <c r="S11" s="36">
        <v>129</v>
      </c>
      <c r="T11" s="115">
        <f t="shared" si="0"/>
        <v>25</v>
      </c>
      <c r="U11" s="36">
        <v>480</v>
      </c>
      <c r="V11" s="115">
        <f t="shared" si="2"/>
        <v>2400</v>
      </c>
      <c r="W11" s="36">
        <v>4</v>
      </c>
      <c r="X11" s="36" t="s">
        <v>35</v>
      </c>
      <c r="Y11" s="36" t="s">
        <v>43</v>
      </c>
      <c r="Z11" s="36" t="s">
        <v>29</v>
      </c>
      <c r="AA11" s="36" t="s">
        <v>36</v>
      </c>
      <c r="AB11" s="36" t="s">
        <v>178</v>
      </c>
      <c r="AE11" s="116" t="s">
        <v>54</v>
      </c>
      <c r="AG11" s="116" t="s">
        <v>408</v>
      </c>
      <c r="AH11" s="201" t="s">
        <v>400</v>
      </c>
      <c r="AJ11" s="190"/>
      <c r="AP11" s="116" t="s">
        <v>88</v>
      </c>
      <c r="AR11" s="116" t="s">
        <v>242</v>
      </c>
      <c r="AV11" s="116" t="s">
        <v>55</v>
      </c>
    </row>
    <row r="12" spans="1:53" s="36" customFormat="1" x14ac:dyDescent="0.15">
      <c r="A12" s="36" t="s">
        <v>44</v>
      </c>
      <c r="B12" s="36" t="s">
        <v>174</v>
      </c>
      <c r="C12" s="36">
        <v>2020</v>
      </c>
      <c r="D12" s="200" t="s">
        <v>161</v>
      </c>
      <c r="E12" s="36" t="s">
        <v>403</v>
      </c>
      <c r="F12" s="36" t="s">
        <v>404</v>
      </c>
      <c r="G12" s="36" t="s">
        <v>25</v>
      </c>
      <c r="H12" s="36" t="s">
        <v>113</v>
      </c>
      <c r="I12" s="36" t="s">
        <v>111</v>
      </c>
      <c r="J12" s="36" t="s">
        <v>27</v>
      </c>
      <c r="K12" s="36" t="s">
        <v>112</v>
      </c>
      <c r="L12" s="36">
        <v>2</v>
      </c>
      <c r="N12" s="36">
        <v>5</v>
      </c>
      <c r="O12" s="36">
        <v>0.5</v>
      </c>
      <c r="P12" s="36">
        <v>0.6</v>
      </c>
      <c r="Q12" s="134">
        <f t="shared" si="1"/>
        <v>0.55000000000000004</v>
      </c>
      <c r="R12" s="36">
        <v>13.6</v>
      </c>
      <c r="S12" s="36">
        <v>129</v>
      </c>
      <c r="T12" s="115">
        <f t="shared" si="0"/>
        <v>25</v>
      </c>
      <c r="U12" s="36">
        <v>480</v>
      </c>
      <c r="V12" s="115">
        <f t="shared" si="2"/>
        <v>2400</v>
      </c>
      <c r="W12" s="36">
        <v>4</v>
      </c>
      <c r="X12" s="36" t="s">
        <v>35</v>
      </c>
      <c r="Y12" s="36" t="s">
        <v>43</v>
      </c>
      <c r="Z12" s="36" t="s">
        <v>29</v>
      </c>
      <c r="AA12" s="36" t="s">
        <v>36</v>
      </c>
      <c r="AB12" s="36" t="s">
        <v>178</v>
      </c>
      <c r="AE12" s="116" t="s">
        <v>243</v>
      </c>
      <c r="AG12" s="116" t="s">
        <v>403</v>
      </c>
      <c r="AH12" s="201" t="s">
        <v>400</v>
      </c>
      <c r="AJ12" s="190"/>
      <c r="AP12" s="116" t="s">
        <v>53</v>
      </c>
      <c r="AR12" s="116" t="s">
        <v>244</v>
      </c>
      <c r="AV12" s="116" t="s">
        <v>58</v>
      </c>
    </row>
    <row r="13" spans="1:53" s="36" customFormat="1" x14ac:dyDescent="0.15">
      <c r="A13" s="36" t="s">
        <v>44</v>
      </c>
      <c r="B13" s="36" t="s">
        <v>174</v>
      </c>
      <c r="C13" s="36">
        <v>2020</v>
      </c>
      <c r="D13" s="200" t="s">
        <v>161</v>
      </c>
      <c r="E13" s="36" t="s">
        <v>403</v>
      </c>
      <c r="F13" s="36" t="s">
        <v>404</v>
      </c>
      <c r="G13" s="36" t="s">
        <v>25</v>
      </c>
      <c r="H13" s="36" t="s">
        <v>113</v>
      </c>
      <c r="I13" s="36" t="s">
        <v>111</v>
      </c>
      <c r="J13" s="36" t="s">
        <v>27</v>
      </c>
      <c r="K13" s="36" t="s">
        <v>112</v>
      </c>
      <c r="L13" s="36">
        <v>3</v>
      </c>
      <c r="N13" s="36">
        <v>5</v>
      </c>
      <c r="O13" s="36">
        <v>0.6</v>
      </c>
      <c r="P13" s="36">
        <v>0.6</v>
      </c>
      <c r="Q13" s="134">
        <f t="shared" si="1"/>
        <v>0.6</v>
      </c>
      <c r="R13" s="36">
        <v>12.3</v>
      </c>
      <c r="S13" s="36">
        <v>125</v>
      </c>
      <c r="T13" s="115">
        <f t="shared" si="0"/>
        <v>27</v>
      </c>
      <c r="U13" s="36">
        <v>480</v>
      </c>
      <c r="V13" s="115">
        <f t="shared" si="2"/>
        <v>2592</v>
      </c>
      <c r="W13" s="36">
        <v>4</v>
      </c>
      <c r="X13" s="36" t="s">
        <v>35</v>
      </c>
      <c r="Y13" s="36" t="s">
        <v>43</v>
      </c>
      <c r="Z13" s="36" t="s">
        <v>29</v>
      </c>
      <c r="AA13" s="36" t="s">
        <v>36</v>
      </c>
      <c r="AB13" s="36" t="s">
        <v>178</v>
      </c>
      <c r="AE13" s="116" t="s">
        <v>245</v>
      </c>
      <c r="AP13" s="116" t="s">
        <v>57</v>
      </c>
      <c r="AR13" s="116" t="s">
        <v>237</v>
      </c>
      <c r="AV13" s="116" t="s">
        <v>61</v>
      </c>
    </row>
    <row r="14" spans="1:53" s="36" customFormat="1" x14ac:dyDescent="0.15">
      <c r="A14" s="36" t="s">
        <v>44</v>
      </c>
      <c r="B14" s="36" t="s">
        <v>174</v>
      </c>
      <c r="C14" s="36">
        <v>2020</v>
      </c>
      <c r="D14" s="200" t="s">
        <v>161</v>
      </c>
      <c r="E14" s="36" t="s">
        <v>403</v>
      </c>
      <c r="F14" s="36" t="s">
        <v>404</v>
      </c>
      <c r="G14" s="36" t="s">
        <v>25</v>
      </c>
      <c r="H14" s="36" t="s">
        <v>113</v>
      </c>
      <c r="I14" s="36" t="s">
        <v>111</v>
      </c>
      <c r="J14" s="36" t="s">
        <v>27</v>
      </c>
      <c r="K14" s="36" t="s">
        <v>112</v>
      </c>
      <c r="L14" s="36">
        <v>1</v>
      </c>
      <c r="N14" s="36">
        <v>1</v>
      </c>
      <c r="O14" s="36">
        <v>0.7</v>
      </c>
      <c r="P14" s="36">
        <v>0.65</v>
      </c>
      <c r="Q14" s="134">
        <f t="shared" si="1"/>
        <v>0.67500000000000004</v>
      </c>
      <c r="R14" s="36">
        <v>14</v>
      </c>
      <c r="S14" s="36">
        <v>126</v>
      </c>
      <c r="T14" s="115">
        <f t="shared" si="0"/>
        <v>27</v>
      </c>
      <c r="U14" s="36">
        <v>98</v>
      </c>
      <c r="V14" s="115">
        <f t="shared" si="2"/>
        <v>2646</v>
      </c>
      <c r="W14" s="36">
        <v>4</v>
      </c>
      <c r="X14" s="36" t="s">
        <v>35</v>
      </c>
      <c r="Y14" s="36" t="s">
        <v>43</v>
      </c>
      <c r="Z14" s="36" t="s">
        <v>29</v>
      </c>
      <c r="AA14" s="36" t="s">
        <v>36</v>
      </c>
      <c r="AB14" s="36" t="s">
        <v>178</v>
      </c>
      <c r="AE14" s="116" t="s">
        <v>81</v>
      </c>
      <c r="AP14" s="116" t="s">
        <v>60</v>
      </c>
      <c r="AR14" s="116" t="s">
        <v>246</v>
      </c>
      <c r="AV14" s="116" t="s">
        <v>64</v>
      </c>
    </row>
    <row r="15" spans="1:53" s="36" customFormat="1" x14ac:dyDescent="0.15">
      <c r="A15" s="36" t="s">
        <v>44</v>
      </c>
      <c r="B15" s="36" t="s">
        <v>174</v>
      </c>
      <c r="C15" s="36">
        <v>2020</v>
      </c>
      <c r="D15" s="200" t="s">
        <v>161</v>
      </c>
      <c r="E15" s="36" t="s">
        <v>403</v>
      </c>
      <c r="F15" s="36" t="s">
        <v>404</v>
      </c>
      <c r="G15" s="36" t="s">
        <v>25</v>
      </c>
      <c r="H15" s="36" t="s">
        <v>113</v>
      </c>
      <c r="I15" s="36" t="s">
        <v>111</v>
      </c>
      <c r="J15" s="36" t="s">
        <v>27</v>
      </c>
      <c r="K15" s="36" t="s">
        <v>112</v>
      </c>
      <c r="L15" s="36">
        <v>2</v>
      </c>
      <c r="N15" s="36">
        <v>1</v>
      </c>
      <c r="O15" s="36">
        <v>0.7</v>
      </c>
      <c r="P15" s="36">
        <v>1.05</v>
      </c>
      <c r="Q15" s="134">
        <f t="shared" si="1"/>
        <v>0.875</v>
      </c>
      <c r="R15" s="36">
        <v>14.3</v>
      </c>
      <c r="S15" s="36">
        <v>128</v>
      </c>
      <c r="T15" s="115">
        <f t="shared" si="0"/>
        <v>27</v>
      </c>
      <c r="U15" s="36">
        <v>98</v>
      </c>
      <c r="V15" s="115">
        <f t="shared" si="2"/>
        <v>2646</v>
      </c>
      <c r="W15" s="36">
        <v>4</v>
      </c>
      <c r="X15" s="36" t="s">
        <v>35</v>
      </c>
      <c r="Y15" s="36" t="s">
        <v>43</v>
      </c>
      <c r="Z15" s="36" t="s">
        <v>29</v>
      </c>
      <c r="AA15" s="36" t="s">
        <v>36</v>
      </c>
      <c r="AB15" s="36" t="s">
        <v>178</v>
      </c>
      <c r="AE15" s="116" t="s">
        <v>247</v>
      </c>
      <c r="AP15" s="116" t="s">
        <v>63</v>
      </c>
      <c r="AR15" s="116" t="s">
        <v>66</v>
      </c>
      <c r="AV15" s="116" t="s">
        <v>91</v>
      </c>
    </row>
    <row r="16" spans="1:53" s="36" customFormat="1" x14ac:dyDescent="0.15">
      <c r="A16" s="36" t="s">
        <v>44</v>
      </c>
      <c r="B16" s="36" t="s">
        <v>174</v>
      </c>
      <c r="C16" s="36">
        <v>2020</v>
      </c>
      <c r="D16" s="200" t="s">
        <v>161</v>
      </c>
      <c r="E16" s="36" t="s">
        <v>403</v>
      </c>
      <c r="F16" s="36" t="s">
        <v>404</v>
      </c>
      <c r="G16" s="36" t="s">
        <v>25</v>
      </c>
      <c r="H16" s="36" t="s">
        <v>113</v>
      </c>
      <c r="I16" s="36" t="s">
        <v>111</v>
      </c>
      <c r="J16" s="36" t="s">
        <v>27</v>
      </c>
      <c r="K16" s="36" t="s">
        <v>112</v>
      </c>
      <c r="L16" s="36">
        <v>3</v>
      </c>
      <c r="N16" s="36">
        <v>1</v>
      </c>
      <c r="O16" s="36">
        <v>0.8</v>
      </c>
      <c r="P16" s="36">
        <v>0.75</v>
      </c>
      <c r="Q16" s="134">
        <f t="shared" si="1"/>
        <v>0.77500000000000002</v>
      </c>
      <c r="R16" s="36">
        <v>14.8</v>
      </c>
      <c r="S16" s="36">
        <v>129</v>
      </c>
      <c r="T16" s="115">
        <f t="shared" si="0"/>
        <v>25</v>
      </c>
      <c r="U16" s="36">
        <v>98</v>
      </c>
      <c r="V16" s="115">
        <f t="shared" si="2"/>
        <v>2450</v>
      </c>
      <c r="W16" s="36">
        <v>4</v>
      </c>
      <c r="X16" s="36" t="s">
        <v>35</v>
      </c>
      <c r="Y16" s="36" t="s">
        <v>43</v>
      </c>
      <c r="Z16" s="36" t="s">
        <v>29</v>
      </c>
      <c r="AA16" s="36" t="s">
        <v>36</v>
      </c>
      <c r="AB16" s="36" t="s">
        <v>178</v>
      </c>
      <c r="AE16" s="116" t="s">
        <v>248</v>
      </c>
      <c r="AP16" s="116" t="s">
        <v>66</v>
      </c>
      <c r="AR16" s="116" t="s">
        <v>50</v>
      </c>
      <c r="AV16" s="116" t="s">
        <v>70</v>
      </c>
    </row>
    <row r="17" spans="1:48" s="36" customFormat="1" x14ac:dyDescent="0.15">
      <c r="A17" s="36" t="s">
        <v>44</v>
      </c>
      <c r="B17" s="36" t="s">
        <v>174</v>
      </c>
      <c r="C17" s="36">
        <v>2020</v>
      </c>
      <c r="D17" s="200" t="s">
        <v>161</v>
      </c>
      <c r="E17" s="36" t="s">
        <v>403</v>
      </c>
      <c r="F17" s="36" t="s">
        <v>404</v>
      </c>
      <c r="G17" s="36" t="s">
        <v>25</v>
      </c>
      <c r="H17" s="36" t="s">
        <v>164</v>
      </c>
      <c r="I17" s="36" t="s">
        <v>111</v>
      </c>
      <c r="J17" s="36" t="s">
        <v>27</v>
      </c>
      <c r="K17" s="36" t="s">
        <v>112</v>
      </c>
      <c r="L17" s="36">
        <v>1</v>
      </c>
      <c r="N17" s="36">
        <v>1</v>
      </c>
      <c r="O17" s="36">
        <v>0.8</v>
      </c>
      <c r="P17" s="36">
        <v>0.8</v>
      </c>
      <c r="Q17" s="134">
        <f t="shared" si="1"/>
        <v>0.8</v>
      </c>
      <c r="R17" s="36">
        <v>16</v>
      </c>
      <c r="S17" s="36">
        <v>161</v>
      </c>
      <c r="T17" s="115">
        <f t="shared" si="0"/>
        <v>22</v>
      </c>
      <c r="U17" s="36">
        <v>98</v>
      </c>
      <c r="V17" s="115">
        <f t="shared" si="2"/>
        <v>2156</v>
      </c>
      <c r="W17" s="36">
        <v>4</v>
      </c>
      <c r="X17" s="36" t="s">
        <v>35</v>
      </c>
      <c r="Y17" s="36" t="s">
        <v>43</v>
      </c>
      <c r="Z17" s="36" t="s">
        <v>29</v>
      </c>
      <c r="AA17" s="36" t="s">
        <v>36</v>
      </c>
      <c r="AB17" s="36" t="s">
        <v>178</v>
      </c>
      <c r="AE17" s="116" t="s">
        <v>249</v>
      </c>
      <c r="AP17" s="120" t="s">
        <v>250</v>
      </c>
      <c r="AR17" s="116" t="s">
        <v>81</v>
      </c>
      <c r="AV17" s="116" t="s">
        <v>72</v>
      </c>
    </row>
    <row r="18" spans="1:48" s="36" customFormat="1" x14ac:dyDescent="0.15">
      <c r="A18" s="36" t="s">
        <v>44</v>
      </c>
      <c r="B18" s="36" t="s">
        <v>174</v>
      </c>
      <c r="C18" s="36">
        <v>2020</v>
      </c>
      <c r="D18" s="200" t="s">
        <v>161</v>
      </c>
      <c r="E18" s="36" t="s">
        <v>403</v>
      </c>
      <c r="F18" s="36" t="s">
        <v>404</v>
      </c>
      <c r="G18" s="36" t="s">
        <v>25</v>
      </c>
      <c r="H18" s="36" t="s">
        <v>164</v>
      </c>
      <c r="I18" s="36" t="s">
        <v>111</v>
      </c>
      <c r="J18" s="36" t="s">
        <v>27</v>
      </c>
      <c r="K18" s="36" t="s">
        <v>112</v>
      </c>
      <c r="L18" s="36">
        <v>2</v>
      </c>
      <c r="N18" s="36">
        <v>1</v>
      </c>
      <c r="O18" s="36">
        <v>0.9</v>
      </c>
      <c r="P18" s="36">
        <v>1</v>
      </c>
      <c r="Q18" s="134">
        <f t="shared" si="1"/>
        <v>0.95</v>
      </c>
      <c r="R18" s="36">
        <v>13.5</v>
      </c>
      <c r="S18" s="36">
        <v>157</v>
      </c>
      <c r="T18" s="115">
        <f t="shared" si="0"/>
        <v>22</v>
      </c>
      <c r="U18" s="36">
        <v>98</v>
      </c>
      <c r="V18" s="115">
        <f t="shared" si="2"/>
        <v>2156</v>
      </c>
      <c r="W18" s="36">
        <v>4</v>
      </c>
      <c r="X18" s="36" t="s">
        <v>35</v>
      </c>
      <c r="Y18" s="36" t="s">
        <v>43</v>
      </c>
      <c r="Z18" s="36" t="s">
        <v>29</v>
      </c>
      <c r="AA18" s="36" t="s">
        <v>36</v>
      </c>
      <c r="AB18" s="36" t="s">
        <v>178</v>
      </c>
      <c r="AE18" s="116" t="s">
        <v>242</v>
      </c>
      <c r="AP18" s="120" t="s">
        <v>251</v>
      </c>
      <c r="AR18" s="116" t="s">
        <v>85</v>
      </c>
      <c r="AV18" s="116" t="s">
        <v>74</v>
      </c>
    </row>
    <row r="19" spans="1:48" s="36" customFormat="1" x14ac:dyDescent="0.15">
      <c r="A19" s="36" t="s">
        <v>44</v>
      </c>
      <c r="B19" s="36" t="s">
        <v>174</v>
      </c>
      <c r="C19" s="36">
        <v>2020</v>
      </c>
      <c r="D19" s="200" t="s">
        <v>161</v>
      </c>
      <c r="E19" s="36" t="s">
        <v>403</v>
      </c>
      <c r="F19" s="36" t="s">
        <v>404</v>
      </c>
      <c r="G19" s="36" t="s">
        <v>25</v>
      </c>
      <c r="H19" s="36" t="s">
        <v>164</v>
      </c>
      <c r="I19" s="36" t="s">
        <v>111</v>
      </c>
      <c r="J19" s="36" t="s">
        <v>27</v>
      </c>
      <c r="K19" s="36" t="s">
        <v>112</v>
      </c>
      <c r="L19" s="36">
        <v>3</v>
      </c>
      <c r="N19" s="36">
        <v>1</v>
      </c>
      <c r="O19" s="36">
        <v>0.65</v>
      </c>
      <c r="P19" s="36">
        <v>0.65</v>
      </c>
      <c r="Q19" s="134">
        <f t="shared" si="1"/>
        <v>0.65</v>
      </c>
      <c r="R19" s="36">
        <v>17.399999999999999</v>
      </c>
      <c r="S19" s="36">
        <v>162</v>
      </c>
      <c r="T19" s="115">
        <f t="shared" si="0"/>
        <v>22</v>
      </c>
      <c r="U19" s="36">
        <v>98</v>
      </c>
      <c r="V19" s="115">
        <f t="shared" si="2"/>
        <v>2156</v>
      </c>
      <c r="W19" s="36">
        <v>4</v>
      </c>
      <c r="X19" s="36" t="s">
        <v>35</v>
      </c>
      <c r="Y19" s="36" t="s">
        <v>43</v>
      </c>
      <c r="Z19" s="36" t="s">
        <v>29</v>
      </c>
      <c r="AA19" s="36" t="s">
        <v>36</v>
      </c>
      <c r="AB19" s="36" t="s">
        <v>178</v>
      </c>
      <c r="AE19" s="120" t="s">
        <v>236</v>
      </c>
      <c r="AP19" s="120" t="s">
        <v>252</v>
      </c>
      <c r="AR19" s="116" t="s">
        <v>253</v>
      </c>
      <c r="AV19" s="116" t="s">
        <v>76</v>
      </c>
    </row>
    <row r="20" spans="1:48" s="36" customFormat="1" x14ac:dyDescent="0.15">
      <c r="A20" s="36" t="s">
        <v>44</v>
      </c>
      <c r="B20" s="36" t="s">
        <v>174</v>
      </c>
      <c r="C20" s="36">
        <v>2020</v>
      </c>
      <c r="D20" s="200" t="s">
        <v>161</v>
      </c>
      <c r="E20" s="36" t="s">
        <v>403</v>
      </c>
      <c r="F20" s="36" t="s">
        <v>404</v>
      </c>
      <c r="G20" s="36" t="s">
        <v>25</v>
      </c>
      <c r="H20" s="36" t="s">
        <v>164</v>
      </c>
      <c r="I20" s="36" t="s">
        <v>111</v>
      </c>
      <c r="J20" s="36" t="s">
        <v>27</v>
      </c>
      <c r="K20" s="36" t="s">
        <v>112</v>
      </c>
      <c r="L20" s="36">
        <v>1</v>
      </c>
      <c r="N20" s="36">
        <v>5</v>
      </c>
      <c r="O20" s="36">
        <v>0.7</v>
      </c>
      <c r="P20" s="36">
        <v>0.7</v>
      </c>
      <c r="Q20" s="134">
        <f t="shared" si="1"/>
        <v>0.7</v>
      </c>
      <c r="R20" s="36">
        <v>17.399999999999999</v>
      </c>
      <c r="S20" s="36">
        <v>119</v>
      </c>
      <c r="T20" s="115">
        <f t="shared" si="0"/>
        <v>30</v>
      </c>
      <c r="U20" s="36">
        <v>498</v>
      </c>
      <c r="V20" s="115">
        <f t="shared" si="2"/>
        <v>2988</v>
      </c>
      <c r="W20" s="36">
        <v>8</v>
      </c>
      <c r="X20" s="36" t="s">
        <v>35</v>
      </c>
      <c r="Y20" s="36" t="s">
        <v>43</v>
      </c>
      <c r="Z20" s="36" t="s">
        <v>29</v>
      </c>
      <c r="AA20" s="36" t="s">
        <v>36</v>
      </c>
      <c r="AB20" s="36" t="s">
        <v>178</v>
      </c>
      <c r="AP20" s="120" t="s">
        <v>254</v>
      </c>
      <c r="AR20" s="116" t="s">
        <v>89</v>
      </c>
      <c r="AV20" s="120" t="s">
        <v>255</v>
      </c>
    </row>
    <row r="21" spans="1:48" s="36" customFormat="1" x14ac:dyDescent="0.15">
      <c r="A21" s="36" t="s">
        <v>44</v>
      </c>
      <c r="B21" s="36" t="s">
        <v>174</v>
      </c>
      <c r="C21" s="36">
        <v>2020</v>
      </c>
      <c r="D21" s="200" t="s">
        <v>161</v>
      </c>
      <c r="E21" s="36" t="s">
        <v>403</v>
      </c>
      <c r="F21" s="36" t="s">
        <v>404</v>
      </c>
      <c r="G21" s="36" t="s">
        <v>25</v>
      </c>
      <c r="H21" s="36" t="s">
        <v>164</v>
      </c>
      <c r="I21" s="36" t="s">
        <v>111</v>
      </c>
      <c r="J21" s="36" t="s">
        <v>27</v>
      </c>
      <c r="K21" s="36" t="s">
        <v>112</v>
      </c>
      <c r="L21" s="36">
        <v>2</v>
      </c>
      <c r="N21" s="36">
        <v>5</v>
      </c>
      <c r="O21" s="36">
        <v>0.75</v>
      </c>
      <c r="P21" s="36">
        <v>0.8</v>
      </c>
      <c r="Q21" s="134">
        <f t="shared" si="1"/>
        <v>0.77500000000000002</v>
      </c>
      <c r="R21" s="36">
        <v>16</v>
      </c>
      <c r="S21" s="36">
        <v>122</v>
      </c>
      <c r="T21" s="115">
        <f t="shared" si="0"/>
        <v>27</v>
      </c>
      <c r="U21" s="36">
        <v>498</v>
      </c>
      <c r="V21" s="115">
        <f t="shared" si="2"/>
        <v>2689.2</v>
      </c>
      <c r="W21" s="36">
        <v>8</v>
      </c>
      <c r="X21" s="36" t="s">
        <v>35</v>
      </c>
      <c r="Y21" s="36" t="s">
        <v>43</v>
      </c>
      <c r="Z21" s="36" t="s">
        <v>29</v>
      </c>
      <c r="AA21" s="36" t="s">
        <v>36</v>
      </c>
      <c r="AB21" s="36" t="s">
        <v>178</v>
      </c>
      <c r="AP21" s="120" t="s">
        <v>256</v>
      </c>
      <c r="AR21" s="116" t="s">
        <v>54</v>
      </c>
      <c r="AV21" s="121" t="s">
        <v>257</v>
      </c>
    </row>
    <row r="22" spans="1:48" s="36" customFormat="1" x14ac:dyDescent="0.15">
      <c r="A22" s="36" t="s">
        <v>44</v>
      </c>
      <c r="B22" s="36" t="s">
        <v>174</v>
      </c>
      <c r="C22" s="36">
        <v>2020</v>
      </c>
      <c r="D22" s="200" t="s">
        <v>161</v>
      </c>
      <c r="E22" s="36" t="s">
        <v>403</v>
      </c>
      <c r="F22" s="36" t="s">
        <v>404</v>
      </c>
      <c r="G22" s="36" t="s">
        <v>25</v>
      </c>
      <c r="H22" s="36" t="s">
        <v>164</v>
      </c>
      <c r="I22" s="36" t="s">
        <v>111</v>
      </c>
      <c r="J22" s="36" t="s">
        <v>27</v>
      </c>
      <c r="K22" s="36" t="s">
        <v>112</v>
      </c>
      <c r="L22" s="36">
        <v>3</v>
      </c>
      <c r="N22" s="36">
        <v>5</v>
      </c>
      <c r="O22" s="36">
        <v>0.8</v>
      </c>
      <c r="P22" s="36">
        <v>0.7</v>
      </c>
      <c r="Q22" s="134">
        <f t="shared" si="1"/>
        <v>0.75</v>
      </c>
      <c r="R22" s="36">
        <v>16.2</v>
      </c>
      <c r="S22" s="36">
        <v>118</v>
      </c>
      <c r="T22" s="115">
        <f t="shared" si="0"/>
        <v>30</v>
      </c>
      <c r="U22" s="36">
        <v>498</v>
      </c>
      <c r="V22" s="115">
        <f t="shared" si="2"/>
        <v>2988</v>
      </c>
      <c r="W22" s="36">
        <v>8</v>
      </c>
      <c r="X22" s="36" t="s">
        <v>35</v>
      </c>
      <c r="Y22" s="36" t="s">
        <v>43</v>
      </c>
      <c r="Z22" s="36" t="s">
        <v>29</v>
      </c>
      <c r="AA22" s="36" t="s">
        <v>36</v>
      </c>
      <c r="AB22" s="36" t="s">
        <v>178</v>
      </c>
      <c r="AP22" s="120" t="s">
        <v>258</v>
      </c>
      <c r="AR22" s="116" t="s">
        <v>69</v>
      </c>
    </row>
    <row r="23" spans="1:48" s="36" customFormat="1" x14ac:dyDescent="0.15">
      <c r="A23" s="36" t="s">
        <v>44</v>
      </c>
      <c r="B23" s="36" t="s">
        <v>174</v>
      </c>
      <c r="C23" s="36">
        <v>2020</v>
      </c>
      <c r="D23" s="200" t="s">
        <v>161</v>
      </c>
      <c r="E23" s="36" t="s">
        <v>196</v>
      </c>
      <c r="F23" s="36" t="s">
        <v>400</v>
      </c>
      <c r="G23" s="36" t="s">
        <v>25</v>
      </c>
      <c r="H23" s="36" t="s">
        <v>113</v>
      </c>
      <c r="I23" s="36" t="s">
        <v>111</v>
      </c>
      <c r="J23" s="36" t="s">
        <v>27</v>
      </c>
      <c r="K23" s="36" t="s">
        <v>112</v>
      </c>
      <c r="L23" s="36">
        <v>1</v>
      </c>
      <c r="N23" s="36">
        <v>1</v>
      </c>
      <c r="O23" s="36">
        <v>0.95</v>
      </c>
      <c r="P23" s="36">
        <v>0.95</v>
      </c>
      <c r="Q23" s="134">
        <f t="shared" si="1"/>
        <v>0.95</v>
      </c>
      <c r="R23" s="36">
        <v>16</v>
      </c>
      <c r="S23" s="36">
        <v>118</v>
      </c>
      <c r="T23" s="115">
        <f t="shared" si="0"/>
        <v>30</v>
      </c>
      <c r="U23" s="36">
        <v>128</v>
      </c>
      <c r="V23" s="115">
        <f t="shared" si="2"/>
        <v>3840</v>
      </c>
      <c r="W23" s="36">
        <v>4</v>
      </c>
      <c r="X23" s="36" t="s">
        <v>35</v>
      </c>
      <c r="Y23" s="36" t="s">
        <v>64</v>
      </c>
      <c r="Z23" s="36" t="s">
        <v>43</v>
      </c>
      <c r="AA23" s="36" t="s">
        <v>36</v>
      </c>
      <c r="AB23" s="36" t="s">
        <v>178</v>
      </c>
      <c r="AP23" s="120" t="s">
        <v>279</v>
      </c>
      <c r="AR23" s="116" t="s">
        <v>48</v>
      </c>
    </row>
    <row r="24" spans="1:48" s="36" customFormat="1" x14ac:dyDescent="0.15">
      <c r="A24" s="36" t="s">
        <v>44</v>
      </c>
      <c r="B24" s="36" t="s">
        <v>174</v>
      </c>
      <c r="C24" s="36">
        <v>2020</v>
      </c>
      <c r="D24" s="200" t="s">
        <v>161</v>
      </c>
      <c r="E24" s="36" t="s">
        <v>196</v>
      </c>
      <c r="F24" s="36" t="s">
        <v>400</v>
      </c>
      <c r="G24" s="36" t="s">
        <v>25</v>
      </c>
      <c r="H24" s="36" t="s">
        <v>113</v>
      </c>
      <c r="I24" s="36" t="s">
        <v>111</v>
      </c>
      <c r="J24" s="36" t="s">
        <v>27</v>
      </c>
      <c r="K24" s="36" t="s">
        <v>112</v>
      </c>
      <c r="L24" s="36">
        <v>2</v>
      </c>
      <c r="N24" s="36">
        <v>1</v>
      </c>
      <c r="O24" s="36">
        <v>0.7</v>
      </c>
      <c r="P24" s="36">
        <v>0.65</v>
      </c>
      <c r="Q24" s="134">
        <f t="shared" si="1"/>
        <v>0.67500000000000004</v>
      </c>
      <c r="R24" s="36">
        <v>14.9</v>
      </c>
      <c r="S24" s="36">
        <v>118</v>
      </c>
      <c r="T24" s="115">
        <f t="shared" si="0"/>
        <v>30</v>
      </c>
      <c r="U24" s="36">
        <v>128</v>
      </c>
      <c r="V24" s="115">
        <f t="shared" si="2"/>
        <v>3840</v>
      </c>
      <c r="W24" s="36">
        <v>4</v>
      </c>
      <c r="X24" s="36" t="s">
        <v>35</v>
      </c>
      <c r="Y24" s="36" t="s">
        <v>64</v>
      </c>
      <c r="Z24" s="36" t="s">
        <v>43</v>
      </c>
      <c r="AA24" s="36" t="s">
        <v>36</v>
      </c>
      <c r="AB24" s="36" t="s">
        <v>178</v>
      </c>
      <c r="AP24" s="120" t="s">
        <v>280</v>
      </c>
      <c r="AR24" s="116" t="s">
        <v>77</v>
      </c>
    </row>
    <row r="25" spans="1:48" s="36" customFormat="1" x14ac:dyDescent="0.15">
      <c r="A25" s="36" t="s">
        <v>44</v>
      </c>
      <c r="B25" s="36" t="s">
        <v>174</v>
      </c>
      <c r="C25" s="36">
        <v>2020</v>
      </c>
      <c r="D25" s="200" t="s">
        <v>161</v>
      </c>
      <c r="E25" s="36" t="s">
        <v>196</v>
      </c>
      <c r="F25" s="36" t="s">
        <v>400</v>
      </c>
      <c r="G25" s="36" t="s">
        <v>25</v>
      </c>
      <c r="H25" s="36" t="s">
        <v>113</v>
      </c>
      <c r="I25" s="36" t="s">
        <v>111</v>
      </c>
      <c r="J25" s="36" t="s">
        <v>27</v>
      </c>
      <c r="K25" s="36" t="s">
        <v>112</v>
      </c>
      <c r="L25" s="36">
        <v>3</v>
      </c>
      <c r="N25" s="36">
        <v>1</v>
      </c>
      <c r="O25" s="36">
        <v>0.7</v>
      </c>
      <c r="P25" s="36">
        <v>0.7</v>
      </c>
      <c r="Q25" s="134">
        <f t="shared" si="1"/>
        <v>0.7</v>
      </c>
      <c r="R25" s="36">
        <v>14.6</v>
      </c>
      <c r="S25" s="36">
        <v>114</v>
      </c>
      <c r="T25" s="115">
        <f t="shared" si="0"/>
        <v>30</v>
      </c>
      <c r="U25" s="36">
        <v>128</v>
      </c>
      <c r="V25" s="115">
        <f t="shared" si="2"/>
        <v>3840</v>
      </c>
      <c r="W25" s="36">
        <v>4</v>
      </c>
      <c r="X25" s="36" t="s">
        <v>35</v>
      </c>
      <c r="Y25" s="36" t="s">
        <v>64</v>
      </c>
      <c r="Z25" s="36" t="s">
        <v>43</v>
      </c>
      <c r="AA25" s="36" t="s">
        <v>36</v>
      </c>
      <c r="AB25" s="36" t="s">
        <v>178</v>
      </c>
      <c r="AP25" s="120" t="s">
        <v>281</v>
      </c>
      <c r="AR25" s="120" t="s">
        <v>40</v>
      </c>
    </row>
    <row r="26" spans="1:48" s="36" customFormat="1" x14ac:dyDescent="0.15">
      <c r="A26" s="36" t="s">
        <v>44</v>
      </c>
      <c r="B26" s="36" t="s">
        <v>174</v>
      </c>
      <c r="C26" s="36">
        <v>2020</v>
      </c>
      <c r="D26" s="200" t="s">
        <v>161</v>
      </c>
      <c r="E26" s="36" t="s">
        <v>196</v>
      </c>
      <c r="F26" s="36" t="s">
        <v>400</v>
      </c>
      <c r="G26" s="36" t="s">
        <v>25</v>
      </c>
      <c r="H26" s="36" t="s">
        <v>113</v>
      </c>
      <c r="I26" s="36" t="s">
        <v>111</v>
      </c>
      <c r="J26" s="36" t="s">
        <v>27</v>
      </c>
      <c r="K26" s="36" t="s">
        <v>112</v>
      </c>
      <c r="L26" s="36">
        <v>1</v>
      </c>
      <c r="N26" s="36">
        <v>5</v>
      </c>
      <c r="O26" s="36">
        <v>0.8</v>
      </c>
      <c r="P26" s="36">
        <v>0.7</v>
      </c>
      <c r="Q26" s="134">
        <f t="shared" si="1"/>
        <v>0.75</v>
      </c>
      <c r="R26" s="36">
        <v>14.4</v>
      </c>
      <c r="S26" s="36">
        <v>84</v>
      </c>
      <c r="T26" s="115">
        <f t="shared" si="0"/>
        <v>36</v>
      </c>
      <c r="U26" s="36">
        <v>498</v>
      </c>
      <c r="V26" s="115">
        <f t="shared" si="2"/>
        <v>3585.6</v>
      </c>
      <c r="W26" s="36">
        <v>2</v>
      </c>
      <c r="X26" s="36" t="s">
        <v>35</v>
      </c>
      <c r="Y26" s="36" t="s">
        <v>64</v>
      </c>
      <c r="Z26" s="36" t="s">
        <v>43</v>
      </c>
      <c r="AA26" s="36" t="s">
        <v>36</v>
      </c>
      <c r="AB26" s="36" t="s">
        <v>178</v>
      </c>
      <c r="AP26" s="120" t="s">
        <v>259</v>
      </c>
      <c r="AR26" s="36" t="s">
        <v>260</v>
      </c>
    </row>
    <row r="27" spans="1:48" s="36" customFormat="1" x14ac:dyDescent="0.15">
      <c r="A27" s="36" t="s">
        <v>44</v>
      </c>
      <c r="B27" s="36" t="s">
        <v>174</v>
      </c>
      <c r="C27" s="36">
        <v>2020</v>
      </c>
      <c r="D27" s="200" t="s">
        <v>161</v>
      </c>
      <c r="E27" s="36" t="s">
        <v>196</v>
      </c>
      <c r="F27" s="36" t="s">
        <v>400</v>
      </c>
      <c r="G27" s="36" t="s">
        <v>25</v>
      </c>
      <c r="H27" s="36" t="s">
        <v>113</v>
      </c>
      <c r="I27" s="36" t="s">
        <v>111</v>
      </c>
      <c r="J27" s="36" t="s">
        <v>27</v>
      </c>
      <c r="K27" s="36" t="s">
        <v>112</v>
      </c>
      <c r="L27" s="36">
        <v>2</v>
      </c>
      <c r="N27" s="36">
        <v>5</v>
      </c>
      <c r="O27" s="36">
        <v>0.55000000000000004</v>
      </c>
      <c r="P27" s="36">
        <v>0.6</v>
      </c>
      <c r="Q27" s="134">
        <f t="shared" si="1"/>
        <v>0.57499999999999996</v>
      </c>
      <c r="R27" s="36">
        <v>15</v>
      </c>
      <c r="S27" s="36">
        <v>82</v>
      </c>
      <c r="T27" s="115">
        <f t="shared" si="0"/>
        <v>39</v>
      </c>
      <c r="U27" s="36">
        <v>498</v>
      </c>
      <c r="V27" s="115">
        <f t="shared" si="2"/>
        <v>3884.3999999999996</v>
      </c>
      <c r="W27" s="36">
        <v>2</v>
      </c>
      <c r="X27" s="36" t="s">
        <v>35</v>
      </c>
      <c r="Y27" s="36" t="s">
        <v>64</v>
      </c>
      <c r="Z27" s="36" t="s">
        <v>43</v>
      </c>
      <c r="AA27" s="36" t="s">
        <v>36</v>
      </c>
      <c r="AB27" s="36" t="s">
        <v>178</v>
      </c>
      <c r="AP27" s="120" t="s">
        <v>261</v>
      </c>
    </row>
    <row r="28" spans="1:48" s="36" customFormat="1" x14ac:dyDescent="0.15">
      <c r="A28" s="36" t="s">
        <v>44</v>
      </c>
      <c r="B28" s="36" t="s">
        <v>174</v>
      </c>
      <c r="C28" s="36">
        <v>2020</v>
      </c>
      <c r="D28" s="200" t="s">
        <v>161</v>
      </c>
      <c r="E28" s="36" t="s">
        <v>196</v>
      </c>
      <c r="F28" s="36" t="s">
        <v>400</v>
      </c>
      <c r="G28" s="36" t="s">
        <v>25</v>
      </c>
      <c r="H28" s="36" t="s">
        <v>113</v>
      </c>
      <c r="I28" s="36" t="s">
        <v>111</v>
      </c>
      <c r="J28" s="36" t="s">
        <v>27</v>
      </c>
      <c r="K28" s="36" t="s">
        <v>112</v>
      </c>
      <c r="L28" s="36">
        <v>3</v>
      </c>
      <c r="N28" s="36">
        <v>5</v>
      </c>
      <c r="O28" s="36">
        <v>0.5</v>
      </c>
      <c r="P28" s="36">
        <v>0.5</v>
      </c>
      <c r="Q28" s="134">
        <f t="shared" si="1"/>
        <v>0.5</v>
      </c>
      <c r="R28" s="36">
        <v>14.9</v>
      </c>
      <c r="S28" s="36">
        <v>91</v>
      </c>
      <c r="T28" s="115">
        <f t="shared" si="0"/>
        <v>36</v>
      </c>
      <c r="U28" s="36">
        <v>498</v>
      </c>
      <c r="V28" s="115">
        <f t="shared" si="2"/>
        <v>3585.6</v>
      </c>
      <c r="W28" s="36">
        <v>2</v>
      </c>
      <c r="X28" s="36" t="s">
        <v>35</v>
      </c>
      <c r="Y28" s="36" t="s">
        <v>64</v>
      </c>
      <c r="Z28" s="36" t="s">
        <v>43</v>
      </c>
      <c r="AA28" s="36" t="s">
        <v>36</v>
      </c>
      <c r="AB28" s="36" t="s">
        <v>178</v>
      </c>
    </row>
    <row r="29" spans="1:48" s="36" customFormat="1" x14ac:dyDescent="0.15">
      <c r="A29" s="36" t="s">
        <v>44</v>
      </c>
      <c r="B29" s="36" t="s">
        <v>174</v>
      </c>
      <c r="C29" s="36">
        <v>2020</v>
      </c>
      <c r="D29" s="200" t="s">
        <v>161</v>
      </c>
      <c r="E29" s="36" t="s">
        <v>196</v>
      </c>
      <c r="F29" s="36" t="s">
        <v>400</v>
      </c>
      <c r="G29" s="36" t="s">
        <v>25</v>
      </c>
      <c r="H29" s="36" t="s">
        <v>164</v>
      </c>
      <c r="I29" s="36" t="s">
        <v>111</v>
      </c>
      <c r="J29" s="36" t="s">
        <v>27</v>
      </c>
      <c r="K29" s="36" t="s">
        <v>112</v>
      </c>
      <c r="L29" s="36">
        <v>1</v>
      </c>
      <c r="N29" s="36">
        <v>1</v>
      </c>
      <c r="O29" s="36">
        <v>0.75</v>
      </c>
      <c r="P29" s="36">
        <v>0.65</v>
      </c>
      <c r="Q29" s="134">
        <f t="shared" si="1"/>
        <v>0.7</v>
      </c>
      <c r="R29" s="36">
        <v>16.399999999999999</v>
      </c>
      <c r="S29" s="36">
        <v>115</v>
      </c>
      <c r="T29" s="115">
        <f t="shared" si="0"/>
        <v>30</v>
      </c>
      <c r="U29" s="36">
        <v>128</v>
      </c>
      <c r="V29" s="115">
        <f t="shared" si="2"/>
        <v>3840</v>
      </c>
      <c r="W29" s="36">
        <v>4</v>
      </c>
      <c r="X29" s="36" t="s">
        <v>35</v>
      </c>
      <c r="Y29" s="36" t="s">
        <v>64</v>
      </c>
      <c r="Z29" s="36" t="s">
        <v>43</v>
      </c>
      <c r="AA29" s="36" t="s">
        <v>36</v>
      </c>
      <c r="AB29" s="36" t="s">
        <v>178</v>
      </c>
    </row>
    <row r="30" spans="1:48" s="36" customFormat="1" x14ac:dyDescent="0.15">
      <c r="A30" s="36" t="s">
        <v>44</v>
      </c>
      <c r="B30" s="36" t="s">
        <v>174</v>
      </c>
      <c r="C30" s="36">
        <v>2020</v>
      </c>
      <c r="D30" s="200" t="s">
        <v>161</v>
      </c>
      <c r="E30" s="36" t="s">
        <v>196</v>
      </c>
      <c r="F30" s="36" t="s">
        <v>400</v>
      </c>
      <c r="G30" s="36" t="s">
        <v>25</v>
      </c>
      <c r="H30" s="36" t="s">
        <v>164</v>
      </c>
      <c r="I30" s="36" t="s">
        <v>111</v>
      </c>
      <c r="J30" s="36" t="s">
        <v>27</v>
      </c>
      <c r="K30" s="36" t="s">
        <v>112</v>
      </c>
      <c r="L30" s="36">
        <v>2</v>
      </c>
      <c r="N30" s="36">
        <v>1</v>
      </c>
      <c r="O30" s="36">
        <v>1.25</v>
      </c>
      <c r="P30" s="36">
        <v>1.4</v>
      </c>
      <c r="Q30" s="134">
        <f t="shared" si="1"/>
        <v>1.325</v>
      </c>
      <c r="R30" s="36">
        <v>13.2</v>
      </c>
      <c r="S30" s="36">
        <v>114</v>
      </c>
      <c r="T30" s="115">
        <f t="shared" si="0"/>
        <v>30</v>
      </c>
      <c r="U30" s="36">
        <v>128</v>
      </c>
      <c r="V30" s="115">
        <f t="shared" si="2"/>
        <v>3840</v>
      </c>
      <c r="W30" s="36">
        <v>4</v>
      </c>
      <c r="X30" s="36" t="s">
        <v>35</v>
      </c>
      <c r="Y30" s="36" t="s">
        <v>64</v>
      </c>
      <c r="Z30" s="36" t="s">
        <v>43</v>
      </c>
      <c r="AA30" s="36" t="s">
        <v>36</v>
      </c>
      <c r="AB30" s="36" t="s">
        <v>178</v>
      </c>
    </row>
    <row r="31" spans="1:48" s="36" customFormat="1" x14ac:dyDescent="0.15">
      <c r="A31" s="36" t="s">
        <v>44</v>
      </c>
      <c r="B31" s="36" t="s">
        <v>174</v>
      </c>
      <c r="C31" s="36">
        <v>2020</v>
      </c>
      <c r="D31" s="200" t="s">
        <v>161</v>
      </c>
      <c r="E31" s="36" t="s">
        <v>196</v>
      </c>
      <c r="F31" s="36" t="s">
        <v>400</v>
      </c>
      <c r="G31" s="36" t="s">
        <v>25</v>
      </c>
      <c r="H31" s="36" t="s">
        <v>164</v>
      </c>
      <c r="I31" s="36" t="s">
        <v>111</v>
      </c>
      <c r="J31" s="36" t="s">
        <v>27</v>
      </c>
      <c r="K31" s="36" t="s">
        <v>112</v>
      </c>
      <c r="L31" s="36">
        <v>3</v>
      </c>
      <c r="N31" s="36">
        <v>1</v>
      </c>
      <c r="O31" s="36">
        <v>0.7</v>
      </c>
      <c r="P31" s="36">
        <v>0.75</v>
      </c>
      <c r="Q31" s="134">
        <f t="shared" si="1"/>
        <v>0.72499999999999998</v>
      </c>
      <c r="R31" s="36">
        <v>15.2</v>
      </c>
      <c r="S31" s="36">
        <v>108</v>
      </c>
      <c r="T31" s="115">
        <f t="shared" si="0"/>
        <v>33</v>
      </c>
      <c r="U31" s="36">
        <v>128</v>
      </c>
      <c r="V31" s="115">
        <f t="shared" si="2"/>
        <v>4224</v>
      </c>
      <c r="W31" s="36">
        <v>4</v>
      </c>
      <c r="X31" s="36" t="s">
        <v>35</v>
      </c>
      <c r="Y31" s="36" t="s">
        <v>64</v>
      </c>
      <c r="Z31" s="36" t="s">
        <v>43</v>
      </c>
      <c r="AA31" s="36" t="s">
        <v>36</v>
      </c>
      <c r="AB31" s="36" t="s">
        <v>178</v>
      </c>
    </row>
    <row r="32" spans="1:48" s="36" customFormat="1" x14ac:dyDescent="0.15">
      <c r="A32" s="36" t="s">
        <v>44</v>
      </c>
      <c r="B32" s="36" t="s">
        <v>174</v>
      </c>
      <c r="C32" s="36">
        <v>2020</v>
      </c>
      <c r="D32" s="200" t="s">
        <v>161</v>
      </c>
      <c r="E32" s="36" t="s">
        <v>196</v>
      </c>
      <c r="F32" s="36" t="s">
        <v>400</v>
      </c>
      <c r="G32" s="36" t="s">
        <v>25</v>
      </c>
      <c r="H32" s="36" t="s">
        <v>164</v>
      </c>
      <c r="I32" s="36" t="s">
        <v>111</v>
      </c>
      <c r="J32" s="36" t="s">
        <v>27</v>
      </c>
      <c r="K32" s="36" t="s">
        <v>112</v>
      </c>
      <c r="L32" s="36">
        <v>1</v>
      </c>
      <c r="N32" s="36">
        <v>4</v>
      </c>
      <c r="O32" s="36">
        <v>0.7</v>
      </c>
      <c r="P32" s="36">
        <v>0.6</v>
      </c>
      <c r="Q32" s="134">
        <f t="shared" si="1"/>
        <v>0.64999999999999991</v>
      </c>
      <c r="R32" s="36">
        <v>15.6</v>
      </c>
      <c r="S32" s="36">
        <v>108</v>
      </c>
      <c r="T32" s="115">
        <f t="shared" si="0"/>
        <v>33</v>
      </c>
      <c r="U32" s="36">
        <v>498</v>
      </c>
      <c r="V32" s="115">
        <f t="shared" si="2"/>
        <v>4108.5</v>
      </c>
      <c r="W32" s="36">
        <v>4</v>
      </c>
      <c r="X32" s="36" t="s">
        <v>35</v>
      </c>
      <c r="Y32" s="36" t="s">
        <v>64</v>
      </c>
      <c r="Z32" s="36" t="s">
        <v>43</v>
      </c>
      <c r="AA32" s="36" t="s">
        <v>36</v>
      </c>
      <c r="AB32" s="36" t="s">
        <v>178</v>
      </c>
    </row>
    <row r="33" spans="1:28" s="36" customFormat="1" x14ac:dyDescent="0.15">
      <c r="A33" s="36" t="s">
        <v>44</v>
      </c>
      <c r="B33" s="36" t="s">
        <v>174</v>
      </c>
      <c r="C33" s="36">
        <v>2020</v>
      </c>
      <c r="D33" s="200" t="s">
        <v>161</v>
      </c>
      <c r="E33" s="36" t="s">
        <v>196</v>
      </c>
      <c r="F33" s="36" t="s">
        <v>400</v>
      </c>
      <c r="G33" s="36" t="s">
        <v>25</v>
      </c>
      <c r="H33" s="36" t="s">
        <v>164</v>
      </c>
      <c r="I33" s="36" t="s">
        <v>111</v>
      </c>
      <c r="J33" s="36" t="s">
        <v>27</v>
      </c>
      <c r="K33" s="36" t="s">
        <v>112</v>
      </c>
      <c r="L33" s="36">
        <v>2</v>
      </c>
      <c r="N33" s="36">
        <v>4</v>
      </c>
      <c r="O33" s="36">
        <v>0.6</v>
      </c>
      <c r="P33" s="36">
        <v>0.65</v>
      </c>
      <c r="Q33" s="134">
        <f t="shared" si="1"/>
        <v>0.625</v>
      </c>
      <c r="R33" s="36">
        <v>16.3</v>
      </c>
      <c r="S33" s="36">
        <v>97</v>
      </c>
      <c r="T33" s="115">
        <f t="shared" si="0"/>
        <v>36</v>
      </c>
      <c r="U33" s="36">
        <v>498</v>
      </c>
      <c r="V33" s="115">
        <f t="shared" si="2"/>
        <v>4482</v>
      </c>
      <c r="W33" s="36">
        <v>4</v>
      </c>
      <c r="X33" s="36" t="s">
        <v>35</v>
      </c>
      <c r="Y33" s="36" t="s">
        <v>64</v>
      </c>
      <c r="Z33" s="36" t="s">
        <v>43</v>
      </c>
      <c r="AA33" s="36" t="s">
        <v>36</v>
      </c>
      <c r="AB33" s="36" t="s">
        <v>178</v>
      </c>
    </row>
    <row r="34" spans="1:28" s="36" customFormat="1" x14ac:dyDescent="0.15">
      <c r="A34" s="36" t="s">
        <v>44</v>
      </c>
      <c r="B34" s="36" t="s">
        <v>174</v>
      </c>
      <c r="C34" s="36">
        <v>2020</v>
      </c>
      <c r="D34" s="200" t="s">
        <v>161</v>
      </c>
      <c r="E34" s="36" t="s">
        <v>196</v>
      </c>
      <c r="F34" s="36" t="s">
        <v>400</v>
      </c>
      <c r="G34" s="36" t="s">
        <v>25</v>
      </c>
      <c r="H34" s="36" t="s">
        <v>164</v>
      </c>
      <c r="I34" s="36" t="s">
        <v>111</v>
      </c>
      <c r="J34" s="36" t="s">
        <v>27</v>
      </c>
      <c r="K34" s="36" t="s">
        <v>112</v>
      </c>
      <c r="L34" s="36">
        <v>3</v>
      </c>
      <c r="N34" s="36">
        <v>4</v>
      </c>
      <c r="O34" s="36">
        <v>0.6</v>
      </c>
      <c r="P34" s="36">
        <v>0.6</v>
      </c>
      <c r="Q34" s="134">
        <f t="shared" si="1"/>
        <v>0.6</v>
      </c>
      <c r="R34" s="36">
        <v>16.8</v>
      </c>
      <c r="S34" s="36">
        <v>103</v>
      </c>
      <c r="T34" s="115">
        <f t="shared" si="0"/>
        <v>33</v>
      </c>
      <c r="U34" s="36">
        <v>498</v>
      </c>
      <c r="V34" s="115">
        <f t="shared" si="2"/>
        <v>4108.5</v>
      </c>
      <c r="W34" s="36">
        <v>4</v>
      </c>
      <c r="X34" s="36" t="s">
        <v>35</v>
      </c>
      <c r="Y34" s="36" t="s">
        <v>64</v>
      </c>
      <c r="Z34" s="36" t="s">
        <v>43</v>
      </c>
      <c r="AA34" s="36" t="s">
        <v>36</v>
      </c>
      <c r="AB34" s="36" t="s">
        <v>178</v>
      </c>
    </row>
    <row r="35" spans="1:28" s="36" customFormat="1" x14ac:dyDescent="0.15">
      <c r="A35" s="36" t="s">
        <v>44</v>
      </c>
      <c r="B35" s="36" t="s">
        <v>174</v>
      </c>
      <c r="C35" s="36">
        <v>2020</v>
      </c>
      <c r="D35" s="200" t="s">
        <v>161</v>
      </c>
      <c r="E35" s="36" t="s">
        <v>196</v>
      </c>
      <c r="F35" s="36" t="s">
        <v>400</v>
      </c>
      <c r="G35" s="36" t="s">
        <v>25</v>
      </c>
      <c r="H35" s="36" t="s">
        <v>164</v>
      </c>
      <c r="I35" s="36" t="s">
        <v>111</v>
      </c>
      <c r="J35" s="36" t="s">
        <v>27</v>
      </c>
      <c r="K35" s="36" t="s">
        <v>112</v>
      </c>
      <c r="L35" s="36">
        <v>1</v>
      </c>
      <c r="N35" s="36">
        <v>8</v>
      </c>
      <c r="O35" s="36">
        <v>0.55000000000000004</v>
      </c>
      <c r="P35" s="36">
        <v>0.6</v>
      </c>
      <c r="Q35" s="134">
        <f t="shared" si="1"/>
        <v>0.57499999999999996</v>
      </c>
      <c r="R35" s="36">
        <v>17.600000000000001</v>
      </c>
      <c r="S35" s="36">
        <v>91</v>
      </c>
      <c r="T35" s="115">
        <f t="shared" si="0"/>
        <v>36</v>
      </c>
      <c r="U35" s="36">
        <v>980</v>
      </c>
      <c r="V35" s="115">
        <f t="shared" si="2"/>
        <v>4410</v>
      </c>
      <c r="W35" s="36">
        <v>4</v>
      </c>
      <c r="X35" s="36" t="s">
        <v>35</v>
      </c>
      <c r="Y35" s="36" t="s">
        <v>64</v>
      </c>
      <c r="Z35" s="36" t="s">
        <v>43</v>
      </c>
      <c r="AA35" s="36" t="s">
        <v>36</v>
      </c>
      <c r="AB35" s="36" t="s">
        <v>178</v>
      </c>
    </row>
    <row r="36" spans="1:28" s="36" customFormat="1" x14ac:dyDescent="0.15">
      <c r="A36" s="36" t="s">
        <v>44</v>
      </c>
      <c r="B36" s="36" t="s">
        <v>174</v>
      </c>
      <c r="C36" s="36">
        <v>2020</v>
      </c>
      <c r="D36" s="200" t="s">
        <v>161</v>
      </c>
      <c r="E36" s="36" t="s">
        <v>196</v>
      </c>
      <c r="F36" s="36" t="s">
        <v>400</v>
      </c>
      <c r="G36" s="36" t="s">
        <v>25</v>
      </c>
      <c r="H36" s="36" t="s">
        <v>164</v>
      </c>
      <c r="I36" s="36" t="s">
        <v>111</v>
      </c>
      <c r="J36" s="36" t="s">
        <v>27</v>
      </c>
      <c r="K36" s="36" t="s">
        <v>112</v>
      </c>
      <c r="L36" s="36">
        <v>2</v>
      </c>
      <c r="N36" s="36">
        <v>8</v>
      </c>
      <c r="O36" s="36">
        <v>0.65</v>
      </c>
      <c r="P36" s="36">
        <v>0.6</v>
      </c>
      <c r="Q36" s="134">
        <f t="shared" si="1"/>
        <v>0.625</v>
      </c>
      <c r="R36" s="36">
        <v>18.3</v>
      </c>
      <c r="S36" s="36">
        <v>91</v>
      </c>
      <c r="T36" s="115">
        <f t="shared" si="0"/>
        <v>36</v>
      </c>
      <c r="U36" s="36">
        <v>980</v>
      </c>
      <c r="V36" s="115">
        <f t="shared" si="2"/>
        <v>4410</v>
      </c>
      <c r="W36" s="36">
        <v>4</v>
      </c>
      <c r="X36" s="36" t="s">
        <v>35</v>
      </c>
      <c r="Y36" s="36" t="s">
        <v>64</v>
      </c>
      <c r="Z36" s="36" t="s">
        <v>43</v>
      </c>
      <c r="AA36" s="36" t="s">
        <v>36</v>
      </c>
      <c r="AB36" s="36" t="s">
        <v>178</v>
      </c>
    </row>
    <row r="37" spans="1:28" s="36" customFormat="1" x14ac:dyDescent="0.15">
      <c r="A37" s="36" t="s">
        <v>44</v>
      </c>
      <c r="B37" s="36" t="s">
        <v>174</v>
      </c>
      <c r="C37" s="36">
        <v>2020</v>
      </c>
      <c r="D37" s="200" t="s">
        <v>161</v>
      </c>
      <c r="E37" s="36" t="s">
        <v>196</v>
      </c>
      <c r="F37" s="36" t="s">
        <v>400</v>
      </c>
      <c r="G37" s="36" t="s">
        <v>25</v>
      </c>
      <c r="H37" s="36" t="s">
        <v>164</v>
      </c>
      <c r="I37" s="36" t="s">
        <v>111</v>
      </c>
      <c r="J37" s="36" t="s">
        <v>27</v>
      </c>
      <c r="K37" s="36" t="s">
        <v>112</v>
      </c>
      <c r="L37" s="36">
        <v>3</v>
      </c>
      <c r="N37" s="36">
        <v>8</v>
      </c>
      <c r="O37" s="36">
        <v>0.55000000000000004</v>
      </c>
      <c r="P37" s="36">
        <v>0.55000000000000004</v>
      </c>
      <c r="Q37" s="134">
        <f t="shared" si="1"/>
        <v>0.55000000000000004</v>
      </c>
      <c r="R37" s="36">
        <v>17.899999999999999</v>
      </c>
      <c r="S37" s="36">
        <v>95</v>
      </c>
      <c r="T37" s="115">
        <f t="shared" si="0"/>
        <v>36</v>
      </c>
      <c r="U37" s="36">
        <v>980</v>
      </c>
      <c r="V37" s="115">
        <f t="shared" si="2"/>
        <v>4410</v>
      </c>
      <c r="W37" s="36">
        <v>4</v>
      </c>
      <c r="X37" s="36" t="s">
        <v>35</v>
      </c>
      <c r="Y37" s="36" t="s">
        <v>64</v>
      </c>
      <c r="Z37" s="36" t="s">
        <v>43</v>
      </c>
      <c r="AA37" s="36" t="s">
        <v>36</v>
      </c>
      <c r="AB37" s="36" t="s">
        <v>178</v>
      </c>
    </row>
    <row r="38" spans="1:28" s="36" customFormat="1" x14ac:dyDescent="0.15">
      <c r="A38" s="36" t="s">
        <v>44</v>
      </c>
      <c r="B38" s="36" t="s">
        <v>174</v>
      </c>
      <c r="C38" s="36">
        <v>2020</v>
      </c>
      <c r="D38" s="200" t="s">
        <v>161</v>
      </c>
      <c r="E38" s="36" t="s">
        <v>196</v>
      </c>
      <c r="F38" s="36" t="s">
        <v>400</v>
      </c>
      <c r="G38" s="36" t="s">
        <v>25</v>
      </c>
      <c r="H38" s="36" t="s">
        <v>215</v>
      </c>
      <c r="I38" s="36" t="s">
        <v>111</v>
      </c>
      <c r="J38" s="36" t="s">
        <v>41</v>
      </c>
      <c r="K38" s="36" t="s">
        <v>42</v>
      </c>
      <c r="L38" s="36">
        <v>1</v>
      </c>
      <c r="N38" s="36">
        <v>5</v>
      </c>
      <c r="O38" s="36">
        <v>0.85</v>
      </c>
      <c r="P38" s="36">
        <v>0.8</v>
      </c>
      <c r="Q38" s="134">
        <f t="shared" si="1"/>
        <v>0.82499999999999996</v>
      </c>
      <c r="R38" s="36">
        <v>17.399999999999999</v>
      </c>
      <c r="S38" s="36">
        <v>94</v>
      </c>
      <c r="T38" s="115">
        <f t="shared" si="0"/>
        <v>36</v>
      </c>
      <c r="U38" s="36">
        <v>498</v>
      </c>
      <c r="V38" s="115">
        <f t="shared" si="2"/>
        <v>3585.6</v>
      </c>
      <c r="W38" s="36">
        <v>2</v>
      </c>
      <c r="X38" s="36" t="s">
        <v>35</v>
      </c>
      <c r="Y38" s="36" t="s">
        <v>64</v>
      </c>
      <c r="Z38" s="36" t="s">
        <v>43</v>
      </c>
      <c r="AA38" s="36" t="s">
        <v>36</v>
      </c>
      <c r="AB38" s="36" t="s">
        <v>178</v>
      </c>
    </row>
    <row r="39" spans="1:28" s="36" customFormat="1" x14ac:dyDescent="0.15">
      <c r="A39" s="36" t="s">
        <v>44</v>
      </c>
      <c r="B39" s="36" t="s">
        <v>174</v>
      </c>
      <c r="C39" s="36">
        <v>2020</v>
      </c>
      <c r="D39" s="200" t="s">
        <v>161</v>
      </c>
      <c r="E39" s="36" t="s">
        <v>196</v>
      </c>
      <c r="F39" s="36" t="s">
        <v>400</v>
      </c>
      <c r="G39" s="36" t="s">
        <v>25</v>
      </c>
      <c r="H39" s="36" t="s">
        <v>215</v>
      </c>
      <c r="I39" s="36" t="s">
        <v>111</v>
      </c>
      <c r="J39" s="36" t="s">
        <v>41</v>
      </c>
      <c r="K39" s="36" t="s">
        <v>42</v>
      </c>
      <c r="L39" s="36">
        <v>2</v>
      </c>
      <c r="N39" s="36">
        <v>5</v>
      </c>
      <c r="O39" s="36">
        <v>0.9</v>
      </c>
      <c r="P39" s="36">
        <v>1</v>
      </c>
      <c r="Q39" s="134">
        <f t="shared" si="1"/>
        <v>0.95</v>
      </c>
      <c r="R39" s="36">
        <v>12.4</v>
      </c>
      <c r="S39" s="36">
        <v>96</v>
      </c>
      <c r="T39" s="115">
        <f t="shared" si="0"/>
        <v>36</v>
      </c>
      <c r="U39" s="36">
        <v>498</v>
      </c>
      <c r="V39" s="115">
        <f t="shared" si="2"/>
        <v>3585.6</v>
      </c>
      <c r="W39" s="36">
        <v>2</v>
      </c>
      <c r="X39" s="36" t="s">
        <v>35</v>
      </c>
      <c r="Y39" s="36" t="s">
        <v>64</v>
      </c>
      <c r="Z39" s="36" t="s">
        <v>43</v>
      </c>
      <c r="AA39" s="36" t="s">
        <v>36</v>
      </c>
      <c r="AB39" s="36" t="s">
        <v>178</v>
      </c>
    </row>
    <row r="40" spans="1:28" s="36" customFormat="1" x14ac:dyDescent="0.15">
      <c r="A40" s="36" t="s">
        <v>44</v>
      </c>
      <c r="B40" s="36" t="s">
        <v>174</v>
      </c>
      <c r="C40" s="36">
        <v>2020</v>
      </c>
      <c r="D40" s="200" t="s">
        <v>161</v>
      </c>
      <c r="E40" s="36" t="s">
        <v>196</v>
      </c>
      <c r="F40" s="36" t="s">
        <v>400</v>
      </c>
      <c r="G40" s="36" t="s">
        <v>25</v>
      </c>
      <c r="H40" s="36" t="s">
        <v>215</v>
      </c>
      <c r="I40" s="36" t="s">
        <v>111</v>
      </c>
      <c r="J40" s="36" t="s">
        <v>41</v>
      </c>
      <c r="K40" s="36" t="s">
        <v>42</v>
      </c>
      <c r="L40" s="36">
        <v>3</v>
      </c>
      <c r="N40" s="36">
        <v>5</v>
      </c>
      <c r="O40" s="36">
        <v>1.45</v>
      </c>
      <c r="P40" s="36">
        <v>1.25</v>
      </c>
      <c r="Q40" s="134">
        <f t="shared" si="1"/>
        <v>1.35</v>
      </c>
      <c r="R40" s="36">
        <v>14</v>
      </c>
      <c r="S40" s="36">
        <v>84</v>
      </c>
      <c r="T40" s="115">
        <f t="shared" si="0"/>
        <v>36</v>
      </c>
      <c r="U40" s="36">
        <v>498</v>
      </c>
      <c r="V40" s="115">
        <f t="shared" si="2"/>
        <v>3585.6</v>
      </c>
      <c r="W40" s="36">
        <v>2</v>
      </c>
      <c r="X40" s="36" t="s">
        <v>35</v>
      </c>
      <c r="Y40" s="36" t="s">
        <v>64</v>
      </c>
      <c r="Z40" s="36" t="s">
        <v>43</v>
      </c>
      <c r="AA40" s="36" t="s">
        <v>36</v>
      </c>
      <c r="AB40" s="36" t="s">
        <v>178</v>
      </c>
    </row>
    <row r="41" spans="1:28" s="36" customFormat="1" x14ac:dyDescent="0.15">
      <c r="A41" s="36" t="s">
        <v>44</v>
      </c>
      <c r="B41" s="36" t="s">
        <v>174</v>
      </c>
      <c r="C41" s="36">
        <v>2020</v>
      </c>
      <c r="D41" s="200" t="s">
        <v>161</v>
      </c>
      <c r="E41" s="36" t="s">
        <v>405</v>
      </c>
      <c r="F41" s="36" t="s">
        <v>406</v>
      </c>
      <c r="G41" s="36" t="s">
        <v>25</v>
      </c>
      <c r="H41" s="36" t="s">
        <v>113</v>
      </c>
      <c r="I41" s="36" t="s">
        <v>111</v>
      </c>
      <c r="J41" s="36" t="s">
        <v>27</v>
      </c>
      <c r="K41" s="36" t="s">
        <v>112</v>
      </c>
      <c r="L41" s="36">
        <v>1</v>
      </c>
      <c r="N41" s="36">
        <v>1</v>
      </c>
      <c r="O41" s="36">
        <v>0.65</v>
      </c>
      <c r="P41" s="36">
        <v>0.65</v>
      </c>
      <c r="Q41" s="134">
        <f t="shared" si="1"/>
        <v>0.65</v>
      </c>
      <c r="R41" s="36">
        <v>13</v>
      </c>
      <c r="S41" s="36">
        <v>112</v>
      </c>
      <c r="T41" s="115">
        <f t="shared" si="0"/>
        <v>33</v>
      </c>
      <c r="U41" s="36">
        <v>98</v>
      </c>
      <c r="V41" s="115">
        <f t="shared" si="2"/>
        <v>3234</v>
      </c>
      <c r="W41" s="36">
        <v>2</v>
      </c>
      <c r="X41" s="36" t="s">
        <v>35</v>
      </c>
      <c r="Y41" s="36" t="s">
        <v>43</v>
      </c>
      <c r="Z41" s="36" t="s">
        <v>72</v>
      </c>
      <c r="AA41" s="36" t="s">
        <v>36</v>
      </c>
      <c r="AB41" s="36" t="s">
        <v>178</v>
      </c>
    </row>
    <row r="42" spans="1:28" s="36" customFormat="1" x14ac:dyDescent="0.15">
      <c r="A42" s="36" t="s">
        <v>44</v>
      </c>
      <c r="B42" s="36" t="s">
        <v>174</v>
      </c>
      <c r="C42" s="36">
        <v>2020</v>
      </c>
      <c r="D42" s="200" t="s">
        <v>161</v>
      </c>
      <c r="E42" s="36" t="s">
        <v>405</v>
      </c>
      <c r="F42" s="36" t="s">
        <v>406</v>
      </c>
      <c r="G42" s="36" t="s">
        <v>25</v>
      </c>
      <c r="H42" s="36" t="s">
        <v>113</v>
      </c>
      <c r="I42" s="36" t="s">
        <v>111</v>
      </c>
      <c r="J42" s="36" t="s">
        <v>27</v>
      </c>
      <c r="K42" s="36" t="s">
        <v>112</v>
      </c>
      <c r="L42" s="36">
        <v>2</v>
      </c>
      <c r="N42" s="36">
        <v>1</v>
      </c>
      <c r="O42" s="36">
        <v>0.7</v>
      </c>
      <c r="P42" s="36">
        <v>0.75</v>
      </c>
      <c r="Q42" s="134">
        <f t="shared" si="1"/>
        <v>0.72499999999999998</v>
      </c>
      <c r="R42" s="36">
        <v>13.1</v>
      </c>
      <c r="S42" s="36">
        <v>120</v>
      </c>
      <c r="T42" s="115">
        <f t="shared" si="0"/>
        <v>30</v>
      </c>
      <c r="U42" s="36">
        <v>98</v>
      </c>
      <c r="V42" s="115">
        <f t="shared" si="2"/>
        <v>2940</v>
      </c>
      <c r="W42" s="36">
        <v>2</v>
      </c>
      <c r="X42" s="36" t="s">
        <v>35</v>
      </c>
      <c r="Y42" s="36" t="s">
        <v>43</v>
      </c>
      <c r="Z42" s="36" t="s">
        <v>72</v>
      </c>
      <c r="AA42" s="36" t="s">
        <v>36</v>
      </c>
      <c r="AB42" s="36" t="s">
        <v>178</v>
      </c>
    </row>
    <row r="43" spans="1:28" s="36" customFormat="1" x14ac:dyDescent="0.15">
      <c r="A43" s="36" t="s">
        <v>44</v>
      </c>
      <c r="B43" s="36" t="s">
        <v>174</v>
      </c>
      <c r="C43" s="36">
        <v>2020</v>
      </c>
      <c r="D43" s="200" t="s">
        <v>161</v>
      </c>
      <c r="E43" s="36" t="s">
        <v>405</v>
      </c>
      <c r="F43" s="36" t="s">
        <v>406</v>
      </c>
      <c r="G43" s="36" t="s">
        <v>25</v>
      </c>
      <c r="H43" s="36" t="s">
        <v>113</v>
      </c>
      <c r="I43" s="36" t="s">
        <v>111</v>
      </c>
      <c r="J43" s="36" t="s">
        <v>27</v>
      </c>
      <c r="K43" s="36" t="s">
        <v>112</v>
      </c>
      <c r="L43" s="36">
        <v>3</v>
      </c>
      <c r="N43" s="36">
        <v>1</v>
      </c>
      <c r="O43" s="36">
        <v>0.65</v>
      </c>
      <c r="P43" s="36">
        <v>0.75</v>
      </c>
      <c r="Q43" s="134">
        <f t="shared" si="1"/>
        <v>0.7</v>
      </c>
      <c r="R43" s="36">
        <v>14.8</v>
      </c>
      <c r="S43" s="36">
        <v>112</v>
      </c>
      <c r="T43" s="115">
        <f t="shared" si="0"/>
        <v>33</v>
      </c>
      <c r="U43" s="36">
        <v>98</v>
      </c>
      <c r="V43" s="115">
        <f t="shared" si="2"/>
        <v>3234</v>
      </c>
      <c r="W43" s="36">
        <v>2</v>
      </c>
      <c r="X43" s="36" t="s">
        <v>35</v>
      </c>
      <c r="Y43" s="36" t="s">
        <v>43</v>
      </c>
      <c r="Z43" s="36" t="s">
        <v>72</v>
      </c>
      <c r="AA43" s="36" t="s">
        <v>36</v>
      </c>
      <c r="AB43" s="36" t="s">
        <v>178</v>
      </c>
    </row>
    <row r="44" spans="1:28" s="36" customFormat="1" x14ac:dyDescent="0.15">
      <c r="A44" s="36" t="s">
        <v>44</v>
      </c>
      <c r="B44" s="36" t="s">
        <v>174</v>
      </c>
      <c r="C44" s="36">
        <v>2020</v>
      </c>
      <c r="D44" s="200" t="s">
        <v>161</v>
      </c>
      <c r="E44" s="36" t="s">
        <v>405</v>
      </c>
      <c r="F44" s="36" t="s">
        <v>406</v>
      </c>
      <c r="G44" s="36" t="s">
        <v>25</v>
      </c>
      <c r="H44" s="36" t="s">
        <v>113</v>
      </c>
      <c r="I44" s="36" t="s">
        <v>111</v>
      </c>
      <c r="J44" s="36" t="s">
        <v>27</v>
      </c>
      <c r="K44" s="36" t="s">
        <v>112</v>
      </c>
      <c r="L44" s="36">
        <v>1</v>
      </c>
      <c r="N44" s="36">
        <v>5</v>
      </c>
      <c r="O44" s="36">
        <v>0.7</v>
      </c>
      <c r="P44" s="36">
        <v>0.75</v>
      </c>
      <c r="Q44" s="134">
        <f t="shared" si="1"/>
        <v>0.72499999999999998</v>
      </c>
      <c r="R44" s="36">
        <v>12.5</v>
      </c>
      <c r="S44" s="36">
        <v>81</v>
      </c>
      <c r="T44" s="115">
        <f t="shared" si="0"/>
        <v>39</v>
      </c>
      <c r="U44" s="36">
        <v>398</v>
      </c>
      <c r="V44" s="115">
        <f t="shared" si="2"/>
        <v>3104.3999999999996</v>
      </c>
      <c r="W44" s="36">
        <v>2</v>
      </c>
      <c r="X44" s="36" t="s">
        <v>35</v>
      </c>
      <c r="Y44" s="36" t="s">
        <v>43</v>
      </c>
      <c r="Z44" s="36" t="s">
        <v>72</v>
      </c>
      <c r="AA44" s="36" t="s">
        <v>36</v>
      </c>
      <c r="AB44" s="36" t="s">
        <v>178</v>
      </c>
    </row>
    <row r="45" spans="1:28" s="36" customFormat="1" x14ac:dyDescent="0.15">
      <c r="A45" s="36" t="s">
        <v>44</v>
      </c>
      <c r="B45" s="36" t="s">
        <v>174</v>
      </c>
      <c r="C45" s="36">
        <v>2020</v>
      </c>
      <c r="D45" s="200" t="s">
        <v>161</v>
      </c>
      <c r="E45" s="36" t="s">
        <v>405</v>
      </c>
      <c r="F45" s="36" t="s">
        <v>406</v>
      </c>
      <c r="G45" s="36" t="s">
        <v>25</v>
      </c>
      <c r="H45" s="36" t="s">
        <v>113</v>
      </c>
      <c r="I45" s="36" t="s">
        <v>111</v>
      </c>
      <c r="J45" s="36" t="s">
        <v>27</v>
      </c>
      <c r="K45" s="36" t="s">
        <v>112</v>
      </c>
      <c r="L45" s="36">
        <v>2</v>
      </c>
      <c r="N45" s="36">
        <v>5</v>
      </c>
      <c r="O45" s="36">
        <v>0.75</v>
      </c>
      <c r="P45" s="36">
        <v>0.75</v>
      </c>
      <c r="Q45" s="134">
        <f t="shared" si="1"/>
        <v>0.75</v>
      </c>
      <c r="R45" s="36">
        <v>13.2</v>
      </c>
      <c r="S45" s="36">
        <v>95</v>
      </c>
      <c r="T45" s="115">
        <f t="shared" si="0"/>
        <v>36</v>
      </c>
      <c r="U45" s="36">
        <v>398</v>
      </c>
      <c r="V45" s="115">
        <f t="shared" si="2"/>
        <v>2865.6</v>
      </c>
      <c r="W45" s="36">
        <v>2</v>
      </c>
      <c r="X45" s="36" t="s">
        <v>35</v>
      </c>
      <c r="Y45" s="36" t="s">
        <v>43</v>
      </c>
      <c r="Z45" s="36" t="s">
        <v>72</v>
      </c>
      <c r="AA45" s="36" t="s">
        <v>36</v>
      </c>
      <c r="AB45" s="36" t="s">
        <v>178</v>
      </c>
    </row>
    <row r="46" spans="1:28" s="36" customFormat="1" x14ac:dyDescent="0.15">
      <c r="A46" s="36" t="s">
        <v>44</v>
      </c>
      <c r="B46" s="36" t="s">
        <v>174</v>
      </c>
      <c r="C46" s="36">
        <v>2020</v>
      </c>
      <c r="D46" s="200" t="s">
        <v>161</v>
      </c>
      <c r="E46" s="36" t="s">
        <v>405</v>
      </c>
      <c r="F46" s="36" t="s">
        <v>406</v>
      </c>
      <c r="G46" s="36" t="s">
        <v>25</v>
      </c>
      <c r="H46" s="36" t="s">
        <v>113</v>
      </c>
      <c r="I46" s="36" t="s">
        <v>111</v>
      </c>
      <c r="J46" s="36" t="s">
        <v>27</v>
      </c>
      <c r="K46" s="36" t="s">
        <v>112</v>
      </c>
      <c r="L46" s="36">
        <v>3</v>
      </c>
      <c r="N46" s="36">
        <v>5</v>
      </c>
      <c r="O46" s="36">
        <v>0.6</v>
      </c>
      <c r="P46" s="36">
        <v>0.6</v>
      </c>
      <c r="Q46" s="134">
        <f t="shared" si="1"/>
        <v>0.6</v>
      </c>
      <c r="R46" s="36">
        <v>16.3</v>
      </c>
      <c r="S46" s="36">
        <v>94</v>
      </c>
      <c r="T46" s="115">
        <f t="shared" si="0"/>
        <v>36</v>
      </c>
      <c r="U46" s="36">
        <v>398</v>
      </c>
      <c r="V46" s="115">
        <f t="shared" si="2"/>
        <v>2865.6</v>
      </c>
      <c r="W46" s="36">
        <v>2</v>
      </c>
      <c r="X46" s="36" t="s">
        <v>35</v>
      </c>
      <c r="Y46" s="36" t="s">
        <v>43</v>
      </c>
      <c r="Z46" s="36" t="s">
        <v>72</v>
      </c>
      <c r="AA46" s="36" t="s">
        <v>36</v>
      </c>
      <c r="AB46" s="36" t="s">
        <v>178</v>
      </c>
    </row>
    <row r="47" spans="1:28" s="36" customFormat="1" x14ac:dyDescent="0.15">
      <c r="A47" s="36" t="s">
        <v>44</v>
      </c>
      <c r="B47" s="36" t="s">
        <v>174</v>
      </c>
      <c r="C47" s="36">
        <v>2020</v>
      </c>
      <c r="D47" s="200" t="s">
        <v>161</v>
      </c>
      <c r="E47" s="36" t="s">
        <v>405</v>
      </c>
      <c r="F47" s="36" t="s">
        <v>406</v>
      </c>
      <c r="G47" s="36" t="s">
        <v>25</v>
      </c>
      <c r="H47" s="36" t="s">
        <v>164</v>
      </c>
      <c r="I47" s="36" t="s">
        <v>111</v>
      </c>
      <c r="J47" s="36" t="s">
        <v>27</v>
      </c>
      <c r="K47" s="36" t="s">
        <v>112</v>
      </c>
      <c r="L47" s="36">
        <v>1</v>
      </c>
      <c r="N47" s="36">
        <v>1</v>
      </c>
      <c r="O47" s="36">
        <v>0.65</v>
      </c>
      <c r="P47" s="36">
        <v>0.6</v>
      </c>
      <c r="Q47" s="134">
        <f t="shared" si="1"/>
        <v>0.625</v>
      </c>
      <c r="R47" s="36">
        <v>18.600000000000001</v>
      </c>
      <c r="S47" s="36">
        <v>117</v>
      </c>
      <c r="T47" s="115">
        <f t="shared" si="0"/>
        <v>30</v>
      </c>
      <c r="U47" s="36">
        <v>128</v>
      </c>
      <c r="V47" s="115">
        <f t="shared" si="2"/>
        <v>3840</v>
      </c>
      <c r="W47" s="36">
        <v>4</v>
      </c>
      <c r="X47" s="36" t="s">
        <v>35</v>
      </c>
      <c r="Y47" s="36" t="s">
        <v>43</v>
      </c>
      <c r="Z47" s="36" t="s">
        <v>72</v>
      </c>
      <c r="AA47" s="36" t="s">
        <v>36</v>
      </c>
      <c r="AB47" s="36" t="s">
        <v>178</v>
      </c>
    </row>
    <row r="48" spans="1:28" s="36" customFormat="1" x14ac:dyDescent="0.15">
      <c r="A48" s="36" t="s">
        <v>44</v>
      </c>
      <c r="B48" s="36" t="s">
        <v>174</v>
      </c>
      <c r="C48" s="36">
        <v>2020</v>
      </c>
      <c r="D48" s="200" t="s">
        <v>161</v>
      </c>
      <c r="E48" s="36" t="s">
        <v>405</v>
      </c>
      <c r="F48" s="36" t="s">
        <v>406</v>
      </c>
      <c r="G48" s="36" t="s">
        <v>25</v>
      </c>
      <c r="H48" s="36" t="s">
        <v>164</v>
      </c>
      <c r="I48" s="36" t="s">
        <v>111</v>
      </c>
      <c r="J48" s="36" t="s">
        <v>27</v>
      </c>
      <c r="K48" s="36" t="s">
        <v>112</v>
      </c>
      <c r="L48" s="36">
        <v>2</v>
      </c>
      <c r="N48" s="36">
        <v>1</v>
      </c>
      <c r="O48" s="36">
        <v>0.7</v>
      </c>
      <c r="P48" s="36">
        <v>0.65</v>
      </c>
      <c r="Q48" s="134">
        <f t="shared" si="1"/>
        <v>0.67500000000000004</v>
      </c>
      <c r="R48" s="36">
        <v>16.5</v>
      </c>
      <c r="S48" s="36">
        <v>116</v>
      </c>
      <c r="T48" s="115">
        <f t="shared" si="0"/>
        <v>30</v>
      </c>
      <c r="U48" s="36">
        <v>128</v>
      </c>
      <c r="V48" s="115">
        <f t="shared" si="2"/>
        <v>3840</v>
      </c>
      <c r="W48" s="36">
        <v>4</v>
      </c>
      <c r="X48" s="36" t="s">
        <v>35</v>
      </c>
      <c r="Y48" s="36" t="s">
        <v>43</v>
      </c>
      <c r="Z48" s="36" t="s">
        <v>72</v>
      </c>
      <c r="AA48" s="36" t="s">
        <v>36</v>
      </c>
      <c r="AB48" s="36" t="s">
        <v>178</v>
      </c>
    </row>
    <row r="49" spans="1:28" s="36" customFormat="1" x14ac:dyDescent="0.15">
      <c r="A49" s="36" t="s">
        <v>44</v>
      </c>
      <c r="B49" s="36" t="s">
        <v>174</v>
      </c>
      <c r="C49" s="36">
        <v>2020</v>
      </c>
      <c r="D49" s="200" t="s">
        <v>161</v>
      </c>
      <c r="E49" s="36" t="s">
        <v>405</v>
      </c>
      <c r="F49" s="36" t="s">
        <v>406</v>
      </c>
      <c r="G49" s="36" t="s">
        <v>25</v>
      </c>
      <c r="H49" s="36" t="s">
        <v>164</v>
      </c>
      <c r="I49" s="36" t="s">
        <v>111</v>
      </c>
      <c r="J49" s="36" t="s">
        <v>27</v>
      </c>
      <c r="K49" s="36" t="s">
        <v>112</v>
      </c>
      <c r="L49" s="36">
        <v>3</v>
      </c>
      <c r="N49" s="36">
        <v>1</v>
      </c>
      <c r="O49" s="36">
        <v>0.8</v>
      </c>
      <c r="P49" s="36">
        <v>0.75</v>
      </c>
      <c r="Q49" s="134">
        <f t="shared" si="1"/>
        <v>0.77500000000000002</v>
      </c>
      <c r="R49" s="36">
        <v>16</v>
      </c>
      <c r="S49" s="36">
        <v>117</v>
      </c>
      <c r="T49" s="115">
        <f t="shared" si="0"/>
        <v>30</v>
      </c>
      <c r="U49" s="36">
        <v>128</v>
      </c>
      <c r="V49" s="115">
        <f t="shared" si="2"/>
        <v>3840</v>
      </c>
      <c r="W49" s="36">
        <v>4</v>
      </c>
      <c r="X49" s="36" t="s">
        <v>35</v>
      </c>
      <c r="Y49" s="36" t="s">
        <v>43</v>
      </c>
      <c r="Z49" s="36" t="s">
        <v>72</v>
      </c>
      <c r="AA49" s="36" t="s">
        <v>36</v>
      </c>
      <c r="AB49" s="36" t="s">
        <v>178</v>
      </c>
    </row>
    <row r="50" spans="1:28" s="36" customFormat="1" x14ac:dyDescent="0.15">
      <c r="A50" s="36" t="s">
        <v>44</v>
      </c>
      <c r="B50" s="36" t="s">
        <v>174</v>
      </c>
      <c r="C50" s="36">
        <v>2020</v>
      </c>
      <c r="D50" s="200" t="s">
        <v>161</v>
      </c>
      <c r="E50" s="36" t="s">
        <v>405</v>
      </c>
      <c r="F50" s="36" t="s">
        <v>406</v>
      </c>
      <c r="G50" s="36" t="s">
        <v>25</v>
      </c>
      <c r="H50" s="36" t="s">
        <v>164</v>
      </c>
      <c r="I50" s="36" t="s">
        <v>111</v>
      </c>
      <c r="J50" s="36" t="s">
        <v>27</v>
      </c>
      <c r="K50" s="36" t="s">
        <v>112</v>
      </c>
      <c r="L50" s="36">
        <v>1</v>
      </c>
      <c r="N50" s="36">
        <v>5</v>
      </c>
      <c r="O50" s="36">
        <v>0.6</v>
      </c>
      <c r="P50" s="36">
        <v>0.6</v>
      </c>
      <c r="Q50" s="134">
        <f t="shared" si="1"/>
        <v>0.6</v>
      </c>
      <c r="R50" s="36">
        <v>17.5</v>
      </c>
      <c r="S50" s="36">
        <v>100</v>
      </c>
      <c r="T50" s="115">
        <f t="shared" si="0"/>
        <v>33</v>
      </c>
      <c r="U50" s="36">
        <v>498</v>
      </c>
      <c r="V50" s="115">
        <f t="shared" si="2"/>
        <v>3286.7999999999997</v>
      </c>
      <c r="W50" s="36">
        <v>2</v>
      </c>
      <c r="X50" s="36" t="s">
        <v>35</v>
      </c>
      <c r="Y50" s="36" t="s">
        <v>43</v>
      </c>
      <c r="Z50" s="36" t="s">
        <v>72</v>
      </c>
      <c r="AA50" s="36" t="s">
        <v>36</v>
      </c>
      <c r="AB50" s="36" t="s">
        <v>178</v>
      </c>
    </row>
    <row r="51" spans="1:28" s="36" customFormat="1" x14ac:dyDescent="0.15">
      <c r="A51" s="36" t="s">
        <v>44</v>
      </c>
      <c r="B51" s="36" t="s">
        <v>174</v>
      </c>
      <c r="C51" s="36">
        <v>2020</v>
      </c>
      <c r="D51" s="200" t="s">
        <v>161</v>
      </c>
      <c r="E51" s="36" t="s">
        <v>405</v>
      </c>
      <c r="F51" s="36" t="s">
        <v>406</v>
      </c>
      <c r="G51" s="36" t="s">
        <v>25</v>
      </c>
      <c r="H51" s="36" t="s">
        <v>164</v>
      </c>
      <c r="I51" s="36" t="s">
        <v>111</v>
      </c>
      <c r="J51" s="36" t="s">
        <v>27</v>
      </c>
      <c r="K51" s="36" t="s">
        <v>112</v>
      </c>
      <c r="L51" s="36">
        <v>2</v>
      </c>
      <c r="N51" s="36">
        <v>5</v>
      </c>
      <c r="O51" s="36">
        <v>0.8</v>
      </c>
      <c r="P51" s="36">
        <v>0.75</v>
      </c>
      <c r="Q51" s="134">
        <f t="shared" si="1"/>
        <v>0.77500000000000002</v>
      </c>
      <c r="R51" s="36">
        <v>15.1</v>
      </c>
      <c r="S51" s="36">
        <v>106</v>
      </c>
      <c r="T51" s="115">
        <f t="shared" si="0"/>
        <v>33</v>
      </c>
      <c r="U51" s="36">
        <v>498</v>
      </c>
      <c r="V51" s="115">
        <f t="shared" si="2"/>
        <v>3286.7999999999997</v>
      </c>
      <c r="W51" s="36">
        <v>2</v>
      </c>
      <c r="X51" s="36" t="s">
        <v>35</v>
      </c>
      <c r="Y51" s="36" t="s">
        <v>43</v>
      </c>
      <c r="Z51" s="36" t="s">
        <v>72</v>
      </c>
      <c r="AA51" s="36" t="s">
        <v>36</v>
      </c>
      <c r="AB51" s="36" t="s">
        <v>178</v>
      </c>
    </row>
    <row r="52" spans="1:28" s="36" customFormat="1" x14ac:dyDescent="0.15">
      <c r="A52" s="36" t="s">
        <v>44</v>
      </c>
      <c r="B52" s="36" t="s">
        <v>174</v>
      </c>
      <c r="C52" s="36">
        <v>2020</v>
      </c>
      <c r="D52" s="200" t="s">
        <v>161</v>
      </c>
      <c r="E52" s="36" t="s">
        <v>405</v>
      </c>
      <c r="F52" s="36" t="s">
        <v>406</v>
      </c>
      <c r="G52" s="36" t="s">
        <v>25</v>
      </c>
      <c r="H52" s="36" t="s">
        <v>164</v>
      </c>
      <c r="I52" s="36" t="s">
        <v>111</v>
      </c>
      <c r="J52" s="36" t="s">
        <v>27</v>
      </c>
      <c r="K52" s="36" t="s">
        <v>112</v>
      </c>
      <c r="L52" s="36">
        <v>3</v>
      </c>
      <c r="N52" s="36">
        <v>5</v>
      </c>
      <c r="O52" s="36">
        <v>0.7</v>
      </c>
      <c r="P52" s="36">
        <v>0.7</v>
      </c>
      <c r="Q52" s="134">
        <f t="shared" si="1"/>
        <v>0.7</v>
      </c>
      <c r="R52" s="36">
        <v>15.9</v>
      </c>
      <c r="S52" s="36">
        <v>110</v>
      </c>
      <c r="T52" s="115">
        <f t="shared" si="0"/>
        <v>33</v>
      </c>
      <c r="U52" s="36">
        <v>498</v>
      </c>
      <c r="V52" s="115">
        <f t="shared" si="2"/>
        <v>3286.7999999999997</v>
      </c>
      <c r="W52" s="36">
        <v>2</v>
      </c>
      <c r="X52" s="36" t="s">
        <v>35</v>
      </c>
      <c r="Y52" s="36" t="s">
        <v>43</v>
      </c>
      <c r="Z52" s="36" t="s">
        <v>72</v>
      </c>
      <c r="AA52" s="36" t="s">
        <v>36</v>
      </c>
      <c r="AB52" s="36" t="s">
        <v>178</v>
      </c>
    </row>
    <row r="53" spans="1:28" s="36" customFormat="1" x14ac:dyDescent="0.15">
      <c r="A53" s="36" t="s">
        <v>44</v>
      </c>
      <c r="B53" s="36" t="s">
        <v>174</v>
      </c>
      <c r="C53" s="36">
        <v>2020</v>
      </c>
      <c r="D53" s="200" t="s">
        <v>161</v>
      </c>
      <c r="E53" s="36" t="s">
        <v>407</v>
      </c>
      <c r="F53" s="36" t="s">
        <v>400</v>
      </c>
      <c r="G53" s="36" t="s">
        <v>31</v>
      </c>
      <c r="H53" s="36" t="s">
        <v>113</v>
      </c>
      <c r="I53" s="36" t="s">
        <v>111</v>
      </c>
      <c r="J53" s="36" t="s">
        <v>27</v>
      </c>
      <c r="K53" s="36" t="s">
        <v>112</v>
      </c>
      <c r="L53" s="36">
        <v>1</v>
      </c>
      <c r="N53" s="36">
        <v>1</v>
      </c>
      <c r="O53" s="36">
        <v>0.7</v>
      </c>
      <c r="P53" s="36">
        <v>0.7</v>
      </c>
      <c r="Q53" s="134">
        <f t="shared" si="1"/>
        <v>0.7</v>
      </c>
      <c r="R53" s="36">
        <v>16</v>
      </c>
      <c r="S53" s="36">
        <v>137</v>
      </c>
      <c r="T53" s="115">
        <f t="shared" si="0"/>
        <v>25</v>
      </c>
      <c r="U53" s="36">
        <v>99</v>
      </c>
      <c r="V53" s="115">
        <f t="shared" si="2"/>
        <v>2475</v>
      </c>
      <c r="W53" s="36">
        <v>4</v>
      </c>
      <c r="X53" s="36" t="s">
        <v>28</v>
      </c>
      <c r="Y53" s="36" t="s">
        <v>43</v>
      </c>
      <c r="Z53" s="36" t="s">
        <v>36</v>
      </c>
      <c r="AA53" s="36" t="s">
        <v>76</v>
      </c>
      <c r="AB53" s="36" t="s">
        <v>178</v>
      </c>
    </row>
    <row r="54" spans="1:28" s="36" customFormat="1" x14ac:dyDescent="0.15">
      <c r="A54" s="36" t="s">
        <v>44</v>
      </c>
      <c r="B54" s="36" t="s">
        <v>174</v>
      </c>
      <c r="C54" s="36">
        <v>2020</v>
      </c>
      <c r="D54" s="200" t="s">
        <v>161</v>
      </c>
      <c r="E54" s="36" t="s">
        <v>407</v>
      </c>
      <c r="F54" s="36" t="s">
        <v>400</v>
      </c>
      <c r="G54" s="36" t="s">
        <v>31</v>
      </c>
      <c r="H54" s="36" t="s">
        <v>113</v>
      </c>
      <c r="I54" s="36" t="s">
        <v>111</v>
      </c>
      <c r="J54" s="36" t="s">
        <v>27</v>
      </c>
      <c r="K54" s="36" t="s">
        <v>112</v>
      </c>
      <c r="L54" s="36">
        <v>2</v>
      </c>
      <c r="N54" s="36">
        <v>1</v>
      </c>
      <c r="O54" s="36">
        <v>0.9</v>
      </c>
      <c r="P54" s="36">
        <v>0.95</v>
      </c>
      <c r="Q54" s="134">
        <f t="shared" si="1"/>
        <v>0.92500000000000004</v>
      </c>
      <c r="R54" s="36">
        <v>15.7</v>
      </c>
      <c r="S54" s="36">
        <v>131</v>
      </c>
      <c r="T54" s="115">
        <f t="shared" si="0"/>
        <v>25</v>
      </c>
      <c r="U54" s="36">
        <v>99</v>
      </c>
      <c r="V54" s="115">
        <f t="shared" si="2"/>
        <v>2475</v>
      </c>
      <c r="W54" s="36">
        <v>4</v>
      </c>
      <c r="X54" s="36" t="s">
        <v>28</v>
      </c>
      <c r="Y54" s="36" t="s">
        <v>43</v>
      </c>
      <c r="Z54" s="36" t="s">
        <v>36</v>
      </c>
      <c r="AA54" s="36" t="s">
        <v>76</v>
      </c>
      <c r="AB54" s="36" t="s">
        <v>178</v>
      </c>
    </row>
    <row r="55" spans="1:28" s="36" customFormat="1" x14ac:dyDescent="0.15">
      <c r="A55" s="36" t="s">
        <v>44</v>
      </c>
      <c r="B55" s="36" t="s">
        <v>174</v>
      </c>
      <c r="C55" s="36">
        <v>2020</v>
      </c>
      <c r="D55" s="200" t="s">
        <v>161</v>
      </c>
      <c r="E55" s="36" t="s">
        <v>407</v>
      </c>
      <c r="F55" s="36" t="s">
        <v>400</v>
      </c>
      <c r="G55" s="36" t="s">
        <v>31</v>
      </c>
      <c r="H55" s="36" t="s">
        <v>113</v>
      </c>
      <c r="I55" s="36" t="s">
        <v>111</v>
      </c>
      <c r="J55" s="36" t="s">
        <v>27</v>
      </c>
      <c r="K55" s="36" t="s">
        <v>112</v>
      </c>
      <c r="L55" s="36">
        <v>3</v>
      </c>
      <c r="N55" s="36">
        <v>1</v>
      </c>
      <c r="O55" s="36">
        <v>1.05</v>
      </c>
      <c r="P55" s="36">
        <v>1.05</v>
      </c>
      <c r="Q55" s="134">
        <f t="shared" si="1"/>
        <v>1.05</v>
      </c>
      <c r="R55" s="36">
        <v>14.1</v>
      </c>
      <c r="S55" s="36">
        <v>126</v>
      </c>
      <c r="T55" s="115">
        <f t="shared" si="0"/>
        <v>27</v>
      </c>
      <c r="U55" s="36">
        <v>99</v>
      </c>
      <c r="V55" s="115">
        <f t="shared" si="2"/>
        <v>2673</v>
      </c>
      <c r="W55" s="36">
        <v>4</v>
      </c>
      <c r="X55" s="36" t="s">
        <v>28</v>
      </c>
      <c r="Y55" s="36" t="s">
        <v>43</v>
      </c>
      <c r="Z55" s="36" t="s">
        <v>36</v>
      </c>
      <c r="AA55" s="36" t="s">
        <v>76</v>
      </c>
      <c r="AB55" s="36" t="s">
        <v>178</v>
      </c>
    </row>
    <row r="56" spans="1:28" s="36" customFormat="1" x14ac:dyDescent="0.15">
      <c r="A56" s="36" t="s">
        <v>44</v>
      </c>
      <c r="B56" s="36" t="s">
        <v>174</v>
      </c>
      <c r="C56" s="36">
        <v>2020</v>
      </c>
      <c r="D56" s="200" t="s">
        <v>161</v>
      </c>
      <c r="E56" s="36" t="s">
        <v>407</v>
      </c>
      <c r="F56" s="36" t="s">
        <v>400</v>
      </c>
      <c r="G56" s="36" t="s">
        <v>31</v>
      </c>
      <c r="H56" s="36" t="s">
        <v>113</v>
      </c>
      <c r="I56" s="36" t="s">
        <v>111</v>
      </c>
      <c r="J56" s="36" t="s">
        <v>27</v>
      </c>
      <c r="K56" s="36" t="s">
        <v>112</v>
      </c>
      <c r="L56" s="36">
        <v>1</v>
      </c>
      <c r="N56" s="36">
        <v>5</v>
      </c>
      <c r="O56" s="36">
        <v>0.8</v>
      </c>
      <c r="P56" s="36">
        <v>0.8</v>
      </c>
      <c r="Q56" s="115">
        <f t="shared" si="1"/>
        <v>0.8</v>
      </c>
      <c r="R56" s="36">
        <v>18.3</v>
      </c>
      <c r="S56" s="36">
        <v>85</v>
      </c>
      <c r="T56" s="115">
        <f t="shared" si="0"/>
        <v>36</v>
      </c>
      <c r="U56" s="36">
        <v>357</v>
      </c>
      <c r="V56" s="115">
        <f t="shared" si="2"/>
        <v>2570.4</v>
      </c>
      <c r="W56" s="36">
        <v>2</v>
      </c>
      <c r="X56" s="36" t="s">
        <v>28</v>
      </c>
      <c r="Y56" s="36" t="s">
        <v>43</v>
      </c>
      <c r="Z56" s="36" t="s">
        <v>36</v>
      </c>
      <c r="AA56" s="36" t="s">
        <v>76</v>
      </c>
      <c r="AB56" s="36" t="s">
        <v>178</v>
      </c>
    </row>
    <row r="57" spans="1:28" s="36" customFormat="1" x14ac:dyDescent="0.15">
      <c r="A57" s="36" t="s">
        <v>44</v>
      </c>
      <c r="B57" s="36" t="s">
        <v>174</v>
      </c>
      <c r="C57" s="36">
        <v>2020</v>
      </c>
      <c r="D57" s="200" t="s">
        <v>161</v>
      </c>
      <c r="E57" s="36" t="s">
        <v>407</v>
      </c>
      <c r="F57" s="36" t="s">
        <v>400</v>
      </c>
      <c r="G57" s="36" t="s">
        <v>31</v>
      </c>
      <c r="H57" s="36" t="s">
        <v>113</v>
      </c>
      <c r="I57" s="36" t="s">
        <v>111</v>
      </c>
      <c r="J57" s="36" t="s">
        <v>27</v>
      </c>
      <c r="K57" s="36" t="s">
        <v>112</v>
      </c>
      <c r="L57" s="36">
        <v>2</v>
      </c>
      <c r="N57" s="36">
        <v>5</v>
      </c>
      <c r="O57" s="36">
        <v>0.5</v>
      </c>
      <c r="P57" s="36">
        <v>0.5</v>
      </c>
      <c r="Q57" s="115">
        <f t="shared" si="1"/>
        <v>0.5</v>
      </c>
      <c r="R57" s="36">
        <v>16.600000000000001</v>
      </c>
      <c r="S57" s="36">
        <v>89</v>
      </c>
      <c r="T57" s="115">
        <f t="shared" si="0"/>
        <v>36</v>
      </c>
      <c r="U57" s="36">
        <v>357</v>
      </c>
      <c r="V57" s="115">
        <f t="shared" si="2"/>
        <v>2570.4</v>
      </c>
      <c r="W57" s="36">
        <v>2</v>
      </c>
      <c r="X57" s="36" t="s">
        <v>28</v>
      </c>
      <c r="Y57" s="36" t="s">
        <v>43</v>
      </c>
      <c r="Z57" s="36" t="s">
        <v>36</v>
      </c>
      <c r="AA57" s="36" t="s">
        <v>76</v>
      </c>
      <c r="AB57" s="36" t="s">
        <v>178</v>
      </c>
    </row>
    <row r="58" spans="1:28" s="36" customFormat="1" x14ac:dyDescent="0.15">
      <c r="A58" s="36" t="s">
        <v>44</v>
      </c>
      <c r="B58" s="36" t="s">
        <v>174</v>
      </c>
      <c r="C58" s="36">
        <v>2020</v>
      </c>
      <c r="D58" s="200" t="s">
        <v>161</v>
      </c>
      <c r="E58" s="36" t="s">
        <v>407</v>
      </c>
      <c r="F58" s="36" t="s">
        <v>400</v>
      </c>
      <c r="G58" s="36" t="s">
        <v>31</v>
      </c>
      <c r="H58" s="36" t="s">
        <v>113</v>
      </c>
      <c r="I58" s="36" t="s">
        <v>111</v>
      </c>
      <c r="J58" s="36" t="s">
        <v>27</v>
      </c>
      <c r="K58" s="36" t="s">
        <v>112</v>
      </c>
      <c r="L58" s="36">
        <v>3</v>
      </c>
      <c r="N58" s="36">
        <v>5</v>
      </c>
      <c r="O58" s="36">
        <v>0.65</v>
      </c>
      <c r="P58" s="36">
        <v>0.65</v>
      </c>
      <c r="Q58" s="115">
        <f t="shared" si="1"/>
        <v>0.65</v>
      </c>
      <c r="R58" s="36">
        <v>15.7</v>
      </c>
      <c r="S58" s="36">
        <v>84</v>
      </c>
      <c r="T58" s="115">
        <f t="shared" si="0"/>
        <v>36</v>
      </c>
      <c r="U58" s="36">
        <v>357</v>
      </c>
      <c r="V58" s="115">
        <f t="shared" si="2"/>
        <v>2570.4</v>
      </c>
      <c r="W58" s="36">
        <v>2</v>
      </c>
      <c r="X58" s="36" t="s">
        <v>28</v>
      </c>
      <c r="Y58" s="36" t="s">
        <v>43</v>
      </c>
      <c r="Z58" s="36" t="s">
        <v>36</v>
      </c>
      <c r="AA58" s="36" t="s">
        <v>76</v>
      </c>
      <c r="AB58" s="36" t="s">
        <v>178</v>
      </c>
    </row>
    <row r="59" spans="1:28" s="36" customFormat="1" x14ac:dyDescent="0.15">
      <c r="A59" s="36" t="s">
        <v>44</v>
      </c>
      <c r="B59" s="36" t="s">
        <v>174</v>
      </c>
      <c r="C59" s="36">
        <v>2020</v>
      </c>
      <c r="D59" s="200" t="s">
        <v>161</v>
      </c>
      <c r="E59" s="36" t="s">
        <v>407</v>
      </c>
      <c r="F59" s="36" t="s">
        <v>400</v>
      </c>
      <c r="G59" s="36" t="s">
        <v>31</v>
      </c>
      <c r="H59" s="36" t="s">
        <v>113</v>
      </c>
      <c r="I59" s="36" t="s">
        <v>111</v>
      </c>
      <c r="J59" s="36" t="s">
        <v>27</v>
      </c>
      <c r="K59" s="36" t="s">
        <v>112</v>
      </c>
      <c r="L59" s="36">
        <v>1</v>
      </c>
      <c r="N59" s="36">
        <v>8</v>
      </c>
      <c r="O59" s="36">
        <v>0.65</v>
      </c>
      <c r="P59" s="36">
        <v>0.6</v>
      </c>
      <c r="Q59" s="115">
        <f t="shared" si="1"/>
        <v>0.625</v>
      </c>
      <c r="R59" s="36">
        <v>14</v>
      </c>
      <c r="S59" s="36">
        <v>89</v>
      </c>
      <c r="T59" s="115">
        <f t="shared" si="0"/>
        <v>36</v>
      </c>
      <c r="U59" s="36">
        <v>497</v>
      </c>
      <c r="V59" s="115">
        <f t="shared" si="2"/>
        <v>2236.5</v>
      </c>
      <c r="W59" s="36">
        <v>2</v>
      </c>
      <c r="X59" s="36" t="s">
        <v>28</v>
      </c>
      <c r="Y59" s="36" t="s">
        <v>43</v>
      </c>
      <c r="Z59" s="36" t="s">
        <v>36</v>
      </c>
      <c r="AA59" s="36" t="s">
        <v>76</v>
      </c>
      <c r="AB59" s="36" t="s">
        <v>178</v>
      </c>
    </row>
    <row r="60" spans="1:28" s="36" customFormat="1" x14ac:dyDescent="0.15">
      <c r="A60" s="36" t="s">
        <v>44</v>
      </c>
      <c r="B60" s="36" t="s">
        <v>174</v>
      </c>
      <c r="C60" s="36">
        <v>2020</v>
      </c>
      <c r="D60" s="200" t="s">
        <v>161</v>
      </c>
      <c r="E60" s="36" t="s">
        <v>407</v>
      </c>
      <c r="F60" s="36" t="s">
        <v>400</v>
      </c>
      <c r="G60" s="36" t="s">
        <v>31</v>
      </c>
      <c r="H60" s="36" t="s">
        <v>113</v>
      </c>
      <c r="I60" s="36" t="s">
        <v>111</v>
      </c>
      <c r="J60" s="36" t="s">
        <v>27</v>
      </c>
      <c r="K60" s="36" t="s">
        <v>112</v>
      </c>
      <c r="L60" s="36">
        <v>2</v>
      </c>
      <c r="N60" s="36">
        <v>8</v>
      </c>
      <c r="O60" s="36">
        <v>0.6</v>
      </c>
      <c r="P60" s="36">
        <v>0.65</v>
      </c>
      <c r="Q60" s="115">
        <f t="shared" si="1"/>
        <v>0.625</v>
      </c>
      <c r="R60" s="36">
        <v>13.6</v>
      </c>
      <c r="S60" s="36">
        <v>92</v>
      </c>
      <c r="T60" s="115">
        <f t="shared" si="0"/>
        <v>36</v>
      </c>
      <c r="U60" s="36">
        <v>497</v>
      </c>
      <c r="V60" s="115">
        <f t="shared" si="2"/>
        <v>2236.5</v>
      </c>
      <c r="W60" s="36">
        <v>2</v>
      </c>
      <c r="X60" s="36" t="s">
        <v>28</v>
      </c>
      <c r="Y60" s="36" t="s">
        <v>43</v>
      </c>
      <c r="Z60" s="36" t="s">
        <v>36</v>
      </c>
      <c r="AA60" s="36" t="s">
        <v>76</v>
      </c>
      <c r="AB60" s="36" t="s">
        <v>178</v>
      </c>
    </row>
    <row r="61" spans="1:28" s="36" customFormat="1" x14ac:dyDescent="0.15">
      <c r="A61" s="36" t="s">
        <v>44</v>
      </c>
      <c r="B61" s="36" t="s">
        <v>174</v>
      </c>
      <c r="C61" s="36">
        <v>2020</v>
      </c>
      <c r="D61" s="200" t="s">
        <v>161</v>
      </c>
      <c r="E61" s="36" t="s">
        <v>407</v>
      </c>
      <c r="F61" s="36" t="s">
        <v>400</v>
      </c>
      <c r="G61" s="36" t="s">
        <v>31</v>
      </c>
      <c r="H61" s="36" t="s">
        <v>113</v>
      </c>
      <c r="I61" s="36" t="s">
        <v>111</v>
      </c>
      <c r="J61" s="36" t="s">
        <v>27</v>
      </c>
      <c r="K61" s="36" t="s">
        <v>112</v>
      </c>
      <c r="L61" s="36">
        <v>3</v>
      </c>
      <c r="N61" s="36">
        <v>8</v>
      </c>
      <c r="O61" s="36">
        <v>0.7</v>
      </c>
      <c r="P61" s="36">
        <v>0.7</v>
      </c>
      <c r="Q61" s="115">
        <f t="shared" si="1"/>
        <v>0.7</v>
      </c>
      <c r="R61" s="36">
        <v>13.1</v>
      </c>
      <c r="S61" s="36">
        <v>90</v>
      </c>
      <c r="T61" s="115">
        <f t="shared" si="0"/>
        <v>36</v>
      </c>
      <c r="U61" s="36">
        <v>497</v>
      </c>
      <c r="V61" s="115">
        <f t="shared" si="2"/>
        <v>2236.5</v>
      </c>
      <c r="W61" s="36">
        <v>2</v>
      </c>
      <c r="X61" s="36" t="s">
        <v>28</v>
      </c>
      <c r="Y61" s="36" t="s">
        <v>43</v>
      </c>
      <c r="Z61" s="36" t="s">
        <v>36</v>
      </c>
      <c r="AA61" s="36" t="s">
        <v>76</v>
      </c>
      <c r="AB61" s="36" t="s">
        <v>178</v>
      </c>
    </row>
    <row r="62" spans="1:28" s="36" customFormat="1" x14ac:dyDescent="0.15">
      <c r="A62" s="36" t="s">
        <v>44</v>
      </c>
      <c r="B62" s="36" t="s">
        <v>174</v>
      </c>
      <c r="C62" s="36">
        <v>2020</v>
      </c>
      <c r="D62" s="200" t="s">
        <v>161</v>
      </c>
      <c r="E62" s="36" t="s">
        <v>407</v>
      </c>
      <c r="F62" s="36" t="s">
        <v>400</v>
      </c>
      <c r="G62" s="36" t="s">
        <v>31</v>
      </c>
      <c r="H62" s="36" t="s">
        <v>164</v>
      </c>
      <c r="I62" s="36" t="s">
        <v>111</v>
      </c>
      <c r="J62" s="36" t="s">
        <v>27</v>
      </c>
      <c r="K62" s="36" t="s">
        <v>112</v>
      </c>
      <c r="L62" s="36">
        <v>1</v>
      </c>
      <c r="N62" s="36">
        <v>8</v>
      </c>
      <c r="O62" s="36">
        <v>0.85</v>
      </c>
      <c r="P62" s="36">
        <v>0.85</v>
      </c>
      <c r="Q62" s="115">
        <f t="shared" si="1"/>
        <v>0.85</v>
      </c>
      <c r="R62" s="36">
        <v>15.4</v>
      </c>
      <c r="S62" s="36">
        <v>104</v>
      </c>
      <c r="T62" s="115">
        <f t="shared" si="0"/>
        <v>33</v>
      </c>
      <c r="U62" s="36">
        <v>597</v>
      </c>
      <c r="V62" s="115">
        <f t="shared" si="2"/>
        <v>2462.625</v>
      </c>
      <c r="W62" s="36">
        <v>2</v>
      </c>
      <c r="X62" s="36" t="s">
        <v>28</v>
      </c>
      <c r="Y62" s="36" t="s">
        <v>43</v>
      </c>
      <c r="Z62" s="36" t="s">
        <v>36</v>
      </c>
      <c r="AA62" s="36" t="s">
        <v>76</v>
      </c>
      <c r="AB62" s="36" t="s">
        <v>178</v>
      </c>
    </row>
    <row r="63" spans="1:28" s="36" customFormat="1" x14ac:dyDescent="0.15">
      <c r="A63" s="36" t="s">
        <v>44</v>
      </c>
      <c r="B63" s="36" t="s">
        <v>174</v>
      </c>
      <c r="C63" s="36">
        <v>2020</v>
      </c>
      <c r="D63" s="200" t="s">
        <v>161</v>
      </c>
      <c r="E63" s="36" t="s">
        <v>407</v>
      </c>
      <c r="F63" s="36" t="s">
        <v>400</v>
      </c>
      <c r="G63" s="36" t="s">
        <v>31</v>
      </c>
      <c r="H63" s="36" t="s">
        <v>164</v>
      </c>
      <c r="I63" s="36" t="s">
        <v>111</v>
      </c>
      <c r="J63" s="36" t="s">
        <v>27</v>
      </c>
      <c r="K63" s="36" t="s">
        <v>112</v>
      </c>
      <c r="L63" s="36">
        <v>2</v>
      </c>
      <c r="N63" s="36">
        <v>8</v>
      </c>
      <c r="O63" s="36">
        <v>1</v>
      </c>
      <c r="P63" s="36">
        <v>0.95</v>
      </c>
      <c r="Q63" s="115">
        <f t="shared" si="1"/>
        <v>0.97499999999999998</v>
      </c>
      <c r="R63" s="36">
        <v>14.3</v>
      </c>
      <c r="S63" s="36">
        <v>95</v>
      </c>
      <c r="T63" s="115">
        <f t="shared" si="0"/>
        <v>36</v>
      </c>
      <c r="U63" s="36">
        <v>597</v>
      </c>
      <c r="V63" s="115">
        <f t="shared" si="2"/>
        <v>2686.5</v>
      </c>
      <c r="W63" s="36">
        <v>2</v>
      </c>
      <c r="X63" s="36" t="s">
        <v>28</v>
      </c>
      <c r="Y63" s="36" t="s">
        <v>43</v>
      </c>
      <c r="Z63" s="36" t="s">
        <v>36</v>
      </c>
      <c r="AA63" s="36" t="s">
        <v>76</v>
      </c>
      <c r="AB63" s="36" t="s">
        <v>178</v>
      </c>
    </row>
    <row r="64" spans="1:28" s="36" customFormat="1" x14ac:dyDescent="0.15">
      <c r="A64" s="36" t="s">
        <v>44</v>
      </c>
      <c r="B64" s="36" t="s">
        <v>174</v>
      </c>
      <c r="C64" s="36">
        <v>2020</v>
      </c>
      <c r="D64" s="200" t="s">
        <v>161</v>
      </c>
      <c r="E64" s="36" t="s">
        <v>407</v>
      </c>
      <c r="F64" s="36" t="s">
        <v>400</v>
      </c>
      <c r="G64" s="36" t="s">
        <v>31</v>
      </c>
      <c r="H64" s="36" t="s">
        <v>164</v>
      </c>
      <c r="I64" s="36" t="s">
        <v>111</v>
      </c>
      <c r="J64" s="36" t="s">
        <v>27</v>
      </c>
      <c r="K64" s="36" t="s">
        <v>112</v>
      </c>
      <c r="L64" s="36">
        <v>3</v>
      </c>
      <c r="N64" s="36">
        <v>8</v>
      </c>
      <c r="O64" s="36">
        <v>1</v>
      </c>
      <c r="P64" s="36">
        <v>0.85</v>
      </c>
      <c r="Q64" s="115">
        <f t="shared" si="1"/>
        <v>0.92500000000000004</v>
      </c>
      <c r="R64" s="36">
        <v>14</v>
      </c>
      <c r="S64" s="36">
        <v>100</v>
      </c>
      <c r="T64" s="115">
        <f t="shared" si="0"/>
        <v>33</v>
      </c>
      <c r="U64" s="36">
        <v>597</v>
      </c>
      <c r="V64" s="115">
        <f t="shared" si="2"/>
        <v>2462.625</v>
      </c>
      <c r="W64" s="36">
        <v>2</v>
      </c>
      <c r="X64" s="36" t="s">
        <v>28</v>
      </c>
      <c r="Y64" s="36" t="s">
        <v>43</v>
      </c>
      <c r="Z64" s="36" t="s">
        <v>36</v>
      </c>
      <c r="AA64" s="36" t="s">
        <v>76</v>
      </c>
      <c r="AB64" s="36" t="s">
        <v>178</v>
      </c>
    </row>
    <row r="65" spans="1:28" s="36" customFormat="1" x14ac:dyDescent="0.15">
      <c r="A65" s="36" t="s">
        <v>44</v>
      </c>
      <c r="B65" s="36" t="s">
        <v>174</v>
      </c>
      <c r="C65" s="36">
        <v>2020</v>
      </c>
      <c r="D65" s="200" t="s">
        <v>161</v>
      </c>
      <c r="E65" s="36" t="s">
        <v>407</v>
      </c>
      <c r="F65" s="36" t="s">
        <v>400</v>
      </c>
      <c r="G65" s="36" t="s">
        <v>31</v>
      </c>
      <c r="H65" s="36" t="s">
        <v>164</v>
      </c>
      <c r="I65" s="36" t="s">
        <v>111</v>
      </c>
      <c r="J65" s="36" t="s">
        <v>27</v>
      </c>
      <c r="K65" s="36" t="s">
        <v>112</v>
      </c>
      <c r="L65" s="36">
        <v>1</v>
      </c>
      <c r="N65" s="36">
        <v>1</v>
      </c>
      <c r="O65" s="36">
        <v>0.5</v>
      </c>
      <c r="P65" s="36">
        <v>0.5</v>
      </c>
      <c r="Q65" s="115">
        <f t="shared" si="1"/>
        <v>0.5</v>
      </c>
      <c r="R65" s="36">
        <v>17.5</v>
      </c>
      <c r="S65" s="36">
        <v>124</v>
      </c>
      <c r="T65" s="115">
        <f t="shared" si="0"/>
        <v>27</v>
      </c>
      <c r="U65" s="36">
        <v>99</v>
      </c>
      <c r="V65" s="115">
        <f t="shared" si="2"/>
        <v>2673</v>
      </c>
      <c r="W65" s="36">
        <v>6</v>
      </c>
      <c r="X65" s="36" t="s">
        <v>28</v>
      </c>
      <c r="Y65" s="36" t="s">
        <v>43</v>
      </c>
      <c r="Z65" s="36" t="s">
        <v>36</v>
      </c>
      <c r="AA65" s="36" t="s">
        <v>76</v>
      </c>
      <c r="AB65" s="36" t="s">
        <v>178</v>
      </c>
    </row>
    <row r="66" spans="1:28" s="36" customFormat="1" x14ac:dyDescent="0.15">
      <c r="A66" s="36" t="s">
        <v>44</v>
      </c>
      <c r="B66" s="36" t="s">
        <v>174</v>
      </c>
      <c r="C66" s="36">
        <v>2020</v>
      </c>
      <c r="D66" s="200" t="s">
        <v>161</v>
      </c>
      <c r="E66" s="36" t="s">
        <v>407</v>
      </c>
      <c r="F66" s="36" t="s">
        <v>400</v>
      </c>
      <c r="G66" s="36" t="s">
        <v>31</v>
      </c>
      <c r="H66" s="36" t="s">
        <v>164</v>
      </c>
      <c r="I66" s="36" t="s">
        <v>111</v>
      </c>
      <c r="J66" s="36" t="s">
        <v>27</v>
      </c>
      <c r="K66" s="36" t="s">
        <v>112</v>
      </c>
      <c r="L66" s="36">
        <v>2</v>
      </c>
      <c r="N66" s="36">
        <v>1</v>
      </c>
      <c r="O66" s="36">
        <v>0.6</v>
      </c>
      <c r="P66" s="36">
        <v>0.65</v>
      </c>
      <c r="Q66" s="115">
        <f t="shared" si="1"/>
        <v>0.625</v>
      </c>
      <c r="R66" s="36">
        <v>17.3</v>
      </c>
      <c r="S66" s="36">
        <v>127</v>
      </c>
      <c r="T66" s="115">
        <f t="shared" ref="T66:T118" si="3">IF(H66="","",IF(OR(H66="GREEN",H66="GK"),IF(S66&gt;=$AX$2,VLOOKUP(S66,$AX$2:$AY$10,2,1),""),IF(S66&gt;=$AZ$2,VLOOKUP(S66,$AZ$2:$BA$10,2,1),"")))</f>
        <v>27</v>
      </c>
      <c r="U66" s="36">
        <v>99</v>
      </c>
      <c r="V66" s="115">
        <f t="shared" si="2"/>
        <v>2673</v>
      </c>
      <c r="W66" s="36">
        <v>6</v>
      </c>
      <c r="X66" s="36" t="s">
        <v>28</v>
      </c>
      <c r="Y66" s="36" t="s">
        <v>43</v>
      </c>
      <c r="Z66" s="36" t="s">
        <v>36</v>
      </c>
      <c r="AA66" s="36" t="s">
        <v>76</v>
      </c>
      <c r="AB66" s="36" t="s">
        <v>178</v>
      </c>
    </row>
    <row r="67" spans="1:28" s="36" customFormat="1" x14ac:dyDescent="0.15">
      <c r="A67" s="36" t="s">
        <v>44</v>
      </c>
      <c r="B67" s="36" t="s">
        <v>174</v>
      </c>
      <c r="C67" s="36">
        <v>2020</v>
      </c>
      <c r="D67" s="200" t="s">
        <v>161</v>
      </c>
      <c r="E67" s="36" t="s">
        <v>407</v>
      </c>
      <c r="F67" s="36" t="s">
        <v>400</v>
      </c>
      <c r="G67" s="36" t="s">
        <v>31</v>
      </c>
      <c r="H67" s="36" t="s">
        <v>164</v>
      </c>
      <c r="I67" s="36" t="s">
        <v>111</v>
      </c>
      <c r="J67" s="36" t="s">
        <v>27</v>
      </c>
      <c r="K67" s="36" t="s">
        <v>112</v>
      </c>
      <c r="L67" s="36">
        <v>3</v>
      </c>
      <c r="N67" s="36">
        <v>1</v>
      </c>
      <c r="O67" s="36">
        <v>0.7</v>
      </c>
      <c r="P67" s="36">
        <v>0.65</v>
      </c>
      <c r="Q67" s="115">
        <f t="shared" ref="Q67:Q118" si="4">IF(OR(O67="",P67=""),"",AVERAGE(O67,P67))</f>
        <v>0.67500000000000004</v>
      </c>
      <c r="R67" s="36">
        <v>17.8</v>
      </c>
      <c r="S67" s="36">
        <v>136</v>
      </c>
      <c r="T67" s="115">
        <f t="shared" si="3"/>
        <v>25</v>
      </c>
      <c r="U67" s="36">
        <v>99</v>
      </c>
      <c r="V67" s="115">
        <f t="shared" ref="V67:V118" si="5">IF(OR(N67="",U67="",T67=""),"",U67/N67*T67)</f>
        <v>2475</v>
      </c>
      <c r="W67" s="36">
        <v>6</v>
      </c>
      <c r="X67" s="36" t="s">
        <v>28</v>
      </c>
      <c r="Y67" s="36" t="s">
        <v>43</v>
      </c>
      <c r="Z67" s="36" t="s">
        <v>36</v>
      </c>
      <c r="AA67" s="36" t="s">
        <v>76</v>
      </c>
      <c r="AB67" s="36" t="s">
        <v>178</v>
      </c>
    </row>
    <row r="68" spans="1:28" s="36" customFormat="1" x14ac:dyDescent="0.15">
      <c r="A68" s="36" t="s">
        <v>44</v>
      </c>
      <c r="B68" s="36" t="s">
        <v>174</v>
      </c>
      <c r="C68" s="36">
        <v>2020</v>
      </c>
      <c r="D68" s="200" t="s">
        <v>161</v>
      </c>
      <c r="E68" s="36" t="s">
        <v>407</v>
      </c>
      <c r="F68" s="36" t="s">
        <v>400</v>
      </c>
      <c r="G68" s="36" t="s">
        <v>31</v>
      </c>
      <c r="H68" s="36" t="s">
        <v>164</v>
      </c>
      <c r="I68" s="36" t="s">
        <v>111</v>
      </c>
      <c r="J68" s="36" t="s">
        <v>27</v>
      </c>
      <c r="K68" s="36" t="s">
        <v>112</v>
      </c>
      <c r="L68" s="36">
        <v>1</v>
      </c>
      <c r="N68" s="36">
        <v>4</v>
      </c>
      <c r="O68" s="36">
        <v>0.75</v>
      </c>
      <c r="P68" s="36">
        <v>0.75</v>
      </c>
      <c r="Q68" s="115">
        <f t="shared" si="4"/>
        <v>0.75</v>
      </c>
      <c r="R68" s="36">
        <v>16.600000000000001</v>
      </c>
      <c r="S68" s="36">
        <v>102</v>
      </c>
      <c r="T68" s="115">
        <f t="shared" si="3"/>
        <v>33</v>
      </c>
      <c r="U68" s="36">
        <v>397</v>
      </c>
      <c r="V68" s="115">
        <f t="shared" si="5"/>
        <v>3275.25</v>
      </c>
      <c r="W68" s="36">
        <v>2</v>
      </c>
      <c r="X68" s="36" t="s">
        <v>28</v>
      </c>
      <c r="Y68" s="36" t="s">
        <v>43</v>
      </c>
      <c r="Z68" s="36" t="s">
        <v>36</v>
      </c>
      <c r="AA68" s="36" t="s">
        <v>76</v>
      </c>
      <c r="AB68" s="36" t="s">
        <v>178</v>
      </c>
    </row>
    <row r="69" spans="1:28" s="36" customFormat="1" x14ac:dyDescent="0.15">
      <c r="A69" s="36" t="s">
        <v>44</v>
      </c>
      <c r="B69" s="36" t="s">
        <v>174</v>
      </c>
      <c r="C69" s="36">
        <v>2020</v>
      </c>
      <c r="D69" s="200" t="s">
        <v>161</v>
      </c>
      <c r="E69" s="36" t="s">
        <v>407</v>
      </c>
      <c r="F69" s="36" t="s">
        <v>400</v>
      </c>
      <c r="G69" s="36" t="s">
        <v>31</v>
      </c>
      <c r="H69" s="36" t="s">
        <v>164</v>
      </c>
      <c r="I69" s="36" t="s">
        <v>111</v>
      </c>
      <c r="J69" s="36" t="s">
        <v>27</v>
      </c>
      <c r="K69" s="36" t="s">
        <v>112</v>
      </c>
      <c r="L69" s="36">
        <v>2</v>
      </c>
      <c r="N69" s="36">
        <v>4</v>
      </c>
      <c r="O69" s="36">
        <v>0.65</v>
      </c>
      <c r="P69" s="36">
        <v>0.7</v>
      </c>
      <c r="Q69" s="115">
        <f t="shared" si="4"/>
        <v>0.67500000000000004</v>
      </c>
      <c r="R69" s="36">
        <v>17.7</v>
      </c>
      <c r="S69" s="36">
        <v>93</v>
      </c>
      <c r="T69" s="115">
        <f t="shared" si="3"/>
        <v>36</v>
      </c>
      <c r="U69" s="36">
        <v>397</v>
      </c>
      <c r="V69" s="115">
        <f t="shared" si="5"/>
        <v>3573</v>
      </c>
      <c r="W69" s="36">
        <v>2</v>
      </c>
      <c r="X69" s="36" t="s">
        <v>28</v>
      </c>
      <c r="Y69" s="36" t="s">
        <v>43</v>
      </c>
      <c r="Z69" s="36" t="s">
        <v>36</v>
      </c>
      <c r="AA69" s="36" t="s">
        <v>76</v>
      </c>
      <c r="AB69" s="36" t="s">
        <v>178</v>
      </c>
    </row>
    <row r="70" spans="1:28" s="36" customFormat="1" x14ac:dyDescent="0.15">
      <c r="A70" s="36" t="s">
        <v>44</v>
      </c>
      <c r="B70" s="36" t="s">
        <v>174</v>
      </c>
      <c r="C70" s="36">
        <v>2020</v>
      </c>
      <c r="D70" s="200" t="s">
        <v>161</v>
      </c>
      <c r="E70" s="36" t="s">
        <v>407</v>
      </c>
      <c r="F70" s="36" t="s">
        <v>400</v>
      </c>
      <c r="G70" s="36" t="s">
        <v>31</v>
      </c>
      <c r="H70" s="36" t="s">
        <v>164</v>
      </c>
      <c r="I70" s="36" t="s">
        <v>111</v>
      </c>
      <c r="J70" s="36" t="s">
        <v>27</v>
      </c>
      <c r="K70" s="36" t="s">
        <v>112</v>
      </c>
      <c r="L70" s="36">
        <v>3</v>
      </c>
      <c r="N70" s="36">
        <v>4</v>
      </c>
      <c r="O70" s="36">
        <v>0.6</v>
      </c>
      <c r="P70" s="36">
        <v>0.6</v>
      </c>
      <c r="Q70" s="115">
        <f t="shared" si="4"/>
        <v>0.6</v>
      </c>
      <c r="R70" s="36">
        <v>18.100000000000001</v>
      </c>
      <c r="S70" s="36">
        <v>97</v>
      </c>
      <c r="T70" s="115">
        <f t="shared" si="3"/>
        <v>36</v>
      </c>
      <c r="U70" s="36">
        <v>397</v>
      </c>
      <c r="V70" s="115">
        <f t="shared" si="5"/>
        <v>3573</v>
      </c>
      <c r="W70" s="36">
        <v>2</v>
      </c>
      <c r="X70" s="36" t="s">
        <v>28</v>
      </c>
      <c r="Y70" s="36" t="s">
        <v>43</v>
      </c>
      <c r="Z70" s="36" t="s">
        <v>36</v>
      </c>
      <c r="AA70" s="36" t="s">
        <v>76</v>
      </c>
      <c r="AB70" s="36" t="s">
        <v>178</v>
      </c>
    </row>
    <row r="71" spans="1:28" s="36" customFormat="1" x14ac:dyDescent="0.15">
      <c r="A71" s="36" t="s">
        <v>44</v>
      </c>
      <c r="B71" s="36" t="s">
        <v>174</v>
      </c>
      <c r="C71" s="36">
        <v>2020</v>
      </c>
      <c r="D71" s="200" t="s">
        <v>161</v>
      </c>
      <c r="E71" s="36" t="s">
        <v>196</v>
      </c>
      <c r="F71" s="36" t="s">
        <v>409</v>
      </c>
      <c r="G71" s="36" t="s">
        <v>25</v>
      </c>
      <c r="H71" s="36" t="s">
        <v>113</v>
      </c>
      <c r="I71" s="36" t="s">
        <v>111</v>
      </c>
      <c r="J71" s="36" t="s">
        <v>27</v>
      </c>
      <c r="K71" s="36" t="s">
        <v>112</v>
      </c>
      <c r="L71" s="36">
        <v>1</v>
      </c>
      <c r="N71" s="36">
        <v>1</v>
      </c>
      <c r="O71" s="36">
        <v>0.85</v>
      </c>
      <c r="P71" s="36">
        <v>0.8</v>
      </c>
      <c r="Q71" s="115">
        <f t="shared" si="4"/>
        <v>0.82499999999999996</v>
      </c>
      <c r="R71" s="36">
        <v>17.399999999999999</v>
      </c>
      <c r="S71" s="36">
        <v>117</v>
      </c>
      <c r="T71" s="115">
        <f t="shared" si="3"/>
        <v>30</v>
      </c>
      <c r="U71" s="36">
        <v>98</v>
      </c>
      <c r="V71" s="115">
        <f t="shared" si="5"/>
        <v>2940</v>
      </c>
      <c r="W71" s="36">
        <v>4</v>
      </c>
      <c r="X71" s="36" t="s">
        <v>35</v>
      </c>
      <c r="Y71" s="36" t="s">
        <v>64</v>
      </c>
      <c r="Z71" s="36" t="s">
        <v>43</v>
      </c>
      <c r="AA71" s="36" t="s">
        <v>36</v>
      </c>
      <c r="AB71" s="36" t="s">
        <v>178</v>
      </c>
    </row>
    <row r="72" spans="1:28" s="36" customFormat="1" x14ac:dyDescent="0.15">
      <c r="A72" s="36" t="s">
        <v>44</v>
      </c>
      <c r="B72" s="36" t="s">
        <v>174</v>
      </c>
      <c r="C72" s="36">
        <v>2020</v>
      </c>
      <c r="D72" s="200" t="s">
        <v>161</v>
      </c>
      <c r="E72" s="36" t="s">
        <v>196</v>
      </c>
      <c r="F72" s="36" t="s">
        <v>409</v>
      </c>
      <c r="G72" s="36" t="s">
        <v>25</v>
      </c>
      <c r="H72" s="36" t="s">
        <v>113</v>
      </c>
      <c r="I72" s="36" t="s">
        <v>111</v>
      </c>
      <c r="J72" s="36" t="s">
        <v>27</v>
      </c>
      <c r="K72" s="36" t="s">
        <v>112</v>
      </c>
      <c r="L72" s="36">
        <v>2</v>
      </c>
      <c r="N72" s="36">
        <v>1</v>
      </c>
      <c r="O72" s="36">
        <v>1</v>
      </c>
      <c r="P72" s="36">
        <v>0.8</v>
      </c>
      <c r="Q72" s="115">
        <f t="shared" si="4"/>
        <v>0.9</v>
      </c>
      <c r="R72" s="36">
        <v>16.399999999999999</v>
      </c>
      <c r="S72" s="36">
        <v>124</v>
      </c>
      <c r="T72" s="115">
        <f t="shared" si="3"/>
        <v>27</v>
      </c>
      <c r="U72" s="36">
        <v>98</v>
      </c>
      <c r="V72" s="115">
        <f t="shared" si="5"/>
        <v>2646</v>
      </c>
      <c r="W72" s="36">
        <v>4</v>
      </c>
      <c r="X72" s="36" t="s">
        <v>35</v>
      </c>
      <c r="Y72" s="36" t="s">
        <v>64</v>
      </c>
      <c r="Z72" s="36" t="s">
        <v>43</v>
      </c>
      <c r="AA72" s="36" t="s">
        <v>36</v>
      </c>
      <c r="AB72" s="36" t="s">
        <v>178</v>
      </c>
    </row>
    <row r="73" spans="1:28" s="36" customFormat="1" x14ac:dyDescent="0.15">
      <c r="A73" s="36" t="s">
        <v>44</v>
      </c>
      <c r="B73" s="36" t="s">
        <v>174</v>
      </c>
      <c r="C73" s="36">
        <v>2020</v>
      </c>
      <c r="D73" s="200" t="s">
        <v>161</v>
      </c>
      <c r="E73" s="36" t="s">
        <v>196</v>
      </c>
      <c r="F73" s="36" t="s">
        <v>409</v>
      </c>
      <c r="G73" s="36" t="s">
        <v>25</v>
      </c>
      <c r="H73" s="36" t="s">
        <v>113</v>
      </c>
      <c r="I73" s="36" t="s">
        <v>111</v>
      </c>
      <c r="J73" s="36" t="s">
        <v>27</v>
      </c>
      <c r="K73" s="36" t="s">
        <v>112</v>
      </c>
      <c r="L73" s="36">
        <v>3</v>
      </c>
      <c r="N73" s="36">
        <v>1</v>
      </c>
      <c r="O73" s="36">
        <v>0.6</v>
      </c>
      <c r="P73" s="36">
        <v>0.75</v>
      </c>
      <c r="Q73" s="115">
        <f t="shared" si="4"/>
        <v>0.67500000000000004</v>
      </c>
      <c r="R73" s="36">
        <v>14.7</v>
      </c>
      <c r="S73" s="36">
        <v>123</v>
      </c>
      <c r="T73" s="115">
        <f t="shared" si="3"/>
        <v>27</v>
      </c>
      <c r="U73" s="36">
        <v>98</v>
      </c>
      <c r="V73" s="115">
        <f t="shared" si="5"/>
        <v>2646</v>
      </c>
      <c r="W73" s="36">
        <v>4</v>
      </c>
      <c r="X73" s="36" t="s">
        <v>35</v>
      </c>
      <c r="Y73" s="36" t="s">
        <v>64</v>
      </c>
      <c r="Z73" s="36" t="s">
        <v>43</v>
      </c>
      <c r="AA73" s="36" t="s">
        <v>36</v>
      </c>
      <c r="AB73" s="36" t="s">
        <v>178</v>
      </c>
    </row>
    <row r="74" spans="1:28" s="36" customFormat="1" x14ac:dyDescent="0.15">
      <c r="A74" s="36" t="s">
        <v>44</v>
      </c>
      <c r="B74" s="36" t="s">
        <v>174</v>
      </c>
      <c r="C74" s="36">
        <v>2020</v>
      </c>
      <c r="D74" s="200" t="s">
        <v>161</v>
      </c>
      <c r="E74" s="36" t="s">
        <v>196</v>
      </c>
      <c r="F74" s="36" t="s">
        <v>409</v>
      </c>
      <c r="G74" s="36" t="s">
        <v>25</v>
      </c>
      <c r="H74" s="36" t="s">
        <v>113</v>
      </c>
      <c r="I74" s="36" t="s">
        <v>111</v>
      </c>
      <c r="J74" s="36" t="s">
        <v>27</v>
      </c>
      <c r="K74" s="36" t="s">
        <v>112</v>
      </c>
      <c r="L74" s="36">
        <v>1</v>
      </c>
      <c r="N74" s="36">
        <v>5</v>
      </c>
      <c r="O74" s="36">
        <v>0.75</v>
      </c>
      <c r="P74" s="36">
        <v>0.8</v>
      </c>
      <c r="Q74" s="115">
        <f t="shared" si="4"/>
        <v>0.77500000000000002</v>
      </c>
      <c r="R74" s="36">
        <v>13.9</v>
      </c>
      <c r="S74" s="36">
        <v>84</v>
      </c>
      <c r="T74" s="115">
        <f t="shared" si="3"/>
        <v>36</v>
      </c>
      <c r="U74" s="36">
        <v>298</v>
      </c>
      <c r="V74" s="115">
        <f t="shared" si="5"/>
        <v>2145.6</v>
      </c>
      <c r="W74" s="36">
        <v>2</v>
      </c>
      <c r="X74" s="36" t="s">
        <v>35</v>
      </c>
      <c r="Y74" s="36" t="s">
        <v>64</v>
      </c>
      <c r="Z74" s="36" t="s">
        <v>43</v>
      </c>
      <c r="AA74" s="36" t="s">
        <v>36</v>
      </c>
      <c r="AB74" s="36" t="s">
        <v>178</v>
      </c>
    </row>
    <row r="75" spans="1:28" s="36" customFormat="1" x14ac:dyDescent="0.15">
      <c r="A75" s="36" t="s">
        <v>44</v>
      </c>
      <c r="B75" s="36" t="s">
        <v>174</v>
      </c>
      <c r="C75" s="36">
        <v>2020</v>
      </c>
      <c r="D75" s="200" t="s">
        <v>161</v>
      </c>
      <c r="E75" s="36" t="s">
        <v>196</v>
      </c>
      <c r="F75" s="36" t="s">
        <v>409</v>
      </c>
      <c r="G75" s="36" t="s">
        <v>25</v>
      </c>
      <c r="H75" s="36" t="s">
        <v>113</v>
      </c>
      <c r="I75" s="36" t="s">
        <v>111</v>
      </c>
      <c r="J75" s="36" t="s">
        <v>27</v>
      </c>
      <c r="K75" s="36" t="s">
        <v>112</v>
      </c>
      <c r="L75" s="36">
        <v>2</v>
      </c>
      <c r="N75" s="36">
        <v>5</v>
      </c>
      <c r="O75" s="36">
        <v>0.65</v>
      </c>
      <c r="P75" s="36">
        <v>0.7</v>
      </c>
      <c r="Q75" s="115">
        <f t="shared" si="4"/>
        <v>0.67500000000000004</v>
      </c>
      <c r="R75" s="36">
        <v>13</v>
      </c>
      <c r="S75" s="36">
        <v>91</v>
      </c>
      <c r="T75" s="115">
        <f t="shared" si="3"/>
        <v>36</v>
      </c>
      <c r="U75" s="36">
        <v>298</v>
      </c>
      <c r="V75" s="115">
        <f t="shared" si="5"/>
        <v>2145.6</v>
      </c>
      <c r="W75" s="36">
        <v>2</v>
      </c>
      <c r="X75" s="36" t="s">
        <v>35</v>
      </c>
      <c r="Y75" s="36" t="s">
        <v>64</v>
      </c>
      <c r="Z75" s="36" t="s">
        <v>43</v>
      </c>
      <c r="AA75" s="36" t="s">
        <v>36</v>
      </c>
      <c r="AB75" s="36" t="s">
        <v>178</v>
      </c>
    </row>
    <row r="76" spans="1:28" s="36" customFormat="1" x14ac:dyDescent="0.15">
      <c r="A76" s="36" t="s">
        <v>44</v>
      </c>
      <c r="B76" s="36" t="s">
        <v>174</v>
      </c>
      <c r="C76" s="36">
        <v>2020</v>
      </c>
      <c r="D76" s="200" t="s">
        <v>161</v>
      </c>
      <c r="E76" s="36" t="s">
        <v>196</v>
      </c>
      <c r="F76" s="36" t="s">
        <v>409</v>
      </c>
      <c r="G76" s="36" t="s">
        <v>25</v>
      </c>
      <c r="H76" s="36" t="s">
        <v>113</v>
      </c>
      <c r="I76" s="36" t="s">
        <v>111</v>
      </c>
      <c r="J76" s="36" t="s">
        <v>27</v>
      </c>
      <c r="K76" s="36" t="s">
        <v>112</v>
      </c>
      <c r="L76" s="36">
        <v>3</v>
      </c>
      <c r="N76" s="36">
        <v>5</v>
      </c>
      <c r="O76" s="36">
        <v>0.6</v>
      </c>
      <c r="P76" s="36">
        <v>0.6</v>
      </c>
      <c r="Q76" s="115">
        <f t="shared" si="4"/>
        <v>0.6</v>
      </c>
      <c r="R76" s="36">
        <v>11.9</v>
      </c>
      <c r="S76" s="36">
        <v>89</v>
      </c>
      <c r="T76" s="115">
        <f t="shared" si="3"/>
        <v>36</v>
      </c>
      <c r="U76" s="36">
        <v>298</v>
      </c>
      <c r="V76" s="115">
        <f t="shared" si="5"/>
        <v>2145.6</v>
      </c>
      <c r="W76" s="36">
        <v>2</v>
      </c>
      <c r="X76" s="36" t="s">
        <v>35</v>
      </c>
      <c r="Y76" s="36" t="s">
        <v>64</v>
      </c>
      <c r="Z76" s="36" t="s">
        <v>43</v>
      </c>
      <c r="AA76" s="36" t="s">
        <v>36</v>
      </c>
      <c r="AB76" s="36" t="s">
        <v>178</v>
      </c>
    </row>
    <row r="77" spans="1:28" s="36" customFormat="1" x14ac:dyDescent="0.15">
      <c r="A77" s="36" t="s">
        <v>44</v>
      </c>
      <c r="B77" s="36" t="s">
        <v>174</v>
      </c>
      <c r="C77" s="36">
        <v>2020</v>
      </c>
      <c r="D77" s="200" t="s">
        <v>161</v>
      </c>
      <c r="E77" s="36" t="s">
        <v>196</v>
      </c>
      <c r="F77" s="36" t="s">
        <v>409</v>
      </c>
      <c r="G77" s="36" t="s">
        <v>25</v>
      </c>
      <c r="H77" s="36" t="s">
        <v>164</v>
      </c>
      <c r="I77" s="36" t="s">
        <v>111</v>
      </c>
      <c r="J77" s="36" t="s">
        <v>27</v>
      </c>
      <c r="K77" s="36" t="s">
        <v>112</v>
      </c>
      <c r="L77" s="36">
        <v>1</v>
      </c>
      <c r="N77" s="36">
        <v>1</v>
      </c>
      <c r="O77" s="36">
        <v>0.75</v>
      </c>
      <c r="P77" s="36">
        <v>0.75</v>
      </c>
      <c r="Q77" s="115">
        <f t="shared" si="4"/>
        <v>0.75</v>
      </c>
      <c r="R77" s="36">
        <v>16.600000000000001</v>
      </c>
      <c r="S77" s="36">
        <v>111</v>
      </c>
      <c r="T77" s="115">
        <f t="shared" si="3"/>
        <v>33</v>
      </c>
      <c r="U77" s="36">
        <v>98</v>
      </c>
      <c r="V77" s="115">
        <f t="shared" si="5"/>
        <v>3234</v>
      </c>
      <c r="W77" s="36">
        <v>4</v>
      </c>
      <c r="X77" s="36" t="s">
        <v>35</v>
      </c>
      <c r="Y77" s="36" t="s">
        <v>64</v>
      </c>
      <c r="Z77" s="36" t="s">
        <v>43</v>
      </c>
      <c r="AA77" s="36" t="s">
        <v>36</v>
      </c>
      <c r="AB77" s="36" t="s">
        <v>178</v>
      </c>
    </row>
    <row r="78" spans="1:28" s="36" customFormat="1" x14ac:dyDescent="0.15">
      <c r="A78" s="36" t="s">
        <v>44</v>
      </c>
      <c r="B78" s="36" t="s">
        <v>174</v>
      </c>
      <c r="C78" s="36">
        <v>2020</v>
      </c>
      <c r="D78" s="200" t="s">
        <v>161</v>
      </c>
      <c r="E78" s="36" t="s">
        <v>196</v>
      </c>
      <c r="F78" s="36" t="s">
        <v>409</v>
      </c>
      <c r="G78" s="36" t="s">
        <v>25</v>
      </c>
      <c r="H78" s="36" t="s">
        <v>164</v>
      </c>
      <c r="I78" s="36" t="s">
        <v>111</v>
      </c>
      <c r="J78" s="36" t="s">
        <v>27</v>
      </c>
      <c r="K78" s="36" t="s">
        <v>112</v>
      </c>
      <c r="L78" s="36">
        <v>2</v>
      </c>
      <c r="N78" s="36">
        <v>1</v>
      </c>
      <c r="O78" s="36">
        <v>0.9</v>
      </c>
      <c r="P78" s="36">
        <v>0.9</v>
      </c>
      <c r="Q78" s="115">
        <f t="shared" si="4"/>
        <v>0.9</v>
      </c>
      <c r="R78" s="36">
        <v>17</v>
      </c>
      <c r="S78" s="36">
        <v>109</v>
      </c>
      <c r="T78" s="115">
        <f t="shared" si="3"/>
        <v>33</v>
      </c>
      <c r="U78" s="36">
        <v>98</v>
      </c>
      <c r="V78" s="115">
        <f t="shared" si="5"/>
        <v>3234</v>
      </c>
      <c r="W78" s="36">
        <v>4</v>
      </c>
      <c r="X78" s="36" t="s">
        <v>35</v>
      </c>
      <c r="Y78" s="36" t="s">
        <v>64</v>
      </c>
      <c r="Z78" s="36" t="s">
        <v>43</v>
      </c>
      <c r="AA78" s="36" t="s">
        <v>36</v>
      </c>
      <c r="AB78" s="36" t="s">
        <v>178</v>
      </c>
    </row>
    <row r="79" spans="1:28" s="36" customFormat="1" x14ac:dyDescent="0.15">
      <c r="A79" s="36" t="s">
        <v>44</v>
      </c>
      <c r="B79" s="36" t="s">
        <v>174</v>
      </c>
      <c r="C79" s="36">
        <v>2020</v>
      </c>
      <c r="D79" s="200" t="s">
        <v>161</v>
      </c>
      <c r="E79" s="36" t="s">
        <v>196</v>
      </c>
      <c r="F79" s="36" t="s">
        <v>409</v>
      </c>
      <c r="G79" s="36" t="s">
        <v>25</v>
      </c>
      <c r="H79" s="36" t="s">
        <v>164</v>
      </c>
      <c r="I79" s="36" t="s">
        <v>111</v>
      </c>
      <c r="J79" s="36" t="s">
        <v>27</v>
      </c>
      <c r="K79" s="36" t="s">
        <v>112</v>
      </c>
      <c r="L79" s="36">
        <v>3</v>
      </c>
      <c r="N79" s="36">
        <v>1</v>
      </c>
      <c r="O79" s="36">
        <v>0.9</v>
      </c>
      <c r="P79" s="36">
        <v>1</v>
      </c>
      <c r="Q79" s="115">
        <f t="shared" si="4"/>
        <v>0.95</v>
      </c>
      <c r="R79" s="36">
        <v>14.4</v>
      </c>
      <c r="S79" s="36">
        <v>107</v>
      </c>
      <c r="T79" s="115">
        <f t="shared" si="3"/>
        <v>33</v>
      </c>
      <c r="U79" s="36">
        <v>98</v>
      </c>
      <c r="V79" s="115">
        <f t="shared" si="5"/>
        <v>3234</v>
      </c>
      <c r="W79" s="36">
        <v>4</v>
      </c>
      <c r="X79" s="36" t="s">
        <v>35</v>
      </c>
      <c r="Y79" s="36" t="s">
        <v>64</v>
      </c>
      <c r="Z79" s="36" t="s">
        <v>43</v>
      </c>
      <c r="AA79" s="36" t="s">
        <v>36</v>
      </c>
      <c r="AB79" s="36" t="s">
        <v>178</v>
      </c>
    </row>
    <row r="80" spans="1:28" s="36" customFormat="1" x14ac:dyDescent="0.15">
      <c r="A80" s="36" t="s">
        <v>44</v>
      </c>
      <c r="B80" s="36" t="s">
        <v>174</v>
      </c>
      <c r="C80" s="36">
        <v>2020</v>
      </c>
      <c r="D80" s="200" t="s">
        <v>161</v>
      </c>
      <c r="E80" s="36" t="s">
        <v>410</v>
      </c>
      <c r="F80" s="36" t="s">
        <v>409</v>
      </c>
      <c r="G80" s="36" t="s">
        <v>31</v>
      </c>
      <c r="H80" s="36" t="s">
        <v>113</v>
      </c>
      <c r="I80" s="36" t="s">
        <v>111</v>
      </c>
      <c r="J80" s="36" t="s">
        <v>27</v>
      </c>
      <c r="K80" s="36" t="s">
        <v>112</v>
      </c>
      <c r="L80" s="36">
        <v>1</v>
      </c>
      <c r="N80" s="36">
        <v>3</v>
      </c>
      <c r="O80" s="36">
        <v>0.8</v>
      </c>
      <c r="P80" s="36">
        <v>0.85</v>
      </c>
      <c r="Q80" s="115">
        <f t="shared" si="4"/>
        <v>0.82499999999999996</v>
      </c>
      <c r="R80" s="36">
        <v>13.8</v>
      </c>
      <c r="S80" s="36">
        <v>91</v>
      </c>
      <c r="T80" s="115">
        <f t="shared" si="3"/>
        <v>36</v>
      </c>
      <c r="U80" s="36">
        <v>276</v>
      </c>
      <c r="V80" s="115">
        <f t="shared" si="5"/>
        <v>3312</v>
      </c>
      <c r="W80" s="36">
        <v>1</v>
      </c>
      <c r="X80" s="36" t="s">
        <v>28</v>
      </c>
      <c r="Y80" s="36" t="s">
        <v>29</v>
      </c>
      <c r="Z80" s="36" t="s">
        <v>36</v>
      </c>
      <c r="AA80" s="36" t="s">
        <v>55</v>
      </c>
      <c r="AB80" s="36" t="s">
        <v>178</v>
      </c>
    </row>
    <row r="81" spans="1:28" s="36" customFormat="1" x14ac:dyDescent="0.15">
      <c r="A81" s="36" t="s">
        <v>44</v>
      </c>
      <c r="B81" s="36" t="s">
        <v>174</v>
      </c>
      <c r="C81" s="36">
        <v>2020</v>
      </c>
      <c r="D81" s="200" t="s">
        <v>161</v>
      </c>
      <c r="E81" s="36" t="s">
        <v>410</v>
      </c>
      <c r="F81" s="36" t="s">
        <v>409</v>
      </c>
      <c r="G81" s="36" t="s">
        <v>31</v>
      </c>
      <c r="H81" s="36" t="s">
        <v>113</v>
      </c>
      <c r="I81" s="36" t="s">
        <v>111</v>
      </c>
      <c r="J81" s="36" t="s">
        <v>27</v>
      </c>
      <c r="K81" s="36" t="s">
        <v>112</v>
      </c>
      <c r="L81" s="36">
        <v>2</v>
      </c>
      <c r="N81" s="36">
        <v>3</v>
      </c>
      <c r="O81" s="36">
        <v>0.75</v>
      </c>
      <c r="P81" s="36">
        <v>0.75</v>
      </c>
      <c r="Q81" s="115">
        <f t="shared" si="4"/>
        <v>0.75</v>
      </c>
      <c r="R81" s="36">
        <v>13.6</v>
      </c>
      <c r="S81" s="36">
        <v>92</v>
      </c>
      <c r="T81" s="115">
        <f t="shared" si="3"/>
        <v>36</v>
      </c>
      <c r="U81" s="36">
        <v>276</v>
      </c>
      <c r="V81" s="115">
        <f t="shared" si="5"/>
        <v>3312</v>
      </c>
      <c r="W81" s="36">
        <v>1</v>
      </c>
      <c r="X81" s="36" t="s">
        <v>28</v>
      </c>
      <c r="Y81" s="36" t="s">
        <v>29</v>
      </c>
      <c r="Z81" s="36" t="s">
        <v>36</v>
      </c>
      <c r="AA81" s="36" t="s">
        <v>55</v>
      </c>
      <c r="AB81" s="36" t="s">
        <v>178</v>
      </c>
    </row>
    <row r="82" spans="1:28" s="36" customFormat="1" x14ac:dyDescent="0.15">
      <c r="A82" s="36" t="s">
        <v>44</v>
      </c>
      <c r="B82" s="36" t="s">
        <v>174</v>
      </c>
      <c r="C82" s="36">
        <v>2020</v>
      </c>
      <c r="D82" s="200" t="s">
        <v>161</v>
      </c>
      <c r="E82" s="36" t="s">
        <v>410</v>
      </c>
      <c r="F82" s="36" t="s">
        <v>409</v>
      </c>
      <c r="G82" s="36" t="s">
        <v>31</v>
      </c>
      <c r="H82" s="36" t="s">
        <v>113</v>
      </c>
      <c r="I82" s="36" t="s">
        <v>111</v>
      </c>
      <c r="J82" s="36" t="s">
        <v>27</v>
      </c>
      <c r="K82" s="36" t="s">
        <v>112</v>
      </c>
      <c r="L82" s="36">
        <v>3</v>
      </c>
      <c r="N82" s="36">
        <v>3</v>
      </c>
      <c r="O82" s="36">
        <v>0.85</v>
      </c>
      <c r="P82" s="36">
        <v>0.8</v>
      </c>
      <c r="Q82" s="115">
        <f t="shared" si="4"/>
        <v>0.82499999999999996</v>
      </c>
      <c r="R82" s="36">
        <v>15</v>
      </c>
      <c r="S82" s="36">
        <v>85</v>
      </c>
      <c r="T82" s="115">
        <f t="shared" si="3"/>
        <v>36</v>
      </c>
      <c r="U82" s="36">
        <v>276</v>
      </c>
      <c r="V82" s="115">
        <f t="shared" si="5"/>
        <v>3312</v>
      </c>
      <c r="W82" s="36">
        <v>1</v>
      </c>
      <c r="X82" s="36" t="s">
        <v>28</v>
      </c>
      <c r="Y82" s="36" t="s">
        <v>29</v>
      </c>
      <c r="Z82" s="36" t="s">
        <v>36</v>
      </c>
      <c r="AA82" s="36" t="s">
        <v>55</v>
      </c>
      <c r="AB82" s="36" t="s">
        <v>178</v>
      </c>
    </row>
    <row r="83" spans="1:28" s="36" customFormat="1" x14ac:dyDescent="0.15">
      <c r="A83" s="36" t="s">
        <v>44</v>
      </c>
      <c r="B83" s="36" t="s">
        <v>174</v>
      </c>
      <c r="C83" s="36">
        <v>2020</v>
      </c>
      <c r="D83" s="200" t="s">
        <v>161</v>
      </c>
      <c r="E83" s="36" t="s">
        <v>410</v>
      </c>
      <c r="F83" s="36" t="s">
        <v>409</v>
      </c>
      <c r="G83" s="36" t="s">
        <v>31</v>
      </c>
      <c r="H83" s="36" t="s">
        <v>164</v>
      </c>
      <c r="I83" s="36" t="s">
        <v>111</v>
      </c>
      <c r="J83" s="36" t="s">
        <v>27</v>
      </c>
      <c r="K83" s="36" t="s">
        <v>112</v>
      </c>
      <c r="L83" s="36">
        <v>1</v>
      </c>
      <c r="N83" s="36">
        <v>1</v>
      </c>
      <c r="O83" s="36">
        <v>0.85</v>
      </c>
      <c r="P83" s="36">
        <v>0.75</v>
      </c>
      <c r="Q83" s="115">
        <f t="shared" si="4"/>
        <v>0.8</v>
      </c>
      <c r="R83" s="36">
        <v>17.100000000000001</v>
      </c>
      <c r="S83" s="36">
        <v>115</v>
      </c>
      <c r="T83" s="115">
        <f t="shared" si="3"/>
        <v>30</v>
      </c>
      <c r="U83" s="36">
        <v>146</v>
      </c>
      <c r="V83" s="115">
        <f t="shared" si="5"/>
        <v>4380</v>
      </c>
      <c r="W83" s="36">
        <v>1</v>
      </c>
      <c r="X83" s="36" t="s">
        <v>35</v>
      </c>
      <c r="Y83" s="36" t="s">
        <v>29</v>
      </c>
      <c r="Z83" s="36" t="s">
        <v>36</v>
      </c>
      <c r="AA83" s="36" t="s">
        <v>55</v>
      </c>
      <c r="AB83" s="36" t="s">
        <v>178</v>
      </c>
    </row>
    <row r="84" spans="1:28" s="36" customFormat="1" x14ac:dyDescent="0.15">
      <c r="A84" s="36" t="s">
        <v>44</v>
      </c>
      <c r="B84" s="36" t="s">
        <v>174</v>
      </c>
      <c r="C84" s="36">
        <v>2020</v>
      </c>
      <c r="D84" s="200" t="s">
        <v>161</v>
      </c>
      <c r="E84" s="36" t="s">
        <v>410</v>
      </c>
      <c r="F84" s="36" t="s">
        <v>409</v>
      </c>
      <c r="G84" s="36" t="s">
        <v>31</v>
      </c>
      <c r="H84" s="36" t="s">
        <v>164</v>
      </c>
      <c r="I84" s="36" t="s">
        <v>111</v>
      </c>
      <c r="J84" s="36" t="s">
        <v>27</v>
      </c>
      <c r="K84" s="36" t="s">
        <v>112</v>
      </c>
      <c r="L84" s="36">
        <v>2</v>
      </c>
      <c r="N84" s="36">
        <v>1</v>
      </c>
      <c r="O84" s="36">
        <v>0.65</v>
      </c>
      <c r="P84" s="36">
        <v>0.75</v>
      </c>
      <c r="Q84" s="115">
        <f t="shared" si="4"/>
        <v>0.7</v>
      </c>
      <c r="R84" s="36">
        <v>15.3</v>
      </c>
      <c r="S84" s="36">
        <v>118</v>
      </c>
      <c r="T84" s="115">
        <f t="shared" si="3"/>
        <v>30</v>
      </c>
      <c r="U84" s="36">
        <v>146</v>
      </c>
      <c r="V84" s="115">
        <f t="shared" si="5"/>
        <v>4380</v>
      </c>
      <c r="W84" s="36">
        <v>1</v>
      </c>
      <c r="X84" s="36" t="s">
        <v>35</v>
      </c>
      <c r="Y84" s="36" t="s">
        <v>29</v>
      </c>
      <c r="Z84" s="36" t="s">
        <v>36</v>
      </c>
      <c r="AA84" s="36" t="s">
        <v>55</v>
      </c>
      <c r="AB84" s="36" t="s">
        <v>178</v>
      </c>
    </row>
    <row r="85" spans="1:28" s="36" customFormat="1" x14ac:dyDescent="0.15">
      <c r="A85" s="36" t="s">
        <v>44</v>
      </c>
      <c r="B85" s="36" t="s">
        <v>174</v>
      </c>
      <c r="C85" s="36">
        <v>2020</v>
      </c>
      <c r="D85" s="200" t="s">
        <v>161</v>
      </c>
      <c r="E85" s="36" t="s">
        <v>410</v>
      </c>
      <c r="F85" s="36" t="s">
        <v>409</v>
      </c>
      <c r="G85" s="36" t="s">
        <v>31</v>
      </c>
      <c r="H85" s="36" t="s">
        <v>164</v>
      </c>
      <c r="I85" s="36" t="s">
        <v>111</v>
      </c>
      <c r="J85" s="36" t="s">
        <v>27</v>
      </c>
      <c r="K85" s="36" t="s">
        <v>112</v>
      </c>
      <c r="L85" s="36">
        <v>3</v>
      </c>
      <c r="N85" s="36">
        <v>1</v>
      </c>
      <c r="O85" s="36">
        <v>0.6</v>
      </c>
      <c r="P85" s="36">
        <v>0.6</v>
      </c>
      <c r="Q85" s="115">
        <f t="shared" si="4"/>
        <v>0.6</v>
      </c>
      <c r="R85" s="36">
        <v>14.8</v>
      </c>
      <c r="S85" s="36">
        <v>113</v>
      </c>
      <c r="T85" s="115">
        <f t="shared" si="3"/>
        <v>30</v>
      </c>
      <c r="U85" s="36">
        <v>146</v>
      </c>
      <c r="V85" s="115">
        <f t="shared" si="5"/>
        <v>4380</v>
      </c>
      <c r="W85" s="36">
        <v>1</v>
      </c>
      <c r="X85" s="36" t="s">
        <v>35</v>
      </c>
      <c r="Y85" s="36" t="s">
        <v>29</v>
      </c>
      <c r="Z85" s="36" t="s">
        <v>36</v>
      </c>
      <c r="AA85" s="36" t="s">
        <v>55</v>
      </c>
      <c r="AB85" s="36" t="s">
        <v>178</v>
      </c>
    </row>
    <row r="86" spans="1:28" s="36" customFormat="1" x14ac:dyDescent="0.15">
      <c r="A86" s="36" t="s">
        <v>44</v>
      </c>
      <c r="B86" s="36" t="s">
        <v>174</v>
      </c>
      <c r="C86" s="36">
        <v>2020</v>
      </c>
      <c r="D86" s="200" t="s">
        <v>161</v>
      </c>
      <c r="E86" s="36" t="s">
        <v>410</v>
      </c>
      <c r="F86" s="36" t="s">
        <v>409</v>
      </c>
      <c r="G86" s="36" t="s">
        <v>31</v>
      </c>
      <c r="H86" s="36" t="s">
        <v>215</v>
      </c>
      <c r="I86" s="36" t="s">
        <v>111</v>
      </c>
      <c r="J86" s="36" t="s">
        <v>41</v>
      </c>
      <c r="K86" s="36" t="s">
        <v>42</v>
      </c>
      <c r="L86" s="36">
        <v>1</v>
      </c>
      <c r="N86" s="36">
        <v>1</v>
      </c>
      <c r="O86" s="36">
        <v>0.75</v>
      </c>
      <c r="P86" s="36">
        <v>0.75</v>
      </c>
      <c r="Q86" s="115">
        <f t="shared" si="4"/>
        <v>0.75</v>
      </c>
      <c r="R86" s="36">
        <v>15.5</v>
      </c>
      <c r="S86" s="36">
        <v>119</v>
      </c>
      <c r="T86" s="115">
        <f t="shared" si="3"/>
        <v>30</v>
      </c>
      <c r="U86" s="36">
        <v>146</v>
      </c>
      <c r="V86" s="115">
        <f t="shared" si="5"/>
        <v>4380</v>
      </c>
      <c r="W86" s="36">
        <v>1</v>
      </c>
      <c r="X86" s="36" t="s">
        <v>28</v>
      </c>
      <c r="Y86" s="36" t="s">
        <v>29</v>
      </c>
      <c r="Z86" s="36" t="s">
        <v>36</v>
      </c>
      <c r="AA86" s="36" t="s">
        <v>55</v>
      </c>
      <c r="AB86" s="36" t="s">
        <v>178</v>
      </c>
    </row>
    <row r="87" spans="1:28" s="36" customFormat="1" x14ac:dyDescent="0.15">
      <c r="A87" s="36" t="s">
        <v>44</v>
      </c>
      <c r="B87" s="36" t="s">
        <v>174</v>
      </c>
      <c r="C87" s="36">
        <v>2020</v>
      </c>
      <c r="D87" s="200" t="s">
        <v>161</v>
      </c>
      <c r="E87" s="36" t="s">
        <v>410</v>
      </c>
      <c r="F87" s="36" t="s">
        <v>409</v>
      </c>
      <c r="G87" s="36" t="s">
        <v>31</v>
      </c>
      <c r="H87" s="36" t="s">
        <v>215</v>
      </c>
      <c r="I87" s="36" t="s">
        <v>111</v>
      </c>
      <c r="J87" s="36" t="s">
        <v>41</v>
      </c>
      <c r="K87" s="36" t="s">
        <v>42</v>
      </c>
      <c r="L87" s="36">
        <v>2</v>
      </c>
      <c r="N87" s="36">
        <v>1</v>
      </c>
      <c r="O87" s="36">
        <v>0.7</v>
      </c>
      <c r="P87" s="36">
        <v>0.7</v>
      </c>
      <c r="Q87" s="115">
        <f t="shared" si="4"/>
        <v>0.7</v>
      </c>
      <c r="R87" s="36">
        <v>14</v>
      </c>
      <c r="S87" s="36">
        <v>118</v>
      </c>
      <c r="T87" s="115">
        <f t="shared" si="3"/>
        <v>30</v>
      </c>
      <c r="U87" s="36">
        <v>146</v>
      </c>
      <c r="V87" s="115">
        <f t="shared" si="5"/>
        <v>4380</v>
      </c>
      <c r="W87" s="36">
        <v>1</v>
      </c>
      <c r="X87" s="36" t="s">
        <v>28</v>
      </c>
      <c r="Y87" s="36" t="s">
        <v>29</v>
      </c>
      <c r="Z87" s="36" t="s">
        <v>36</v>
      </c>
      <c r="AA87" s="36" t="s">
        <v>55</v>
      </c>
      <c r="AB87" s="36" t="s">
        <v>178</v>
      </c>
    </row>
    <row r="88" spans="1:28" s="36" customFormat="1" x14ac:dyDescent="0.15">
      <c r="A88" s="36" t="s">
        <v>44</v>
      </c>
      <c r="B88" s="36" t="s">
        <v>174</v>
      </c>
      <c r="C88" s="36">
        <v>2020</v>
      </c>
      <c r="D88" s="200" t="s">
        <v>161</v>
      </c>
      <c r="E88" s="36" t="s">
        <v>410</v>
      </c>
      <c r="F88" s="36" t="s">
        <v>409</v>
      </c>
      <c r="G88" s="36" t="s">
        <v>31</v>
      </c>
      <c r="H88" s="36" t="s">
        <v>215</v>
      </c>
      <c r="I88" s="36" t="s">
        <v>111</v>
      </c>
      <c r="J88" s="36" t="s">
        <v>41</v>
      </c>
      <c r="K88" s="36" t="s">
        <v>42</v>
      </c>
      <c r="L88" s="36">
        <v>3</v>
      </c>
      <c r="N88" s="36">
        <v>1</v>
      </c>
      <c r="O88" s="36">
        <v>0.5</v>
      </c>
      <c r="P88" s="36">
        <v>0.5</v>
      </c>
      <c r="Q88" s="115">
        <f t="shared" si="4"/>
        <v>0.5</v>
      </c>
      <c r="R88" s="36">
        <v>11.7</v>
      </c>
      <c r="S88" s="36">
        <v>128</v>
      </c>
      <c r="T88" s="115">
        <f t="shared" si="3"/>
        <v>27</v>
      </c>
      <c r="U88" s="36">
        <v>146</v>
      </c>
      <c r="V88" s="115">
        <f t="shared" si="5"/>
        <v>3942</v>
      </c>
      <c r="W88" s="36">
        <v>1</v>
      </c>
      <c r="X88" s="36" t="s">
        <v>28</v>
      </c>
      <c r="Y88" s="36" t="s">
        <v>29</v>
      </c>
      <c r="Z88" s="36" t="s">
        <v>36</v>
      </c>
      <c r="AA88" s="36" t="s">
        <v>55</v>
      </c>
      <c r="AB88" s="36" t="s">
        <v>178</v>
      </c>
    </row>
    <row r="89" spans="1:28" s="36" customFormat="1" x14ac:dyDescent="0.15">
      <c r="A89" s="36" t="s">
        <v>44</v>
      </c>
      <c r="B89" s="36" t="s">
        <v>174</v>
      </c>
      <c r="C89" s="36">
        <v>2020</v>
      </c>
      <c r="D89" s="200" t="s">
        <v>161</v>
      </c>
      <c r="E89" s="36" t="s">
        <v>401</v>
      </c>
      <c r="F89" s="36" t="s">
        <v>402</v>
      </c>
      <c r="G89" s="36" t="s">
        <v>31</v>
      </c>
      <c r="H89" s="36" t="s">
        <v>113</v>
      </c>
      <c r="I89" s="36" t="s">
        <v>111</v>
      </c>
      <c r="J89" s="36" t="s">
        <v>27</v>
      </c>
      <c r="K89" s="36" t="s">
        <v>112</v>
      </c>
      <c r="L89" s="36">
        <v>1</v>
      </c>
      <c r="N89" s="36">
        <v>5</v>
      </c>
      <c r="O89" s="36">
        <v>0.65</v>
      </c>
      <c r="P89" s="36">
        <v>0.65</v>
      </c>
      <c r="Q89" s="115">
        <f t="shared" si="4"/>
        <v>0.65</v>
      </c>
      <c r="R89" s="36">
        <v>16.2</v>
      </c>
      <c r="S89" s="36">
        <v>91</v>
      </c>
      <c r="T89" s="115">
        <f t="shared" si="3"/>
        <v>36</v>
      </c>
      <c r="U89" s="36">
        <v>357</v>
      </c>
      <c r="V89" s="115">
        <f t="shared" si="5"/>
        <v>2570.4</v>
      </c>
      <c r="W89" s="36">
        <v>1</v>
      </c>
      <c r="X89" s="36" t="s">
        <v>28</v>
      </c>
      <c r="Y89" s="36" t="s">
        <v>64</v>
      </c>
      <c r="Z89" s="36" t="s">
        <v>82</v>
      </c>
      <c r="AA89" s="36" t="s">
        <v>43</v>
      </c>
      <c r="AB89" s="36" t="s">
        <v>178</v>
      </c>
    </row>
    <row r="90" spans="1:28" s="36" customFormat="1" x14ac:dyDescent="0.15">
      <c r="A90" s="36" t="s">
        <v>44</v>
      </c>
      <c r="B90" s="36" t="s">
        <v>174</v>
      </c>
      <c r="C90" s="36">
        <v>2020</v>
      </c>
      <c r="D90" s="200" t="s">
        <v>161</v>
      </c>
      <c r="E90" s="36" t="s">
        <v>401</v>
      </c>
      <c r="F90" s="36" t="s">
        <v>402</v>
      </c>
      <c r="G90" s="36" t="s">
        <v>31</v>
      </c>
      <c r="H90" s="36" t="s">
        <v>113</v>
      </c>
      <c r="I90" s="36" t="s">
        <v>111</v>
      </c>
      <c r="J90" s="36" t="s">
        <v>27</v>
      </c>
      <c r="K90" s="36" t="s">
        <v>112</v>
      </c>
      <c r="L90" s="36">
        <v>2</v>
      </c>
      <c r="N90" s="36">
        <v>5</v>
      </c>
      <c r="O90" s="36">
        <v>0.75</v>
      </c>
      <c r="P90" s="36">
        <v>0.8</v>
      </c>
      <c r="Q90" s="115">
        <f t="shared" si="4"/>
        <v>0.77500000000000002</v>
      </c>
      <c r="R90" s="36">
        <v>17.2</v>
      </c>
      <c r="S90" s="36">
        <v>81</v>
      </c>
      <c r="T90" s="115">
        <f t="shared" si="3"/>
        <v>39</v>
      </c>
      <c r="U90" s="36">
        <v>357</v>
      </c>
      <c r="V90" s="115">
        <f t="shared" si="5"/>
        <v>2784.6000000000004</v>
      </c>
      <c r="W90" s="36">
        <v>1</v>
      </c>
      <c r="X90" s="36" t="s">
        <v>28</v>
      </c>
      <c r="Y90" s="36" t="s">
        <v>64</v>
      </c>
      <c r="Z90" s="36" t="s">
        <v>82</v>
      </c>
      <c r="AA90" s="36" t="s">
        <v>43</v>
      </c>
      <c r="AB90" s="36" t="s">
        <v>178</v>
      </c>
    </row>
    <row r="91" spans="1:28" s="36" customFormat="1" x14ac:dyDescent="0.15">
      <c r="A91" s="36" t="s">
        <v>44</v>
      </c>
      <c r="B91" s="36" t="s">
        <v>174</v>
      </c>
      <c r="C91" s="36">
        <v>2020</v>
      </c>
      <c r="D91" s="200" t="s">
        <v>161</v>
      </c>
      <c r="E91" s="36" t="s">
        <v>401</v>
      </c>
      <c r="F91" s="36" t="s">
        <v>402</v>
      </c>
      <c r="G91" s="36" t="s">
        <v>31</v>
      </c>
      <c r="H91" s="36" t="s">
        <v>113</v>
      </c>
      <c r="I91" s="36" t="s">
        <v>111</v>
      </c>
      <c r="J91" s="36" t="s">
        <v>27</v>
      </c>
      <c r="K91" s="36" t="s">
        <v>112</v>
      </c>
      <c r="L91" s="36">
        <v>3</v>
      </c>
      <c r="N91" s="36">
        <v>5</v>
      </c>
      <c r="O91" s="36">
        <v>0.65</v>
      </c>
      <c r="P91" s="36">
        <v>0.7</v>
      </c>
      <c r="Q91" s="115">
        <f t="shared" si="4"/>
        <v>0.67500000000000004</v>
      </c>
      <c r="R91" s="36">
        <v>17.3</v>
      </c>
      <c r="S91" s="36">
        <v>85</v>
      </c>
      <c r="T91" s="115">
        <f t="shared" si="3"/>
        <v>36</v>
      </c>
      <c r="U91" s="36">
        <v>357</v>
      </c>
      <c r="V91" s="115">
        <f t="shared" si="5"/>
        <v>2570.4</v>
      </c>
      <c r="W91" s="36">
        <v>1</v>
      </c>
      <c r="X91" s="36" t="s">
        <v>28</v>
      </c>
      <c r="Y91" s="36" t="s">
        <v>64</v>
      </c>
      <c r="Z91" s="36" t="s">
        <v>82</v>
      </c>
      <c r="AA91" s="36" t="s">
        <v>43</v>
      </c>
      <c r="AB91" s="36" t="s">
        <v>178</v>
      </c>
    </row>
    <row r="92" spans="1:28" s="36" customFormat="1" x14ac:dyDescent="0.15">
      <c r="A92" s="36" t="s">
        <v>44</v>
      </c>
      <c r="B92" s="36" t="s">
        <v>174</v>
      </c>
      <c r="C92" s="36">
        <v>2020</v>
      </c>
      <c r="D92" s="200" t="s">
        <v>161</v>
      </c>
      <c r="E92" s="36" t="s">
        <v>401</v>
      </c>
      <c r="F92" s="36" t="s">
        <v>402</v>
      </c>
      <c r="G92" s="36" t="s">
        <v>31</v>
      </c>
      <c r="H92" s="36" t="s">
        <v>164</v>
      </c>
      <c r="I92" s="36" t="s">
        <v>111</v>
      </c>
      <c r="J92" s="36" t="s">
        <v>27</v>
      </c>
      <c r="K92" s="36" t="s">
        <v>112</v>
      </c>
      <c r="L92" s="36">
        <v>1</v>
      </c>
      <c r="N92" s="36">
        <v>1</v>
      </c>
      <c r="O92" s="36">
        <v>0.85</v>
      </c>
      <c r="P92" s="36">
        <v>0.85</v>
      </c>
      <c r="Q92" s="115">
        <f t="shared" si="4"/>
        <v>0.85</v>
      </c>
      <c r="R92" s="36">
        <v>14.6</v>
      </c>
      <c r="S92" s="36">
        <v>118</v>
      </c>
      <c r="T92" s="115">
        <f t="shared" si="3"/>
        <v>30</v>
      </c>
      <c r="U92" s="36">
        <v>97</v>
      </c>
      <c r="V92" s="115">
        <f t="shared" si="5"/>
        <v>2910</v>
      </c>
      <c r="W92" s="36">
        <v>1</v>
      </c>
      <c r="X92" s="36" t="s">
        <v>28</v>
      </c>
      <c r="Y92" s="36" t="s">
        <v>64</v>
      </c>
      <c r="Z92" s="36" t="s">
        <v>82</v>
      </c>
      <c r="AA92" s="36" t="s">
        <v>43</v>
      </c>
      <c r="AB92" s="36" t="s">
        <v>178</v>
      </c>
    </row>
    <row r="93" spans="1:28" s="36" customFormat="1" x14ac:dyDescent="0.15">
      <c r="A93" s="36" t="s">
        <v>44</v>
      </c>
      <c r="B93" s="36" t="s">
        <v>174</v>
      </c>
      <c r="C93" s="36">
        <v>2020</v>
      </c>
      <c r="D93" s="200" t="s">
        <v>161</v>
      </c>
      <c r="E93" s="36" t="s">
        <v>401</v>
      </c>
      <c r="F93" s="36" t="s">
        <v>402</v>
      </c>
      <c r="G93" s="36" t="s">
        <v>31</v>
      </c>
      <c r="H93" s="36" t="s">
        <v>164</v>
      </c>
      <c r="I93" s="36" t="s">
        <v>111</v>
      </c>
      <c r="J93" s="36" t="s">
        <v>27</v>
      </c>
      <c r="K93" s="36" t="s">
        <v>112</v>
      </c>
      <c r="L93" s="36">
        <v>2</v>
      </c>
      <c r="N93" s="36">
        <v>1</v>
      </c>
      <c r="O93" s="36">
        <v>0.8</v>
      </c>
      <c r="P93" s="36">
        <v>0.8</v>
      </c>
      <c r="Q93" s="115">
        <f t="shared" si="4"/>
        <v>0.8</v>
      </c>
      <c r="R93" s="36">
        <v>12</v>
      </c>
      <c r="S93" s="36">
        <v>115</v>
      </c>
      <c r="T93" s="115">
        <f t="shared" si="3"/>
        <v>30</v>
      </c>
      <c r="U93" s="36">
        <v>97</v>
      </c>
      <c r="V93" s="115">
        <f t="shared" si="5"/>
        <v>2910</v>
      </c>
      <c r="W93" s="36">
        <v>1</v>
      </c>
      <c r="X93" s="36" t="s">
        <v>28</v>
      </c>
      <c r="Y93" s="36" t="s">
        <v>64</v>
      </c>
      <c r="Z93" s="36" t="s">
        <v>82</v>
      </c>
      <c r="AA93" s="36" t="s">
        <v>43</v>
      </c>
      <c r="AB93" s="36" t="s">
        <v>178</v>
      </c>
    </row>
    <row r="94" spans="1:28" s="36" customFormat="1" x14ac:dyDescent="0.15">
      <c r="A94" s="36" t="s">
        <v>44</v>
      </c>
      <c r="B94" s="36" t="s">
        <v>174</v>
      </c>
      <c r="C94" s="36">
        <v>2020</v>
      </c>
      <c r="D94" s="200" t="s">
        <v>161</v>
      </c>
      <c r="E94" s="36" t="s">
        <v>401</v>
      </c>
      <c r="F94" s="36" t="s">
        <v>402</v>
      </c>
      <c r="G94" s="36" t="s">
        <v>31</v>
      </c>
      <c r="H94" s="36" t="s">
        <v>164</v>
      </c>
      <c r="I94" s="36" t="s">
        <v>111</v>
      </c>
      <c r="J94" s="36" t="s">
        <v>27</v>
      </c>
      <c r="K94" s="36" t="s">
        <v>112</v>
      </c>
      <c r="L94" s="36">
        <v>3</v>
      </c>
      <c r="N94" s="36">
        <v>1</v>
      </c>
      <c r="O94" s="36">
        <v>0.7</v>
      </c>
      <c r="P94" s="36">
        <v>0.6</v>
      </c>
      <c r="Q94" s="115">
        <f t="shared" si="4"/>
        <v>0.64999999999999991</v>
      </c>
      <c r="R94" s="36">
        <v>15.9</v>
      </c>
      <c r="S94" s="36">
        <v>116</v>
      </c>
      <c r="T94" s="115">
        <f t="shared" si="3"/>
        <v>30</v>
      </c>
      <c r="U94" s="36">
        <v>97</v>
      </c>
      <c r="V94" s="115">
        <f t="shared" si="5"/>
        <v>2910</v>
      </c>
      <c r="W94" s="36">
        <v>1</v>
      </c>
      <c r="X94" s="36" t="s">
        <v>28</v>
      </c>
      <c r="Y94" s="36" t="s">
        <v>64</v>
      </c>
      <c r="Z94" s="36" t="s">
        <v>82</v>
      </c>
      <c r="AA94" s="36" t="s">
        <v>43</v>
      </c>
      <c r="AB94" s="36" t="s">
        <v>178</v>
      </c>
    </row>
    <row r="95" spans="1:28" s="36" customFormat="1" x14ac:dyDescent="0.15">
      <c r="A95" s="36" t="s">
        <v>44</v>
      </c>
      <c r="B95" s="36" t="s">
        <v>174</v>
      </c>
      <c r="C95" s="36">
        <v>2020</v>
      </c>
      <c r="D95" s="200" t="s">
        <v>161</v>
      </c>
      <c r="E95" s="36" t="s">
        <v>401</v>
      </c>
      <c r="F95" s="36" t="s">
        <v>402</v>
      </c>
      <c r="G95" s="36" t="s">
        <v>31</v>
      </c>
      <c r="H95" s="36" t="s">
        <v>164</v>
      </c>
      <c r="I95" s="36" t="s">
        <v>111</v>
      </c>
      <c r="J95" s="36" t="s">
        <v>27</v>
      </c>
      <c r="K95" s="36" t="s">
        <v>112</v>
      </c>
      <c r="L95" s="36">
        <v>1</v>
      </c>
      <c r="N95" s="36">
        <v>4</v>
      </c>
      <c r="O95" s="36">
        <v>0.7</v>
      </c>
      <c r="P95" s="36">
        <v>0.7</v>
      </c>
      <c r="Q95" s="115">
        <f t="shared" si="4"/>
        <v>0.7</v>
      </c>
      <c r="R95" s="36">
        <v>16.2</v>
      </c>
      <c r="S95" s="36">
        <v>114</v>
      </c>
      <c r="T95" s="115">
        <f t="shared" si="3"/>
        <v>30</v>
      </c>
      <c r="U95" s="36">
        <v>357</v>
      </c>
      <c r="V95" s="115">
        <f t="shared" si="5"/>
        <v>2677.5</v>
      </c>
      <c r="W95" s="36">
        <v>1</v>
      </c>
      <c r="X95" s="36" t="s">
        <v>28</v>
      </c>
      <c r="Y95" s="36" t="s">
        <v>64</v>
      </c>
      <c r="Z95" s="36" t="s">
        <v>82</v>
      </c>
      <c r="AA95" s="36" t="s">
        <v>43</v>
      </c>
      <c r="AB95" s="36" t="s">
        <v>178</v>
      </c>
    </row>
    <row r="96" spans="1:28" s="36" customFormat="1" x14ac:dyDescent="0.15">
      <c r="A96" s="36" t="s">
        <v>44</v>
      </c>
      <c r="B96" s="36" t="s">
        <v>174</v>
      </c>
      <c r="C96" s="36">
        <v>2020</v>
      </c>
      <c r="D96" s="200" t="s">
        <v>161</v>
      </c>
      <c r="E96" s="36" t="s">
        <v>401</v>
      </c>
      <c r="F96" s="36" t="s">
        <v>402</v>
      </c>
      <c r="G96" s="36" t="s">
        <v>31</v>
      </c>
      <c r="H96" s="36" t="s">
        <v>164</v>
      </c>
      <c r="I96" s="36" t="s">
        <v>111</v>
      </c>
      <c r="J96" s="36" t="s">
        <v>27</v>
      </c>
      <c r="K96" s="36" t="s">
        <v>112</v>
      </c>
      <c r="L96" s="36">
        <v>2</v>
      </c>
      <c r="N96" s="36">
        <v>4</v>
      </c>
      <c r="O96" s="36">
        <v>0.75</v>
      </c>
      <c r="P96" s="36">
        <v>0.75</v>
      </c>
      <c r="Q96" s="115">
        <f t="shared" si="4"/>
        <v>0.75</v>
      </c>
      <c r="R96" s="36">
        <v>16.8</v>
      </c>
      <c r="S96" s="36">
        <v>109</v>
      </c>
      <c r="T96" s="115">
        <f t="shared" si="3"/>
        <v>33</v>
      </c>
      <c r="U96" s="36">
        <v>357</v>
      </c>
      <c r="V96" s="115">
        <f t="shared" si="5"/>
        <v>2945.25</v>
      </c>
      <c r="W96" s="36">
        <v>1</v>
      </c>
      <c r="X96" s="36" t="s">
        <v>28</v>
      </c>
      <c r="Y96" s="36" t="s">
        <v>64</v>
      </c>
      <c r="Z96" s="36" t="s">
        <v>82</v>
      </c>
      <c r="AA96" s="36" t="s">
        <v>43</v>
      </c>
      <c r="AB96" s="36" t="s">
        <v>178</v>
      </c>
    </row>
    <row r="97" spans="1:28" s="36" customFormat="1" x14ac:dyDescent="0.15">
      <c r="A97" s="36" t="s">
        <v>44</v>
      </c>
      <c r="B97" s="36" t="s">
        <v>174</v>
      </c>
      <c r="C97" s="36">
        <v>2020</v>
      </c>
      <c r="D97" s="200" t="s">
        <v>161</v>
      </c>
      <c r="E97" s="36" t="s">
        <v>401</v>
      </c>
      <c r="F97" s="36" t="s">
        <v>402</v>
      </c>
      <c r="G97" s="36" t="s">
        <v>31</v>
      </c>
      <c r="H97" s="36" t="s">
        <v>164</v>
      </c>
      <c r="I97" s="36" t="s">
        <v>111</v>
      </c>
      <c r="J97" s="36" t="s">
        <v>27</v>
      </c>
      <c r="K97" s="36" t="s">
        <v>112</v>
      </c>
      <c r="L97" s="36">
        <v>3</v>
      </c>
      <c r="N97" s="36">
        <v>4</v>
      </c>
      <c r="O97" s="36">
        <v>0.75</v>
      </c>
      <c r="P97" s="36">
        <v>0.75</v>
      </c>
      <c r="Q97" s="115">
        <f t="shared" si="4"/>
        <v>0.75</v>
      </c>
      <c r="R97" s="36">
        <v>15</v>
      </c>
      <c r="S97" s="36">
        <v>108</v>
      </c>
      <c r="T97" s="115">
        <f t="shared" si="3"/>
        <v>33</v>
      </c>
      <c r="U97" s="36">
        <v>357</v>
      </c>
      <c r="V97" s="115">
        <f t="shared" si="5"/>
        <v>2945.25</v>
      </c>
      <c r="W97" s="36">
        <v>1</v>
      </c>
      <c r="X97" s="36" t="s">
        <v>28</v>
      </c>
      <c r="Y97" s="36" t="s">
        <v>64</v>
      </c>
      <c r="Z97" s="36" t="s">
        <v>82</v>
      </c>
      <c r="AA97" s="36" t="s">
        <v>43</v>
      </c>
      <c r="AB97" s="36" t="s">
        <v>178</v>
      </c>
    </row>
    <row r="98" spans="1:28" s="36" customFormat="1" x14ac:dyDescent="0.15">
      <c r="A98" s="36" t="s">
        <v>44</v>
      </c>
      <c r="B98" s="36" t="s">
        <v>174</v>
      </c>
      <c r="C98" s="36">
        <v>2020</v>
      </c>
      <c r="D98" s="200" t="s">
        <v>161</v>
      </c>
      <c r="E98" s="36" t="s">
        <v>403</v>
      </c>
      <c r="F98" s="36" t="s">
        <v>400</v>
      </c>
      <c r="G98" s="36" t="s">
        <v>25</v>
      </c>
      <c r="H98" s="36" t="s">
        <v>113</v>
      </c>
      <c r="I98" s="36" t="s">
        <v>111</v>
      </c>
      <c r="J98" s="36" t="s">
        <v>27</v>
      </c>
      <c r="K98" s="36" t="s">
        <v>112</v>
      </c>
      <c r="L98" s="36">
        <v>1</v>
      </c>
      <c r="N98" s="36">
        <v>1</v>
      </c>
      <c r="O98" s="36">
        <v>0.85</v>
      </c>
      <c r="P98" s="36">
        <v>0.8</v>
      </c>
      <c r="Q98" s="115">
        <f t="shared" si="4"/>
        <v>0.82499999999999996</v>
      </c>
      <c r="R98" s="36">
        <v>15.2</v>
      </c>
      <c r="S98" s="36">
        <v>125</v>
      </c>
      <c r="T98" s="115">
        <f t="shared" si="3"/>
        <v>27</v>
      </c>
      <c r="U98" s="36">
        <v>98</v>
      </c>
      <c r="V98" s="115">
        <f t="shared" si="5"/>
        <v>2646</v>
      </c>
      <c r="W98" s="36">
        <v>6</v>
      </c>
      <c r="X98" s="36" t="s">
        <v>35</v>
      </c>
      <c r="Y98" s="36" t="s">
        <v>43</v>
      </c>
      <c r="Z98" s="36" t="s">
        <v>29</v>
      </c>
      <c r="AA98" s="36" t="s">
        <v>36</v>
      </c>
      <c r="AB98" s="36" t="s">
        <v>178</v>
      </c>
    </row>
    <row r="99" spans="1:28" s="36" customFormat="1" x14ac:dyDescent="0.15">
      <c r="A99" s="36" t="s">
        <v>44</v>
      </c>
      <c r="B99" s="36" t="s">
        <v>174</v>
      </c>
      <c r="C99" s="36">
        <v>2020</v>
      </c>
      <c r="D99" s="200" t="s">
        <v>161</v>
      </c>
      <c r="E99" s="36" t="s">
        <v>403</v>
      </c>
      <c r="F99" s="36" t="s">
        <v>400</v>
      </c>
      <c r="G99" s="36" t="s">
        <v>25</v>
      </c>
      <c r="H99" s="36" t="s">
        <v>113</v>
      </c>
      <c r="I99" s="36" t="s">
        <v>111</v>
      </c>
      <c r="J99" s="36" t="s">
        <v>27</v>
      </c>
      <c r="K99" s="36" t="s">
        <v>112</v>
      </c>
      <c r="L99" s="36">
        <v>2</v>
      </c>
      <c r="N99" s="36">
        <v>1</v>
      </c>
      <c r="O99" s="36">
        <v>0.8</v>
      </c>
      <c r="P99" s="36">
        <v>0.85</v>
      </c>
      <c r="Q99" s="115">
        <f t="shared" si="4"/>
        <v>0.82499999999999996</v>
      </c>
      <c r="R99" s="36">
        <v>15.4</v>
      </c>
      <c r="S99" s="36">
        <v>125</v>
      </c>
      <c r="T99" s="115">
        <f t="shared" si="3"/>
        <v>27</v>
      </c>
      <c r="U99" s="36">
        <v>98</v>
      </c>
      <c r="V99" s="115">
        <f t="shared" si="5"/>
        <v>2646</v>
      </c>
      <c r="W99" s="36">
        <v>6</v>
      </c>
      <c r="X99" s="36" t="s">
        <v>35</v>
      </c>
      <c r="Y99" s="36" t="s">
        <v>43</v>
      </c>
      <c r="Z99" s="36" t="s">
        <v>29</v>
      </c>
      <c r="AA99" s="36" t="s">
        <v>36</v>
      </c>
      <c r="AB99" s="36" t="s">
        <v>178</v>
      </c>
    </row>
    <row r="100" spans="1:28" s="36" customFormat="1" x14ac:dyDescent="0.15">
      <c r="A100" s="36" t="s">
        <v>44</v>
      </c>
      <c r="B100" s="36" t="s">
        <v>174</v>
      </c>
      <c r="C100" s="36">
        <v>2020</v>
      </c>
      <c r="D100" s="200" t="s">
        <v>161</v>
      </c>
      <c r="E100" s="36" t="s">
        <v>403</v>
      </c>
      <c r="F100" s="36" t="s">
        <v>400</v>
      </c>
      <c r="G100" s="36" t="s">
        <v>25</v>
      </c>
      <c r="H100" s="36" t="s">
        <v>113</v>
      </c>
      <c r="I100" s="36" t="s">
        <v>111</v>
      </c>
      <c r="J100" s="36" t="s">
        <v>27</v>
      </c>
      <c r="K100" s="36" t="s">
        <v>112</v>
      </c>
      <c r="L100" s="36">
        <v>3</v>
      </c>
      <c r="N100" s="36">
        <v>1</v>
      </c>
      <c r="O100" s="36">
        <v>0.9</v>
      </c>
      <c r="P100" s="36">
        <v>0.85</v>
      </c>
      <c r="Q100" s="115">
        <f t="shared" si="4"/>
        <v>0.875</v>
      </c>
      <c r="R100" s="36">
        <v>14.6</v>
      </c>
      <c r="S100" s="36">
        <v>125</v>
      </c>
      <c r="T100" s="115">
        <f t="shared" si="3"/>
        <v>27</v>
      </c>
      <c r="U100" s="36">
        <v>98</v>
      </c>
      <c r="V100" s="115">
        <f t="shared" si="5"/>
        <v>2646</v>
      </c>
      <c r="W100" s="36">
        <v>6</v>
      </c>
      <c r="X100" s="36" t="s">
        <v>35</v>
      </c>
      <c r="Y100" s="36" t="s">
        <v>43</v>
      </c>
      <c r="Z100" s="36" t="s">
        <v>29</v>
      </c>
      <c r="AA100" s="36" t="s">
        <v>36</v>
      </c>
      <c r="AB100" s="36" t="s">
        <v>178</v>
      </c>
    </row>
    <row r="101" spans="1:28" s="36" customFormat="1" x14ac:dyDescent="0.15">
      <c r="A101" s="36" t="s">
        <v>44</v>
      </c>
      <c r="B101" s="36" t="s">
        <v>174</v>
      </c>
      <c r="C101" s="36">
        <v>2020</v>
      </c>
      <c r="D101" s="200" t="s">
        <v>161</v>
      </c>
      <c r="E101" s="36" t="s">
        <v>403</v>
      </c>
      <c r="F101" s="36" t="s">
        <v>400</v>
      </c>
      <c r="G101" s="36" t="s">
        <v>25</v>
      </c>
      <c r="H101" s="36" t="s">
        <v>164</v>
      </c>
      <c r="I101" s="36" t="s">
        <v>111</v>
      </c>
      <c r="J101" s="36" t="s">
        <v>27</v>
      </c>
      <c r="K101" s="36" t="s">
        <v>112</v>
      </c>
      <c r="L101" s="36">
        <v>1</v>
      </c>
      <c r="N101" s="36">
        <v>1</v>
      </c>
      <c r="O101" s="36">
        <v>0.55000000000000004</v>
      </c>
      <c r="P101" s="36">
        <v>0.6</v>
      </c>
      <c r="Q101" s="115">
        <f t="shared" si="4"/>
        <v>0.57499999999999996</v>
      </c>
      <c r="R101" s="36">
        <v>16.399999999999999</v>
      </c>
      <c r="S101" s="36">
        <v>147</v>
      </c>
      <c r="T101" s="115">
        <f t="shared" si="3"/>
        <v>22</v>
      </c>
      <c r="U101" s="36">
        <v>98</v>
      </c>
      <c r="V101" s="115">
        <f t="shared" si="5"/>
        <v>2156</v>
      </c>
      <c r="W101" s="36">
        <v>6</v>
      </c>
      <c r="X101" s="36" t="s">
        <v>35</v>
      </c>
      <c r="Y101" s="36" t="s">
        <v>43</v>
      </c>
      <c r="Z101" s="36" t="s">
        <v>29</v>
      </c>
      <c r="AA101" s="36" t="s">
        <v>36</v>
      </c>
      <c r="AB101" s="36" t="s">
        <v>178</v>
      </c>
    </row>
    <row r="102" spans="1:28" s="36" customFormat="1" x14ac:dyDescent="0.15">
      <c r="A102" s="36" t="s">
        <v>44</v>
      </c>
      <c r="B102" s="36" t="s">
        <v>174</v>
      </c>
      <c r="C102" s="36">
        <v>2020</v>
      </c>
      <c r="D102" s="200" t="s">
        <v>161</v>
      </c>
      <c r="E102" s="36" t="s">
        <v>403</v>
      </c>
      <c r="F102" s="36" t="s">
        <v>400</v>
      </c>
      <c r="G102" s="36" t="s">
        <v>25</v>
      </c>
      <c r="H102" s="36" t="s">
        <v>164</v>
      </c>
      <c r="I102" s="36" t="s">
        <v>111</v>
      </c>
      <c r="J102" s="36" t="s">
        <v>27</v>
      </c>
      <c r="K102" s="36" t="s">
        <v>112</v>
      </c>
      <c r="L102" s="36">
        <v>2</v>
      </c>
      <c r="N102" s="36">
        <v>1</v>
      </c>
      <c r="O102" s="36">
        <v>0.5</v>
      </c>
      <c r="P102" s="36">
        <v>0.5</v>
      </c>
      <c r="Q102" s="115">
        <f t="shared" si="4"/>
        <v>0.5</v>
      </c>
      <c r="R102" s="36">
        <v>14.5</v>
      </c>
      <c r="S102" s="36">
        <v>141</v>
      </c>
      <c r="T102" s="115">
        <f t="shared" si="3"/>
        <v>22</v>
      </c>
      <c r="U102" s="36">
        <v>98</v>
      </c>
      <c r="V102" s="115">
        <f t="shared" si="5"/>
        <v>2156</v>
      </c>
      <c r="W102" s="36">
        <v>6</v>
      </c>
      <c r="X102" s="36" t="s">
        <v>35</v>
      </c>
      <c r="Y102" s="36" t="s">
        <v>43</v>
      </c>
      <c r="Z102" s="36" t="s">
        <v>29</v>
      </c>
      <c r="AA102" s="36" t="s">
        <v>36</v>
      </c>
      <c r="AB102" s="36" t="s">
        <v>178</v>
      </c>
    </row>
    <row r="103" spans="1:28" s="36" customFormat="1" x14ac:dyDescent="0.15">
      <c r="A103" s="36" t="s">
        <v>44</v>
      </c>
      <c r="B103" s="36" t="s">
        <v>174</v>
      </c>
      <c r="C103" s="36">
        <v>2020</v>
      </c>
      <c r="D103" s="200" t="s">
        <v>161</v>
      </c>
      <c r="E103" s="36" t="s">
        <v>403</v>
      </c>
      <c r="F103" s="36" t="s">
        <v>400</v>
      </c>
      <c r="G103" s="36" t="s">
        <v>25</v>
      </c>
      <c r="H103" s="36" t="s">
        <v>164</v>
      </c>
      <c r="I103" s="36" t="s">
        <v>111</v>
      </c>
      <c r="J103" s="36" t="s">
        <v>27</v>
      </c>
      <c r="K103" s="36" t="s">
        <v>112</v>
      </c>
      <c r="L103" s="36">
        <v>3</v>
      </c>
      <c r="N103" s="36">
        <v>1</v>
      </c>
      <c r="O103" s="36">
        <v>0.55000000000000004</v>
      </c>
      <c r="P103" s="36">
        <v>0.55000000000000004</v>
      </c>
      <c r="Q103" s="115">
        <f t="shared" si="4"/>
        <v>0.55000000000000004</v>
      </c>
      <c r="R103" s="36">
        <v>15.8</v>
      </c>
      <c r="S103" s="36">
        <v>148</v>
      </c>
      <c r="T103" s="115">
        <f t="shared" si="3"/>
        <v>22</v>
      </c>
      <c r="U103" s="36">
        <v>98</v>
      </c>
      <c r="V103" s="115">
        <f t="shared" si="5"/>
        <v>2156</v>
      </c>
      <c r="W103" s="36">
        <v>6</v>
      </c>
      <c r="X103" s="36" t="s">
        <v>35</v>
      </c>
      <c r="Y103" s="36" t="s">
        <v>43</v>
      </c>
      <c r="Z103" s="36" t="s">
        <v>29</v>
      </c>
      <c r="AA103" s="36" t="s">
        <v>36</v>
      </c>
      <c r="AB103" s="36" t="s">
        <v>178</v>
      </c>
    </row>
    <row r="104" spans="1:28" s="36" customFormat="1" x14ac:dyDescent="0.15">
      <c r="A104" s="36" t="s">
        <v>44</v>
      </c>
      <c r="B104" s="36" t="s">
        <v>174</v>
      </c>
      <c r="C104" s="36">
        <v>2020</v>
      </c>
      <c r="D104" s="200" t="s">
        <v>161</v>
      </c>
      <c r="E104" s="36" t="s">
        <v>408</v>
      </c>
      <c r="F104" s="36" t="s">
        <v>400</v>
      </c>
      <c r="G104" s="36" t="s">
        <v>25</v>
      </c>
      <c r="H104" s="36" t="s">
        <v>164</v>
      </c>
      <c r="I104" s="36" t="s">
        <v>111</v>
      </c>
      <c r="J104" s="36" t="s">
        <v>27</v>
      </c>
      <c r="K104" s="36" t="s">
        <v>112</v>
      </c>
      <c r="L104" s="36">
        <v>1</v>
      </c>
      <c r="N104" s="36">
        <v>1</v>
      </c>
      <c r="O104" s="36">
        <v>0.7</v>
      </c>
      <c r="P104" s="36">
        <v>0.75</v>
      </c>
      <c r="Q104" s="115">
        <f t="shared" si="4"/>
        <v>0.72499999999999998</v>
      </c>
      <c r="R104" s="36">
        <v>16.2</v>
      </c>
      <c r="S104" s="36">
        <v>138</v>
      </c>
      <c r="T104" s="115">
        <f t="shared" si="3"/>
        <v>22</v>
      </c>
      <c r="U104" s="36">
        <v>138</v>
      </c>
      <c r="V104" s="115">
        <f t="shared" si="5"/>
        <v>3036</v>
      </c>
      <c r="W104" s="36">
        <v>12</v>
      </c>
      <c r="X104" s="36" t="s">
        <v>35</v>
      </c>
      <c r="Y104" s="36" t="s">
        <v>43</v>
      </c>
      <c r="Z104" s="36" t="s">
        <v>36</v>
      </c>
      <c r="AA104" s="36" t="s">
        <v>72</v>
      </c>
      <c r="AB104" s="36" t="s">
        <v>178</v>
      </c>
    </row>
    <row r="105" spans="1:28" s="36" customFormat="1" x14ac:dyDescent="0.15">
      <c r="A105" s="36" t="s">
        <v>44</v>
      </c>
      <c r="B105" s="36" t="s">
        <v>174</v>
      </c>
      <c r="C105" s="36">
        <v>2020</v>
      </c>
      <c r="D105" s="200" t="s">
        <v>161</v>
      </c>
      <c r="E105" s="36" t="s">
        <v>408</v>
      </c>
      <c r="F105" s="36" t="s">
        <v>400</v>
      </c>
      <c r="G105" s="36" t="s">
        <v>25</v>
      </c>
      <c r="H105" s="36" t="s">
        <v>164</v>
      </c>
      <c r="I105" s="36" t="s">
        <v>111</v>
      </c>
      <c r="J105" s="36" t="s">
        <v>27</v>
      </c>
      <c r="K105" s="36" t="s">
        <v>112</v>
      </c>
      <c r="L105" s="36">
        <v>2</v>
      </c>
      <c r="N105" s="36">
        <v>1</v>
      </c>
      <c r="O105" s="36">
        <v>0.6</v>
      </c>
      <c r="P105" s="36">
        <v>0.55000000000000004</v>
      </c>
      <c r="Q105" s="115">
        <f t="shared" si="4"/>
        <v>0.57499999999999996</v>
      </c>
      <c r="R105" s="36">
        <v>17.899999999999999</v>
      </c>
      <c r="S105" s="36">
        <v>140</v>
      </c>
      <c r="T105" s="115">
        <f t="shared" si="3"/>
        <v>22</v>
      </c>
      <c r="U105" s="36">
        <v>138</v>
      </c>
      <c r="V105" s="115">
        <f t="shared" si="5"/>
        <v>3036</v>
      </c>
      <c r="W105" s="36">
        <v>12</v>
      </c>
      <c r="X105" s="36" t="s">
        <v>35</v>
      </c>
      <c r="Y105" s="36" t="s">
        <v>43</v>
      </c>
      <c r="Z105" s="36" t="s">
        <v>36</v>
      </c>
      <c r="AA105" s="36" t="s">
        <v>72</v>
      </c>
      <c r="AB105" s="36" t="s">
        <v>178</v>
      </c>
    </row>
    <row r="106" spans="1:28" s="36" customFormat="1" x14ac:dyDescent="0.15">
      <c r="A106" s="36" t="s">
        <v>44</v>
      </c>
      <c r="B106" s="36" t="s">
        <v>174</v>
      </c>
      <c r="C106" s="36">
        <v>2020</v>
      </c>
      <c r="D106" s="200" t="s">
        <v>161</v>
      </c>
      <c r="E106" s="36" t="s">
        <v>408</v>
      </c>
      <c r="F106" s="36" t="s">
        <v>400</v>
      </c>
      <c r="G106" s="36" t="s">
        <v>25</v>
      </c>
      <c r="H106" s="36" t="s">
        <v>164</v>
      </c>
      <c r="I106" s="36" t="s">
        <v>111</v>
      </c>
      <c r="J106" s="36" t="s">
        <v>27</v>
      </c>
      <c r="K106" s="36" t="s">
        <v>112</v>
      </c>
      <c r="L106" s="36">
        <v>3</v>
      </c>
      <c r="N106" s="36">
        <v>1</v>
      </c>
      <c r="O106" s="36">
        <v>0.5</v>
      </c>
      <c r="P106" s="36">
        <v>0.5</v>
      </c>
      <c r="Q106" s="115">
        <f t="shared" si="4"/>
        <v>0.5</v>
      </c>
      <c r="R106" s="36">
        <v>17.8</v>
      </c>
      <c r="S106" s="36">
        <v>144</v>
      </c>
      <c r="T106" s="115">
        <f t="shared" si="3"/>
        <v>22</v>
      </c>
      <c r="U106" s="36">
        <v>138</v>
      </c>
      <c r="V106" s="115">
        <f t="shared" si="5"/>
        <v>3036</v>
      </c>
      <c r="W106" s="36">
        <v>12</v>
      </c>
      <c r="X106" s="36" t="s">
        <v>35</v>
      </c>
      <c r="Y106" s="36" t="s">
        <v>43</v>
      </c>
      <c r="Z106" s="36" t="s">
        <v>36</v>
      </c>
      <c r="AA106" s="36" t="s">
        <v>72</v>
      </c>
      <c r="AB106" s="36" t="s">
        <v>178</v>
      </c>
    </row>
    <row r="107" spans="1:28" s="36" customFormat="1" x14ac:dyDescent="0.15">
      <c r="A107" s="36" t="s">
        <v>44</v>
      </c>
      <c r="B107" s="36" t="s">
        <v>174</v>
      </c>
      <c r="C107" s="36">
        <v>2020</v>
      </c>
      <c r="D107" s="200" t="s">
        <v>161</v>
      </c>
      <c r="E107" s="36" t="s">
        <v>408</v>
      </c>
      <c r="F107" s="36" t="s">
        <v>400</v>
      </c>
      <c r="G107" s="36" t="s">
        <v>25</v>
      </c>
      <c r="H107" s="36" t="s">
        <v>164</v>
      </c>
      <c r="I107" s="36" t="s">
        <v>111</v>
      </c>
      <c r="J107" s="36" t="s">
        <v>27</v>
      </c>
      <c r="K107" s="36" t="s">
        <v>112</v>
      </c>
      <c r="L107" s="36">
        <v>1</v>
      </c>
      <c r="N107" s="36">
        <v>5</v>
      </c>
      <c r="O107" s="36">
        <v>0.7</v>
      </c>
      <c r="P107" s="36">
        <v>0.7</v>
      </c>
      <c r="Q107" s="115">
        <f t="shared" si="4"/>
        <v>0.7</v>
      </c>
      <c r="R107" s="36">
        <v>14.5</v>
      </c>
      <c r="S107" s="36">
        <v>110</v>
      </c>
      <c r="T107" s="115">
        <f t="shared" si="3"/>
        <v>33</v>
      </c>
      <c r="U107" s="36">
        <v>498</v>
      </c>
      <c r="V107" s="115">
        <f t="shared" si="5"/>
        <v>3286.7999999999997</v>
      </c>
      <c r="W107" s="36">
        <v>8</v>
      </c>
      <c r="X107" s="36" t="s">
        <v>35</v>
      </c>
      <c r="Y107" s="36" t="s">
        <v>43</v>
      </c>
      <c r="Z107" s="36" t="s">
        <v>36</v>
      </c>
      <c r="AA107" s="36" t="s">
        <v>72</v>
      </c>
      <c r="AB107" s="36" t="s">
        <v>178</v>
      </c>
    </row>
    <row r="108" spans="1:28" s="36" customFormat="1" x14ac:dyDescent="0.15">
      <c r="A108" s="36" t="s">
        <v>44</v>
      </c>
      <c r="B108" s="36" t="s">
        <v>174</v>
      </c>
      <c r="C108" s="36">
        <v>2020</v>
      </c>
      <c r="D108" s="200" t="s">
        <v>161</v>
      </c>
      <c r="E108" s="36" t="s">
        <v>408</v>
      </c>
      <c r="F108" s="36" t="s">
        <v>400</v>
      </c>
      <c r="G108" s="36" t="s">
        <v>25</v>
      </c>
      <c r="H108" s="36" t="s">
        <v>164</v>
      </c>
      <c r="I108" s="36" t="s">
        <v>111</v>
      </c>
      <c r="J108" s="36" t="s">
        <v>27</v>
      </c>
      <c r="K108" s="36" t="s">
        <v>112</v>
      </c>
      <c r="L108" s="36">
        <v>2</v>
      </c>
      <c r="N108" s="36">
        <v>5</v>
      </c>
      <c r="O108" s="36">
        <v>0.7</v>
      </c>
      <c r="P108" s="36">
        <v>0.7</v>
      </c>
      <c r="Q108" s="115">
        <f t="shared" si="4"/>
        <v>0.7</v>
      </c>
      <c r="R108" s="36">
        <v>15.8</v>
      </c>
      <c r="S108" s="36">
        <v>114</v>
      </c>
      <c r="T108" s="115">
        <f t="shared" si="3"/>
        <v>30</v>
      </c>
      <c r="U108" s="36">
        <v>498</v>
      </c>
      <c r="V108" s="115">
        <f t="shared" si="5"/>
        <v>2988</v>
      </c>
      <c r="W108" s="36">
        <v>8</v>
      </c>
      <c r="X108" s="36" t="s">
        <v>35</v>
      </c>
      <c r="Y108" s="36" t="s">
        <v>43</v>
      </c>
      <c r="Z108" s="36" t="s">
        <v>36</v>
      </c>
      <c r="AA108" s="36" t="s">
        <v>72</v>
      </c>
      <c r="AB108" s="36" t="s">
        <v>178</v>
      </c>
    </row>
    <row r="109" spans="1:28" s="36" customFormat="1" x14ac:dyDescent="0.15">
      <c r="A109" s="36" t="s">
        <v>44</v>
      </c>
      <c r="B109" s="36" t="s">
        <v>174</v>
      </c>
      <c r="C109" s="36">
        <v>2020</v>
      </c>
      <c r="D109" s="200" t="s">
        <v>161</v>
      </c>
      <c r="E109" s="36" t="s">
        <v>408</v>
      </c>
      <c r="F109" s="36" t="s">
        <v>400</v>
      </c>
      <c r="G109" s="36" t="s">
        <v>25</v>
      </c>
      <c r="H109" s="36" t="s">
        <v>164</v>
      </c>
      <c r="I109" s="36" t="s">
        <v>111</v>
      </c>
      <c r="J109" s="36" t="s">
        <v>27</v>
      </c>
      <c r="K109" s="36" t="s">
        <v>112</v>
      </c>
      <c r="L109" s="36">
        <v>3</v>
      </c>
      <c r="N109" s="36">
        <v>5</v>
      </c>
      <c r="O109" s="36">
        <v>0.55000000000000004</v>
      </c>
      <c r="P109" s="36">
        <v>0.55000000000000004</v>
      </c>
      <c r="Q109" s="115">
        <f t="shared" si="4"/>
        <v>0.55000000000000004</v>
      </c>
      <c r="R109" s="36">
        <v>15.8</v>
      </c>
      <c r="S109" s="36">
        <v>110</v>
      </c>
      <c r="T109" s="115">
        <f t="shared" si="3"/>
        <v>33</v>
      </c>
      <c r="U109" s="36">
        <v>498</v>
      </c>
      <c r="V109" s="115">
        <f t="shared" si="5"/>
        <v>3286.7999999999997</v>
      </c>
      <c r="W109" s="36">
        <v>8</v>
      </c>
      <c r="X109" s="36" t="s">
        <v>35</v>
      </c>
      <c r="Y109" s="36" t="s">
        <v>43</v>
      </c>
      <c r="Z109" s="36" t="s">
        <v>36</v>
      </c>
      <c r="AA109" s="36" t="s">
        <v>72</v>
      </c>
      <c r="AB109" s="36" t="s">
        <v>178</v>
      </c>
    </row>
    <row r="110" spans="1:28" s="36" customFormat="1" x14ac:dyDescent="0.15">
      <c r="A110" s="36" t="s">
        <v>44</v>
      </c>
      <c r="B110" s="36" t="s">
        <v>174</v>
      </c>
      <c r="C110" s="36">
        <v>2020</v>
      </c>
      <c r="D110" s="200" t="s">
        <v>161</v>
      </c>
      <c r="E110" s="36" t="s">
        <v>408</v>
      </c>
      <c r="F110" s="36" t="s">
        <v>400</v>
      </c>
      <c r="G110" s="36" t="s">
        <v>25</v>
      </c>
      <c r="H110" s="36" t="s">
        <v>164</v>
      </c>
      <c r="I110" s="36" t="s">
        <v>111</v>
      </c>
      <c r="J110" s="36" t="s">
        <v>27</v>
      </c>
      <c r="K110" s="36" t="s">
        <v>112</v>
      </c>
      <c r="L110" s="36">
        <v>1</v>
      </c>
      <c r="N110" s="36">
        <v>7</v>
      </c>
      <c r="O110" s="36">
        <v>0.8</v>
      </c>
      <c r="P110" s="36">
        <v>0.8</v>
      </c>
      <c r="Q110" s="115">
        <f t="shared" si="4"/>
        <v>0.8</v>
      </c>
      <c r="R110" s="36">
        <v>16.7</v>
      </c>
      <c r="S110" s="36">
        <v>172</v>
      </c>
      <c r="T110" s="115">
        <f t="shared" si="3"/>
        <v>22</v>
      </c>
      <c r="U110" s="36">
        <v>1000</v>
      </c>
      <c r="V110" s="115">
        <f t="shared" si="5"/>
        <v>3142.8571428571431</v>
      </c>
      <c r="W110" s="36">
        <v>15</v>
      </c>
      <c r="X110" s="36" t="s">
        <v>35</v>
      </c>
      <c r="Y110" s="36" t="s">
        <v>43</v>
      </c>
      <c r="Z110" s="36" t="s">
        <v>36</v>
      </c>
      <c r="AA110" s="36" t="s">
        <v>72</v>
      </c>
      <c r="AB110" s="36" t="s">
        <v>178</v>
      </c>
    </row>
    <row r="111" spans="1:28" s="36" customFormat="1" x14ac:dyDescent="0.15">
      <c r="A111" s="36" t="s">
        <v>44</v>
      </c>
      <c r="B111" s="36" t="s">
        <v>174</v>
      </c>
      <c r="C111" s="36">
        <v>2020</v>
      </c>
      <c r="D111" s="200" t="s">
        <v>161</v>
      </c>
      <c r="E111" s="36" t="s">
        <v>408</v>
      </c>
      <c r="F111" s="36" t="s">
        <v>400</v>
      </c>
      <c r="G111" s="36" t="s">
        <v>25</v>
      </c>
      <c r="H111" s="36" t="s">
        <v>164</v>
      </c>
      <c r="I111" s="36" t="s">
        <v>111</v>
      </c>
      <c r="J111" s="36" t="s">
        <v>27</v>
      </c>
      <c r="K111" s="36" t="s">
        <v>112</v>
      </c>
      <c r="L111" s="36">
        <v>2</v>
      </c>
      <c r="N111" s="36">
        <v>7</v>
      </c>
      <c r="O111" s="36">
        <v>0.75</v>
      </c>
      <c r="P111" s="36">
        <v>0.8</v>
      </c>
      <c r="Q111" s="115">
        <f t="shared" si="4"/>
        <v>0.77500000000000002</v>
      </c>
      <c r="R111" s="36">
        <v>17.399999999999999</v>
      </c>
      <c r="S111" s="36">
        <v>162</v>
      </c>
      <c r="T111" s="115">
        <f t="shared" si="3"/>
        <v>22</v>
      </c>
      <c r="U111" s="36">
        <v>1000</v>
      </c>
      <c r="V111" s="115">
        <f t="shared" si="5"/>
        <v>3142.8571428571431</v>
      </c>
      <c r="W111" s="36">
        <v>15</v>
      </c>
      <c r="X111" s="36" t="s">
        <v>35</v>
      </c>
      <c r="Y111" s="36" t="s">
        <v>43</v>
      </c>
      <c r="Z111" s="36" t="s">
        <v>36</v>
      </c>
      <c r="AA111" s="36" t="s">
        <v>72</v>
      </c>
      <c r="AB111" s="36" t="s">
        <v>178</v>
      </c>
    </row>
    <row r="112" spans="1:28" s="36" customFormat="1" x14ac:dyDescent="0.15">
      <c r="A112" s="36" t="s">
        <v>44</v>
      </c>
      <c r="B112" s="36" t="s">
        <v>174</v>
      </c>
      <c r="C112" s="36">
        <v>2020</v>
      </c>
      <c r="D112" s="200" t="s">
        <v>161</v>
      </c>
      <c r="E112" s="36" t="s">
        <v>408</v>
      </c>
      <c r="F112" s="36" t="s">
        <v>400</v>
      </c>
      <c r="G112" s="36" t="s">
        <v>25</v>
      </c>
      <c r="H112" s="36" t="s">
        <v>164</v>
      </c>
      <c r="I112" s="36" t="s">
        <v>111</v>
      </c>
      <c r="J112" s="36" t="s">
        <v>27</v>
      </c>
      <c r="K112" s="36" t="s">
        <v>112</v>
      </c>
      <c r="L112" s="36">
        <v>3</v>
      </c>
      <c r="N112" s="36">
        <v>7</v>
      </c>
      <c r="O112" s="36">
        <v>0.7</v>
      </c>
      <c r="P112" s="36">
        <v>0.75</v>
      </c>
      <c r="Q112" s="115">
        <f t="shared" si="4"/>
        <v>0.72499999999999998</v>
      </c>
      <c r="R112" s="36">
        <v>17.399999999999999</v>
      </c>
      <c r="S112" s="36">
        <v>170</v>
      </c>
      <c r="T112" s="115">
        <f t="shared" si="3"/>
        <v>22</v>
      </c>
      <c r="U112" s="36">
        <v>1000</v>
      </c>
      <c r="V112" s="115">
        <f t="shared" si="5"/>
        <v>3142.8571428571431</v>
      </c>
      <c r="W112" s="36">
        <v>15</v>
      </c>
      <c r="X112" s="36" t="s">
        <v>35</v>
      </c>
      <c r="Y112" s="36" t="s">
        <v>43</v>
      </c>
      <c r="Z112" s="36" t="s">
        <v>36</v>
      </c>
      <c r="AA112" s="36" t="s">
        <v>72</v>
      </c>
      <c r="AB112" s="36" t="s">
        <v>178</v>
      </c>
    </row>
    <row r="113" spans="1:28" s="36" customFormat="1" x14ac:dyDescent="0.15">
      <c r="A113" s="36" t="s">
        <v>44</v>
      </c>
      <c r="B113" s="36" t="s">
        <v>174</v>
      </c>
      <c r="C113" s="36">
        <v>2020</v>
      </c>
      <c r="D113" s="200" t="s">
        <v>161</v>
      </c>
      <c r="E113" s="36" t="s">
        <v>408</v>
      </c>
      <c r="F113" s="36" t="s">
        <v>400</v>
      </c>
      <c r="G113" s="36" t="s">
        <v>25</v>
      </c>
      <c r="H113" s="36" t="s">
        <v>113</v>
      </c>
      <c r="I113" s="36" t="s">
        <v>111</v>
      </c>
      <c r="J113" s="36" t="s">
        <v>27</v>
      </c>
      <c r="K113" s="36" t="s">
        <v>112</v>
      </c>
      <c r="L113" s="36">
        <v>1</v>
      </c>
      <c r="N113" s="36">
        <v>1</v>
      </c>
      <c r="O113" s="36">
        <v>0.75</v>
      </c>
      <c r="P113" s="36">
        <v>0.75</v>
      </c>
      <c r="Q113" s="115">
        <f t="shared" si="4"/>
        <v>0.75</v>
      </c>
      <c r="R113" s="36">
        <v>12.9</v>
      </c>
      <c r="S113" s="36">
        <v>123</v>
      </c>
      <c r="T113" s="115">
        <f t="shared" si="3"/>
        <v>27</v>
      </c>
      <c r="U113" s="36">
        <v>128</v>
      </c>
      <c r="V113" s="115">
        <f t="shared" si="5"/>
        <v>3456</v>
      </c>
      <c r="W113" s="36">
        <v>12</v>
      </c>
      <c r="X113" s="36" t="s">
        <v>35</v>
      </c>
      <c r="Y113" s="36" t="s">
        <v>43</v>
      </c>
      <c r="Z113" s="36" t="s">
        <v>36</v>
      </c>
      <c r="AA113" s="36" t="s">
        <v>72</v>
      </c>
      <c r="AB113" s="36" t="s">
        <v>178</v>
      </c>
    </row>
    <row r="114" spans="1:28" s="36" customFormat="1" x14ac:dyDescent="0.15">
      <c r="A114" s="36" t="s">
        <v>44</v>
      </c>
      <c r="B114" s="36" t="s">
        <v>174</v>
      </c>
      <c r="C114" s="36">
        <v>2020</v>
      </c>
      <c r="D114" s="200" t="s">
        <v>161</v>
      </c>
      <c r="E114" s="36" t="s">
        <v>408</v>
      </c>
      <c r="F114" s="36" t="s">
        <v>400</v>
      </c>
      <c r="G114" s="36" t="s">
        <v>25</v>
      </c>
      <c r="H114" s="36" t="s">
        <v>113</v>
      </c>
      <c r="I114" s="36" t="s">
        <v>111</v>
      </c>
      <c r="J114" s="36" t="s">
        <v>27</v>
      </c>
      <c r="K114" s="36" t="s">
        <v>112</v>
      </c>
      <c r="L114" s="36">
        <v>2</v>
      </c>
      <c r="N114" s="36">
        <v>1</v>
      </c>
      <c r="O114" s="36">
        <v>0.85</v>
      </c>
      <c r="P114" s="36">
        <v>0.9</v>
      </c>
      <c r="Q114" s="115">
        <f t="shared" si="4"/>
        <v>0.875</v>
      </c>
      <c r="R114" s="36">
        <v>12.8</v>
      </c>
      <c r="S114" s="36">
        <v>123</v>
      </c>
      <c r="T114" s="115">
        <f t="shared" si="3"/>
        <v>27</v>
      </c>
      <c r="U114" s="36">
        <v>128</v>
      </c>
      <c r="V114" s="115">
        <f t="shared" si="5"/>
        <v>3456</v>
      </c>
      <c r="W114" s="36">
        <v>12</v>
      </c>
      <c r="X114" s="36" t="s">
        <v>35</v>
      </c>
      <c r="Y114" s="36" t="s">
        <v>43</v>
      </c>
      <c r="Z114" s="36" t="s">
        <v>36</v>
      </c>
      <c r="AA114" s="36" t="s">
        <v>72</v>
      </c>
      <c r="AB114" s="36" t="s">
        <v>178</v>
      </c>
    </row>
    <row r="115" spans="1:28" s="36" customFormat="1" x14ac:dyDescent="0.15">
      <c r="A115" s="36" t="s">
        <v>44</v>
      </c>
      <c r="B115" s="36" t="s">
        <v>174</v>
      </c>
      <c r="C115" s="36">
        <v>2020</v>
      </c>
      <c r="D115" s="200" t="s">
        <v>161</v>
      </c>
      <c r="E115" s="36" t="s">
        <v>408</v>
      </c>
      <c r="F115" s="36" t="s">
        <v>400</v>
      </c>
      <c r="G115" s="36" t="s">
        <v>25</v>
      </c>
      <c r="H115" s="36" t="s">
        <v>113</v>
      </c>
      <c r="I115" s="36" t="s">
        <v>111</v>
      </c>
      <c r="J115" s="36" t="s">
        <v>27</v>
      </c>
      <c r="K115" s="36" t="s">
        <v>112</v>
      </c>
      <c r="L115" s="36">
        <v>3</v>
      </c>
      <c r="N115" s="36">
        <v>1</v>
      </c>
      <c r="O115" s="36">
        <v>0.9</v>
      </c>
      <c r="P115" s="36">
        <v>0.39</v>
      </c>
      <c r="Q115" s="115">
        <f t="shared" si="4"/>
        <v>0.64500000000000002</v>
      </c>
      <c r="R115" s="36">
        <v>11.5</v>
      </c>
      <c r="S115" s="36">
        <v>127</v>
      </c>
      <c r="T115" s="115">
        <f t="shared" si="3"/>
        <v>27</v>
      </c>
      <c r="U115" s="36">
        <v>128</v>
      </c>
      <c r="V115" s="115">
        <f t="shared" si="5"/>
        <v>3456</v>
      </c>
      <c r="W115" s="36">
        <v>12</v>
      </c>
      <c r="X115" s="36" t="s">
        <v>35</v>
      </c>
      <c r="Y115" s="36" t="s">
        <v>43</v>
      </c>
      <c r="Z115" s="36" t="s">
        <v>36</v>
      </c>
      <c r="AA115" s="36" t="s">
        <v>72</v>
      </c>
      <c r="AB115" s="36" t="s">
        <v>178</v>
      </c>
    </row>
    <row r="116" spans="1:28" s="36" customFormat="1" x14ac:dyDescent="0.15">
      <c r="A116" s="36" t="s">
        <v>44</v>
      </c>
      <c r="B116" s="36" t="s">
        <v>174</v>
      </c>
      <c r="C116" s="36">
        <v>2020</v>
      </c>
      <c r="D116" s="200" t="s">
        <v>161</v>
      </c>
      <c r="E116" s="36" t="s">
        <v>408</v>
      </c>
      <c r="F116" s="36" t="s">
        <v>400</v>
      </c>
      <c r="G116" s="36" t="s">
        <v>25</v>
      </c>
      <c r="H116" s="36" t="s">
        <v>113</v>
      </c>
      <c r="I116" s="36" t="s">
        <v>111</v>
      </c>
      <c r="J116" s="36" t="s">
        <v>27</v>
      </c>
      <c r="K116" s="36" t="s">
        <v>112</v>
      </c>
      <c r="L116" s="36">
        <v>1</v>
      </c>
      <c r="N116" s="36">
        <v>5</v>
      </c>
      <c r="O116" s="36">
        <v>0.75</v>
      </c>
      <c r="P116" s="36">
        <v>0.75</v>
      </c>
      <c r="Q116" s="115">
        <f t="shared" si="4"/>
        <v>0.75</v>
      </c>
      <c r="R116" s="36">
        <v>15.1</v>
      </c>
      <c r="S116" s="36">
        <v>88</v>
      </c>
      <c r="T116" s="115">
        <f t="shared" si="3"/>
        <v>36</v>
      </c>
      <c r="U116" s="36">
        <v>398</v>
      </c>
      <c r="V116" s="115">
        <f t="shared" si="5"/>
        <v>2865.6</v>
      </c>
      <c r="W116" s="36">
        <v>8</v>
      </c>
      <c r="X116" s="36" t="s">
        <v>35</v>
      </c>
      <c r="Y116" s="36" t="s">
        <v>43</v>
      </c>
      <c r="Z116" s="36" t="s">
        <v>36</v>
      </c>
      <c r="AA116" s="36" t="s">
        <v>72</v>
      </c>
      <c r="AB116" s="36" t="s">
        <v>178</v>
      </c>
    </row>
    <row r="117" spans="1:28" s="36" customFormat="1" x14ac:dyDescent="0.15">
      <c r="A117" s="36" t="s">
        <v>44</v>
      </c>
      <c r="B117" s="36" t="s">
        <v>174</v>
      </c>
      <c r="C117" s="36">
        <v>2020</v>
      </c>
      <c r="D117" s="200" t="s">
        <v>161</v>
      </c>
      <c r="E117" s="36" t="s">
        <v>408</v>
      </c>
      <c r="F117" s="36" t="s">
        <v>400</v>
      </c>
      <c r="G117" s="36" t="s">
        <v>25</v>
      </c>
      <c r="H117" s="36" t="s">
        <v>113</v>
      </c>
      <c r="I117" s="36" t="s">
        <v>111</v>
      </c>
      <c r="J117" s="36" t="s">
        <v>27</v>
      </c>
      <c r="K117" s="36" t="s">
        <v>112</v>
      </c>
      <c r="L117" s="36">
        <v>2</v>
      </c>
      <c r="N117" s="36">
        <v>5</v>
      </c>
      <c r="O117" s="36">
        <v>0.55000000000000004</v>
      </c>
      <c r="P117" s="36">
        <v>0.55000000000000004</v>
      </c>
      <c r="Q117" s="115">
        <f t="shared" si="4"/>
        <v>0.55000000000000004</v>
      </c>
      <c r="R117" s="36">
        <v>14.5</v>
      </c>
      <c r="S117" s="36">
        <v>85</v>
      </c>
      <c r="T117" s="115">
        <f t="shared" si="3"/>
        <v>36</v>
      </c>
      <c r="U117" s="36">
        <v>398</v>
      </c>
      <c r="V117" s="115">
        <f t="shared" si="5"/>
        <v>2865.6</v>
      </c>
      <c r="W117" s="36">
        <v>8</v>
      </c>
      <c r="X117" s="36" t="s">
        <v>35</v>
      </c>
      <c r="Y117" s="36" t="s">
        <v>43</v>
      </c>
      <c r="Z117" s="36" t="s">
        <v>36</v>
      </c>
      <c r="AA117" s="36" t="s">
        <v>72</v>
      </c>
      <c r="AB117" s="36" t="s">
        <v>178</v>
      </c>
    </row>
    <row r="118" spans="1:28" s="36" customFormat="1" x14ac:dyDescent="0.15">
      <c r="A118" s="36" t="s">
        <v>44</v>
      </c>
      <c r="B118" s="36" t="s">
        <v>174</v>
      </c>
      <c r="C118" s="36">
        <v>2020</v>
      </c>
      <c r="D118" s="200" t="s">
        <v>161</v>
      </c>
      <c r="E118" s="36" t="s">
        <v>408</v>
      </c>
      <c r="F118" s="36" t="s">
        <v>400</v>
      </c>
      <c r="G118" s="36" t="s">
        <v>25</v>
      </c>
      <c r="H118" s="36" t="s">
        <v>113</v>
      </c>
      <c r="I118" s="36" t="s">
        <v>111</v>
      </c>
      <c r="J118" s="36" t="s">
        <v>27</v>
      </c>
      <c r="K118" s="36" t="s">
        <v>112</v>
      </c>
      <c r="L118" s="36">
        <v>3</v>
      </c>
      <c r="N118" s="36">
        <v>5</v>
      </c>
      <c r="O118" s="36">
        <v>0.5</v>
      </c>
      <c r="P118" s="36">
        <v>0.5</v>
      </c>
      <c r="Q118" s="115">
        <f t="shared" si="4"/>
        <v>0.5</v>
      </c>
      <c r="R118" s="36">
        <v>13.6</v>
      </c>
      <c r="S118" s="36">
        <v>84</v>
      </c>
      <c r="T118" s="115">
        <f t="shared" si="3"/>
        <v>36</v>
      </c>
      <c r="U118" s="36">
        <v>398</v>
      </c>
      <c r="V118" s="115">
        <f t="shared" si="5"/>
        <v>2865.6</v>
      </c>
      <c r="W118" s="36">
        <v>8</v>
      </c>
      <c r="X118" s="36" t="s">
        <v>35</v>
      </c>
      <c r="Y118" s="36" t="s">
        <v>43</v>
      </c>
      <c r="Z118" s="36" t="s">
        <v>36</v>
      </c>
      <c r="AA118" s="36" t="s">
        <v>72</v>
      </c>
      <c r="AB118" s="36" t="s">
        <v>178</v>
      </c>
    </row>
    <row r="119" spans="1:28" x14ac:dyDescent="0.15">
      <c r="D119" s="200"/>
    </row>
    <row r="120" spans="1:28" x14ac:dyDescent="0.15">
      <c r="D120" s="200"/>
    </row>
    <row r="121" spans="1:28" x14ac:dyDescent="0.15">
      <c r="D121" s="200"/>
    </row>
    <row r="122" spans="1:28" x14ac:dyDescent="0.15">
      <c r="D122" s="200"/>
    </row>
    <row r="123" spans="1:28" x14ac:dyDescent="0.15">
      <c r="D123" s="200"/>
    </row>
    <row r="124" spans="1:28" x14ac:dyDescent="0.15">
      <c r="D124" s="200"/>
    </row>
    <row r="125" spans="1:28" x14ac:dyDescent="0.15">
      <c r="D125" s="200"/>
    </row>
    <row r="126" spans="1:28" x14ac:dyDescent="0.15">
      <c r="D126" s="200"/>
    </row>
    <row r="127" spans="1:28" x14ac:dyDescent="0.15">
      <c r="D127" s="200"/>
    </row>
  </sheetData>
  <autoFilter ref="A1:BA127" xr:uid="{00000000-0009-0000-0000-000002000000}"/>
  <phoneticPr fontId="3"/>
  <dataValidations count="19">
    <dataValidation type="decimal" allowBlank="1" showInputMessage="1" showErrorMessage="1" error="硬度を正しく入力して下さい。" sqref="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WVW983042:WVX983540 O2:P500" xr:uid="{63C70019-4B24-4003-B302-DE44193484EF}">
      <formula1>0</formula1>
      <formula2>7</formula2>
    </dataValidation>
    <dataValidation type="list" allowBlank="1" showInputMessage="1" showErrorMessage="1" sqref="X1:X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WWF1:WWF1048576" xr:uid="{7FADBD3F-97C2-4CAA-A337-F45484F6C41C}">
      <formula1>$AT$2:$AT$3</formula1>
    </dataValidation>
    <dataValidation type="list" allowBlank="1" showInputMessage="1" showErrorMessage="1" sqref="K65538:K65636 K131074:K131172 K196610:K196708 K262146:K262244 K327682:K327780 K393218:K393316 K458754:K458852 K524290:K524388 K589826:K589924 K655362:K655460 K720898:K720996 K786434:K786532 K851970:K852068 K917506:K917604 K983042:K983140 JG2:JG100 JG65538:JG65636 JG131074:JG131172 JG196610:JG196708 JG262146:JG262244 JG327682:JG327780 JG393218:JG393316 JG458754:JG458852 JG524290:JG524388 JG589826:JG589924 JG655362:JG655460 JG720898:JG720996 JG786434:JG786532 JG851970:JG852068 JG917506:JG917604 JG983042:JG983140 TC2:TC100 TC65538:TC65636 TC131074:TC131172 TC196610:TC196708 TC262146:TC262244 TC327682:TC327780 TC393218:TC393316 TC458754:TC458852 TC524290:TC524388 TC589826:TC589924 TC655362:TC655460 TC720898:TC720996 TC786434:TC786532 TC851970:TC852068 TC917506:TC917604 TC983042:TC983140 ACY2:ACY100 ACY65538:ACY65636 ACY131074:ACY131172 ACY196610:ACY196708 ACY262146:ACY262244 ACY327682:ACY327780 ACY393218:ACY393316 ACY458754:ACY458852 ACY524290:ACY524388 ACY589826:ACY589924 ACY655362:ACY655460 ACY720898:ACY720996 ACY786434:ACY786532 ACY851970:ACY852068 ACY917506:ACY917604 ACY983042:ACY983140 AMU2:AMU100 AMU65538:AMU65636 AMU131074:AMU131172 AMU196610:AMU196708 AMU262146:AMU262244 AMU327682:AMU327780 AMU393218:AMU393316 AMU458754:AMU458852 AMU524290:AMU524388 AMU589826:AMU589924 AMU655362:AMU655460 AMU720898:AMU720996 AMU786434:AMU786532 AMU851970:AMU852068 AMU917506:AMU917604 AMU983042:AMU983140 AWQ2:AWQ100 AWQ65538:AWQ65636 AWQ131074:AWQ131172 AWQ196610:AWQ196708 AWQ262146:AWQ262244 AWQ327682:AWQ327780 AWQ393218:AWQ393316 AWQ458754:AWQ458852 AWQ524290:AWQ524388 AWQ589826:AWQ589924 AWQ655362:AWQ655460 AWQ720898:AWQ720996 AWQ786434:AWQ786532 AWQ851970:AWQ852068 AWQ917506:AWQ917604 AWQ983042:AWQ983140 BGM2:BGM100 BGM65538:BGM65636 BGM131074:BGM131172 BGM196610:BGM196708 BGM262146:BGM262244 BGM327682:BGM327780 BGM393218:BGM393316 BGM458754:BGM458852 BGM524290:BGM524388 BGM589826:BGM589924 BGM655362:BGM655460 BGM720898:BGM720996 BGM786434:BGM786532 BGM851970:BGM852068 BGM917506:BGM917604 BGM983042:BGM983140 BQI2:BQI100 BQI65538:BQI65636 BQI131074:BQI131172 BQI196610:BQI196708 BQI262146:BQI262244 BQI327682:BQI327780 BQI393218:BQI393316 BQI458754:BQI458852 BQI524290:BQI524388 BQI589826:BQI589924 BQI655362:BQI655460 BQI720898:BQI720996 BQI786434:BQI786532 BQI851970:BQI852068 BQI917506:BQI917604 BQI983042:BQI983140 CAE2:CAE100 CAE65538:CAE65636 CAE131074:CAE131172 CAE196610:CAE196708 CAE262146:CAE262244 CAE327682:CAE327780 CAE393218:CAE393316 CAE458754:CAE458852 CAE524290:CAE524388 CAE589826:CAE589924 CAE655362:CAE655460 CAE720898:CAE720996 CAE786434:CAE786532 CAE851970:CAE852068 CAE917506:CAE917604 CAE983042:CAE983140 CKA2:CKA100 CKA65538:CKA65636 CKA131074:CKA131172 CKA196610:CKA196708 CKA262146:CKA262244 CKA327682:CKA327780 CKA393218:CKA393316 CKA458754:CKA458852 CKA524290:CKA524388 CKA589826:CKA589924 CKA655362:CKA655460 CKA720898:CKA720996 CKA786434:CKA786532 CKA851970:CKA852068 CKA917506:CKA917604 CKA983042:CKA983140 CTW2:CTW100 CTW65538:CTW65636 CTW131074:CTW131172 CTW196610:CTW196708 CTW262146:CTW262244 CTW327682:CTW327780 CTW393218:CTW393316 CTW458754:CTW458852 CTW524290:CTW524388 CTW589826:CTW589924 CTW655362:CTW655460 CTW720898:CTW720996 CTW786434:CTW786532 CTW851970:CTW852068 CTW917506:CTW917604 CTW983042:CTW983140 DDS2:DDS100 DDS65538:DDS65636 DDS131074:DDS131172 DDS196610:DDS196708 DDS262146:DDS262244 DDS327682:DDS327780 DDS393218:DDS393316 DDS458754:DDS458852 DDS524290:DDS524388 DDS589826:DDS589924 DDS655362:DDS655460 DDS720898:DDS720996 DDS786434:DDS786532 DDS851970:DDS852068 DDS917506:DDS917604 DDS983042:DDS983140 DNO2:DNO100 DNO65538:DNO65636 DNO131074:DNO131172 DNO196610:DNO196708 DNO262146:DNO262244 DNO327682:DNO327780 DNO393218:DNO393316 DNO458754:DNO458852 DNO524290:DNO524388 DNO589826:DNO589924 DNO655362:DNO655460 DNO720898:DNO720996 DNO786434:DNO786532 DNO851970:DNO852068 DNO917506:DNO917604 DNO983042:DNO983140 DXK2:DXK100 DXK65538:DXK65636 DXK131074:DXK131172 DXK196610:DXK196708 DXK262146:DXK262244 DXK327682:DXK327780 DXK393218:DXK393316 DXK458754:DXK458852 DXK524290:DXK524388 DXK589826:DXK589924 DXK655362:DXK655460 DXK720898:DXK720996 DXK786434:DXK786532 DXK851970:DXK852068 DXK917506:DXK917604 DXK983042:DXK983140 EHG2:EHG100 EHG65538:EHG65636 EHG131074:EHG131172 EHG196610:EHG196708 EHG262146:EHG262244 EHG327682:EHG327780 EHG393218:EHG393316 EHG458754:EHG458852 EHG524290:EHG524388 EHG589826:EHG589924 EHG655362:EHG655460 EHG720898:EHG720996 EHG786434:EHG786532 EHG851970:EHG852068 EHG917506:EHG917604 EHG983042:EHG983140 ERC2:ERC100 ERC65538:ERC65636 ERC131074:ERC131172 ERC196610:ERC196708 ERC262146:ERC262244 ERC327682:ERC327780 ERC393218:ERC393316 ERC458754:ERC458852 ERC524290:ERC524388 ERC589826:ERC589924 ERC655362:ERC655460 ERC720898:ERC720996 ERC786434:ERC786532 ERC851970:ERC852068 ERC917506:ERC917604 ERC983042:ERC983140 FAY2:FAY100 FAY65538:FAY65636 FAY131074:FAY131172 FAY196610:FAY196708 FAY262146:FAY262244 FAY327682:FAY327780 FAY393218:FAY393316 FAY458754:FAY458852 FAY524290:FAY524388 FAY589826:FAY589924 FAY655362:FAY655460 FAY720898:FAY720996 FAY786434:FAY786532 FAY851970:FAY852068 FAY917506:FAY917604 FAY983042:FAY983140 FKU2:FKU100 FKU65538:FKU65636 FKU131074:FKU131172 FKU196610:FKU196708 FKU262146:FKU262244 FKU327682:FKU327780 FKU393218:FKU393316 FKU458754:FKU458852 FKU524290:FKU524388 FKU589826:FKU589924 FKU655362:FKU655460 FKU720898:FKU720996 FKU786434:FKU786532 FKU851970:FKU852068 FKU917506:FKU917604 FKU983042:FKU983140 FUQ2:FUQ100 FUQ65538:FUQ65636 FUQ131074:FUQ131172 FUQ196610:FUQ196708 FUQ262146:FUQ262244 FUQ327682:FUQ327780 FUQ393218:FUQ393316 FUQ458754:FUQ458852 FUQ524290:FUQ524388 FUQ589826:FUQ589924 FUQ655362:FUQ655460 FUQ720898:FUQ720996 FUQ786434:FUQ786532 FUQ851970:FUQ852068 FUQ917506:FUQ917604 FUQ983042:FUQ983140 GEM2:GEM100 GEM65538:GEM65636 GEM131074:GEM131172 GEM196610:GEM196708 GEM262146:GEM262244 GEM327682:GEM327780 GEM393218:GEM393316 GEM458754:GEM458852 GEM524290:GEM524388 GEM589826:GEM589924 GEM655362:GEM655460 GEM720898:GEM720996 GEM786434:GEM786532 GEM851970:GEM852068 GEM917506:GEM917604 GEM983042:GEM983140 GOI2:GOI100 GOI65538:GOI65636 GOI131074:GOI131172 GOI196610:GOI196708 GOI262146:GOI262244 GOI327682:GOI327780 GOI393218:GOI393316 GOI458754:GOI458852 GOI524290:GOI524388 GOI589826:GOI589924 GOI655362:GOI655460 GOI720898:GOI720996 GOI786434:GOI786532 GOI851970:GOI852068 GOI917506:GOI917604 GOI983042:GOI983140 GYE2:GYE100 GYE65538:GYE65636 GYE131074:GYE131172 GYE196610:GYE196708 GYE262146:GYE262244 GYE327682:GYE327780 GYE393218:GYE393316 GYE458754:GYE458852 GYE524290:GYE524388 GYE589826:GYE589924 GYE655362:GYE655460 GYE720898:GYE720996 GYE786434:GYE786532 GYE851970:GYE852068 GYE917506:GYE917604 GYE983042:GYE983140 HIA2:HIA100 HIA65538:HIA65636 HIA131074:HIA131172 HIA196610:HIA196708 HIA262146:HIA262244 HIA327682:HIA327780 HIA393218:HIA393316 HIA458754:HIA458852 HIA524290:HIA524388 HIA589826:HIA589924 HIA655362:HIA655460 HIA720898:HIA720996 HIA786434:HIA786532 HIA851970:HIA852068 HIA917506:HIA917604 HIA983042:HIA983140 HRW2:HRW100 HRW65538:HRW65636 HRW131074:HRW131172 HRW196610:HRW196708 HRW262146:HRW262244 HRW327682:HRW327780 HRW393218:HRW393316 HRW458754:HRW458852 HRW524290:HRW524388 HRW589826:HRW589924 HRW655362:HRW655460 HRW720898:HRW720996 HRW786434:HRW786532 HRW851970:HRW852068 HRW917506:HRW917604 HRW983042:HRW983140 IBS2:IBS100 IBS65538:IBS65636 IBS131074:IBS131172 IBS196610:IBS196708 IBS262146:IBS262244 IBS327682:IBS327780 IBS393218:IBS393316 IBS458754:IBS458852 IBS524290:IBS524388 IBS589826:IBS589924 IBS655362:IBS655460 IBS720898:IBS720996 IBS786434:IBS786532 IBS851970:IBS852068 IBS917506:IBS917604 IBS983042:IBS983140 ILO2:ILO100 ILO65538:ILO65636 ILO131074:ILO131172 ILO196610:ILO196708 ILO262146:ILO262244 ILO327682:ILO327780 ILO393218:ILO393316 ILO458754:ILO458852 ILO524290:ILO524388 ILO589826:ILO589924 ILO655362:ILO655460 ILO720898:ILO720996 ILO786434:ILO786532 ILO851970:ILO852068 ILO917506:ILO917604 ILO983042:ILO983140 IVK2:IVK100 IVK65538:IVK65636 IVK131074:IVK131172 IVK196610:IVK196708 IVK262146:IVK262244 IVK327682:IVK327780 IVK393218:IVK393316 IVK458754:IVK458852 IVK524290:IVK524388 IVK589826:IVK589924 IVK655362:IVK655460 IVK720898:IVK720996 IVK786434:IVK786532 IVK851970:IVK852068 IVK917506:IVK917604 IVK983042:IVK983140 JFG2:JFG100 JFG65538:JFG65636 JFG131074:JFG131172 JFG196610:JFG196708 JFG262146:JFG262244 JFG327682:JFG327780 JFG393218:JFG393316 JFG458754:JFG458852 JFG524290:JFG524388 JFG589826:JFG589924 JFG655362:JFG655460 JFG720898:JFG720996 JFG786434:JFG786532 JFG851970:JFG852068 JFG917506:JFG917604 JFG983042:JFG983140 JPC2:JPC100 JPC65538:JPC65636 JPC131074:JPC131172 JPC196610:JPC196708 JPC262146:JPC262244 JPC327682:JPC327780 JPC393218:JPC393316 JPC458754:JPC458852 JPC524290:JPC524388 JPC589826:JPC589924 JPC655362:JPC655460 JPC720898:JPC720996 JPC786434:JPC786532 JPC851970:JPC852068 JPC917506:JPC917604 JPC983042:JPC983140 JYY2:JYY100 JYY65538:JYY65636 JYY131074:JYY131172 JYY196610:JYY196708 JYY262146:JYY262244 JYY327682:JYY327780 JYY393218:JYY393316 JYY458754:JYY458852 JYY524290:JYY524388 JYY589826:JYY589924 JYY655362:JYY655460 JYY720898:JYY720996 JYY786434:JYY786532 JYY851970:JYY852068 JYY917506:JYY917604 JYY983042:JYY983140 KIU2:KIU100 KIU65538:KIU65636 KIU131074:KIU131172 KIU196610:KIU196708 KIU262146:KIU262244 KIU327682:KIU327780 KIU393218:KIU393316 KIU458754:KIU458852 KIU524290:KIU524388 KIU589826:KIU589924 KIU655362:KIU655460 KIU720898:KIU720996 KIU786434:KIU786532 KIU851970:KIU852068 KIU917506:KIU917604 KIU983042:KIU983140 KSQ2:KSQ100 KSQ65538:KSQ65636 KSQ131074:KSQ131172 KSQ196610:KSQ196708 KSQ262146:KSQ262244 KSQ327682:KSQ327780 KSQ393218:KSQ393316 KSQ458754:KSQ458852 KSQ524290:KSQ524388 KSQ589826:KSQ589924 KSQ655362:KSQ655460 KSQ720898:KSQ720996 KSQ786434:KSQ786532 KSQ851970:KSQ852068 KSQ917506:KSQ917604 KSQ983042:KSQ983140 LCM2:LCM100 LCM65538:LCM65636 LCM131074:LCM131172 LCM196610:LCM196708 LCM262146:LCM262244 LCM327682:LCM327780 LCM393218:LCM393316 LCM458754:LCM458852 LCM524290:LCM524388 LCM589826:LCM589924 LCM655362:LCM655460 LCM720898:LCM720996 LCM786434:LCM786532 LCM851970:LCM852068 LCM917506:LCM917604 LCM983042:LCM983140 LMI2:LMI100 LMI65538:LMI65636 LMI131074:LMI131172 LMI196610:LMI196708 LMI262146:LMI262244 LMI327682:LMI327780 LMI393218:LMI393316 LMI458754:LMI458852 LMI524290:LMI524388 LMI589826:LMI589924 LMI655362:LMI655460 LMI720898:LMI720996 LMI786434:LMI786532 LMI851970:LMI852068 LMI917506:LMI917604 LMI983042:LMI983140 LWE2:LWE100 LWE65538:LWE65636 LWE131074:LWE131172 LWE196610:LWE196708 LWE262146:LWE262244 LWE327682:LWE327780 LWE393218:LWE393316 LWE458754:LWE458852 LWE524290:LWE524388 LWE589826:LWE589924 LWE655362:LWE655460 LWE720898:LWE720996 LWE786434:LWE786532 LWE851970:LWE852068 LWE917506:LWE917604 LWE983042:LWE983140 MGA2:MGA100 MGA65538:MGA65636 MGA131074:MGA131172 MGA196610:MGA196708 MGA262146:MGA262244 MGA327682:MGA327780 MGA393218:MGA393316 MGA458754:MGA458852 MGA524290:MGA524388 MGA589826:MGA589924 MGA655362:MGA655460 MGA720898:MGA720996 MGA786434:MGA786532 MGA851970:MGA852068 MGA917506:MGA917604 MGA983042:MGA983140 MPW2:MPW100 MPW65538:MPW65636 MPW131074:MPW131172 MPW196610:MPW196708 MPW262146:MPW262244 MPW327682:MPW327780 MPW393218:MPW393316 MPW458754:MPW458852 MPW524290:MPW524388 MPW589826:MPW589924 MPW655362:MPW655460 MPW720898:MPW720996 MPW786434:MPW786532 MPW851970:MPW852068 MPW917506:MPW917604 MPW983042:MPW983140 MZS2:MZS100 MZS65538:MZS65636 MZS131074:MZS131172 MZS196610:MZS196708 MZS262146:MZS262244 MZS327682:MZS327780 MZS393218:MZS393316 MZS458754:MZS458852 MZS524290:MZS524388 MZS589826:MZS589924 MZS655362:MZS655460 MZS720898:MZS720996 MZS786434:MZS786532 MZS851970:MZS852068 MZS917506:MZS917604 MZS983042:MZS983140 NJO2:NJO100 NJO65538:NJO65636 NJO131074:NJO131172 NJO196610:NJO196708 NJO262146:NJO262244 NJO327682:NJO327780 NJO393218:NJO393316 NJO458754:NJO458852 NJO524290:NJO524388 NJO589826:NJO589924 NJO655362:NJO655460 NJO720898:NJO720996 NJO786434:NJO786532 NJO851970:NJO852068 NJO917506:NJO917604 NJO983042:NJO983140 NTK2:NTK100 NTK65538:NTK65636 NTK131074:NTK131172 NTK196610:NTK196708 NTK262146:NTK262244 NTK327682:NTK327780 NTK393218:NTK393316 NTK458754:NTK458852 NTK524290:NTK524388 NTK589826:NTK589924 NTK655362:NTK655460 NTK720898:NTK720996 NTK786434:NTK786532 NTK851970:NTK852068 NTK917506:NTK917604 NTK983042:NTK983140 ODG2:ODG100 ODG65538:ODG65636 ODG131074:ODG131172 ODG196610:ODG196708 ODG262146:ODG262244 ODG327682:ODG327780 ODG393218:ODG393316 ODG458754:ODG458852 ODG524290:ODG524388 ODG589826:ODG589924 ODG655362:ODG655460 ODG720898:ODG720996 ODG786434:ODG786532 ODG851970:ODG852068 ODG917506:ODG917604 ODG983042:ODG983140 ONC2:ONC100 ONC65538:ONC65636 ONC131074:ONC131172 ONC196610:ONC196708 ONC262146:ONC262244 ONC327682:ONC327780 ONC393218:ONC393316 ONC458754:ONC458852 ONC524290:ONC524388 ONC589826:ONC589924 ONC655362:ONC655460 ONC720898:ONC720996 ONC786434:ONC786532 ONC851970:ONC852068 ONC917506:ONC917604 ONC983042:ONC983140 OWY2:OWY100 OWY65538:OWY65636 OWY131074:OWY131172 OWY196610:OWY196708 OWY262146:OWY262244 OWY327682:OWY327780 OWY393218:OWY393316 OWY458754:OWY458852 OWY524290:OWY524388 OWY589826:OWY589924 OWY655362:OWY655460 OWY720898:OWY720996 OWY786434:OWY786532 OWY851970:OWY852068 OWY917506:OWY917604 OWY983042:OWY983140 PGU2:PGU100 PGU65538:PGU65636 PGU131074:PGU131172 PGU196610:PGU196708 PGU262146:PGU262244 PGU327682:PGU327780 PGU393218:PGU393316 PGU458754:PGU458852 PGU524290:PGU524388 PGU589826:PGU589924 PGU655362:PGU655460 PGU720898:PGU720996 PGU786434:PGU786532 PGU851970:PGU852068 PGU917506:PGU917604 PGU983042:PGU983140 PQQ2:PQQ100 PQQ65538:PQQ65636 PQQ131074:PQQ131172 PQQ196610:PQQ196708 PQQ262146:PQQ262244 PQQ327682:PQQ327780 PQQ393218:PQQ393316 PQQ458754:PQQ458852 PQQ524290:PQQ524388 PQQ589826:PQQ589924 PQQ655362:PQQ655460 PQQ720898:PQQ720996 PQQ786434:PQQ786532 PQQ851970:PQQ852068 PQQ917506:PQQ917604 PQQ983042:PQQ983140 QAM2:QAM100 QAM65538:QAM65636 QAM131074:QAM131172 QAM196610:QAM196708 QAM262146:QAM262244 QAM327682:QAM327780 QAM393218:QAM393316 QAM458754:QAM458852 QAM524290:QAM524388 QAM589826:QAM589924 QAM655362:QAM655460 QAM720898:QAM720996 QAM786434:QAM786532 QAM851970:QAM852068 QAM917506:QAM917604 QAM983042:QAM983140 QKI2:QKI100 QKI65538:QKI65636 QKI131074:QKI131172 QKI196610:QKI196708 QKI262146:QKI262244 QKI327682:QKI327780 QKI393218:QKI393316 QKI458754:QKI458852 QKI524290:QKI524388 QKI589826:QKI589924 QKI655362:QKI655460 QKI720898:QKI720996 QKI786434:QKI786532 QKI851970:QKI852068 QKI917506:QKI917604 QKI983042:QKI983140 QUE2:QUE100 QUE65538:QUE65636 QUE131074:QUE131172 QUE196610:QUE196708 QUE262146:QUE262244 QUE327682:QUE327780 QUE393218:QUE393316 QUE458754:QUE458852 QUE524290:QUE524388 QUE589826:QUE589924 QUE655362:QUE655460 QUE720898:QUE720996 QUE786434:QUE786532 QUE851970:QUE852068 QUE917506:QUE917604 QUE983042:QUE983140 REA2:REA100 REA65538:REA65636 REA131074:REA131172 REA196610:REA196708 REA262146:REA262244 REA327682:REA327780 REA393218:REA393316 REA458754:REA458852 REA524290:REA524388 REA589826:REA589924 REA655362:REA655460 REA720898:REA720996 REA786434:REA786532 REA851970:REA852068 REA917506:REA917604 REA983042:REA983140 RNW2:RNW100 RNW65538:RNW65636 RNW131074:RNW131172 RNW196610:RNW196708 RNW262146:RNW262244 RNW327682:RNW327780 RNW393218:RNW393316 RNW458754:RNW458852 RNW524290:RNW524388 RNW589826:RNW589924 RNW655362:RNW655460 RNW720898:RNW720996 RNW786434:RNW786532 RNW851970:RNW852068 RNW917506:RNW917604 RNW983042:RNW983140 RXS2:RXS100 RXS65538:RXS65636 RXS131074:RXS131172 RXS196610:RXS196708 RXS262146:RXS262244 RXS327682:RXS327780 RXS393218:RXS393316 RXS458754:RXS458852 RXS524290:RXS524388 RXS589826:RXS589924 RXS655362:RXS655460 RXS720898:RXS720996 RXS786434:RXS786532 RXS851970:RXS852068 RXS917506:RXS917604 RXS983042:RXS983140 SHO2:SHO100 SHO65538:SHO65636 SHO131074:SHO131172 SHO196610:SHO196708 SHO262146:SHO262244 SHO327682:SHO327780 SHO393218:SHO393316 SHO458754:SHO458852 SHO524290:SHO524388 SHO589826:SHO589924 SHO655362:SHO655460 SHO720898:SHO720996 SHO786434:SHO786532 SHO851970:SHO852068 SHO917506:SHO917604 SHO983042:SHO983140 SRK2:SRK100 SRK65538:SRK65636 SRK131074:SRK131172 SRK196610:SRK196708 SRK262146:SRK262244 SRK327682:SRK327780 SRK393218:SRK393316 SRK458754:SRK458852 SRK524290:SRK524388 SRK589826:SRK589924 SRK655362:SRK655460 SRK720898:SRK720996 SRK786434:SRK786532 SRK851970:SRK852068 SRK917506:SRK917604 SRK983042:SRK983140 TBG2:TBG100 TBG65538:TBG65636 TBG131074:TBG131172 TBG196610:TBG196708 TBG262146:TBG262244 TBG327682:TBG327780 TBG393218:TBG393316 TBG458754:TBG458852 TBG524290:TBG524388 TBG589826:TBG589924 TBG655362:TBG655460 TBG720898:TBG720996 TBG786434:TBG786532 TBG851970:TBG852068 TBG917506:TBG917604 TBG983042:TBG983140 TLC2:TLC100 TLC65538:TLC65636 TLC131074:TLC131172 TLC196610:TLC196708 TLC262146:TLC262244 TLC327682:TLC327780 TLC393218:TLC393316 TLC458754:TLC458852 TLC524290:TLC524388 TLC589826:TLC589924 TLC655362:TLC655460 TLC720898:TLC720996 TLC786434:TLC786532 TLC851970:TLC852068 TLC917506:TLC917604 TLC983042:TLC983140 TUY2:TUY100 TUY65538:TUY65636 TUY131074:TUY131172 TUY196610:TUY196708 TUY262146:TUY262244 TUY327682:TUY327780 TUY393218:TUY393316 TUY458754:TUY458852 TUY524290:TUY524388 TUY589826:TUY589924 TUY655362:TUY655460 TUY720898:TUY720996 TUY786434:TUY786532 TUY851970:TUY852068 TUY917506:TUY917604 TUY983042:TUY983140 UEU2:UEU100 UEU65538:UEU65636 UEU131074:UEU131172 UEU196610:UEU196708 UEU262146:UEU262244 UEU327682:UEU327780 UEU393218:UEU393316 UEU458754:UEU458852 UEU524290:UEU524388 UEU589826:UEU589924 UEU655362:UEU655460 UEU720898:UEU720996 UEU786434:UEU786532 UEU851970:UEU852068 UEU917506:UEU917604 UEU983042:UEU983140 UOQ2:UOQ100 UOQ65538:UOQ65636 UOQ131074:UOQ131172 UOQ196610:UOQ196708 UOQ262146:UOQ262244 UOQ327682:UOQ327780 UOQ393218:UOQ393316 UOQ458754:UOQ458852 UOQ524290:UOQ524388 UOQ589826:UOQ589924 UOQ655362:UOQ655460 UOQ720898:UOQ720996 UOQ786434:UOQ786532 UOQ851970:UOQ852068 UOQ917506:UOQ917604 UOQ983042:UOQ983140 UYM2:UYM100 UYM65538:UYM65636 UYM131074:UYM131172 UYM196610:UYM196708 UYM262146:UYM262244 UYM327682:UYM327780 UYM393218:UYM393316 UYM458754:UYM458852 UYM524290:UYM524388 UYM589826:UYM589924 UYM655362:UYM655460 UYM720898:UYM720996 UYM786434:UYM786532 UYM851970:UYM852068 UYM917506:UYM917604 UYM983042:UYM983140 VII2:VII100 VII65538:VII65636 VII131074:VII131172 VII196610:VII196708 VII262146:VII262244 VII327682:VII327780 VII393218:VII393316 VII458754:VII458852 VII524290:VII524388 VII589826:VII589924 VII655362:VII655460 VII720898:VII720996 VII786434:VII786532 VII851970:VII852068 VII917506:VII917604 VII983042:VII983140 VSE2:VSE100 VSE65538:VSE65636 VSE131074:VSE131172 VSE196610:VSE196708 VSE262146:VSE262244 VSE327682:VSE327780 VSE393218:VSE393316 VSE458754:VSE458852 VSE524290:VSE524388 VSE589826:VSE589924 VSE655362:VSE655460 VSE720898:VSE720996 VSE786434:VSE786532 VSE851970:VSE852068 VSE917506:VSE917604 VSE983042:VSE983140 WCA2:WCA100 WCA65538:WCA65636 WCA131074:WCA131172 WCA196610:WCA196708 WCA262146:WCA262244 WCA327682:WCA327780 WCA393218:WCA393316 WCA458754:WCA458852 WCA524290:WCA524388 WCA589826:WCA589924 WCA655362:WCA655460 WCA720898:WCA720996 WCA786434:WCA786532 WCA851970:WCA852068 WCA917506:WCA917604 WCA983042:WCA983140 WLW2:WLW100 WLW65538:WLW65636 WLW131074:WLW131172 WLW196610:WLW196708 WLW262146:WLW262244 WLW327682:WLW327780 WLW393218:WLW393316 WLW458754:WLW458852 WLW524290:WLW524388 WLW589826:WLW589924 WLW655362:WLW655460 WLW720898:WLW720996 WLW786434:WLW786532 WLW851970:WLW852068 WLW917506:WLW917604 WLW983042:WLW983140 WVS2:WVS100 WVS65538:WVS65636 WVS131074:WVS131172 WVS196610:WVS196708 WVS262146:WVS262244 WVS327682:WVS327780 WVS393218:WVS393316 WVS458754:WVS458852 WVS524290:WVS524388 WVS589826:WVS589924 WVS655362:WVS655460 WVS720898:WVS720996 WVS786434:WVS786532 WVS851970:WVS852068 WVS917506:WVS917604 WVS983042:WVS983140" xr:uid="{04EFF867-E7BE-445C-A07C-C5E39D7CBFAD}">
      <formula1>$AR$2:$AR$25</formula1>
    </dataValidation>
    <dataValidation type="list" allowBlank="1" showInputMessage="1" showErrorMessage="1" sqref="K64423:K64476 K129959:K130012 K195495:K195548 K261031:K261084 K326567:K326620 K392103:K392156 K457639:K457692 K523175:K523228 K588711:K588764 K654247:K654300 K719783:K719836 K785319:K785372 K850855:K850908 K916391:K916444 K981927:K981980 K1047463:K1047516 JG64423:JG64476 JG129959:JG130012 JG195495:JG195548 JG261031:JG261084 JG326567:JG326620 JG392103:JG392156 JG457639:JG457692 JG523175:JG523228 JG588711:JG588764 JG654247:JG654300 JG719783:JG719836 JG785319:JG785372 JG850855:JG850908 JG916391:JG916444 JG981927:JG981980 JG1047463:JG1047516 TC64423:TC64476 TC129959:TC130012 TC195495:TC195548 TC261031:TC261084 TC326567:TC326620 TC392103:TC392156 TC457639:TC457692 TC523175:TC523228 TC588711:TC588764 TC654247:TC654300 TC719783:TC719836 TC785319:TC785372 TC850855:TC850908 TC916391:TC916444 TC981927:TC981980 TC1047463:TC1047516 ACY64423:ACY64476 ACY129959:ACY130012 ACY195495:ACY195548 ACY261031:ACY261084 ACY326567:ACY326620 ACY392103:ACY392156 ACY457639:ACY457692 ACY523175:ACY523228 ACY588711:ACY588764 ACY654247:ACY654300 ACY719783:ACY719836 ACY785319:ACY785372 ACY850855:ACY850908 ACY916391:ACY916444 ACY981927:ACY981980 ACY1047463:ACY1047516 AMU64423:AMU64476 AMU129959:AMU130012 AMU195495:AMU195548 AMU261031:AMU261084 AMU326567:AMU326620 AMU392103:AMU392156 AMU457639:AMU457692 AMU523175:AMU523228 AMU588711:AMU588764 AMU654247:AMU654300 AMU719783:AMU719836 AMU785319:AMU785372 AMU850855:AMU850908 AMU916391:AMU916444 AMU981927:AMU981980 AMU1047463:AMU1047516 AWQ64423:AWQ64476 AWQ129959:AWQ130012 AWQ195495:AWQ195548 AWQ261031:AWQ261084 AWQ326567:AWQ326620 AWQ392103:AWQ392156 AWQ457639:AWQ457692 AWQ523175:AWQ523228 AWQ588711:AWQ588764 AWQ654247:AWQ654300 AWQ719783:AWQ719836 AWQ785319:AWQ785372 AWQ850855:AWQ850908 AWQ916391:AWQ916444 AWQ981927:AWQ981980 AWQ1047463:AWQ1047516 BGM64423:BGM64476 BGM129959:BGM130012 BGM195495:BGM195548 BGM261031:BGM261084 BGM326567:BGM326620 BGM392103:BGM392156 BGM457639:BGM457692 BGM523175:BGM523228 BGM588711:BGM588764 BGM654247:BGM654300 BGM719783:BGM719836 BGM785319:BGM785372 BGM850855:BGM850908 BGM916391:BGM916444 BGM981927:BGM981980 BGM1047463:BGM1047516 BQI64423:BQI64476 BQI129959:BQI130012 BQI195495:BQI195548 BQI261031:BQI261084 BQI326567:BQI326620 BQI392103:BQI392156 BQI457639:BQI457692 BQI523175:BQI523228 BQI588711:BQI588764 BQI654247:BQI654300 BQI719783:BQI719836 BQI785319:BQI785372 BQI850855:BQI850908 BQI916391:BQI916444 BQI981927:BQI981980 BQI1047463:BQI1047516 CAE64423:CAE64476 CAE129959:CAE130012 CAE195495:CAE195548 CAE261031:CAE261084 CAE326567:CAE326620 CAE392103:CAE392156 CAE457639:CAE457692 CAE523175:CAE523228 CAE588711:CAE588764 CAE654247:CAE654300 CAE719783:CAE719836 CAE785319:CAE785372 CAE850855:CAE850908 CAE916391:CAE916444 CAE981927:CAE981980 CAE1047463:CAE1047516 CKA64423:CKA64476 CKA129959:CKA130012 CKA195495:CKA195548 CKA261031:CKA261084 CKA326567:CKA326620 CKA392103:CKA392156 CKA457639:CKA457692 CKA523175:CKA523228 CKA588711:CKA588764 CKA654247:CKA654300 CKA719783:CKA719836 CKA785319:CKA785372 CKA850855:CKA850908 CKA916391:CKA916444 CKA981927:CKA981980 CKA1047463:CKA1047516 CTW64423:CTW64476 CTW129959:CTW130012 CTW195495:CTW195548 CTW261031:CTW261084 CTW326567:CTW326620 CTW392103:CTW392156 CTW457639:CTW457692 CTW523175:CTW523228 CTW588711:CTW588764 CTW654247:CTW654300 CTW719783:CTW719836 CTW785319:CTW785372 CTW850855:CTW850908 CTW916391:CTW916444 CTW981927:CTW981980 CTW1047463:CTW1047516 DDS64423:DDS64476 DDS129959:DDS130012 DDS195495:DDS195548 DDS261031:DDS261084 DDS326567:DDS326620 DDS392103:DDS392156 DDS457639:DDS457692 DDS523175:DDS523228 DDS588711:DDS588764 DDS654247:DDS654300 DDS719783:DDS719836 DDS785319:DDS785372 DDS850855:DDS850908 DDS916391:DDS916444 DDS981927:DDS981980 DDS1047463:DDS1047516 DNO64423:DNO64476 DNO129959:DNO130012 DNO195495:DNO195548 DNO261031:DNO261084 DNO326567:DNO326620 DNO392103:DNO392156 DNO457639:DNO457692 DNO523175:DNO523228 DNO588711:DNO588764 DNO654247:DNO654300 DNO719783:DNO719836 DNO785319:DNO785372 DNO850855:DNO850908 DNO916391:DNO916444 DNO981927:DNO981980 DNO1047463:DNO1047516 DXK64423:DXK64476 DXK129959:DXK130012 DXK195495:DXK195548 DXK261031:DXK261084 DXK326567:DXK326620 DXK392103:DXK392156 DXK457639:DXK457692 DXK523175:DXK523228 DXK588711:DXK588764 DXK654247:DXK654300 DXK719783:DXK719836 DXK785319:DXK785372 DXK850855:DXK850908 DXK916391:DXK916444 DXK981927:DXK981980 DXK1047463:DXK1047516 EHG64423:EHG64476 EHG129959:EHG130012 EHG195495:EHG195548 EHG261031:EHG261084 EHG326567:EHG326620 EHG392103:EHG392156 EHG457639:EHG457692 EHG523175:EHG523228 EHG588711:EHG588764 EHG654247:EHG654300 EHG719783:EHG719836 EHG785319:EHG785372 EHG850855:EHG850908 EHG916391:EHG916444 EHG981927:EHG981980 EHG1047463:EHG1047516 ERC64423:ERC64476 ERC129959:ERC130012 ERC195495:ERC195548 ERC261031:ERC261084 ERC326567:ERC326620 ERC392103:ERC392156 ERC457639:ERC457692 ERC523175:ERC523228 ERC588711:ERC588764 ERC654247:ERC654300 ERC719783:ERC719836 ERC785319:ERC785372 ERC850855:ERC850908 ERC916391:ERC916444 ERC981927:ERC981980 ERC1047463:ERC1047516 FAY64423:FAY64476 FAY129959:FAY130012 FAY195495:FAY195548 FAY261031:FAY261084 FAY326567:FAY326620 FAY392103:FAY392156 FAY457639:FAY457692 FAY523175:FAY523228 FAY588711:FAY588764 FAY654247:FAY654300 FAY719783:FAY719836 FAY785319:FAY785372 FAY850855:FAY850908 FAY916391:FAY916444 FAY981927:FAY981980 FAY1047463:FAY1047516 FKU64423:FKU64476 FKU129959:FKU130012 FKU195495:FKU195548 FKU261031:FKU261084 FKU326567:FKU326620 FKU392103:FKU392156 FKU457639:FKU457692 FKU523175:FKU523228 FKU588711:FKU588764 FKU654247:FKU654300 FKU719783:FKU719836 FKU785319:FKU785372 FKU850855:FKU850908 FKU916391:FKU916444 FKU981927:FKU981980 FKU1047463:FKU1047516 FUQ64423:FUQ64476 FUQ129959:FUQ130012 FUQ195495:FUQ195548 FUQ261031:FUQ261084 FUQ326567:FUQ326620 FUQ392103:FUQ392156 FUQ457639:FUQ457692 FUQ523175:FUQ523228 FUQ588711:FUQ588764 FUQ654247:FUQ654300 FUQ719783:FUQ719836 FUQ785319:FUQ785372 FUQ850855:FUQ850908 FUQ916391:FUQ916444 FUQ981927:FUQ981980 FUQ1047463:FUQ1047516 GEM64423:GEM64476 GEM129959:GEM130012 GEM195495:GEM195548 GEM261031:GEM261084 GEM326567:GEM326620 GEM392103:GEM392156 GEM457639:GEM457692 GEM523175:GEM523228 GEM588711:GEM588764 GEM654247:GEM654300 GEM719783:GEM719836 GEM785319:GEM785372 GEM850855:GEM850908 GEM916391:GEM916444 GEM981927:GEM981980 GEM1047463:GEM1047516 GOI64423:GOI64476 GOI129959:GOI130012 GOI195495:GOI195548 GOI261031:GOI261084 GOI326567:GOI326620 GOI392103:GOI392156 GOI457639:GOI457692 GOI523175:GOI523228 GOI588711:GOI588764 GOI654247:GOI654300 GOI719783:GOI719836 GOI785319:GOI785372 GOI850855:GOI850908 GOI916391:GOI916444 GOI981927:GOI981980 GOI1047463:GOI1047516 GYE64423:GYE64476 GYE129959:GYE130012 GYE195495:GYE195548 GYE261031:GYE261084 GYE326567:GYE326620 GYE392103:GYE392156 GYE457639:GYE457692 GYE523175:GYE523228 GYE588711:GYE588764 GYE654247:GYE654300 GYE719783:GYE719836 GYE785319:GYE785372 GYE850855:GYE850908 GYE916391:GYE916444 GYE981927:GYE981980 GYE1047463:GYE1047516 HIA64423:HIA64476 HIA129959:HIA130012 HIA195495:HIA195548 HIA261031:HIA261084 HIA326567:HIA326620 HIA392103:HIA392156 HIA457639:HIA457692 HIA523175:HIA523228 HIA588711:HIA588764 HIA654247:HIA654300 HIA719783:HIA719836 HIA785319:HIA785372 HIA850855:HIA850908 HIA916391:HIA916444 HIA981927:HIA981980 HIA1047463:HIA1047516 HRW64423:HRW64476 HRW129959:HRW130012 HRW195495:HRW195548 HRW261031:HRW261084 HRW326567:HRW326620 HRW392103:HRW392156 HRW457639:HRW457692 HRW523175:HRW523228 HRW588711:HRW588764 HRW654247:HRW654300 HRW719783:HRW719836 HRW785319:HRW785372 HRW850855:HRW850908 HRW916391:HRW916444 HRW981927:HRW981980 HRW1047463:HRW1047516 IBS64423:IBS64476 IBS129959:IBS130012 IBS195495:IBS195548 IBS261031:IBS261084 IBS326567:IBS326620 IBS392103:IBS392156 IBS457639:IBS457692 IBS523175:IBS523228 IBS588711:IBS588764 IBS654247:IBS654300 IBS719783:IBS719836 IBS785319:IBS785372 IBS850855:IBS850908 IBS916391:IBS916444 IBS981927:IBS981980 IBS1047463:IBS1047516 ILO64423:ILO64476 ILO129959:ILO130012 ILO195495:ILO195548 ILO261031:ILO261084 ILO326567:ILO326620 ILO392103:ILO392156 ILO457639:ILO457692 ILO523175:ILO523228 ILO588711:ILO588764 ILO654247:ILO654300 ILO719783:ILO719836 ILO785319:ILO785372 ILO850855:ILO850908 ILO916391:ILO916444 ILO981927:ILO981980 ILO1047463:ILO1047516 IVK64423:IVK64476 IVK129959:IVK130012 IVK195495:IVK195548 IVK261031:IVK261084 IVK326567:IVK326620 IVK392103:IVK392156 IVK457639:IVK457692 IVK523175:IVK523228 IVK588711:IVK588764 IVK654247:IVK654300 IVK719783:IVK719836 IVK785319:IVK785372 IVK850855:IVK850908 IVK916391:IVK916444 IVK981927:IVK981980 IVK1047463:IVK1047516 JFG64423:JFG64476 JFG129959:JFG130012 JFG195495:JFG195548 JFG261031:JFG261084 JFG326567:JFG326620 JFG392103:JFG392156 JFG457639:JFG457692 JFG523175:JFG523228 JFG588711:JFG588764 JFG654247:JFG654300 JFG719783:JFG719836 JFG785319:JFG785372 JFG850855:JFG850908 JFG916391:JFG916444 JFG981927:JFG981980 JFG1047463:JFG1047516 JPC64423:JPC64476 JPC129959:JPC130012 JPC195495:JPC195548 JPC261031:JPC261084 JPC326567:JPC326620 JPC392103:JPC392156 JPC457639:JPC457692 JPC523175:JPC523228 JPC588711:JPC588764 JPC654247:JPC654300 JPC719783:JPC719836 JPC785319:JPC785372 JPC850855:JPC850908 JPC916391:JPC916444 JPC981927:JPC981980 JPC1047463:JPC1047516 JYY64423:JYY64476 JYY129959:JYY130012 JYY195495:JYY195548 JYY261031:JYY261084 JYY326567:JYY326620 JYY392103:JYY392156 JYY457639:JYY457692 JYY523175:JYY523228 JYY588711:JYY588764 JYY654247:JYY654300 JYY719783:JYY719836 JYY785319:JYY785372 JYY850855:JYY850908 JYY916391:JYY916444 JYY981927:JYY981980 JYY1047463:JYY1047516 KIU64423:KIU64476 KIU129959:KIU130012 KIU195495:KIU195548 KIU261031:KIU261084 KIU326567:KIU326620 KIU392103:KIU392156 KIU457639:KIU457692 KIU523175:KIU523228 KIU588711:KIU588764 KIU654247:KIU654300 KIU719783:KIU719836 KIU785319:KIU785372 KIU850855:KIU850908 KIU916391:KIU916444 KIU981927:KIU981980 KIU1047463:KIU1047516 KSQ64423:KSQ64476 KSQ129959:KSQ130012 KSQ195495:KSQ195548 KSQ261031:KSQ261084 KSQ326567:KSQ326620 KSQ392103:KSQ392156 KSQ457639:KSQ457692 KSQ523175:KSQ523228 KSQ588711:KSQ588764 KSQ654247:KSQ654300 KSQ719783:KSQ719836 KSQ785319:KSQ785372 KSQ850855:KSQ850908 KSQ916391:KSQ916444 KSQ981927:KSQ981980 KSQ1047463:KSQ1047516 LCM64423:LCM64476 LCM129959:LCM130012 LCM195495:LCM195548 LCM261031:LCM261084 LCM326567:LCM326620 LCM392103:LCM392156 LCM457639:LCM457692 LCM523175:LCM523228 LCM588711:LCM588764 LCM654247:LCM654300 LCM719783:LCM719836 LCM785319:LCM785372 LCM850855:LCM850908 LCM916391:LCM916444 LCM981927:LCM981980 LCM1047463:LCM1047516 LMI64423:LMI64476 LMI129959:LMI130012 LMI195495:LMI195548 LMI261031:LMI261084 LMI326567:LMI326620 LMI392103:LMI392156 LMI457639:LMI457692 LMI523175:LMI523228 LMI588711:LMI588764 LMI654247:LMI654300 LMI719783:LMI719836 LMI785319:LMI785372 LMI850855:LMI850908 LMI916391:LMI916444 LMI981927:LMI981980 LMI1047463:LMI1047516 LWE64423:LWE64476 LWE129959:LWE130012 LWE195495:LWE195548 LWE261031:LWE261084 LWE326567:LWE326620 LWE392103:LWE392156 LWE457639:LWE457692 LWE523175:LWE523228 LWE588711:LWE588764 LWE654247:LWE654300 LWE719783:LWE719836 LWE785319:LWE785372 LWE850855:LWE850908 LWE916391:LWE916444 LWE981927:LWE981980 LWE1047463:LWE1047516 MGA64423:MGA64476 MGA129959:MGA130012 MGA195495:MGA195548 MGA261031:MGA261084 MGA326567:MGA326620 MGA392103:MGA392156 MGA457639:MGA457692 MGA523175:MGA523228 MGA588711:MGA588764 MGA654247:MGA654300 MGA719783:MGA719836 MGA785319:MGA785372 MGA850855:MGA850908 MGA916391:MGA916444 MGA981927:MGA981980 MGA1047463:MGA1047516 MPW64423:MPW64476 MPW129959:MPW130012 MPW195495:MPW195548 MPW261031:MPW261084 MPW326567:MPW326620 MPW392103:MPW392156 MPW457639:MPW457692 MPW523175:MPW523228 MPW588711:MPW588764 MPW654247:MPW654300 MPW719783:MPW719836 MPW785319:MPW785372 MPW850855:MPW850908 MPW916391:MPW916444 MPW981927:MPW981980 MPW1047463:MPW1047516 MZS64423:MZS64476 MZS129959:MZS130012 MZS195495:MZS195548 MZS261031:MZS261084 MZS326567:MZS326620 MZS392103:MZS392156 MZS457639:MZS457692 MZS523175:MZS523228 MZS588711:MZS588764 MZS654247:MZS654300 MZS719783:MZS719836 MZS785319:MZS785372 MZS850855:MZS850908 MZS916391:MZS916444 MZS981927:MZS981980 MZS1047463:MZS1047516 NJO64423:NJO64476 NJO129959:NJO130012 NJO195495:NJO195548 NJO261031:NJO261084 NJO326567:NJO326620 NJO392103:NJO392156 NJO457639:NJO457692 NJO523175:NJO523228 NJO588711:NJO588764 NJO654247:NJO654300 NJO719783:NJO719836 NJO785319:NJO785372 NJO850855:NJO850908 NJO916391:NJO916444 NJO981927:NJO981980 NJO1047463:NJO1047516 NTK64423:NTK64476 NTK129959:NTK130012 NTK195495:NTK195548 NTK261031:NTK261084 NTK326567:NTK326620 NTK392103:NTK392156 NTK457639:NTK457692 NTK523175:NTK523228 NTK588711:NTK588764 NTK654247:NTK654300 NTK719783:NTK719836 NTK785319:NTK785372 NTK850855:NTK850908 NTK916391:NTK916444 NTK981927:NTK981980 NTK1047463:NTK1047516 ODG64423:ODG64476 ODG129959:ODG130012 ODG195495:ODG195548 ODG261031:ODG261084 ODG326567:ODG326620 ODG392103:ODG392156 ODG457639:ODG457692 ODG523175:ODG523228 ODG588711:ODG588764 ODG654247:ODG654300 ODG719783:ODG719836 ODG785319:ODG785372 ODG850855:ODG850908 ODG916391:ODG916444 ODG981927:ODG981980 ODG1047463:ODG1047516 ONC64423:ONC64476 ONC129959:ONC130012 ONC195495:ONC195548 ONC261031:ONC261084 ONC326567:ONC326620 ONC392103:ONC392156 ONC457639:ONC457692 ONC523175:ONC523228 ONC588711:ONC588764 ONC654247:ONC654300 ONC719783:ONC719836 ONC785319:ONC785372 ONC850855:ONC850908 ONC916391:ONC916444 ONC981927:ONC981980 ONC1047463:ONC1047516 OWY64423:OWY64476 OWY129959:OWY130012 OWY195495:OWY195548 OWY261031:OWY261084 OWY326567:OWY326620 OWY392103:OWY392156 OWY457639:OWY457692 OWY523175:OWY523228 OWY588711:OWY588764 OWY654247:OWY654300 OWY719783:OWY719836 OWY785319:OWY785372 OWY850855:OWY850908 OWY916391:OWY916444 OWY981927:OWY981980 OWY1047463:OWY1047516 PGU64423:PGU64476 PGU129959:PGU130012 PGU195495:PGU195548 PGU261031:PGU261084 PGU326567:PGU326620 PGU392103:PGU392156 PGU457639:PGU457692 PGU523175:PGU523228 PGU588711:PGU588764 PGU654247:PGU654300 PGU719783:PGU719836 PGU785319:PGU785372 PGU850855:PGU850908 PGU916391:PGU916444 PGU981927:PGU981980 PGU1047463:PGU1047516 PQQ64423:PQQ64476 PQQ129959:PQQ130012 PQQ195495:PQQ195548 PQQ261031:PQQ261084 PQQ326567:PQQ326620 PQQ392103:PQQ392156 PQQ457639:PQQ457692 PQQ523175:PQQ523228 PQQ588711:PQQ588764 PQQ654247:PQQ654300 PQQ719783:PQQ719836 PQQ785319:PQQ785372 PQQ850855:PQQ850908 PQQ916391:PQQ916444 PQQ981927:PQQ981980 PQQ1047463:PQQ1047516 QAM64423:QAM64476 QAM129959:QAM130012 QAM195495:QAM195548 QAM261031:QAM261084 QAM326567:QAM326620 QAM392103:QAM392156 QAM457639:QAM457692 QAM523175:QAM523228 QAM588711:QAM588764 QAM654247:QAM654300 QAM719783:QAM719836 QAM785319:QAM785372 QAM850855:QAM850908 QAM916391:QAM916444 QAM981927:QAM981980 QAM1047463:QAM1047516 QKI64423:QKI64476 QKI129959:QKI130012 QKI195495:QKI195548 QKI261031:QKI261084 QKI326567:QKI326620 QKI392103:QKI392156 QKI457639:QKI457692 QKI523175:QKI523228 QKI588711:QKI588764 QKI654247:QKI654300 QKI719783:QKI719836 QKI785319:QKI785372 QKI850855:QKI850908 QKI916391:QKI916444 QKI981927:QKI981980 QKI1047463:QKI1047516 QUE64423:QUE64476 QUE129959:QUE130012 QUE195495:QUE195548 QUE261031:QUE261084 QUE326567:QUE326620 QUE392103:QUE392156 QUE457639:QUE457692 QUE523175:QUE523228 QUE588711:QUE588764 QUE654247:QUE654300 QUE719783:QUE719836 QUE785319:QUE785372 QUE850855:QUE850908 QUE916391:QUE916444 QUE981927:QUE981980 QUE1047463:QUE1047516 REA64423:REA64476 REA129959:REA130012 REA195495:REA195548 REA261031:REA261084 REA326567:REA326620 REA392103:REA392156 REA457639:REA457692 REA523175:REA523228 REA588711:REA588764 REA654247:REA654300 REA719783:REA719836 REA785319:REA785372 REA850855:REA850908 REA916391:REA916444 REA981927:REA981980 REA1047463:REA1047516 RNW64423:RNW64476 RNW129959:RNW130012 RNW195495:RNW195548 RNW261031:RNW261084 RNW326567:RNW326620 RNW392103:RNW392156 RNW457639:RNW457692 RNW523175:RNW523228 RNW588711:RNW588764 RNW654247:RNW654300 RNW719783:RNW719836 RNW785319:RNW785372 RNW850855:RNW850908 RNW916391:RNW916444 RNW981927:RNW981980 RNW1047463:RNW1047516 RXS64423:RXS64476 RXS129959:RXS130012 RXS195495:RXS195548 RXS261031:RXS261084 RXS326567:RXS326620 RXS392103:RXS392156 RXS457639:RXS457692 RXS523175:RXS523228 RXS588711:RXS588764 RXS654247:RXS654300 RXS719783:RXS719836 RXS785319:RXS785372 RXS850855:RXS850908 RXS916391:RXS916444 RXS981927:RXS981980 RXS1047463:RXS1047516 SHO64423:SHO64476 SHO129959:SHO130012 SHO195495:SHO195548 SHO261031:SHO261084 SHO326567:SHO326620 SHO392103:SHO392156 SHO457639:SHO457692 SHO523175:SHO523228 SHO588711:SHO588764 SHO654247:SHO654300 SHO719783:SHO719836 SHO785319:SHO785372 SHO850855:SHO850908 SHO916391:SHO916444 SHO981927:SHO981980 SHO1047463:SHO1047516 SRK64423:SRK64476 SRK129959:SRK130012 SRK195495:SRK195548 SRK261031:SRK261084 SRK326567:SRK326620 SRK392103:SRK392156 SRK457639:SRK457692 SRK523175:SRK523228 SRK588711:SRK588764 SRK654247:SRK654300 SRK719783:SRK719836 SRK785319:SRK785372 SRK850855:SRK850908 SRK916391:SRK916444 SRK981927:SRK981980 SRK1047463:SRK1047516 TBG64423:TBG64476 TBG129959:TBG130012 TBG195495:TBG195548 TBG261031:TBG261084 TBG326567:TBG326620 TBG392103:TBG392156 TBG457639:TBG457692 TBG523175:TBG523228 TBG588711:TBG588764 TBG654247:TBG654300 TBG719783:TBG719836 TBG785319:TBG785372 TBG850855:TBG850908 TBG916391:TBG916444 TBG981927:TBG981980 TBG1047463:TBG1047516 TLC64423:TLC64476 TLC129959:TLC130012 TLC195495:TLC195548 TLC261031:TLC261084 TLC326567:TLC326620 TLC392103:TLC392156 TLC457639:TLC457692 TLC523175:TLC523228 TLC588711:TLC588764 TLC654247:TLC654300 TLC719783:TLC719836 TLC785319:TLC785372 TLC850855:TLC850908 TLC916391:TLC916444 TLC981927:TLC981980 TLC1047463:TLC1047516 TUY64423:TUY64476 TUY129959:TUY130012 TUY195495:TUY195548 TUY261031:TUY261084 TUY326567:TUY326620 TUY392103:TUY392156 TUY457639:TUY457692 TUY523175:TUY523228 TUY588711:TUY588764 TUY654247:TUY654300 TUY719783:TUY719836 TUY785319:TUY785372 TUY850855:TUY850908 TUY916391:TUY916444 TUY981927:TUY981980 TUY1047463:TUY1047516 UEU64423:UEU64476 UEU129959:UEU130012 UEU195495:UEU195548 UEU261031:UEU261084 UEU326567:UEU326620 UEU392103:UEU392156 UEU457639:UEU457692 UEU523175:UEU523228 UEU588711:UEU588764 UEU654247:UEU654300 UEU719783:UEU719836 UEU785319:UEU785372 UEU850855:UEU850908 UEU916391:UEU916444 UEU981927:UEU981980 UEU1047463:UEU1047516 UOQ64423:UOQ64476 UOQ129959:UOQ130012 UOQ195495:UOQ195548 UOQ261031:UOQ261084 UOQ326567:UOQ326620 UOQ392103:UOQ392156 UOQ457639:UOQ457692 UOQ523175:UOQ523228 UOQ588711:UOQ588764 UOQ654247:UOQ654300 UOQ719783:UOQ719836 UOQ785319:UOQ785372 UOQ850855:UOQ850908 UOQ916391:UOQ916444 UOQ981927:UOQ981980 UOQ1047463:UOQ1047516 UYM64423:UYM64476 UYM129959:UYM130012 UYM195495:UYM195548 UYM261031:UYM261084 UYM326567:UYM326620 UYM392103:UYM392156 UYM457639:UYM457692 UYM523175:UYM523228 UYM588711:UYM588764 UYM654247:UYM654300 UYM719783:UYM719836 UYM785319:UYM785372 UYM850855:UYM850908 UYM916391:UYM916444 UYM981927:UYM981980 UYM1047463:UYM1047516 VII64423:VII64476 VII129959:VII130012 VII195495:VII195548 VII261031:VII261084 VII326567:VII326620 VII392103:VII392156 VII457639:VII457692 VII523175:VII523228 VII588711:VII588764 VII654247:VII654300 VII719783:VII719836 VII785319:VII785372 VII850855:VII850908 VII916391:VII916444 VII981927:VII981980 VII1047463:VII1047516 VSE64423:VSE64476 VSE129959:VSE130012 VSE195495:VSE195548 VSE261031:VSE261084 VSE326567:VSE326620 VSE392103:VSE392156 VSE457639:VSE457692 VSE523175:VSE523228 VSE588711:VSE588764 VSE654247:VSE654300 VSE719783:VSE719836 VSE785319:VSE785372 VSE850855:VSE850908 VSE916391:VSE916444 VSE981927:VSE981980 VSE1047463:VSE1047516 WCA64423:WCA64476 WCA129959:WCA130012 WCA195495:WCA195548 WCA261031:WCA261084 WCA326567:WCA326620 WCA392103:WCA392156 WCA457639:WCA457692 WCA523175:WCA523228 WCA588711:WCA588764 WCA654247:WCA654300 WCA719783:WCA719836 WCA785319:WCA785372 WCA850855:WCA850908 WCA916391:WCA916444 WCA981927:WCA981980 WCA1047463:WCA1047516 WLW64423:WLW64476 WLW129959:WLW130012 WLW195495:WLW195548 WLW261031:WLW261084 WLW326567:WLW326620 WLW392103:WLW392156 WLW457639:WLW457692 WLW523175:WLW523228 WLW588711:WLW588764 WLW654247:WLW654300 WLW719783:WLW719836 WLW785319:WLW785372 WLW850855:WLW850908 WLW916391:WLW916444 WLW981927:WLW981980 WLW1047463:WLW1047516 WVS64423:WVS64476 WVS129959:WVS130012 WVS195495:WVS195548 WVS261031:WVS261084 WVS326567:WVS326620 WVS392103:WVS392156 WVS457639:WVS457692 WVS523175:WVS523228 WVS588711:WVS588764 WVS654247:WVS654300 WVS719783:WVS719836 WVS785319:WVS785372 WVS850855:WVS850908 WVS916391:WVS916444 WVS981927:WVS981980 WVS1047463:WVS1047516" xr:uid="{58DBF33D-DF94-49A6-BD7C-9318FBE150EC}">
      <formula1>$AR$2:$AR$21</formula1>
    </dataValidation>
    <dataValidation type="list" allowBlank="1" showInputMessage="1" showErrorMessage="1" sqref="J64423:J64476 J129959:J130012 J195495:J195548 J261031:J261084 J326567:J326620 J392103:J392156 J457639:J457692 J523175:J523228 J588711:J588764 J654247:J654300 J719783:J719836 J785319:J785372 J850855:J850908 J916391:J916444 J981927:J981980 J1047463:J1047516 JF64423:JF64476 JF129959:JF130012 JF195495:JF195548 JF261031:JF261084 JF326567:JF326620 JF392103:JF392156 JF457639:JF457692 JF523175:JF523228 JF588711:JF588764 JF654247:JF654300 JF719783:JF719836 JF785319:JF785372 JF850855:JF850908 JF916391:JF916444 JF981927:JF981980 JF1047463:JF1047516 TB64423:TB64476 TB129959:TB130012 TB195495:TB195548 TB261031:TB261084 TB326567:TB326620 TB392103:TB392156 TB457639:TB457692 TB523175:TB523228 TB588711:TB588764 TB654247:TB654300 TB719783:TB719836 TB785319:TB785372 TB850855:TB850908 TB916391:TB916444 TB981927:TB981980 TB1047463:TB1047516 ACX64423:ACX64476 ACX129959:ACX130012 ACX195495:ACX195548 ACX261031:ACX261084 ACX326567:ACX326620 ACX392103:ACX392156 ACX457639:ACX457692 ACX523175:ACX523228 ACX588711:ACX588764 ACX654247:ACX654300 ACX719783:ACX719836 ACX785319:ACX785372 ACX850855:ACX850908 ACX916391:ACX916444 ACX981927:ACX981980 ACX1047463:ACX1047516 AMT64423:AMT64476 AMT129959:AMT130012 AMT195495:AMT195548 AMT261031:AMT261084 AMT326567:AMT326620 AMT392103:AMT392156 AMT457639:AMT457692 AMT523175:AMT523228 AMT588711:AMT588764 AMT654247:AMT654300 AMT719783:AMT719836 AMT785319:AMT785372 AMT850855:AMT850908 AMT916391:AMT916444 AMT981927:AMT981980 AMT1047463:AMT1047516 AWP64423:AWP64476 AWP129959:AWP130012 AWP195495:AWP195548 AWP261031:AWP261084 AWP326567:AWP326620 AWP392103:AWP392156 AWP457639:AWP457692 AWP523175:AWP523228 AWP588711:AWP588764 AWP654247:AWP654300 AWP719783:AWP719836 AWP785319:AWP785372 AWP850855:AWP850908 AWP916391:AWP916444 AWP981927:AWP981980 AWP1047463:AWP1047516 BGL64423:BGL64476 BGL129959:BGL130012 BGL195495:BGL195548 BGL261031:BGL261084 BGL326567:BGL326620 BGL392103:BGL392156 BGL457639:BGL457692 BGL523175:BGL523228 BGL588711:BGL588764 BGL654247:BGL654300 BGL719783:BGL719836 BGL785319:BGL785372 BGL850855:BGL850908 BGL916391:BGL916444 BGL981927:BGL981980 BGL1047463:BGL1047516 BQH64423:BQH64476 BQH129959:BQH130012 BQH195495:BQH195548 BQH261031:BQH261084 BQH326567:BQH326620 BQH392103:BQH392156 BQH457639:BQH457692 BQH523175:BQH523228 BQH588711:BQH588764 BQH654247:BQH654300 BQH719783:BQH719836 BQH785319:BQH785372 BQH850855:BQH850908 BQH916391:BQH916444 BQH981927:BQH981980 BQH1047463:BQH1047516 CAD64423:CAD64476 CAD129959:CAD130012 CAD195495:CAD195548 CAD261031:CAD261084 CAD326567:CAD326620 CAD392103:CAD392156 CAD457639:CAD457692 CAD523175:CAD523228 CAD588711:CAD588764 CAD654247:CAD654300 CAD719783:CAD719836 CAD785319:CAD785372 CAD850855:CAD850908 CAD916391:CAD916444 CAD981927:CAD981980 CAD1047463:CAD1047516 CJZ64423:CJZ64476 CJZ129959:CJZ130012 CJZ195495:CJZ195548 CJZ261031:CJZ261084 CJZ326567:CJZ326620 CJZ392103:CJZ392156 CJZ457639:CJZ457692 CJZ523175:CJZ523228 CJZ588711:CJZ588764 CJZ654247:CJZ654300 CJZ719783:CJZ719836 CJZ785319:CJZ785372 CJZ850855:CJZ850908 CJZ916391:CJZ916444 CJZ981927:CJZ981980 CJZ1047463:CJZ1047516 CTV64423:CTV64476 CTV129959:CTV130012 CTV195495:CTV195548 CTV261031:CTV261084 CTV326567:CTV326620 CTV392103:CTV392156 CTV457639:CTV457692 CTV523175:CTV523228 CTV588711:CTV588764 CTV654247:CTV654300 CTV719783:CTV719836 CTV785319:CTV785372 CTV850855:CTV850908 CTV916391:CTV916444 CTV981927:CTV981980 CTV1047463:CTV1047516 DDR64423:DDR64476 DDR129959:DDR130012 DDR195495:DDR195548 DDR261031:DDR261084 DDR326567:DDR326620 DDR392103:DDR392156 DDR457639:DDR457692 DDR523175:DDR523228 DDR588711:DDR588764 DDR654247:DDR654300 DDR719783:DDR719836 DDR785319:DDR785372 DDR850855:DDR850908 DDR916391:DDR916444 DDR981927:DDR981980 DDR1047463:DDR1047516 DNN64423:DNN64476 DNN129959:DNN130012 DNN195495:DNN195548 DNN261031:DNN261084 DNN326567:DNN326620 DNN392103:DNN392156 DNN457639:DNN457692 DNN523175:DNN523228 DNN588711:DNN588764 DNN654247:DNN654300 DNN719783:DNN719836 DNN785319:DNN785372 DNN850855:DNN850908 DNN916391:DNN916444 DNN981927:DNN981980 DNN1047463:DNN1047516 DXJ64423:DXJ64476 DXJ129959:DXJ130012 DXJ195495:DXJ195548 DXJ261031:DXJ261084 DXJ326567:DXJ326620 DXJ392103:DXJ392156 DXJ457639:DXJ457692 DXJ523175:DXJ523228 DXJ588711:DXJ588764 DXJ654247:DXJ654300 DXJ719783:DXJ719836 DXJ785319:DXJ785372 DXJ850855:DXJ850908 DXJ916391:DXJ916444 DXJ981927:DXJ981980 DXJ1047463:DXJ1047516 EHF64423:EHF64476 EHF129959:EHF130012 EHF195495:EHF195548 EHF261031:EHF261084 EHF326567:EHF326620 EHF392103:EHF392156 EHF457639:EHF457692 EHF523175:EHF523228 EHF588711:EHF588764 EHF654247:EHF654300 EHF719783:EHF719836 EHF785319:EHF785372 EHF850855:EHF850908 EHF916391:EHF916444 EHF981927:EHF981980 EHF1047463:EHF1047516 ERB64423:ERB64476 ERB129959:ERB130012 ERB195495:ERB195548 ERB261031:ERB261084 ERB326567:ERB326620 ERB392103:ERB392156 ERB457639:ERB457692 ERB523175:ERB523228 ERB588711:ERB588764 ERB654247:ERB654300 ERB719783:ERB719836 ERB785319:ERB785372 ERB850855:ERB850908 ERB916391:ERB916444 ERB981927:ERB981980 ERB1047463:ERB1047516 FAX64423:FAX64476 FAX129959:FAX130012 FAX195495:FAX195548 FAX261031:FAX261084 FAX326567:FAX326620 FAX392103:FAX392156 FAX457639:FAX457692 FAX523175:FAX523228 FAX588711:FAX588764 FAX654247:FAX654300 FAX719783:FAX719836 FAX785319:FAX785372 FAX850855:FAX850908 FAX916391:FAX916444 FAX981927:FAX981980 FAX1047463:FAX1047516 FKT64423:FKT64476 FKT129959:FKT130012 FKT195495:FKT195548 FKT261031:FKT261084 FKT326567:FKT326620 FKT392103:FKT392156 FKT457639:FKT457692 FKT523175:FKT523228 FKT588711:FKT588764 FKT654247:FKT654300 FKT719783:FKT719836 FKT785319:FKT785372 FKT850855:FKT850908 FKT916391:FKT916444 FKT981927:FKT981980 FKT1047463:FKT1047516 FUP64423:FUP64476 FUP129959:FUP130012 FUP195495:FUP195548 FUP261031:FUP261084 FUP326567:FUP326620 FUP392103:FUP392156 FUP457639:FUP457692 FUP523175:FUP523228 FUP588711:FUP588764 FUP654247:FUP654300 FUP719783:FUP719836 FUP785319:FUP785372 FUP850855:FUP850908 FUP916391:FUP916444 FUP981927:FUP981980 FUP1047463:FUP1047516 GEL64423:GEL64476 GEL129959:GEL130012 GEL195495:GEL195548 GEL261031:GEL261084 GEL326567:GEL326620 GEL392103:GEL392156 GEL457639:GEL457692 GEL523175:GEL523228 GEL588711:GEL588764 GEL654247:GEL654300 GEL719783:GEL719836 GEL785319:GEL785372 GEL850855:GEL850908 GEL916391:GEL916444 GEL981927:GEL981980 GEL1047463:GEL1047516 GOH64423:GOH64476 GOH129959:GOH130012 GOH195495:GOH195548 GOH261031:GOH261084 GOH326567:GOH326620 GOH392103:GOH392156 GOH457639:GOH457692 GOH523175:GOH523228 GOH588711:GOH588764 GOH654247:GOH654300 GOH719783:GOH719836 GOH785319:GOH785372 GOH850855:GOH850908 GOH916391:GOH916444 GOH981927:GOH981980 GOH1047463:GOH1047516 GYD64423:GYD64476 GYD129959:GYD130012 GYD195495:GYD195548 GYD261031:GYD261084 GYD326567:GYD326620 GYD392103:GYD392156 GYD457639:GYD457692 GYD523175:GYD523228 GYD588711:GYD588764 GYD654247:GYD654300 GYD719783:GYD719836 GYD785319:GYD785372 GYD850855:GYD850908 GYD916391:GYD916444 GYD981927:GYD981980 GYD1047463:GYD1047516 HHZ64423:HHZ64476 HHZ129959:HHZ130012 HHZ195495:HHZ195548 HHZ261031:HHZ261084 HHZ326567:HHZ326620 HHZ392103:HHZ392156 HHZ457639:HHZ457692 HHZ523175:HHZ523228 HHZ588711:HHZ588764 HHZ654247:HHZ654300 HHZ719783:HHZ719836 HHZ785319:HHZ785372 HHZ850855:HHZ850908 HHZ916391:HHZ916444 HHZ981927:HHZ981980 HHZ1047463:HHZ1047516 HRV64423:HRV64476 HRV129959:HRV130012 HRV195495:HRV195548 HRV261031:HRV261084 HRV326567:HRV326620 HRV392103:HRV392156 HRV457639:HRV457692 HRV523175:HRV523228 HRV588711:HRV588764 HRV654247:HRV654300 HRV719783:HRV719836 HRV785319:HRV785372 HRV850855:HRV850908 HRV916391:HRV916444 HRV981927:HRV981980 HRV1047463:HRV1047516 IBR64423:IBR64476 IBR129959:IBR130012 IBR195495:IBR195548 IBR261031:IBR261084 IBR326567:IBR326620 IBR392103:IBR392156 IBR457639:IBR457692 IBR523175:IBR523228 IBR588711:IBR588764 IBR654247:IBR654300 IBR719783:IBR719836 IBR785319:IBR785372 IBR850855:IBR850908 IBR916391:IBR916444 IBR981927:IBR981980 IBR1047463:IBR1047516 ILN64423:ILN64476 ILN129959:ILN130012 ILN195495:ILN195548 ILN261031:ILN261084 ILN326567:ILN326620 ILN392103:ILN392156 ILN457639:ILN457692 ILN523175:ILN523228 ILN588711:ILN588764 ILN654247:ILN654300 ILN719783:ILN719836 ILN785319:ILN785372 ILN850855:ILN850908 ILN916391:ILN916444 ILN981927:ILN981980 ILN1047463:ILN1047516 IVJ64423:IVJ64476 IVJ129959:IVJ130012 IVJ195495:IVJ195548 IVJ261031:IVJ261084 IVJ326567:IVJ326620 IVJ392103:IVJ392156 IVJ457639:IVJ457692 IVJ523175:IVJ523228 IVJ588711:IVJ588764 IVJ654247:IVJ654300 IVJ719783:IVJ719836 IVJ785319:IVJ785372 IVJ850855:IVJ850908 IVJ916391:IVJ916444 IVJ981927:IVJ981980 IVJ1047463:IVJ1047516 JFF64423:JFF64476 JFF129959:JFF130012 JFF195495:JFF195548 JFF261031:JFF261084 JFF326567:JFF326620 JFF392103:JFF392156 JFF457639:JFF457692 JFF523175:JFF523228 JFF588711:JFF588764 JFF654247:JFF654300 JFF719783:JFF719836 JFF785319:JFF785372 JFF850855:JFF850908 JFF916391:JFF916444 JFF981927:JFF981980 JFF1047463:JFF1047516 JPB64423:JPB64476 JPB129959:JPB130012 JPB195495:JPB195548 JPB261031:JPB261084 JPB326567:JPB326620 JPB392103:JPB392156 JPB457639:JPB457692 JPB523175:JPB523228 JPB588711:JPB588764 JPB654247:JPB654300 JPB719783:JPB719836 JPB785319:JPB785372 JPB850855:JPB850908 JPB916391:JPB916444 JPB981927:JPB981980 JPB1047463:JPB1047516 JYX64423:JYX64476 JYX129959:JYX130012 JYX195495:JYX195548 JYX261031:JYX261084 JYX326567:JYX326620 JYX392103:JYX392156 JYX457639:JYX457692 JYX523175:JYX523228 JYX588711:JYX588764 JYX654247:JYX654300 JYX719783:JYX719836 JYX785319:JYX785372 JYX850855:JYX850908 JYX916391:JYX916444 JYX981927:JYX981980 JYX1047463:JYX1047516 KIT64423:KIT64476 KIT129959:KIT130012 KIT195495:KIT195548 KIT261031:KIT261084 KIT326567:KIT326620 KIT392103:KIT392156 KIT457639:KIT457692 KIT523175:KIT523228 KIT588711:KIT588764 KIT654247:KIT654300 KIT719783:KIT719836 KIT785319:KIT785372 KIT850855:KIT850908 KIT916391:KIT916444 KIT981927:KIT981980 KIT1047463:KIT1047516 KSP64423:KSP64476 KSP129959:KSP130012 KSP195495:KSP195548 KSP261031:KSP261084 KSP326567:KSP326620 KSP392103:KSP392156 KSP457639:KSP457692 KSP523175:KSP523228 KSP588711:KSP588764 KSP654247:KSP654300 KSP719783:KSP719836 KSP785319:KSP785372 KSP850855:KSP850908 KSP916391:KSP916444 KSP981927:KSP981980 KSP1047463:KSP1047516 LCL64423:LCL64476 LCL129959:LCL130012 LCL195495:LCL195548 LCL261031:LCL261084 LCL326567:LCL326620 LCL392103:LCL392156 LCL457639:LCL457692 LCL523175:LCL523228 LCL588711:LCL588764 LCL654247:LCL654300 LCL719783:LCL719836 LCL785319:LCL785372 LCL850855:LCL850908 LCL916391:LCL916444 LCL981927:LCL981980 LCL1047463:LCL1047516 LMH64423:LMH64476 LMH129959:LMH130012 LMH195495:LMH195548 LMH261031:LMH261084 LMH326567:LMH326620 LMH392103:LMH392156 LMH457639:LMH457692 LMH523175:LMH523228 LMH588711:LMH588764 LMH654247:LMH654300 LMH719783:LMH719836 LMH785319:LMH785372 LMH850855:LMH850908 LMH916391:LMH916444 LMH981927:LMH981980 LMH1047463:LMH1047516 LWD64423:LWD64476 LWD129959:LWD130012 LWD195495:LWD195548 LWD261031:LWD261084 LWD326567:LWD326620 LWD392103:LWD392156 LWD457639:LWD457692 LWD523175:LWD523228 LWD588711:LWD588764 LWD654247:LWD654300 LWD719783:LWD719836 LWD785319:LWD785372 LWD850855:LWD850908 LWD916391:LWD916444 LWD981927:LWD981980 LWD1047463:LWD1047516 MFZ64423:MFZ64476 MFZ129959:MFZ130012 MFZ195495:MFZ195548 MFZ261031:MFZ261084 MFZ326567:MFZ326620 MFZ392103:MFZ392156 MFZ457639:MFZ457692 MFZ523175:MFZ523228 MFZ588711:MFZ588764 MFZ654247:MFZ654300 MFZ719783:MFZ719836 MFZ785319:MFZ785372 MFZ850855:MFZ850908 MFZ916391:MFZ916444 MFZ981927:MFZ981980 MFZ1047463:MFZ1047516 MPV64423:MPV64476 MPV129959:MPV130012 MPV195495:MPV195548 MPV261031:MPV261084 MPV326567:MPV326620 MPV392103:MPV392156 MPV457639:MPV457692 MPV523175:MPV523228 MPV588711:MPV588764 MPV654247:MPV654300 MPV719783:MPV719836 MPV785319:MPV785372 MPV850855:MPV850908 MPV916391:MPV916444 MPV981927:MPV981980 MPV1047463:MPV1047516 MZR64423:MZR64476 MZR129959:MZR130012 MZR195495:MZR195548 MZR261031:MZR261084 MZR326567:MZR326620 MZR392103:MZR392156 MZR457639:MZR457692 MZR523175:MZR523228 MZR588711:MZR588764 MZR654247:MZR654300 MZR719783:MZR719836 MZR785319:MZR785372 MZR850855:MZR850908 MZR916391:MZR916444 MZR981927:MZR981980 MZR1047463:MZR1047516 NJN64423:NJN64476 NJN129959:NJN130012 NJN195495:NJN195548 NJN261031:NJN261084 NJN326567:NJN326620 NJN392103:NJN392156 NJN457639:NJN457692 NJN523175:NJN523228 NJN588711:NJN588764 NJN654247:NJN654300 NJN719783:NJN719836 NJN785319:NJN785372 NJN850855:NJN850908 NJN916391:NJN916444 NJN981927:NJN981980 NJN1047463:NJN1047516 NTJ64423:NTJ64476 NTJ129959:NTJ130012 NTJ195495:NTJ195548 NTJ261031:NTJ261084 NTJ326567:NTJ326620 NTJ392103:NTJ392156 NTJ457639:NTJ457692 NTJ523175:NTJ523228 NTJ588711:NTJ588764 NTJ654247:NTJ654300 NTJ719783:NTJ719836 NTJ785319:NTJ785372 NTJ850855:NTJ850908 NTJ916391:NTJ916444 NTJ981927:NTJ981980 NTJ1047463:NTJ1047516 ODF64423:ODF64476 ODF129959:ODF130012 ODF195495:ODF195548 ODF261031:ODF261084 ODF326567:ODF326620 ODF392103:ODF392156 ODF457639:ODF457692 ODF523175:ODF523228 ODF588711:ODF588764 ODF654247:ODF654300 ODF719783:ODF719836 ODF785319:ODF785372 ODF850855:ODF850908 ODF916391:ODF916444 ODF981927:ODF981980 ODF1047463:ODF1047516 ONB64423:ONB64476 ONB129959:ONB130012 ONB195495:ONB195548 ONB261031:ONB261084 ONB326567:ONB326620 ONB392103:ONB392156 ONB457639:ONB457692 ONB523175:ONB523228 ONB588711:ONB588764 ONB654247:ONB654300 ONB719783:ONB719836 ONB785319:ONB785372 ONB850855:ONB850908 ONB916391:ONB916444 ONB981927:ONB981980 ONB1047463:ONB1047516 OWX64423:OWX64476 OWX129959:OWX130012 OWX195495:OWX195548 OWX261031:OWX261084 OWX326567:OWX326620 OWX392103:OWX392156 OWX457639:OWX457692 OWX523175:OWX523228 OWX588711:OWX588764 OWX654247:OWX654300 OWX719783:OWX719836 OWX785319:OWX785372 OWX850855:OWX850908 OWX916391:OWX916444 OWX981927:OWX981980 OWX1047463:OWX1047516 PGT64423:PGT64476 PGT129959:PGT130012 PGT195495:PGT195548 PGT261031:PGT261084 PGT326567:PGT326620 PGT392103:PGT392156 PGT457639:PGT457692 PGT523175:PGT523228 PGT588711:PGT588764 PGT654247:PGT654300 PGT719783:PGT719836 PGT785319:PGT785372 PGT850855:PGT850908 PGT916391:PGT916444 PGT981927:PGT981980 PGT1047463:PGT1047516 PQP64423:PQP64476 PQP129959:PQP130012 PQP195495:PQP195548 PQP261031:PQP261084 PQP326567:PQP326620 PQP392103:PQP392156 PQP457639:PQP457692 PQP523175:PQP523228 PQP588711:PQP588764 PQP654247:PQP654300 PQP719783:PQP719836 PQP785319:PQP785372 PQP850855:PQP850908 PQP916391:PQP916444 PQP981927:PQP981980 PQP1047463:PQP1047516 QAL64423:QAL64476 QAL129959:QAL130012 QAL195495:QAL195548 QAL261031:QAL261084 QAL326567:QAL326620 QAL392103:QAL392156 QAL457639:QAL457692 QAL523175:QAL523228 QAL588711:QAL588764 QAL654247:QAL654300 QAL719783:QAL719836 QAL785319:QAL785372 QAL850855:QAL850908 QAL916391:QAL916444 QAL981927:QAL981980 QAL1047463:QAL1047516 QKH64423:QKH64476 QKH129959:QKH130012 QKH195495:QKH195548 QKH261031:QKH261084 QKH326567:QKH326620 QKH392103:QKH392156 QKH457639:QKH457692 QKH523175:QKH523228 QKH588711:QKH588764 QKH654247:QKH654300 QKH719783:QKH719836 QKH785319:QKH785372 QKH850855:QKH850908 QKH916391:QKH916444 QKH981927:QKH981980 QKH1047463:QKH1047516 QUD64423:QUD64476 QUD129959:QUD130012 QUD195495:QUD195548 QUD261031:QUD261084 QUD326567:QUD326620 QUD392103:QUD392156 QUD457639:QUD457692 QUD523175:QUD523228 QUD588711:QUD588764 QUD654247:QUD654300 QUD719783:QUD719836 QUD785319:QUD785372 QUD850855:QUD850908 QUD916391:QUD916444 QUD981927:QUD981980 QUD1047463:QUD1047516 RDZ64423:RDZ64476 RDZ129959:RDZ130012 RDZ195495:RDZ195548 RDZ261031:RDZ261084 RDZ326567:RDZ326620 RDZ392103:RDZ392156 RDZ457639:RDZ457692 RDZ523175:RDZ523228 RDZ588711:RDZ588764 RDZ654247:RDZ654300 RDZ719783:RDZ719836 RDZ785319:RDZ785372 RDZ850855:RDZ850908 RDZ916391:RDZ916444 RDZ981927:RDZ981980 RDZ1047463:RDZ1047516 RNV64423:RNV64476 RNV129959:RNV130012 RNV195495:RNV195548 RNV261031:RNV261084 RNV326567:RNV326620 RNV392103:RNV392156 RNV457639:RNV457692 RNV523175:RNV523228 RNV588711:RNV588764 RNV654247:RNV654300 RNV719783:RNV719836 RNV785319:RNV785372 RNV850855:RNV850908 RNV916391:RNV916444 RNV981927:RNV981980 RNV1047463:RNV1047516 RXR64423:RXR64476 RXR129959:RXR130012 RXR195495:RXR195548 RXR261031:RXR261084 RXR326567:RXR326620 RXR392103:RXR392156 RXR457639:RXR457692 RXR523175:RXR523228 RXR588711:RXR588764 RXR654247:RXR654300 RXR719783:RXR719836 RXR785319:RXR785372 RXR850855:RXR850908 RXR916391:RXR916444 RXR981927:RXR981980 RXR1047463:RXR1047516 SHN64423:SHN64476 SHN129959:SHN130012 SHN195495:SHN195548 SHN261031:SHN261084 SHN326567:SHN326620 SHN392103:SHN392156 SHN457639:SHN457692 SHN523175:SHN523228 SHN588711:SHN588764 SHN654247:SHN654300 SHN719783:SHN719836 SHN785319:SHN785372 SHN850855:SHN850908 SHN916391:SHN916444 SHN981927:SHN981980 SHN1047463:SHN1047516 SRJ64423:SRJ64476 SRJ129959:SRJ130012 SRJ195495:SRJ195548 SRJ261031:SRJ261084 SRJ326567:SRJ326620 SRJ392103:SRJ392156 SRJ457639:SRJ457692 SRJ523175:SRJ523228 SRJ588711:SRJ588764 SRJ654247:SRJ654300 SRJ719783:SRJ719836 SRJ785319:SRJ785372 SRJ850855:SRJ850908 SRJ916391:SRJ916444 SRJ981927:SRJ981980 SRJ1047463:SRJ1047516 TBF64423:TBF64476 TBF129959:TBF130012 TBF195495:TBF195548 TBF261031:TBF261084 TBF326567:TBF326620 TBF392103:TBF392156 TBF457639:TBF457692 TBF523175:TBF523228 TBF588711:TBF588764 TBF654247:TBF654300 TBF719783:TBF719836 TBF785319:TBF785372 TBF850855:TBF850908 TBF916391:TBF916444 TBF981927:TBF981980 TBF1047463:TBF1047516 TLB64423:TLB64476 TLB129959:TLB130012 TLB195495:TLB195548 TLB261031:TLB261084 TLB326567:TLB326620 TLB392103:TLB392156 TLB457639:TLB457692 TLB523175:TLB523228 TLB588711:TLB588764 TLB654247:TLB654300 TLB719783:TLB719836 TLB785319:TLB785372 TLB850855:TLB850908 TLB916391:TLB916444 TLB981927:TLB981980 TLB1047463:TLB1047516 TUX64423:TUX64476 TUX129959:TUX130012 TUX195495:TUX195548 TUX261031:TUX261084 TUX326567:TUX326620 TUX392103:TUX392156 TUX457639:TUX457692 TUX523175:TUX523228 TUX588711:TUX588764 TUX654247:TUX654300 TUX719783:TUX719836 TUX785319:TUX785372 TUX850855:TUX850908 TUX916391:TUX916444 TUX981927:TUX981980 TUX1047463:TUX1047516 UET64423:UET64476 UET129959:UET130012 UET195495:UET195548 UET261031:UET261084 UET326567:UET326620 UET392103:UET392156 UET457639:UET457692 UET523175:UET523228 UET588711:UET588764 UET654247:UET654300 UET719783:UET719836 UET785319:UET785372 UET850855:UET850908 UET916391:UET916444 UET981927:UET981980 UET1047463:UET1047516 UOP64423:UOP64476 UOP129959:UOP130012 UOP195495:UOP195548 UOP261031:UOP261084 UOP326567:UOP326620 UOP392103:UOP392156 UOP457639:UOP457692 UOP523175:UOP523228 UOP588711:UOP588764 UOP654247:UOP654300 UOP719783:UOP719836 UOP785319:UOP785372 UOP850855:UOP850908 UOP916391:UOP916444 UOP981927:UOP981980 UOP1047463:UOP1047516 UYL64423:UYL64476 UYL129959:UYL130012 UYL195495:UYL195548 UYL261031:UYL261084 UYL326567:UYL326620 UYL392103:UYL392156 UYL457639:UYL457692 UYL523175:UYL523228 UYL588711:UYL588764 UYL654247:UYL654300 UYL719783:UYL719836 UYL785319:UYL785372 UYL850855:UYL850908 UYL916391:UYL916444 UYL981927:UYL981980 UYL1047463:UYL1047516 VIH64423:VIH64476 VIH129959:VIH130012 VIH195495:VIH195548 VIH261031:VIH261084 VIH326567:VIH326620 VIH392103:VIH392156 VIH457639:VIH457692 VIH523175:VIH523228 VIH588711:VIH588764 VIH654247:VIH654300 VIH719783:VIH719836 VIH785319:VIH785372 VIH850855:VIH850908 VIH916391:VIH916444 VIH981927:VIH981980 VIH1047463:VIH1047516 VSD64423:VSD64476 VSD129959:VSD130012 VSD195495:VSD195548 VSD261031:VSD261084 VSD326567:VSD326620 VSD392103:VSD392156 VSD457639:VSD457692 VSD523175:VSD523228 VSD588711:VSD588764 VSD654247:VSD654300 VSD719783:VSD719836 VSD785319:VSD785372 VSD850855:VSD850908 VSD916391:VSD916444 VSD981927:VSD981980 VSD1047463:VSD1047516 WBZ64423:WBZ64476 WBZ129959:WBZ130012 WBZ195495:WBZ195548 WBZ261031:WBZ261084 WBZ326567:WBZ326620 WBZ392103:WBZ392156 WBZ457639:WBZ457692 WBZ523175:WBZ523228 WBZ588711:WBZ588764 WBZ654247:WBZ654300 WBZ719783:WBZ719836 WBZ785319:WBZ785372 WBZ850855:WBZ850908 WBZ916391:WBZ916444 WBZ981927:WBZ981980 WBZ1047463:WBZ1047516 WLV64423:WLV64476 WLV129959:WLV130012 WLV195495:WLV195548 WLV261031:WLV261084 WLV326567:WLV326620 WLV392103:WLV392156 WLV457639:WLV457692 WLV523175:WLV523228 WLV588711:WLV588764 WLV654247:WLV654300 WLV719783:WLV719836 WLV785319:WLV785372 WLV850855:WLV850908 WLV916391:WLV916444 WLV981927:WLV981980 WLV1047463:WLV1047516 WVR64423:WVR64476 WVR129959:WVR130012 WVR195495:WVR195548 WVR261031:WVR261084 WVR326567:WVR326620 WVR392103:WVR392156 WVR457639:WVR457692 WVR523175:WVR523228 WVR588711:WVR588764 WVR654247:WVR654300 WVR719783:WVR719836 WVR785319:WVR785372 WVR850855:WVR850908 WVR916391:WVR916444 WVR981927:WVR981980 WVR1047463:WVR1047516" xr:uid="{66B00464-612A-48E6-92C9-837E11499991}">
      <formula1>$AP$2:$AP$12</formula1>
    </dataValidation>
    <dataValidation type="list" allowBlank="1" showInputMessage="1" showErrorMessage="1" sqref="I1:I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WVQ1:WVQ1048576" xr:uid="{1247D60D-3DC9-4BC9-BD0B-74BC7CEA4F6C}">
      <formula1>$AN$5:$AN$6</formula1>
    </dataValidation>
    <dataValidation type="list" allowBlank="1" showInputMessage="1" showErrorMessage="1" sqref="H65538:H66036 H131074:H131572 H196610:H197108 H262146:H262644 H327682:H328180 H393218:H393716 H458754:H459252 H524290:H524788 H589826:H590324 H655362:H655860 H720898:H721396 H786434:H786932 H851970:H852468 H917506:H918004 H983042:H983540 JD2:JD500 JD65538:JD66036 JD131074:JD131572 JD196610:JD197108 JD262146:JD262644 JD327682:JD328180 JD393218:JD393716 JD458754:JD459252 JD524290:JD524788 JD589826:JD590324 JD655362:JD655860 JD720898:JD721396 JD786434:JD786932 JD851970:JD852468 JD917506:JD918004 JD983042:JD983540 SZ2:SZ500 SZ65538:SZ66036 SZ131074:SZ131572 SZ196610:SZ197108 SZ262146:SZ262644 SZ327682:SZ328180 SZ393218:SZ393716 SZ458754:SZ459252 SZ524290:SZ524788 SZ589826:SZ590324 SZ655362:SZ655860 SZ720898:SZ721396 SZ786434:SZ786932 SZ851970:SZ852468 SZ917506:SZ918004 SZ983042:SZ983540 ACV2:ACV500 ACV65538:ACV66036 ACV131074:ACV131572 ACV196610:ACV197108 ACV262146:ACV262644 ACV327682:ACV328180 ACV393218:ACV393716 ACV458754:ACV459252 ACV524290:ACV524788 ACV589826:ACV590324 ACV655362:ACV655860 ACV720898:ACV721396 ACV786434:ACV786932 ACV851970:ACV852468 ACV917506:ACV918004 ACV983042:ACV983540 AMR2:AMR500 AMR65538:AMR66036 AMR131074:AMR131572 AMR196610:AMR197108 AMR262146:AMR262644 AMR327682:AMR328180 AMR393218:AMR393716 AMR458754:AMR459252 AMR524290:AMR524788 AMR589826:AMR590324 AMR655362:AMR655860 AMR720898:AMR721396 AMR786434:AMR786932 AMR851970:AMR852468 AMR917506:AMR918004 AMR983042:AMR983540 AWN2:AWN500 AWN65538:AWN66036 AWN131074:AWN131572 AWN196610:AWN197108 AWN262146:AWN262644 AWN327682:AWN328180 AWN393218:AWN393716 AWN458754:AWN459252 AWN524290:AWN524788 AWN589826:AWN590324 AWN655362:AWN655860 AWN720898:AWN721396 AWN786434:AWN786932 AWN851970:AWN852468 AWN917506:AWN918004 AWN983042:AWN983540 BGJ2:BGJ500 BGJ65538:BGJ66036 BGJ131074:BGJ131572 BGJ196610:BGJ197108 BGJ262146:BGJ262644 BGJ327682:BGJ328180 BGJ393218:BGJ393716 BGJ458754:BGJ459252 BGJ524290:BGJ524788 BGJ589826:BGJ590324 BGJ655362:BGJ655860 BGJ720898:BGJ721396 BGJ786434:BGJ786932 BGJ851970:BGJ852468 BGJ917506:BGJ918004 BGJ983042:BGJ983540 BQF2:BQF500 BQF65538:BQF66036 BQF131074:BQF131572 BQF196610:BQF197108 BQF262146:BQF262644 BQF327682:BQF328180 BQF393218:BQF393716 BQF458754:BQF459252 BQF524290:BQF524788 BQF589826:BQF590324 BQF655362:BQF655860 BQF720898:BQF721396 BQF786434:BQF786932 BQF851970:BQF852468 BQF917506:BQF918004 BQF983042:BQF983540 CAB2:CAB500 CAB65538:CAB66036 CAB131074:CAB131572 CAB196610:CAB197108 CAB262146:CAB262644 CAB327682:CAB328180 CAB393218:CAB393716 CAB458754:CAB459252 CAB524290:CAB524788 CAB589826:CAB590324 CAB655362:CAB655860 CAB720898:CAB721396 CAB786434:CAB786932 CAB851970:CAB852468 CAB917506:CAB918004 CAB983042:CAB983540 CJX2:CJX500 CJX65538:CJX66036 CJX131074:CJX131572 CJX196610:CJX197108 CJX262146:CJX262644 CJX327682:CJX328180 CJX393218:CJX393716 CJX458754:CJX459252 CJX524290:CJX524788 CJX589826:CJX590324 CJX655362:CJX655860 CJX720898:CJX721396 CJX786434:CJX786932 CJX851970:CJX852468 CJX917506:CJX918004 CJX983042:CJX983540 CTT2:CTT500 CTT65538:CTT66036 CTT131074:CTT131572 CTT196610:CTT197108 CTT262146:CTT262644 CTT327682:CTT328180 CTT393218:CTT393716 CTT458754:CTT459252 CTT524290:CTT524788 CTT589826:CTT590324 CTT655362:CTT655860 CTT720898:CTT721396 CTT786434:CTT786932 CTT851970:CTT852468 CTT917506:CTT918004 CTT983042:CTT983540 DDP2:DDP500 DDP65538:DDP66036 DDP131074:DDP131572 DDP196610:DDP197108 DDP262146:DDP262644 DDP327682:DDP328180 DDP393218:DDP393716 DDP458754:DDP459252 DDP524290:DDP524788 DDP589826:DDP590324 DDP655362:DDP655860 DDP720898:DDP721396 DDP786434:DDP786932 DDP851970:DDP852468 DDP917506:DDP918004 DDP983042:DDP983540 DNL2:DNL500 DNL65538:DNL66036 DNL131074:DNL131572 DNL196610:DNL197108 DNL262146:DNL262644 DNL327682:DNL328180 DNL393218:DNL393716 DNL458754:DNL459252 DNL524290:DNL524788 DNL589826:DNL590324 DNL655362:DNL655860 DNL720898:DNL721396 DNL786434:DNL786932 DNL851970:DNL852468 DNL917506:DNL918004 DNL983042:DNL983540 DXH2:DXH500 DXH65538:DXH66036 DXH131074:DXH131572 DXH196610:DXH197108 DXH262146:DXH262644 DXH327682:DXH328180 DXH393218:DXH393716 DXH458754:DXH459252 DXH524290:DXH524788 DXH589826:DXH590324 DXH655362:DXH655860 DXH720898:DXH721396 DXH786434:DXH786932 DXH851970:DXH852468 DXH917506:DXH918004 DXH983042:DXH983540 EHD2:EHD500 EHD65538:EHD66036 EHD131074:EHD131572 EHD196610:EHD197108 EHD262146:EHD262644 EHD327682:EHD328180 EHD393218:EHD393716 EHD458754:EHD459252 EHD524290:EHD524788 EHD589826:EHD590324 EHD655362:EHD655860 EHD720898:EHD721396 EHD786434:EHD786932 EHD851970:EHD852468 EHD917506:EHD918004 EHD983042:EHD983540 EQZ2:EQZ500 EQZ65538:EQZ66036 EQZ131074:EQZ131572 EQZ196610:EQZ197108 EQZ262146:EQZ262644 EQZ327682:EQZ328180 EQZ393218:EQZ393716 EQZ458754:EQZ459252 EQZ524290:EQZ524788 EQZ589826:EQZ590324 EQZ655362:EQZ655860 EQZ720898:EQZ721396 EQZ786434:EQZ786932 EQZ851970:EQZ852468 EQZ917506:EQZ918004 EQZ983042:EQZ983540 FAV2:FAV500 FAV65538:FAV66036 FAV131074:FAV131572 FAV196610:FAV197108 FAV262146:FAV262644 FAV327682:FAV328180 FAV393218:FAV393716 FAV458754:FAV459252 FAV524290:FAV524788 FAV589826:FAV590324 FAV655362:FAV655860 FAV720898:FAV721396 FAV786434:FAV786932 FAV851970:FAV852468 FAV917506:FAV918004 FAV983042:FAV983540 FKR2:FKR500 FKR65538:FKR66036 FKR131074:FKR131572 FKR196610:FKR197108 FKR262146:FKR262644 FKR327682:FKR328180 FKR393218:FKR393716 FKR458754:FKR459252 FKR524290:FKR524788 FKR589826:FKR590324 FKR655362:FKR655860 FKR720898:FKR721396 FKR786434:FKR786932 FKR851970:FKR852468 FKR917506:FKR918004 FKR983042:FKR983540 FUN2:FUN500 FUN65538:FUN66036 FUN131074:FUN131572 FUN196610:FUN197108 FUN262146:FUN262644 FUN327682:FUN328180 FUN393218:FUN393716 FUN458754:FUN459252 FUN524290:FUN524788 FUN589826:FUN590324 FUN655362:FUN655860 FUN720898:FUN721396 FUN786434:FUN786932 FUN851970:FUN852468 FUN917506:FUN918004 FUN983042:FUN983540 GEJ2:GEJ500 GEJ65538:GEJ66036 GEJ131074:GEJ131572 GEJ196610:GEJ197108 GEJ262146:GEJ262644 GEJ327682:GEJ328180 GEJ393218:GEJ393716 GEJ458754:GEJ459252 GEJ524290:GEJ524788 GEJ589826:GEJ590324 GEJ655362:GEJ655860 GEJ720898:GEJ721396 GEJ786434:GEJ786932 GEJ851970:GEJ852468 GEJ917506:GEJ918004 GEJ983042:GEJ983540 GOF2:GOF500 GOF65538:GOF66036 GOF131074:GOF131572 GOF196610:GOF197108 GOF262146:GOF262644 GOF327682:GOF328180 GOF393218:GOF393716 GOF458754:GOF459252 GOF524290:GOF524788 GOF589826:GOF590324 GOF655362:GOF655860 GOF720898:GOF721396 GOF786434:GOF786932 GOF851970:GOF852468 GOF917506:GOF918004 GOF983042:GOF983540 GYB2:GYB500 GYB65538:GYB66036 GYB131074:GYB131572 GYB196610:GYB197108 GYB262146:GYB262644 GYB327682:GYB328180 GYB393218:GYB393716 GYB458754:GYB459252 GYB524290:GYB524788 GYB589826:GYB590324 GYB655362:GYB655860 GYB720898:GYB721396 GYB786434:GYB786932 GYB851970:GYB852468 GYB917506:GYB918004 GYB983042:GYB983540 HHX2:HHX500 HHX65538:HHX66036 HHX131074:HHX131572 HHX196610:HHX197108 HHX262146:HHX262644 HHX327682:HHX328180 HHX393218:HHX393716 HHX458754:HHX459252 HHX524290:HHX524788 HHX589826:HHX590324 HHX655362:HHX655860 HHX720898:HHX721396 HHX786434:HHX786932 HHX851970:HHX852468 HHX917506:HHX918004 HHX983042:HHX983540 HRT2:HRT500 HRT65538:HRT66036 HRT131074:HRT131572 HRT196610:HRT197108 HRT262146:HRT262644 HRT327682:HRT328180 HRT393218:HRT393716 HRT458754:HRT459252 HRT524290:HRT524788 HRT589826:HRT590324 HRT655362:HRT655860 HRT720898:HRT721396 HRT786434:HRT786932 HRT851970:HRT852468 HRT917506:HRT918004 HRT983042:HRT983540 IBP2:IBP500 IBP65538:IBP66036 IBP131074:IBP131572 IBP196610:IBP197108 IBP262146:IBP262644 IBP327682:IBP328180 IBP393218:IBP393716 IBP458754:IBP459252 IBP524290:IBP524788 IBP589826:IBP590324 IBP655362:IBP655860 IBP720898:IBP721396 IBP786434:IBP786932 IBP851970:IBP852468 IBP917506:IBP918004 IBP983042:IBP983540 ILL2:ILL500 ILL65538:ILL66036 ILL131074:ILL131572 ILL196610:ILL197108 ILL262146:ILL262644 ILL327682:ILL328180 ILL393218:ILL393716 ILL458754:ILL459252 ILL524290:ILL524788 ILL589826:ILL590324 ILL655362:ILL655860 ILL720898:ILL721396 ILL786434:ILL786932 ILL851970:ILL852468 ILL917506:ILL918004 ILL983042:ILL983540 IVH2:IVH500 IVH65538:IVH66036 IVH131074:IVH131572 IVH196610:IVH197108 IVH262146:IVH262644 IVH327682:IVH328180 IVH393218:IVH393716 IVH458754:IVH459252 IVH524290:IVH524788 IVH589826:IVH590324 IVH655362:IVH655860 IVH720898:IVH721396 IVH786434:IVH786932 IVH851970:IVH852468 IVH917506:IVH918004 IVH983042:IVH983540 JFD2:JFD500 JFD65538:JFD66036 JFD131074:JFD131572 JFD196610:JFD197108 JFD262146:JFD262644 JFD327682:JFD328180 JFD393218:JFD393716 JFD458754:JFD459252 JFD524290:JFD524788 JFD589826:JFD590324 JFD655362:JFD655860 JFD720898:JFD721396 JFD786434:JFD786932 JFD851970:JFD852468 JFD917506:JFD918004 JFD983042:JFD983540 JOZ2:JOZ500 JOZ65538:JOZ66036 JOZ131074:JOZ131572 JOZ196610:JOZ197108 JOZ262146:JOZ262644 JOZ327682:JOZ328180 JOZ393218:JOZ393716 JOZ458754:JOZ459252 JOZ524290:JOZ524788 JOZ589826:JOZ590324 JOZ655362:JOZ655860 JOZ720898:JOZ721396 JOZ786434:JOZ786932 JOZ851970:JOZ852468 JOZ917506:JOZ918004 JOZ983042:JOZ983540 JYV2:JYV500 JYV65538:JYV66036 JYV131074:JYV131572 JYV196610:JYV197108 JYV262146:JYV262644 JYV327682:JYV328180 JYV393218:JYV393716 JYV458754:JYV459252 JYV524290:JYV524788 JYV589826:JYV590324 JYV655362:JYV655860 JYV720898:JYV721396 JYV786434:JYV786932 JYV851970:JYV852468 JYV917506:JYV918004 JYV983042:JYV983540 KIR2:KIR500 KIR65538:KIR66036 KIR131074:KIR131572 KIR196610:KIR197108 KIR262146:KIR262644 KIR327682:KIR328180 KIR393218:KIR393716 KIR458754:KIR459252 KIR524290:KIR524788 KIR589826:KIR590324 KIR655362:KIR655860 KIR720898:KIR721396 KIR786434:KIR786932 KIR851970:KIR852468 KIR917506:KIR918004 KIR983042:KIR983540 KSN2:KSN500 KSN65538:KSN66036 KSN131074:KSN131572 KSN196610:KSN197108 KSN262146:KSN262644 KSN327682:KSN328180 KSN393218:KSN393716 KSN458754:KSN459252 KSN524290:KSN524788 KSN589826:KSN590324 KSN655362:KSN655860 KSN720898:KSN721396 KSN786434:KSN786932 KSN851970:KSN852468 KSN917506:KSN918004 KSN983042:KSN983540 LCJ2:LCJ500 LCJ65538:LCJ66036 LCJ131074:LCJ131572 LCJ196610:LCJ197108 LCJ262146:LCJ262644 LCJ327682:LCJ328180 LCJ393218:LCJ393716 LCJ458754:LCJ459252 LCJ524290:LCJ524788 LCJ589826:LCJ590324 LCJ655362:LCJ655860 LCJ720898:LCJ721396 LCJ786434:LCJ786932 LCJ851970:LCJ852468 LCJ917506:LCJ918004 LCJ983042:LCJ983540 LMF2:LMF500 LMF65538:LMF66036 LMF131074:LMF131572 LMF196610:LMF197108 LMF262146:LMF262644 LMF327682:LMF328180 LMF393218:LMF393716 LMF458754:LMF459252 LMF524290:LMF524788 LMF589826:LMF590324 LMF655362:LMF655860 LMF720898:LMF721396 LMF786434:LMF786932 LMF851970:LMF852468 LMF917506:LMF918004 LMF983042:LMF983540 LWB2:LWB500 LWB65538:LWB66036 LWB131074:LWB131572 LWB196610:LWB197108 LWB262146:LWB262644 LWB327682:LWB328180 LWB393218:LWB393716 LWB458754:LWB459252 LWB524290:LWB524788 LWB589826:LWB590324 LWB655362:LWB655860 LWB720898:LWB721396 LWB786434:LWB786932 LWB851970:LWB852468 LWB917506:LWB918004 LWB983042:LWB983540 MFX2:MFX500 MFX65538:MFX66036 MFX131074:MFX131572 MFX196610:MFX197108 MFX262146:MFX262644 MFX327682:MFX328180 MFX393218:MFX393716 MFX458754:MFX459252 MFX524290:MFX524788 MFX589826:MFX590324 MFX655362:MFX655860 MFX720898:MFX721396 MFX786434:MFX786932 MFX851970:MFX852468 MFX917506:MFX918004 MFX983042:MFX983540 MPT2:MPT500 MPT65538:MPT66036 MPT131074:MPT131572 MPT196610:MPT197108 MPT262146:MPT262644 MPT327682:MPT328180 MPT393218:MPT393716 MPT458754:MPT459252 MPT524290:MPT524788 MPT589826:MPT590324 MPT655362:MPT655860 MPT720898:MPT721396 MPT786434:MPT786932 MPT851970:MPT852468 MPT917506:MPT918004 MPT983042:MPT983540 MZP2:MZP500 MZP65538:MZP66036 MZP131074:MZP131572 MZP196610:MZP197108 MZP262146:MZP262644 MZP327682:MZP328180 MZP393218:MZP393716 MZP458754:MZP459252 MZP524290:MZP524788 MZP589826:MZP590324 MZP655362:MZP655860 MZP720898:MZP721396 MZP786434:MZP786932 MZP851970:MZP852468 MZP917506:MZP918004 MZP983042:MZP983540 NJL2:NJL500 NJL65538:NJL66036 NJL131074:NJL131572 NJL196610:NJL197108 NJL262146:NJL262644 NJL327682:NJL328180 NJL393218:NJL393716 NJL458754:NJL459252 NJL524290:NJL524788 NJL589826:NJL590324 NJL655362:NJL655860 NJL720898:NJL721396 NJL786434:NJL786932 NJL851970:NJL852468 NJL917506:NJL918004 NJL983042:NJL983540 NTH2:NTH500 NTH65538:NTH66036 NTH131074:NTH131572 NTH196610:NTH197108 NTH262146:NTH262644 NTH327682:NTH328180 NTH393218:NTH393716 NTH458754:NTH459252 NTH524290:NTH524788 NTH589826:NTH590324 NTH655362:NTH655860 NTH720898:NTH721396 NTH786434:NTH786932 NTH851970:NTH852468 NTH917506:NTH918004 NTH983042:NTH983540 ODD2:ODD500 ODD65538:ODD66036 ODD131074:ODD131572 ODD196610:ODD197108 ODD262146:ODD262644 ODD327682:ODD328180 ODD393218:ODD393716 ODD458754:ODD459252 ODD524290:ODD524788 ODD589826:ODD590324 ODD655362:ODD655860 ODD720898:ODD721396 ODD786434:ODD786932 ODD851970:ODD852468 ODD917506:ODD918004 ODD983042:ODD983540 OMZ2:OMZ500 OMZ65538:OMZ66036 OMZ131074:OMZ131572 OMZ196610:OMZ197108 OMZ262146:OMZ262644 OMZ327682:OMZ328180 OMZ393218:OMZ393716 OMZ458754:OMZ459252 OMZ524290:OMZ524788 OMZ589826:OMZ590324 OMZ655362:OMZ655860 OMZ720898:OMZ721396 OMZ786434:OMZ786932 OMZ851970:OMZ852468 OMZ917506:OMZ918004 OMZ983042:OMZ983540 OWV2:OWV500 OWV65538:OWV66036 OWV131074:OWV131572 OWV196610:OWV197108 OWV262146:OWV262644 OWV327682:OWV328180 OWV393218:OWV393716 OWV458754:OWV459252 OWV524290:OWV524788 OWV589826:OWV590324 OWV655362:OWV655860 OWV720898:OWV721396 OWV786434:OWV786932 OWV851970:OWV852468 OWV917506:OWV918004 OWV983042:OWV983540 PGR2:PGR500 PGR65538:PGR66036 PGR131074:PGR131572 PGR196610:PGR197108 PGR262146:PGR262644 PGR327682:PGR328180 PGR393218:PGR393716 PGR458754:PGR459252 PGR524290:PGR524788 PGR589826:PGR590324 PGR655362:PGR655860 PGR720898:PGR721396 PGR786434:PGR786932 PGR851970:PGR852468 PGR917506:PGR918004 PGR983042:PGR983540 PQN2:PQN500 PQN65538:PQN66036 PQN131074:PQN131572 PQN196610:PQN197108 PQN262146:PQN262644 PQN327682:PQN328180 PQN393218:PQN393716 PQN458754:PQN459252 PQN524290:PQN524788 PQN589826:PQN590324 PQN655362:PQN655860 PQN720898:PQN721396 PQN786434:PQN786932 PQN851970:PQN852468 PQN917506:PQN918004 PQN983042:PQN983540 QAJ2:QAJ500 QAJ65538:QAJ66036 QAJ131074:QAJ131572 QAJ196610:QAJ197108 QAJ262146:QAJ262644 QAJ327682:QAJ328180 QAJ393218:QAJ393716 QAJ458754:QAJ459252 QAJ524290:QAJ524788 QAJ589826:QAJ590324 QAJ655362:QAJ655860 QAJ720898:QAJ721396 QAJ786434:QAJ786932 QAJ851970:QAJ852468 QAJ917506:QAJ918004 QAJ983042:QAJ983540 QKF2:QKF500 QKF65538:QKF66036 QKF131074:QKF131572 QKF196610:QKF197108 QKF262146:QKF262644 QKF327682:QKF328180 QKF393218:QKF393716 QKF458754:QKF459252 QKF524290:QKF524788 QKF589826:QKF590324 QKF655362:QKF655860 QKF720898:QKF721396 QKF786434:QKF786932 QKF851970:QKF852468 QKF917506:QKF918004 QKF983042:QKF983540 QUB2:QUB500 QUB65538:QUB66036 QUB131074:QUB131572 QUB196610:QUB197108 QUB262146:QUB262644 QUB327682:QUB328180 QUB393218:QUB393716 QUB458754:QUB459252 QUB524290:QUB524788 QUB589826:QUB590324 QUB655362:QUB655860 QUB720898:QUB721396 QUB786434:QUB786932 QUB851970:QUB852468 QUB917506:QUB918004 QUB983042:QUB983540 RDX2:RDX500 RDX65538:RDX66036 RDX131074:RDX131572 RDX196610:RDX197108 RDX262146:RDX262644 RDX327682:RDX328180 RDX393218:RDX393716 RDX458754:RDX459252 RDX524290:RDX524788 RDX589826:RDX590324 RDX655362:RDX655860 RDX720898:RDX721396 RDX786434:RDX786932 RDX851970:RDX852468 RDX917506:RDX918004 RDX983042:RDX983540 RNT2:RNT500 RNT65538:RNT66036 RNT131074:RNT131572 RNT196610:RNT197108 RNT262146:RNT262644 RNT327682:RNT328180 RNT393218:RNT393716 RNT458754:RNT459252 RNT524290:RNT524788 RNT589826:RNT590324 RNT655362:RNT655860 RNT720898:RNT721396 RNT786434:RNT786932 RNT851970:RNT852468 RNT917506:RNT918004 RNT983042:RNT983540 RXP2:RXP500 RXP65538:RXP66036 RXP131074:RXP131572 RXP196610:RXP197108 RXP262146:RXP262644 RXP327682:RXP328180 RXP393218:RXP393716 RXP458754:RXP459252 RXP524290:RXP524788 RXP589826:RXP590324 RXP655362:RXP655860 RXP720898:RXP721396 RXP786434:RXP786932 RXP851970:RXP852468 RXP917506:RXP918004 RXP983042:RXP983540 SHL2:SHL500 SHL65538:SHL66036 SHL131074:SHL131572 SHL196610:SHL197108 SHL262146:SHL262644 SHL327682:SHL328180 SHL393218:SHL393716 SHL458754:SHL459252 SHL524290:SHL524788 SHL589826:SHL590324 SHL655362:SHL655860 SHL720898:SHL721396 SHL786434:SHL786932 SHL851970:SHL852468 SHL917506:SHL918004 SHL983042:SHL983540 SRH2:SRH500 SRH65538:SRH66036 SRH131074:SRH131572 SRH196610:SRH197108 SRH262146:SRH262644 SRH327682:SRH328180 SRH393218:SRH393716 SRH458754:SRH459252 SRH524290:SRH524788 SRH589826:SRH590324 SRH655362:SRH655860 SRH720898:SRH721396 SRH786434:SRH786932 SRH851970:SRH852468 SRH917506:SRH918004 SRH983042:SRH983540 TBD2:TBD500 TBD65538:TBD66036 TBD131074:TBD131572 TBD196610:TBD197108 TBD262146:TBD262644 TBD327682:TBD328180 TBD393218:TBD393716 TBD458754:TBD459252 TBD524290:TBD524788 TBD589826:TBD590324 TBD655362:TBD655860 TBD720898:TBD721396 TBD786434:TBD786932 TBD851970:TBD852468 TBD917506:TBD918004 TBD983042:TBD983540 TKZ2:TKZ500 TKZ65538:TKZ66036 TKZ131074:TKZ131572 TKZ196610:TKZ197108 TKZ262146:TKZ262644 TKZ327682:TKZ328180 TKZ393218:TKZ393716 TKZ458754:TKZ459252 TKZ524290:TKZ524788 TKZ589826:TKZ590324 TKZ655362:TKZ655860 TKZ720898:TKZ721396 TKZ786434:TKZ786932 TKZ851970:TKZ852468 TKZ917506:TKZ918004 TKZ983042:TKZ983540 TUV2:TUV500 TUV65538:TUV66036 TUV131074:TUV131572 TUV196610:TUV197108 TUV262146:TUV262644 TUV327682:TUV328180 TUV393218:TUV393716 TUV458754:TUV459252 TUV524290:TUV524788 TUV589826:TUV590324 TUV655362:TUV655860 TUV720898:TUV721396 TUV786434:TUV786932 TUV851970:TUV852468 TUV917506:TUV918004 TUV983042:TUV983540 UER2:UER500 UER65538:UER66036 UER131074:UER131572 UER196610:UER197108 UER262146:UER262644 UER327682:UER328180 UER393218:UER393716 UER458754:UER459252 UER524290:UER524788 UER589826:UER590324 UER655362:UER655860 UER720898:UER721396 UER786434:UER786932 UER851970:UER852468 UER917506:UER918004 UER983042:UER983540 UON2:UON500 UON65538:UON66036 UON131074:UON131572 UON196610:UON197108 UON262146:UON262644 UON327682:UON328180 UON393218:UON393716 UON458754:UON459252 UON524290:UON524788 UON589826:UON590324 UON655362:UON655860 UON720898:UON721396 UON786434:UON786932 UON851970:UON852468 UON917506:UON918004 UON983042:UON983540 UYJ2:UYJ500 UYJ65538:UYJ66036 UYJ131074:UYJ131572 UYJ196610:UYJ197108 UYJ262146:UYJ262644 UYJ327682:UYJ328180 UYJ393218:UYJ393716 UYJ458754:UYJ459252 UYJ524290:UYJ524788 UYJ589826:UYJ590324 UYJ655362:UYJ655860 UYJ720898:UYJ721396 UYJ786434:UYJ786932 UYJ851970:UYJ852468 UYJ917506:UYJ918004 UYJ983042:UYJ983540 VIF2:VIF500 VIF65538:VIF66036 VIF131074:VIF131572 VIF196610:VIF197108 VIF262146:VIF262644 VIF327682:VIF328180 VIF393218:VIF393716 VIF458754:VIF459252 VIF524290:VIF524788 VIF589826:VIF590324 VIF655362:VIF655860 VIF720898:VIF721396 VIF786434:VIF786932 VIF851970:VIF852468 VIF917506:VIF918004 VIF983042:VIF983540 VSB2:VSB500 VSB65538:VSB66036 VSB131074:VSB131572 VSB196610:VSB197108 VSB262146:VSB262644 VSB327682:VSB328180 VSB393218:VSB393716 VSB458754:VSB459252 VSB524290:VSB524788 VSB589826:VSB590324 VSB655362:VSB655860 VSB720898:VSB721396 VSB786434:VSB786932 VSB851970:VSB852468 VSB917506:VSB918004 VSB983042:VSB983540 WBX2:WBX500 WBX65538:WBX66036 WBX131074:WBX131572 WBX196610:WBX197108 WBX262146:WBX262644 WBX327682:WBX328180 WBX393218:WBX393716 WBX458754:WBX459252 WBX524290:WBX524788 WBX589826:WBX590324 WBX655362:WBX655860 WBX720898:WBX721396 WBX786434:WBX786932 WBX851970:WBX852468 WBX917506:WBX918004 WBX983042:WBX983540 WLT2:WLT500 WLT65538:WLT66036 WLT131074:WLT131572 WLT196610:WLT197108 WLT262146:WLT262644 WLT327682:WLT328180 WLT393218:WLT393716 WLT458754:WLT459252 WLT524290:WLT524788 WLT589826:WLT590324 WLT655362:WLT655860 WLT720898:WLT721396 WLT786434:WLT786932 WLT851970:WLT852468 WLT917506:WLT918004 WLT983042:WLT983540 WVP2:WVP500 WVP65538:WVP66036 WVP131074:WVP131572 WVP196610:WVP197108 WVP262146:WVP262644 WVP327682:WVP328180 WVP393218:WVP393716 WVP458754:WVP459252 WVP524290:WVP524788 WVP589826:WVP590324 WVP655362:WVP655860 WVP720898:WVP721396 WVP786434:WVP786932 WVP851970:WVP852468 WVP917506:WVP918004 WVP983042:WVP983540" xr:uid="{9D19DFF5-8F10-4D3A-9DBF-F4710D4492BE}">
      <formula1>$AL$2:$AL$8</formula1>
    </dataValidation>
    <dataValidation type="list" allowBlank="1" showInputMessage="1" showErrorMessage="1" sqref="H64423:H64476 H129959:H130012 H195495:H195548 H261031:H261084 H326567:H326620 H392103:H392156 H457639:H457692 H523175:H523228 H588711:H588764 H654247:H654300 H719783:H719836 H785319:H785372 H850855:H850908 H916391:H916444 H981927:H981980 H1047463:H1047516 JD64423:JD64476 JD129959:JD130012 JD195495:JD195548 JD261031:JD261084 JD326567:JD326620 JD392103:JD392156 JD457639:JD457692 JD523175:JD523228 JD588711:JD588764 JD654247:JD654300 JD719783:JD719836 JD785319:JD785372 JD850855:JD850908 JD916391:JD916444 JD981927:JD981980 JD1047463:JD1047516 SZ64423:SZ64476 SZ129959:SZ130012 SZ195495:SZ195548 SZ261031:SZ261084 SZ326567:SZ326620 SZ392103:SZ392156 SZ457639:SZ457692 SZ523175:SZ523228 SZ588711:SZ588764 SZ654247:SZ654300 SZ719783:SZ719836 SZ785319:SZ785372 SZ850855:SZ850908 SZ916391:SZ916444 SZ981927:SZ981980 SZ1047463:SZ1047516 ACV64423:ACV64476 ACV129959:ACV130012 ACV195495:ACV195548 ACV261031:ACV261084 ACV326567:ACV326620 ACV392103:ACV392156 ACV457639:ACV457692 ACV523175:ACV523228 ACV588711:ACV588764 ACV654247:ACV654300 ACV719783:ACV719836 ACV785319:ACV785372 ACV850855:ACV850908 ACV916391:ACV916444 ACV981927:ACV981980 ACV1047463:ACV1047516 AMR64423:AMR64476 AMR129959:AMR130012 AMR195495:AMR195548 AMR261031:AMR261084 AMR326567:AMR326620 AMR392103:AMR392156 AMR457639:AMR457692 AMR523175:AMR523228 AMR588711:AMR588764 AMR654247:AMR654300 AMR719783:AMR719836 AMR785319:AMR785372 AMR850855:AMR850908 AMR916391:AMR916444 AMR981927:AMR981980 AMR1047463:AMR1047516 AWN64423:AWN64476 AWN129959:AWN130012 AWN195495:AWN195548 AWN261031:AWN261084 AWN326567:AWN326620 AWN392103:AWN392156 AWN457639:AWN457692 AWN523175:AWN523228 AWN588711:AWN588764 AWN654247:AWN654300 AWN719783:AWN719836 AWN785319:AWN785372 AWN850855:AWN850908 AWN916391:AWN916444 AWN981927:AWN981980 AWN1047463:AWN1047516 BGJ64423:BGJ64476 BGJ129959:BGJ130012 BGJ195495:BGJ195548 BGJ261031:BGJ261084 BGJ326567:BGJ326620 BGJ392103:BGJ392156 BGJ457639:BGJ457692 BGJ523175:BGJ523228 BGJ588711:BGJ588764 BGJ654247:BGJ654300 BGJ719783:BGJ719836 BGJ785319:BGJ785372 BGJ850855:BGJ850908 BGJ916391:BGJ916444 BGJ981927:BGJ981980 BGJ1047463:BGJ1047516 BQF64423:BQF64476 BQF129959:BQF130012 BQF195495:BQF195548 BQF261031:BQF261084 BQF326567:BQF326620 BQF392103:BQF392156 BQF457639:BQF457692 BQF523175:BQF523228 BQF588711:BQF588764 BQF654247:BQF654300 BQF719783:BQF719836 BQF785319:BQF785372 BQF850855:BQF850908 BQF916391:BQF916444 BQF981927:BQF981980 BQF1047463:BQF1047516 CAB64423:CAB64476 CAB129959:CAB130012 CAB195495:CAB195548 CAB261031:CAB261084 CAB326567:CAB326620 CAB392103:CAB392156 CAB457639:CAB457692 CAB523175:CAB523228 CAB588711:CAB588764 CAB654247:CAB654300 CAB719783:CAB719836 CAB785319:CAB785372 CAB850855:CAB850908 CAB916391:CAB916444 CAB981927:CAB981980 CAB1047463:CAB1047516 CJX64423:CJX64476 CJX129959:CJX130012 CJX195495:CJX195548 CJX261031:CJX261084 CJX326567:CJX326620 CJX392103:CJX392156 CJX457639:CJX457692 CJX523175:CJX523228 CJX588711:CJX588764 CJX654247:CJX654300 CJX719783:CJX719836 CJX785319:CJX785372 CJX850855:CJX850908 CJX916391:CJX916444 CJX981927:CJX981980 CJX1047463:CJX1047516 CTT64423:CTT64476 CTT129959:CTT130012 CTT195495:CTT195548 CTT261031:CTT261084 CTT326567:CTT326620 CTT392103:CTT392156 CTT457639:CTT457692 CTT523175:CTT523228 CTT588711:CTT588764 CTT654247:CTT654300 CTT719783:CTT719836 CTT785319:CTT785372 CTT850855:CTT850908 CTT916391:CTT916444 CTT981927:CTT981980 CTT1047463:CTT1047516 DDP64423:DDP64476 DDP129959:DDP130012 DDP195495:DDP195548 DDP261031:DDP261084 DDP326567:DDP326620 DDP392103:DDP392156 DDP457639:DDP457692 DDP523175:DDP523228 DDP588711:DDP588764 DDP654247:DDP654300 DDP719783:DDP719836 DDP785319:DDP785372 DDP850855:DDP850908 DDP916391:DDP916444 DDP981927:DDP981980 DDP1047463:DDP1047516 DNL64423:DNL64476 DNL129959:DNL130012 DNL195495:DNL195548 DNL261031:DNL261084 DNL326567:DNL326620 DNL392103:DNL392156 DNL457639:DNL457692 DNL523175:DNL523228 DNL588711:DNL588764 DNL654247:DNL654300 DNL719783:DNL719836 DNL785319:DNL785372 DNL850855:DNL850908 DNL916391:DNL916444 DNL981927:DNL981980 DNL1047463:DNL1047516 DXH64423:DXH64476 DXH129959:DXH130012 DXH195495:DXH195548 DXH261031:DXH261084 DXH326567:DXH326620 DXH392103:DXH392156 DXH457639:DXH457692 DXH523175:DXH523228 DXH588711:DXH588764 DXH654247:DXH654300 DXH719783:DXH719836 DXH785319:DXH785372 DXH850855:DXH850908 DXH916391:DXH916444 DXH981927:DXH981980 DXH1047463:DXH1047516 EHD64423:EHD64476 EHD129959:EHD130012 EHD195495:EHD195548 EHD261031:EHD261084 EHD326567:EHD326620 EHD392103:EHD392156 EHD457639:EHD457692 EHD523175:EHD523228 EHD588711:EHD588764 EHD654247:EHD654300 EHD719783:EHD719836 EHD785319:EHD785372 EHD850855:EHD850908 EHD916391:EHD916444 EHD981927:EHD981980 EHD1047463:EHD1047516 EQZ64423:EQZ64476 EQZ129959:EQZ130012 EQZ195495:EQZ195548 EQZ261031:EQZ261084 EQZ326567:EQZ326620 EQZ392103:EQZ392156 EQZ457639:EQZ457692 EQZ523175:EQZ523228 EQZ588711:EQZ588764 EQZ654247:EQZ654300 EQZ719783:EQZ719836 EQZ785319:EQZ785372 EQZ850855:EQZ850908 EQZ916391:EQZ916444 EQZ981927:EQZ981980 EQZ1047463:EQZ1047516 FAV64423:FAV64476 FAV129959:FAV130012 FAV195495:FAV195548 FAV261031:FAV261084 FAV326567:FAV326620 FAV392103:FAV392156 FAV457639:FAV457692 FAV523175:FAV523228 FAV588711:FAV588764 FAV654247:FAV654300 FAV719783:FAV719836 FAV785319:FAV785372 FAV850855:FAV850908 FAV916391:FAV916444 FAV981927:FAV981980 FAV1047463:FAV1047516 FKR64423:FKR64476 FKR129959:FKR130012 FKR195495:FKR195548 FKR261031:FKR261084 FKR326567:FKR326620 FKR392103:FKR392156 FKR457639:FKR457692 FKR523175:FKR523228 FKR588711:FKR588764 FKR654247:FKR654300 FKR719783:FKR719836 FKR785319:FKR785372 FKR850855:FKR850908 FKR916391:FKR916444 FKR981927:FKR981980 FKR1047463:FKR1047516 FUN64423:FUN64476 FUN129959:FUN130012 FUN195495:FUN195548 FUN261031:FUN261084 FUN326567:FUN326620 FUN392103:FUN392156 FUN457639:FUN457692 FUN523175:FUN523228 FUN588711:FUN588764 FUN654247:FUN654300 FUN719783:FUN719836 FUN785319:FUN785372 FUN850855:FUN850908 FUN916391:FUN916444 FUN981927:FUN981980 FUN1047463:FUN1047516 GEJ64423:GEJ64476 GEJ129959:GEJ130012 GEJ195495:GEJ195548 GEJ261031:GEJ261084 GEJ326567:GEJ326620 GEJ392103:GEJ392156 GEJ457639:GEJ457692 GEJ523175:GEJ523228 GEJ588711:GEJ588764 GEJ654247:GEJ654300 GEJ719783:GEJ719836 GEJ785319:GEJ785372 GEJ850855:GEJ850908 GEJ916391:GEJ916444 GEJ981927:GEJ981980 GEJ1047463:GEJ1047516 GOF64423:GOF64476 GOF129959:GOF130012 GOF195495:GOF195548 GOF261031:GOF261084 GOF326567:GOF326620 GOF392103:GOF392156 GOF457639:GOF457692 GOF523175:GOF523228 GOF588711:GOF588764 GOF654247:GOF654300 GOF719783:GOF719836 GOF785319:GOF785372 GOF850855:GOF850908 GOF916391:GOF916444 GOF981927:GOF981980 GOF1047463:GOF1047516 GYB64423:GYB64476 GYB129959:GYB130012 GYB195495:GYB195548 GYB261031:GYB261084 GYB326567:GYB326620 GYB392103:GYB392156 GYB457639:GYB457692 GYB523175:GYB523228 GYB588711:GYB588764 GYB654247:GYB654300 GYB719783:GYB719836 GYB785319:GYB785372 GYB850855:GYB850908 GYB916391:GYB916444 GYB981927:GYB981980 GYB1047463:GYB1047516 HHX64423:HHX64476 HHX129959:HHX130012 HHX195495:HHX195548 HHX261031:HHX261084 HHX326567:HHX326620 HHX392103:HHX392156 HHX457639:HHX457692 HHX523175:HHX523228 HHX588711:HHX588764 HHX654247:HHX654300 HHX719783:HHX719836 HHX785319:HHX785372 HHX850855:HHX850908 HHX916391:HHX916444 HHX981927:HHX981980 HHX1047463:HHX1047516 HRT64423:HRT64476 HRT129959:HRT130012 HRT195495:HRT195548 HRT261031:HRT261084 HRT326567:HRT326620 HRT392103:HRT392156 HRT457639:HRT457692 HRT523175:HRT523228 HRT588711:HRT588764 HRT654247:HRT654300 HRT719783:HRT719836 HRT785319:HRT785372 HRT850855:HRT850908 HRT916391:HRT916444 HRT981927:HRT981980 HRT1047463:HRT1047516 IBP64423:IBP64476 IBP129959:IBP130012 IBP195495:IBP195548 IBP261031:IBP261084 IBP326567:IBP326620 IBP392103:IBP392156 IBP457639:IBP457692 IBP523175:IBP523228 IBP588711:IBP588764 IBP654247:IBP654300 IBP719783:IBP719836 IBP785319:IBP785372 IBP850855:IBP850908 IBP916391:IBP916444 IBP981927:IBP981980 IBP1047463:IBP1047516 ILL64423:ILL64476 ILL129959:ILL130012 ILL195495:ILL195548 ILL261031:ILL261084 ILL326567:ILL326620 ILL392103:ILL392156 ILL457639:ILL457692 ILL523175:ILL523228 ILL588711:ILL588764 ILL654247:ILL654300 ILL719783:ILL719836 ILL785319:ILL785372 ILL850855:ILL850908 ILL916391:ILL916444 ILL981927:ILL981980 ILL1047463:ILL1047516 IVH64423:IVH64476 IVH129959:IVH130012 IVH195495:IVH195548 IVH261031:IVH261084 IVH326567:IVH326620 IVH392103:IVH392156 IVH457639:IVH457692 IVH523175:IVH523228 IVH588711:IVH588764 IVH654247:IVH654300 IVH719783:IVH719836 IVH785319:IVH785372 IVH850855:IVH850908 IVH916391:IVH916444 IVH981927:IVH981980 IVH1047463:IVH1047516 JFD64423:JFD64476 JFD129959:JFD130012 JFD195495:JFD195548 JFD261031:JFD261084 JFD326567:JFD326620 JFD392103:JFD392156 JFD457639:JFD457692 JFD523175:JFD523228 JFD588711:JFD588764 JFD654247:JFD654300 JFD719783:JFD719836 JFD785319:JFD785372 JFD850855:JFD850908 JFD916391:JFD916444 JFD981927:JFD981980 JFD1047463:JFD1047516 JOZ64423:JOZ64476 JOZ129959:JOZ130012 JOZ195495:JOZ195548 JOZ261031:JOZ261084 JOZ326567:JOZ326620 JOZ392103:JOZ392156 JOZ457639:JOZ457692 JOZ523175:JOZ523228 JOZ588711:JOZ588764 JOZ654247:JOZ654300 JOZ719783:JOZ719836 JOZ785319:JOZ785372 JOZ850855:JOZ850908 JOZ916391:JOZ916444 JOZ981927:JOZ981980 JOZ1047463:JOZ1047516 JYV64423:JYV64476 JYV129959:JYV130012 JYV195495:JYV195548 JYV261031:JYV261084 JYV326567:JYV326620 JYV392103:JYV392156 JYV457639:JYV457692 JYV523175:JYV523228 JYV588711:JYV588764 JYV654247:JYV654300 JYV719783:JYV719836 JYV785319:JYV785372 JYV850855:JYV850908 JYV916391:JYV916444 JYV981927:JYV981980 JYV1047463:JYV1047516 KIR64423:KIR64476 KIR129959:KIR130012 KIR195495:KIR195548 KIR261031:KIR261084 KIR326567:KIR326620 KIR392103:KIR392156 KIR457639:KIR457692 KIR523175:KIR523228 KIR588711:KIR588764 KIR654247:KIR654300 KIR719783:KIR719836 KIR785319:KIR785372 KIR850855:KIR850908 KIR916391:KIR916444 KIR981927:KIR981980 KIR1047463:KIR1047516 KSN64423:KSN64476 KSN129959:KSN130012 KSN195495:KSN195548 KSN261031:KSN261084 KSN326567:KSN326620 KSN392103:KSN392156 KSN457639:KSN457692 KSN523175:KSN523228 KSN588711:KSN588764 KSN654247:KSN654300 KSN719783:KSN719836 KSN785319:KSN785372 KSN850855:KSN850908 KSN916391:KSN916444 KSN981927:KSN981980 KSN1047463:KSN1047516 LCJ64423:LCJ64476 LCJ129959:LCJ130012 LCJ195495:LCJ195548 LCJ261031:LCJ261084 LCJ326567:LCJ326620 LCJ392103:LCJ392156 LCJ457639:LCJ457692 LCJ523175:LCJ523228 LCJ588711:LCJ588764 LCJ654247:LCJ654300 LCJ719783:LCJ719836 LCJ785319:LCJ785372 LCJ850855:LCJ850908 LCJ916391:LCJ916444 LCJ981927:LCJ981980 LCJ1047463:LCJ1047516 LMF64423:LMF64476 LMF129959:LMF130012 LMF195495:LMF195548 LMF261031:LMF261084 LMF326567:LMF326620 LMF392103:LMF392156 LMF457639:LMF457692 LMF523175:LMF523228 LMF588711:LMF588764 LMF654247:LMF654300 LMF719783:LMF719836 LMF785319:LMF785372 LMF850855:LMF850908 LMF916391:LMF916444 LMF981927:LMF981980 LMF1047463:LMF1047516 LWB64423:LWB64476 LWB129959:LWB130012 LWB195495:LWB195548 LWB261031:LWB261084 LWB326567:LWB326620 LWB392103:LWB392156 LWB457639:LWB457692 LWB523175:LWB523228 LWB588711:LWB588764 LWB654247:LWB654300 LWB719783:LWB719836 LWB785319:LWB785372 LWB850855:LWB850908 LWB916391:LWB916444 LWB981927:LWB981980 LWB1047463:LWB1047516 MFX64423:MFX64476 MFX129959:MFX130012 MFX195495:MFX195548 MFX261031:MFX261084 MFX326567:MFX326620 MFX392103:MFX392156 MFX457639:MFX457692 MFX523175:MFX523228 MFX588711:MFX588764 MFX654247:MFX654300 MFX719783:MFX719836 MFX785319:MFX785372 MFX850855:MFX850908 MFX916391:MFX916444 MFX981927:MFX981980 MFX1047463:MFX1047516 MPT64423:MPT64476 MPT129959:MPT130012 MPT195495:MPT195548 MPT261031:MPT261084 MPT326567:MPT326620 MPT392103:MPT392156 MPT457639:MPT457692 MPT523175:MPT523228 MPT588711:MPT588764 MPT654247:MPT654300 MPT719783:MPT719836 MPT785319:MPT785372 MPT850855:MPT850908 MPT916391:MPT916444 MPT981927:MPT981980 MPT1047463:MPT1047516 MZP64423:MZP64476 MZP129959:MZP130012 MZP195495:MZP195548 MZP261031:MZP261084 MZP326567:MZP326620 MZP392103:MZP392156 MZP457639:MZP457692 MZP523175:MZP523228 MZP588711:MZP588764 MZP654247:MZP654300 MZP719783:MZP719836 MZP785319:MZP785372 MZP850855:MZP850908 MZP916391:MZP916444 MZP981927:MZP981980 MZP1047463:MZP1047516 NJL64423:NJL64476 NJL129959:NJL130012 NJL195495:NJL195548 NJL261031:NJL261084 NJL326567:NJL326620 NJL392103:NJL392156 NJL457639:NJL457692 NJL523175:NJL523228 NJL588711:NJL588764 NJL654247:NJL654300 NJL719783:NJL719836 NJL785319:NJL785372 NJL850855:NJL850908 NJL916391:NJL916444 NJL981927:NJL981980 NJL1047463:NJL1047516 NTH64423:NTH64476 NTH129959:NTH130012 NTH195495:NTH195548 NTH261031:NTH261084 NTH326567:NTH326620 NTH392103:NTH392156 NTH457639:NTH457692 NTH523175:NTH523228 NTH588711:NTH588764 NTH654247:NTH654300 NTH719783:NTH719836 NTH785319:NTH785372 NTH850855:NTH850908 NTH916391:NTH916444 NTH981927:NTH981980 NTH1047463:NTH1047516 ODD64423:ODD64476 ODD129959:ODD130012 ODD195495:ODD195548 ODD261031:ODD261084 ODD326567:ODD326620 ODD392103:ODD392156 ODD457639:ODD457692 ODD523175:ODD523228 ODD588711:ODD588764 ODD654247:ODD654300 ODD719783:ODD719836 ODD785319:ODD785372 ODD850855:ODD850908 ODD916391:ODD916444 ODD981927:ODD981980 ODD1047463:ODD1047516 OMZ64423:OMZ64476 OMZ129959:OMZ130012 OMZ195495:OMZ195548 OMZ261031:OMZ261084 OMZ326567:OMZ326620 OMZ392103:OMZ392156 OMZ457639:OMZ457692 OMZ523175:OMZ523228 OMZ588711:OMZ588764 OMZ654247:OMZ654300 OMZ719783:OMZ719836 OMZ785319:OMZ785372 OMZ850855:OMZ850908 OMZ916391:OMZ916444 OMZ981927:OMZ981980 OMZ1047463:OMZ1047516 OWV64423:OWV64476 OWV129959:OWV130012 OWV195495:OWV195548 OWV261031:OWV261084 OWV326567:OWV326620 OWV392103:OWV392156 OWV457639:OWV457692 OWV523175:OWV523228 OWV588711:OWV588764 OWV654247:OWV654300 OWV719783:OWV719836 OWV785319:OWV785372 OWV850855:OWV850908 OWV916391:OWV916444 OWV981927:OWV981980 OWV1047463:OWV1047516 PGR64423:PGR64476 PGR129959:PGR130012 PGR195495:PGR195548 PGR261031:PGR261084 PGR326567:PGR326620 PGR392103:PGR392156 PGR457639:PGR457692 PGR523175:PGR523228 PGR588711:PGR588764 PGR654247:PGR654300 PGR719783:PGR719836 PGR785319:PGR785372 PGR850855:PGR850908 PGR916391:PGR916444 PGR981927:PGR981980 PGR1047463:PGR1047516 PQN64423:PQN64476 PQN129959:PQN130012 PQN195495:PQN195548 PQN261031:PQN261084 PQN326567:PQN326620 PQN392103:PQN392156 PQN457639:PQN457692 PQN523175:PQN523228 PQN588711:PQN588764 PQN654247:PQN654300 PQN719783:PQN719836 PQN785319:PQN785372 PQN850855:PQN850908 PQN916391:PQN916444 PQN981927:PQN981980 PQN1047463:PQN1047516 QAJ64423:QAJ64476 QAJ129959:QAJ130012 QAJ195495:QAJ195548 QAJ261031:QAJ261084 QAJ326567:QAJ326620 QAJ392103:QAJ392156 QAJ457639:QAJ457692 QAJ523175:QAJ523228 QAJ588711:QAJ588764 QAJ654247:QAJ654300 QAJ719783:QAJ719836 QAJ785319:QAJ785372 QAJ850855:QAJ850908 QAJ916391:QAJ916444 QAJ981927:QAJ981980 QAJ1047463:QAJ1047516 QKF64423:QKF64476 QKF129959:QKF130012 QKF195495:QKF195548 QKF261031:QKF261084 QKF326567:QKF326620 QKF392103:QKF392156 QKF457639:QKF457692 QKF523175:QKF523228 QKF588711:QKF588764 QKF654247:QKF654300 QKF719783:QKF719836 QKF785319:QKF785372 QKF850855:QKF850908 QKF916391:QKF916444 QKF981927:QKF981980 QKF1047463:QKF1047516 QUB64423:QUB64476 QUB129959:QUB130012 QUB195495:QUB195548 QUB261031:QUB261084 QUB326567:QUB326620 QUB392103:QUB392156 QUB457639:QUB457692 QUB523175:QUB523228 QUB588711:QUB588764 QUB654247:QUB654300 QUB719783:QUB719836 QUB785319:QUB785372 QUB850855:QUB850908 QUB916391:QUB916444 QUB981927:QUB981980 QUB1047463:QUB1047516 RDX64423:RDX64476 RDX129959:RDX130012 RDX195495:RDX195548 RDX261031:RDX261084 RDX326567:RDX326620 RDX392103:RDX392156 RDX457639:RDX457692 RDX523175:RDX523228 RDX588711:RDX588764 RDX654247:RDX654300 RDX719783:RDX719836 RDX785319:RDX785372 RDX850855:RDX850908 RDX916391:RDX916444 RDX981927:RDX981980 RDX1047463:RDX1047516 RNT64423:RNT64476 RNT129959:RNT130012 RNT195495:RNT195548 RNT261031:RNT261084 RNT326567:RNT326620 RNT392103:RNT392156 RNT457639:RNT457692 RNT523175:RNT523228 RNT588711:RNT588764 RNT654247:RNT654300 RNT719783:RNT719836 RNT785319:RNT785372 RNT850855:RNT850908 RNT916391:RNT916444 RNT981927:RNT981980 RNT1047463:RNT1047516 RXP64423:RXP64476 RXP129959:RXP130012 RXP195495:RXP195548 RXP261031:RXP261084 RXP326567:RXP326620 RXP392103:RXP392156 RXP457639:RXP457692 RXP523175:RXP523228 RXP588711:RXP588764 RXP654247:RXP654300 RXP719783:RXP719836 RXP785319:RXP785372 RXP850855:RXP850908 RXP916391:RXP916444 RXP981927:RXP981980 RXP1047463:RXP1047516 SHL64423:SHL64476 SHL129959:SHL130012 SHL195495:SHL195548 SHL261031:SHL261084 SHL326567:SHL326620 SHL392103:SHL392156 SHL457639:SHL457692 SHL523175:SHL523228 SHL588711:SHL588764 SHL654247:SHL654300 SHL719783:SHL719836 SHL785319:SHL785372 SHL850855:SHL850908 SHL916391:SHL916444 SHL981927:SHL981980 SHL1047463:SHL1047516 SRH64423:SRH64476 SRH129959:SRH130012 SRH195495:SRH195548 SRH261031:SRH261084 SRH326567:SRH326620 SRH392103:SRH392156 SRH457639:SRH457692 SRH523175:SRH523228 SRH588711:SRH588764 SRH654247:SRH654300 SRH719783:SRH719836 SRH785319:SRH785372 SRH850855:SRH850908 SRH916391:SRH916444 SRH981927:SRH981980 SRH1047463:SRH1047516 TBD64423:TBD64476 TBD129959:TBD130012 TBD195495:TBD195548 TBD261031:TBD261084 TBD326567:TBD326620 TBD392103:TBD392156 TBD457639:TBD457692 TBD523175:TBD523228 TBD588711:TBD588764 TBD654247:TBD654300 TBD719783:TBD719836 TBD785319:TBD785372 TBD850855:TBD850908 TBD916391:TBD916444 TBD981927:TBD981980 TBD1047463:TBD1047516 TKZ64423:TKZ64476 TKZ129959:TKZ130012 TKZ195495:TKZ195548 TKZ261031:TKZ261084 TKZ326567:TKZ326620 TKZ392103:TKZ392156 TKZ457639:TKZ457692 TKZ523175:TKZ523228 TKZ588711:TKZ588764 TKZ654247:TKZ654300 TKZ719783:TKZ719836 TKZ785319:TKZ785372 TKZ850855:TKZ850908 TKZ916391:TKZ916444 TKZ981927:TKZ981980 TKZ1047463:TKZ1047516 TUV64423:TUV64476 TUV129959:TUV130012 TUV195495:TUV195548 TUV261031:TUV261084 TUV326567:TUV326620 TUV392103:TUV392156 TUV457639:TUV457692 TUV523175:TUV523228 TUV588711:TUV588764 TUV654247:TUV654300 TUV719783:TUV719836 TUV785319:TUV785372 TUV850855:TUV850908 TUV916391:TUV916444 TUV981927:TUV981980 TUV1047463:TUV1047516 UER64423:UER64476 UER129959:UER130012 UER195495:UER195548 UER261031:UER261084 UER326567:UER326620 UER392103:UER392156 UER457639:UER457692 UER523175:UER523228 UER588711:UER588764 UER654247:UER654300 UER719783:UER719836 UER785319:UER785372 UER850855:UER850908 UER916391:UER916444 UER981927:UER981980 UER1047463:UER1047516 UON64423:UON64476 UON129959:UON130012 UON195495:UON195548 UON261031:UON261084 UON326567:UON326620 UON392103:UON392156 UON457639:UON457692 UON523175:UON523228 UON588711:UON588764 UON654247:UON654300 UON719783:UON719836 UON785319:UON785372 UON850855:UON850908 UON916391:UON916444 UON981927:UON981980 UON1047463:UON1047516 UYJ64423:UYJ64476 UYJ129959:UYJ130012 UYJ195495:UYJ195548 UYJ261031:UYJ261084 UYJ326567:UYJ326620 UYJ392103:UYJ392156 UYJ457639:UYJ457692 UYJ523175:UYJ523228 UYJ588711:UYJ588764 UYJ654247:UYJ654300 UYJ719783:UYJ719836 UYJ785319:UYJ785372 UYJ850855:UYJ850908 UYJ916391:UYJ916444 UYJ981927:UYJ981980 UYJ1047463:UYJ1047516 VIF64423:VIF64476 VIF129959:VIF130012 VIF195495:VIF195548 VIF261031:VIF261084 VIF326567:VIF326620 VIF392103:VIF392156 VIF457639:VIF457692 VIF523175:VIF523228 VIF588711:VIF588764 VIF654247:VIF654300 VIF719783:VIF719836 VIF785319:VIF785372 VIF850855:VIF850908 VIF916391:VIF916444 VIF981927:VIF981980 VIF1047463:VIF1047516 VSB64423:VSB64476 VSB129959:VSB130012 VSB195495:VSB195548 VSB261031:VSB261084 VSB326567:VSB326620 VSB392103:VSB392156 VSB457639:VSB457692 VSB523175:VSB523228 VSB588711:VSB588764 VSB654247:VSB654300 VSB719783:VSB719836 VSB785319:VSB785372 VSB850855:VSB850908 VSB916391:VSB916444 VSB981927:VSB981980 VSB1047463:VSB1047516 WBX64423:WBX64476 WBX129959:WBX130012 WBX195495:WBX195548 WBX261031:WBX261084 WBX326567:WBX326620 WBX392103:WBX392156 WBX457639:WBX457692 WBX523175:WBX523228 WBX588711:WBX588764 WBX654247:WBX654300 WBX719783:WBX719836 WBX785319:WBX785372 WBX850855:WBX850908 WBX916391:WBX916444 WBX981927:WBX981980 WBX1047463:WBX1047516 WLT64423:WLT64476 WLT129959:WLT130012 WLT195495:WLT195548 WLT261031:WLT261084 WLT326567:WLT326620 WLT392103:WLT392156 WLT457639:WLT457692 WLT523175:WLT523228 WLT588711:WLT588764 WLT654247:WLT654300 WLT719783:WLT719836 WLT785319:WLT785372 WLT850855:WLT850908 WLT916391:WLT916444 WLT981927:WLT981980 WLT1047463:WLT1047516 WVP64423:WVP64476 WVP129959:WVP130012 WVP195495:WVP195548 WVP261031:WVP261084 WVP326567:WVP326620 WVP392103:WVP392156 WVP457639:WVP457692 WVP523175:WVP523228 WVP588711:WVP588764 WVP654247:WVP654300 WVP719783:WVP719836 WVP785319:WVP785372 WVP850855:WVP850908 WVP916391:WVP916444 WVP981927:WVP981980 WVP1047463:WVP1047516" xr:uid="{EC04438D-51EE-46DB-829C-37192FEE50FE}">
      <formula1>$AL$5:$AL$12</formula1>
    </dataValidation>
    <dataValidation type="list" allowBlank="1" showInputMessage="1" showErrorMessage="1" sqref="G1:G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WVO1:WVO1048576" xr:uid="{8B997407-2875-4D77-80CD-A136F46AF486}">
      <formula1>$AJ$2:$AJ$4</formula1>
    </dataValidation>
    <dataValidation type="list" allowBlank="1" showInputMessage="1" showErrorMessage="1" sqref="F2:F65536 F65538:F131072 F131074:F196608 F196610:F262144 F262146:F327680 F327682:F393216 F393218:F458752 F458754:F524288 F524290:F589824 F589826:F655360 F655362:F720896 F720898:F786432 F786434:F851968 F851970:F917504 F917506:F983040 F983042:F1048576 JB2:JB65536 JB65538:JB131072 JB131074:JB196608 JB196610:JB262144 JB262146:JB327680 JB327682:JB393216 JB393218:JB458752 JB458754:JB524288 JB524290:JB589824 JB589826:JB655360 JB655362:JB720896 JB720898:JB786432 JB786434:JB851968 JB851970:JB917504 JB917506:JB983040 JB983042:JB1048576 SX2:SX65536 SX65538:SX131072 SX131074:SX196608 SX196610:SX262144 SX262146:SX327680 SX327682:SX393216 SX393218:SX458752 SX458754:SX524288 SX524290:SX589824 SX589826:SX655360 SX655362:SX720896 SX720898:SX786432 SX786434:SX851968 SX851970:SX917504 SX917506:SX983040 SX983042:SX1048576 ACT2:ACT65536 ACT65538:ACT131072 ACT131074:ACT196608 ACT196610:ACT262144 ACT262146:ACT327680 ACT327682:ACT393216 ACT393218:ACT458752 ACT458754:ACT524288 ACT524290:ACT589824 ACT589826:ACT655360 ACT655362:ACT720896 ACT720898:ACT786432 ACT786434:ACT851968 ACT851970:ACT917504 ACT917506:ACT983040 ACT983042:ACT1048576 AMP2:AMP65536 AMP65538:AMP131072 AMP131074:AMP196608 AMP196610:AMP262144 AMP262146:AMP327680 AMP327682:AMP393216 AMP393218:AMP458752 AMP458754:AMP524288 AMP524290:AMP589824 AMP589826:AMP655360 AMP655362:AMP720896 AMP720898:AMP786432 AMP786434:AMP851968 AMP851970:AMP917504 AMP917506:AMP983040 AMP983042:AMP1048576 AWL2:AWL65536 AWL65538:AWL131072 AWL131074:AWL196608 AWL196610:AWL262144 AWL262146:AWL327680 AWL327682:AWL393216 AWL393218:AWL458752 AWL458754:AWL524288 AWL524290:AWL589824 AWL589826:AWL655360 AWL655362:AWL720896 AWL720898:AWL786432 AWL786434:AWL851968 AWL851970:AWL917504 AWL917506:AWL983040 AWL983042:AWL1048576 BGH2:BGH65536 BGH65538:BGH131072 BGH131074:BGH196608 BGH196610:BGH262144 BGH262146:BGH327680 BGH327682:BGH393216 BGH393218:BGH458752 BGH458754:BGH524288 BGH524290:BGH589824 BGH589826:BGH655360 BGH655362:BGH720896 BGH720898:BGH786432 BGH786434:BGH851968 BGH851970:BGH917504 BGH917506:BGH983040 BGH983042:BGH1048576 BQD2:BQD65536 BQD65538:BQD131072 BQD131074:BQD196608 BQD196610:BQD262144 BQD262146:BQD327680 BQD327682:BQD393216 BQD393218:BQD458752 BQD458754:BQD524288 BQD524290:BQD589824 BQD589826:BQD655360 BQD655362:BQD720896 BQD720898:BQD786432 BQD786434:BQD851968 BQD851970:BQD917504 BQD917506:BQD983040 BQD983042:BQD1048576 BZZ2:BZZ65536 BZZ65538:BZZ131072 BZZ131074:BZZ196608 BZZ196610:BZZ262144 BZZ262146:BZZ327680 BZZ327682:BZZ393216 BZZ393218:BZZ458752 BZZ458754:BZZ524288 BZZ524290:BZZ589824 BZZ589826:BZZ655360 BZZ655362:BZZ720896 BZZ720898:BZZ786432 BZZ786434:BZZ851968 BZZ851970:BZZ917504 BZZ917506:BZZ983040 BZZ983042:BZZ1048576 CJV2:CJV65536 CJV65538:CJV131072 CJV131074:CJV196608 CJV196610:CJV262144 CJV262146:CJV327680 CJV327682:CJV393216 CJV393218:CJV458752 CJV458754:CJV524288 CJV524290:CJV589824 CJV589826:CJV655360 CJV655362:CJV720896 CJV720898:CJV786432 CJV786434:CJV851968 CJV851970:CJV917504 CJV917506:CJV983040 CJV983042:CJV1048576 CTR2:CTR65536 CTR65538:CTR131072 CTR131074:CTR196608 CTR196610:CTR262144 CTR262146:CTR327680 CTR327682:CTR393216 CTR393218:CTR458752 CTR458754:CTR524288 CTR524290:CTR589824 CTR589826:CTR655360 CTR655362:CTR720896 CTR720898:CTR786432 CTR786434:CTR851968 CTR851970:CTR917504 CTR917506:CTR983040 CTR983042:CTR1048576 DDN2:DDN65536 DDN65538:DDN131072 DDN131074:DDN196608 DDN196610:DDN262144 DDN262146:DDN327680 DDN327682:DDN393216 DDN393218:DDN458752 DDN458754:DDN524288 DDN524290:DDN589824 DDN589826:DDN655360 DDN655362:DDN720896 DDN720898:DDN786432 DDN786434:DDN851968 DDN851970:DDN917504 DDN917506:DDN983040 DDN983042:DDN1048576 DNJ2:DNJ65536 DNJ65538:DNJ131072 DNJ131074:DNJ196608 DNJ196610:DNJ262144 DNJ262146:DNJ327680 DNJ327682:DNJ393216 DNJ393218:DNJ458752 DNJ458754:DNJ524288 DNJ524290:DNJ589824 DNJ589826:DNJ655360 DNJ655362:DNJ720896 DNJ720898:DNJ786432 DNJ786434:DNJ851968 DNJ851970:DNJ917504 DNJ917506:DNJ983040 DNJ983042:DNJ1048576 DXF2:DXF65536 DXF65538:DXF131072 DXF131074:DXF196608 DXF196610:DXF262144 DXF262146:DXF327680 DXF327682:DXF393216 DXF393218:DXF458752 DXF458754:DXF524288 DXF524290:DXF589824 DXF589826:DXF655360 DXF655362:DXF720896 DXF720898:DXF786432 DXF786434:DXF851968 DXF851970:DXF917504 DXF917506:DXF983040 DXF983042:DXF1048576 EHB2:EHB65536 EHB65538:EHB131072 EHB131074:EHB196608 EHB196610:EHB262144 EHB262146:EHB327680 EHB327682:EHB393216 EHB393218:EHB458752 EHB458754:EHB524288 EHB524290:EHB589824 EHB589826:EHB655360 EHB655362:EHB720896 EHB720898:EHB786432 EHB786434:EHB851968 EHB851970:EHB917504 EHB917506:EHB983040 EHB983042:EHB1048576 EQX2:EQX65536 EQX65538:EQX131072 EQX131074:EQX196608 EQX196610:EQX262144 EQX262146:EQX327680 EQX327682:EQX393216 EQX393218:EQX458752 EQX458754:EQX524288 EQX524290:EQX589824 EQX589826:EQX655360 EQX655362:EQX720896 EQX720898:EQX786432 EQX786434:EQX851968 EQX851970:EQX917504 EQX917506:EQX983040 EQX983042:EQX1048576 FAT2:FAT65536 FAT65538:FAT131072 FAT131074:FAT196608 FAT196610:FAT262144 FAT262146:FAT327680 FAT327682:FAT393216 FAT393218:FAT458752 FAT458754:FAT524288 FAT524290:FAT589824 FAT589826:FAT655360 FAT655362:FAT720896 FAT720898:FAT786432 FAT786434:FAT851968 FAT851970:FAT917504 FAT917506:FAT983040 FAT983042:FAT1048576 FKP2:FKP65536 FKP65538:FKP131072 FKP131074:FKP196608 FKP196610:FKP262144 FKP262146:FKP327680 FKP327682:FKP393216 FKP393218:FKP458752 FKP458754:FKP524288 FKP524290:FKP589824 FKP589826:FKP655360 FKP655362:FKP720896 FKP720898:FKP786432 FKP786434:FKP851968 FKP851970:FKP917504 FKP917506:FKP983040 FKP983042:FKP1048576 FUL2:FUL65536 FUL65538:FUL131072 FUL131074:FUL196608 FUL196610:FUL262144 FUL262146:FUL327680 FUL327682:FUL393216 FUL393218:FUL458752 FUL458754:FUL524288 FUL524290:FUL589824 FUL589826:FUL655360 FUL655362:FUL720896 FUL720898:FUL786432 FUL786434:FUL851968 FUL851970:FUL917504 FUL917506:FUL983040 FUL983042:FUL1048576 GEH2:GEH65536 GEH65538:GEH131072 GEH131074:GEH196608 GEH196610:GEH262144 GEH262146:GEH327680 GEH327682:GEH393216 GEH393218:GEH458752 GEH458754:GEH524288 GEH524290:GEH589824 GEH589826:GEH655360 GEH655362:GEH720896 GEH720898:GEH786432 GEH786434:GEH851968 GEH851970:GEH917504 GEH917506:GEH983040 GEH983042:GEH1048576 GOD2:GOD65536 GOD65538:GOD131072 GOD131074:GOD196608 GOD196610:GOD262144 GOD262146:GOD327680 GOD327682:GOD393216 GOD393218:GOD458752 GOD458754:GOD524288 GOD524290:GOD589824 GOD589826:GOD655360 GOD655362:GOD720896 GOD720898:GOD786432 GOD786434:GOD851968 GOD851970:GOD917504 GOD917506:GOD983040 GOD983042:GOD1048576 GXZ2:GXZ65536 GXZ65538:GXZ131072 GXZ131074:GXZ196608 GXZ196610:GXZ262144 GXZ262146:GXZ327680 GXZ327682:GXZ393216 GXZ393218:GXZ458752 GXZ458754:GXZ524288 GXZ524290:GXZ589824 GXZ589826:GXZ655360 GXZ655362:GXZ720896 GXZ720898:GXZ786432 GXZ786434:GXZ851968 GXZ851970:GXZ917504 GXZ917506:GXZ983040 GXZ983042:GXZ1048576 HHV2:HHV65536 HHV65538:HHV131072 HHV131074:HHV196608 HHV196610:HHV262144 HHV262146:HHV327680 HHV327682:HHV393216 HHV393218:HHV458752 HHV458754:HHV524288 HHV524290:HHV589824 HHV589826:HHV655360 HHV655362:HHV720896 HHV720898:HHV786432 HHV786434:HHV851968 HHV851970:HHV917504 HHV917506:HHV983040 HHV983042:HHV1048576 HRR2:HRR65536 HRR65538:HRR131072 HRR131074:HRR196608 HRR196610:HRR262144 HRR262146:HRR327680 HRR327682:HRR393216 HRR393218:HRR458752 HRR458754:HRR524288 HRR524290:HRR589824 HRR589826:HRR655360 HRR655362:HRR720896 HRR720898:HRR786432 HRR786434:HRR851968 HRR851970:HRR917504 HRR917506:HRR983040 HRR983042:HRR1048576 IBN2:IBN65536 IBN65538:IBN131072 IBN131074:IBN196608 IBN196610:IBN262144 IBN262146:IBN327680 IBN327682:IBN393216 IBN393218:IBN458752 IBN458754:IBN524288 IBN524290:IBN589824 IBN589826:IBN655360 IBN655362:IBN720896 IBN720898:IBN786432 IBN786434:IBN851968 IBN851970:IBN917504 IBN917506:IBN983040 IBN983042:IBN1048576 ILJ2:ILJ65536 ILJ65538:ILJ131072 ILJ131074:ILJ196608 ILJ196610:ILJ262144 ILJ262146:ILJ327680 ILJ327682:ILJ393216 ILJ393218:ILJ458752 ILJ458754:ILJ524288 ILJ524290:ILJ589824 ILJ589826:ILJ655360 ILJ655362:ILJ720896 ILJ720898:ILJ786432 ILJ786434:ILJ851968 ILJ851970:ILJ917504 ILJ917506:ILJ983040 ILJ983042:ILJ1048576 IVF2:IVF65536 IVF65538:IVF131072 IVF131074:IVF196608 IVF196610:IVF262144 IVF262146:IVF327680 IVF327682:IVF393216 IVF393218:IVF458752 IVF458754:IVF524288 IVF524290:IVF589824 IVF589826:IVF655360 IVF655362:IVF720896 IVF720898:IVF786432 IVF786434:IVF851968 IVF851970:IVF917504 IVF917506:IVF983040 IVF983042:IVF1048576 JFB2:JFB65536 JFB65538:JFB131072 JFB131074:JFB196608 JFB196610:JFB262144 JFB262146:JFB327680 JFB327682:JFB393216 JFB393218:JFB458752 JFB458754:JFB524288 JFB524290:JFB589824 JFB589826:JFB655360 JFB655362:JFB720896 JFB720898:JFB786432 JFB786434:JFB851968 JFB851970:JFB917504 JFB917506:JFB983040 JFB983042:JFB1048576 JOX2:JOX65536 JOX65538:JOX131072 JOX131074:JOX196608 JOX196610:JOX262144 JOX262146:JOX327680 JOX327682:JOX393216 JOX393218:JOX458752 JOX458754:JOX524288 JOX524290:JOX589824 JOX589826:JOX655360 JOX655362:JOX720896 JOX720898:JOX786432 JOX786434:JOX851968 JOX851970:JOX917504 JOX917506:JOX983040 JOX983042:JOX1048576 JYT2:JYT65536 JYT65538:JYT131072 JYT131074:JYT196608 JYT196610:JYT262144 JYT262146:JYT327680 JYT327682:JYT393216 JYT393218:JYT458752 JYT458754:JYT524288 JYT524290:JYT589824 JYT589826:JYT655360 JYT655362:JYT720896 JYT720898:JYT786432 JYT786434:JYT851968 JYT851970:JYT917504 JYT917506:JYT983040 JYT983042:JYT1048576 KIP2:KIP65536 KIP65538:KIP131072 KIP131074:KIP196608 KIP196610:KIP262144 KIP262146:KIP327680 KIP327682:KIP393216 KIP393218:KIP458752 KIP458754:KIP524288 KIP524290:KIP589824 KIP589826:KIP655360 KIP655362:KIP720896 KIP720898:KIP786432 KIP786434:KIP851968 KIP851970:KIP917504 KIP917506:KIP983040 KIP983042:KIP1048576 KSL2:KSL65536 KSL65538:KSL131072 KSL131074:KSL196608 KSL196610:KSL262144 KSL262146:KSL327680 KSL327682:KSL393216 KSL393218:KSL458752 KSL458754:KSL524288 KSL524290:KSL589824 KSL589826:KSL655360 KSL655362:KSL720896 KSL720898:KSL786432 KSL786434:KSL851968 KSL851970:KSL917504 KSL917506:KSL983040 KSL983042:KSL1048576 LCH2:LCH65536 LCH65538:LCH131072 LCH131074:LCH196608 LCH196610:LCH262144 LCH262146:LCH327680 LCH327682:LCH393216 LCH393218:LCH458752 LCH458754:LCH524288 LCH524290:LCH589824 LCH589826:LCH655360 LCH655362:LCH720896 LCH720898:LCH786432 LCH786434:LCH851968 LCH851970:LCH917504 LCH917506:LCH983040 LCH983042:LCH1048576 LMD2:LMD65536 LMD65538:LMD131072 LMD131074:LMD196608 LMD196610:LMD262144 LMD262146:LMD327680 LMD327682:LMD393216 LMD393218:LMD458752 LMD458754:LMD524288 LMD524290:LMD589824 LMD589826:LMD655360 LMD655362:LMD720896 LMD720898:LMD786432 LMD786434:LMD851968 LMD851970:LMD917504 LMD917506:LMD983040 LMD983042:LMD1048576 LVZ2:LVZ65536 LVZ65538:LVZ131072 LVZ131074:LVZ196608 LVZ196610:LVZ262144 LVZ262146:LVZ327680 LVZ327682:LVZ393216 LVZ393218:LVZ458752 LVZ458754:LVZ524288 LVZ524290:LVZ589824 LVZ589826:LVZ655360 LVZ655362:LVZ720896 LVZ720898:LVZ786432 LVZ786434:LVZ851968 LVZ851970:LVZ917504 LVZ917506:LVZ983040 LVZ983042:LVZ1048576 MFV2:MFV65536 MFV65538:MFV131072 MFV131074:MFV196608 MFV196610:MFV262144 MFV262146:MFV327680 MFV327682:MFV393216 MFV393218:MFV458752 MFV458754:MFV524288 MFV524290:MFV589824 MFV589826:MFV655360 MFV655362:MFV720896 MFV720898:MFV786432 MFV786434:MFV851968 MFV851970:MFV917504 MFV917506:MFV983040 MFV983042:MFV1048576 MPR2:MPR65536 MPR65538:MPR131072 MPR131074:MPR196608 MPR196610:MPR262144 MPR262146:MPR327680 MPR327682:MPR393216 MPR393218:MPR458752 MPR458754:MPR524288 MPR524290:MPR589824 MPR589826:MPR655360 MPR655362:MPR720896 MPR720898:MPR786432 MPR786434:MPR851968 MPR851970:MPR917504 MPR917506:MPR983040 MPR983042:MPR1048576 MZN2:MZN65536 MZN65538:MZN131072 MZN131074:MZN196608 MZN196610:MZN262144 MZN262146:MZN327680 MZN327682:MZN393216 MZN393218:MZN458752 MZN458754:MZN524288 MZN524290:MZN589824 MZN589826:MZN655360 MZN655362:MZN720896 MZN720898:MZN786432 MZN786434:MZN851968 MZN851970:MZN917504 MZN917506:MZN983040 MZN983042:MZN1048576 NJJ2:NJJ65536 NJJ65538:NJJ131072 NJJ131074:NJJ196608 NJJ196610:NJJ262144 NJJ262146:NJJ327680 NJJ327682:NJJ393216 NJJ393218:NJJ458752 NJJ458754:NJJ524288 NJJ524290:NJJ589824 NJJ589826:NJJ655360 NJJ655362:NJJ720896 NJJ720898:NJJ786432 NJJ786434:NJJ851968 NJJ851970:NJJ917504 NJJ917506:NJJ983040 NJJ983042:NJJ1048576 NTF2:NTF65536 NTF65538:NTF131072 NTF131074:NTF196608 NTF196610:NTF262144 NTF262146:NTF327680 NTF327682:NTF393216 NTF393218:NTF458752 NTF458754:NTF524288 NTF524290:NTF589824 NTF589826:NTF655360 NTF655362:NTF720896 NTF720898:NTF786432 NTF786434:NTF851968 NTF851970:NTF917504 NTF917506:NTF983040 NTF983042:NTF1048576 ODB2:ODB65536 ODB65538:ODB131072 ODB131074:ODB196608 ODB196610:ODB262144 ODB262146:ODB327680 ODB327682:ODB393216 ODB393218:ODB458752 ODB458754:ODB524288 ODB524290:ODB589824 ODB589826:ODB655360 ODB655362:ODB720896 ODB720898:ODB786432 ODB786434:ODB851968 ODB851970:ODB917504 ODB917506:ODB983040 ODB983042:ODB1048576 OMX2:OMX65536 OMX65538:OMX131072 OMX131074:OMX196608 OMX196610:OMX262144 OMX262146:OMX327680 OMX327682:OMX393216 OMX393218:OMX458752 OMX458754:OMX524288 OMX524290:OMX589824 OMX589826:OMX655360 OMX655362:OMX720896 OMX720898:OMX786432 OMX786434:OMX851968 OMX851970:OMX917504 OMX917506:OMX983040 OMX983042:OMX1048576 OWT2:OWT65536 OWT65538:OWT131072 OWT131074:OWT196608 OWT196610:OWT262144 OWT262146:OWT327680 OWT327682:OWT393216 OWT393218:OWT458752 OWT458754:OWT524288 OWT524290:OWT589824 OWT589826:OWT655360 OWT655362:OWT720896 OWT720898:OWT786432 OWT786434:OWT851968 OWT851970:OWT917504 OWT917506:OWT983040 OWT983042:OWT1048576 PGP2:PGP65536 PGP65538:PGP131072 PGP131074:PGP196608 PGP196610:PGP262144 PGP262146:PGP327680 PGP327682:PGP393216 PGP393218:PGP458752 PGP458754:PGP524288 PGP524290:PGP589824 PGP589826:PGP655360 PGP655362:PGP720896 PGP720898:PGP786432 PGP786434:PGP851968 PGP851970:PGP917504 PGP917506:PGP983040 PGP983042:PGP1048576 PQL2:PQL65536 PQL65538:PQL131072 PQL131074:PQL196608 PQL196610:PQL262144 PQL262146:PQL327680 PQL327682:PQL393216 PQL393218:PQL458752 PQL458754:PQL524288 PQL524290:PQL589824 PQL589826:PQL655360 PQL655362:PQL720896 PQL720898:PQL786432 PQL786434:PQL851968 PQL851970:PQL917504 PQL917506:PQL983040 PQL983042:PQL1048576 QAH2:QAH65536 QAH65538:QAH131072 QAH131074:QAH196608 QAH196610:QAH262144 QAH262146:QAH327680 QAH327682:QAH393216 QAH393218:QAH458752 QAH458754:QAH524288 QAH524290:QAH589824 QAH589826:QAH655360 QAH655362:QAH720896 QAH720898:QAH786432 QAH786434:QAH851968 QAH851970:QAH917504 QAH917506:QAH983040 QAH983042:QAH1048576 QKD2:QKD65536 QKD65538:QKD131072 QKD131074:QKD196608 QKD196610:QKD262144 QKD262146:QKD327680 QKD327682:QKD393216 QKD393218:QKD458752 QKD458754:QKD524288 QKD524290:QKD589824 QKD589826:QKD655360 QKD655362:QKD720896 QKD720898:QKD786432 QKD786434:QKD851968 QKD851970:QKD917504 QKD917506:QKD983040 QKD983042:QKD1048576 QTZ2:QTZ65536 QTZ65538:QTZ131072 QTZ131074:QTZ196608 QTZ196610:QTZ262144 QTZ262146:QTZ327680 QTZ327682:QTZ393216 QTZ393218:QTZ458752 QTZ458754:QTZ524288 QTZ524290:QTZ589824 QTZ589826:QTZ655360 QTZ655362:QTZ720896 QTZ720898:QTZ786432 QTZ786434:QTZ851968 QTZ851970:QTZ917504 QTZ917506:QTZ983040 QTZ983042:QTZ1048576 RDV2:RDV65536 RDV65538:RDV131072 RDV131074:RDV196608 RDV196610:RDV262144 RDV262146:RDV327680 RDV327682:RDV393216 RDV393218:RDV458752 RDV458754:RDV524288 RDV524290:RDV589824 RDV589826:RDV655360 RDV655362:RDV720896 RDV720898:RDV786432 RDV786434:RDV851968 RDV851970:RDV917504 RDV917506:RDV983040 RDV983042:RDV1048576 RNR2:RNR65536 RNR65538:RNR131072 RNR131074:RNR196608 RNR196610:RNR262144 RNR262146:RNR327680 RNR327682:RNR393216 RNR393218:RNR458752 RNR458754:RNR524288 RNR524290:RNR589824 RNR589826:RNR655360 RNR655362:RNR720896 RNR720898:RNR786432 RNR786434:RNR851968 RNR851970:RNR917504 RNR917506:RNR983040 RNR983042:RNR1048576 RXN2:RXN65536 RXN65538:RXN131072 RXN131074:RXN196608 RXN196610:RXN262144 RXN262146:RXN327680 RXN327682:RXN393216 RXN393218:RXN458752 RXN458754:RXN524288 RXN524290:RXN589824 RXN589826:RXN655360 RXN655362:RXN720896 RXN720898:RXN786432 RXN786434:RXN851968 RXN851970:RXN917504 RXN917506:RXN983040 RXN983042:RXN1048576 SHJ2:SHJ65536 SHJ65538:SHJ131072 SHJ131074:SHJ196608 SHJ196610:SHJ262144 SHJ262146:SHJ327680 SHJ327682:SHJ393216 SHJ393218:SHJ458752 SHJ458754:SHJ524288 SHJ524290:SHJ589824 SHJ589826:SHJ655360 SHJ655362:SHJ720896 SHJ720898:SHJ786432 SHJ786434:SHJ851968 SHJ851970:SHJ917504 SHJ917506:SHJ983040 SHJ983042:SHJ1048576 SRF2:SRF65536 SRF65538:SRF131072 SRF131074:SRF196608 SRF196610:SRF262144 SRF262146:SRF327680 SRF327682:SRF393216 SRF393218:SRF458752 SRF458754:SRF524288 SRF524290:SRF589824 SRF589826:SRF655360 SRF655362:SRF720896 SRF720898:SRF786432 SRF786434:SRF851968 SRF851970:SRF917504 SRF917506:SRF983040 SRF983042:SRF1048576 TBB2:TBB65536 TBB65538:TBB131072 TBB131074:TBB196608 TBB196610:TBB262144 TBB262146:TBB327680 TBB327682:TBB393216 TBB393218:TBB458752 TBB458754:TBB524288 TBB524290:TBB589824 TBB589826:TBB655360 TBB655362:TBB720896 TBB720898:TBB786432 TBB786434:TBB851968 TBB851970:TBB917504 TBB917506:TBB983040 TBB983042:TBB1048576 TKX2:TKX65536 TKX65538:TKX131072 TKX131074:TKX196608 TKX196610:TKX262144 TKX262146:TKX327680 TKX327682:TKX393216 TKX393218:TKX458752 TKX458754:TKX524288 TKX524290:TKX589824 TKX589826:TKX655360 TKX655362:TKX720896 TKX720898:TKX786432 TKX786434:TKX851968 TKX851970:TKX917504 TKX917506:TKX983040 TKX983042:TKX1048576 TUT2:TUT65536 TUT65538:TUT131072 TUT131074:TUT196608 TUT196610:TUT262144 TUT262146:TUT327680 TUT327682:TUT393216 TUT393218:TUT458752 TUT458754:TUT524288 TUT524290:TUT589824 TUT589826:TUT655360 TUT655362:TUT720896 TUT720898:TUT786432 TUT786434:TUT851968 TUT851970:TUT917504 TUT917506:TUT983040 TUT983042:TUT1048576 UEP2:UEP65536 UEP65538:UEP131072 UEP131074:UEP196608 UEP196610:UEP262144 UEP262146:UEP327680 UEP327682:UEP393216 UEP393218:UEP458752 UEP458754:UEP524288 UEP524290:UEP589824 UEP589826:UEP655360 UEP655362:UEP720896 UEP720898:UEP786432 UEP786434:UEP851968 UEP851970:UEP917504 UEP917506:UEP983040 UEP983042:UEP1048576 UOL2:UOL65536 UOL65538:UOL131072 UOL131074:UOL196608 UOL196610:UOL262144 UOL262146:UOL327680 UOL327682:UOL393216 UOL393218:UOL458752 UOL458754:UOL524288 UOL524290:UOL589824 UOL589826:UOL655360 UOL655362:UOL720896 UOL720898:UOL786432 UOL786434:UOL851968 UOL851970:UOL917504 UOL917506:UOL983040 UOL983042:UOL1048576 UYH2:UYH65536 UYH65538:UYH131072 UYH131074:UYH196608 UYH196610:UYH262144 UYH262146:UYH327680 UYH327682:UYH393216 UYH393218:UYH458752 UYH458754:UYH524288 UYH524290:UYH589824 UYH589826:UYH655360 UYH655362:UYH720896 UYH720898:UYH786432 UYH786434:UYH851968 UYH851970:UYH917504 UYH917506:UYH983040 UYH983042:UYH1048576 VID2:VID65536 VID65538:VID131072 VID131074:VID196608 VID196610:VID262144 VID262146:VID327680 VID327682:VID393216 VID393218:VID458752 VID458754:VID524288 VID524290:VID589824 VID589826:VID655360 VID655362:VID720896 VID720898:VID786432 VID786434:VID851968 VID851970:VID917504 VID917506:VID983040 VID983042:VID1048576 VRZ2:VRZ65536 VRZ65538:VRZ131072 VRZ131074:VRZ196608 VRZ196610:VRZ262144 VRZ262146:VRZ327680 VRZ327682:VRZ393216 VRZ393218:VRZ458752 VRZ458754:VRZ524288 VRZ524290:VRZ589824 VRZ589826:VRZ655360 VRZ655362:VRZ720896 VRZ720898:VRZ786432 VRZ786434:VRZ851968 VRZ851970:VRZ917504 VRZ917506:VRZ983040 VRZ983042:VRZ1048576 WBV2:WBV65536 WBV65538:WBV131072 WBV131074:WBV196608 WBV196610:WBV262144 WBV262146:WBV327680 WBV327682:WBV393216 WBV393218:WBV458752 WBV458754:WBV524288 WBV524290:WBV589824 WBV589826:WBV655360 WBV655362:WBV720896 WBV720898:WBV786432 WBV786434:WBV851968 WBV851970:WBV917504 WBV917506:WBV983040 WBV983042:WBV1048576 WLR2:WLR65536 WLR65538:WLR131072 WLR131074:WLR196608 WLR196610:WLR262144 WLR262146:WLR327680 WLR327682:WLR393216 WLR393218:WLR458752 WLR458754:WLR524288 WLR524290:WLR589824 WLR589826:WLR655360 WLR655362:WLR720896 WLR720898:WLR786432 WLR786434:WLR851968 WLR851970:WLR917504 WLR917506:WLR983040 WLR983042:WLR1048576 WVN2:WVN65536 WVN65538:WVN131072 WVN131074:WVN196608 WVN196610:WVN262144 WVN262146:WVN327680 WVN327682:WVN393216 WVN393218:WVN458752 WVN458754:WVN524288 WVN524290:WVN589824 WVN589826:WVN655360 WVN655362:WVN720896 WVN720898:WVN786432 WVN786434:WVN851968 WVN851970:WVN917504 WVN917506:WVN983040 WVN983042:WVN1048576" xr:uid="{7E9A8299-8B5B-4E61-BCEF-7F27562786F8}">
      <formula1>$AH$2:$AH$12</formula1>
    </dataValidation>
    <dataValidation type="list" allowBlank="1" showInputMessage="1" showErrorMessage="1" sqref="E2:E65536 E65538:E131072 E131074:E196608 E196610:E262144 E262146:E327680 E327682:E393216 E393218:E458752 E458754:E524288 E524290:E589824 E589826:E655360 E655362:E720896 E720898:E786432 E786434:E851968 E851970:E917504 E917506:E983040 E983042:E1048576 JA2:JA65536 JA65538:JA131072 JA131074:JA196608 JA196610:JA262144 JA262146:JA327680 JA327682:JA393216 JA393218:JA458752 JA458754:JA524288 JA524290:JA589824 JA589826:JA655360 JA655362:JA720896 JA720898:JA786432 JA786434:JA851968 JA851970:JA917504 JA917506:JA983040 JA983042:JA1048576 SW2:SW65536 SW65538:SW131072 SW131074:SW196608 SW196610:SW262144 SW262146:SW327680 SW327682:SW393216 SW393218:SW458752 SW458754:SW524288 SW524290:SW589824 SW589826:SW655360 SW655362:SW720896 SW720898:SW786432 SW786434:SW851968 SW851970:SW917504 SW917506:SW983040 SW983042:SW1048576 ACS2:ACS65536 ACS65538:ACS131072 ACS131074:ACS196608 ACS196610:ACS262144 ACS262146:ACS327680 ACS327682:ACS393216 ACS393218:ACS458752 ACS458754:ACS524288 ACS524290:ACS589824 ACS589826:ACS655360 ACS655362:ACS720896 ACS720898:ACS786432 ACS786434:ACS851968 ACS851970:ACS917504 ACS917506:ACS983040 ACS983042:ACS1048576 AMO2:AMO65536 AMO65538:AMO131072 AMO131074:AMO196608 AMO196610:AMO262144 AMO262146:AMO327680 AMO327682:AMO393216 AMO393218:AMO458752 AMO458754:AMO524288 AMO524290:AMO589824 AMO589826:AMO655360 AMO655362:AMO720896 AMO720898:AMO786432 AMO786434:AMO851968 AMO851970:AMO917504 AMO917506:AMO983040 AMO983042:AMO1048576 AWK2:AWK65536 AWK65538:AWK131072 AWK131074:AWK196608 AWK196610:AWK262144 AWK262146:AWK327680 AWK327682:AWK393216 AWK393218:AWK458752 AWK458754:AWK524288 AWK524290:AWK589824 AWK589826:AWK655360 AWK655362:AWK720896 AWK720898:AWK786432 AWK786434:AWK851968 AWK851970:AWK917504 AWK917506:AWK983040 AWK983042:AWK1048576 BGG2:BGG65536 BGG65538:BGG131072 BGG131074:BGG196608 BGG196610:BGG262144 BGG262146:BGG327680 BGG327682:BGG393216 BGG393218:BGG458752 BGG458754:BGG524288 BGG524290:BGG589824 BGG589826:BGG655360 BGG655362:BGG720896 BGG720898:BGG786432 BGG786434:BGG851968 BGG851970:BGG917504 BGG917506:BGG983040 BGG983042:BGG1048576 BQC2:BQC65536 BQC65538:BQC131072 BQC131074:BQC196608 BQC196610:BQC262144 BQC262146:BQC327680 BQC327682:BQC393216 BQC393218:BQC458752 BQC458754:BQC524288 BQC524290:BQC589824 BQC589826:BQC655360 BQC655362:BQC720896 BQC720898:BQC786432 BQC786434:BQC851968 BQC851970:BQC917504 BQC917506:BQC983040 BQC983042:BQC1048576 BZY2:BZY65536 BZY65538:BZY131072 BZY131074:BZY196608 BZY196610:BZY262144 BZY262146:BZY327680 BZY327682:BZY393216 BZY393218:BZY458752 BZY458754:BZY524288 BZY524290:BZY589824 BZY589826:BZY655360 BZY655362:BZY720896 BZY720898:BZY786432 BZY786434:BZY851968 BZY851970:BZY917504 BZY917506:BZY983040 BZY983042:BZY1048576 CJU2:CJU65536 CJU65538:CJU131072 CJU131074:CJU196608 CJU196610:CJU262144 CJU262146:CJU327680 CJU327682:CJU393216 CJU393218:CJU458752 CJU458754:CJU524288 CJU524290:CJU589824 CJU589826:CJU655360 CJU655362:CJU720896 CJU720898:CJU786432 CJU786434:CJU851968 CJU851970:CJU917504 CJU917506:CJU983040 CJU983042:CJU1048576 CTQ2:CTQ65536 CTQ65538:CTQ131072 CTQ131074:CTQ196608 CTQ196610:CTQ262144 CTQ262146:CTQ327680 CTQ327682:CTQ393216 CTQ393218:CTQ458752 CTQ458754:CTQ524288 CTQ524290:CTQ589824 CTQ589826:CTQ655360 CTQ655362:CTQ720896 CTQ720898:CTQ786432 CTQ786434:CTQ851968 CTQ851970:CTQ917504 CTQ917506:CTQ983040 CTQ983042:CTQ1048576 DDM2:DDM65536 DDM65538:DDM131072 DDM131074:DDM196608 DDM196610:DDM262144 DDM262146:DDM327680 DDM327682:DDM393216 DDM393218:DDM458752 DDM458754:DDM524288 DDM524290:DDM589824 DDM589826:DDM655360 DDM655362:DDM720896 DDM720898:DDM786432 DDM786434:DDM851968 DDM851970:DDM917504 DDM917506:DDM983040 DDM983042:DDM1048576 DNI2:DNI65536 DNI65538:DNI131072 DNI131074:DNI196608 DNI196610:DNI262144 DNI262146:DNI327680 DNI327682:DNI393216 DNI393218:DNI458752 DNI458754:DNI524288 DNI524290:DNI589824 DNI589826:DNI655360 DNI655362:DNI720896 DNI720898:DNI786432 DNI786434:DNI851968 DNI851970:DNI917504 DNI917506:DNI983040 DNI983042:DNI1048576 DXE2:DXE65536 DXE65538:DXE131072 DXE131074:DXE196608 DXE196610:DXE262144 DXE262146:DXE327680 DXE327682:DXE393216 DXE393218:DXE458752 DXE458754:DXE524288 DXE524290:DXE589824 DXE589826:DXE655360 DXE655362:DXE720896 DXE720898:DXE786432 DXE786434:DXE851968 DXE851970:DXE917504 DXE917506:DXE983040 DXE983042:DXE1048576 EHA2:EHA65536 EHA65538:EHA131072 EHA131074:EHA196608 EHA196610:EHA262144 EHA262146:EHA327680 EHA327682:EHA393216 EHA393218:EHA458752 EHA458754:EHA524288 EHA524290:EHA589824 EHA589826:EHA655360 EHA655362:EHA720896 EHA720898:EHA786432 EHA786434:EHA851968 EHA851970:EHA917504 EHA917506:EHA983040 EHA983042:EHA1048576 EQW2:EQW65536 EQW65538:EQW131072 EQW131074:EQW196608 EQW196610:EQW262144 EQW262146:EQW327680 EQW327682:EQW393216 EQW393218:EQW458752 EQW458754:EQW524288 EQW524290:EQW589824 EQW589826:EQW655360 EQW655362:EQW720896 EQW720898:EQW786432 EQW786434:EQW851968 EQW851970:EQW917504 EQW917506:EQW983040 EQW983042:EQW1048576 FAS2:FAS65536 FAS65538:FAS131072 FAS131074:FAS196608 FAS196610:FAS262144 FAS262146:FAS327680 FAS327682:FAS393216 FAS393218:FAS458752 FAS458754:FAS524288 FAS524290:FAS589824 FAS589826:FAS655360 FAS655362:FAS720896 FAS720898:FAS786432 FAS786434:FAS851968 FAS851970:FAS917504 FAS917506:FAS983040 FAS983042:FAS1048576 FKO2:FKO65536 FKO65538:FKO131072 FKO131074:FKO196608 FKO196610:FKO262144 FKO262146:FKO327680 FKO327682:FKO393216 FKO393218:FKO458752 FKO458754:FKO524288 FKO524290:FKO589824 FKO589826:FKO655360 FKO655362:FKO720896 FKO720898:FKO786432 FKO786434:FKO851968 FKO851970:FKO917504 FKO917506:FKO983040 FKO983042:FKO1048576 FUK2:FUK65536 FUK65538:FUK131072 FUK131074:FUK196608 FUK196610:FUK262144 FUK262146:FUK327680 FUK327682:FUK393216 FUK393218:FUK458752 FUK458754:FUK524288 FUK524290:FUK589824 FUK589826:FUK655360 FUK655362:FUK720896 FUK720898:FUK786432 FUK786434:FUK851968 FUK851970:FUK917504 FUK917506:FUK983040 FUK983042:FUK1048576 GEG2:GEG65536 GEG65538:GEG131072 GEG131074:GEG196608 GEG196610:GEG262144 GEG262146:GEG327680 GEG327682:GEG393216 GEG393218:GEG458752 GEG458754:GEG524288 GEG524290:GEG589824 GEG589826:GEG655360 GEG655362:GEG720896 GEG720898:GEG786432 GEG786434:GEG851968 GEG851970:GEG917504 GEG917506:GEG983040 GEG983042:GEG1048576 GOC2:GOC65536 GOC65538:GOC131072 GOC131074:GOC196608 GOC196610:GOC262144 GOC262146:GOC327680 GOC327682:GOC393216 GOC393218:GOC458752 GOC458754:GOC524288 GOC524290:GOC589824 GOC589826:GOC655360 GOC655362:GOC720896 GOC720898:GOC786432 GOC786434:GOC851968 GOC851970:GOC917504 GOC917506:GOC983040 GOC983042:GOC1048576 GXY2:GXY65536 GXY65538:GXY131072 GXY131074:GXY196608 GXY196610:GXY262144 GXY262146:GXY327680 GXY327682:GXY393216 GXY393218:GXY458752 GXY458754:GXY524288 GXY524290:GXY589824 GXY589826:GXY655360 GXY655362:GXY720896 GXY720898:GXY786432 GXY786434:GXY851968 GXY851970:GXY917504 GXY917506:GXY983040 GXY983042:GXY1048576 HHU2:HHU65536 HHU65538:HHU131072 HHU131074:HHU196608 HHU196610:HHU262144 HHU262146:HHU327680 HHU327682:HHU393216 HHU393218:HHU458752 HHU458754:HHU524288 HHU524290:HHU589824 HHU589826:HHU655360 HHU655362:HHU720896 HHU720898:HHU786432 HHU786434:HHU851968 HHU851970:HHU917504 HHU917506:HHU983040 HHU983042:HHU1048576 HRQ2:HRQ65536 HRQ65538:HRQ131072 HRQ131074:HRQ196608 HRQ196610:HRQ262144 HRQ262146:HRQ327680 HRQ327682:HRQ393216 HRQ393218:HRQ458752 HRQ458754:HRQ524288 HRQ524290:HRQ589824 HRQ589826:HRQ655360 HRQ655362:HRQ720896 HRQ720898:HRQ786432 HRQ786434:HRQ851968 HRQ851970:HRQ917504 HRQ917506:HRQ983040 HRQ983042:HRQ1048576 IBM2:IBM65536 IBM65538:IBM131072 IBM131074:IBM196608 IBM196610:IBM262144 IBM262146:IBM327680 IBM327682:IBM393216 IBM393218:IBM458752 IBM458754:IBM524288 IBM524290:IBM589824 IBM589826:IBM655360 IBM655362:IBM720896 IBM720898:IBM786432 IBM786434:IBM851968 IBM851970:IBM917504 IBM917506:IBM983040 IBM983042:IBM1048576 ILI2:ILI65536 ILI65538:ILI131072 ILI131074:ILI196608 ILI196610:ILI262144 ILI262146:ILI327680 ILI327682:ILI393216 ILI393218:ILI458752 ILI458754:ILI524288 ILI524290:ILI589824 ILI589826:ILI655360 ILI655362:ILI720896 ILI720898:ILI786432 ILI786434:ILI851968 ILI851970:ILI917504 ILI917506:ILI983040 ILI983042:ILI1048576 IVE2:IVE65536 IVE65538:IVE131072 IVE131074:IVE196608 IVE196610:IVE262144 IVE262146:IVE327680 IVE327682:IVE393216 IVE393218:IVE458752 IVE458754:IVE524288 IVE524290:IVE589824 IVE589826:IVE655360 IVE655362:IVE720896 IVE720898:IVE786432 IVE786434:IVE851968 IVE851970:IVE917504 IVE917506:IVE983040 IVE983042:IVE1048576 JFA2:JFA65536 JFA65538:JFA131072 JFA131074:JFA196608 JFA196610:JFA262144 JFA262146:JFA327680 JFA327682:JFA393216 JFA393218:JFA458752 JFA458754:JFA524288 JFA524290:JFA589824 JFA589826:JFA655360 JFA655362:JFA720896 JFA720898:JFA786432 JFA786434:JFA851968 JFA851970:JFA917504 JFA917506:JFA983040 JFA983042:JFA1048576 JOW2:JOW65536 JOW65538:JOW131072 JOW131074:JOW196608 JOW196610:JOW262144 JOW262146:JOW327680 JOW327682:JOW393216 JOW393218:JOW458752 JOW458754:JOW524288 JOW524290:JOW589824 JOW589826:JOW655360 JOW655362:JOW720896 JOW720898:JOW786432 JOW786434:JOW851968 JOW851970:JOW917504 JOW917506:JOW983040 JOW983042:JOW1048576 JYS2:JYS65536 JYS65538:JYS131072 JYS131074:JYS196608 JYS196610:JYS262144 JYS262146:JYS327680 JYS327682:JYS393216 JYS393218:JYS458752 JYS458754:JYS524288 JYS524290:JYS589824 JYS589826:JYS655360 JYS655362:JYS720896 JYS720898:JYS786432 JYS786434:JYS851968 JYS851970:JYS917504 JYS917506:JYS983040 JYS983042:JYS1048576 KIO2:KIO65536 KIO65538:KIO131072 KIO131074:KIO196608 KIO196610:KIO262144 KIO262146:KIO327680 KIO327682:KIO393216 KIO393218:KIO458752 KIO458754:KIO524288 KIO524290:KIO589824 KIO589826:KIO655360 KIO655362:KIO720896 KIO720898:KIO786432 KIO786434:KIO851968 KIO851970:KIO917504 KIO917506:KIO983040 KIO983042:KIO1048576 KSK2:KSK65536 KSK65538:KSK131072 KSK131074:KSK196608 KSK196610:KSK262144 KSK262146:KSK327680 KSK327682:KSK393216 KSK393218:KSK458752 KSK458754:KSK524288 KSK524290:KSK589824 KSK589826:KSK655360 KSK655362:KSK720896 KSK720898:KSK786432 KSK786434:KSK851968 KSK851970:KSK917504 KSK917506:KSK983040 KSK983042:KSK1048576 LCG2:LCG65536 LCG65538:LCG131072 LCG131074:LCG196608 LCG196610:LCG262144 LCG262146:LCG327680 LCG327682:LCG393216 LCG393218:LCG458752 LCG458754:LCG524288 LCG524290:LCG589824 LCG589826:LCG655360 LCG655362:LCG720896 LCG720898:LCG786432 LCG786434:LCG851968 LCG851970:LCG917504 LCG917506:LCG983040 LCG983042:LCG1048576 LMC2:LMC65536 LMC65538:LMC131072 LMC131074:LMC196608 LMC196610:LMC262144 LMC262146:LMC327680 LMC327682:LMC393216 LMC393218:LMC458752 LMC458754:LMC524288 LMC524290:LMC589824 LMC589826:LMC655360 LMC655362:LMC720896 LMC720898:LMC786432 LMC786434:LMC851968 LMC851970:LMC917504 LMC917506:LMC983040 LMC983042:LMC1048576 LVY2:LVY65536 LVY65538:LVY131072 LVY131074:LVY196608 LVY196610:LVY262144 LVY262146:LVY327680 LVY327682:LVY393216 LVY393218:LVY458752 LVY458754:LVY524288 LVY524290:LVY589824 LVY589826:LVY655360 LVY655362:LVY720896 LVY720898:LVY786432 LVY786434:LVY851968 LVY851970:LVY917504 LVY917506:LVY983040 LVY983042:LVY1048576 MFU2:MFU65536 MFU65538:MFU131072 MFU131074:MFU196608 MFU196610:MFU262144 MFU262146:MFU327680 MFU327682:MFU393216 MFU393218:MFU458752 MFU458754:MFU524288 MFU524290:MFU589824 MFU589826:MFU655360 MFU655362:MFU720896 MFU720898:MFU786432 MFU786434:MFU851968 MFU851970:MFU917504 MFU917506:MFU983040 MFU983042:MFU1048576 MPQ2:MPQ65536 MPQ65538:MPQ131072 MPQ131074:MPQ196608 MPQ196610:MPQ262144 MPQ262146:MPQ327680 MPQ327682:MPQ393216 MPQ393218:MPQ458752 MPQ458754:MPQ524288 MPQ524290:MPQ589824 MPQ589826:MPQ655360 MPQ655362:MPQ720896 MPQ720898:MPQ786432 MPQ786434:MPQ851968 MPQ851970:MPQ917504 MPQ917506:MPQ983040 MPQ983042:MPQ1048576 MZM2:MZM65536 MZM65538:MZM131072 MZM131074:MZM196608 MZM196610:MZM262144 MZM262146:MZM327680 MZM327682:MZM393216 MZM393218:MZM458752 MZM458754:MZM524288 MZM524290:MZM589824 MZM589826:MZM655360 MZM655362:MZM720896 MZM720898:MZM786432 MZM786434:MZM851968 MZM851970:MZM917504 MZM917506:MZM983040 MZM983042:MZM1048576 NJI2:NJI65536 NJI65538:NJI131072 NJI131074:NJI196608 NJI196610:NJI262144 NJI262146:NJI327680 NJI327682:NJI393216 NJI393218:NJI458752 NJI458754:NJI524288 NJI524290:NJI589824 NJI589826:NJI655360 NJI655362:NJI720896 NJI720898:NJI786432 NJI786434:NJI851968 NJI851970:NJI917504 NJI917506:NJI983040 NJI983042:NJI1048576 NTE2:NTE65536 NTE65538:NTE131072 NTE131074:NTE196608 NTE196610:NTE262144 NTE262146:NTE327680 NTE327682:NTE393216 NTE393218:NTE458752 NTE458754:NTE524288 NTE524290:NTE589824 NTE589826:NTE655360 NTE655362:NTE720896 NTE720898:NTE786432 NTE786434:NTE851968 NTE851970:NTE917504 NTE917506:NTE983040 NTE983042:NTE1048576 ODA2:ODA65536 ODA65538:ODA131072 ODA131074:ODA196608 ODA196610:ODA262144 ODA262146:ODA327680 ODA327682:ODA393216 ODA393218:ODA458752 ODA458754:ODA524288 ODA524290:ODA589824 ODA589826:ODA655360 ODA655362:ODA720896 ODA720898:ODA786432 ODA786434:ODA851968 ODA851970:ODA917504 ODA917506:ODA983040 ODA983042:ODA1048576 OMW2:OMW65536 OMW65538:OMW131072 OMW131074:OMW196608 OMW196610:OMW262144 OMW262146:OMW327680 OMW327682:OMW393216 OMW393218:OMW458752 OMW458754:OMW524288 OMW524290:OMW589824 OMW589826:OMW655360 OMW655362:OMW720896 OMW720898:OMW786432 OMW786434:OMW851968 OMW851970:OMW917504 OMW917506:OMW983040 OMW983042:OMW1048576 OWS2:OWS65536 OWS65538:OWS131072 OWS131074:OWS196608 OWS196610:OWS262144 OWS262146:OWS327680 OWS327682:OWS393216 OWS393218:OWS458752 OWS458754:OWS524288 OWS524290:OWS589824 OWS589826:OWS655360 OWS655362:OWS720896 OWS720898:OWS786432 OWS786434:OWS851968 OWS851970:OWS917504 OWS917506:OWS983040 OWS983042:OWS1048576 PGO2:PGO65536 PGO65538:PGO131072 PGO131074:PGO196608 PGO196610:PGO262144 PGO262146:PGO327680 PGO327682:PGO393216 PGO393218:PGO458752 PGO458754:PGO524288 PGO524290:PGO589824 PGO589826:PGO655360 PGO655362:PGO720896 PGO720898:PGO786432 PGO786434:PGO851968 PGO851970:PGO917504 PGO917506:PGO983040 PGO983042:PGO1048576 PQK2:PQK65536 PQK65538:PQK131072 PQK131074:PQK196608 PQK196610:PQK262144 PQK262146:PQK327680 PQK327682:PQK393216 PQK393218:PQK458752 PQK458754:PQK524288 PQK524290:PQK589824 PQK589826:PQK655360 PQK655362:PQK720896 PQK720898:PQK786432 PQK786434:PQK851968 PQK851970:PQK917504 PQK917506:PQK983040 PQK983042:PQK1048576 QAG2:QAG65536 QAG65538:QAG131072 QAG131074:QAG196608 QAG196610:QAG262144 QAG262146:QAG327680 QAG327682:QAG393216 QAG393218:QAG458752 QAG458754:QAG524288 QAG524290:QAG589824 QAG589826:QAG655360 QAG655362:QAG720896 QAG720898:QAG786432 QAG786434:QAG851968 QAG851970:QAG917504 QAG917506:QAG983040 QAG983042:QAG1048576 QKC2:QKC65536 QKC65538:QKC131072 QKC131074:QKC196608 QKC196610:QKC262144 QKC262146:QKC327680 QKC327682:QKC393216 QKC393218:QKC458752 QKC458754:QKC524288 QKC524290:QKC589824 QKC589826:QKC655360 QKC655362:QKC720896 QKC720898:QKC786432 QKC786434:QKC851968 QKC851970:QKC917504 QKC917506:QKC983040 QKC983042:QKC1048576 QTY2:QTY65536 QTY65538:QTY131072 QTY131074:QTY196608 QTY196610:QTY262144 QTY262146:QTY327680 QTY327682:QTY393216 QTY393218:QTY458752 QTY458754:QTY524288 QTY524290:QTY589824 QTY589826:QTY655360 QTY655362:QTY720896 QTY720898:QTY786432 QTY786434:QTY851968 QTY851970:QTY917504 QTY917506:QTY983040 QTY983042:QTY1048576 RDU2:RDU65536 RDU65538:RDU131072 RDU131074:RDU196608 RDU196610:RDU262144 RDU262146:RDU327680 RDU327682:RDU393216 RDU393218:RDU458752 RDU458754:RDU524288 RDU524290:RDU589824 RDU589826:RDU655360 RDU655362:RDU720896 RDU720898:RDU786432 RDU786434:RDU851968 RDU851970:RDU917504 RDU917506:RDU983040 RDU983042:RDU1048576 RNQ2:RNQ65536 RNQ65538:RNQ131072 RNQ131074:RNQ196608 RNQ196610:RNQ262144 RNQ262146:RNQ327680 RNQ327682:RNQ393216 RNQ393218:RNQ458752 RNQ458754:RNQ524288 RNQ524290:RNQ589824 RNQ589826:RNQ655360 RNQ655362:RNQ720896 RNQ720898:RNQ786432 RNQ786434:RNQ851968 RNQ851970:RNQ917504 RNQ917506:RNQ983040 RNQ983042:RNQ1048576 RXM2:RXM65536 RXM65538:RXM131072 RXM131074:RXM196608 RXM196610:RXM262144 RXM262146:RXM327680 RXM327682:RXM393216 RXM393218:RXM458752 RXM458754:RXM524288 RXM524290:RXM589824 RXM589826:RXM655360 RXM655362:RXM720896 RXM720898:RXM786432 RXM786434:RXM851968 RXM851970:RXM917504 RXM917506:RXM983040 RXM983042:RXM1048576 SHI2:SHI65536 SHI65538:SHI131072 SHI131074:SHI196608 SHI196610:SHI262144 SHI262146:SHI327680 SHI327682:SHI393216 SHI393218:SHI458752 SHI458754:SHI524288 SHI524290:SHI589824 SHI589826:SHI655360 SHI655362:SHI720896 SHI720898:SHI786432 SHI786434:SHI851968 SHI851970:SHI917504 SHI917506:SHI983040 SHI983042:SHI1048576 SRE2:SRE65536 SRE65538:SRE131072 SRE131074:SRE196608 SRE196610:SRE262144 SRE262146:SRE327680 SRE327682:SRE393216 SRE393218:SRE458752 SRE458754:SRE524288 SRE524290:SRE589824 SRE589826:SRE655360 SRE655362:SRE720896 SRE720898:SRE786432 SRE786434:SRE851968 SRE851970:SRE917504 SRE917506:SRE983040 SRE983042:SRE1048576 TBA2:TBA65536 TBA65538:TBA131072 TBA131074:TBA196608 TBA196610:TBA262144 TBA262146:TBA327680 TBA327682:TBA393216 TBA393218:TBA458752 TBA458754:TBA524288 TBA524290:TBA589824 TBA589826:TBA655360 TBA655362:TBA720896 TBA720898:TBA786432 TBA786434:TBA851968 TBA851970:TBA917504 TBA917506:TBA983040 TBA983042:TBA1048576 TKW2:TKW65536 TKW65538:TKW131072 TKW131074:TKW196608 TKW196610:TKW262144 TKW262146:TKW327680 TKW327682:TKW393216 TKW393218:TKW458752 TKW458754:TKW524288 TKW524290:TKW589824 TKW589826:TKW655360 TKW655362:TKW720896 TKW720898:TKW786432 TKW786434:TKW851968 TKW851970:TKW917504 TKW917506:TKW983040 TKW983042:TKW1048576 TUS2:TUS65536 TUS65538:TUS131072 TUS131074:TUS196608 TUS196610:TUS262144 TUS262146:TUS327680 TUS327682:TUS393216 TUS393218:TUS458752 TUS458754:TUS524288 TUS524290:TUS589824 TUS589826:TUS655360 TUS655362:TUS720896 TUS720898:TUS786432 TUS786434:TUS851968 TUS851970:TUS917504 TUS917506:TUS983040 TUS983042:TUS1048576 UEO2:UEO65536 UEO65538:UEO131072 UEO131074:UEO196608 UEO196610:UEO262144 UEO262146:UEO327680 UEO327682:UEO393216 UEO393218:UEO458752 UEO458754:UEO524288 UEO524290:UEO589824 UEO589826:UEO655360 UEO655362:UEO720896 UEO720898:UEO786432 UEO786434:UEO851968 UEO851970:UEO917504 UEO917506:UEO983040 UEO983042:UEO1048576 UOK2:UOK65536 UOK65538:UOK131072 UOK131074:UOK196608 UOK196610:UOK262144 UOK262146:UOK327680 UOK327682:UOK393216 UOK393218:UOK458752 UOK458754:UOK524288 UOK524290:UOK589824 UOK589826:UOK655360 UOK655362:UOK720896 UOK720898:UOK786432 UOK786434:UOK851968 UOK851970:UOK917504 UOK917506:UOK983040 UOK983042:UOK1048576 UYG2:UYG65536 UYG65538:UYG131072 UYG131074:UYG196608 UYG196610:UYG262144 UYG262146:UYG327680 UYG327682:UYG393216 UYG393218:UYG458752 UYG458754:UYG524288 UYG524290:UYG589824 UYG589826:UYG655360 UYG655362:UYG720896 UYG720898:UYG786432 UYG786434:UYG851968 UYG851970:UYG917504 UYG917506:UYG983040 UYG983042:UYG1048576 VIC2:VIC65536 VIC65538:VIC131072 VIC131074:VIC196608 VIC196610:VIC262144 VIC262146:VIC327680 VIC327682:VIC393216 VIC393218:VIC458752 VIC458754:VIC524288 VIC524290:VIC589824 VIC589826:VIC655360 VIC655362:VIC720896 VIC720898:VIC786432 VIC786434:VIC851968 VIC851970:VIC917504 VIC917506:VIC983040 VIC983042:VIC1048576 VRY2:VRY65536 VRY65538:VRY131072 VRY131074:VRY196608 VRY196610:VRY262144 VRY262146:VRY327680 VRY327682:VRY393216 VRY393218:VRY458752 VRY458754:VRY524288 VRY524290:VRY589824 VRY589826:VRY655360 VRY655362:VRY720896 VRY720898:VRY786432 VRY786434:VRY851968 VRY851970:VRY917504 VRY917506:VRY983040 VRY983042:VRY1048576 WBU2:WBU65536 WBU65538:WBU131072 WBU131074:WBU196608 WBU196610:WBU262144 WBU262146:WBU327680 WBU327682:WBU393216 WBU393218:WBU458752 WBU458754:WBU524288 WBU524290:WBU589824 WBU589826:WBU655360 WBU655362:WBU720896 WBU720898:WBU786432 WBU786434:WBU851968 WBU851970:WBU917504 WBU917506:WBU983040 WBU983042:WBU1048576 WLQ2:WLQ65536 WLQ65538:WLQ131072 WLQ131074:WLQ196608 WLQ196610:WLQ262144 WLQ262146:WLQ327680 WLQ327682:WLQ393216 WLQ393218:WLQ458752 WLQ458754:WLQ524288 WLQ524290:WLQ589824 WLQ589826:WLQ655360 WLQ655362:WLQ720896 WLQ720898:WLQ786432 WLQ786434:WLQ851968 WLQ851970:WLQ917504 WLQ917506:WLQ983040 WLQ983042:WLQ1048576 WVM2:WVM65536 WVM65538:WVM131072 WVM131074:WVM196608 WVM196610:WVM262144 WVM262146:WVM327680 WVM327682:WVM393216 WVM393218:WVM458752 WVM458754:WVM524288 WVM524290:WVM589824 WVM589826:WVM655360 WVM655362:WVM720896 WVM720898:WVM786432 WVM786434:WVM851968 WVM851970:WVM917504 WVM917506:WVM983040 WVM983042:WVM1048576" xr:uid="{A60C5C79-C1E7-4360-B53D-3208A1E38FC6}">
      <formula1>$AG$2:$AG$12</formula1>
    </dataValidation>
    <dataValidation allowBlank="1" showInputMessage="1" showErrorMessage="1" sqref="B64423:B64476 B129959:B130012 B195495:B195548 B261031:B261084 B326567:B326620 B392103:B392156 B457639:B457692 B523175:B523228 B588711:B588764 B654247:B654300 B719783:B719836 B785319:B785372 B850855:B850908 B916391:B916444 B981927:B981980 B1047463:B1047516 IX64423:IX64476 IX129959:IX130012 IX195495:IX195548 IX261031:IX261084 IX326567:IX326620 IX392103:IX392156 IX457639:IX457692 IX523175:IX523228 IX588711:IX588764 IX654247:IX654300 IX719783:IX719836 IX785319:IX785372 IX850855:IX850908 IX916391:IX916444 IX981927:IX981980 IX1047463:IX1047516 ST64423:ST64476 ST129959:ST130012 ST195495:ST195548 ST261031:ST261084 ST326567:ST326620 ST392103:ST392156 ST457639:ST457692 ST523175:ST523228 ST588711:ST588764 ST654247:ST654300 ST719783:ST719836 ST785319:ST785372 ST850855:ST850908 ST916391:ST916444 ST981927:ST981980 ST1047463:ST1047516 ACP64423:ACP64476 ACP129959:ACP130012 ACP195495:ACP195548 ACP261031:ACP261084 ACP326567:ACP326620 ACP392103:ACP392156 ACP457639:ACP457692 ACP523175:ACP523228 ACP588711:ACP588764 ACP654247:ACP654300 ACP719783:ACP719836 ACP785319:ACP785372 ACP850855:ACP850908 ACP916391:ACP916444 ACP981927:ACP981980 ACP1047463:ACP1047516 AML64423:AML64476 AML129959:AML130012 AML195495:AML195548 AML261031:AML261084 AML326567:AML326620 AML392103:AML392156 AML457639:AML457692 AML523175:AML523228 AML588711:AML588764 AML654247:AML654300 AML719783:AML719836 AML785319:AML785372 AML850855:AML850908 AML916391:AML916444 AML981927:AML981980 AML1047463:AML1047516 AWH64423:AWH64476 AWH129959:AWH130012 AWH195495:AWH195548 AWH261031:AWH261084 AWH326567:AWH326620 AWH392103:AWH392156 AWH457639:AWH457692 AWH523175:AWH523228 AWH588711:AWH588764 AWH654247:AWH654300 AWH719783:AWH719836 AWH785319:AWH785372 AWH850855:AWH850908 AWH916391:AWH916444 AWH981927:AWH981980 AWH1047463:AWH1047516 BGD64423:BGD64476 BGD129959:BGD130012 BGD195495:BGD195548 BGD261031:BGD261084 BGD326567:BGD326620 BGD392103:BGD392156 BGD457639:BGD457692 BGD523175:BGD523228 BGD588711:BGD588764 BGD654247:BGD654300 BGD719783:BGD719836 BGD785319:BGD785372 BGD850855:BGD850908 BGD916391:BGD916444 BGD981927:BGD981980 BGD1047463:BGD1047516 BPZ64423:BPZ64476 BPZ129959:BPZ130012 BPZ195495:BPZ195548 BPZ261031:BPZ261084 BPZ326567:BPZ326620 BPZ392103:BPZ392156 BPZ457639:BPZ457692 BPZ523175:BPZ523228 BPZ588711:BPZ588764 BPZ654247:BPZ654300 BPZ719783:BPZ719836 BPZ785319:BPZ785372 BPZ850855:BPZ850908 BPZ916391:BPZ916444 BPZ981927:BPZ981980 BPZ1047463:BPZ1047516 BZV64423:BZV64476 BZV129959:BZV130012 BZV195495:BZV195548 BZV261031:BZV261084 BZV326567:BZV326620 BZV392103:BZV392156 BZV457639:BZV457692 BZV523175:BZV523228 BZV588711:BZV588764 BZV654247:BZV654300 BZV719783:BZV719836 BZV785319:BZV785372 BZV850855:BZV850908 BZV916391:BZV916444 BZV981927:BZV981980 BZV1047463:BZV1047516 CJR64423:CJR64476 CJR129959:CJR130012 CJR195495:CJR195548 CJR261031:CJR261084 CJR326567:CJR326620 CJR392103:CJR392156 CJR457639:CJR457692 CJR523175:CJR523228 CJR588711:CJR588764 CJR654247:CJR654300 CJR719783:CJR719836 CJR785319:CJR785372 CJR850855:CJR850908 CJR916391:CJR916444 CJR981927:CJR981980 CJR1047463:CJR1047516 CTN64423:CTN64476 CTN129959:CTN130012 CTN195495:CTN195548 CTN261031:CTN261084 CTN326567:CTN326620 CTN392103:CTN392156 CTN457639:CTN457692 CTN523175:CTN523228 CTN588711:CTN588764 CTN654247:CTN654300 CTN719783:CTN719836 CTN785319:CTN785372 CTN850855:CTN850908 CTN916391:CTN916444 CTN981927:CTN981980 CTN1047463:CTN1047516 DDJ64423:DDJ64476 DDJ129959:DDJ130012 DDJ195495:DDJ195548 DDJ261031:DDJ261084 DDJ326567:DDJ326620 DDJ392103:DDJ392156 DDJ457639:DDJ457692 DDJ523175:DDJ523228 DDJ588711:DDJ588764 DDJ654247:DDJ654300 DDJ719783:DDJ719836 DDJ785319:DDJ785372 DDJ850855:DDJ850908 DDJ916391:DDJ916444 DDJ981927:DDJ981980 DDJ1047463:DDJ1047516 DNF64423:DNF64476 DNF129959:DNF130012 DNF195495:DNF195548 DNF261031:DNF261084 DNF326567:DNF326620 DNF392103:DNF392156 DNF457639:DNF457692 DNF523175:DNF523228 DNF588711:DNF588764 DNF654247:DNF654300 DNF719783:DNF719836 DNF785319:DNF785372 DNF850855:DNF850908 DNF916391:DNF916444 DNF981927:DNF981980 DNF1047463:DNF1047516 DXB64423:DXB64476 DXB129959:DXB130012 DXB195495:DXB195548 DXB261031:DXB261084 DXB326567:DXB326620 DXB392103:DXB392156 DXB457639:DXB457692 DXB523175:DXB523228 DXB588711:DXB588764 DXB654247:DXB654300 DXB719783:DXB719836 DXB785319:DXB785372 DXB850855:DXB850908 DXB916391:DXB916444 DXB981927:DXB981980 DXB1047463:DXB1047516 EGX64423:EGX64476 EGX129959:EGX130012 EGX195495:EGX195548 EGX261031:EGX261084 EGX326567:EGX326620 EGX392103:EGX392156 EGX457639:EGX457692 EGX523175:EGX523228 EGX588711:EGX588764 EGX654247:EGX654300 EGX719783:EGX719836 EGX785319:EGX785372 EGX850855:EGX850908 EGX916391:EGX916444 EGX981927:EGX981980 EGX1047463:EGX1047516 EQT64423:EQT64476 EQT129959:EQT130012 EQT195495:EQT195548 EQT261031:EQT261084 EQT326567:EQT326620 EQT392103:EQT392156 EQT457639:EQT457692 EQT523175:EQT523228 EQT588711:EQT588764 EQT654247:EQT654300 EQT719783:EQT719836 EQT785319:EQT785372 EQT850855:EQT850908 EQT916391:EQT916444 EQT981927:EQT981980 EQT1047463:EQT1047516 FAP64423:FAP64476 FAP129959:FAP130012 FAP195495:FAP195548 FAP261031:FAP261084 FAP326567:FAP326620 FAP392103:FAP392156 FAP457639:FAP457692 FAP523175:FAP523228 FAP588711:FAP588764 FAP654247:FAP654300 FAP719783:FAP719836 FAP785319:FAP785372 FAP850855:FAP850908 FAP916391:FAP916444 FAP981927:FAP981980 FAP1047463:FAP1047516 FKL64423:FKL64476 FKL129959:FKL130012 FKL195495:FKL195548 FKL261031:FKL261084 FKL326567:FKL326620 FKL392103:FKL392156 FKL457639:FKL457692 FKL523175:FKL523228 FKL588711:FKL588764 FKL654247:FKL654300 FKL719783:FKL719836 FKL785319:FKL785372 FKL850855:FKL850908 FKL916391:FKL916444 FKL981927:FKL981980 FKL1047463:FKL1047516 FUH64423:FUH64476 FUH129959:FUH130012 FUH195495:FUH195548 FUH261031:FUH261084 FUH326567:FUH326620 FUH392103:FUH392156 FUH457639:FUH457692 FUH523175:FUH523228 FUH588711:FUH588764 FUH654247:FUH654300 FUH719783:FUH719836 FUH785319:FUH785372 FUH850855:FUH850908 FUH916391:FUH916444 FUH981927:FUH981980 FUH1047463:FUH1047516 GED64423:GED64476 GED129959:GED130012 GED195495:GED195548 GED261031:GED261084 GED326567:GED326620 GED392103:GED392156 GED457639:GED457692 GED523175:GED523228 GED588711:GED588764 GED654247:GED654300 GED719783:GED719836 GED785319:GED785372 GED850855:GED850908 GED916391:GED916444 GED981927:GED981980 GED1047463:GED1047516 GNZ64423:GNZ64476 GNZ129959:GNZ130012 GNZ195495:GNZ195548 GNZ261031:GNZ261084 GNZ326567:GNZ326620 GNZ392103:GNZ392156 GNZ457639:GNZ457692 GNZ523175:GNZ523228 GNZ588711:GNZ588764 GNZ654247:GNZ654300 GNZ719783:GNZ719836 GNZ785319:GNZ785372 GNZ850855:GNZ850908 GNZ916391:GNZ916444 GNZ981927:GNZ981980 GNZ1047463:GNZ1047516 GXV64423:GXV64476 GXV129959:GXV130012 GXV195495:GXV195548 GXV261031:GXV261084 GXV326567:GXV326620 GXV392103:GXV392156 GXV457639:GXV457692 GXV523175:GXV523228 GXV588711:GXV588764 GXV654247:GXV654300 GXV719783:GXV719836 GXV785319:GXV785372 GXV850855:GXV850908 GXV916391:GXV916444 GXV981927:GXV981980 GXV1047463:GXV1047516 HHR64423:HHR64476 HHR129959:HHR130012 HHR195495:HHR195548 HHR261031:HHR261084 HHR326567:HHR326620 HHR392103:HHR392156 HHR457639:HHR457692 HHR523175:HHR523228 HHR588711:HHR588764 HHR654247:HHR654300 HHR719783:HHR719836 HHR785319:HHR785372 HHR850855:HHR850908 HHR916391:HHR916444 HHR981927:HHR981980 HHR1047463:HHR1047516 HRN64423:HRN64476 HRN129959:HRN130012 HRN195495:HRN195548 HRN261031:HRN261084 HRN326567:HRN326620 HRN392103:HRN392156 HRN457639:HRN457692 HRN523175:HRN523228 HRN588711:HRN588764 HRN654247:HRN654300 HRN719783:HRN719836 HRN785319:HRN785372 HRN850855:HRN850908 HRN916391:HRN916444 HRN981927:HRN981980 HRN1047463:HRN1047516 IBJ64423:IBJ64476 IBJ129959:IBJ130012 IBJ195495:IBJ195548 IBJ261031:IBJ261084 IBJ326567:IBJ326620 IBJ392103:IBJ392156 IBJ457639:IBJ457692 IBJ523175:IBJ523228 IBJ588711:IBJ588764 IBJ654247:IBJ654300 IBJ719783:IBJ719836 IBJ785319:IBJ785372 IBJ850855:IBJ850908 IBJ916391:IBJ916444 IBJ981927:IBJ981980 IBJ1047463:IBJ1047516 ILF64423:ILF64476 ILF129959:ILF130012 ILF195495:ILF195548 ILF261031:ILF261084 ILF326567:ILF326620 ILF392103:ILF392156 ILF457639:ILF457692 ILF523175:ILF523228 ILF588711:ILF588764 ILF654247:ILF654300 ILF719783:ILF719836 ILF785319:ILF785372 ILF850855:ILF850908 ILF916391:ILF916444 ILF981927:ILF981980 ILF1047463:ILF1047516 IVB64423:IVB64476 IVB129959:IVB130012 IVB195495:IVB195548 IVB261031:IVB261084 IVB326567:IVB326620 IVB392103:IVB392156 IVB457639:IVB457692 IVB523175:IVB523228 IVB588711:IVB588764 IVB654247:IVB654300 IVB719783:IVB719836 IVB785319:IVB785372 IVB850855:IVB850908 IVB916391:IVB916444 IVB981927:IVB981980 IVB1047463:IVB1047516 JEX64423:JEX64476 JEX129959:JEX130012 JEX195495:JEX195548 JEX261031:JEX261084 JEX326567:JEX326620 JEX392103:JEX392156 JEX457639:JEX457692 JEX523175:JEX523228 JEX588711:JEX588764 JEX654247:JEX654300 JEX719783:JEX719836 JEX785319:JEX785372 JEX850855:JEX850908 JEX916391:JEX916444 JEX981927:JEX981980 JEX1047463:JEX1047516 JOT64423:JOT64476 JOT129959:JOT130012 JOT195495:JOT195548 JOT261031:JOT261084 JOT326567:JOT326620 JOT392103:JOT392156 JOT457639:JOT457692 JOT523175:JOT523228 JOT588711:JOT588764 JOT654247:JOT654300 JOT719783:JOT719836 JOT785319:JOT785372 JOT850855:JOT850908 JOT916391:JOT916444 JOT981927:JOT981980 JOT1047463:JOT1047516 JYP64423:JYP64476 JYP129959:JYP130012 JYP195495:JYP195548 JYP261031:JYP261084 JYP326567:JYP326620 JYP392103:JYP392156 JYP457639:JYP457692 JYP523175:JYP523228 JYP588711:JYP588764 JYP654247:JYP654300 JYP719783:JYP719836 JYP785319:JYP785372 JYP850855:JYP850908 JYP916391:JYP916444 JYP981927:JYP981980 JYP1047463:JYP1047516 KIL64423:KIL64476 KIL129959:KIL130012 KIL195495:KIL195548 KIL261031:KIL261084 KIL326567:KIL326620 KIL392103:KIL392156 KIL457639:KIL457692 KIL523175:KIL523228 KIL588711:KIL588764 KIL654247:KIL654300 KIL719783:KIL719836 KIL785319:KIL785372 KIL850855:KIL850908 KIL916391:KIL916444 KIL981927:KIL981980 KIL1047463:KIL1047516 KSH64423:KSH64476 KSH129959:KSH130012 KSH195495:KSH195548 KSH261031:KSH261084 KSH326567:KSH326620 KSH392103:KSH392156 KSH457639:KSH457692 KSH523175:KSH523228 KSH588711:KSH588764 KSH654247:KSH654300 KSH719783:KSH719836 KSH785319:KSH785372 KSH850855:KSH850908 KSH916391:KSH916444 KSH981927:KSH981980 KSH1047463:KSH1047516 LCD64423:LCD64476 LCD129959:LCD130012 LCD195495:LCD195548 LCD261031:LCD261084 LCD326567:LCD326620 LCD392103:LCD392156 LCD457639:LCD457692 LCD523175:LCD523228 LCD588711:LCD588764 LCD654247:LCD654300 LCD719783:LCD719836 LCD785319:LCD785372 LCD850855:LCD850908 LCD916391:LCD916444 LCD981927:LCD981980 LCD1047463:LCD1047516 LLZ64423:LLZ64476 LLZ129959:LLZ130012 LLZ195495:LLZ195548 LLZ261031:LLZ261084 LLZ326567:LLZ326620 LLZ392103:LLZ392156 LLZ457639:LLZ457692 LLZ523175:LLZ523228 LLZ588711:LLZ588764 LLZ654247:LLZ654300 LLZ719783:LLZ719836 LLZ785319:LLZ785372 LLZ850855:LLZ850908 LLZ916391:LLZ916444 LLZ981927:LLZ981980 LLZ1047463:LLZ1047516 LVV64423:LVV64476 LVV129959:LVV130012 LVV195495:LVV195548 LVV261031:LVV261084 LVV326567:LVV326620 LVV392103:LVV392156 LVV457639:LVV457692 LVV523175:LVV523228 LVV588711:LVV588764 LVV654247:LVV654300 LVV719783:LVV719836 LVV785319:LVV785372 LVV850855:LVV850908 LVV916391:LVV916444 LVV981927:LVV981980 LVV1047463:LVV1047516 MFR64423:MFR64476 MFR129959:MFR130012 MFR195495:MFR195548 MFR261031:MFR261084 MFR326567:MFR326620 MFR392103:MFR392156 MFR457639:MFR457692 MFR523175:MFR523228 MFR588711:MFR588764 MFR654247:MFR654300 MFR719783:MFR719836 MFR785319:MFR785372 MFR850855:MFR850908 MFR916391:MFR916444 MFR981927:MFR981980 MFR1047463:MFR1047516 MPN64423:MPN64476 MPN129959:MPN130012 MPN195495:MPN195548 MPN261031:MPN261084 MPN326567:MPN326620 MPN392103:MPN392156 MPN457639:MPN457692 MPN523175:MPN523228 MPN588711:MPN588764 MPN654247:MPN654300 MPN719783:MPN719836 MPN785319:MPN785372 MPN850855:MPN850908 MPN916391:MPN916444 MPN981927:MPN981980 MPN1047463:MPN1047516 MZJ64423:MZJ64476 MZJ129959:MZJ130012 MZJ195495:MZJ195548 MZJ261031:MZJ261084 MZJ326567:MZJ326620 MZJ392103:MZJ392156 MZJ457639:MZJ457692 MZJ523175:MZJ523228 MZJ588711:MZJ588764 MZJ654247:MZJ654300 MZJ719783:MZJ719836 MZJ785319:MZJ785372 MZJ850855:MZJ850908 MZJ916391:MZJ916444 MZJ981927:MZJ981980 MZJ1047463:MZJ1047516 NJF64423:NJF64476 NJF129959:NJF130012 NJF195495:NJF195548 NJF261031:NJF261084 NJF326567:NJF326620 NJF392103:NJF392156 NJF457639:NJF457692 NJF523175:NJF523228 NJF588711:NJF588764 NJF654247:NJF654300 NJF719783:NJF719836 NJF785319:NJF785372 NJF850855:NJF850908 NJF916391:NJF916444 NJF981927:NJF981980 NJF1047463:NJF1047516 NTB64423:NTB64476 NTB129959:NTB130012 NTB195495:NTB195548 NTB261031:NTB261084 NTB326567:NTB326620 NTB392103:NTB392156 NTB457639:NTB457692 NTB523175:NTB523228 NTB588711:NTB588764 NTB654247:NTB654300 NTB719783:NTB719836 NTB785319:NTB785372 NTB850855:NTB850908 NTB916391:NTB916444 NTB981927:NTB981980 NTB1047463:NTB1047516 OCX64423:OCX64476 OCX129959:OCX130012 OCX195495:OCX195548 OCX261031:OCX261084 OCX326567:OCX326620 OCX392103:OCX392156 OCX457639:OCX457692 OCX523175:OCX523228 OCX588711:OCX588764 OCX654247:OCX654300 OCX719783:OCX719836 OCX785319:OCX785372 OCX850855:OCX850908 OCX916391:OCX916444 OCX981927:OCX981980 OCX1047463:OCX1047516 OMT64423:OMT64476 OMT129959:OMT130012 OMT195495:OMT195548 OMT261031:OMT261084 OMT326567:OMT326620 OMT392103:OMT392156 OMT457639:OMT457692 OMT523175:OMT523228 OMT588711:OMT588764 OMT654247:OMT654300 OMT719783:OMT719836 OMT785319:OMT785372 OMT850855:OMT850908 OMT916391:OMT916444 OMT981927:OMT981980 OMT1047463:OMT1047516 OWP64423:OWP64476 OWP129959:OWP130012 OWP195495:OWP195548 OWP261031:OWP261084 OWP326567:OWP326620 OWP392103:OWP392156 OWP457639:OWP457692 OWP523175:OWP523228 OWP588711:OWP588764 OWP654247:OWP654300 OWP719783:OWP719836 OWP785319:OWP785372 OWP850855:OWP850908 OWP916391:OWP916444 OWP981927:OWP981980 OWP1047463:OWP1047516 PGL64423:PGL64476 PGL129959:PGL130012 PGL195495:PGL195548 PGL261031:PGL261084 PGL326567:PGL326620 PGL392103:PGL392156 PGL457639:PGL457692 PGL523175:PGL523228 PGL588711:PGL588764 PGL654247:PGL654300 PGL719783:PGL719836 PGL785319:PGL785372 PGL850855:PGL850908 PGL916391:PGL916444 PGL981927:PGL981980 PGL1047463:PGL1047516 PQH64423:PQH64476 PQH129959:PQH130012 PQH195495:PQH195548 PQH261031:PQH261084 PQH326567:PQH326620 PQH392103:PQH392156 PQH457639:PQH457692 PQH523175:PQH523228 PQH588711:PQH588764 PQH654247:PQH654300 PQH719783:PQH719836 PQH785319:PQH785372 PQH850855:PQH850908 PQH916391:PQH916444 PQH981927:PQH981980 PQH1047463:PQH1047516 QAD64423:QAD64476 QAD129959:QAD130012 QAD195495:QAD195548 QAD261031:QAD261084 QAD326567:QAD326620 QAD392103:QAD392156 QAD457639:QAD457692 QAD523175:QAD523228 QAD588711:QAD588764 QAD654247:QAD654300 QAD719783:QAD719836 QAD785319:QAD785372 QAD850855:QAD850908 QAD916391:QAD916444 QAD981927:QAD981980 QAD1047463:QAD1047516 QJZ64423:QJZ64476 QJZ129959:QJZ130012 QJZ195495:QJZ195548 QJZ261031:QJZ261084 QJZ326567:QJZ326620 QJZ392103:QJZ392156 QJZ457639:QJZ457692 QJZ523175:QJZ523228 QJZ588711:QJZ588764 QJZ654247:QJZ654300 QJZ719783:QJZ719836 QJZ785319:QJZ785372 QJZ850855:QJZ850908 QJZ916391:QJZ916444 QJZ981927:QJZ981980 QJZ1047463:QJZ1047516 QTV64423:QTV64476 QTV129959:QTV130012 QTV195495:QTV195548 QTV261031:QTV261084 QTV326567:QTV326620 QTV392103:QTV392156 QTV457639:QTV457692 QTV523175:QTV523228 QTV588711:QTV588764 QTV654247:QTV654300 QTV719783:QTV719836 QTV785319:QTV785372 QTV850855:QTV850908 QTV916391:QTV916444 QTV981927:QTV981980 QTV1047463:QTV1047516 RDR64423:RDR64476 RDR129959:RDR130012 RDR195495:RDR195548 RDR261031:RDR261084 RDR326567:RDR326620 RDR392103:RDR392156 RDR457639:RDR457692 RDR523175:RDR523228 RDR588711:RDR588764 RDR654247:RDR654300 RDR719783:RDR719836 RDR785319:RDR785372 RDR850855:RDR850908 RDR916391:RDR916444 RDR981927:RDR981980 RDR1047463:RDR1047516 RNN64423:RNN64476 RNN129959:RNN130012 RNN195495:RNN195548 RNN261031:RNN261084 RNN326567:RNN326620 RNN392103:RNN392156 RNN457639:RNN457692 RNN523175:RNN523228 RNN588711:RNN588764 RNN654247:RNN654300 RNN719783:RNN719836 RNN785319:RNN785372 RNN850855:RNN850908 RNN916391:RNN916444 RNN981927:RNN981980 RNN1047463:RNN1047516 RXJ64423:RXJ64476 RXJ129959:RXJ130012 RXJ195495:RXJ195548 RXJ261031:RXJ261084 RXJ326567:RXJ326620 RXJ392103:RXJ392156 RXJ457639:RXJ457692 RXJ523175:RXJ523228 RXJ588711:RXJ588764 RXJ654247:RXJ654300 RXJ719783:RXJ719836 RXJ785319:RXJ785372 RXJ850855:RXJ850908 RXJ916391:RXJ916444 RXJ981927:RXJ981980 RXJ1047463:RXJ1047516 SHF64423:SHF64476 SHF129959:SHF130012 SHF195495:SHF195548 SHF261031:SHF261084 SHF326567:SHF326620 SHF392103:SHF392156 SHF457639:SHF457692 SHF523175:SHF523228 SHF588711:SHF588764 SHF654247:SHF654300 SHF719783:SHF719836 SHF785319:SHF785372 SHF850855:SHF850908 SHF916391:SHF916444 SHF981927:SHF981980 SHF1047463:SHF1047516 SRB64423:SRB64476 SRB129959:SRB130012 SRB195495:SRB195548 SRB261031:SRB261084 SRB326567:SRB326620 SRB392103:SRB392156 SRB457639:SRB457692 SRB523175:SRB523228 SRB588711:SRB588764 SRB654247:SRB654300 SRB719783:SRB719836 SRB785319:SRB785372 SRB850855:SRB850908 SRB916391:SRB916444 SRB981927:SRB981980 SRB1047463:SRB1047516 TAX64423:TAX64476 TAX129959:TAX130012 TAX195495:TAX195548 TAX261031:TAX261084 TAX326567:TAX326620 TAX392103:TAX392156 TAX457639:TAX457692 TAX523175:TAX523228 TAX588711:TAX588764 TAX654247:TAX654300 TAX719783:TAX719836 TAX785319:TAX785372 TAX850855:TAX850908 TAX916391:TAX916444 TAX981927:TAX981980 TAX1047463:TAX1047516 TKT64423:TKT64476 TKT129959:TKT130012 TKT195495:TKT195548 TKT261031:TKT261084 TKT326567:TKT326620 TKT392103:TKT392156 TKT457639:TKT457692 TKT523175:TKT523228 TKT588711:TKT588764 TKT654247:TKT654300 TKT719783:TKT719836 TKT785319:TKT785372 TKT850855:TKT850908 TKT916391:TKT916444 TKT981927:TKT981980 TKT1047463:TKT1047516 TUP64423:TUP64476 TUP129959:TUP130012 TUP195495:TUP195548 TUP261031:TUP261084 TUP326567:TUP326620 TUP392103:TUP392156 TUP457639:TUP457692 TUP523175:TUP523228 TUP588711:TUP588764 TUP654247:TUP654300 TUP719783:TUP719836 TUP785319:TUP785372 TUP850855:TUP850908 TUP916391:TUP916444 TUP981927:TUP981980 TUP1047463:TUP1047516 UEL64423:UEL64476 UEL129959:UEL130012 UEL195495:UEL195548 UEL261031:UEL261084 UEL326567:UEL326620 UEL392103:UEL392156 UEL457639:UEL457692 UEL523175:UEL523228 UEL588711:UEL588764 UEL654247:UEL654300 UEL719783:UEL719836 UEL785319:UEL785372 UEL850855:UEL850908 UEL916391:UEL916444 UEL981927:UEL981980 UEL1047463:UEL1047516 UOH64423:UOH64476 UOH129959:UOH130012 UOH195495:UOH195548 UOH261031:UOH261084 UOH326567:UOH326620 UOH392103:UOH392156 UOH457639:UOH457692 UOH523175:UOH523228 UOH588711:UOH588764 UOH654247:UOH654300 UOH719783:UOH719836 UOH785319:UOH785372 UOH850855:UOH850908 UOH916391:UOH916444 UOH981927:UOH981980 UOH1047463:UOH1047516 UYD64423:UYD64476 UYD129959:UYD130012 UYD195495:UYD195548 UYD261031:UYD261084 UYD326567:UYD326620 UYD392103:UYD392156 UYD457639:UYD457692 UYD523175:UYD523228 UYD588711:UYD588764 UYD654247:UYD654300 UYD719783:UYD719836 UYD785319:UYD785372 UYD850855:UYD850908 UYD916391:UYD916444 UYD981927:UYD981980 UYD1047463:UYD1047516 VHZ64423:VHZ64476 VHZ129959:VHZ130012 VHZ195495:VHZ195548 VHZ261031:VHZ261084 VHZ326567:VHZ326620 VHZ392103:VHZ392156 VHZ457639:VHZ457692 VHZ523175:VHZ523228 VHZ588711:VHZ588764 VHZ654247:VHZ654300 VHZ719783:VHZ719836 VHZ785319:VHZ785372 VHZ850855:VHZ850908 VHZ916391:VHZ916444 VHZ981927:VHZ981980 VHZ1047463:VHZ1047516 VRV64423:VRV64476 VRV129959:VRV130012 VRV195495:VRV195548 VRV261031:VRV261084 VRV326567:VRV326620 VRV392103:VRV392156 VRV457639:VRV457692 VRV523175:VRV523228 VRV588711:VRV588764 VRV654247:VRV654300 VRV719783:VRV719836 VRV785319:VRV785372 VRV850855:VRV850908 VRV916391:VRV916444 VRV981927:VRV981980 VRV1047463:VRV1047516 WBR64423:WBR64476 WBR129959:WBR130012 WBR195495:WBR195548 WBR261031:WBR261084 WBR326567:WBR326620 WBR392103:WBR392156 WBR457639:WBR457692 WBR523175:WBR523228 WBR588711:WBR588764 WBR654247:WBR654300 WBR719783:WBR719836 WBR785319:WBR785372 WBR850855:WBR850908 WBR916391:WBR916444 WBR981927:WBR981980 WBR1047463:WBR1047516 WLN64423:WLN64476 WLN129959:WLN130012 WLN195495:WLN195548 WLN261031:WLN261084 WLN326567:WLN326620 WLN392103:WLN392156 WLN457639:WLN457692 WLN523175:WLN523228 WLN588711:WLN588764 WLN654247:WLN654300 WLN719783:WLN719836 WLN785319:WLN785372 WLN850855:WLN850908 WLN916391:WLN916444 WLN981927:WLN981980 WLN1047463:WLN1047516 WVJ64423:WVJ64476 WVJ129959:WVJ130012 WVJ195495:WVJ195548 WVJ261031:WVJ261084 WVJ326567:WVJ326620 WVJ392103:WVJ392156 WVJ457639:WVJ457692 WVJ523175:WVJ523228 WVJ588711:WVJ588764 WVJ654247:WVJ654300 WVJ719783:WVJ719836 WVJ785319:WVJ785372 WVJ850855:WVJ850908 WVJ916391:WVJ916444 WVJ981927:WVJ981980 WVJ1047463:WVJ1047516" xr:uid="{E6AD1290-6FDB-4FF5-B59B-B7501AD066FE}"/>
    <dataValidation type="list" allowBlank="1" showInputMessage="1" showErrorMessage="1" sqref="A2:A500 A65538:A66036 A131074:A131572 A196610:A197108 A262146:A262644 A327682:A328180 A393218:A393716 A458754:A459252 A524290:A524788 A589826:A590324 A655362:A655860 A720898:A721396 A786434:A786932 A851970:A852468 A917506:A918004 A983042:A983540 IW2:IW500 IW65538:IW66036 IW131074:IW131572 IW196610:IW197108 IW262146:IW262644 IW327682:IW328180 IW393218:IW393716 IW458754:IW459252 IW524290:IW524788 IW589826:IW590324 IW655362:IW655860 IW720898:IW721396 IW786434:IW786932 IW851970:IW852468 IW917506:IW918004 IW983042:IW983540 SS2:SS500 SS65538:SS66036 SS131074:SS131572 SS196610:SS197108 SS262146:SS262644 SS327682:SS328180 SS393218:SS393716 SS458754:SS459252 SS524290:SS524788 SS589826:SS590324 SS655362:SS655860 SS720898:SS721396 SS786434:SS786932 SS851970:SS852468 SS917506:SS918004 SS983042:SS983540 ACO2:ACO500 ACO65538:ACO66036 ACO131074:ACO131572 ACO196610:ACO197108 ACO262146:ACO262644 ACO327682:ACO328180 ACO393218:ACO393716 ACO458754:ACO459252 ACO524290:ACO524788 ACO589826:ACO590324 ACO655362:ACO655860 ACO720898:ACO721396 ACO786434:ACO786932 ACO851970:ACO852468 ACO917506:ACO918004 ACO983042:ACO983540 AMK2:AMK500 AMK65538:AMK66036 AMK131074:AMK131572 AMK196610:AMK197108 AMK262146:AMK262644 AMK327682:AMK328180 AMK393218:AMK393716 AMK458754:AMK459252 AMK524290:AMK524788 AMK589826:AMK590324 AMK655362:AMK655860 AMK720898:AMK721396 AMK786434:AMK786932 AMK851970:AMK852468 AMK917506:AMK918004 AMK983042:AMK983540 AWG2:AWG500 AWG65538:AWG66036 AWG131074:AWG131572 AWG196610:AWG197108 AWG262146:AWG262644 AWG327682:AWG328180 AWG393218:AWG393716 AWG458754:AWG459252 AWG524290:AWG524788 AWG589826:AWG590324 AWG655362:AWG655860 AWG720898:AWG721396 AWG786434:AWG786932 AWG851970:AWG852468 AWG917506:AWG918004 AWG983042:AWG983540 BGC2:BGC500 BGC65538:BGC66036 BGC131074:BGC131572 BGC196610:BGC197108 BGC262146:BGC262644 BGC327682:BGC328180 BGC393218:BGC393716 BGC458754:BGC459252 BGC524290:BGC524788 BGC589826:BGC590324 BGC655362:BGC655860 BGC720898:BGC721396 BGC786434:BGC786932 BGC851970:BGC852468 BGC917506:BGC918004 BGC983042:BGC983540 BPY2:BPY500 BPY65538:BPY66036 BPY131074:BPY131572 BPY196610:BPY197108 BPY262146:BPY262644 BPY327682:BPY328180 BPY393218:BPY393716 BPY458754:BPY459252 BPY524290:BPY524788 BPY589826:BPY590324 BPY655362:BPY655860 BPY720898:BPY721396 BPY786434:BPY786932 BPY851970:BPY852468 BPY917506:BPY918004 BPY983042:BPY983540 BZU2:BZU500 BZU65538:BZU66036 BZU131074:BZU131572 BZU196610:BZU197108 BZU262146:BZU262644 BZU327682:BZU328180 BZU393218:BZU393716 BZU458754:BZU459252 BZU524290:BZU524788 BZU589826:BZU590324 BZU655362:BZU655860 BZU720898:BZU721396 BZU786434:BZU786932 BZU851970:BZU852468 BZU917506:BZU918004 BZU983042:BZU983540 CJQ2:CJQ500 CJQ65538:CJQ66036 CJQ131074:CJQ131572 CJQ196610:CJQ197108 CJQ262146:CJQ262644 CJQ327682:CJQ328180 CJQ393218:CJQ393716 CJQ458754:CJQ459252 CJQ524290:CJQ524788 CJQ589826:CJQ590324 CJQ655362:CJQ655860 CJQ720898:CJQ721396 CJQ786434:CJQ786932 CJQ851970:CJQ852468 CJQ917506:CJQ918004 CJQ983042:CJQ983540 CTM2:CTM500 CTM65538:CTM66036 CTM131074:CTM131572 CTM196610:CTM197108 CTM262146:CTM262644 CTM327682:CTM328180 CTM393218:CTM393716 CTM458754:CTM459252 CTM524290:CTM524788 CTM589826:CTM590324 CTM655362:CTM655860 CTM720898:CTM721396 CTM786434:CTM786932 CTM851970:CTM852468 CTM917506:CTM918004 CTM983042:CTM983540 DDI2:DDI500 DDI65538:DDI66036 DDI131074:DDI131572 DDI196610:DDI197108 DDI262146:DDI262644 DDI327682:DDI328180 DDI393218:DDI393716 DDI458754:DDI459252 DDI524290:DDI524788 DDI589826:DDI590324 DDI655362:DDI655860 DDI720898:DDI721396 DDI786434:DDI786932 DDI851970:DDI852468 DDI917506:DDI918004 DDI983042:DDI983540 DNE2:DNE500 DNE65538:DNE66036 DNE131074:DNE131572 DNE196610:DNE197108 DNE262146:DNE262644 DNE327682:DNE328180 DNE393218:DNE393716 DNE458754:DNE459252 DNE524290:DNE524788 DNE589826:DNE590324 DNE655362:DNE655860 DNE720898:DNE721396 DNE786434:DNE786932 DNE851970:DNE852468 DNE917506:DNE918004 DNE983042:DNE983540 DXA2:DXA500 DXA65538:DXA66036 DXA131074:DXA131572 DXA196610:DXA197108 DXA262146:DXA262644 DXA327682:DXA328180 DXA393218:DXA393716 DXA458754:DXA459252 DXA524290:DXA524788 DXA589826:DXA590324 DXA655362:DXA655860 DXA720898:DXA721396 DXA786434:DXA786932 DXA851970:DXA852468 DXA917506:DXA918004 DXA983042:DXA983540 EGW2:EGW500 EGW65538:EGW66036 EGW131074:EGW131572 EGW196610:EGW197108 EGW262146:EGW262644 EGW327682:EGW328180 EGW393218:EGW393716 EGW458754:EGW459252 EGW524290:EGW524788 EGW589826:EGW590324 EGW655362:EGW655860 EGW720898:EGW721396 EGW786434:EGW786932 EGW851970:EGW852468 EGW917506:EGW918004 EGW983042:EGW983540 EQS2:EQS500 EQS65538:EQS66036 EQS131074:EQS131572 EQS196610:EQS197108 EQS262146:EQS262644 EQS327682:EQS328180 EQS393218:EQS393716 EQS458754:EQS459252 EQS524290:EQS524788 EQS589826:EQS590324 EQS655362:EQS655860 EQS720898:EQS721396 EQS786434:EQS786932 EQS851970:EQS852468 EQS917506:EQS918004 EQS983042:EQS983540 FAO2:FAO500 FAO65538:FAO66036 FAO131074:FAO131572 FAO196610:FAO197108 FAO262146:FAO262644 FAO327682:FAO328180 FAO393218:FAO393716 FAO458754:FAO459252 FAO524290:FAO524788 FAO589826:FAO590324 FAO655362:FAO655860 FAO720898:FAO721396 FAO786434:FAO786932 FAO851970:FAO852468 FAO917506:FAO918004 FAO983042:FAO983540 FKK2:FKK500 FKK65538:FKK66036 FKK131074:FKK131572 FKK196610:FKK197108 FKK262146:FKK262644 FKK327682:FKK328180 FKK393218:FKK393716 FKK458754:FKK459252 FKK524290:FKK524788 FKK589826:FKK590324 FKK655362:FKK655860 FKK720898:FKK721396 FKK786434:FKK786932 FKK851970:FKK852468 FKK917506:FKK918004 FKK983042:FKK983540 FUG2:FUG500 FUG65538:FUG66036 FUG131074:FUG131572 FUG196610:FUG197108 FUG262146:FUG262644 FUG327682:FUG328180 FUG393218:FUG393716 FUG458754:FUG459252 FUG524290:FUG524788 FUG589826:FUG590324 FUG655362:FUG655860 FUG720898:FUG721396 FUG786434:FUG786932 FUG851970:FUG852468 FUG917506:FUG918004 FUG983042:FUG983540 GEC2:GEC500 GEC65538:GEC66036 GEC131074:GEC131572 GEC196610:GEC197108 GEC262146:GEC262644 GEC327682:GEC328180 GEC393218:GEC393716 GEC458754:GEC459252 GEC524290:GEC524788 GEC589826:GEC590324 GEC655362:GEC655860 GEC720898:GEC721396 GEC786434:GEC786932 GEC851970:GEC852468 GEC917506:GEC918004 GEC983042:GEC983540 GNY2:GNY500 GNY65538:GNY66036 GNY131074:GNY131572 GNY196610:GNY197108 GNY262146:GNY262644 GNY327682:GNY328180 GNY393218:GNY393716 GNY458754:GNY459252 GNY524290:GNY524788 GNY589826:GNY590324 GNY655362:GNY655860 GNY720898:GNY721396 GNY786434:GNY786932 GNY851970:GNY852468 GNY917506:GNY918004 GNY983042:GNY983540 GXU2:GXU500 GXU65538:GXU66036 GXU131074:GXU131572 GXU196610:GXU197108 GXU262146:GXU262644 GXU327682:GXU328180 GXU393218:GXU393716 GXU458754:GXU459252 GXU524290:GXU524788 GXU589826:GXU590324 GXU655362:GXU655860 GXU720898:GXU721396 GXU786434:GXU786932 GXU851970:GXU852468 GXU917506:GXU918004 GXU983042:GXU983540 HHQ2:HHQ500 HHQ65538:HHQ66036 HHQ131074:HHQ131572 HHQ196610:HHQ197108 HHQ262146:HHQ262644 HHQ327682:HHQ328180 HHQ393218:HHQ393716 HHQ458754:HHQ459252 HHQ524290:HHQ524788 HHQ589826:HHQ590324 HHQ655362:HHQ655860 HHQ720898:HHQ721396 HHQ786434:HHQ786932 HHQ851970:HHQ852468 HHQ917506:HHQ918004 HHQ983042:HHQ983540 HRM2:HRM500 HRM65538:HRM66036 HRM131074:HRM131572 HRM196610:HRM197108 HRM262146:HRM262644 HRM327682:HRM328180 HRM393218:HRM393716 HRM458754:HRM459252 HRM524290:HRM524788 HRM589826:HRM590324 HRM655362:HRM655860 HRM720898:HRM721396 HRM786434:HRM786932 HRM851970:HRM852468 HRM917506:HRM918004 HRM983042:HRM983540 IBI2:IBI500 IBI65538:IBI66036 IBI131074:IBI131572 IBI196610:IBI197108 IBI262146:IBI262644 IBI327682:IBI328180 IBI393218:IBI393716 IBI458754:IBI459252 IBI524290:IBI524788 IBI589826:IBI590324 IBI655362:IBI655860 IBI720898:IBI721396 IBI786434:IBI786932 IBI851970:IBI852468 IBI917506:IBI918004 IBI983042:IBI983540 ILE2:ILE500 ILE65538:ILE66036 ILE131074:ILE131572 ILE196610:ILE197108 ILE262146:ILE262644 ILE327682:ILE328180 ILE393218:ILE393716 ILE458754:ILE459252 ILE524290:ILE524788 ILE589826:ILE590324 ILE655362:ILE655860 ILE720898:ILE721396 ILE786434:ILE786932 ILE851970:ILE852468 ILE917506:ILE918004 ILE983042:ILE983540 IVA2:IVA500 IVA65538:IVA66036 IVA131074:IVA131572 IVA196610:IVA197108 IVA262146:IVA262644 IVA327682:IVA328180 IVA393218:IVA393716 IVA458754:IVA459252 IVA524290:IVA524788 IVA589826:IVA590324 IVA655362:IVA655860 IVA720898:IVA721396 IVA786434:IVA786932 IVA851970:IVA852468 IVA917506:IVA918004 IVA983042:IVA983540 JEW2:JEW500 JEW65538:JEW66036 JEW131074:JEW131572 JEW196610:JEW197108 JEW262146:JEW262644 JEW327682:JEW328180 JEW393218:JEW393716 JEW458754:JEW459252 JEW524290:JEW524788 JEW589826:JEW590324 JEW655362:JEW655860 JEW720898:JEW721396 JEW786434:JEW786932 JEW851970:JEW852468 JEW917506:JEW918004 JEW983042:JEW983540 JOS2:JOS500 JOS65538:JOS66036 JOS131074:JOS131572 JOS196610:JOS197108 JOS262146:JOS262644 JOS327682:JOS328180 JOS393218:JOS393716 JOS458754:JOS459252 JOS524290:JOS524788 JOS589826:JOS590324 JOS655362:JOS655860 JOS720898:JOS721396 JOS786434:JOS786932 JOS851970:JOS852468 JOS917506:JOS918004 JOS983042:JOS983540 JYO2:JYO500 JYO65538:JYO66036 JYO131074:JYO131572 JYO196610:JYO197108 JYO262146:JYO262644 JYO327682:JYO328180 JYO393218:JYO393716 JYO458754:JYO459252 JYO524290:JYO524788 JYO589826:JYO590324 JYO655362:JYO655860 JYO720898:JYO721396 JYO786434:JYO786932 JYO851970:JYO852468 JYO917506:JYO918004 JYO983042:JYO983540 KIK2:KIK500 KIK65538:KIK66036 KIK131074:KIK131572 KIK196610:KIK197108 KIK262146:KIK262644 KIK327682:KIK328180 KIK393218:KIK393716 KIK458754:KIK459252 KIK524290:KIK524788 KIK589826:KIK590324 KIK655362:KIK655860 KIK720898:KIK721396 KIK786434:KIK786932 KIK851970:KIK852468 KIK917506:KIK918004 KIK983042:KIK983540 KSG2:KSG500 KSG65538:KSG66036 KSG131074:KSG131572 KSG196610:KSG197108 KSG262146:KSG262644 KSG327682:KSG328180 KSG393218:KSG393716 KSG458754:KSG459252 KSG524290:KSG524788 KSG589826:KSG590324 KSG655362:KSG655860 KSG720898:KSG721396 KSG786434:KSG786932 KSG851970:KSG852468 KSG917506:KSG918004 KSG983042:KSG983540 LCC2:LCC500 LCC65538:LCC66036 LCC131074:LCC131572 LCC196610:LCC197108 LCC262146:LCC262644 LCC327682:LCC328180 LCC393218:LCC393716 LCC458754:LCC459252 LCC524290:LCC524788 LCC589826:LCC590324 LCC655362:LCC655860 LCC720898:LCC721396 LCC786434:LCC786932 LCC851970:LCC852468 LCC917506:LCC918004 LCC983042:LCC983540 LLY2:LLY500 LLY65538:LLY66036 LLY131074:LLY131572 LLY196610:LLY197108 LLY262146:LLY262644 LLY327682:LLY328180 LLY393218:LLY393716 LLY458754:LLY459252 LLY524290:LLY524788 LLY589826:LLY590324 LLY655362:LLY655860 LLY720898:LLY721396 LLY786434:LLY786932 LLY851970:LLY852468 LLY917506:LLY918004 LLY983042:LLY983540 LVU2:LVU500 LVU65538:LVU66036 LVU131074:LVU131572 LVU196610:LVU197108 LVU262146:LVU262644 LVU327682:LVU328180 LVU393218:LVU393716 LVU458754:LVU459252 LVU524290:LVU524788 LVU589826:LVU590324 LVU655362:LVU655860 LVU720898:LVU721396 LVU786434:LVU786932 LVU851970:LVU852468 LVU917506:LVU918004 LVU983042:LVU983540 MFQ2:MFQ500 MFQ65538:MFQ66036 MFQ131074:MFQ131572 MFQ196610:MFQ197108 MFQ262146:MFQ262644 MFQ327682:MFQ328180 MFQ393218:MFQ393716 MFQ458754:MFQ459252 MFQ524290:MFQ524788 MFQ589826:MFQ590324 MFQ655362:MFQ655860 MFQ720898:MFQ721396 MFQ786434:MFQ786932 MFQ851970:MFQ852468 MFQ917506:MFQ918004 MFQ983042:MFQ983540 MPM2:MPM500 MPM65538:MPM66036 MPM131074:MPM131572 MPM196610:MPM197108 MPM262146:MPM262644 MPM327682:MPM328180 MPM393218:MPM393716 MPM458754:MPM459252 MPM524290:MPM524788 MPM589826:MPM590324 MPM655362:MPM655860 MPM720898:MPM721396 MPM786434:MPM786932 MPM851970:MPM852468 MPM917506:MPM918004 MPM983042:MPM983540 MZI2:MZI500 MZI65538:MZI66036 MZI131074:MZI131572 MZI196610:MZI197108 MZI262146:MZI262644 MZI327682:MZI328180 MZI393218:MZI393716 MZI458754:MZI459252 MZI524290:MZI524788 MZI589826:MZI590324 MZI655362:MZI655860 MZI720898:MZI721396 MZI786434:MZI786932 MZI851970:MZI852468 MZI917506:MZI918004 MZI983042:MZI983540 NJE2:NJE500 NJE65538:NJE66036 NJE131074:NJE131572 NJE196610:NJE197108 NJE262146:NJE262644 NJE327682:NJE328180 NJE393218:NJE393716 NJE458754:NJE459252 NJE524290:NJE524788 NJE589826:NJE590324 NJE655362:NJE655860 NJE720898:NJE721396 NJE786434:NJE786932 NJE851970:NJE852468 NJE917506:NJE918004 NJE983042:NJE983540 NTA2:NTA500 NTA65538:NTA66036 NTA131074:NTA131572 NTA196610:NTA197108 NTA262146:NTA262644 NTA327682:NTA328180 NTA393218:NTA393716 NTA458754:NTA459252 NTA524290:NTA524788 NTA589826:NTA590324 NTA655362:NTA655860 NTA720898:NTA721396 NTA786434:NTA786932 NTA851970:NTA852468 NTA917506:NTA918004 NTA983042:NTA983540 OCW2:OCW500 OCW65538:OCW66036 OCW131074:OCW131572 OCW196610:OCW197108 OCW262146:OCW262644 OCW327682:OCW328180 OCW393218:OCW393716 OCW458754:OCW459252 OCW524290:OCW524788 OCW589826:OCW590324 OCW655362:OCW655860 OCW720898:OCW721396 OCW786434:OCW786932 OCW851970:OCW852468 OCW917506:OCW918004 OCW983042:OCW983540 OMS2:OMS500 OMS65538:OMS66036 OMS131074:OMS131572 OMS196610:OMS197108 OMS262146:OMS262644 OMS327682:OMS328180 OMS393218:OMS393716 OMS458754:OMS459252 OMS524290:OMS524788 OMS589826:OMS590324 OMS655362:OMS655860 OMS720898:OMS721396 OMS786434:OMS786932 OMS851970:OMS852468 OMS917506:OMS918004 OMS983042:OMS983540 OWO2:OWO500 OWO65538:OWO66036 OWO131074:OWO131572 OWO196610:OWO197108 OWO262146:OWO262644 OWO327682:OWO328180 OWO393218:OWO393716 OWO458754:OWO459252 OWO524290:OWO524788 OWO589826:OWO590324 OWO655362:OWO655860 OWO720898:OWO721396 OWO786434:OWO786932 OWO851970:OWO852468 OWO917506:OWO918004 OWO983042:OWO983540 PGK2:PGK500 PGK65538:PGK66036 PGK131074:PGK131572 PGK196610:PGK197108 PGK262146:PGK262644 PGK327682:PGK328180 PGK393218:PGK393716 PGK458754:PGK459252 PGK524290:PGK524788 PGK589826:PGK590324 PGK655362:PGK655860 PGK720898:PGK721396 PGK786434:PGK786932 PGK851970:PGK852468 PGK917506:PGK918004 PGK983042:PGK983540 PQG2:PQG500 PQG65538:PQG66036 PQG131074:PQG131572 PQG196610:PQG197108 PQG262146:PQG262644 PQG327682:PQG328180 PQG393218:PQG393716 PQG458754:PQG459252 PQG524290:PQG524788 PQG589826:PQG590324 PQG655362:PQG655860 PQG720898:PQG721396 PQG786434:PQG786932 PQG851970:PQG852468 PQG917506:PQG918004 PQG983042:PQG983540 QAC2:QAC500 QAC65538:QAC66036 QAC131074:QAC131572 QAC196610:QAC197108 QAC262146:QAC262644 QAC327682:QAC328180 QAC393218:QAC393716 QAC458754:QAC459252 QAC524290:QAC524788 QAC589826:QAC590324 QAC655362:QAC655860 QAC720898:QAC721396 QAC786434:QAC786932 QAC851970:QAC852468 QAC917506:QAC918004 QAC983042:QAC983540 QJY2:QJY500 QJY65538:QJY66036 QJY131074:QJY131572 QJY196610:QJY197108 QJY262146:QJY262644 QJY327682:QJY328180 QJY393218:QJY393716 QJY458754:QJY459252 QJY524290:QJY524788 QJY589826:QJY590324 QJY655362:QJY655860 QJY720898:QJY721396 QJY786434:QJY786932 QJY851970:QJY852468 QJY917506:QJY918004 QJY983042:QJY983540 QTU2:QTU500 QTU65538:QTU66036 QTU131074:QTU131572 QTU196610:QTU197108 QTU262146:QTU262644 QTU327682:QTU328180 QTU393218:QTU393716 QTU458754:QTU459252 QTU524290:QTU524788 QTU589826:QTU590324 QTU655362:QTU655860 QTU720898:QTU721396 QTU786434:QTU786932 QTU851970:QTU852468 QTU917506:QTU918004 QTU983042:QTU983540 RDQ2:RDQ500 RDQ65538:RDQ66036 RDQ131074:RDQ131572 RDQ196610:RDQ197108 RDQ262146:RDQ262644 RDQ327682:RDQ328180 RDQ393218:RDQ393716 RDQ458754:RDQ459252 RDQ524290:RDQ524788 RDQ589826:RDQ590324 RDQ655362:RDQ655860 RDQ720898:RDQ721396 RDQ786434:RDQ786932 RDQ851970:RDQ852468 RDQ917506:RDQ918004 RDQ983042:RDQ983540 RNM2:RNM500 RNM65538:RNM66036 RNM131074:RNM131572 RNM196610:RNM197108 RNM262146:RNM262644 RNM327682:RNM328180 RNM393218:RNM393716 RNM458754:RNM459252 RNM524290:RNM524788 RNM589826:RNM590324 RNM655362:RNM655860 RNM720898:RNM721396 RNM786434:RNM786932 RNM851970:RNM852468 RNM917506:RNM918004 RNM983042:RNM983540 RXI2:RXI500 RXI65538:RXI66036 RXI131074:RXI131572 RXI196610:RXI197108 RXI262146:RXI262644 RXI327682:RXI328180 RXI393218:RXI393716 RXI458754:RXI459252 RXI524290:RXI524788 RXI589826:RXI590324 RXI655362:RXI655860 RXI720898:RXI721396 RXI786434:RXI786932 RXI851970:RXI852468 RXI917506:RXI918004 RXI983042:RXI983540 SHE2:SHE500 SHE65538:SHE66036 SHE131074:SHE131572 SHE196610:SHE197108 SHE262146:SHE262644 SHE327682:SHE328180 SHE393218:SHE393716 SHE458754:SHE459252 SHE524290:SHE524788 SHE589826:SHE590324 SHE655362:SHE655860 SHE720898:SHE721396 SHE786434:SHE786932 SHE851970:SHE852468 SHE917506:SHE918004 SHE983042:SHE983540 SRA2:SRA500 SRA65538:SRA66036 SRA131074:SRA131572 SRA196610:SRA197108 SRA262146:SRA262644 SRA327682:SRA328180 SRA393218:SRA393716 SRA458754:SRA459252 SRA524290:SRA524788 SRA589826:SRA590324 SRA655362:SRA655860 SRA720898:SRA721396 SRA786434:SRA786932 SRA851970:SRA852468 SRA917506:SRA918004 SRA983042:SRA983540 TAW2:TAW500 TAW65538:TAW66036 TAW131074:TAW131572 TAW196610:TAW197108 TAW262146:TAW262644 TAW327682:TAW328180 TAW393218:TAW393716 TAW458754:TAW459252 TAW524290:TAW524788 TAW589826:TAW590324 TAW655362:TAW655860 TAW720898:TAW721396 TAW786434:TAW786932 TAW851970:TAW852468 TAW917506:TAW918004 TAW983042:TAW983540 TKS2:TKS500 TKS65538:TKS66036 TKS131074:TKS131572 TKS196610:TKS197108 TKS262146:TKS262644 TKS327682:TKS328180 TKS393218:TKS393716 TKS458754:TKS459252 TKS524290:TKS524788 TKS589826:TKS590324 TKS655362:TKS655860 TKS720898:TKS721396 TKS786434:TKS786932 TKS851970:TKS852468 TKS917506:TKS918004 TKS983042:TKS983540 TUO2:TUO500 TUO65538:TUO66036 TUO131074:TUO131572 TUO196610:TUO197108 TUO262146:TUO262644 TUO327682:TUO328180 TUO393218:TUO393716 TUO458754:TUO459252 TUO524290:TUO524788 TUO589826:TUO590324 TUO655362:TUO655860 TUO720898:TUO721396 TUO786434:TUO786932 TUO851970:TUO852468 TUO917506:TUO918004 TUO983042:TUO983540 UEK2:UEK500 UEK65538:UEK66036 UEK131074:UEK131572 UEK196610:UEK197108 UEK262146:UEK262644 UEK327682:UEK328180 UEK393218:UEK393716 UEK458754:UEK459252 UEK524290:UEK524788 UEK589826:UEK590324 UEK655362:UEK655860 UEK720898:UEK721396 UEK786434:UEK786932 UEK851970:UEK852468 UEK917506:UEK918004 UEK983042:UEK983540 UOG2:UOG500 UOG65538:UOG66036 UOG131074:UOG131572 UOG196610:UOG197108 UOG262146:UOG262644 UOG327682:UOG328180 UOG393218:UOG393716 UOG458754:UOG459252 UOG524290:UOG524788 UOG589826:UOG590324 UOG655362:UOG655860 UOG720898:UOG721396 UOG786434:UOG786932 UOG851970:UOG852468 UOG917506:UOG918004 UOG983042:UOG983540 UYC2:UYC500 UYC65538:UYC66036 UYC131074:UYC131572 UYC196610:UYC197108 UYC262146:UYC262644 UYC327682:UYC328180 UYC393218:UYC393716 UYC458754:UYC459252 UYC524290:UYC524788 UYC589826:UYC590324 UYC655362:UYC655860 UYC720898:UYC721396 UYC786434:UYC786932 UYC851970:UYC852468 UYC917506:UYC918004 UYC983042:UYC983540 VHY2:VHY500 VHY65538:VHY66036 VHY131074:VHY131572 VHY196610:VHY197108 VHY262146:VHY262644 VHY327682:VHY328180 VHY393218:VHY393716 VHY458754:VHY459252 VHY524290:VHY524788 VHY589826:VHY590324 VHY655362:VHY655860 VHY720898:VHY721396 VHY786434:VHY786932 VHY851970:VHY852468 VHY917506:VHY918004 VHY983042:VHY983540 VRU2:VRU500 VRU65538:VRU66036 VRU131074:VRU131572 VRU196610:VRU197108 VRU262146:VRU262644 VRU327682:VRU328180 VRU393218:VRU393716 VRU458754:VRU459252 VRU524290:VRU524788 VRU589826:VRU590324 VRU655362:VRU655860 VRU720898:VRU721396 VRU786434:VRU786932 VRU851970:VRU852468 VRU917506:VRU918004 VRU983042:VRU983540 WBQ2:WBQ500 WBQ65538:WBQ66036 WBQ131074:WBQ131572 WBQ196610:WBQ197108 WBQ262146:WBQ262644 WBQ327682:WBQ328180 WBQ393218:WBQ393716 WBQ458754:WBQ459252 WBQ524290:WBQ524788 WBQ589826:WBQ590324 WBQ655362:WBQ655860 WBQ720898:WBQ721396 WBQ786434:WBQ786932 WBQ851970:WBQ852468 WBQ917506:WBQ918004 WBQ983042:WBQ983540 WLM2:WLM500 WLM65538:WLM66036 WLM131074:WLM131572 WLM196610:WLM197108 WLM262146:WLM262644 WLM327682:WLM328180 WLM393218:WLM393716 WLM458754:WLM459252 WLM524290:WLM524788 WLM589826:WLM590324 WLM655362:WLM655860 WLM720898:WLM721396 WLM786434:WLM786932 WLM851970:WLM852468 WLM917506:WLM918004 WLM983042:WLM983540 WVI2:WVI500 WVI65538:WVI66036 WVI131074:WVI131572 WVI196610:WVI197108 WVI262146:WVI262644 WVI327682:WVI328180 WVI393218:WVI393716 WVI458754:WVI459252 WVI524290:WVI524788 WVI589826:WVI590324 WVI655362:WVI655860 WVI720898:WVI721396 WVI786434:WVI786932 WVI851970:WVI852468 WVI917506:WVI918004 WVI983042:WVI983540" xr:uid="{819F8F57-0F00-428A-AF3A-F8F1E3176E95}">
      <formula1>$AE$2:$AE$19</formula1>
    </dataValidation>
    <dataValidation type="list" allowBlank="1" showInputMessage="1" showErrorMessage="1" sqref="H2:H1254" xr:uid="{7298DD64-8CFD-4357-AEF4-D6E5D2FF0674}">
      <formula1>$AL$2:$AL$9</formula1>
    </dataValidation>
    <dataValidation type="list" allowBlank="1" showInputMessage="1" showErrorMessage="1" sqref="J2:J133 J65538:J65636 J131074:J131172 J196610:J196708 J262146:J262244 J327682:J327780 J393218:J393316 J458754:J458852 J524290:J524388 J589826:J589924 J655362:J655460 J720898:J720996 J786434:J786532 J851970:J852068 J917506:J917604 J983042:J983140 JF2:JF100 JF65538:JF65636 JF131074:JF131172 JF196610:JF196708 JF262146:JF262244 JF327682:JF327780 JF393218:JF393316 JF458754:JF458852 JF524290:JF524388 JF589826:JF589924 JF655362:JF655460 JF720898:JF720996 JF786434:JF786532 JF851970:JF852068 JF917506:JF917604 JF983042:JF983140 TB2:TB100 TB65538:TB65636 TB131074:TB131172 TB196610:TB196708 TB262146:TB262244 TB327682:TB327780 TB393218:TB393316 TB458754:TB458852 TB524290:TB524388 TB589826:TB589924 TB655362:TB655460 TB720898:TB720996 TB786434:TB786532 TB851970:TB852068 TB917506:TB917604 TB983042:TB983140 ACX2:ACX100 ACX65538:ACX65636 ACX131074:ACX131172 ACX196610:ACX196708 ACX262146:ACX262244 ACX327682:ACX327780 ACX393218:ACX393316 ACX458754:ACX458852 ACX524290:ACX524388 ACX589826:ACX589924 ACX655362:ACX655460 ACX720898:ACX720996 ACX786434:ACX786532 ACX851970:ACX852068 ACX917506:ACX917604 ACX983042:ACX983140 AMT2:AMT100 AMT65538:AMT65636 AMT131074:AMT131172 AMT196610:AMT196708 AMT262146:AMT262244 AMT327682:AMT327780 AMT393218:AMT393316 AMT458754:AMT458852 AMT524290:AMT524388 AMT589826:AMT589924 AMT655362:AMT655460 AMT720898:AMT720996 AMT786434:AMT786532 AMT851970:AMT852068 AMT917506:AMT917604 AMT983042:AMT983140 AWP2:AWP100 AWP65538:AWP65636 AWP131074:AWP131172 AWP196610:AWP196708 AWP262146:AWP262244 AWP327682:AWP327780 AWP393218:AWP393316 AWP458754:AWP458852 AWP524290:AWP524388 AWP589826:AWP589924 AWP655362:AWP655460 AWP720898:AWP720996 AWP786434:AWP786532 AWP851970:AWP852068 AWP917506:AWP917604 AWP983042:AWP983140 BGL2:BGL100 BGL65538:BGL65636 BGL131074:BGL131172 BGL196610:BGL196708 BGL262146:BGL262244 BGL327682:BGL327780 BGL393218:BGL393316 BGL458754:BGL458852 BGL524290:BGL524388 BGL589826:BGL589924 BGL655362:BGL655460 BGL720898:BGL720996 BGL786434:BGL786532 BGL851970:BGL852068 BGL917506:BGL917604 BGL983042:BGL983140 BQH2:BQH100 BQH65538:BQH65636 BQH131074:BQH131172 BQH196610:BQH196708 BQH262146:BQH262244 BQH327682:BQH327780 BQH393218:BQH393316 BQH458754:BQH458852 BQH524290:BQH524388 BQH589826:BQH589924 BQH655362:BQH655460 BQH720898:BQH720996 BQH786434:BQH786532 BQH851970:BQH852068 BQH917506:BQH917604 BQH983042:BQH983140 CAD2:CAD100 CAD65538:CAD65636 CAD131074:CAD131172 CAD196610:CAD196708 CAD262146:CAD262244 CAD327682:CAD327780 CAD393218:CAD393316 CAD458754:CAD458852 CAD524290:CAD524388 CAD589826:CAD589924 CAD655362:CAD655460 CAD720898:CAD720996 CAD786434:CAD786532 CAD851970:CAD852068 CAD917506:CAD917604 CAD983042:CAD983140 CJZ2:CJZ100 CJZ65538:CJZ65636 CJZ131074:CJZ131172 CJZ196610:CJZ196708 CJZ262146:CJZ262244 CJZ327682:CJZ327780 CJZ393218:CJZ393316 CJZ458754:CJZ458852 CJZ524290:CJZ524388 CJZ589826:CJZ589924 CJZ655362:CJZ655460 CJZ720898:CJZ720996 CJZ786434:CJZ786532 CJZ851970:CJZ852068 CJZ917506:CJZ917604 CJZ983042:CJZ983140 CTV2:CTV100 CTV65538:CTV65636 CTV131074:CTV131172 CTV196610:CTV196708 CTV262146:CTV262244 CTV327682:CTV327780 CTV393218:CTV393316 CTV458754:CTV458852 CTV524290:CTV524388 CTV589826:CTV589924 CTV655362:CTV655460 CTV720898:CTV720996 CTV786434:CTV786532 CTV851970:CTV852068 CTV917506:CTV917604 CTV983042:CTV983140 DDR2:DDR100 DDR65538:DDR65636 DDR131074:DDR131172 DDR196610:DDR196708 DDR262146:DDR262244 DDR327682:DDR327780 DDR393218:DDR393316 DDR458754:DDR458852 DDR524290:DDR524388 DDR589826:DDR589924 DDR655362:DDR655460 DDR720898:DDR720996 DDR786434:DDR786532 DDR851970:DDR852068 DDR917506:DDR917604 DDR983042:DDR983140 DNN2:DNN100 DNN65538:DNN65636 DNN131074:DNN131172 DNN196610:DNN196708 DNN262146:DNN262244 DNN327682:DNN327780 DNN393218:DNN393316 DNN458754:DNN458852 DNN524290:DNN524388 DNN589826:DNN589924 DNN655362:DNN655460 DNN720898:DNN720996 DNN786434:DNN786532 DNN851970:DNN852068 DNN917506:DNN917604 DNN983042:DNN983140 DXJ2:DXJ100 DXJ65538:DXJ65636 DXJ131074:DXJ131172 DXJ196610:DXJ196708 DXJ262146:DXJ262244 DXJ327682:DXJ327780 DXJ393218:DXJ393316 DXJ458754:DXJ458852 DXJ524290:DXJ524388 DXJ589826:DXJ589924 DXJ655362:DXJ655460 DXJ720898:DXJ720996 DXJ786434:DXJ786532 DXJ851970:DXJ852068 DXJ917506:DXJ917604 DXJ983042:DXJ983140 EHF2:EHF100 EHF65538:EHF65636 EHF131074:EHF131172 EHF196610:EHF196708 EHF262146:EHF262244 EHF327682:EHF327780 EHF393218:EHF393316 EHF458754:EHF458852 EHF524290:EHF524388 EHF589826:EHF589924 EHF655362:EHF655460 EHF720898:EHF720996 EHF786434:EHF786532 EHF851970:EHF852068 EHF917506:EHF917604 EHF983042:EHF983140 ERB2:ERB100 ERB65538:ERB65636 ERB131074:ERB131172 ERB196610:ERB196708 ERB262146:ERB262244 ERB327682:ERB327780 ERB393218:ERB393316 ERB458754:ERB458852 ERB524290:ERB524388 ERB589826:ERB589924 ERB655362:ERB655460 ERB720898:ERB720996 ERB786434:ERB786532 ERB851970:ERB852068 ERB917506:ERB917604 ERB983042:ERB983140 FAX2:FAX100 FAX65538:FAX65636 FAX131074:FAX131172 FAX196610:FAX196708 FAX262146:FAX262244 FAX327682:FAX327780 FAX393218:FAX393316 FAX458754:FAX458852 FAX524290:FAX524388 FAX589826:FAX589924 FAX655362:FAX655460 FAX720898:FAX720996 FAX786434:FAX786532 FAX851970:FAX852068 FAX917506:FAX917604 FAX983042:FAX983140 FKT2:FKT100 FKT65538:FKT65636 FKT131074:FKT131172 FKT196610:FKT196708 FKT262146:FKT262244 FKT327682:FKT327780 FKT393218:FKT393316 FKT458754:FKT458852 FKT524290:FKT524388 FKT589826:FKT589924 FKT655362:FKT655460 FKT720898:FKT720996 FKT786434:FKT786532 FKT851970:FKT852068 FKT917506:FKT917604 FKT983042:FKT983140 FUP2:FUP100 FUP65538:FUP65636 FUP131074:FUP131172 FUP196610:FUP196708 FUP262146:FUP262244 FUP327682:FUP327780 FUP393218:FUP393316 FUP458754:FUP458852 FUP524290:FUP524388 FUP589826:FUP589924 FUP655362:FUP655460 FUP720898:FUP720996 FUP786434:FUP786532 FUP851970:FUP852068 FUP917506:FUP917604 FUP983042:FUP983140 GEL2:GEL100 GEL65538:GEL65636 GEL131074:GEL131172 GEL196610:GEL196708 GEL262146:GEL262244 GEL327682:GEL327780 GEL393218:GEL393316 GEL458754:GEL458852 GEL524290:GEL524388 GEL589826:GEL589924 GEL655362:GEL655460 GEL720898:GEL720996 GEL786434:GEL786532 GEL851970:GEL852068 GEL917506:GEL917604 GEL983042:GEL983140 GOH2:GOH100 GOH65538:GOH65636 GOH131074:GOH131172 GOH196610:GOH196708 GOH262146:GOH262244 GOH327682:GOH327780 GOH393218:GOH393316 GOH458754:GOH458852 GOH524290:GOH524388 GOH589826:GOH589924 GOH655362:GOH655460 GOH720898:GOH720996 GOH786434:GOH786532 GOH851970:GOH852068 GOH917506:GOH917604 GOH983042:GOH983140 GYD2:GYD100 GYD65538:GYD65636 GYD131074:GYD131172 GYD196610:GYD196708 GYD262146:GYD262244 GYD327682:GYD327780 GYD393218:GYD393316 GYD458754:GYD458852 GYD524290:GYD524388 GYD589826:GYD589924 GYD655362:GYD655460 GYD720898:GYD720996 GYD786434:GYD786532 GYD851970:GYD852068 GYD917506:GYD917604 GYD983042:GYD983140 HHZ2:HHZ100 HHZ65538:HHZ65636 HHZ131074:HHZ131172 HHZ196610:HHZ196708 HHZ262146:HHZ262244 HHZ327682:HHZ327780 HHZ393218:HHZ393316 HHZ458754:HHZ458852 HHZ524290:HHZ524388 HHZ589826:HHZ589924 HHZ655362:HHZ655460 HHZ720898:HHZ720996 HHZ786434:HHZ786532 HHZ851970:HHZ852068 HHZ917506:HHZ917604 HHZ983042:HHZ983140 HRV2:HRV100 HRV65538:HRV65636 HRV131074:HRV131172 HRV196610:HRV196708 HRV262146:HRV262244 HRV327682:HRV327780 HRV393218:HRV393316 HRV458754:HRV458852 HRV524290:HRV524388 HRV589826:HRV589924 HRV655362:HRV655460 HRV720898:HRV720996 HRV786434:HRV786532 HRV851970:HRV852068 HRV917506:HRV917604 HRV983042:HRV983140 IBR2:IBR100 IBR65538:IBR65636 IBR131074:IBR131172 IBR196610:IBR196708 IBR262146:IBR262244 IBR327682:IBR327780 IBR393218:IBR393316 IBR458754:IBR458852 IBR524290:IBR524388 IBR589826:IBR589924 IBR655362:IBR655460 IBR720898:IBR720996 IBR786434:IBR786532 IBR851970:IBR852068 IBR917506:IBR917604 IBR983042:IBR983140 ILN2:ILN100 ILN65538:ILN65636 ILN131074:ILN131172 ILN196610:ILN196708 ILN262146:ILN262244 ILN327682:ILN327780 ILN393218:ILN393316 ILN458754:ILN458852 ILN524290:ILN524388 ILN589826:ILN589924 ILN655362:ILN655460 ILN720898:ILN720996 ILN786434:ILN786532 ILN851970:ILN852068 ILN917506:ILN917604 ILN983042:ILN983140 IVJ2:IVJ100 IVJ65538:IVJ65636 IVJ131074:IVJ131172 IVJ196610:IVJ196708 IVJ262146:IVJ262244 IVJ327682:IVJ327780 IVJ393218:IVJ393316 IVJ458754:IVJ458852 IVJ524290:IVJ524388 IVJ589826:IVJ589924 IVJ655362:IVJ655460 IVJ720898:IVJ720996 IVJ786434:IVJ786532 IVJ851970:IVJ852068 IVJ917506:IVJ917604 IVJ983042:IVJ983140 JFF2:JFF100 JFF65538:JFF65636 JFF131074:JFF131172 JFF196610:JFF196708 JFF262146:JFF262244 JFF327682:JFF327780 JFF393218:JFF393316 JFF458754:JFF458852 JFF524290:JFF524388 JFF589826:JFF589924 JFF655362:JFF655460 JFF720898:JFF720996 JFF786434:JFF786532 JFF851970:JFF852068 JFF917506:JFF917604 JFF983042:JFF983140 JPB2:JPB100 JPB65538:JPB65636 JPB131074:JPB131172 JPB196610:JPB196708 JPB262146:JPB262244 JPB327682:JPB327780 JPB393218:JPB393316 JPB458754:JPB458852 JPB524290:JPB524388 JPB589826:JPB589924 JPB655362:JPB655460 JPB720898:JPB720996 JPB786434:JPB786532 JPB851970:JPB852068 JPB917506:JPB917604 JPB983042:JPB983140 JYX2:JYX100 JYX65538:JYX65636 JYX131074:JYX131172 JYX196610:JYX196708 JYX262146:JYX262244 JYX327682:JYX327780 JYX393218:JYX393316 JYX458754:JYX458852 JYX524290:JYX524388 JYX589826:JYX589924 JYX655362:JYX655460 JYX720898:JYX720996 JYX786434:JYX786532 JYX851970:JYX852068 JYX917506:JYX917604 JYX983042:JYX983140 KIT2:KIT100 KIT65538:KIT65636 KIT131074:KIT131172 KIT196610:KIT196708 KIT262146:KIT262244 KIT327682:KIT327780 KIT393218:KIT393316 KIT458754:KIT458852 KIT524290:KIT524388 KIT589826:KIT589924 KIT655362:KIT655460 KIT720898:KIT720996 KIT786434:KIT786532 KIT851970:KIT852068 KIT917506:KIT917604 KIT983042:KIT983140 KSP2:KSP100 KSP65538:KSP65636 KSP131074:KSP131172 KSP196610:KSP196708 KSP262146:KSP262244 KSP327682:KSP327780 KSP393218:KSP393316 KSP458754:KSP458852 KSP524290:KSP524388 KSP589826:KSP589924 KSP655362:KSP655460 KSP720898:KSP720996 KSP786434:KSP786532 KSP851970:KSP852068 KSP917506:KSP917604 KSP983042:KSP983140 LCL2:LCL100 LCL65538:LCL65636 LCL131074:LCL131172 LCL196610:LCL196708 LCL262146:LCL262244 LCL327682:LCL327780 LCL393218:LCL393316 LCL458754:LCL458852 LCL524290:LCL524388 LCL589826:LCL589924 LCL655362:LCL655460 LCL720898:LCL720996 LCL786434:LCL786532 LCL851970:LCL852068 LCL917506:LCL917604 LCL983042:LCL983140 LMH2:LMH100 LMH65538:LMH65636 LMH131074:LMH131172 LMH196610:LMH196708 LMH262146:LMH262244 LMH327682:LMH327780 LMH393218:LMH393316 LMH458754:LMH458852 LMH524290:LMH524388 LMH589826:LMH589924 LMH655362:LMH655460 LMH720898:LMH720996 LMH786434:LMH786532 LMH851970:LMH852068 LMH917506:LMH917604 LMH983042:LMH983140 LWD2:LWD100 LWD65538:LWD65636 LWD131074:LWD131172 LWD196610:LWD196708 LWD262146:LWD262244 LWD327682:LWD327780 LWD393218:LWD393316 LWD458754:LWD458852 LWD524290:LWD524388 LWD589826:LWD589924 LWD655362:LWD655460 LWD720898:LWD720996 LWD786434:LWD786532 LWD851970:LWD852068 LWD917506:LWD917604 LWD983042:LWD983140 MFZ2:MFZ100 MFZ65538:MFZ65636 MFZ131074:MFZ131172 MFZ196610:MFZ196708 MFZ262146:MFZ262244 MFZ327682:MFZ327780 MFZ393218:MFZ393316 MFZ458754:MFZ458852 MFZ524290:MFZ524388 MFZ589826:MFZ589924 MFZ655362:MFZ655460 MFZ720898:MFZ720996 MFZ786434:MFZ786532 MFZ851970:MFZ852068 MFZ917506:MFZ917604 MFZ983042:MFZ983140 MPV2:MPV100 MPV65538:MPV65636 MPV131074:MPV131172 MPV196610:MPV196708 MPV262146:MPV262244 MPV327682:MPV327780 MPV393218:MPV393316 MPV458754:MPV458852 MPV524290:MPV524388 MPV589826:MPV589924 MPV655362:MPV655460 MPV720898:MPV720996 MPV786434:MPV786532 MPV851970:MPV852068 MPV917506:MPV917604 MPV983042:MPV983140 MZR2:MZR100 MZR65538:MZR65636 MZR131074:MZR131172 MZR196610:MZR196708 MZR262146:MZR262244 MZR327682:MZR327780 MZR393218:MZR393316 MZR458754:MZR458852 MZR524290:MZR524388 MZR589826:MZR589924 MZR655362:MZR655460 MZR720898:MZR720996 MZR786434:MZR786532 MZR851970:MZR852068 MZR917506:MZR917604 MZR983042:MZR983140 NJN2:NJN100 NJN65538:NJN65636 NJN131074:NJN131172 NJN196610:NJN196708 NJN262146:NJN262244 NJN327682:NJN327780 NJN393218:NJN393316 NJN458754:NJN458852 NJN524290:NJN524388 NJN589826:NJN589924 NJN655362:NJN655460 NJN720898:NJN720996 NJN786434:NJN786532 NJN851970:NJN852068 NJN917506:NJN917604 NJN983042:NJN983140 NTJ2:NTJ100 NTJ65538:NTJ65636 NTJ131074:NTJ131172 NTJ196610:NTJ196708 NTJ262146:NTJ262244 NTJ327682:NTJ327780 NTJ393218:NTJ393316 NTJ458754:NTJ458852 NTJ524290:NTJ524388 NTJ589826:NTJ589924 NTJ655362:NTJ655460 NTJ720898:NTJ720996 NTJ786434:NTJ786532 NTJ851970:NTJ852068 NTJ917506:NTJ917604 NTJ983042:NTJ983140 ODF2:ODF100 ODF65538:ODF65636 ODF131074:ODF131172 ODF196610:ODF196708 ODF262146:ODF262244 ODF327682:ODF327780 ODF393218:ODF393316 ODF458754:ODF458852 ODF524290:ODF524388 ODF589826:ODF589924 ODF655362:ODF655460 ODF720898:ODF720996 ODF786434:ODF786532 ODF851970:ODF852068 ODF917506:ODF917604 ODF983042:ODF983140 ONB2:ONB100 ONB65538:ONB65636 ONB131074:ONB131172 ONB196610:ONB196708 ONB262146:ONB262244 ONB327682:ONB327780 ONB393218:ONB393316 ONB458754:ONB458852 ONB524290:ONB524388 ONB589826:ONB589924 ONB655362:ONB655460 ONB720898:ONB720996 ONB786434:ONB786532 ONB851970:ONB852068 ONB917506:ONB917604 ONB983042:ONB983140 OWX2:OWX100 OWX65538:OWX65636 OWX131074:OWX131172 OWX196610:OWX196708 OWX262146:OWX262244 OWX327682:OWX327780 OWX393218:OWX393316 OWX458754:OWX458852 OWX524290:OWX524388 OWX589826:OWX589924 OWX655362:OWX655460 OWX720898:OWX720996 OWX786434:OWX786532 OWX851970:OWX852068 OWX917506:OWX917604 OWX983042:OWX983140 PGT2:PGT100 PGT65538:PGT65636 PGT131074:PGT131172 PGT196610:PGT196708 PGT262146:PGT262244 PGT327682:PGT327780 PGT393218:PGT393316 PGT458754:PGT458852 PGT524290:PGT524388 PGT589826:PGT589924 PGT655362:PGT655460 PGT720898:PGT720996 PGT786434:PGT786532 PGT851970:PGT852068 PGT917506:PGT917604 PGT983042:PGT983140 PQP2:PQP100 PQP65538:PQP65636 PQP131074:PQP131172 PQP196610:PQP196708 PQP262146:PQP262244 PQP327682:PQP327780 PQP393218:PQP393316 PQP458754:PQP458852 PQP524290:PQP524388 PQP589826:PQP589924 PQP655362:PQP655460 PQP720898:PQP720996 PQP786434:PQP786532 PQP851970:PQP852068 PQP917506:PQP917604 PQP983042:PQP983140 QAL2:QAL100 QAL65538:QAL65636 QAL131074:QAL131172 QAL196610:QAL196708 QAL262146:QAL262244 QAL327682:QAL327780 QAL393218:QAL393316 QAL458754:QAL458852 QAL524290:QAL524388 QAL589826:QAL589924 QAL655362:QAL655460 QAL720898:QAL720996 QAL786434:QAL786532 QAL851970:QAL852068 QAL917506:QAL917604 QAL983042:QAL983140 QKH2:QKH100 QKH65538:QKH65636 QKH131074:QKH131172 QKH196610:QKH196708 QKH262146:QKH262244 QKH327682:QKH327780 QKH393218:QKH393316 QKH458754:QKH458852 QKH524290:QKH524388 QKH589826:QKH589924 QKH655362:QKH655460 QKH720898:QKH720996 QKH786434:QKH786532 QKH851970:QKH852068 QKH917506:QKH917604 QKH983042:QKH983140 QUD2:QUD100 QUD65538:QUD65636 QUD131074:QUD131172 QUD196610:QUD196708 QUD262146:QUD262244 QUD327682:QUD327780 QUD393218:QUD393316 QUD458754:QUD458852 QUD524290:QUD524388 QUD589826:QUD589924 QUD655362:QUD655460 QUD720898:QUD720996 QUD786434:QUD786532 QUD851970:QUD852068 QUD917506:QUD917604 QUD983042:QUD983140 RDZ2:RDZ100 RDZ65538:RDZ65636 RDZ131074:RDZ131172 RDZ196610:RDZ196708 RDZ262146:RDZ262244 RDZ327682:RDZ327780 RDZ393218:RDZ393316 RDZ458754:RDZ458852 RDZ524290:RDZ524388 RDZ589826:RDZ589924 RDZ655362:RDZ655460 RDZ720898:RDZ720996 RDZ786434:RDZ786532 RDZ851970:RDZ852068 RDZ917506:RDZ917604 RDZ983042:RDZ983140 RNV2:RNV100 RNV65538:RNV65636 RNV131074:RNV131172 RNV196610:RNV196708 RNV262146:RNV262244 RNV327682:RNV327780 RNV393218:RNV393316 RNV458754:RNV458852 RNV524290:RNV524388 RNV589826:RNV589924 RNV655362:RNV655460 RNV720898:RNV720996 RNV786434:RNV786532 RNV851970:RNV852068 RNV917506:RNV917604 RNV983042:RNV983140 RXR2:RXR100 RXR65538:RXR65636 RXR131074:RXR131172 RXR196610:RXR196708 RXR262146:RXR262244 RXR327682:RXR327780 RXR393218:RXR393316 RXR458754:RXR458852 RXR524290:RXR524388 RXR589826:RXR589924 RXR655362:RXR655460 RXR720898:RXR720996 RXR786434:RXR786532 RXR851970:RXR852068 RXR917506:RXR917604 RXR983042:RXR983140 SHN2:SHN100 SHN65538:SHN65636 SHN131074:SHN131172 SHN196610:SHN196708 SHN262146:SHN262244 SHN327682:SHN327780 SHN393218:SHN393316 SHN458754:SHN458852 SHN524290:SHN524388 SHN589826:SHN589924 SHN655362:SHN655460 SHN720898:SHN720996 SHN786434:SHN786532 SHN851970:SHN852068 SHN917506:SHN917604 SHN983042:SHN983140 SRJ2:SRJ100 SRJ65538:SRJ65636 SRJ131074:SRJ131172 SRJ196610:SRJ196708 SRJ262146:SRJ262244 SRJ327682:SRJ327780 SRJ393218:SRJ393316 SRJ458754:SRJ458852 SRJ524290:SRJ524388 SRJ589826:SRJ589924 SRJ655362:SRJ655460 SRJ720898:SRJ720996 SRJ786434:SRJ786532 SRJ851970:SRJ852068 SRJ917506:SRJ917604 SRJ983042:SRJ983140 TBF2:TBF100 TBF65538:TBF65636 TBF131074:TBF131172 TBF196610:TBF196708 TBF262146:TBF262244 TBF327682:TBF327780 TBF393218:TBF393316 TBF458754:TBF458852 TBF524290:TBF524388 TBF589826:TBF589924 TBF655362:TBF655460 TBF720898:TBF720996 TBF786434:TBF786532 TBF851970:TBF852068 TBF917506:TBF917604 TBF983042:TBF983140 TLB2:TLB100 TLB65538:TLB65636 TLB131074:TLB131172 TLB196610:TLB196708 TLB262146:TLB262244 TLB327682:TLB327780 TLB393218:TLB393316 TLB458754:TLB458852 TLB524290:TLB524388 TLB589826:TLB589924 TLB655362:TLB655460 TLB720898:TLB720996 TLB786434:TLB786532 TLB851970:TLB852068 TLB917506:TLB917604 TLB983042:TLB983140 TUX2:TUX100 TUX65538:TUX65636 TUX131074:TUX131172 TUX196610:TUX196708 TUX262146:TUX262244 TUX327682:TUX327780 TUX393218:TUX393316 TUX458754:TUX458852 TUX524290:TUX524388 TUX589826:TUX589924 TUX655362:TUX655460 TUX720898:TUX720996 TUX786434:TUX786532 TUX851970:TUX852068 TUX917506:TUX917604 TUX983042:TUX983140 UET2:UET100 UET65538:UET65636 UET131074:UET131172 UET196610:UET196708 UET262146:UET262244 UET327682:UET327780 UET393218:UET393316 UET458754:UET458852 UET524290:UET524388 UET589826:UET589924 UET655362:UET655460 UET720898:UET720996 UET786434:UET786532 UET851970:UET852068 UET917506:UET917604 UET983042:UET983140 UOP2:UOP100 UOP65538:UOP65636 UOP131074:UOP131172 UOP196610:UOP196708 UOP262146:UOP262244 UOP327682:UOP327780 UOP393218:UOP393316 UOP458754:UOP458852 UOP524290:UOP524388 UOP589826:UOP589924 UOP655362:UOP655460 UOP720898:UOP720996 UOP786434:UOP786532 UOP851970:UOP852068 UOP917506:UOP917604 UOP983042:UOP983140 UYL2:UYL100 UYL65538:UYL65636 UYL131074:UYL131172 UYL196610:UYL196708 UYL262146:UYL262244 UYL327682:UYL327780 UYL393218:UYL393316 UYL458754:UYL458852 UYL524290:UYL524388 UYL589826:UYL589924 UYL655362:UYL655460 UYL720898:UYL720996 UYL786434:UYL786532 UYL851970:UYL852068 UYL917506:UYL917604 UYL983042:UYL983140 VIH2:VIH100 VIH65538:VIH65636 VIH131074:VIH131172 VIH196610:VIH196708 VIH262146:VIH262244 VIH327682:VIH327780 VIH393218:VIH393316 VIH458754:VIH458852 VIH524290:VIH524388 VIH589826:VIH589924 VIH655362:VIH655460 VIH720898:VIH720996 VIH786434:VIH786532 VIH851970:VIH852068 VIH917506:VIH917604 VIH983042:VIH983140 VSD2:VSD100 VSD65538:VSD65636 VSD131074:VSD131172 VSD196610:VSD196708 VSD262146:VSD262244 VSD327682:VSD327780 VSD393218:VSD393316 VSD458754:VSD458852 VSD524290:VSD524388 VSD589826:VSD589924 VSD655362:VSD655460 VSD720898:VSD720996 VSD786434:VSD786532 VSD851970:VSD852068 VSD917506:VSD917604 VSD983042:VSD983140 WBZ2:WBZ100 WBZ65538:WBZ65636 WBZ131074:WBZ131172 WBZ196610:WBZ196708 WBZ262146:WBZ262244 WBZ327682:WBZ327780 WBZ393218:WBZ393316 WBZ458754:WBZ458852 WBZ524290:WBZ524388 WBZ589826:WBZ589924 WBZ655362:WBZ655460 WBZ720898:WBZ720996 WBZ786434:WBZ786532 WBZ851970:WBZ852068 WBZ917506:WBZ917604 WBZ983042:WBZ983140 WLV2:WLV100 WLV65538:WLV65636 WLV131074:WLV131172 WLV196610:WLV196708 WLV262146:WLV262244 WLV327682:WLV327780 WLV393218:WLV393316 WLV458754:WLV458852 WLV524290:WLV524388 WLV589826:WLV589924 WLV655362:WLV655460 WLV720898:WLV720996 WLV786434:WLV786532 WLV851970:WLV852068 WLV917506:WLV917604 WLV983042:WLV983140 WVR2:WVR100 WVR65538:WVR65636 WVR131074:WVR131172 WVR196610:WVR196708 WVR262146:WVR262244 WVR327682:WVR327780 WVR393218:WVR393316 WVR458754:WVR458852 WVR524290:WVR524388 WVR589826:WVR589924 WVR655362:WVR655460 WVR720898:WVR720996 WVR786434:WVR786532 WVR851970:WVR852068 WVR917506:WVR917604 WVR983042:WVR983140" xr:uid="{E7C2B67B-2F26-48C1-9B36-CED8A55B9804}">
      <formula1>$AP$2:$AP$27</formula1>
    </dataValidation>
    <dataValidation type="list" allowBlank="1" showInputMessage="1" showErrorMessage="1" sqref="K2:K450" xr:uid="{0F793955-0D36-4D41-AE3D-87FE0EBD0384}">
      <formula1>$AR$2:$AR$26</formula1>
    </dataValidation>
    <dataValidation type="list" allowBlank="1" showInputMessage="1" showErrorMessage="1" sqref="ADM2:ADO500 BHA2:BHC500 CKO2:CKQ500 DOC2:DOE500 ERQ2:ERS500 FVE2:FVG500 GYS2:GYU500 ICG2:ICI500 JFU2:JFW500 KJI2:KJK500 LMW2:LMY500 MQK2:MQM500 NTY2:NUA500 OXM2:OXO500 QBA2:QBC500 REO2:REQ500 SIC2:SIE500 TLQ2:TLS500 UPE2:UPG500 VSS2:VSU500 WWG2:WWI500 JU2:JW500 ANI2:ANK500 BQW2:BQY500 CUK2:CUM500 DXY2:DYA500 FBM2:FBO500 GFA2:GFC500 HIO2:HIQ500 IMC2:IME500 JPQ2:JPS500 KTE2:KTG500 LWS2:LWU500 NAG2:NAI500 ODU2:ODW500 PHI2:PHK500 QKW2:QKY500 ROK2:ROM500 SRY2:SSA500 TVM2:TVO500 UZA2:UZC500 WCO2:WCQ500 TQ2:TS500 AXE2:AXG500 CAS2:CAU500 DEG2:DEI500 EHU2:EHW500 FLI2:FLK500 GOW2:GOY500 HSK2:HSM500 IVY2:IWA500 JZM2:JZO500 LDA2:LDC500 MGO2:MGQ500 NKC2:NKE500 ONQ2:ONS500 PRE2:PRG500 QUS2:QUU500 RYG2:RYI500 TBU2:TBW500 UFI2:UFK500 VIW2:VIY500 WMK2:WMM500 Y65538:AA66036 ADM65538:ADO66036 BHA65538:BHC66036 CKO65538:CKQ66036 DOC65538:DOE66036 ERQ65538:ERS66036 FVE65538:FVG66036 GYS65538:GYU66036 ICG65538:ICI66036 JFU65538:JFW66036 KJI65538:KJK66036 LMW65538:LMY66036 MQK65538:MQM66036 NTY65538:NUA66036 OXM65538:OXO66036 QBA65538:QBC66036 REO65538:REQ66036 SIC65538:SIE66036 TLQ65538:TLS66036 UPE65538:UPG66036 VSS65538:VSU66036 WWG65538:WWI66036 JU65538:JW66036 ANI65538:ANK66036 BQW65538:BQY66036 CUK65538:CUM66036 DXY65538:DYA66036 FBM65538:FBO66036 GFA65538:GFC66036 HIO65538:HIQ66036 IMC65538:IME66036 JPQ65538:JPS66036 KTE65538:KTG66036 LWS65538:LWU66036 NAG65538:NAI66036 ODU65538:ODW66036 PHI65538:PHK66036 QKW65538:QKY66036 ROK65538:ROM66036 SRY65538:SSA66036 TVM65538:TVO66036 UZA65538:UZC66036 WCO65538:WCQ66036 TQ65538:TS66036 AXE65538:AXG66036 CAS65538:CAU66036 DEG65538:DEI66036 EHU65538:EHW66036 FLI65538:FLK66036 GOW65538:GOY66036 HSK65538:HSM66036 IVY65538:IWA66036 JZM65538:JZO66036 LDA65538:LDC66036 MGO65538:MGQ66036 NKC65538:NKE66036 ONQ65538:ONS66036 PRE65538:PRG66036 QUS65538:QUU66036 RYG65538:RYI66036 TBU65538:TBW66036 UFI65538:UFK66036 VIW65538:VIY66036 WMK65538:WMM66036 Y131074:AA131572 ADM131074:ADO131572 BHA131074:BHC131572 CKO131074:CKQ131572 DOC131074:DOE131572 ERQ131074:ERS131572 FVE131074:FVG131572 GYS131074:GYU131572 ICG131074:ICI131572 JFU131074:JFW131572 KJI131074:KJK131572 LMW131074:LMY131572 MQK131074:MQM131572 NTY131074:NUA131572 OXM131074:OXO131572 QBA131074:QBC131572 REO131074:REQ131572 SIC131074:SIE131572 TLQ131074:TLS131572 UPE131074:UPG131572 VSS131074:VSU131572 WWG131074:WWI131572 JU131074:JW131572 ANI131074:ANK131572 BQW131074:BQY131572 CUK131074:CUM131572 DXY131074:DYA131572 FBM131074:FBO131572 GFA131074:GFC131572 HIO131074:HIQ131572 IMC131074:IME131572 JPQ131074:JPS131572 KTE131074:KTG131572 LWS131074:LWU131572 NAG131074:NAI131572 ODU131074:ODW131572 PHI131074:PHK131572 QKW131074:QKY131572 ROK131074:ROM131572 SRY131074:SSA131572 TVM131074:TVO131572 UZA131074:UZC131572 WCO131074:WCQ131572 TQ131074:TS131572 AXE131074:AXG131572 CAS131074:CAU131572 DEG131074:DEI131572 EHU131074:EHW131572 FLI131074:FLK131572 GOW131074:GOY131572 HSK131074:HSM131572 IVY131074:IWA131572 JZM131074:JZO131572 LDA131074:LDC131572 MGO131074:MGQ131572 NKC131074:NKE131572 ONQ131074:ONS131572 PRE131074:PRG131572 QUS131074:QUU131572 RYG131074:RYI131572 TBU131074:TBW131572 UFI131074:UFK131572 VIW131074:VIY131572 WMK131074:WMM131572 Y196610:AA197108 ADM196610:ADO197108 BHA196610:BHC197108 CKO196610:CKQ197108 DOC196610:DOE197108 ERQ196610:ERS197108 FVE196610:FVG197108 GYS196610:GYU197108 ICG196610:ICI197108 JFU196610:JFW197108 KJI196610:KJK197108 LMW196610:LMY197108 MQK196610:MQM197108 NTY196610:NUA197108 OXM196610:OXO197108 QBA196610:QBC197108 REO196610:REQ197108 SIC196610:SIE197108 TLQ196610:TLS197108 UPE196610:UPG197108 VSS196610:VSU197108 WWG196610:WWI197108 JU196610:JW197108 ANI196610:ANK197108 BQW196610:BQY197108 CUK196610:CUM197108 DXY196610:DYA197108 FBM196610:FBO197108 GFA196610:GFC197108 HIO196610:HIQ197108 IMC196610:IME197108 JPQ196610:JPS197108 KTE196610:KTG197108 LWS196610:LWU197108 NAG196610:NAI197108 ODU196610:ODW197108 PHI196610:PHK197108 QKW196610:QKY197108 ROK196610:ROM197108 SRY196610:SSA197108 TVM196610:TVO197108 UZA196610:UZC197108 WCO196610:WCQ197108 TQ196610:TS197108 AXE196610:AXG197108 CAS196610:CAU197108 DEG196610:DEI197108 EHU196610:EHW197108 FLI196610:FLK197108 GOW196610:GOY197108 HSK196610:HSM197108 IVY196610:IWA197108 JZM196610:JZO197108 LDA196610:LDC197108 MGO196610:MGQ197108 NKC196610:NKE197108 ONQ196610:ONS197108 PRE196610:PRG197108 QUS196610:QUU197108 RYG196610:RYI197108 TBU196610:TBW197108 UFI196610:UFK197108 VIW196610:VIY197108 WMK196610:WMM197108 Y262146:AA262644 ADM262146:ADO262644 BHA262146:BHC262644 CKO262146:CKQ262644 DOC262146:DOE262644 ERQ262146:ERS262644 FVE262146:FVG262644 GYS262146:GYU262644 ICG262146:ICI262644 JFU262146:JFW262644 KJI262146:KJK262644 LMW262146:LMY262644 MQK262146:MQM262644 NTY262146:NUA262644 OXM262146:OXO262644 QBA262146:QBC262644 REO262146:REQ262644 SIC262146:SIE262644 TLQ262146:TLS262644 UPE262146:UPG262644 VSS262146:VSU262644 WWG262146:WWI262644 JU262146:JW262644 ANI262146:ANK262644 BQW262146:BQY262644 CUK262146:CUM262644 DXY262146:DYA262644 FBM262146:FBO262644 GFA262146:GFC262644 HIO262146:HIQ262644 IMC262146:IME262644 JPQ262146:JPS262644 KTE262146:KTG262644 LWS262146:LWU262644 NAG262146:NAI262644 ODU262146:ODW262644 PHI262146:PHK262644 QKW262146:QKY262644 ROK262146:ROM262644 SRY262146:SSA262644 TVM262146:TVO262644 UZA262146:UZC262644 WCO262146:WCQ262644 TQ262146:TS262644 AXE262146:AXG262644 CAS262146:CAU262644 DEG262146:DEI262644 EHU262146:EHW262644 FLI262146:FLK262644 GOW262146:GOY262644 HSK262146:HSM262644 IVY262146:IWA262644 JZM262146:JZO262644 LDA262146:LDC262644 MGO262146:MGQ262644 NKC262146:NKE262644 ONQ262146:ONS262644 PRE262146:PRG262644 QUS262146:QUU262644 RYG262146:RYI262644 TBU262146:TBW262644 UFI262146:UFK262644 VIW262146:VIY262644 WMK262146:WMM262644 Y327682:AA328180 ADM327682:ADO328180 BHA327682:BHC328180 CKO327682:CKQ328180 DOC327682:DOE328180 ERQ327682:ERS328180 FVE327682:FVG328180 GYS327682:GYU328180 ICG327682:ICI328180 JFU327682:JFW328180 KJI327682:KJK328180 LMW327682:LMY328180 MQK327682:MQM328180 NTY327682:NUA328180 OXM327682:OXO328180 QBA327682:QBC328180 REO327682:REQ328180 SIC327682:SIE328180 TLQ327682:TLS328180 UPE327682:UPG328180 VSS327682:VSU328180 WWG327682:WWI328180 JU327682:JW328180 ANI327682:ANK328180 BQW327682:BQY328180 CUK327682:CUM328180 DXY327682:DYA328180 FBM327682:FBO328180 GFA327682:GFC328180 HIO327682:HIQ328180 IMC327682:IME328180 JPQ327682:JPS328180 KTE327682:KTG328180 LWS327682:LWU328180 NAG327682:NAI328180 ODU327682:ODW328180 PHI327682:PHK328180 QKW327682:QKY328180 ROK327682:ROM328180 SRY327682:SSA328180 TVM327682:TVO328180 UZA327682:UZC328180 WCO327682:WCQ328180 TQ327682:TS328180 AXE327682:AXG328180 CAS327682:CAU328180 DEG327682:DEI328180 EHU327682:EHW328180 FLI327682:FLK328180 GOW327682:GOY328180 HSK327682:HSM328180 IVY327682:IWA328180 JZM327682:JZO328180 LDA327682:LDC328180 MGO327682:MGQ328180 NKC327682:NKE328180 ONQ327682:ONS328180 PRE327682:PRG328180 QUS327682:QUU328180 RYG327682:RYI328180 TBU327682:TBW328180 UFI327682:UFK328180 VIW327682:VIY328180 WMK327682:WMM328180 Y393218:AA393716 ADM393218:ADO393716 BHA393218:BHC393716 CKO393218:CKQ393716 DOC393218:DOE393716 ERQ393218:ERS393716 FVE393218:FVG393716 GYS393218:GYU393716 ICG393218:ICI393716 JFU393218:JFW393716 KJI393218:KJK393716 LMW393218:LMY393716 MQK393218:MQM393716 NTY393218:NUA393716 OXM393218:OXO393716 QBA393218:QBC393716 REO393218:REQ393716 SIC393218:SIE393716 TLQ393218:TLS393716 UPE393218:UPG393716 VSS393218:VSU393716 WWG393218:WWI393716 JU393218:JW393716 ANI393218:ANK393716 BQW393218:BQY393716 CUK393218:CUM393716 DXY393218:DYA393716 FBM393218:FBO393716 GFA393218:GFC393716 HIO393218:HIQ393716 IMC393218:IME393716 JPQ393218:JPS393716 KTE393218:KTG393716 LWS393218:LWU393716 NAG393218:NAI393716 ODU393218:ODW393716 PHI393218:PHK393716 QKW393218:QKY393716 ROK393218:ROM393716 SRY393218:SSA393716 TVM393218:TVO393716 UZA393218:UZC393716 WCO393218:WCQ393716 TQ393218:TS393716 AXE393218:AXG393716 CAS393218:CAU393716 DEG393218:DEI393716 EHU393218:EHW393716 FLI393218:FLK393716 GOW393218:GOY393716 HSK393218:HSM393716 IVY393218:IWA393716 JZM393218:JZO393716 LDA393218:LDC393716 MGO393218:MGQ393716 NKC393218:NKE393716 ONQ393218:ONS393716 PRE393218:PRG393716 QUS393218:QUU393716 RYG393218:RYI393716 TBU393218:TBW393716 UFI393218:UFK393716 VIW393218:VIY393716 WMK393218:WMM393716 Y458754:AA459252 ADM458754:ADO459252 BHA458754:BHC459252 CKO458754:CKQ459252 DOC458754:DOE459252 ERQ458754:ERS459252 FVE458754:FVG459252 GYS458754:GYU459252 ICG458754:ICI459252 JFU458754:JFW459252 KJI458754:KJK459252 LMW458754:LMY459252 MQK458754:MQM459252 NTY458754:NUA459252 OXM458754:OXO459252 QBA458754:QBC459252 REO458754:REQ459252 SIC458754:SIE459252 TLQ458754:TLS459252 UPE458754:UPG459252 VSS458754:VSU459252 WWG458754:WWI459252 JU458754:JW459252 ANI458754:ANK459252 BQW458754:BQY459252 CUK458754:CUM459252 DXY458754:DYA459252 FBM458754:FBO459252 GFA458754:GFC459252 HIO458754:HIQ459252 IMC458754:IME459252 JPQ458754:JPS459252 KTE458754:KTG459252 LWS458754:LWU459252 NAG458754:NAI459252 ODU458754:ODW459252 PHI458754:PHK459252 QKW458754:QKY459252 ROK458754:ROM459252 SRY458754:SSA459252 TVM458754:TVO459252 UZA458754:UZC459252 WCO458754:WCQ459252 TQ458754:TS459252 AXE458754:AXG459252 CAS458754:CAU459252 DEG458754:DEI459252 EHU458754:EHW459252 FLI458754:FLK459252 GOW458754:GOY459252 HSK458754:HSM459252 IVY458754:IWA459252 JZM458754:JZO459252 LDA458754:LDC459252 MGO458754:MGQ459252 NKC458754:NKE459252 ONQ458754:ONS459252 PRE458754:PRG459252 QUS458754:QUU459252 RYG458754:RYI459252 TBU458754:TBW459252 UFI458754:UFK459252 VIW458754:VIY459252 WMK458754:WMM459252 Y524290:AA524788 ADM524290:ADO524788 BHA524290:BHC524788 CKO524290:CKQ524788 DOC524290:DOE524788 ERQ524290:ERS524788 FVE524290:FVG524788 GYS524290:GYU524788 ICG524290:ICI524788 JFU524290:JFW524788 KJI524290:KJK524788 LMW524290:LMY524788 MQK524290:MQM524788 NTY524290:NUA524788 OXM524290:OXO524788 QBA524290:QBC524788 REO524290:REQ524788 SIC524290:SIE524788 TLQ524290:TLS524788 UPE524290:UPG524788 VSS524290:VSU524788 WWG524290:WWI524788 JU524290:JW524788 ANI524290:ANK524788 BQW524290:BQY524788 CUK524290:CUM524788 DXY524290:DYA524788 FBM524290:FBO524788 GFA524290:GFC524788 HIO524290:HIQ524788 IMC524290:IME524788 JPQ524290:JPS524788 KTE524290:KTG524788 LWS524290:LWU524788 NAG524290:NAI524788 ODU524290:ODW524788 PHI524290:PHK524788 QKW524290:QKY524788 ROK524290:ROM524788 SRY524290:SSA524788 TVM524290:TVO524788 UZA524290:UZC524788 WCO524290:WCQ524788 TQ524290:TS524788 AXE524290:AXG524788 CAS524290:CAU524788 DEG524290:DEI524788 EHU524290:EHW524788 FLI524290:FLK524788 GOW524290:GOY524788 HSK524290:HSM524788 IVY524290:IWA524788 JZM524290:JZO524788 LDA524290:LDC524788 MGO524290:MGQ524788 NKC524290:NKE524788 ONQ524290:ONS524788 PRE524290:PRG524788 QUS524290:QUU524788 RYG524290:RYI524788 TBU524290:TBW524788 UFI524290:UFK524788 VIW524290:VIY524788 WMK524290:WMM524788 Y589826:AA590324 ADM589826:ADO590324 BHA589826:BHC590324 CKO589826:CKQ590324 DOC589826:DOE590324 ERQ589826:ERS590324 FVE589826:FVG590324 GYS589826:GYU590324 ICG589826:ICI590324 JFU589826:JFW590324 KJI589826:KJK590324 LMW589826:LMY590324 MQK589826:MQM590324 NTY589826:NUA590324 OXM589826:OXO590324 QBA589826:QBC590324 REO589826:REQ590324 SIC589826:SIE590324 TLQ589826:TLS590324 UPE589826:UPG590324 VSS589826:VSU590324 WWG589826:WWI590324 JU589826:JW590324 ANI589826:ANK590324 BQW589826:BQY590324 CUK589826:CUM590324 DXY589826:DYA590324 FBM589826:FBO590324 GFA589826:GFC590324 HIO589826:HIQ590324 IMC589826:IME590324 JPQ589826:JPS590324 KTE589826:KTG590324 LWS589826:LWU590324 NAG589826:NAI590324 ODU589826:ODW590324 PHI589826:PHK590324 QKW589826:QKY590324 ROK589826:ROM590324 SRY589826:SSA590324 TVM589826:TVO590324 UZA589826:UZC590324 WCO589826:WCQ590324 TQ589826:TS590324 AXE589826:AXG590324 CAS589826:CAU590324 DEG589826:DEI590324 EHU589826:EHW590324 FLI589826:FLK590324 GOW589826:GOY590324 HSK589826:HSM590324 IVY589826:IWA590324 JZM589826:JZO590324 LDA589826:LDC590324 MGO589826:MGQ590324 NKC589826:NKE590324 ONQ589826:ONS590324 PRE589826:PRG590324 QUS589826:QUU590324 RYG589826:RYI590324 TBU589826:TBW590324 UFI589826:UFK590324 VIW589826:VIY590324 WMK589826:WMM590324 Y655362:AA655860 ADM655362:ADO655860 BHA655362:BHC655860 CKO655362:CKQ655860 DOC655362:DOE655860 ERQ655362:ERS655860 FVE655362:FVG655860 GYS655362:GYU655860 ICG655362:ICI655860 JFU655362:JFW655860 KJI655362:KJK655860 LMW655362:LMY655860 MQK655362:MQM655860 NTY655362:NUA655860 OXM655362:OXO655860 QBA655362:QBC655860 REO655362:REQ655860 SIC655362:SIE655860 TLQ655362:TLS655860 UPE655362:UPG655860 VSS655362:VSU655860 WWG655362:WWI655860 JU655362:JW655860 ANI655362:ANK655860 BQW655362:BQY655860 CUK655362:CUM655860 DXY655362:DYA655860 FBM655362:FBO655860 GFA655362:GFC655860 HIO655362:HIQ655860 IMC655362:IME655860 JPQ655362:JPS655860 KTE655362:KTG655860 LWS655362:LWU655860 NAG655362:NAI655860 ODU655362:ODW655860 PHI655362:PHK655860 QKW655362:QKY655860 ROK655362:ROM655860 SRY655362:SSA655860 TVM655362:TVO655860 UZA655362:UZC655860 WCO655362:WCQ655860 TQ655362:TS655860 AXE655362:AXG655860 CAS655362:CAU655860 DEG655362:DEI655860 EHU655362:EHW655860 FLI655362:FLK655860 GOW655362:GOY655860 HSK655362:HSM655860 IVY655362:IWA655860 JZM655362:JZO655860 LDA655362:LDC655860 MGO655362:MGQ655860 NKC655362:NKE655860 ONQ655362:ONS655860 PRE655362:PRG655860 QUS655362:QUU655860 RYG655362:RYI655860 TBU655362:TBW655860 UFI655362:UFK655860 VIW655362:VIY655860 WMK655362:WMM655860 Y720898:AA721396 ADM720898:ADO721396 BHA720898:BHC721396 CKO720898:CKQ721396 DOC720898:DOE721396 ERQ720898:ERS721396 FVE720898:FVG721396 GYS720898:GYU721396 ICG720898:ICI721396 JFU720898:JFW721396 KJI720898:KJK721396 LMW720898:LMY721396 MQK720898:MQM721396 NTY720898:NUA721396 OXM720898:OXO721396 QBA720898:QBC721396 REO720898:REQ721396 SIC720898:SIE721396 TLQ720898:TLS721396 UPE720898:UPG721396 VSS720898:VSU721396 WWG720898:WWI721396 JU720898:JW721396 ANI720898:ANK721396 BQW720898:BQY721396 CUK720898:CUM721396 DXY720898:DYA721396 FBM720898:FBO721396 GFA720898:GFC721396 HIO720898:HIQ721396 IMC720898:IME721396 JPQ720898:JPS721396 KTE720898:KTG721396 LWS720898:LWU721396 NAG720898:NAI721396 ODU720898:ODW721396 PHI720898:PHK721396 QKW720898:QKY721396 ROK720898:ROM721396 SRY720898:SSA721396 TVM720898:TVO721396 UZA720898:UZC721396 WCO720898:WCQ721396 TQ720898:TS721396 AXE720898:AXG721396 CAS720898:CAU721396 DEG720898:DEI721396 EHU720898:EHW721396 FLI720898:FLK721396 GOW720898:GOY721396 HSK720898:HSM721396 IVY720898:IWA721396 JZM720898:JZO721396 LDA720898:LDC721396 MGO720898:MGQ721396 NKC720898:NKE721396 ONQ720898:ONS721396 PRE720898:PRG721396 QUS720898:QUU721396 RYG720898:RYI721396 TBU720898:TBW721396 UFI720898:UFK721396 VIW720898:VIY721396 WMK720898:WMM721396 Y786434:AA786932 ADM786434:ADO786932 BHA786434:BHC786932 CKO786434:CKQ786932 DOC786434:DOE786932 ERQ786434:ERS786932 FVE786434:FVG786932 GYS786434:GYU786932 ICG786434:ICI786932 JFU786434:JFW786932 KJI786434:KJK786932 LMW786434:LMY786932 MQK786434:MQM786932 NTY786434:NUA786932 OXM786434:OXO786932 QBA786434:QBC786932 REO786434:REQ786932 SIC786434:SIE786932 TLQ786434:TLS786932 UPE786434:UPG786932 VSS786434:VSU786932 WWG786434:WWI786932 JU786434:JW786932 ANI786434:ANK786932 BQW786434:BQY786932 CUK786434:CUM786932 DXY786434:DYA786932 FBM786434:FBO786932 GFA786434:GFC786932 HIO786434:HIQ786932 IMC786434:IME786932 JPQ786434:JPS786932 KTE786434:KTG786932 LWS786434:LWU786932 NAG786434:NAI786932 ODU786434:ODW786932 PHI786434:PHK786932 QKW786434:QKY786932 ROK786434:ROM786932 SRY786434:SSA786932 TVM786434:TVO786932 UZA786434:UZC786932 WCO786434:WCQ786932 TQ786434:TS786932 AXE786434:AXG786932 CAS786434:CAU786932 DEG786434:DEI786932 EHU786434:EHW786932 FLI786434:FLK786932 GOW786434:GOY786932 HSK786434:HSM786932 IVY786434:IWA786932 JZM786434:JZO786932 LDA786434:LDC786932 MGO786434:MGQ786932 NKC786434:NKE786932 ONQ786434:ONS786932 PRE786434:PRG786932 QUS786434:QUU786932 RYG786434:RYI786932 TBU786434:TBW786932 UFI786434:UFK786932 VIW786434:VIY786932 WMK786434:WMM786932 Y851970:AA852468 ADM851970:ADO852468 BHA851970:BHC852468 CKO851970:CKQ852468 DOC851970:DOE852468 ERQ851970:ERS852468 FVE851970:FVG852468 GYS851970:GYU852468 ICG851970:ICI852468 JFU851970:JFW852468 KJI851970:KJK852468 LMW851970:LMY852468 MQK851970:MQM852468 NTY851970:NUA852468 OXM851970:OXO852468 QBA851970:QBC852468 REO851970:REQ852468 SIC851970:SIE852468 TLQ851970:TLS852468 UPE851970:UPG852468 VSS851970:VSU852468 WWG851970:WWI852468 JU851970:JW852468 ANI851970:ANK852468 BQW851970:BQY852468 CUK851970:CUM852468 DXY851970:DYA852468 FBM851970:FBO852468 GFA851970:GFC852468 HIO851970:HIQ852468 IMC851970:IME852468 JPQ851970:JPS852468 KTE851970:KTG852468 LWS851970:LWU852468 NAG851970:NAI852468 ODU851970:ODW852468 PHI851970:PHK852468 QKW851970:QKY852468 ROK851970:ROM852468 SRY851970:SSA852468 TVM851970:TVO852468 UZA851970:UZC852468 WCO851970:WCQ852468 TQ851970:TS852468 AXE851970:AXG852468 CAS851970:CAU852468 DEG851970:DEI852468 EHU851970:EHW852468 FLI851970:FLK852468 GOW851970:GOY852468 HSK851970:HSM852468 IVY851970:IWA852468 JZM851970:JZO852468 LDA851970:LDC852468 MGO851970:MGQ852468 NKC851970:NKE852468 ONQ851970:ONS852468 PRE851970:PRG852468 QUS851970:QUU852468 RYG851970:RYI852468 TBU851970:TBW852468 UFI851970:UFK852468 VIW851970:VIY852468 WMK851970:WMM852468 Y917506:AA918004 ADM917506:ADO918004 BHA917506:BHC918004 CKO917506:CKQ918004 DOC917506:DOE918004 ERQ917506:ERS918004 FVE917506:FVG918004 GYS917506:GYU918004 ICG917506:ICI918004 JFU917506:JFW918004 KJI917506:KJK918004 LMW917506:LMY918004 MQK917506:MQM918004 NTY917506:NUA918004 OXM917506:OXO918004 QBA917506:QBC918004 REO917506:REQ918004 SIC917506:SIE918004 TLQ917506:TLS918004 UPE917506:UPG918004 VSS917506:VSU918004 WWG917506:WWI918004 JU917506:JW918004 ANI917506:ANK918004 BQW917506:BQY918004 CUK917506:CUM918004 DXY917506:DYA918004 FBM917506:FBO918004 GFA917506:GFC918004 HIO917506:HIQ918004 IMC917506:IME918004 JPQ917506:JPS918004 KTE917506:KTG918004 LWS917506:LWU918004 NAG917506:NAI918004 ODU917506:ODW918004 PHI917506:PHK918004 QKW917506:QKY918004 ROK917506:ROM918004 SRY917506:SSA918004 TVM917506:TVO918004 UZA917506:UZC918004 WCO917506:WCQ918004 TQ917506:TS918004 AXE917506:AXG918004 CAS917506:CAU918004 DEG917506:DEI918004 EHU917506:EHW918004 FLI917506:FLK918004 GOW917506:GOY918004 HSK917506:HSM918004 IVY917506:IWA918004 JZM917506:JZO918004 LDA917506:LDC918004 MGO917506:MGQ918004 NKC917506:NKE918004 ONQ917506:ONS918004 PRE917506:PRG918004 QUS917506:QUU918004 RYG917506:RYI918004 TBU917506:TBW918004 UFI917506:UFK918004 VIW917506:VIY918004 WMK917506:WMM918004 Y983042:AA983540 ADM983042:ADO983540 BHA983042:BHC983540 CKO983042:CKQ983540 DOC983042:DOE983540 ERQ983042:ERS983540 FVE983042:FVG983540 GYS983042:GYU983540 ICG983042:ICI983540 JFU983042:JFW983540 KJI983042:KJK983540 LMW983042:LMY983540 MQK983042:MQM983540 NTY983042:NUA983540 OXM983042:OXO983540 QBA983042:QBC983540 REO983042:REQ983540 SIC983042:SIE983540 TLQ983042:TLS983540 UPE983042:UPG983540 VSS983042:VSU983540 WWG983042:WWI983540 JU983042:JW983540 ANI983042:ANK983540 BQW983042:BQY983540 CUK983042:CUM983540 DXY983042:DYA983540 FBM983042:FBO983540 GFA983042:GFC983540 HIO983042:HIQ983540 IMC983042:IME983540 JPQ983042:JPS983540 KTE983042:KTG983540 LWS983042:LWU983540 NAG983042:NAI983540 ODU983042:ODW983540 PHI983042:PHK983540 QKW983042:QKY983540 ROK983042:ROM983540 SRY983042:SSA983540 TVM983042:TVO983540 UZA983042:UZC983540 WCO983042:WCQ983540 TQ983042:TS983540 AXE983042:AXG983540 CAS983042:CAU983540 DEG983042:DEI983540 EHU983042:EHW983540 FLI983042:FLK983540 GOW983042:GOY983540 HSK983042:HSM983540 IVY983042:IWA983540 JZM983042:JZO983540 LDA983042:LDC983540 MGO983042:MGQ983540 NKC983042:NKE983540 ONQ983042:ONS983540 PRE983042:PRG983540 QUS983042:QUU983540 RYG983042:RYI983540 TBU983042:TBW983540 UFI983042:UFK983540 VIW983042:VIY983540 WMK983042:WMM983540 Y2:AA500" xr:uid="{81BE6976-9D33-4892-867C-81DEA3023AB7}">
      <formula1>$AV$2:$AV$21</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ADM501:ADO65537 BHA501:BHC65537 CKO501:CKQ65537 DOC501:DOE65537 ERQ501:ERS65537 FVE501:FVG65537 GYS501:GYU65537 ICG501:ICI65537 JFU501:JFW65537 KJI501:KJK65537 LMW501:LMY65537 MQK501:MQM65537 NTY501:NUA65537 OXM501:OXO65537 QBA501:QBC65537 REO501:REQ65537 SIC501:SIE65537 TLQ501:TLS65537 UPE501:UPG65537 VSS501:VSU65537 WWG501:WWI65537 JU501:JW65537 ANI501:ANK65537 BQW501:BQY65537 CUK501:CUM65537 DXY501:DYA65537 FBM501:FBO65537 GFA501:GFC65537 HIO501:HIQ65537 IMC501:IME65537 JPQ501:JPS65537 KTE501:KTG65537 LWS501:LWU65537 NAG501:NAI65537 ODU501:ODW65537 PHI501:PHK65537 QKW501:QKY65537 ROK501:ROM65537 SRY501:SSA65537 TVM501:TVO65537 UZA501:UZC65537 WCO501:WCQ65537 TQ501:TS65537 AXE501:AXG65537 CAS501:CAU65537 DEG501:DEI65537 EHU501:EHW65537 FLI501:FLK65537 GOW501:GOY65537 HSK501:HSM65537 IVY501:IWA65537 JZM501:JZO65537 LDA501:LDC65537 MGO501:MGQ65537 NKC501:NKE65537 ONQ501:ONS65537 PRE501:PRG65537 QUS501:QUU65537 RYG501:RYI65537 TBU501:TBW65537 UFI501:UFK65537 VIW501:VIY65537 WMK501:WMM65537 Y66037:AA131073 ADM66037:ADO131073 BHA66037:BHC131073 CKO66037:CKQ131073 DOC66037:DOE131073 ERQ66037:ERS131073 FVE66037:FVG131073 GYS66037:GYU131073 ICG66037:ICI131073 JFU66037:JFW131073 KJI66037:KJK131073 LMW66037:LMY131073 MQK66037:MQM131073 NTY66037:NUA131073 OXM66037:OXO131073 QBA66037:QBC131073 REO66037:REQ131073 SIC66037:SIE131073 TLQ66037:TLS131073 UPE66037:UPG131073 VSS66037:VSU131073 WWG66037:WWI131073 JU66037:JW131073 ANI66037:ANK131073 BQW66037:BQY131073 CUK66037:CUM131073 DXY66037:DYA131073 FBM66037:FBO131073 GFA66037:GFC131073 HIO66037:HIQ131073 IMC66037:IME131073 JPQ66037:JPS131073 KTE66037:KTG131073 LWS66037:LWU131073 NAG66037:NAI131073 ODU66037:ODW131073 PHI66037:PHK131073 QKW66037:QKY131073 ROK66037:ROM131073 SRY66037:SSA131073 TVM66037:TVO131073 UZA66037:UZC131073 WCO66037:WCQ131073 TQ66037:TS131073 AXE66037:AXG131073 CAS66037:CAU131073 DEG66037:DEI131073 EHU66037:EHW131073 FLI66037:FLK131073 GOW66037:GOY131073 HSK66037:HSM131073 IVY66037:IWA131073 JZM66037:JZO131073 LDA66037:LDC131073 MGO66037:MGQ131073 NKC66037:NKE131073 ONQ66037:ONS131073 PRE66037:PRG131073 QUS66037:QUU131073 RYG66037:RYI131073 TBU66037:TBW131073 UFI66037:UFK131073 VIW66037:VIY131073 WMK66037:WMM131073 Y131573:AA196609 ADM131573:ADO196609 BHA131573:BHC196609 CKO131573:CKQ196609 DOC131573:DOE196609 ERQ131573:ERS196609 FVE131573:FVG196609 GYS131573:GYU196609 ICG131573:ICI196609 JFU131573:JFW196609 KJI131573:KJK196609 LMW131573:LMY196609 MQK131573:MQM196609 NTY131573:NUA196609 OXM131573:OXO196609 QBA131573:QBC196609 REO131573:REQ196609 SIC131573:SIE196609 TLQ131573:TLS196609 UPE131573:UPG196609 VSS131573:VSU196609 WWG131573:WWI196609 JU131573:JW196609 ANI131573:ANK196609 BQW131573:BQY196609 CUK131573:CUM196609 DXY131573:DYA196609 FBM131573:FBO196609 GFA131573:GFC196609 HIO131573:HIQ196609 IMC131573:IME196609 JPQ131573:JPS196609 KTE131573:KTG196609 LWS131573:LWU196609 NAG131573:NAI196609 ODU131573:ODW196609 PHI131573:PHK196609 QKW131573:QKY196609 ROK131573:ROM196609 SRY131573:SSA196609 TVM131573:TVO196609 UZA131573:UZC196609 WCO131573:WCQ196609 TQ131573:TS196609 AXE131573:AXG196609 CAS131573:CAU196609 DEG131573:DEI196609 EHU131573:EHW196609 FLI131573:FLK196609 GOW131573:GOY196609 HSK131573:HSM196609 IVY131573:IWA196609 JZM131573:JZO196609 LDA131573:LDC196609 MGO131573:MGQ196609 NKC131573:NKE196609 ONQ131573:ONS196609 PRE131573:PRG196609 QUS131573:QUU196609 RYG131573:RYI196609 TBU131573:TBW196609 UFI131573:UFK196609 VIW131573:VIY196609 WMK131573:WMM196609 Y197109:AA262145 ADM197109:ADO262145 BHA197109:BHC262145 CKO197109:CKQ262145 DOC197109:DOE262145 ERQ197109:ERS262145 FVE197109:FVG262145 GYS197109:GYU262145 ICG197109:ICI262145 JFU197109:JFW262145 KJI197109:KJK262145 LMW197109:LMY262145 MQK197109:MQM262145 NTY197109:NUA262145 OXM197109:OXO262145 QBA197109:QBC262145 REO197109:REQ262145 SIC197109:SIE262145 TLQ197109:TLS262145 UPE197109:UPG262145 VSS197109:VSU262145 WWG197109:WWI262145 JU197109:JW262145 ANI197109:ANK262145 BQW197109:BQY262145 CUK197109:CUM262145 DXY197109:DYA262145 FBM197109:FBO262145 GFA197109:GFC262145 HIO197109:HIQ262145 IMC197109:IME262145 JPQ197109:JPS262145 KTE197109:KTG262145 LWS197109:LWU262145 NAG197109:NAI262145 ODU197109:ODW262145 PHI197109:PHK262145 QKW197109:QKY262145 ROK197109:ROM262145 SRY197109:SSA262145 TVM197109:TVO262145 UZA197109:UZC262145 WCO197109:WCQ262145 TQ197109:TS262145 AXE197109:AXG262145 CAS197109:CAU262145 DEG197109:DEI262145 EHU197109:EHW262145 FLI197109:FLK262145 GOW197109:GOY262145 HSK197109:HSM262145 IVY197109:IWA262145 JZM197109:JZO262145 LDA197109:LDC262145 MGO197109:MGQ262145 NKC197109:NKE262145 ONQ197109:ONS262145 PRE197109:PRG262145 QUS197109:QUU262145 RYG197109:RYI262145 TBU197109:TBW262145 UFI197109:UFK262145 VIW197109:VIY262145 WMK197109:WMM262145 Y262645:AA327681 ADM262645:ADO327681 BHA262645:BHC327681 CKO262645:CKQ327681 DOC262645:DOE327681 ERQ262645:ERS327681 FVE262645:FVG327681 GYS262645:GYU327681 ICG262645:ICI327681 JFU262645:JFW327681 KJI262645:KJK327681 LMW262645:LMY327681 MQK262645:MQM327681 NTY262645:NUA327681 OXM262645:OXO327681 QBA262645:QBC327681 REO262645:REQ327681 SIC262645:SIE327681 TLQ262645:TLS327681 UPE262645:UPG327681 VSS262645:VSU327681 WWG262645:WWI327681 JU262645:JW327681 ANI262645:ANK327681 BQW262645:BQY327681 CUK262645:CUM327681 DXY262645:DYA327681 FBM262645:FBO327681 GFA262645:GFC327681 HIO262645:HIQ327681 IMC262645:IME327681 JPQ262645:JPS327681 KTE262645:KTG327681 LWS262645:LWU327681 NAG262645:NAI327681 ODU262645:ODW327681 PHI262645:PHK327681 QKW262645:QKY327681 ROK262645:ROM327681 SRY262645:SSA327681 TVM262645:TVO327681 UZA262645:UZC327681 WCO262645:WCQ327681 TQ262645:TS327681 AXE262645:AXG327681 CAS262645:CAU327681 DEG262645:DEI327681 EHU262645:EHW327681 FLI262645:FLK327681 GOW262645:GOY327681 HSK262645:HSM327681 IVY262645:IWA327681 JZM262645:JZO327681 LDA262645:LDC327681 MGO262645:MGQ327681 NKC262645:NKE327681 ONQ262645:ONS327681 PRE262645:PRG327681 QUS262645:QUU327681 RYG262645:RYI327681 TBU262645:TBW327681 UFI262645:UFK327681 VIW262645:VIY327681 WMK262645:WMM327681 Y328181:AA393217 ADM328181:ADO393217 BHA328181:BHC393217 CKO328181:CKQ393217 DOC328181:DOE393217 ERQ328181:ERS393217 FVE328181:FVG393217 GYS328181:GYU393217 ICG328181:ICI393217 JFU328181:JFW393217 KJI328181:KJK393217 LMW328181:LMY393217 MQK328181:MQM393217 NTY328181:NUA393217 OXM328181:OXO393217 QBA328181:QBC393217 REO328181:REQ393217 SIC328181:SIE393217 TLQ328181:TLS393217 UPE328181:UPG393217 VSS328181:VSU393217 WWG328181:WWI393217 JU328181:JW393217 ANI328181:ANK393217 BQW328181:BQY393217 CUK328181:CUM393217 DXY328181:DYA393217 FBM328181:FBO393217 GFA328181:GFC393217 HIO328181:HIQ393217 IMC328181:IME393217 JPQ328181:JPS393217 KTE328181:KTG393217 LWS328181:LWU393217 NAG328181:NAI393217 ODU328181:ODW393217 PHI328181:PHK393217 QKW328181:QKY393217 ROK328181:ROM393217 SRY328181:SSA393217 TVM328181:TVO393217 UZA328181:UZC393217 WCO328181:WCQ393217 TQ328181:TS393217 AXE328181:AXG393217 CAS328181:CAU393217 DEG328181:DEI393217 EHU328181:EHW393217 FLI328181:FLK393217 GOW328181:GOY393217 HSK328181:HSM393217 IVY328181:IWA393217 JZM328181:JZO393217 LDA328181:LDC393217 MGO328181:MGQ393217 NKC328181:NKE393217 ONQ328181:ONS393217 PRE328181:PRG393217 QUS328181:QUU393217 RYG328181:RYI393217 TBU328181:TBW393217 UFI328181:UFK393217 VIW328181:VIY393217 WMK328181:WMM393217 Y393717:AA458753 ADM393717:ADO458753 BHA393717:BHC458753 CKO393717:CKQ458753 DOC393717:DOE458753 ERQ393717:ERS458753 FVE393717:FVG458753 GYS393717:GYU458753 ICG393717:ICI458753 JFU393717:JFW458753 KJI393717:KJK458753 LMW393717:LMY458753 MQK393717:MQM458753 NTY393717:NUA458753 OXM393717:OXO458753 QBA393717:QBC458753 REO393717:REQ458753 SIC393717:SIE458753 TLQ393717:TLS458753 UPE393717:UPG458753 VSS393717:VSU458753 WWG393717:WWI458753 JU393717:JW458753 ANI393717:ANK458753 BQW393717:BQY458753 CUK393717:CUM458753 DXY393717:DYA458753 FBM393717:FBO458753 GFA393717:GFC458753 HIO393717:HIQ458753 IMC393717:IME458753 JPQ393717:JPS458753 KTE393717:KTG458753 LWS393717:LWU458753 NAG393717:NAI458753 ODU393717:ODW458753 PHI393717:PHK458753 QKW393717:QKY458753 ROK393717:ROM458753 SRY393717:SSA458753 TVM393717:TVO458753 UZA393717:UZC458753 WCO393717:WCQ458753 TQ393717:TS458753 AXE393717:AXG458753 CAS393717:CAU458753 DEG393717:DEI458753 EHU393717:EHW458753 FLI393717:FLK458753 GOW393717:GOY458753 HSK393717:HSM458753 IVY393717:IWA458753 JZM393717:JZO458753 LDA393717:LDC458753 MGO393717:MGQ458753 NKC393717:NKE458753 ONQ393717:ONS458753 PRE393717:PRG458753 QUS393717:QUU458753 RYG393717:RYI458753 TBU393717:TBW458753 UFI393717:UFK458753 VIW393717:VIY458753 WMK393717:WMM458753 Y459253:AA524289 ADM459253:ADO524289 BHA459253:BHC524289 CKO459253:CKQ524289 DOC459253:DOE524289 ERQ459253:ERS524289 FVE459253:FVG524289 GYS459253:GYU524289 ICG459253:ICI524289 JFU459253:JFW524289 KJI459253:KJK524289 LMW459253:LMY524289 MQK459253:MQM524289 NTY459253:NUA524289 OXM459253:OXO524289 QBA459253:QBC524289 REO459253:REQ524289 SIC459253:SIE524289 TLQ459253:TLS524289 UPE459253:UPG524289 VSS459253:VSU524289 WWG459253:WWI524289 JU459253:JW524289 ANI459253:ANK524289 BQW459253:BQY524289 CUK459253:CUM524289 DXY459253:DYA524289 FBM459253:FBO524289 GFA459253:GFC524289 HIO459253:HIQ524289 IMC459253:IME524289 JPQ459253:JPS524289 KTE459253:KTG524289 LWS459253:LWU524289 NAG459253:NAI524289 ODU459253:ODW524289 PHI459253:PHK524289 QKW459253:QKY524289 ROK459253:ROM524289 SRY459253:SSA524289 TVM459253:TVO524289 UZA459253:UZC524289 WCO459253:WCQ524289 TQ459253:TS524289 AXE459253:AXG524289 CAS459253:CAU524289 DEG459253:DEI524289 EHU459253:EHW524289 FLI459253:FLK524289 GOW459253:GOY524289 HSK459253:HSM524289 IVY459253:IWA524289 JZM459253:JZO524289 LDA459253:LDC524289 MGO459253:MGQ524289 NKC459253:NKE524289 ONQ459253:ONS524289 PRE459253:PRG524289 QUS459253:QUU524289 RYG459253:RYI524289 TBU459253:TBW524289 UFI459253:UFK524289 VIW459253:VIY524289 WMK459253:WMM524289 Y524789:AA589825 ADM524789:ADO589825 BHA524789:BHC589825 CKO524789:CKQ589825 DOC524789:DOE589825 ERQ524789:ERS589825 FVE524789:FVG589825 GYS524789:GYU589825 ICG524789:ICI589825 JFU524789:JFW589825 KJI524789:KJK589825 LMW524789:LMY589825 MQK524789:MQM589825 NTY524789:NUA589825 OXM524789:OXO589825 QBA524789:QBC589825 REO524789:REQ589825 SIC524789:SIE589825 TLQ524789:TLS589825 UPE524789:UPG589825 VSS524789:VSU589825 WWG524789:WWI589825 JU524789:JW589825 ANI524789:ANK589825 BQW524789:BQY589825 CUK524789:CUM589825 DXY524789:DYA589825 FBM524789:FBO589825 GFA524789:GFC589825 HIO524789:HIQ589825 IMC524789:IME589825 JPQ524789:JPS589825 KTE524789:KTG589825 LWS524789:LWU589825 NAG524789:NAI589825 ODU524789:ODW589825 PHI524789:PHK589825 QKW524789:QKY589825 ROK524789:ROM589825 SRY524789:SSA589825 TVM524789:TVO589825 UZA524789:UZC589825 WCO524789:WCQ589825 TQ524789:TS589825 AXE524789:AXG589825 CAS524789:CAU589825 DEG524789:DEI589825 EHU524789:EHW589825 FLI524789:FLK589825 GOW524789:GOY589825 HSK524789:HSM589825 IVY524789:IWA589825 JZM524789:JZO589825 LDA524789:LDC589825 MGO524789:MGQ589825 NKC524789:NKE589825 ONQ524789:ONS589825 PRE524789:PRG589825 QUS524789:QUU589825 RYG524789:RYI589825 TBU524789:TBW589825 UFI524789:UFK589825 VIW524789:VIY589825 WMK524789:WMM589825 Y590325:AA655361 ADM590325:ADO655361 BHA590325:BHC655361 CKO590325:CKQ655361 DOC590325:DOE655361 ERQ590325:ERS655361 FVE590325:FVG655361 GYS590325:GYU655361 ICG590325:ICI655361 JFU590325:JFW655361 KJI590325:KJK655361 LMW590325:LMY655361 MQK590325:MQM655361 NTY590325:NUA655361 OXM590325:OXO655361 QBA590325:QBC655361 REO590325:REQ655361 SIC590325:SIE655361 TLQ590325:TLS655361 UPE590325:UPG655361 VSS590325:VSU655361 WWG590325:WWI655361 JU590325:JW655361 ANI590325:ANK655361 BQW590325:BQY655361 CUK590325:CUM655361 DXY590325:DYA655361 FBM590325:FBO655361 GFA590325:GFC655361 HIO590325:HIQ655361 IMC590325:IME655361 JPQ590325:JPS655361 KTE590325:KTG655361 LWS590325:LWU655361 NAG590325:NAI655361 ODU590325:ODW655361 PHI590325:PHK655361 QKW590325:QKY655361 ROK590325:ROM655361 SRY590325:SSA655361 TVM590325:TVO655361 UZA590325:UZC655361 WCO590325:WCQ655361 TQ590325:TS655361 AXE590325:AXG655361 CAS590325:CAU655361 DEG590325:DEI655361 EHU590325:EHW655361 FLI590325:FLK655361 GOW590325:GOY655361 HSK590325:HSM655361 IVY590325:IWA655361 JZM590325:JZO655361 LDA590325:LDC655361 MGO590325:MGQ655361 NKC590325:NKE655361 ONQ590325:ONS655361 PRE590325:PRG655361 QUS590325:QUU655361 RYG590325:RYI655361 TBU590325:TBW655361 UFI590325:UFK655361 VIW590325:VIY655361 WMK590325:WMM655361 Y655861:AA720897 ADM655861:ADO720897 BHA655861:BHC720897 CKO655861:CKQ720897 DOC655861:DOE720897 ERQ655861:ERS720897 FVE655861:FVG720897 GYS655861:GYU720897 ICG655861:ICI720897 JFU655861:JFW720897 KJI655861:KJK720897 LMW655861:LMY720897 MQK655861:MQM720897 NTY655861:NUA720897 OXM655861:OXO720897 QBA655861:QBC720897 REO655861:REQ720897 SIC655861:SIE720897 TLQ655861:TLS720897 UPE655861:UPG720897 VSS655861:VSU720897 WWG655861:WWI720897 JU655861:JW720897 ANI655861:ANK720897 BQW655861:BQY720897 CUK655861:CUM720897 DXY655861:DYA720897 FBM655861:FBO720897 GFA655861:GFC720897 HIO655861:HIQ720897 IMC655861:IME720897 JPQ655861:JPS720897 KTE655861:KTG720897 LWS655861:LWU720897 NAG655861:NAI720897 ODU655861:ODW720897 PHI655861:PHK720897 QKW655861:QKY720897 ROK655861:ROM720897 SRY655861:SSA720897 TVM655861:TVO720897 UZA655861:UZC720897 WCO655861:WCQ720897 TQ655861:TS720897 AXE655861:AXG720897 CAS655861:CAU720897 DEG655861:DEI720897 EHU655861:EHW720897 FLI655861:FLK720897 GOW655861:GOY720897 HSK655861:HSM720897 IVY655861:IWA720897 JZM655861:JZO720897 LDA655861:LDC720897 MGO655861:MGQ720897 NKC655861:NKE720897 ONQ655861:ONS720897 PRE655861:PRG720897 QUS655861:QUU720897 RYG655861:RYI720897 TBU655861:TBW720897 UFI655861:UFK720897 VIW655861:VIY720897 WMK655861:WMM720897 Y721397:AA786433 ADM721397:ADO786433 BHA721397:BHC786433 CKO721397:CKQ786433 DOC721397:DOE786433 ERQ721397:ERS786433 FVE721397:FVG786433 GYS721397:GYU786433 ICG721397:ICI786433 JFU721397:JFW786433 KJI721397:KJK786433 LMW721397:LMY786433 MQK721397:MQM786433 NTY721397:NUA786433 OXM721397:OXO786433 QBA721397:QBC786433 REO721397:REQ786433 SIC721397:SIE786433 TLQ721397:TLS786433 UPE721397:UPG786433 VSS721397:VSU786433 WWG721397:WWI786433 JU721397:JW786433 ANI721397:ANK786433 BQW721397:BQY786433 CUK721397:CUM786433 DXY721397:DYA786433 FBM721397:FBO786433 GFA721397:GFC786433 HIO721397:HIQ786433 IMC721397:IME786433 JPQ721397:JPS786433 KTE721397:KTG786433 LWS721397:LWU786433 NAG721397:NAI786433 ODU721397:ODW786433 PHI721397:PHK786433 QKW721397:QKY786433 ROK721397:ROM786433 SRY721397:SSA786433 TVM721397:TVO786433 UZA721397:UZC786433 WCO721397:WCQ786433 TQ721397:TS786433 AXE721397:AXG786433 CAS721397:CAU786433 DEG721397:DEI786433 EHU721397:EHW786433 FLI721397:FLK786433 GOW721397:GOY786433 HSK721397:HSM786433 IVY721397:IWA786433 JZM721397:JZO786433 LDA721397:LDC786433 MGO721397:MGQ786433 NKC721397:NKE786433 ONQ721397:ONS786433 PRE721397:PRG786433 QUS721397:QUU786433 RYG721397:RYI786433 TBU721397:TBW786433 UFI721397:UFK786433 VIW721397:VIY786433 WMK721397:WMM786433 Y786933:AA851969 ADM786933:ADO851969 BHA786933:BHC851969 CKO786933:CKQ851969 DOC786933:DOE851969 ERQ786933:ERS851969 FVE786933:FVG851969 GYS786933:GYU851969 ICG786933:ICI851969 JFU786933:JFW851969 KJI786933:KJK851969 LMW786933:LMY851969 MQK786933:MQM851969 NTY786933:NUA851969 OXM786933:OXO851969 QBA786933:QBC851969 REO786933:REQ851969 SIC786933:SIE851969 TLQ786933:TLS851969 UPE786933:UPG851969 VSS786933:VSU851969 WWG786933:WWI851969 JU786933:JW851969 ANI786933:ANK851969 BQW786933:BQY851969 CUK786933:CUM851969 DXY786933:DYA851969 FBM786933:FBO851969 GFA786933:GFC851969 HIO786933:HIQ851969 IMC786933:IME851969 JPQ786933:JPS851969 KTE786933:KTG851969 LWS786933:LWU851969 NAG786933:NAI851969 ODU786933:ODW851969 PHI786933:PHK851969 QKW786933:QKY851969 ROK786933:ROM851969 SRY786933:SSA851969 TVM786933:TVO851969 UZA786933:UZC851969 WCO786933:WCQ851969 TQ786933:TS851969 AXE786933:AXG851969 CAS786933:CAU851969 DEG786933:DEI851969 EHU786933:EHW851969 FLI786933:FLK851969 GOW786933:GOY851969 HSK786933:HSM851969 IVY786933:IWA851969 JZM786933:JZO851969 LDA786933:LDC851969 MGO786933:MGQ851969 NKC786933:NKE851969 ONQ786933:ONS851969 PRE786933:PRG851969 QUS786933:QUU851969 RYG786933:RYI851969 TBU786933:TBW851969 UFI786933:UFK851969 VIW786933:VIY851969 WMK786933:WMM851969 Y852469:AA917505 ADM852469:ADO917505 BHA852469:BHC917505 CKO852469:CKQ917505 DOC852469:DOE917505 ERQ852469:ERS917505 FVE852469:FVG917505 GYS852469:GYU917505 ICG852469:ICI917505 JFU852469:JFW917505 KJI852469:KJK917505 LMW852469:LMY917505 MQK852469:MQM917505 NTY852469:NUA917505 OXM852469:OXO917505 QBA852469:QBC917505 REO852469:REQ917505 SIC852469:SIE917505 TLQ852469:TLS917505 UPE852469:UPG917505 VSS852469:VSU917505 WWG852469:WWI917505 JU852469:JW917505 ANI852469:ANK917505 BQW852469:BQY917505 CUK852469:CUM917505 DXY852469:DYA917505 FBM852469:FBO917505 GFA852469:GFC917505 HIO852469:HIQ917505 IMC852469:IME917505 JPQ852469:JPS917505 KTE852469:KTG917505 LWS852469:LWU917505 NAG852469:NAI917505 ODU852469:ODW917505 PHI852469:PHK917505 QKW852469:QKY917505 ROK852469:ROM917505 SRY852469:SSA917505 TVM852469:TVO917505 UZA852469:UZC917505 WCO852469:WCQ917505 TQ852469:TS917505 AXE852469:AXG917505 CAS852469:CAU917505 DEG852469:DEI917505 EHU852469:EHW917505 FLI852469:FLK917505 GOW852469:GOY917505 HSK852469:HSM917505 IVY852469:IWA917505 JZM852469:JZO917505 LDA852469:LDC917505 MGO852469:MGQ917505 NKC852469:NKE917505 ONQ852469:ONS917505 PRE852469:PRG917505 QUS852469:QUU917505 RYG852469:RYI917505 TBU852469:TBW917505 UFI852469:UFK917505 VIW852469:VIY917505 WMK852469:WMM917505 Y918005:AA983041 ADM918005:ADO983041 BHA918005:BHC983041 CKO918005:CKQ983041 DOC918005:DOE983041 ERQ918005:ERS983041 FVE918005:FVG983041 GYS918005:GYU983041 ICG918005:ICI983041 JFU918005:JFW983041 KJI918005:KJK983041 LMW918005:LMY983041 MQK918005:MQM983041 NTY918005:NUA983041 OXM918005:OXO983041 QBA918005:QBC983041 REO918005:REQ983041 SIC918005:SIE983041 TLQ918005:TLS983041 UPE918005:UPG983041 VSS918005:VSU983041 WWG918005:WWI983041 JU918005:JW983041 ANI918005:ANK983041 BQW918005:BQY983041 CUK918005:CUM983041 DXY918005:DYA983041 FBM918005:FBO983041 GFA918005:GFC983041 HIO918005:HIQ983041 IMC918005:IME983041 JPQ918005:JPS983041 KTE918005:KTG983041 LWS918005:LWU983041 NAG918005:NAI983041 ODU918005:ODW983041 PHI918005:PHK983041 QKW918005:QKY983041 ROK918005:ROM983041 SRY918005:SSA983041 TVM918005:TVO983041 UZA918005:UZC983041 WCO918005:WCQ983041 TQ918005:TS983041 AXE918005:AXG983041 CAS918005:CAU983041 DEG918005:DEI983041 EHU918005:EHW983041 FLI918005:FLK983041 GOW918005:GOY983041 HSK918005:HSM983041 IVY918005:IWA983041 JZM918005:JZO983041 LDA918005:LDC983041 MGO918005:MGQ983041 NKC918005:NKE983041 ONQ918005:ONS983041 PRE918005:PRG983041 QUS918005:QUU983041 RYG918005:RYI983041 TBU918005:TBW983041 UFI918005:UFK983041 VIW918005:VIY983041 WMK918005:WMM983041 Y983541:AA1048576 ADM983541:ADO1048576 BHA983541:BHC1048576 CKO983541:CKQ1048576 DOC983541:DOE1048576 ERQ983541:ERS1048576 FVE983541:FVG1048576 GYS983541:GYU1048576 ICG983541:ICI1048576 JFU983541:JFW1048576 KJI983541:KJK1048576 LMW983541:LMY1048576 MQK983541:MQM1048576 NTY983541:NUA1048576 OXM983541:OXO1048576 QBA983541:QBC1048576 REO983541:REQ1048576 SIC983541:SIE1048576 TLQ983541:TLS1048576 UPE983541:UPG1048576 VSS983541:VSU1048576 WWG983541:WWI1048576 JU983541:JW1048576 ANI983541:ANK1048576 BQW983541:BQY1048576 CUK983541:CUM1048576 DXY983541:DYA1048576 FBM983541:FBO1048576 GFA983541:GFC1048576 HIO983541:HIQ1048576 IMC983541:IME1048576 JPQ983541:JPS1048576 KTE983541:KTG1048576 LWS983541:LWU1048576 NAG983541:NAI1048576 ODU983541:ODW1048576 PHI983541:PHK1048576 QKW983541:QKY1048576 ROK983541:ROM1048576 SRY983541:SSA1048576 TVM983541:TVO1048576 UZA983541:UZC1048576 WCO983541:WCQ1048576 TQ983541:TS1048576 AXE983541:AXG1048576 CAS983541:CAU1048576 DEG983541:DEI1048576 EHU983541:EHW1048576 FLI983541:FLK1048576 GOW983541:GOY1048576 HSK983541:HSM1048576 IVY983541:IWA1048576 JZM983541:JZO1048576 LDA983541:LDC1048576 MGO983541:MGQ1048576 NKC983541:NKE1048576 ONQ983541:ONS1048576 PRE983541:PRG1048576 QUS983541:QUU1048576 RYG983541:RYI1048576 TBU983541:TBW1048576 UFI983541:UFK1048576 VIW983541:VIY1048576 WMK983541:WMM1048576" xr:uid="{481B08D3-7326-4C6E-92CD-86BA07FCC9A7}">
      <formula1>$AV$2:$AV$10</formula1>
    </dataValidation>
    <dataValidation type="list" allowBlank="1" showInputMessage="1" showErrorMessage="1" sqref="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A66037:A131073 A131573:A196609 A197109:A262145 A262645:A327681 A328181:A393217 A393717:A458753 A459253:A524289 A524789:A589825 A590325:A655361 A655861:A720897 A721397:A786433 A786933:A851969 A852469:A917505 A918005:A983041 A983541:A1048576 IU11:IU21 IU65547:IU65557 IU131083:IU131093 IU196619:IU196629 IU262155:IU262165 IU327691:IU327701 IU393227:IU393237 IU458763:IU458773 IU524299:IU524309 IU589835:IU589845 IU655371:IU655381 IU720907:IU720917 IU786443:IU786453 IU851979:IU851989 IU917515:IU917525 IU983051:IU983061 IW501:IW65537 IW66037:IW131073 IW131573:IW196609 IW197109:IW262145 IW262645:IW327681 IW328181:IW393217 IW393717:IW458753 IW459253:IW524289 IW524789:IW589825 IW590325:IW655361 IW655861:IW720897 IW721397:IW786433 IW786933:IW851969 IW852469:IW917505 IW918005:IW983041 IW983541:IW1048576 SQ11:SQ21 SQ65547:SQ65557 SQ131083:SQ131093 SQ196619:SQ196629 SQ262155:SQ262165 SQ327691:SQ327701 SQ393227:SQ393237 SQ458763:SQ458773 SQ524299:SQ524309 SQ589835:SQ589845 SQ655371:SQ655381 SQ720907:SQ720917 SQ786443:SQ786453 SQ851979:SQ851989 SQ917515:SQ917525 SQ983051:SQ983061 SS501:SS65537 SS66037:SS131073 SS131573:SS196609 SS197109:SS262145 SS262645:SS327681 SS328181:SS393217 SS393717:SS458753 SS459253:SS524289 SS524789:SS589825 SS590325:SS655361 SS655861:SS720897 SS721397:SS786433 SS786933:SS851969 SS852469:SS917505 SS918005:SS983041 SS983541:SS1048576 ACM11:ACM21 ACM65547:ACM65557 ACM131083:ACM131093 ACM196619:ACM196629 ACM262155:ACM262165 ACM327691:ACM327701 ACM393227:ACM393237 ACM458763:ACM458773 ACM524299:ACM524309 ACM589835:ACM589845 ACM655371:ACM655381 ACM720907:ACM720917 ACM786443:ACM786453 ACM851979:ACM851989 ACM917515:ACM917525 ACM983051:ACM983061 ACO501:ACO65537 ACO66037:ACO131073 ACO131573:ACO196609 ACO197109:ACO262145 ACO262645:ACO327681 ACO328181:ACO393217 ACO393717:ACO458753 ACO459253:ACO524289 ACO524789:ACO589825 ACO590325:ACO655361 ACO655861:ACO720897 ACO721397:ACO786433 ACO786933:ACO851969 ACO852469:ACO917505 ACO918005:ACO983041 ACO983541:ACO1048576 AMI11:AMI21 AMI65547:AMI65557 AMI131083:AMI131093 AMI196619:AMI196629 AMI262155:AMI262165 AMI327691:AMI327701 AMI393227:AMI393237 AMI458763:AMI458773 AMI524299:AMI524309 AMI589835:AMI589845 AMI655371:AMI655381 AMI720907:AMI720917 AMI786443:AMI786453 AMI851979:AMI851989 AMI917515:AMI917525 AMI983051:AMI983061 AMK501:AMK65537 AMK66037:AMK131073 AMK131573:AMK196609 AMK197109:AMK262145 AMK262645:AMK327681 AMK328181:AMK393217 AMK393717:AMK458753 AMK459253:AMK524289 AMK524789:AMK589825 AMK590325:AMK655361 AMK655861:AMK720897 AMK721397:AMK786433 AMK786933:AMK851969 AMK852469:AMK917505 AMK918005:AMK983041 AMK983541:AMK1048576 AWE11:AWE21 AWE65547:AWE65557 AWE131083:AWE131093 AWE196619:AWE196629 AWE262155:AWE262165 AWE327691:AWE327701 AWE393227:AWE393237 AWE458763:AWE458773 AWE524299:AWE524309 AWE589835:AWE589845 AWE655371:AWE655381 AWE720907:AWE720917 AWE786443:AWE786453 AWE851979:AWE851989 AWE917515:AWE917525 AWE983051:AWE983061 AWG501:AWG65537 AWG66037:AWG131073 AWG131573:AWG196609 AWG197109:AWG262145 AWG262645:AWG327681 AWG328181:AWG393217 AWG393717:AWG458753 AWG459253:AWG524289 AWG524789:AWG589825 AWG590325:AWG655361 AWG655861:AWG720897 AWG721397:AWG786433 AWG786933:AWG851969 AWG852469:AWG917505 AWG918005:AWG983041 AWG983541:AWG1048576 BGA11:BGA21 BGA65547:BGA65557 BGA131083:BGA131093 BGA196619:BGA196629 BGA262155:BGA262165 BGA327691:BGA327701 BGA393227:BGA393237 BGA458763:BGA458773 BGA524299:BGA524309 BGA589835:BGA589845 BGA655371:BGA655381 BGA720907:BGA720917 BGA786443:BGA786453 BGA851979:BGA851989 BGA917515:BGA917525 BGA983051:BGA983061 BGC501:BGC65537 BGC66037:BGC131073 BGC131573:BGC196609 BGC197109:BGC262145 BGC262645:BGC327681 BGC328181:BGC393217 BGC393717:BGC458753 BGC459253:BGC524289 BGC524789:BGC589825 BGC590325:BGC655361 BGC655861:BGC720897 BGC721397:BGC786433 BGC786933:BGC851969 BGC852469:BGC917505 BGC918005:BGC983041 BGC983541:BGC1048576 BPW11:BPW21 BPW65547:BPW65557 BPW131083:BPW131093 BPW196619:BPW196629 BPW262155:BPW262165 BPW327691:BPW327701 BPW393227:BPW393237 BPW458763:BPW458773 BPW524299:BPW524309 BPW589835:BPW589845 BPW655371:BPW655381 BPW720907:BPW720917 BPW786443:BPW786453 BPW851979:BPW851989 BPW917515:BPW917525 BPW983051:BPW983061 BPY501:BPY65537 BPY66037:BPY131073 BPY131573:BPY196609 BPY197109:BPY262145 BPY262645:BPY327681 BPY328181:BPY393217 BPY393717:BPY458753 BPY459253:BPY524289 BPY524789:BPY589825 BPY590325:BPY655361 BPY655861:BPY720897 BPY721397:BPY786433 BPY786933:BPY851969 BPY852469:BPY917505 BPY918005:BPY983041 BPY983541:BPY1048576 BZS11:BZS21 BZS65547:BZS65557 BZS131083:BZS131093 BZS196619:BZS196629 BZS262155:BZS262165 BZS327691:BZS327701 BZS393227:BZS393237 BZS458763:BZS458773 BZS524299:BZS524309 BZS589835:BZS589845 BZS655371:BZS655381 BZS720907:BZS720917 BZS786443:BZS786453 BZS851979:BZS851989 BZS917515:BZS917525 BZS983051:BZS983061 BZU501:BZU65537 BZU66037:BZU131073 BZU131573:BZU196609 BZU197109:BZU262145 BZU262645:BZU327681 BZU328181:BZU393217 BZU393717:BZU458753 BZU459253:BZU524289 BZU524789:BZU589825 BZU590325:BZU655361 BZU655861:BZU720897 BZU721397:BZU786433 BZU786933:BZU851969 BZU852469:BZU917505 BZU918005:BZU983041 BZU983541:BZU1048576 CJO11:CJO21 CJO65547:CJO65557 CJO131083:CJO131093 CJO196619:CJO196629 CJO262155:CJO262165 CJO327691:CJO327701 CJO393227:CJO393237 CJO458763:CJO458773 CJO524299:CJO524309 CJO589835:CJO589845 CJO655371:CJO655381 CJO720907:CJO720917 CJO786443:CJO786453 CJO851979:CJO851989 CJO917515:CJO917525 CJO983051:CJO983061 CJQ501:CJQ65537 CJQ66037:CJQ131073 CJQ131573:CJQ196609 CJQ197109:CJQ262145 CJQ262645:CJQ327681 CJQ328181:CJQ393217 CJQ393717:CJQ458753 CJQ459253:CJQ524289 CJQ524789:CJQ589825 CJQ590325:CJQ655361 CJQ655861:CJQ720897 CJQ721397:CJQ786433 CJQ786933:CJQ851969 CJQ852469:CJQ917505 CJQ918005:CJQ983041 CJQ983541:CJQ1048576 CTK11:CTK21 CTK65547:CTK65557 CTK131083:CTK131093 CTK196619:CTK196629 CTK262155:CTK262165 CTK327691:CTK327701 CTK393227:CTK393237 CTK458763:CTK458773 CTK524299:CTK524309 CTK589835:CTK589845 CTK655371:CTK655381 CTK720907:CTK720917 CTK786443:CTK786453 CTK851979:CTK851989 CTK917515:CTK917525 CTK983051:CTK983061 CTM501:CTM65537 CTM66037:CTM131073 CTM131573:CTM196609 CTM197109:CTM262145 CTM262645:CTM327681 CTM328181:CTM393217 CTM393717:CTM458753 CTM459253:CTM524289 CTM524789:CTM589825 CTM590325:CTM655361 CTM655861:CTM720897 CTM721397:CTM786433 CTM786933:CTM851969 CTM852469:CTM917505 CTM918005:CTM983041 CTM983541:CTM1048576 DDG11:DDG21 DDG65547:DDG65557 DDG131083:DDG131093 DDG196619:DDG196629 DDG262155:DDG262165 DDG327691:DDG327701 DDG393227:DDG393237 DDG458763:DDG458773 DDG524299:DDG524309 DDG589835:DDG589845 DDG655371:DDG655381 DDG720907:DDG720917 DDG786443:DDG786453 DDG851979:DDG851989 DDG917515:DDG917525 DDG983051:DDG983061 DDI501:DDI65537 DDI66037:DDI131073 DDI131573:DDI196609 DDI197109:DDI262145 DDI262645:DDI327681 DDI328181:DDI393217 DDI393717:DDI458753 DDI459253:DDI524289 DDI524789:DDI589825 DDI590325:DDI655361 DDI655861:DDI720897 DDI721397:DDI786433 DDI786933:DDI851969 DDI852469:DDI917505 DDI918005:DDI983041 DDI983541:DDI1048576 DNC11:DNC21 DNC65547:DNC65557 DNC131083:DNC131093 DNC196619:DNC196629 DNC262155:DNC262165 DNC327691:DNC327701 DNC393227:DNC393237 DNC458763:DNC458773 DNC524299:DNC524309 DNC589835:DNC589845 DNC655371:DNC655381 DNC720907:DNC720917 DNC786443:DNC786453 DNC851979:DNC851989 DNC917515:DNC917525 DNC983051:DNC983061 DNE501:DNE65537 DNE66037:DNE131073 DNE131573:DNE196609 DNE197109:DNE262145 DNE262645:DNE327681 DNE328181:DNE393217 DNE393717:DNE458753 DNE459253:DNE524289 DNE524789:DNE589825 DNE590325:DNE655361 DNE655861:DNE720897 DNE721397:DNE786433 DNE786933:DNE851969 DNE852469:DNE917505 DNE918005:DNE983041 DNE983541:DNE1048576 DWY11:DWY21 DWY65547:DWY65557 DWY131083:DWY131093 DWY196619:DWY196629 DWY262155:DWY262165 DWY327691:DWY327701 DWY393227:DWY393237 DWY458763:DWY458773 DWY524299:DWY524309 DWY589835:DWY589845 DWY655371:DWY655381 DWY720907:DWY720917 DWY786443:DWY786453 DWY851979:DWY851989 DWY917515:DWY917525 DWY983051:DWY983061 DXA501:DXA65537 DXA66037:DXA131073 DXA131573:DXA196609 DXA197109:DXA262145 DXA262645:DXA327681 DXA328181:DXA393217 DXA393717:DXA458753 DXA459253:DXA524289 DXA524789:DXA589825 DXA590325:DXA655361 DXA655861:DXA720897 DXA721397:DXA786433 DXA786933:DXA851969 DXA852469:DXA917505 DXA918005:DXA983041 DXA983541:DXA1048576 EGU11:EGU21 EGU65547:EGU65557 EGU131083:EGU131093 EGU196619:EGU196629 EGU262155:EGU262165 EGU327691:EGU327701 EGU393227:EGU393237 EGU458763:EGU458773 EGU524299:EGU524309 EGU589835:EGU589845 EGU655371:EGU655381 EGU720907:EGU720917 EGU786443:EGU786453 EGU851979:EGU851989 EGU917515:EGU917525 EGU983051:EGU983061 EGW501:EGW65537 EGW66037:EGW131073 EGW131573:EGW196609 EGW197109:EGW262145 EGW262645:EGW327681 EGW328181:EGW393217 EGW393717:EGW458753 EGW459253:EGW524289 EGW524789:EGW589825 EGW590325:EGW655361 EGW655861:EGW720897 EGW721397:EGW786433 EGW786933:EGW851969 EGW852469:EGW917505 EGW918005:EGW983041 EGW983541:EGW1048576 EQQ11:EQQ21 EQQ65547:EQQ65557 EQQ131083:EQQ131093 EQQ196619:EQQ196629 EQQ262155:EQQ262165 EQQ327691:EQQ327701 EQQ393227:EQQ393237 EQQ458763:EQQ458773 EQQ524299:EQQ524309 EQQ589835:EQQ589845 EQQ655371:EQQ655381 EQQ720907:EQQ720917 EQQ786443:EQQ786453 EQQ851979:EQQ851989 EQQ917515:EQQ917525 EQQ983051:EQQ983061 EQS501:EQS65537 EQS66037:EQS131073 EQS131573:EQS196609 EQS197109:EQS262145 EQS262645:EQS327681 EQS328181:EQS393217 EQS393717:EQS458753 EQS459253:EQS524289 EQS524789:EQS589825 EQS590325:EQS655361 EQS655861:EQS720897 EQS721397:EQS786433 EQS786933:EQS851969 EQS852469:EQS917505 EQS918005:EQS983041 EQS983541:EQS1048576 FAM11:FAM21 FAM65547:FAM65557 FAM131083:FAM131093 FAM196619:FAM196629 FAM262155:FAM262165 FAM327691:FAM327701 FAM393227:FAM393237 FAM458763:FAM458773 FAM524299:FAM524309 FAM589835:FAM589845 FAM655371:FAM655381 FAM720907:FAM720917 FAM786443:FAM786453 FAM851979:FAM851989 FAM917515:FAM917525 FAM983051:FAM983061 FAO501:FAO65537 FAO66037:FAO131073 FAO131573:FAO196609 FAO197109:FAO262145 FAO262645:FAO327681 FAO328181:FAO393217 FAO393717:FAO458753 FAO459253:FAO524289 FAO524789:FAO589825 FAO590325:FAO655361 FAO655861:FAO720897 FAO721397:FAO786433 FAO786933:FAO851969 FAO852469:FAO917505 FAO918005:FAO983041 FAO983541:FAO1048576 FKI11:FKI21 FKI65547:FKI65557 FKI131083:FKI131093 FKI196619:FKI196629 FKI262155:FKI262165 FKI327691:FKI327701 FKI393227:FKI393237 FKI458763:FKI458773 FKI524299:FKI524309 FKI589835:FKI589845 FKI655371:FKI655381 FKI720907:FKI720917 FKI786443:FKI786453 FKI851979:FKI851989 FKI917515:FKI917525 FKI983051:FKI983061 FKK501:FKK65537 FKK66037:FKK131073 FKK131573:FKK196609 FKK197109:FKK262145 FKK262645:FKK327681 FKK328181:FKK393217 FKK393717:FKK458753 FKK459253:FKK524289 FKK524789:FKK589825 FKK590325:FKK655361 FKK655861:FKK720897 FKK721397:FKK786433 FKK786933:FKK851969 FKK852469:FKK917505 FKK918005:FKK983041 FKK983541:FKK1048576 FUE11:FUE21 FUE65547:FUE65557 FUE131083:FUE131093 FUE196619:FUE196629 FUE262155:FUE262165 FUE327691:FUE327701 FUE393227:FUE393237 FUE458763:FUE458773 FUE524299:FUE524309 FUE589835:FUE589845 FUE655371:FUE655381 FUE720907:FUE720917 FUE786443:FUE786453 FUE851979:FUE851989 FUE917515:FUE917525 FUE983051:FUE983061 FUG501:FUG65537 FUG66037:FUG131073 FUG131573:FUG196609 FUG197109:FUG262145 FUG262645:FUG327681 FUG328181:FUG393217 FUG393717:FUG458753 FUG459253:FUG524289 FUG524789:FUG589825 FUG590325:FUG655361 FUG655861:FUG720897 FUG721397:FUG786433 FUG786933:FUG851969 FUG852469:FUG917505 FUG918005:FUG983041 FUG983541:FUG1048576 GEA11:GEA21 GEA65547:GEA65557 GEA131083:GEA131093 GEA196619:GEA196629 GEA262155:GEA262165 GEA327691:GEA327701 GEA393227:GEA393237 GEA458763:GEA458773 GEA524299:GEA524309 GEA589835:GEA589845 GEA655371:GEA655381 GEA720907:GEA720917 GEA786443:GEA786453 GEA851979:GEA851989 GEA917515:GEA917525 GEA983051:GEA983061 GEC501:GEC65537 GEC66037:GEC131073 GEC131573:GEC196609 GEC197109:GEC262145 GEC262645:GEC327681 GEC328181:GEC393217 GEC393717:GEC458753 GEC459253:GEC524289 GEC524789:GEC589825 GEC590325:GEC655361 GEC655861:GEC720897 GEC721397:GEC786433 GEC786933:GEC851969 GEC852469:GEC917505 GEC918005:GEC983041 GEC983541:GEC1048576 GNW11:GNW21 GNW65547:GNW65557 GNW131083:GNW131093 GNW196619:GNW196629 GNW262155:GNW262165 GNW327691:GNW327701 GNW393227:GNW393237 GNW458763:GNW458773 GNW524299:GNW524309 GNW589835:GNW589845 GNW655371:GNW655381 GNW720907:GNW720917 GNW786443:GNW786453 GNW851979:GNW851989 GNW917515:GNW917525 GNW983051:GNW983061 GNY501:GNY65537 GNY66037:GNY131073 GNY131573:GNY196609 GNY197109:GNY262145 GNY262645:GNY327681 GNY328181:GNY393217 GNY393717:GNY458753 GNY459253:GNY524289 GNY524789:GNY589825 GNY590325:GNY655361 GNY655861:GNY720897 GNY721397:GNY786433 GNY786933:GNY851969 GNY852469:GNY917505 GNY918005:GNY983041 GNY983541:GNY1048576 GXS11:GXS21 GXS65547:GXS65557 GXS131083:GXS131093 GXS196619:GXS196629 GXS262155:GXS262165 GXS327691:GXS327701 GXS393227:GXS393237 GXS458763:GXS458773 GXS524299:GXS524309 GXS589835:GXS589845 GXS655371:GXS655381 GXS720907:GXS720917 GXS786443:GXS786453 GXS851979:GXS851989 GXS917515:GXS917525 GXS983051:GXS983061 GXU501:GXU65537 GXU66037:GXU131073 GXU131573:GXU196609 GXU197109:GXU262145 GXU262645:GXU327681 GXU328181:GXU393217 GXU393717:GXU458753 GXU459253:GXU524289 GXU524789:GXU589825 GXU590325:GXU655361 GXU655861:GXU720897 GXU721397:GXU786433 GXU786933:GXU851969 GXU852469:GXU917505 GXU918005:GXU983041 GXU983541:GXU1048576 HHO11:HHO21 HHO65547:HHO65557 HHO131083:HHO131093 HHO196619:HHO196629 HHO262155:HHO262165 HHO327691:HHO327701 HHO393227:HHO393237 HHO458763:HHO458773 HHO524299:HHO524309 HHO589835:HHO589845 HHO655371:HHO655381 HHO720907:HHO720917 HHO786443:HHO786453 HHO851979:HHO851989 HHO917515:HHO917525 HHO983051:HHO983061 HHQ501:HHQ65537 HHQ66037:HHQ131073 HHQ131573:HHQ196609 HHQ197109:HHQ262145 HHQ262645:HHQ327681 HHQ328181:HHQ393217 HHQ393717:HHQ458753 HHQ459253:HHQ524289 HHQ524789:HHQ589825 HHQ590325:HHQ655361 HHQ655861:HHQ720897 HHQ721397:HHQ786433 HHQ786933:HHQ851969 HHQ852469:HHQ917505 HHQ918005:HHQ983041 HHQ983541:HHQ1048576 HRK11:HRK21 HRK65547:HRK65557 HRK131083:HRK131093 HRK196619:HRK196629 HRK262155:HRK262165 HRK327691:HRK327701 HRK393227:HRK393237 HRK458763:HRK458773 HRK524299:HRK524309 HRK589835:HRK589845 HRK655371:HRK655381 HRK720907:HRK720917 HRK786443:HRK786453 HRK851979:HRK851989 HRK917515:HRK917525 HRK983051:HRK983061 HRM501:HRM65537 HRM66037:HRM131073 HRM131573:HRM196609 HRM197109:HRM262145 HRM262645:HRM327681 HRM328181:HRM393217 HRM393717:HRM458753 HRM459253:HRM524289 HRM524789:HRM589825 HRM590325:HRM655361 HRM655861:HRM720897 HRM721397:HRM786433 HRM786933:HRM851969 HRM852469:HRM917505 HRM918005:HRM983041 HRM983541:HRM1048576 IBG11:IBG21 IBG65547:IBG65557 IBG131083:IBG131093 IBG196619:IBG196629 IBG262155:IBG262165 IBG327691:IBG327701 IBG393227:IBG393237 IBG458763:IBG458773 IBG524299:IBG524309 IBG589835:IBG589845 IBG655371:IBG655381 IBG720907:IBG720917 IBG786443:IBG786453 IBG851979:IBG851989 IBG917515:IBG917525 IBG983051:IBG983061 IBI501:IBI65537 IBI66037:IBI131073 IBI131573:IBI196609 IBI197109:IBI262145 IBI262645:IBI327681 IBI328181:IBI393217 IBI393717:IBI458753 IBI459253:IBI524289 IBI524789:IBI589825 IBI590325:IBI655361 IBI655861:IBI720897 IBI721397:IBI786433 IBI786933:IBI851969 IBI852469:IBI917505 IBI918005:IBI983041 IBI983541:IBI1048576 ILC11:ILC21 ILC65547:ILC65557 ILC131083:ILC131093 ILC196619:ILC196629 ILC262155:ILC262165 ILC327691:ILC327701 ILC393227:ILC393237 ILC458763:ILC458773 ILC524299:ILC524309 ILC589835:ILC589845 ILC655371:ILC655381 ILC720907:ILC720917 ILC786443:ILC786453 ILC851979:ILC851989 ILC917515:ILC917525 ILC983051:ILC983061 ILE501:ILE65537 ILE66037:ILE131073 ILE131573:ILE196609 ILE197109:ILE262145 ILE262645:ILE327681 ILE328181:ILE393217 ILE393717:ILE458753 ILE459253:ILE524289 ILE524789:ILE589825 ILE590325:ILE655361 ILE655861:ILE720897 ILE721397:ILE786433 ILE786933:ILE851969 ILE852469:ILE917505 ILE918005:ILE983041 ILE983541:ILE1048576 IUY11:IUY21 IUY65547:IUY65557 IUY131083:IUY131093 IUY196619:IUY196629 IUY262155:IUY262165 IUY327691:IUY327701 IUY393227:IUY393237 IUY458763:IUY458773 IUY524299:IUY524309 IUY589835:IUY589845 IUY655371:IUY655381 IUY720907:IUY720917 IUY786443:IUY786453 IUY851979:IUY851989 IUY917515:IUY917525 IUY983051:IUY983061 IVA501:IVA65537 IVA66037:IVA131073 IVA131573:IVA196609 IVA197109:IVA262145 IVA262645:IVA327681 IVA328181:IVA393217 IVA393717:IVA458753 IVA459253:IVA524289 IVA524789:IVA589825 IVA590325:IVA655361 IVA655861:IVA720897 IVA721397:IVA786433 IVA786933:IVA851969 IVA852469:IVA917505 IVA918005:IVA983041 IVA983541:IVA1048576 JEU11:JEU21 JEU65547:JEU65557 JEU131083:JEU131093 JEU196619:JEU196629 JEU262155:JEU262165 JEU327691:JEU327701 JEU393227:JEU393237 JEU458763:JEU458773 JEU524299:JEU524309 JEU589835:JEU589845 JEU655371:JEU655381 JEU720907:JEU720917 JEU786443:JEU786453 JEU851979:JEU851989 JEU917515:JEU917525 JEU983051:JEU983061 JEW501:JEW65537 JEW66037:JEW131073 JEW131573:JEW196609 JEW197109:JEW262145 JEW262645:JEW327681 JEW328181:JEW393217 JEW393717:JEW458753 JEW459253:JEW524289 JEW524789:JEW589825 JEW590325:JEW655361 JEW655861:JEW720897 JEW721397:JEW786433 JEW786933:JEW851969 JEW852469:JEW917505 JEW918005:JEW983041 JEW983541:JEW1048576 JOQ11:JOQ21 JOQ65547:JOQ65557 JOQ131083:JOQ131093 JOQ196619:JOQ196629 JOQ262155:JOQ262165 JOQ327691:JOQ327701 JOQ393227:JOQ393237 JOQ458763:JOQ458773 JOQ524299:JOQ524309 JOQ589835:JOQ589845 JOQ655371:JOQ655381 JOQ720907:JOQ720917 JOQ786443:JOQ786453 JOQ851979:JOQ851989 JOQ917515:JOQ917525 JOQ983051:JOQ983061 JOS501:JOS65537 JOS66037:JOS131073 JOS131573:JOS196609 JOS197109:JOS262145 JOS262645:JOS327681 JOS328181:JOS393217 JOS393717:JOS458753 JOS459253:JOS524289 JOS524789:JOS589825 JOS590325:JOS655361 JOS655861:JOS720897 JOS721397:JOS786433 JOS786933:JOS851969 JOS852469:JOS917505 JOS918005:JOS983041 JOS983541:JOS1048576 JYM11:JYM21 JYM65547:JYM65557 JYM131083:JYM131093 JYM196619:JYM196629 JYM262155:JYM262165 JYM327691:JYM327701 JYM393227:JYM393237 JYM458763:JYM458773 JYM524299:JYM524309 JYM589835:JYM589845 JYM655371:JYM655381 JYM720907:JYM720917 JYM786443:JYM786453 JYM851979:JYM851989 JYM917515:JYM917525 JYM983051:JYM983061 JYO501:JYO65537 JYO66037:JYO131073 JYO131573:JYO196609 JYO197109:JYO262145 JYO262645:JYO327681 JYO328181:JYO393217 JYO393717:JYO458753 JYO459253:JYO524289 JYO524789:JYO589825 JYO590325:JYO655361 JYO655861:JYO720897 JYO721397:JYO786433 JYO786933:JYO851969 JYO852469:JYO917505 JYO918005:JYO983041 JYO983541:JYO1048576 KII11:KII21 KII65547:KII65557 KII131083:KII131093 KII196619:KII196629 KII262155:KII262165 KII327691:KII327701 KII393227:KII393237 KII458763:KII458773 KII524299:KII524309 KII589835:KII589845 KII655371:KII655381 KII720907:KII720917 KII786443:KII786453 KII851979:KII851989 KII917515:KII917525 KII983051:KII983061 KIK501:KIK65537 KIK66037:KIK131073 KIK131573:KIK196609 KIK197109:KIK262145 KIK262645:KIK327681 KIK328181:KIK393217 KIK393717:KIK458753 KIK459253:KIK524289 KIK524789:KIK589825 KIK590325:KIK655361 KIK655861:KIK720897 KIK721397:KIK786433 KIK786933:KIK851969 KIK852469:KIK917505 KIK918005:KIK983041 KIK983541:KIK1048576 KSE11:KSE21 KSE65547:KSE65557 KSE131083:KSE131093 KSE196619:KSE196629 KSE262155:KSE262165 KSE327691:KSE327701 KSE393227:KSE393237 KSE458763:KSE458773 KSE524299:KSE524309 KSE589835:KSE589845 KSE655371:KSE655381 KSE720907:KSE720917 KSE786443:KSE786453 KSE851979:KSE851989 KSE917515:KSE917525 KSE983051:KSE983061 KSG501:KSG65537 KSG66037:KSG131073 KSG131573:KSG196609 KSG197109:KSG262145 KSG262645:KSG327681 KSG328181:KSG393217 KSG393717:KSG458753 KSG459253:KSG524289 KSG524789:KSG589825 KSG590325:KSG655361 KSG655861:KSG720897 KSG721397:KSG786433 KSG786933:KSG851969 KSG852469:KSG917505 KSG918005:KSG983041 KSG983541:KSG1048576 LCA11:LCA21 LCA65547:LCA65557 LCA131083:LCA131093 LCA196619:LCA196629 LCA262155:LCA262165 LCA327691:LCA327701 LCA393227:LCA393237 LCA458763:LCA458773 LCA524299:LCA524309 LCA589835:LCA589845 LCA655371:LCA655381 LCA720907:LCA720917 LCA786443:LCA786453 LCA851979:LCA851989 LCA917515:LCA917525 LCA983051:LCA983061 LCC501:LCC65537 LCC66037:LCC131073 LCC131573:LCC196609 LCC197109:LCC262145 LCC262645:LCC327681 LCC328181:LCC393217 LCC393717:LCC458753 LCC459253:LCC524289 LCC524789:LCC589825 LCC590325:LCC655361 LCC655861:LCC720897 LCC721397:LCC786433 LCC786933:LCC851969 LCC852469:LCC917505 LCC918005:LCC983041 LCC983541:LCC1048576 LLW11:LLW21 LLW65547:LLW65557 LLW131083:LLW131093 LLW196619:LLW196629 LLW262155:LLW262165 LLW327691:LLW327701 LLW393227:LLW393237 LLW458763:LLW458773 LLW524299:LLW524309 LLW589835:LLW589845 LLW655371:LLW655381 LLW720907:LLW720917 LLW786443:LLW786453 LLW851979:LLW851989 LLW917515:LLW917525 LLW983051:LLW983061 LLY501:LLY65537 LLY66037:LLY131073 LLY131573:LLY196609 LLY197109:LLY262145 LLY262645:LLY327681 LLY328181:LLY393217 LLY393717:LLY458753 LLY459253:LLY524289 LLY524789:LLY589825 LLY590325:LLY655361 LLY655861:LLY720897 LLY721397:LLY786433 LLY786933:LLY851969 LLY852469:LLY917505 LLY918005:LLY983041 LLY983541:LLY1048576 LVS11:LVS21 LVS65547:LVS65557 LVS131083:LVS131093 LVS196619:LVS196629 LVS262155:LVS262165 LVS327691:LVS327701 LVS393227:LVS393237 LVS458763:LVS458773 LVS524299:LVS524309 LVS589835:LVS589845 LVS655371:LVS655381 LVS720907:LVS720917 LVS786443:LVS786453 LVS851979:LVS851989 LVS917515:LVS917525 LVS983051:LVS983061 LVU501:LVU65537 LVU66037:LVU131073 LVU131573:LVU196609 LVU197109:LVU262145 LVU262645:LVU327681 LVU328181:LVU393217 LVU393717:LVU458753 LVU459253:LVU524289 LVU524789:LVU589825 LVU590325:LVU655361 LVU655861:LVU720897 LVU721397:LVU786433 LVU786933:LVU851969 LVU852469:LVU917505 LVU918005:LVU983041 LVU983541:LVU1048576 MFO11:MFO21 MFO65547:MFO65557 MFO131083:MFO131093 MFO196619:MFO196629 MFO262155:MFO262165 MFO327691:MFO327701 MFO393227:MFO393237 MFO458763:MFO458773 MFO524299:MFO524309 MFO589835:MFO589845 MFO655371:MFO655381 MFO720907:MFO720917 MFO786443:MFO786453 MFO851979:MFO851989 MFO917515:MFO917525 MFO983051:MFO983061 MFQ501:MFQ65537 MFQ66037:MFQ131073 MFQ131573:MFQ196609 MFQ197109:MFQ262145 MFQ262645:MFQ327681 MFQ328181:MFQ393217 MFQ393717:MFQ458753 MFQ459253:MFQ524289 MFQ524789:MFQ589825 MFQ590325:MFQ655361 MFQ655861:MFQ720897 MFQ721397:MFQ786433 MFQ786933:MFQ851969 MFQ852469:MFQ917505 MFQ918005:MFQ983041 MFQ983541:MFQ1048576 MPK11:MPK21 MPK65547:MPK65557 MPK131083:MPK131093 MPK196619:MPK196629 MPK262155:MPK262165 MPK327691:MPK327701 MPK393227:MPK393237 MPK458763:MPK458773 MPK524299:MPK524309 MPK589835:MPK589845 MPK655371:MPK655381 MPK720907:MPK720917 MPK786443:MPK786453 MPK851979:MPK851989 MPK917515:MPK917525 MPK983051:MPK983061 MPM501:MPM65537 MPM66037:MPM131073 MPM131573:MPM196609 MPM197109:MPM262145 MPM262645:MPM327681 MPM328181:MPM393217 MPM393717:MPM458753 MPM459253:MPM524289 MPM524789:MPM589825 MPM590325:MPM655361 MPM655861:MPM720897 MPM721397:MPM786433 MPM786933:MPM851969 MPM852469:MPM917505 MPM918005:MPM983041 MPM983541:MPM1048576 MZG11:MZG21 MZG65547:MZG65557 MZG131083:MZG131093 MZG196619:MZG196629 MZG262155:MZG262165 MZG327691:MZG327701 MZG393227:MZG393237 MZG458763:MZG458773 MZG524299:MZG524309 MZG589835:MZG589845 MZG655371:MZG655381 MZG720907:MZG720917 MZG786443:MZG786453 MZG851979:MZG851989 MZG917515:MZG917525 MZG983051:MZG983061 MZI501:MZI65537 MZI66037:MZI131073 MZI131573:MZI196609 MZI197109:MZI262145 MZI262645:MZI327681 MZI328181:MZI393217 MZI393717:MZI458753 MZI459253:MZI524289 MZI524789:MZI589825 MZI590325:MZI655361 MZI655861:MZI720897 MZI721397:MZI786433 MZI786933:MZI851969 MZI852469:MZI917505 MZI918005:MZI983041 MZI983541:MZI1048576 NJC11:NJC21 NJC65547:NJC65557 NJC131083:NJC131093 NJC196619:NJC196629 NJC262155:NJC262165 NJC327691:NJC327701 NJC393227:NJC393237 NJC458763:NJC458773 NJC524299:NJC524309 NJC589835:NJC589845 NJC655371:NJC655381 NJC720907:NJC720917 NJC786443:NJC786453 NJC851979:NJC851989 NJC917515:NJC917525 NJC983051:NJC983061 NJE501:NJE65537 NJE66037:NJE131073 NJE131573:NJE196609 NJE197109:NJE262145 NJE262645:NJE327681 NJE328181:NJE393217 NJE393717:NJE458753 NJE459253:NJE524289 NJE524789:NJE589825 NJE590325:NJE655361 NJE655861:NJE720897 NJE721397:NJE786433 NJE786933:NJE851969 NJE852469:NJE917505 NJE918005:NJE983041 NJE983541:NJE1048576 NSY11:NSY21 NSY65547:NSY65557 NSY131083:NSY131093 NSY196619:NSY196629 NSY262155:NSY262165 NSY327691:NSY327701 NSY393227:NSY393237 NSY458763:NSY458773 NSY524299:NSY524309 NSY589835:NSY589845 NSY655371:NSY655381 NSY720907:NSY720917 NSY786443:NSY786453 NSY851979:NSY851989 NSY917515:NSY917525 NSY983051:NSY983061 NTA501:NTA65537 NTA66037:NTA131073 NTA131573:NTA196609 NTA197109:NTA262145 NTA262645:NTA327681 NTA328181:NTA393217 NTA393717:NTA458753 NTA459253:NTA524289 NTA524789:NTA589825 NTA590325:NTA655361 NTA655861:NTA720897 NTA721397:NTA786433 NTA786933:NTA851969 NTA852469:NTA917505 NTA918005:NTA983041 NTA983541:NTA1048576 OCU11:OCU21 OCU65547:OCU65557 OCU131083:OCU131093 OCU196619:OCU196629 OCU262155:OCU262165 OCU327691:OCU327701 OCU393227:OCU393237 OCU458763:OCU458773 OCU524299:OCU524309 OCU589835:OCU589845 OCU655371:OCU655381 OCU720907:OCU720917 OCU786443:OCU786453 OCU851979:OCU851989 OCU917515:OCU917525 OCU983051:OCU983061 OCW501:OCW65537 OCW66037:OCW131073 OCW131573:OCW196609 OCW197109:OCW262145 OCW262645:OCW327681 OCW328181:OCW393217 OCW393717:OCW458753 OCW459253:OCW524289 OCW524789:OCW589825 OCW590325:OCW655361 OCW655861:OCW720897 OCW721397:OCW786433 OCW786933:OCW851969 OCW852469:OCW917505 OCW918005:OCW983041 OCW983541:OCW1048576 OMQ11:OMQ21 OMQ65547:OMQ65557 OMQ131083:OMQ131093 OMQ196619:OMQ196629 OMQ262155:OMQ262165 OMQ327691:OMQ327701 OMQ393227:OMQ393237 OMQ458763:OMQ458773 OMQ524299:OMQ524309 OMQ589835:OMQ589845 OMQ655371:OMQ655381 OMQ720907:OMQ720917 OMQ786443:OMQ786453 OMQ851979:OMQ851989 OMQ917515:OMQ917525 OMQ983051:OMQ983061 OMS501:OMS65537 OMS66037:OMS131073 OMS131573:OMS196609 OMS197109:OMS262145 OMS262645:OMS327681 OMS328181:OMS393217 OMS393717:OMS458753 OMS459253:OMS524289 OMS524789:OMS589825 OMS590325:OMS655361 OMS655861:OMS720897 OMS721397:OMS786433 OMS786933:OMS851969 OMS852469:OMS917505 OMS918005:OMS983041 OMS983541:OMS1048576 OWM11:OWM21 OWM65547:OWM65557 OWM131083:OWM131093 OWM196619:OWM196629 OWM262155:OWM262165 OWM327691:OWM327701 OWM393227:OWM393237 OWM458763:OWM458773 OWM524299:OWM524309 OWM589835:OWM589845 OWM655371:OWM655381 OWM720907:OWM720917 OWM786443:OWM786453 OWM851979:OWM851989 OWM917515:OWM917525 OWM983051:OWM983061 OWO501:OWO65537 OWO66037:OWO131073 OWO131573:OWO196609 OWO197109:OWO262145 OWO262645:OWO327681 OWO328181:OWO393217 OWO393717:OWO458753 OWO459253:OWO524289 OWO524789:OWO589825 OWO590325:OWO655361 OWO655861:OWO720897 OWO721397:OWO786433 OWO786933:OWO851969 OWO852469:OWO917505 OWO918005:OWO983041 OWO983541:OWO1048576 PGI11:PGI21 PGI65547:PGI65557 PGI131083:PGI131093 PGI196619:PGI196629 PGI262155:PGI262165 PGI327691:PGI327701 PGI393227:PGI393237 PGI458763:PGI458773 PGI524299:PGI524309 PGI589835:PGI589845 PGI655371:PGI655381 PGI720907:PGI720917 PGI786443:PGI786453 PGI851979:PGI851989 PGI917515:PGI917525 PGI983051:PGI983061 PGK501:PGK65537 PGK66037:PGK131073 PGK131573:PGK196609 PGK197109:PGK262145 PGK262645:PGK327681 PGK328181:PGK393217 PGK393717:PGK458753 PGK459253:PGK524289 PGK524789:PGK589825 PGK590325:PGK655361 PGK655861:PGK720897 PGK721397:PGK786433 PGK786933:PGK851969 PGK852469:PGK917505 PGK918005:PGK983041 PGK983541:PGK1048576 PQE11:PQE21 PQE65547:PQE65557 PQE131083:PQE131093 PQE196619:PQE196629 PQE262155:PQE262165 PQE327691:PQE327701 PQE393227:PQE393237 PQE458763:PQE458773 PQE524299:PQE524309 PQE589835:PQE589845 PQE655371:PQE655381 PQE720907:PQE720917 PQE786443:PQE786453 PQE851979:PQE851989 PQE917515:PQE917525 PQE983051:PQE983061 PQG501:PQG65537 PQG66037:PQG131073 PQG131573:PQG196609 PQG197109:PQG262145 PQG262645:PQG327681 PQG328181:PQG393217 PQG393717:PQG458753 PQG459253:PQG524289 PQG524789:PQG589825 PQG590325:PQG655361 PQG655861:PQG720897 PQG721397:PQG786433 PQG786933:PQG851969 PQG852469:PQG917505 PQG918005:PQG983041 PQG983541:PQG1048576 QAA11:QAA21 QAA65547:QAA65557 QAA131083:QAA131093 QAA196619:QAA196629 QAA262155:QAA262165 QAA327691:QAA327701 QAA393227:QAA393237 QAA458763:QAA458773 QAA524299:QAA524309 QAA589835:QAA589845 QAA655371:QAA655381 QAA720907:QAA720917 QAA786443:QAA786453 QAA851979:QAA851989 QAA917515:QAA917525 QAA983051:QAA983061 QAC501:QAC65537 QAC66037:QAC131073 QAC131573:QAC196609 QAC197109:QAC262145 QAC262645:QAC327681 QAC328181:QAC393217 QAC393717:QAC458753 QAC459253:QAC524289 QAC524789:QAC589825 QAC590325:QAC655361 QAC655861:QAC720897 QAC721397:QAC786433 QAC786933:QAC851969 QAC852469:QAC917505 QAC918005:QAC983041 QAC983541:QAC1048576 QJW11:QJW21 QJW65547:QJW65557 QJW131083:QJW131093 QJW196619:QJW196629 QJW262155:QJW262165 QJW327691:QJW327701 QJW393227:QJW393237 QJW458763:QJW458773 QJW524299:QJW524309 QJW589835:QJW589845 QJW655371:QJW655381 QJW720907:QJW720917 QJW786443:QJW786453 QJW851979:QJW851989 QJW917515:QJW917525 QJW983051:QJW983061 QJY501:QJY65537 QJY66037:QJY131073 QJY131573:QJY196609 QJY197109:QJY262145 QJY262645:QJY327681 QJY328181:QJY393217 QJY393717:QJY458753 QJY459253:QJY524289 QJY524789:QJY589825 QJY590325:QJY655361 QJY655861:QJY720897 QJY721397:QJY786433 QJY786933:QJY851969 QJY852469:QJY917505 QJY918005:QJY983041 QJY983541:QJY1048576 QTS11:QTS21 QTS65547:QTS65557 QTS131083:QTS131093 QTS196619:QTS196629 QTS262155:QTS262165 QTS327691:QTS327701 QTS393227:QTS393237 QTS458763:QTS458773 QTS524299:QTS524309 QTS589835:QTS589845 QTS655371:QTS655381 QTS720907:QTS720917 QTS786443:QTS786453 QTS851979:QTS851989 QTS917515:QTS917525 QTS983051:QTS983061 QTU501:QTU65537 QTU66037:QTU131073 QTU131573:QTU196609 QTU197109:QTU262145 QTU262645:QTU327681 QTU328181:QTU393217 QTU393717:QTU458753 QTU459253:QTU524289 QTU524789:QTU589825 QTU590325:QTU655361 QTU655861:QTU720897 QTU721397:QTU786433 QTU786933:QTU851969 QTU852469:QTU917505 QTU918005:QTU983041 QTU983541:QTU1048576 RDO11:RDO21 RDO65547:RDO65557 RDO131083:RDO131093 RDO196619:RDO196629 RDO262155:RDO262165 RDO327691:RDO327701 RDO393227:RDO393237 RDO458763:RDO458773 RDO524299:RDO524309 RDO589835:RDO589845 RDO655371:RDO655381 RDO720907:RDO720917 RDO786443:RDO786453 RDO851979:RDO851989 RDO917515:RDO917525 RDO983051:RDO983061 RDQ501:RDQ65537 RDQ66037:RDQ131073 RDQ131573:RDQ196609 RDQ197109:RDQ262145 RDQ262645:RDQ327681 RDQ328181:RDQ393217 RDQ393717:RDQ458753 RDQ459253:RDQ524289 RDQ524789:RDQ589825 RDQ590325:RDQ655361 RDQ655861:RDQ720897 RDQ721397:RDQ786433 RDQ786933:RDQ851969 RDQ852469:RDQ917505 RDQ918005:RDQ983041 RDQ983541:RDQ1048576 RNK11:RNK21 RNK65547:RNK65557 RNK131083:RNK131093 RNK196619:RNK196629 RNK262155:RNK262165 RNK327691:RNK327701 RNK393227:RNK393237 RNK458763:RNK458773 RNK524299:RNK524309 RNK589835:RNK589845 RNK655371:RNK655381 RNK720907:RNK720917 RNK786443:RNK786453 RNK851979:RNK851989 RNK917515:RNK917525 RNK983051:RNK983061 RNM501:RNM65537 RNM66037:RNM131073 RNM131573:RNM196609 RNM197109:RNM262145 RNM262645:RNM327681 RNM328181:RNM393217 RNM393717:RNM458753 RNM459253:RNM524289 RNM524789:RNM589825 RNM590325:RNM655361 RNM655861:RNM720897 RNM721397:RNM786433 RNM786933:RNM851969 RNM852469:RNM917505 RNM918005:RNM983041 RNM983541:RNM1048576 RXG11:RXG21 RXG65547:RXG65557 RXG131083:RXG131093 RXG196619:RXG196629 RXG262155:RXG262165 RXG327691:RXG327701 RXG393227:RXG393237 RXG458763:RXG458773 RXG524299:RXG524309 RXG589835:RXG589845 RXG655371:RXG655381 RXG720907:RXG720917 RXG786443:RXG786453 RXG851979:RXG851989 RXG917515:RXG917525 RXG983051:RXG983061 RXI501:RXI65537 RXI66037:RXI131073 RXI131573:RXI196609 RXI197109:RXI262145 RXI262645:RXI327681 RXI328181:RXI393217 RXI393717:RXI458753 RXI459253:RXI524289 RXI524789:RXI589825 RXI590325:RXI655361 RXI655861:RXI720897 RXI721397:RXI786433 RXI786933:RXI851969 RXI852469:RXI917505 RXI918005:RXI983041 RXI983541:RXI1048576 SHC11:SHC21 SHC65547:SHC65557 SHC131083:SHC131093 SHC196619:SHC196629 SHC262155:SHC262165 SHC327691:SHC327701 SHC393227:SHC393237 SHC458763:SHC458773 SHC524299:SHC524309 SHC589835:SHC589845 SHC655371:SHC655381 SHC720907:SHC720917 SHC786443:SHC786453 SHC851979:SHC851989 SHC917515:SHC917525 SHC983051:SHC983061 SHE501:SHE65537 SHE66037:SHE131073 SHE131573:SHE196609 SHE197109:SHE262145 SHE262645:SHE327681 SHE328181:SHE393217 SHE393717:SHE458753 SHE459253:SHE524289 SHE524789:SHE589825 SHE590325:SHE655361 SHE655861:SHE720897 SHE721397:SHE786433 SHE786933:SHE851969 SHE852469:SHE917505 SHE918005:SHE983041 SHE983541:SHE1048576 SQY11:SQY21 SQY65547:SQY65557 SQY131083:SQY131093 SQY196619:SQY196629 SQY262155:SQY262165 SQY327691:SQY327701 SQY393227:SQY393237 SQY458763:SQY458773 SQY524299:SQY524309 SQY589835:SQY589845 SQY655371:SQY655381 SQY720907:SQY720917 SQY786443:SQY786453 SQY851979:SQY851989 SQY917515:SQY917525 SQY983051:SQY983061 SRA501:SRA65537 SRA66037:SRA131073 SRA131573:SRA196609 SRA197109:SRA262145 SRA262645:SRA327681 SRA328181:SRA393217 SRA393717:SRA458753 SRA459253:SRA524289 SRA524789:SRA589825 SRA590325:SRA655361 SRA655861:SRA720897 SRA721397:SRA786433 SRA786933:SRA851969 SRA852469:SRA917505 SRA918005:SRA983041 SRA983541:SRA1048576 TAU11:TAU21 TAU65547:TAU65557 TAU131083:TAU131093 TAU196619:TAU196629 TAU262155:TAU262165 TAU327691:TAU327701 TAU393227:TAU393237 TAU458763:TAU458773 TAU524299:TAU524309 TAU589835:TAU589845 TAU655371:TAU655381 TAU720907:TAU720917 TAU786443:TAU786453 TAU851979:TAU851989 TAU917515:TAU917525 TAU983051:TAU983061 TAW501:TAW65537 TAW66037:TAW131073 TAW131573:TAW196609 TAW197109:TAW262145 TAW262645:TAW327681 TAW328181:TAW393217 TAW393717:TAW458753 TAW459253:TAW524289 TAW524789:TAW589825 TAW590325:TAW655361 TAW655861:TAW720897 TAW721397:TAW786433 TAW786933:TAW851969 TAW852469:TAW917505 TAW918005:TAW983041 TAW983541:TAW1048576 TKQ11:TKQ21 TKQ65547:TKQ65557 TKQ131083:TKQ131093 TKQ196619:TKQ196629 TKQ262155:TKQ262165 TKQ327691:TKQ327701 TKQ393227:TKQ393237 TKQ458763:TKQ458773 TKQ524299:TKQ524309 TKQ589835:TKQ589845 TKQ655371:TKQ655381 TKQ720907:TKQ720917 TKQ786443:TKQ786453 TKQ851979:TKQ851989 TKQ917515:TKQ917525 TKQ983051:TKQ983061 TKS501:TKS65537 TKS66037:TKS131073 TKS131573:TKS196609 TKS197109:TKS262145 TKS262645:TKS327681 TKS328181:TKS393217 TKS393717:TKS458753 TKS459253:TKS524289 TKS524789:TKS589825 TKS590325:TKS655361 TKS655861:TKS720897 TKS721397:TKS786433 TKS786933:TKS851969 TKS852469:TKS917505 TKS918005:TKS983041 TKS983541:TKS1048576 TUM11:TUM21 TUM65547:TUM65557 TUM131083:TUM131093 TUM196619:TUM196629 TUM262155:TUM262165 TUM327691:TUM327701 TUM393227:TUM393237 TUM458763:TUM458773 TUM524299:TUM524309 TUM589835:TUM589845 TUM655371:TUM655381 TUM720907:TUM720917 TUM786443:TUM786453 TUM851979:TUM851989 TUM917515:TUM917525 TUM983051:TUM983061 TUO501:TUO65537 TUO66037:TUO131073 TUO131573:TUO196609 TUO197109:TUO262145 TUO262645:TUO327681 TUO328181:TUO393217 TUO393717:TUO458753 TUO459253:TUO524289 TUO524789:TUO589825 TUO590325:TUO655361 TUO655861:TUO720897 TUO721397:TUO786433 TUO786933:TUO851969 TUO852469:TUO917505 TUO918005:TUO983041 TUO983541:TUO1048576 UEI11:UEI21 UEI65547:UEI65557 UEI131083:UEI131093 UEI196619:UEI196629 UEI262155:UEI262165 UEI327691:UEI327701 UEI393227:UEI393237 UEI458763:UEI458773 UEI524299:UEI524309 UEI589835:UEI589845 UEI655371:UEI655381 UEI720907:UEI720917 UEI786443:UEI786453 UEI851979:UEI851989 UEI917515:UEI917525 UEI983051:UEI983061 UEK501:UEK65537 UEK66037:UEK131073 UEK131573:UEK196609 UEK197109:UEK262145 UEK262645:UEK327681 UEK328181:UEK393217 UEK393717:UEK458753 UEK459253:UEK524289 UEK524789:UEK589825 UEK590325:UEK655361 UEK655861:UEK720897 UEK721397:UEK786433 UEK786933:UEK851969 UEK852469:UEK917505 UEK918005:UEK983041 UEK983541:UEK1048576 UOE11:UOE21 UOE65547:UOE65557 UOE131083:UOE131093 UOE196619:UOE196629 UOE262155:UOE262165 UOE327691:UOE327701 UOE393227:UOE393237 UOE458763:UOE458773 UOE524299:UOE524309 UOE589835:UOE589845 UOE655371:UOE655381 UOE720907:UOE720917 UOE786443:UOE786453 UOE851979:UOE851989 UOE917515:UOE917525 UOE983051:UOE983061 UOG501:UOG65537 UOG66037:UOG131073 UOG131573:UOG196609 UOG197109:UOG262145 UOG262645:UOG327681 UOG328181:UOG393217 UOG393717:UOG458753 UOG459253:UOG524289 UOG524789:UOG589825 UOG590325:UOG655361 UOG655861:UOG720897 UOG721397:UOG786433 UOG786933:UOG851969 UOG852469:UOG917505 UOG918005:UOG983041 UOG983541:UOG1048576 UYA11:UYA21 UYA65547:UYA65557 UYA131083:UYA131093 UYA196619:UYA196629 UYA262155:UYA262165 UYA327691:UYA327701 UYA393227:UYA393237 UYA458763:UYA458773 UYA524299:UYA524309 UYA589835:UYA589845 UYA655371:UYA655381 UYA720907:UYA720917 UYA786443:UYA786453 UYA851979:UYA851989 UYA917515:UYA917525 UYA983051:UYA983061 UYC501:UYC65537 UYC66037:UYC131073 UYC131573:UYC196609 UYC197109:UYC262145 UYC262645:UYC327681 UYC328181:UYC393217 UYC393717:UYC458753 UYC459253:UYC524289 UYC524789:UYC589825 UYC590325:UYC655361 UYC655861:UYC720897 UYC721397:UYC786433 UYC786933:UYC851969 UYC852469:UYC917505 UYC918005:UYC983041 UYC983541:UYC1048576 VHW11:VHW21 VHW65547:VHW65557 VHW131083:VHW131093 VHW196619:VHW196629 VHW262155:VHW262165 VHW327691:VHW327701 VHW393227:VHW393237 VHW458763:VHW458773 VHW524299:VHW524309 VHW589835:VHW589845 VHW655371:VHW655381 VHW720907:VHW720917 VHW786443:VHW786453 VHW851979:VHW851989 VHW917515:VHW917525 VHW983051:VHW983061 VHY501:VHY65537 VHY66037:VHY131073 VHY131573:VHY196609 VHY197109:VHY262145 VHY262645:VHY327681 VHY328181:VHY393217 VHY393717:VHY458753 VHY459253:VHY524289 VHY524789:VHY589825 VHY590325:VHY655361 VHY655861:VHY720897 VHY721397:VHY786433 VHY786933:VHY851969 VHY852469:VHY917505 VHY918005:VHY983041 VHY983541:VHY1048576 VRS11:VRS21 VRS65547:VRS65557 VRS131083:VRS131093 VRS196619:VRS196629 VRS262155:VRS262165 VRS327691:VRS327701 VRS393227:VRS393237 VRS458763:VRS458773 VRS524299:VRS524309 VRS589835:VRS589845 VRS655371:VRS655381 VRS720907:VRS720917 VRS786443:VRS786453 VRS851979:VRS851989 VRS917515:VRS917525 VRS983051:VRS983061 VRU501:VRU65537 VRU66037:VRU131073 VRU131573:VRU196609 VRU197109:VRU262145 VRU262645:VRU327681 VRU328181:VRU393217 VRU393717:VRU458753 VRU459253:VRU524289 VRU524789:VRU589825 VRU590325:VRU655361 VRU655861:VRU720897 VRU721397:VRU786433 VRU786933:VRU851969 VRU852469:VRU917505 VRU918005:VRU983041 VRU983541:VRU1048576 WBO11:WBO21 WBO65547:WBO65557 WBO131083:WBO131093 WBO196619:WBO196629 WBO262155:WBO262165 WBO327691:WBO327701 WBO393227:WBO393237 WBO458763:WBO458773 WBO524299:WBO524309 WBO589835:WBO589845 WBO655371:WBO655381 WBO720907:WBO720917 WBO786443:WBO786453 WBO851979:WBO851989 WBO917515:WBO917525 WBO983051:WBO983061 WBQ501:WBQ65537 WBQ66037:WBQ131073 WBQ131573:WBQ196609 WBQ197109:WBQ262145 WBQ262645:WBQ327681 WBQ328181:WBQ393217 WBQ393717:WBQ458753 WBQ459253:WBQ524289 WBQ524789:WBQ589825 WBQ590325:WBQ655361 WBQ655861:WBQ720897 WBQ721397:WBQ786433 WBQ786933:WBQ851969 WBQ852469:WBQ917505 WBQ918005:WBQ983041 WBQ983541:WBQ1048576 WLK11:WLK21 WLK65547:WLK65557 WLK131083:WLK131093 WLK196619:WLK196629 WLK262155:WLK262165 WLK327691:WLK327701 WLK393227:WLK393237 WLK458763:WLK458773 WLK524299:WLK524309 WLK589835:WLK589845 WLK655371:WLK655381 WLK720907:WLK720917 WLK786443:WLK786453 WLK851979:WLK851989 WLK917515:WLK917525 WLK983051:WLK983061 WLM501:WLM65537 WLM66037:WLM131073 WLM131573:WLM196609 WLM197109:WLM262145 WLM262645:WLM327681 WLM328181:WLM393217 WLM393717:WLM458753 WLM459253:WLM524289 WLM524789:WLM589825 WLM590325:WLM655361 WLM655861:WLM720897 WLM721397:WLM786433 WLM786933:WLM851969 WLM852469:WLM917505 WLM918005:WLM983041 WLM983541:WLM1048576 WVG11:WVG21 WVG65547:WVG65557 WVG131083:WVG131093 WVG196619:WVG196629 WVG262155:WVG262165 WVG327691:WVG327701 WVG393227:WVG393237 WVG458763:WVG458773 WVG524299:WVG524309 WVG589835:WVG589845 WVG655371:WVG655381 WVG720907:WVG720917 WVG786443:WVG786453 WVG851979:WVG851989 WVG917515:WVG917525 WVG983051:WVG983061 WVI501:WVI65537 WVI66037:WVI131073 WVI131573:WVI196609 WVI197109:WVI262145 WVI262645:WVI327681 WVI328181:WVI393217 WVI393717:WVI458753 WVI459253:WVI524289 WVI524789:WVI589825 WVI590325:WVI655361 WVI655861:WVI720897 WVI721397:WVI786433 WVI786933:WVI851969 WVI852469:WVI917505 WVI918005:WVI983041 WVI983541:WVI1048576 XFC11:XFC21 XFC65547:XFC65557 XFC131083:XFC131093 XFC196619:XFC196629 XFC262155:XFC262165 XFC327691:XFC327701 XFC393227:XFC393237 XFC458763:XFC458773 XFC524299:XFC524309 XFC589835:XFC589845 XFC655371:XFC655381 XFC720907:XFC720917 XFC786443:XFC786453 XFC851979:XFC851989 XFC917515:XFC917525 XFC983051:XFC983061" xr:uid="{7AE2E90B-5372-462B-925F-D2800DD197B1}">
      <formula1>$AE$2:$AE$16</formula1>
    </dataValidation>
  </dataValidations>
  <pageMargins left="0.7" right="0.7" top="0.75" bottom="0.75" header="0.3" footer="0.3"/>
  <pageSetup paperSize="9" orientation="portrait"/>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E25FE-1260-456B-A048-82A9C61CE0EA}">
  <dimension ref="A1:BA169"/>
  <sheetViews>
    <sheetView zoomScale="85" zoomScaleNormal="85" workbookViewId="0"/>
  </sheetViews>
  <sheetFormatPr defaultColWidth="9" defaultRowHeight="13.5" x14ac:dyDescent="0.15"/>
  <cols>
    <col min="1" max="3" width="9" style="149"/>
    <col min="4" max="4" width="10.5" style="149" customWidth="1"/>
    <col min="5" max="9" width="9" style="149"/>
    <col min="10" max="11" width="9" style="77"/>
    <col min="12" max="16" width="9" style="149"/>
    <col min="17" max="17" width="9" style="159"/>
    <col min="18" max="18" width="9" style="149"/>
    <col min="19" max="19" width="9.5" style="149" customWidth="1"/>
    <col min="20" max="20" width="9" style="159"/>
    <col min="21" max="21" width="9" style="149"/>
    <col min="22" max="22" width="9" style="159"/>
    <col min="23" max="23" width="10.5" style="149" customWidth="1"/>
    <col min="24" max="32" width="9" style="149"/>
    <col min="33" max="33" width="19.625" style="149" customWidth="1"/>
    <col min="34" max="34" width="9.375" style="149" customWidth="1"/>
    <col min="35" max="259" width="9" style="149"/>
    <col min="260" max="260" width="10.5" style="149" customWidth="1"/>
    <col min="261" max="274" width="9" style="149"/>
    <col min="275" max="275" width="9.5" style="149" customWidth="1"/>
    <col min="276" max="278" width="9" style="149"/>
    <col min="279" max="279" width="10.5" style="149" customWidth="1"/>
    <col min="280" max="515" width="9" style="149"/>
    <col min="516" max="516" width="10.5" style="149" customWidth="1"/>
    <col min="517" max="530" width="9" style="149"/>
    <col min="531" max="531" width="9.5" style="149" customWidth="1"/>
    <col min="532" max="534" width="9" style="149"/>
    <col min="535" max="535" width="10.5" style="149" customWidth="1"/>
    <col min="536" max="771" width="9" style="149"/>
    <col min="772" max="772" width="10.5" style="149" customWidth="1"/>
    <col min="773" max="786" width="9" style="149"/>
    <col min="787" max="787" width="9.5" style="149" customWidth="1"/>
    <col min="788" max="790" width="9" style="149"/>
    <col min="791" max="791" width="10.5" style="149" customWidth="1"/>
    <col min="792" max="1027" width="9" style="149"/>
    <col min="1028" max="1028" width="10.5" style="149" customWidth="1"/>
    <col min="1029" max="1042" width="9" style="149"/>
    <col min="1043" max="1043" width="9.5" style="149" customWidth="1"/>
    <col min="1044" max="1046" width="9" style="149"/>
    <col min="1047" max="1047" width="10.5" style="149" customWidth="1"/>
    <col min="1048" max="1283" width="9" style="149"/>
    <col min="1284" max="1284" width="10.5" style="149" customWidth="1"/>
    <col min="1285" max="1298" width="9" style="149"/>
    <col min="1299" max="1299" width="9.5" style="149" customWidth="1"/>
    <col min="1300" max="1302" width="9" style="149"/>
    <col min="1303" max="1303" width="10.5" style="149" customWidth="1"/>
    <col min="1304" max="1539" width="9" style="149"/>
    <col min="1540" max="1540" width="10.5" style="149" customWidth="1"/>
    <col min="1541" max="1554" width="9" style="149"/>
    <col min="1555" max="1555" width="9.5" style="149" customWidth="1"/>
    <col min="1556" max="1558" width="9" style="149"/>
    <col min="1559" max="1559" width="10.5" style="149" customWidth="1"/>
    <col min="1560" max="1795" width="9" style="149"/>
    <col min="1796" max="1796" width="10.5" style="149" customWidth="1"/>
    <col min="1797" max="1810" width="9" style="149"/>
    <col min="1811" max="1811" width="9.5" style="149" customWidth="1"/>
    <col min="1812" max="1814" width="9" style="149"/>
    <col min="1815" max="1815" width="10.5" style="149" customWidth="1"/>
    <col min="1816" max="2051" width="9" style="149"/>
    <col min="2052" max="2052" width="10.5" style="149" customWidth="1"/>
    <col min="2053" max="2066" width="9" style="149"/>
    <col min="2067" max="2067" width="9.5" style="149" customWidth="1"/>
    <col min="2068" max="2070" width="9" style="149"/>
    <col min="2071" max="2071" width="10.5" style="149" customWidth="1"/>
    <col min="2072" max="2307" width="9" style="149"/>
    <col min="2308" max="2308" width="10.5" style="149" customWidth="1"/>
    <col min="2309" max="2322" width="9" style="149"/>
    <col min="2323" max="2323" width="9.5" style="149" customWidth="1"/>
    <col min="2324" max="2326" width="9" style="149"/>
    <col min="2327" max="2327" width="10.5" style="149" customWidth="1"/>
    <col min="2328" max="2563" width="9" style="149"/>
    <col min="2564" max="2564" width="10.5" style="149" customWidth="1"/>
    <col min="2565" max="2578" width="9" style="149"/>
    <col min="2579" max="2579" width="9.5" style="149" customWidth="1"/>
    <col min="2580" max="2582" width="9" style="149"/>
    <col min="2583" max="2583" width="10.5" style="149" customWidth="1"/>
    <col min="2584" max="2819" width="9" style="149"/>
    <col min="2820" max="2820" width="10.5" style="149" customWidth="1"/>
    <col min="2821" max="2834" width="9" style="149"/>
    <col min="2835" max="2835" width="9.5" style="149" customWidth="1"/>
    <col min="2836" max="2838" width="9" style="149"/>
    <col min="2839" max="2839" width="10.5" style="149" customWidth="1"/>
    <col min="2840" max="3075" width="9" style="149"/>
    <col min="3076" max="3076" width="10.5" style="149" customWidth="1"/>
    <col min="3077" max="3090" width="9" style="149"/>
    <col min="3091" max="3091" width="9.5" style="149" customWidth="1"/>
    <col min="3092" max="3094" width="9" style="149"/>
    <col min="3095" max="3095" width="10.5" style="149" customWidth="1"/>
    <col min="3096" max="3331" width="9" style="149"/>
    <col min="3332" max="3332" width="10.5" style="149" customWidth="1"/>
    <col min="3333" max="3346" width="9" style="149"/>
    <col min="3347" max="3347" width="9.5" style="149" customWidth="1"/>
    <col min="3348" max="3350" width="9" style="149"/>
    <col min="3351" max="3351" width="10.5" style="149" customWidth="1"/>
    <col min="3352" max="3587" width="9" style="149"/>
    <col min="3588" max="3588" width="10.5" style="149" customWidth="1"/>
    <col min="3589" max="3602" width="9" style="149"/>
    <col min="3603" max="3603" width="9.5" style="149" customWidth="1"/>
    <col min="3604" max="3606" width="9" style="149"/>
    <col min="3607" max="3607" width="10.5" style="149" customWidth="1"/>
    <col min="3608" max="3843" width="9" style="149"/>
    <col min="3844" max="3844" width="10.5" style="149" customWidth="1"/>
    <col min="3845" max="3858" width="9" style="149"/>
    <col min="3859" max="3859" width="9.5" style="149" customWidth="1"/>
    <col min="3860" max="3862" width="9" style="149"/>
    <col min="3863" max="3863" width="10.5" style="149" customWidth="1"/>
    <col min="3864" max="4099" width="9" style="149"/>
    <col min="4100" max="4100" width="10.5" style="149" customWidth="1"/>
    <col min="4101" max="4114" width="9" style="149"/>
    <col min="4115" max="4115" width="9.5" style="149" customWidth="1"/>
    <col min="4116" max="4118" width="9" style="149"/>
    <col min="4119" max="4119" width="10.5" style="149" customWidth="1"/>
    <col min="4120" max="4355" width="9" style="149"/>
    <col min="4356" max="4356" width="10.5" style="149" customWidth="1"/>
    <col min="4357" max="4370" width="9" style="149"/>
    <col min="4371" max="4371" width="9.5" style="149" customWidth="1"/>
    <col min="4372" max="4374" width="9" style="149"/>
    <col min="4375" max="4375" width="10.5" style="149" customWidth="1"/>
    <col min="4376" max="4611" width="9" style="149"/>
    <col min="4612" max="4612" width="10.5" style="149" customWidth="1"/>
    <col min="4613" max="4626" width="9" style="149"/>
    <col min="4627" max="4627" width="9.5" style="149" customWidth="1"/>
    <col min="4628" max="4630" width="9" style="149"/>
    <col min="4631" max="4631" width="10.5" style="149" customWidth="1"/>
    <col min="4632" max="4867" width="9" style="149"/>
    <col min="4868" max="4868" width="10.5" style="149" customWidth="1"/>
    <col min="4869" max="4882" width="9" style="149"/>
    <col min="4883" max="4883" width="9.5" style="149" customWidth="1"/>
    <col min="4884" max="4886" width="9" style="149"/>
    <col min="4887" max="4887" width="10.5" style="149" customWidth="1"/>
    <col min="4888" max="5123" width="9" style="149"/>
    <col min="5124" max="5124" width="10.5" style="149" customWidth="1"/>
    <col min="5125" max="5138" width="9" style="149"/>
    <col min="5139" max="5139" width="9.5" style="149" customWidth="1"/>
    <col min="5140" max="5142" width="9" style="149"/>
    <col min="5143" max="5143" width="10.5" style="149" customWidth="1"/>
    <col min="5144" max="5379" width="9" style="149"/>
    <col min="5380" max="5380" width="10.5" style="149" customWidth="1"/>
    <col min="5381" max="5394" width="9" style="149"/>
    <col min="5395" max="5395" width="9.5" style="149" customWidth="1"/>
    <col min="5396" max="5398" width="9" style="149"/>
    <col min="5399" max="5399" width="10.5" style="149" customWidth="1"/>
    <col min="5400" max="5635" width="9" style="149"/>
    <col min="5636" max="5636" width="10.5" style="149" customWidth="1"/>
    <col min="5637" max="5650" width="9" style="149"/>
    <col min="5651" max="5651" width="9.5" style="149" customWidth="1"/>
    <col min="5652" max="5654" width="9" style="149"/>
    <col min="5655" max="5655" width="10.5" style="149" customWidth="1"/>
    <col min="5656" max="5891" width="9" style="149"/>
    <col min="5892" max="5892" width="10.5" style="149" customWidth="1"/>
    <col min="5893" max="5906" width="9" style="149"/>
    <col min="5907" max="5907" width="9.5" style="149" customWidth="1"/>
    <col min="5908" max="5910" width="9" style="149"/>
    <col min="5911" max="5911" width="10.5" style="149" customWidth="1"/>
    <col min="5912" max="6147" width="9" style="149"/>
    <col min="6148" max="6148" width="10.5" style="149" customWidth="1"/>
    <col min="6149" max="6162" width="9" style="149"/>
    <col min="6163" max="6163" width="9.5" style="149" customWidth="1"/>
    <col min="6164" max="6166" width="9" style="149"/>
    <col min="6167" max="6167" width="10.5" style="149" customWidth="1"/>
    <col min="6168" max="6403" width="9" style="149"/>
    <col min="6404" max="6404" width="10.5" style="149" customWidth="1"/>
    <col min="6405" max="6418" width="9" style="149"/>
    <col min="6419" max="6419" width="9.5" style="149" customWidth="1"/>
    <col min="6420" max="6422" width="9" style="149"/>
    <col min="6423" max="6423" width="10.5" style="149" customWidth="1"/>
    <col min="6424" max="6659" width="9" style="149"/>
    <col min="6660" max="6660" width="10.5" style="149" customWidth="1"/>
    <col min="6661" max="6674" width="9" style="149"/>
    <col min="6675" max="6675" width="9.5" style="149" customWidth="1"/>
    <col min="6676" max="6678" width="9" style="149"/>
    <col min="6679" max="6679" width="10.5" style="149" customWidth="1"/>
    <col min="6680" max="6915" width="9" style="149"/>
    <col min="6916" max="6916" width="10.5" style="149" customWidth="1"/>
    <col min="6917" max="6930" width="9" style="149"/>
    <col min="6931" max="6931" width="9.5" style="149" customWidth="1"/>
    <col min="6932" max="6934" width="9" style="149"/>
    <col min="6935" max="6935" width="10.5" style="149" customWidth="1"/>
    <col min="6936" max="7171" width="9" style="149"/>
    <col min="7172" max="7172" width="10.5" style="149" customWidth="1"/>
    <col min="7173" max="7186" width="9" style="149"/>
    <col min="7187" max="7187" width="9.5" style="149" customWidth="1"/>
    <col min="7188" max="7190" width="9" style="149"/>
    <col min="7191" max="7191" width="10.5" style="149" customWidth="1"/>
    <col min="7192" max="7427" width="9" style="149"/>
    <col min="7428" max="7428" width="10.5" style="149" customWidth="1"/>
    <col min="7429" max="7442" width="9" style="149"/>
    <col min="7443" max="7443" width="9.5" style="149" customWidth="1"/>
    <col min="7444" max="7446" width="9" style="149"/>
    <col min="7447" max="7447" width="10.5" style="149" customWidth="1"/>
    <col min="7448" max="7683" width="9" style="149"/>
    <col min="7684" max="7684" width="10.5" style="149" customWidth="1"/>
    <col min="7685" max="7698" width="9" style="149"/>
    <col min="7699" max="7699" width="9.5" style="149" customWidth="1"/>
    <col min="7700" max="7702" width="9" style="149"/>
    <col min="7703" max="7703" width="10.5" style="149" customWidth="1"/>
    <col min="7704" max="7939" width="9" style="149"/>
    <col min="7940" max="7940" width="10.5" style="149" customWidth="1"/>
    <col min="7941" max="7954" width="9" style="149"/>
    <col min="7955" max="7955" width="9.5" style="149" customWidth="1"/>
    <col min="7956" max="7958" width="9" style="149"/>
    <col min="7959" max="7959" width="10.5" style="149" customWidth="1"/>
    <col min="7960" max="8195" width="9" style="149"/>
    <col min="8196" max="8196" width="10.5" style="149" customWidth="1"/>
    <col min="8197" max="8210" width="9" style="149"/>
    <col min="8211" max="8211" width="9.5" style="149" customWidth="1"/>
    <col min="8212" max="8214" width="9" style="149"/>
    <col min="8215" max="8215" width="10.5" style="149" customWidth="1"/>
    <col min="8216" max="8451" width="9" style="149"/>
    <col min="8452" max="8452" width="10.5" style="149" customWidth="1"/>
    <col min="8453" max="8466" width="9" style="149"/>
    <col min="8467" max="8467" width="9.5" style="149" customWidth="1"/>
    <col min="8468" max="8470" width="9" style="149"/>
    <col min="8471" max="8471" width="10.5" style="149" customWidth="1"/>
    <col min="8472" max="8707" width="9" style="149"/>
    <col min="8708" max="8708" width="10.5" style="149" customWidth="1"/>
    <col min="8709" max="8722" width="9" style="149"/>
    <col min="8723" max="8723" width="9.5" style="149" customWidth="1"/>
    <col min="8724" max="8726" width="9" style="149"/>
    <col min="8727" max="8727" width="10.5" style="149" customWidth="1"/>
    <col min="8728" max="8963" width="9" style="149"/>
    <col min="8964" max="8964" width="10.5" style="149" customWidth="1"/>
    <col min="8965" max="8978" width="9" style="149"/>
    <col min="8979" max="8979" width="9.5" style="149" customWidth="1"/>
    <col min="8980" max="8982" width="9" style="149"/>
    <col min="8983" max="8983" width="10.5" style="149" customWidth="1"/>
    <col min="8984" max="9219" width="9" style="149"/>
    <col min="9220" max="9220" width="10.5" style="149" customWidth="1"/>
    <col min="9221" max="9234" width="9" style="149"/>
    <col min="9235" max="9235" width="9.5" style="149" customWidth="1"/>
    <col min="9236" max="9238" width="9" style="149"/>
    <col min="9239" max="9239" width="10.5" style="149" customWidth="1"/>
    <col min="9240" max="9475" width="9" style="149"/>
    <col min="9476" max="9476" width="10.5" style="149" customWidth="1"/>
    <col min="9477" max="9490" width="9" style="149"/>
    <col min="9491" max="9491" width="9.5" style="149" customWidth="1"/>
    <col min="9492" max="9494" width="9" style="149"/>
    <col min="9495" max="9495" width="10.5" style="149" customWidth="1"/>
    <col min="9496" max="9731" width="9" style="149"/>
    <col min="9732" max="9732" width="10.5" style="149" customWidth="1"/>
    <col min="9733" max="9746" width="9" style="149"/>
    <col min="9747" max="9747" width="9.5" style="149" customWidth="1"/>
    <col min="9748" max="9750" width="9" style="149"/>
    <col min="9751" max="9751" width="10.5" style="149" customWidth="1"/>
    <col min="9752" max="9987" width="9" style="149"/>
    <col min="9988" max="9988" width="10.5" style="149" customWidth="1"/>
    <col min="9989" max="10002" width="9" style="149"/>
    <col min="10003" max="10003" width="9.5" style="149" customWidth="1"/>
    <col min="10004" max="10006" width="9" style="149"/>
    <col min="10007" max="10007" width="10.5" style="149" customWidth="1"/>
    <col min="10008" max="10243" width="9" style="149"/>
    <col min="10244" max="10244" width="10.5" style="149" customWidth="1"/>
    <col min="10245" max="10258" width="9" style="149"/>
    <col min="10259" max="10259" width="9.5" style="149" customWidth="1"/>
    <col min="10260" max="10262" width="9" style="149"/>
    <col min="10263" max="10263" width="10.5" style="149" customWidth="1"/>
    <col min="10264" max="10499" width="9" style="149"/>
    <col min="10500" max="10500" width="10.5" style="149" customWidth="1"/>
    <col min="10501" max="10514" width="9" style="149"/>
    <col min="10515" max="10515" width="9.5" style="149" customWidth="1"/>
    <col min="10516" max="10518" width="9" style="149"/>
    <col min="10519" max="10519" width="10.5" style="149" customWidth="1"/>
    <col min="10520" max="10755" width="9" style="149"/>
    <col min="10756" max="10756" width="10.5" style="149" customWidth="1"/>
    <col min="10757" max="10770" width="9" style="149"/>
    <col min="10771" max="10771" width="9.5" style="149" customWidth="1"/>
    <col min="10772" max="10774" width="9" style="149"/>
    <col min="10775" max="10775" width="10.5" style="149" customWidth="1"/>
    <col min="10776" max="11011" width="9" style="149"/>
    <col min="11012" max="11012" width="10.5" style="149" customWidth="1"/>
    <col min="11013" max="11026" width="9" style="149"/>
    <col min="11027" max="11027" width="9.5" style="149" customWidth="1"/>
    <col min="11028" max="11030" width="9" style="149"/>
    <col min="11031" max="11031" width="10.5" style="149" customWidth="1"/>
    <col min="11032" max="11267" width="9" style="149"/>
    <col min="11268" max="11268" width="10.5" style="149" customWidth="1"/>
    <col min="11269" max="11282" width="9" style="149"/>
    <col min="11283" max="11283" width="9.5" style="149" customWidth="1"/>
    <col min="11284" max="11286" width="9" style="149"/>
    <col min="11287" max="11287" width="10.5" style="149" customWidth="1"/>
    <col min="11288" max="11523" width="9" style="149"/>
    <col min="11524" max="11524" width="10.5" style="149" customWidth="1"/>
    <col min="11525" max="11538" width="9" style="149"/>
    <col min="11539" max="11539" width="9.5" style="149" customWidth="1"/>
    <col min="11540" max="11542" width="9" style="149"/>
    <col min="11543" max="11543" width="10.5" style="149" customWidth="1"/>
    <col min="11544" max="11779" width="9" style="149"/>
    <col min="11780" max="11780" width="10.5" style="149" customWidth="1"/>
    <col min="11781" max="11794" width="9" style="149"/>
    <col min="11795" max="11795" width="9.5" style="149" customWidth="1"/>
    <col min="11796" max="11798" width="9" style="149"/>
    <col min="11799" max="11799" width="10.5" style="149" customWidth="1"/>
    <col min="11800" max="12035" width="9" style="149"/>
    <col min="12036" max="12036" width="10.5" style="149" customWidth="1"/>
    <col min="12037" max="12050" width="9" style="149"/>
    <col min="12051" max="12051" width="9.5" style="149" customWidth="1"/>
    <col min="12052" max="12054" width="9" style="149"/>
    <col min="12055" max="12055" width="10.5" style="149" customWidth="1"/>
    <col min="12056" max="12291" width="9" style="149"/>
    <col min="12292" max="12292" width="10.5" style="149" customWidth="1"/>
    <col min="12293" max="12306" width="9" style="149"/>
    <col min="12307" max="12307" width="9.5" style="149" customWidth="1"/>
    <col min="12308" max="12310" width="9" style="149"/>
    <col min="12311" max="12311" width="10.5" style="149" customWidth="1"/>
    <col min="12312" max="12547" width="9" style="149"/>
    <col min="12548" max="12548" width="10.5" style="149" customWidth="1"/>
    <col min="12549" max="12562" width="9" style="149"/>
    <col min="12563" max="12563" width="9.5" style="149" customWidth="1"/>
    <col min="12564" max="12566" width="9" style="149"/>
    <col min="12567" max="12567" width="10.5" style="149" customWidth="1"/>
    <col min="12568" max="12803" width="9" style="149"/>
    <col min="12804" max="12804" width="10.5" style="149" customWidth="1"/>
    <col min="12805" max="12818" width="9" style="149"/>
    <col min="12819" max="12819" width="9.5" style="149" customWidth="1"/>
    <col min="12820" max="12822" width="9" style="149"/>
    <col min="12823" max="12823" width="10.5" style="149" customWidth="1"/>
    <col min="12824" max="13059" width="9" style="149"/>
    <col min="13060" max="13060" width="10.5" style="149" customWidth="1"/>
    <col min="13061" max="13074" width="9" style="149"/>
    <col min="13075" max="13075" width="9.5" style="149" customWidth="1"/>
    <col min="13076" max="13078" width="9" style="149"/>
    <col min="13079" max="13079" width="10.5" style="149" customWidth="1"/>
    <col min="13080" max="13315" width="9" style="149"/>
    <col min="13316" max="13316" width="10.5" style="149" customWidth="1"/>
    <col min="13317" max="13330" width="9" style="149"/>
    <col min="13331" max="13331" width="9.5" style="149" customWidth="1"/>
    <col min="13332" max="13334" width="9" style="149"/>
    <col min="13335" max="13335" width="10.5" style="149" customWidth="1"/>
    <col min="13336" max="13571" width="9" style="149"/>
    <col min="13572" max="13572" width="10.5" style="149" customWidth="1"/>
    <col min="13573" max="13586" width="9" style="149"/>
    <col min="13587" max="13587" width="9.5" style="149" customWidth="1"/>
    <col min="13588" max="13590" width="9" style="149"/>
    <col min="13591" max="13591" width="10.5" style="149" customWidth="1"/>
    <col min="13592" max="13827" width="9" style="149"/>
    <col min="13828" max="13828" width="10.5" style="149" customWidth="1"/>
    <col min="13829" max="13842" width="9" style="149"/>
    <col min="13843" max="13843" width="9.5" style="149" customWidth="1"/>
    <col min="13844" max="13846" width="9" style="149"/>
    <col min="13847" max="13847" width="10.5" style="149" customWidth="1"/>
    <col min="13848" max="14083" width="9" style="149"/>
    <col min="14084" max="14084" width="10.5" style="149" customWidth="1"/>
    <col min="14085" max="14098" width="9" style="149"/>
    <col min="14099" max="14099" width="9.5" style="149" customWidth="1"/>
    <col min="14100" max="14102" width="9" style="149"/>
    <col min="14103" max="14103" width="10.5" style="149" customWidth="1"/>
    <col min="14104" max="14339" width="9" style="149"/>
    <col min="14340" max="14340" width="10.5" style="149" customWidth="1"/>
    <col min="14341" max="14354" width="9" style="149"/>
    <col min="14355" max="14355" width="9.5" style="149" customWidth="1"/>
    <col min="14356" max="14358" width="9" style="149"/>
    <col min="14359" max="14359" width="10.5" style="149" customWidth="1"/>
    <col min="14360" max="14595" width="9" style="149"/>
    <col min="14596" max="14596" width="10.5" style="149" customWidth="1"/>
    <col min="14597" max="14610" width="9" style="149"/>
    <col min="14611" max="14611" width="9.5" style="149" customWidth="1"/>
    <col min="14612" max="14614" width="9" style="149"/>
    <col min="14615" max="14615" width="10.5" style="149" customWidth="1"/>
    <col min="14616" max="14851" width="9" style="149"/>
    <col min="14852" max="14852" width="10.5" style="149" customWidth="1"/>
    <col min="14853" max="14866" width="9" style="149"/>
    <col min="14867" max="14867" width="9.5" style="149" customWidth="1"/>
    <col min="14868" max="14870" width="9" style="149"/>
    <col min="14871" max="14871" width="10.5" style="149" customWidth="1"/>
    <col min="14872" max="15107" width="9" style="149"/>
    <col min="15108" max="15108" width="10.5" style="149" customWidth="1"/>
    <col min="15109" max="15122" width="9" style="149"/>
    <col min="15123" max="15123" width="9.5" style="149" customWidth="1"/>
    <col min="15124" max="15126" width="9" style="149"/>
    <col min="15127" max="15127" width="10.5" style="149" customWidth="1"/>
    <col min="15128" max="15363" width="9" style="149"/>
    <col min="15364" max="15364" width="10.5" style="149" customWidth="1"/>
    <col min="15365" max="15378" width="9" style="149"/>
    <col min="15379" max="15379" width="9.5" style="149" customWidth="1"/>
    <col min="15380" max="15382" width="9" style="149"/>
    <col min="15383" max="15383" width="10.5" style="149" customWidth="1"/>
    <col min="15384" max="15619" width="9" style="149"/>
    <col min="15620" max="15620" width="10.5" style="149" customWidth="1"/>
    <col min="15621" max="15634" width="9" style="149"/>
    <col min="15635" max="15635" width="9.5" style="149" customWidth="1"/>
    <col min="15636" max="15638" width="9" style="149"/>
    <col min="15639" max="15639" width="10.5" style="149" customWidth="1"/>
    <col min="15640" max="15875" width="9" style="149"/>
    <col min="15876" max="15876" width="10.5" style="149" customWidth="1"/>
    <col min="15877" max="15890" width="9" style="149"/>
    <col min="15891" max="15891" width="9.5" style="149" customWidth="1"/>
    <col min="15892" max="15894" width="9" style="149"/>
    <col min="15895" max="15895" width="10.5" style="149" customWidth="1"/>
    <col min="15896" max="16131" width="9" style="149"/>
    <col min="16132" max="16132" width="10.5" style="149" customWidth="1"/>
    <col min="16133" max="16146" width="9" style="149"/>
    <col min="16147" max="16147" width="9.5" style="149" customWidth="1"/>
    <col min="16148" max="16150" width="9" style="149"/>
    <col min="16151" max="16151" width="10.5" style="149" customWidth="1"/>
    <col min="16152" max="16384" width="9" style="149"/>
  </cols>
  <sheetData>
    <row r="1" spans="1:53" ht="45" x14ac:dyDescent="0.15">
      <c r="A1" s="140" t="s">
        <v>0</v>
      </c>
      <c r="B1" s="141" t="s">
        <v>198</v>
      </c>
      <c r="C1" s="141" t="s">
        <v>199</v>
      </c>
      <c r="D1" s="142" t="s">
        <v>2</v>
      </c>
      <c r="E1" s="143" t="s">
        <v>3</v>
      </c>
      <c r="F1" s="143" t="s">
        <v>4</v>
      </c>
      <c r="G1" s="143" t="s">
        <v>5</v>
      </c>
      <c r="H1" s="143" t="s">
        <v>6</v>
      </c>
      <c r="I1" s="143" t="s">
        <v>7</v>
      </c>
      <c r="J1" s="83" t="s">
        <v>8</v>
      </c>
      <c r="K1" s="83" t="s">
        <v>9</v>
      </c>
      <c r="L1" s="142" t="s">
        <v>200</v>
      </c>
      <c r="M1" s="142" t="s">
        <v>201</v>
      </c>
      <c r="N1" s="142" t="s">
        <v>11</v>
      </c>
      <c r="O1" s="142" t="s">
        <v>202</v>
      </c>
      <c r="P1" s="142" t="s">
        <v>203</v>
      </c>
      <c r="Q1" s="144" t="s">
        <v>204</v>
      </c>
      <c r="R1" s="142" t="s">
        <v>205</v>
      </c>
      <c r="S1" s="142" t="s">
        <v>206</v>
      </c>
      <c r="T1" s="144" t="s">
        <v>13</v>
      </c>
      <c r="U1" s="145" t="s">
        <v>92</v>
      </c>
      <c r="V1" s="146" t="s">
        <v>14</v>
      </c>
      <c r="W1" s="142" t="s">
        <v>207</v>
      </c>
      <c r="X1" s="143" t="s">
        <v>16</v>
      </c>
      <c r="Y1" s="143" t="s">
        <v>17</v>
      </c>
      <c r="Z1" s="143" t="s">
        <v>18</v>
      </c>
      <c r="AA1" s="147" t="s">
        <v>19</v>
      </c>
      <c r="AB1" s="148" t="s">
        <v>208</v>
      </c>
      <c r="AE1" s="150" t="s">
        <v>0</v>
      </c>
      <c r="AF1" s="151"/>
      <c r="AG1" s="150" t="s">
        <v>3</v>
      </c>
      <c r="AH1" s="150" t="s">
        <v>4</v>
      </c>
      <c r="AI1" s="151"/>
      <c r="AJ1" s="150" t="s">
        <v>5</v>
      </c>
      <c r="AK1" s="151"/>
      <c r="AL1" s="152" t="s">
        <v>6</v>
      </c>
      <c r="AM1" s="151"/>
      <c r="AN1" s="152" t="s">
        <v>7</v>
      </c>
      <c r="AO1" s="151"/>
      <c r="AP1" s="152" t="s">
        <v>20</v>
      </c>
      <c r="AQ1" s="151"/>
      <c r="AR1" s="152" t="s">
        <v>9</v>
      </c>
      <c r="AS1" s="151"/>
      <c r="AT1" s="153" t="s">
        <v>209</v>
      </c>
      <c r="AU1" s="151"/>
      <c r="AV1" s="152" t="s">
        <v>22</v>
      </c>
      <c r="AX1" s="154" t="s">
        <v>262</v>
      </c>
      <c r="AY1" s="155" t="s">
        <v>211</v>
      </c>
      <c r="AZ1" s="155" t="s">
        <v>263</v>
      </c>
      <c r="BA1" s="156" t="s">
        <v>213</v>
      </c>
    </row>
    <row r="2" spans="1:53" x14ac:dyDescent="0.15">
      <c r="A2" s="149" t="s">
        <v>40</v>
      </c>
      <c r="B2" s="149" t="s">
        <v>174</v>
      </c>
      <c r="C2" s="149">
        <v>2020</v>
      </c>
      <c r="D2" s="157" t="s">
        <v>398</v>
      </c>
      <c r="E2" s="149" t="s">
        <v>264</v>
      </c>
      <c r="F2" s="149" t="s">
        <v>265</v>
      </c>
      <c r="G2" s="149" t="s">
        <v>25</v>
      </c>
      <c r="H2" s="149" t="s">
        <v>113</v>
      </c>
      <c r="I2" s="149" t="s">
        <v>111</v>
      </c>
      <c r="J2" s="77" t="s">
        <v>27</v>
      </c>
      <c r="K2" s="77" t="s">
        <v>112</v>
      </c>
      <c r="L2" s="149">
        <v>1</v>
      </c>
      <c r="N2" s="149">
        <v>2</v>
      </c>
      <c r="O2" s="149">
        <v>1</v>
      </c>
      <c r="P2" s="149">
        <v>0.95</v>
      </c>
      <c r="Q2" s="158">
        <f>IF(OR(O2="",P2=""),"",AVERAGE(O2,P2))</f>
        <v>0.97499999999999998</v>
      </c>
      <c r="R2" s="149">
        <v>16.8</v>
      </c>
      <c r="S2" s="149">
        <v>154</v>
      </c>
      <c r="T2" s="159">
        <f>IF(H2="","",IF(OR(H2="GREEN",H2="GK"),IF(S2&gt;=$AX$2,VLOOKUP(S2,$AX$2:$AY$12,2,1),""),IF(S2&gt;=$AZ$2,VLOOKUP(S2,$AZ$2:$BA$12,2,1),"")))</f>
        <v>18</v>
      </c>
      <c r="U2" s="149">
        <v>398</v>
      </c>
      <c r="V2" s="160">
        <f t="shared" ref="V2:V65" si="0">IF(OR(N2="",U2="",T2=""),"",U2/N2*T2)</f>
        <v>3582</v>
      </c>
      <c r="W2" s="149">
        <v>10</v>
      </c>
      <c r="X2" s="149" t="s">
        <v>28</v>
      </c>
      <c r="Y2" s="149" t="s">
        <v>55</v>
      </c>
      <c r="Z2" s="149" t="s">
        <v>76</v>
      </c>
      <c r="AA2" s="149" t="s">
        <v>43</v>
      </c>
      <c r="AB2" s="149" t="s">
        <v>178</v>
      </c>
      <c r="AE2" s="161" t="s">
        <v>24</v>
      </c>
      <c r="AG2" s="162" t="s">
        <v>240</v>
      </c>
      <c r="AH2" s="162" t="s">
        <v>266</v>
      </c>
      <c r="AJ2" s="162" t="s">
        <v>25</v>
      </c>
      <c r="AL2" s="163" t="s">
        <v>215</v>
      </c>
      <c r="AN2" s="162" t="s">
        <v>26</v>
      </c>
      <c r="AP2" s="162" t="s">
        <v>27</v>
      </c>
      <c r="AR2" s="162" t="s">
        <v>112</v>
      </c>
      <c r="AT2" s="162" t="s">
        <v>28</v>
      </c>
      <c r="AV2" s="162" t="s">
        <v>29</v>
      </c>
      <c r="AX2" s="164">
        <v>1</v>
      </c>
      <c r="AY2" s="165">
        <v>50</v>
      </c>
      <c r="AZ2" s="165">
        <v>1</v>
      </c>
      <c r="BA2" s="166">
        <v>50</v>
      </c>
    </row>
    <row r="3" spans="1:53" x14ac:dyDescent="0.15">
      <c r="A3" s="149" t="s">
        <v>40</v>
      </c>
      <c r="B3" s="149" t="s">
        <v>174</v>
      </c>
      <c r="C3" s="149">
        <v>2020</v>
      </c>
      <c r="D3" s="157" t="s">
        <v>398</v>
      </c>
      <c r="E3" s="149" t="s">
        <v>264</v>
      </c>
      <c r="F3" s="149" t="s">
        <v>265</v>
      </c>
      <c r="G3" s="149" t="s">
        <v>25</v>
      </c>
      <c r="H3" s="149" t="s">
        <v>113</v>
      </c>
      <c r="I3" s="149" t="s">
        <v>111</v>
      </c>
      <c r="J3" s="77" t="s">
        <v>27</v>
      </c>
      <c r="K3" s="77" t="s">
        <v>112</v>
      </c>
      <c r="L3" s="149">
        <v>2</v>
      </c>
      <c r="N3" s="149">
        <v>2</v>
      </c>
      <c r="O3" s="149">
        <v>1.05</v>
      </c>
      <c r="P3" s="149">
        <v>0.9</v>
      </c>
      <c r="Q3" s="158">
        <f t="shared" ref="Q3:Q66" si="1">IF(OR(O3="",P3=""),"",AVERAGE(O3,P3))</f>
        <v>0.97500000000000009</v>
      </c>
      <c r="R3" s="149">
        <v>16.600000000000001</v>
      </c>
      <c r="S3" s="149">
        <v>156</v>
      </c>
      <c r="T3" s="159">
        <f t="shared" ref="T3:T66" si="2">IF(H3="","",IF(OR(H3="GREEN",H3="GK"),IF(S3&gt;=$AX$2,VLOOKUP(S3,$AX$2:$AY$12,2,1),""),IF(S3&gt;=$AZ$2,VLOOKUP(S3,$AZ$2:$BA$12,2,1),"")))</f>
        <v>18</v>
      </c>
      <c r="U3" s="149">
        <v>398</v>
      </c>
      <c r="V3" s="160">
        <f t="shared" si="0"/>
        <v>3582</v>
      </c>
      <c r="W3" s="149">
        <v>10</v>
      </c>
      <c r="X3" s="149" t="s">
        <v>28</v>
      </c>
      <c r="Y3" s="149" t="s">
        <v>55</v>
      </c>
      <c r="Z3" s="149" t="s">
        <v>76</v>
      </c>
      <c r="AA3" s="149" t="s">
        <v>43</v>
      </c>
      <c r="AB3" s="149" t="s">
        <v>178</v>
      </c>
      <c r="AE3" s="167" t="s">
        <v>30</v>
      </c>
      <c r="AG3" s="162" t="s">
        <v>267</v>
      </c>
      <c r="AH3" s="162" t="s">
        <v>268</v>
      </c>
      <c r="AJ3" s="168" t="s">
        <v>31</v>
      </c>
      <c r="AL3" s="168" t="s">
        <v>217</v>
      </c>
      <c r="AN3" s="168" t="s">
        <v>32</v>
      </c>
      <c r="AP3" s="168" t="s">
        <v>33</v>
      </c>
      <c r="AR3" s="168" t="s">
        <v>34</v>
      </c>
      <c r="AT3" s="168" t="s">
        <v>35</v>
      </c>
      <c r="AV3" s="168" t="s">
        <v>36</v>
      </c>
      <c r="AX3" s="169">
        <v>72</v>
      </c>
      <c r="AY3" s="170">
        <v>46</v>
      </c>
      <c r="AZ3" s="170">
        <v>71</v>
      </c>
      <c r="BA3" s="171">
        <v>42</v>
      </c>
    </row>
    <row r="4" spans="1:53" x14ac:dyDescent="0.15">
      <c r="A4" s="149" t="s">
        <v>40</v>
      </c>
      <c r="B4" s="149" t="s">
        <v>174</v>
      </c>
      <c r="C4" s="149">
        <v>2020</v>
      </c>
      <c r="D4" s="157" t="s">
        <v>398</v>
      </c>
      <c r="E4" s="149" t="s">
        <v>264</v>
      </c>
      <c r="F4" s="149" t="s">
        <v>265</v>
      </c>
      <c r="G4" s="149" t="s">
        <v>25</v>
      </c>
      <c r="H4" s="149" t="s">
        <v>113</v>
      </c>
      <c r="I4" s="149" t="s">
        <v>111</v>
      </c>
      <c r="J4" s="77" t="s">
        <v>27</v>
      </c>
      <c r="K4" s="77" t="s">
        <v>112</v>
      </c>
      <c r="L4" s="149">
        <v>3</v>
      </c>
      <c r="N4" s="149">
        <v>2</v>
      </c>
      <c r="O4" s="149">
        <v>1.1499999999999999</v>
      </c>
      <c r="P4" s="149">
        <v>1.1000000000000001</v>
      </c>
      <c r="Q4" s="158">
        <f t="shared" si="1"/>
        <v>1.125</v>
      </c>
      <c r="R4" s="149">
        <v>16.3</v>
      </c>
      <c r="S4" s="149">
        <v>156</v>
      </c>
      <c r="T4" s="159">
        <f t="shared" si="2"/>
        <v>18</v>
      </c>
      <c r="U4" s="149">
        <v>398</v>
      </c>
      <c r="V4" s="160">
        <f t="shared" si="0"/>
        <v>3582</v>
      </c>
      <c r="W4" s="149">
        <v>10</v>
      </c>
      <c r="X4" s="149" t="s">
        <v>28</v>
      </c>
      <c r="Y4" s="149" t="s">
        <v>55</v>
      </c>
      <c r="Z4" s="149" t="s">
        <v>76</v>
      </c>
      <c r="AA4" s="149" t="s">
        <v>43</v>
      </c>
      <c r="AB4" s="149" t="s">
        <v>178</v>
      </c>
      <c r="AE4" s="167" t="s">
        <v>23</v>
      </c>
      <c r="AG4" s="162" t="s">
        <v>269</v>
      </c>
      <c r="AH4" s="162" t="s">
        <v>270</v>
      </c>
      <c r="AJ4" s="172" t="s">
        <v>37</v>
      </c>
      <c r="AL4" s="168" t="s">
        <v>219</v>
      </c>
      <c r="AN4" s="173" t="s">
        <v>220</v>
      </c>
      <c r="AP4" s="168" t="s">
        <v>221</v>
      </c>
      <c r="AR4" s="168" t="s">
        <v>222</v>
      </c>
      <c r="AT4" s="173"/>
      <c r="AV4" s="168" t="s">
        <v>39</v>
      </c>
      <c r="AX4" s="169">
        <v>75</v>
      </c>
      <c r="AY4" s="170">
        <v>42</v>
      </c>
      <c r="AZ4" s="170">
        <v>76</v>
      </c>
      <c r="BA4" s="171">
        <v>39</v>
      </c>
    </row>
    <row r="5" spans="1:53" x14ac:dyDescent="0.15">
      <c r="A5" s="149" t="s">
        <v>40</v>
      </c>
      <c r="B5" s="149" t="s">
        <v>174</v>
      </c>
      <c r="C5" s="149">
        <v>2020</v>
      </c>
      <c r="D5" s="157" t="s">
        <v>398</v>
      </c>
      <c r="E5" s="149" t="s">
        <v>264</v>
      </c>
      <c r="F5" s="149" t="s">
        <v>265</v>
      </c>
      <c r="G5" s="149" t="s">
        <v>25</v>
      </c>
      <c r="H5" s="149" t="s">
        <v>113</v>
      </c>
      <c r="I5" s="149" t="s">
        <v>111</v>
      </c>
      <c r="J5" s="77" t="s">
        <v>27</v>
      </c>
      <c r="K5" s="77" t="s">
        <v>112</v>
      </c>
      <c r="L5" s="149">
        <v>1</v>
      </c>
      <c r="N5" s="149">
        <v>4</v>
      </c>
      <c r="O5" s="149">
        <v>0.85</v>
      </c>
      <c r="P5" s="149">
        <v>0.8</v>
      </c>
      <c r="Q5" s="158">
        <f t="shared" si="1"/>
        <v>0.82499999999999996</v>
      </c>
      <c r="R5" s="149">
        <v>15.4</v>
      </c>
      <c r="S5" s="149">
        <v>104</v>
      </c>
      <c r="T5" s="159">
        <f t="shared" si="2"/>
        <v>33</v>
      </c>
      <c r="U5" s="149">
        <v>398</v>
      </c>
      <c r="V5" s="160">
        <f t="shared" si="0"/>
        <v>3283.5</v>
      </c>
      <c r="W5" s="149">
        <v>10</v>
      </c>
      <c r="X5" s="149" t="s">
        <v>28</v>
      </c>
      <c r="Y5" s="149" t="s">
        <v>55</v>
      </c>
      <c r="Z5" s="149" t="s">
        <v>76</v>
      </c>
      <c r="AA5" s="149" t="s">
        <v>43</v>
      </c>
      <c r="AB5" s="149" t="s">
        <v>178</v>
      </c>
      <c r="AE5" s="167" t="s">
        <v>40</v>
      </c>
      <c r="AG5" s="162" t="s">
        <v>166</v>
      </c>
      <c r="AH5" s="162" t="s">
        <v>271</v>
      </c>
      <c r="AJ5" s="173"/>
      <c r="AL5" s="168" t="s">
        <v>113</v>
      </c>
      <c r="AN5" s="174" t="s">
        <v>111</v>
      </c>
      <c r="AP5" s="168" t="s">
        <v>224</v>
      </c>
      <c r="AR5" s="168" t="s">
        <v>42</v>
      </c>
      <c r="AV5" s="168" t="s">
        <v>43</v>
      </c>
      <c r="AX5" s="169">
        <v>84</v>
      </c>
      <c r="AY5" s="170">
        <v>39</v>
      </c>
      <c r="AZ5" s="170">
        <v>84</v>
      </c>
      <c r="BA5" s="171">
        <v>36</v>
      </c>
    </row>
    <row r="6" spans="1:53" x14ac:dyDescent="0.15">
      <c r="A6" s="149" t="s">
        <v>40</v>
      </c>
      <c r="B6" s="149" t="s">
        <v>174</v>
      </c>
      <c r="C6" s="149">
        <v>2020</v>
      </c>
      <c r="D6" s="157" t="s">
        <v>398</v>
      </c>
      <c r="E6" s="149" t="s">
        <v>264</v>
      </c>
      <c r="F6" s="149" t="s">
        <v>265</v>
      </c>
      <c r="G6" s="149" t="s">
        <v>25</v>
      </c>
      <c r="H6" s="149" t="s">
        <v>113</v>
      </c>
      <c r="I6" s="149" t="s">
        <v>111</v>
      </c>
      <c r="J6" s="77" t="s">
        <v>27</v>
      </c>
      <c r="K6" s="77" t="s">
        <v>112</v>
      </c>
      <c r="L6" s="149">
        <v>2</v>
      </c>
      <c r="N6" s="149">
        <v>4</v>
      </c>
      <c r="O6" s="149">
        <v>0.95</v>
      </c>
      <c r="P6" s="149">
        <v>0.9</v>
      </c>
      <c r="Q6" s="158">
        <f t="shared" si="1"/>
        <v>0.92500000000000004</v>
      </c>
      <c r="R6" s="149">
        <v>14.5</v>
      </c>
      <c r="S6" s="149">
        <v>104</v>
      </c>
      <c r="T6" s="159">
        <f t="shared" si="2"/>
        <v>33</v>
      </c>
      <c r="U6" s="149">
        <v>398</v>
      </c>
      <c r="V6" s="160">
        <f t="shared" si="0"/>
        <v>3283.5</v>
      </c>
      <c r="W6" s="149">
        <v>10</v>
      </c>
      <c r="X6" s="149" t="s">
        <v>28</v>
      </c>
      <c r="Y6" s="149" t="s">
        <v>55</v>
      </c>
      <c r="Z6" s="149" t="s">
        <v>76</v>
      </c>
      <c r="AA6" s="149" t="s">
        <v>43</v>
      </c>
      <c r="AB6" s="149" t="s">
        <v>178</v>
      </c>
      <c r="AE6" s="167" t="s">
        <v>44</v>
      </c>
      <c r="AG6" s="162" t="s">
        <v>272</v>
      </c>
      <c r="AH6" s="162" t="s">
        <v>273</v>
      </c>
      <c r="AL6" s="168" t="s">
        <v>226</v>
      </c>
      <c r="AN6" s="174" t="s">
        <v>170</v>
      </c>
      <c r="AP6" s="168" t="s">
        <v>41</v>
      </c>
      <c r="AR6" s="168" t="s">
        <v>46</v>
      </c>
      <c r="AV6" s="168" t="s">
        <v>47</v>
      </c>
      <c r="AX6" s="169">
        <v>97</v>
      </c>
      <c r="AY6" s="170">
        <v>36</v>
      </c>
      <c r="AZ6" s="170">
        <v>99</v>
      </c>
      <c r="BA6" s="171">
        <v>33</v>
      </c>
    </row>
    <row r="7" spans="1:53" x14ac:dyDescent="0.15">
      <c r="A7" s="149" t="s">
        <v>40</v>
      </c>
      <c r="B7" s="149" t="s">
        <v>174</v>
      </c>
      <c r="C7" s="149">
        <v>2020</v>
      </c>
      <c r="D7" s="157" t="s">
        <v>398</v>
      </c>
      <c r="E7" s="149" t="s">
        <v>264</v>
      </c>
      <c r="F7" s="149" t="s">
        <v>265</v>
      </c>
      <c r="G7" s="149" t="s">
        <v>25</v>
      </c>
      <c r="H7" s="149" t="s">
        <v>113</v>
      </c>
      <c r="I7" s="149" t="s">
        <v>111</v>
      </c>
      <c r="J7" s="77" t="s">
        <v>27</v>
      </c>
      <c r="K7" s="77" t="s">
        <v>112</v>
      </c>
      <c r="L7" s="149">
        <v>3</v>
      </c>
      <c r="N7" s="149">
        <v>4</v>
      </c>
      <c r="O7" s="149">
        <v>0.9</v>
      </c>
      <c r="P7" s="149">
        <v>1</v>
      </c>
      <c r="Q7" s="158">
        <f t="shared" si="1"/>
        <v>0.95</v>
      </c>
      <c r="R7" s="149">
        <v>14.2</v>
      </c>
      <c r="S7" s="149">
        <v>99</v>
      </c>
      <c r="T7" s="159">
        <f t="shared" si="2"/>
        <v>33</v>
      </c>
      <c r="U7" s="149">
        <v>398</v>
      </c>
      <c r="V7" s="160">
        <f t="shared" si="0"/>
        <v>3283.5</v>
      </c>
      <c r="W7" s="149">
        <v>10</v>
      </c>
      <c r="X7" s="149" t="s">
        <v>28</v>
      </c>
      <c r="Y7" s="149" t="s">
        <v>55</v>
      </c>
      <c r="Z7" s="149" t="s">
        <v>76</v>
      </c>
      <c r="AA7" s="149" t="s">
        <v>43</v>
      </c>
      <c r="AB7" s="149" t="s">
        <v>178</v>
      </c>
      <c r="AE7" s="167" t="s">
        <v>48</v>
      </c>
      <c r="AG7" s="162" t="s">
        <v>274</v>
      </c>
      <c r="AH7" s="162" t="s">
        <v>266</v>
      </c>
      <c r="AL7" s="168" t="s">
        <v>228</v>
      </c>
      <c r="AP7" s="168" t="s">
        <v>45</v>
      </c>
      <c r="AR7" s="168" t="s">
        <v>229</v>
      </c>
      <c r="AV7" s="168" t="s">
        <v>51</v>
      </c>
      <c r="AX7" s="169">
        <v>109</v>
      </c>
      <c r="AY7" s="170">
        <v>33</v>
      </c>
      <c r="AZ7" s="170">
        <v>113</v>
      </c>
      <c r="BA7" s="171">
        <v>30</v>
      </c>
    </row>
    <row r="8" spans="1:53" x14ac:dyDescent="0.15">
      <c r="A8" s="149" t="s">
        <v>40</v>
      </c>
      <c r="B8" s="149" t="s">
        <v>174</v>
      </c>
      <c r="C8" s="149">
        <v>2020</v>
      </c>
      <c r="D8" s="157" t="s">
        <v>398</v>
      </c>
      <c r="E8" s="149" t="s">
        <v>264</v>
      </c>
      <c r="F8" s="149" t="s">
        <v>265</v>
      </c>
      <c r="G8" s="149" t="s">
        <v>25</v>
      </c>
      <c r="H8" s="149" t="s">
        <v>215</v>
      </c>
      <c r="I8" s="149" t="s">
        <v>111</v>
      </c>
      <c r="J8" s="77" t="s">
        <v>41</v>
      </c>
      <c r="K8" s="77" t="s">
        <v>42</v>
      </c>
      <c r="L8" s="149">
        <v>1</v>
      </c>
      <c r="N8" s="149">
        <v>1</v>
      </c>
      <c r="O8" s="149">
        <v>0.9</v>
      </c>
      <c r="P8" s="149">
        <v>0.9</v>
      </c>
      <c r="Q8" s="158">
        <f t="shared" si="1"/>
        <v>0.9</v>
      </c>
      <c r="R8" s="149">
        <v>15.3</v>
      </c>
      <c r="S8" s="149">
        <v>126</v>
      </c>
      <c r="T8" s="159">
        <f t="shared" si="2"/>
        <v>27</v>
      </c>
      <c r="U8" s="149">
        <v>98</v>
      </c>
      <c r="V8" s="160">
        <f t="shared" si="0"/>
        <v>2646</v>
      </c>
      <c r="W8" s="149">
        <v>10</v>
      </c>
      <c r="X8" s="149" t="s">
        <v>35</v>
      </c>
      <c r="Y8" s="149" t="s">
        <v>55</v>
      </c>
      <c r="Z8" s="149" t="s">
        <v>76</v>
      </c>
      <c r="AA8" s="149" t="s">
        <v>43</v>
      </c>
      <c r="AB8" s="149" t="s">
        <v>178</v>
      </c>
      <c r="AE8" s="167" t="s">
        <v>46</v>
      </c>
      <c r="AG8" s="162" t="s">
        <v>275</v>
      </c>
      <c r="AH8" s="162" t="s">
        <v>276</v>
      </c>
      <c r="AL8" s="168" t="s">
        <v>164</v>
      </c>
      <c r="AP8" s="168" t="s">
        <v>49</v>
      </c>
      <c r="AR8" s="168" t="s">
        <v>67</v>
      </c>
      <c r="AV8" s="168" t="s">
        <v>82</v>
      </c>
      <c r="AX8" s="169">
        <v>119</v>
      </c>
      <c r="AY8" s="170">
        <v>30</v>
      </c>
      <c r="AZ8" s="170">
        <v>121</v>
      </c>
      <c r="BA8" s="171">
        <v>27</v>
      </c>
    </row>
    <row r="9" spans="1:53" x14ac:dyDescent="0.15">
      <c r="A9" s="149" t="s">
        <v>40</v>
      </c>
      <c r="B9" s="149" t="s">
        <v>174</v>
      </c>
      <c r="C9" s="149">
        <v>2020</v>
      </c>
      <c r="D9" s="157" t="s">
        <v>398</v>
      </c>
      <c r="E9" s="149" t="s">
        <v>264</v>
      </c>
      <c r="F9" s="149" t="s">
        <v>265</v>
      </c>
      <c r="G9" s="149" t="s">
        <v>25</v>
      </c>
      <c r="H9" s="149" t="s">
        <v>215</v>
      </c>
      <c r="I9" s="149" t="s">
        <v>111</v>
      </c>
      <c r="J9" s="77" t="s">
        <v>41</v>
      </c>
      <c r="K9" s="77" t="s">
        <v>42</v>
      </c>
      <c r="L9" s="149">
        <v>2</v>
      </c>
      <c r="N9" s="149">
        <v>1</v>
      </c>
      <c r="O9" s="149">
        <v>1.05</v>
      </c>
      <c r="P9" s="149">
        <v>1.05</v>
      </c>
      <c r="Q9" s="158">
        <f t="shared" si="1"/>
        <v>1.05</v>
      </c>
      <c r="R9" s="149">
        <v>14</v>
      </c>
      <c r="S9" s="149">
        <v>118</v>
      </c>
      <c r="T9" s="159">
        <f t="shared" si="2"/>
        <v>30</v>
      </c>
      <c r="U9" s="149">
        <v>98</v>
      </c>
      <c r="V9" s="160">
        <f t="shared" si="0"/>
        <v>2940</v>
      </c>
      <c r="W9" s="149">
        <v>10</v>
      </c>
      <c r="X9" s="149" t="s">
        <v>35</v>
      </c>
      <c r="Y9" s="149" t="s">
        <v>55</v>
      </c>
      <c r="Z9" s="149" t="s">
        <v>76</v>
      </c>
      <c r="AA9" s="149" t="s">
        <v>43</v>
      </c>
      <c r="AB9" s="149" t="s">
        <v>178</v>
      </c>
      <c r="AE9" s="167" t="s">
        <v>232</v>
      </c>
      <c r="AG9" s="162" t="s">
        <v>277</v>
      </c>
      <c r="AH9" s="162" t="s">
        <v>265</v>
      </c>
      <c r="AL9" s="80" t="s">
        <v>235</v>
      </c>
      <c r="AP9" s="168" t="s">
        <v>80</v>
      </c>
      <c r="AR9" s="168" t="s">
        <v>236</v>
      </c>
      <c r="AV9" s="168" t="s">
        <v>86</v>
      </c>
      <c r="AX9" s="169">
        <v>128</v>
      </c>
      <c r="AY9" s="170">
        <v>27</v>
      </c>
      <c r="AZ9" s="170">
        <v>129</v>
      </c>
      <c r="BA9" s="171">
        <v>25</v>
      </c>
    </row>
    <row r="10" spans="1:53" x14ac:dyDescent="0.15">
      <c r="A10" s="149" t="s">
        <v>40</v>
      </c>
      <c r="B10" s="149" t="s">
        <v>174</v>
      </c>
      <c r="C10" s="149">
        <v>2020</v>
      </c>
      <c r="D10" s="157" t="s">
        <v>398</v>
      </c>
      <c r="E10" s="149" t="s">
        <v>264</v>
      </c>
      <c r="F10" s="149" t="s">
        <v>265</v>
      </c>
      <c r="G10" s="149" t="s">
        <v>25</v>
      </c>
      <c r="H10" s="149" t="s">
        <v>215</v>
      </c>
      <c r="I10" s="149" t="s">
        <v>111</v>
      </c>
      <c r="J10" s="77" t="s">
        <v>41</v>
      </c>
      <c r="K10" s="77" t="s">
        <v>42</v>
      </c>
      <c r="L10" s="149">
        <v>3</v>
      </c>
      <c r="N10" s="149">
        <v>1</v>
      </c>
      <c r="O10" s="149">
        <v>1.2</v>
      </c>
      <c r="P10" s="149">
        <v>1.25</v>
      </c>
      <c r="Q10" s="158">
        <f t="shared" si="1"/>
        <v>1.2250000000000001</v>
      </c>
      <c r="R10" s="149">
        <v>13.8</v>
      </c>
      <c r="S10" s="149">
        <v>120</v>
      </c>
      <c r="T10" s="159">
        <f t="shared" si="2"/>
        <v>30</v>
      </c>
      <c r="U10" s="149">
        <v>98</v>
      </c>
      <c r="V10" s="160">
        <f t="shared" si="0"/>
        <v>2940</v>
      </c>
      <c r="W10" s="149">
        <v>10</v>
      </c>
      <c r="X10" s="149" t="s">
        <v>35</v>
      </c>
      <c r="Y10" s="149" t="s">
        <v>55</v>
      </c>
      <c r="Z10" s="149" t="s">
        <v>76</v>
      </c>
      <c r="AA10" s="149" t="s">
        <v>43</v>
      </c>
      <c r="AB10" s="149" t="s">
        <v>178</v>
      </c>
      <c r="AE10" s="167" t="s">
        <v>237</v>
      </c>
      <c r="AG10" s="162" t="s">
        <v>264</v>
      </c>
      <c r="AH10" s="168" t="s">
        <v>265</v>
      </c>
      <c r="AP10" s="168" t="s">
        <v>84</v>
      </c>
      <c r="AR10" s="168" t="s">
        <v>239</v>
      </c>
      <c r="AV10" s="168" t="s">
        <v>90</v>
      </c>
      <c r="AX10" s="169">
        <v>138</v>
      </c>
      <c r="AY10" s="170">
        <v>25</v>
      </c>
      <c r="AZ10" s="170">
        <v>138</v>
      </c>
      <c r="BA10" s="171">
        <v>22</v>
      </c>
    </row>
    <row r="11" spans="1:53" x14ac:dyDescent="0.15">
      <c r="A11" s="149" t="s">
        <v>40</v>
      </c>
      <c r="B11" s="149" t="s">
        <v>174</v>
      </c>
      <c r="C11" s="149">
        <v>2020</v>
      </c>
      <c r="D11" s="157" t="s">
        <v>398</v>
      </c>
      <c r="E11" s="149" t="s">
        <v>264</v>
      </c>
      <c r="F11" s="149" t="s">
        <v>265</v>
      </c>
      <c r="G11" s="149" t="s">
        <v>25</v>
      </c>
      <c r="H11" s="149" t="s">
        <v>164</v>
      </c>
      <c r="I11" s="149" t="s">
        <v>111</v>
      </c>
      <c r="J11" s="77" t="s">
        <v>27</v>
      </c>
      <c r="K11" s="77" t="s">
        <v>112</v>
      </c>
      <c r="L11" s="149">
        <v>1</v>
      </c>
      <c r="N11" s="149">
        <v>1</v>
      </c>
      <c r="O11" s="149">
        <v>0.95</v>
      </c>
      <c r="P11" s="149">
        <v>0.95</v>
      </c>
      <c r="Q11" s="158">
        <f t="shared" si="1"/>
        <v>0.95</v>
      </c>
      <c r="R11" s="149">
        <v>15.7</v>
      </c>
      <c r="S11" s="149">
        <v>130</v>
      </c>
      <c r="T11" s="159">
        <f t="shared" si="2"/>
        <v>25</v>
      </c>
      <c r="U11" s="149">
        <v>128</v>
      </c>
      <c r="V11" s="160">
        <f t="shared" si="0"/>
        <v>3200</v>
      </c>
      <c r="W11" s="149">
        <v>10</v>
      </c>
      <c r="X11" s="149" t="s">
        <v>35</v>
      </c>
      <c r="Y11" s="149" t="s">
        <v>55</v>
      </c>
      <c r="Z11" s="149" t="s">
        <v>76</v>
      </c>
      <c r="AA11" s="149" t="s">
        <v>43</v>
      </c>
      <c r="AB11" s="149" t="s">
        <v>178</v>
      </c>
      <c r="AE11" s="167" t="s">
        <v>54</v>
      </c>
      <c r="AG11" s="162" t="s">
        <v>181</v>
      </c>
      <c r="AH11" s="168" t="s">
        <v>278</v>
      </c>
      <c r="AP11" s="168" t="s">
        <v>88</v>
      </c>
      <c r="AR11" s="168" t="s">
        <v>242</v>
      </c>
      <c r="AV11" s="168" t="s">
        <v>55</v>
      </c>
      <c r="AX11" s="169">
        <v>151</v>
      </c>
      <c r="AY11" s="170">
        <v>22</v>
      </c>
      <c r="AZ11" s="170">
        <v>152</v>
      </c>
      <c r="BA11" s="171">
        <v>18</v>
      </c>
    </row>
    <row r="12" spans="1:53" x14ac:dyDescent="0.15">
      <c r="A12" s="149" t="s">
        <v>40</v>
      </c>
      <c r="B12" s="149" t="s">
        <v>174</v>
      </c>
      <c r="C12" s="149">
        <v>2020</v>
      </c>
      <c r="D12" s="157" t="s">
        <v>398</v>
      </c>
      <c r="E12" s="149" t="s">
        <v>264</v>
      </c>
      <c r="F12" s="149" t="s">
        <v>265</v>
      </c>
      <c r="G12" s="149" t="s">
        <v>25</v>
      </c>
      <c r="H12" s="149" t="s">
        <v>164</v>
      </c>
      <c r="I12" s="149" t="s">
        <v>111</v>
      </c>
      <c r="J12" s="77" t="s">
        <v>27</v>
      </c>
      <c r="K12" s="77" t="s">
        <v>112</v>
      </c>
      <c r="L12" s="149">
        <v>2</v>
      </c>
      <c r="N12" s="149">
        <v>1</v>
      </c>
      <c r="O12" s="149">
        <v>0.9</v>
      </c>
      <c r="P12" s="149">
        <v>0.85</v>
      </c>
      <c r="Q12" s="158">
        <f t="shared" si="1"/>
        <v>0.875</v>
      </c>
      <c r="R12" s="149">
        <v>13.3</v>
      </c>
      <c r="S12" s="149">
        <v>122</v>
      </c>
      <c r="T12" s="159">
        <f t="shared" si="2"/>
        <v>27</v>
      </c>
      <c r="U12" s="149">
        <v>128</v>
      </c>
      <c r="V12" s="160">
        <f t="shared" si="0"/>
        <v>3456</v>
      </c>
      <c r="W12" s="149">
        <v>10</v>
      </c>
      <c r="X12" s="149" t="s">
        <v>35</v>
      </c>
      <c r="Y12" s="149" t="s">
        <v>55</v>
      </c>
      <c r="Z12" s="149" t="s">
        <v>76</v>
      </c>
      <c r="AA12" s="149" t="s">
        <v>43</v>
      </c>
      <c r="AB12" s="149" t="s">
        <v>178</v>
      </c>
      <c r="AE12" s="167" t="s">
        <v>243</v>
      </c>
      <c r="AG12" s="168"/>
      <c r="AH12" s="168"/>
      <c r="AP12" s="168" t="s">
        <v>53</v>
      </c>
      <c r="AR12" s="168" t="s">
        <v>244</v>
      </c>
      <c r="AV12" s="168" t="s">
        <v>58</v>
      </c>
      <c r="AX12" s="175">
        <v>180</v>
      </c>
      <c r="AY12" s="176">
        <v>18</v>
      </c>
      <c r="AZ12" s="176">
        <v>181</v>
      </c>
      <c r="BA12" s="177">
        <v>16</v>
      </c>
    </row>
    <row r="13" spans="1:53" x14ac:dyDescent="0.15">
      <c r="A13" s="149" t="s">
        <v>40</v>
      </c>
      <c r="B13" s="149" t="s">
        <v>174</v>
      </c>
      <c r="C13" s="149">
        <v>2020</v>
      </c>
      <c r="D13" s="157" t="s">
        <v>398</v>
      </c>
      <c r="E13" s="149" t="s">
        <v>264</v>
      </c>
      <c r="F13" s="149" t="s">
        <v>265</v>
      </c>
      <c r="G13" s="149" t="s">
        <v>25</v>
      </c>
      <c r="H13" s="149" t="s">
        <v>164</v>
      </c>
      <c r="I13" s="149" t="s">
        <v>111</v>
      </c>
      <c r="J13" s="77" t="s">
        <v>27</v>
      </c>
      <c r="K13" s="77" t="s">
        <v>112</v>
      </c>
      <c r="L13" s="149">
        <v>3</v>
      </c>
      <c r="N13" s="149">
        <v>1</v>
      </c>
      <c r="O13" s="149">
        <v>0.8</v>
      </c>
      <c r="P13" s="149">
        <v>0.9</v>
      </c>
      <c r="Q13" s="158">
        <f t="shared" si="1"/>
        <v>0.85000000000000009</v>
      </c>
      <c r="R13" s="149">
        <v>15.2</v>
      </c>
      <c r="S13" s="149">
        <v>122</v>
      </c>
      <c r="T13" s="159">
        <f t="shared" si="2"/>
        <v>27</v>
      </c>
      <c r="U13" s="149">
        <v>128</v>
      </c>
      <c r="V13" s="160">
        <f t="shared" si="0"/>
        <v>3456</v>
      </c>
      <c r="W13" s="149">
        <v>10</v>
      </c>
      <c r="X13" s="149" t="s">
        <v>35</v>
      </c>
      <c r="Y13" s="149" t="s">
        <v>55</v>
      </c>
      <c r="Z13" s="149" t="s">
        <v>76</v>
      </c>
      <c r="AA13" s="149" t="s">
        <v>43</v>
      </c>
      <c r="AB13" s="149" t="s">
        <v>178</v>
      </c>
      <c r="AE13" s="167" t="s">
        <v>245</v>
      </c>
      <c r="AG13" s="168"/>
      <c r="AH13" s="168"/>
      <c r="AP13" s="168" t="s">
        <v>57</v>
      </c>
      <c r="AR13" s="168" t="s">
        <v>237</v>
      </c>
      <c r="AV13" s="168" t="s">
        <v>61</v>
      </c>
    </row>
    <row r="14" spans="1:53" x14ac:dyDescent="0.15">
      <c r="A14" s="149" t="s">
        <v>40</v>
      </c>
      <c r="B14" s="149" t="s">
        <v>174</v>
      </c>
      <c r="C14" s="149">
        <v>2020</v>
      </c>
      <c r="D14" s="157" t="s">
        <v>398</v>
      </c>
      <c r="E14" s="149" t="s">
        <v>264</v>
      </c>
      <c r="F14" s="149" t="s">
        <v>265</v>
      </c>
      <c r="G14" s="149" t="s">
        <v>25</v>
      </c>
      <c r="H14" s="149" t="s">
        <v>164</v>
      </c>
      <c r="I14" s="149" t="s">
        <v>111</v>
      </c>
      <c r="J14" s="77" t="s">
        <v>27</v>
      </c>
      <c r="K14" s="77" t="s">
        <v>112</v>
      </c>
      <c r="L14" s="149">
        <v>1</v>
      </c>
      <c r="N14" s="149">
        <v>4</v>
      </c>
      <c r="O14" s="149">
        <v>0.8</v>
      </c>
      <c r="P14" s="149">
        <v>0.8</v>
      </c>
      <c r="Q14" s="158">
        <f t="shared" si="1"/>
        <v>0.8</v>
      </c>
      <c r="R14" s="149">
        <v>15.6</v>
      </c>
      <c r="S14" s="149">
        <v>106</v>
      </c>
      <c r="T14" s="159">
        <f t="shared" si="2"/>
        <v>33</v>
      </c>
      <c r="U14" s="149">
        <v>498</v>
      </c>
      <c r="V14" s="160">
        <f t="shared" si="0"/>
        <v>4108.5</v>
      </c>
      <c r="W14" s="149">
        <v>10</v>
      </c>
      <c r="X14" s="149" t="s">
        <v>28</v>
      </c>
      <c r="Y14" s="149" t="s">
        <v>55</v>
      </c>
      <c r="Z14" s="149" t="s">
        <v>76</v>
      </c>
      <c r="AA14" s="149" t="s">
        <v>43</v>
      </c>
      <c r="AB14" s="149" t="s">
        <v>178</v>
      </c>
      <c r="AE14" s="167" t="s">
        <v>81</v>
      </c>
      <c r="AG14" s="168"/>
      <c r="AH14" s="168"/>
      <c r="AP14" s="168" t="s">
        <v>60</v>
      </c>
      <c r="AR14" s="168" t="s">
        <v>246</v>
      </c>
      <c r="AV14" s="168" t="s">
        <v>64</v>
      </c>
    </row>
    <row r="15" spans="1:53" x14ac:dyDescent="0.15">
      <c r="A15" s="149" t="s">
        <v>40</v>
      </c>
      <c r="B15" s="149" t="s">
        <v>174</v>
      </c>
      <c r="C15" s="149">
        <v>2020</v>
      </c>
      <c r="D15" s="157" t="s">
        <v>398</v>
      </c>
      <c r="E15" s="149" t="s">
        <v>264</v>
      </c>
      <c r="F15" s="149" t="s">
        <v>265</v>
      </c>
      <c r="G15" s="149" t="s">
        <v>25</v>
      </c>
      <c r="H15" s="149" t="s">
        <v>164</v>
      </c>
      <c r="I15" s="149" t="s">
        <v>111</v>
      </c>
      <c r="J15" s="77" t="s">
        <v>27</v>
      </c>
      <c r="K15" s="77" t="s">
        <v>112</v>
      </c>
      <c r="L15" s="149">
        <v>2</v>
      </c>
      <c r="N15" s="149">
        <v>4</v>
      </c>
      <c r="O15" s="149">
        <v>0.9</v>
      </c>
      <c r="P15" s="149">
        <v>0.95</v>
      </c>
      <c r="Q15" s="158">
        <f t="shared" si="1"/>
        <v>0.92500000000000004</v>
      </c>
      <c r="R15" s="149">
        <v>14.7</v>
      </c>
      <c r="S15" s="149">
        <v>106</v>
      </c>
      <c r="T15" s="159">
        <f t="shared" si="2"/>
        <v>33</v>
      </c>
      <c r="U15" s="149">
        <v>498</v>
      </c>
      <c r="V15" s="160">
        <f t="shared" si="0"/>
        <v>4108.5</v>
      </c>
      <c r="W15" s="149">
        <v>10</v>
      </c>
      <c r="X15" s="149" t="s">
        <v>28</v>
      </c>
      <c r="Y15" s="149" t="s">
        <v>55</v>
      </c>
      <c r="Z15" s="149" t="s">
        <v>76</v>
      </c>
      <c r="AA15" s="149" t="s">
        <v>43</v>
      </c>
      <c r="AB15" s="149" t="s">
        <v>178</v>
      </c>
      <c r="AE15" s="167" t="s">
        <v>247</v>
      </c>
      <c r="AG15" s="168"/>
      <c r="AH15" s="168"/>
      <c r="AP15" s="168" t="s">
        <v>63</v>
      </c>
      <c r="AR15" s="168" t="s">
        <v>66</v>
      </c>
      <c r="AV15" s="168" t="s">
        <v>91</v>
      </c>
    </row>
    <row r="16" spans="1:53" x14ac:dyDescent="0.15">
      <c r="A16" s="149" t="s">
        <v>40</v>
      </c>
      <c r="B16" s="149" t="s">
        <v>174</v>
      </c>
      <c r="C16" s="149">
        <v>2020</v>
      </c>
      <c r="D16" s="157" t="s">
        <v>398</v>
      </c>
      <c r="E16" s="149" t="s">
        <v>264</v>
      </c>
      <c r="F16" s="149" t="s">
        <v>265</v>
      </c>
      <c r="G16" s="149" t="s">
        <v>25</v>
      </c>
      <c r="H16" s="149" t="s">
        <v>164</v>
      </c>
      <c r="I16" s="149" t="s">
        <v>111</v>
      </c>
      <c r="J16" s="77" t="s">
        <v>27</v>
      </c>
      <c r="K16" s="77" t="s">
        <v>112</v>
      </c>
      <c r="L16" s="149">
        <v>3</v>
      </c>
      <c r="N16" s="149">
        <v>4</v>
      </c>
      <c r="O16" s="149">
        <v>0.85</v>
      </c>
      <c r="P16" s="149">
        <v>0.9</v>
      </c>
      <c r="Q16" s="158">
        <f t="shared" si="1"/>
        <v>0.875</v>
      </c>
      <c r="R16" s="149">
        <v>14.9</v>
      </c>
      <c r="S16" s="149">
        <v>97</v>
      </c>
      <c r="T16" s="159">
        <f t="shared" si="2"/>
        <v>36</v>
      </c>
      <c r="U16" s="149">
        <v>498</v>
      </c>
      <c r="V16" s="160">
        <f t="shared" si="0"/>
        <v>4482</v>
      </c>
      <c r="W16" s="149">
        <v>10</v>
      </c>
      <c r="X16" s="149" t="s">
        <v>28</v>
      </c>
      <c r="Y16" s="149" t="s">
        <v>55</v>
      </c>
      <c r="Z16" s="149" t="s">
        <v>76</v>
      </c>
      <c r="AA16" s="149" t="s">
        <v>43</v>
      </c>
      <c r="AB16" s="149" t="s">
        <v>178</v>
      </c>
      <c r="AE16" s="167" t="s">
        <v>248</v>
      </c>
      <c r="AG16" s="173"/>
      <c r="AH16" s="173"/>
      <c r="AP16" s="168" t="s">
        <v>66</v>
      </c>
      <c r="AR16" s="168" t="s">
        <v>50</v>
      </c>
      <c r="AV16" s="168" t="s">
        <v>70</v>
      </c>
    </row>
    <row r="17" spans="1:48" x14ac:dyDescent="0.15">
      <c r="A17" s="149" t="s">
        <v>40</v>
      </c>
      <c r="B17" s="149" t="s">
        <v>174</v>
      </c>
      <c r="C17" s="149">
        <v>2020</v>
      </c>
      <c r="D17" s="157" t="s">
        <v>398</v>
      </c>
      <c r="E17" s="149" t="s">
        <v>264</v>
      </c>
      <c r="F17" s="149" t="s">
        <v>265</v>
      </c>
      <c r="G17" s="149" t="s">
        <v>25</v>
      </c>
      <c r="H17" s="149" t="s">
        <v>164</v>
      </c>
      <c r="I17" s="149" t="s">
        <v>111</v>
      </c>
      <c r="J17" s="77" t="s">
        <v>27</v>
      </c>
      <c r="K17" s="77" t="s">
        <v>112</v>
      </c>
      <c r="L17" s="149">
        <v>1</v>
      </c>
      <c r="N17" s="149">
        <v>8</v>
      </c>
      <c r="O17" s="149">
        <v>0.7</v>
      </c>
      <c r="P17" s="149">
        <v>0.65</v>
      </c>
      <c r="Q17" s="158">
        <f t="shared" si="1"/>
        <v>0.67500000000000004</v>
      </c>
      <c r="R17" s="149">
        <v>17.5</v>
      </c>
      <c r="S17" s="149">
        <v>99</v>
      </c>
      <c r="T17" s="159">
        <f t="shared" si="2"/>
        <v>33</v>
      </c>
      <c r="U17" s="149">
        <v>798</v>
      </c>
      <c r="V17" s="160">
        <f t="shared" si="0"/>
        <v>3291.75</v>
      </c>
      <c r="W17" s="149">
        <v>10</v>
      </c>
      <c r="X17" s="149" t="s">
        <v>35</v>
      </c>
      <c r="Y17" s="149" t="s">
        <v>55</v>
      </c>
      <c r="Z17" s="149" t="s">
        <v>76</v>
      </c>
      <c r="AA17" s="149" t="s">
        <v>43</v>
      </c>
      <c r="AB17" s="149" t="s">
        <v>178</v>
      </c>
      <c r="AE17" s="167" t="s">
        <v>249</v>
      </c>
      <c r="AP17" s="172" t="s">
        <v>250</v>
      </c>
      <c r="AR17" s="168" t="s">
        <v>81</v>
      </c>
      <c r="AV17" s="168" t="s">
        <v>72</v>
      </c>
    </row>
    <row r="18" spans="1:48" x14ac:dyDescent="0.15">
      <c r="A18" s="149" t="s">
        <v>40</v>
      </c>
      <c r="B18" s="149" t="s">
        <v>174</v>
      </c>
      <c r="C18" s="149">
        <v>2020</v>
      </c>
      <c r="D18" s="157" t="s">
        <v>398</v>
      </c>
      <c r="E18" s="149" t="s">
        <v>264</v>
      </c>
      <c r="F18" s="149" t="s">
        <v>265</v>
      </c>
      <c r="G18" s="149" t="s">
        <v>25</v>
      </c>
      <c r="H18" s="149" t="s">
        <v>164</v>
      </c>
      <c r="I18" s="149" t="s">
        <v>111</v>
      </c>
      <c r="J18" s="77" t="s">
        <v>27</v>
      </c>
      <c r="K18" s="77" t="s">
        <v>112</v>
      </c>
      <c r="L18" s="149">
        <v>2</v>
      </c>
      <c r="N18" s="149">
        <v>8</v>
      </c>
      <c r="O18" s="149">
        <v>0.75</v>
      </c>
      <c r="P18" s="149">
        <v>0.75</v>
      </c>
      <c r="Q18" s="158">
        <f t="shared" si="1"/>
        <v>0.75</v>
      </c>
      <c r="R18" s="149">
        <v>16.899999999999999</v>
      </c>
      <c r="S18" s="149">
        <v>94</v>
      </c>
      <c r="T18" s="159">
        <f t="shared" si="2"/>
        <v>36</v>
      </c>
      <c r="U18" s="149">
        <v>798</v>
      </c>
      <c r="V18" s="160">
        <f t="shared" si="0"/>
        <v>3591</v>
      </c>
      <c r="W18" s="149">
        <v>10</v>
      </c>
      <c r="X18" s="149" t="s">
        <v>35</v>
      </c>
      <c r="Y18" s="149" t="s">
        <v>55</v>
      </c>
      <c r="Z18" s="149" t="s">
        <v>76</v>
      </c>
      <c r="AA18" s="149" t="s">
        <v>43</v>
      </c>
      <c r="AB18" s="149" t="s">
        <v>178</v>
      </c>
      <c r="AE18" s="167" t="s">
        <v>242</v>
      </c>
      <c r="AP18" s="172" t="s">
        <v>251</v>
      </c>
      <c r="AR18" s="168" t="s">
        <v>85</v>
      </c>
      <c r="AV18" s="168" t="s">
        <v>74</v>
      </c>
    </row>
    <row r="19" spans="1:48" x14ac:dyDescent="0.15">
      <c r="A19" s="149" t="s">
        <v>40</v>
      </c>
      <c r="B19" s="149" t="s">
        <v>174</v>
      </c>
      <c r="C19" s="149">
        <v>2020</v>
      </c>
      <c r="D19" s="157" t="s">
        <v>398</v>
      </c>
      <c r="E19" s="149" t="s">
        <v>264</v>
      </c>
      <c r="F19" s="149" t="s">
        <v>265</v>
      </c>
      <c r="G19" s="149" t="s">
        <v>25</v>
      </c>
      <c r="H19" s="149" t="s">
        <v>164</v>
      </c>
      <c r="I19" s="149" t="s">
        <v>111</v>
      </c>
      <c r="J19" s="77" t="s">
        <v>27</v>
      </c>
      <c r="K19" s="77" t="s">
        <v>112</v>
      </c>
      <c r="L19" s="149">
        <v>3</v>
      </c>
      <c r="N19" s="149">
        <v>8</v>
      </c>
      <c r="O19" s="149">
        <v>0.7</v>
      </c>
      <c r="P19" s="149">
        <v>0.7</v>
      </c>
      <c r="Q19" s="158">
        <f t="shared" si="1"/>
        <v>0.7</v>
      </c>
      <c r="R19" s="149">
        <v>16.600000000000001</v>
      </c>
      <c r="S19" s="149">
        <v>92</v>
      </c>
      <c r="T19" s="159">
        <f t="shared" si="2"/>
        <v>36</v>
      </c>
      <c r="U19" s="149">
        <v>798</v>
      </c>
      <c r="V19" s="160">
        <f t="shared" si="0"/>
        <v>3591</v>
      </c>
      <c r="W19" s="149">
        <v>10</v>
      </c>
      <c r="X19" s="149" t="s">
        <v>35</v>
      </c>
      <c r="Y19" s="149" t="s">
        <v>55</v>
      </c>
      <c r="Z19" s="149" t="s">
        <v>76</v>
      </c>
      <c r="AA19" s="149" t="s">
        <v>43</v>
      </c>
      <c r="AB19" s="149" t="s">
        <v>178</v>
      </c>
      <c r="AE19" s="178" t="s">
        <v>236</v>
      </c>
      <c r="AP19" s="172" t="s">
        <v>252</v>
      </c>
      <c r="AR19" s="168" t="s">
        <v>253</v>
      </c>
      <c r="AV19" s="168" t="s">
        <v>76</v>
      </c>
    </row>
    <row r="20" spans="1:48" x14ac:dyDescent="0.15">
      <c r="A20" s="149" t="s">
        <v>40</v>
      </c>
      <c r="B20" s="149" t="s">
        <v>174</v>
      </c>
      <c r="C20" s="149">
        <v>2020</v>
      </c>
      <c r="D20" s="157" t="s">
        <v>398</v>
      </c>
      <c r="E20" s="149" t="s">
        <v>267</v>
      </c>
      <c r="F20" s="149" t="s">
        <v>268</v>
      </c>
      <c r="G20" s="149" t="s">
        <v>25</v>
      </c>
      <c r="H20" s="149" t="s">
        <v>113</v>
      </c>
      <c r="I20" s="149" t="s">
        <v>111</v>
      </c>
      <c r="J20" s="77" t="s">
        <v>27</v>
      </c>
      <c r="K20" s="77" t="s">
        <v>112</v>
      </c>
      <c r="L20" s="149">
        <v>1</v>
      </c>
      <c r="N20" s="149">
        <v>3</v>
      </c>
      <c r="O20" s="149">
        <v>0.7</v>
      </c>
      <c r="P20" s="149">
        <v>0.85</v>
      </c>
      <c r="Q20" s="158">
        <f t="shared" si="1"/>
        <v>0.77499999999999991</v>
      </c>
      <c r="R20" s="149">
        <v>18.100000000000001</v>
      </c>
      <c r="S20" s="149">
        <v>142</v>
      </c>
      <c r="T20" s="159">
        <f t="shared" si="2"/>
        <v>22</v>
      </c>
      <c r="U20" s="149">
        <v>380</v>
      </c>
      <c r="V20" s="160">
        <f t="shared" si="0"/>
        <v>2786.666666666667</v>
      </c>
      <c r="W20" s="149">
        <v>8</v>
      </c>
      <c r="X20" s="149" t="s">
        <v>35</v>
      </c>
      <c r="Y20" s="149" t="s">
        <v>36</v>
      </c>
      <c r="Z20" s="149" t="s">
        <v>43</v>
      </c>
      <c r="AA20" s="149" t="s">
        <v>55</v>
      </c>
      <c r="AB20" s="149" t="s">
        <v>178</v>
      </c>
      <c r="AE20" s="178"/>
      <c r="AP20" s="172" t="s">
        <v>254</v>
      </c>
      <c r="AR20" s="168" t="s">
        <v>89</v>
      </c>
      <c r="AV20" s="172" t="s">
        <v>255</v>
      </c>
    </row>
    <row r="21" spans="1:48" x14ac:dyDescent="0.15">
      <c r="A21" s="149" t="s">
        <v>40</v>
      </c>
      <c r="B21" s="149" t="s">
        <v>174</v>
      </c>
      <c r="C21" s="149">
        <v>2020</v>
      </c>
      <c r="D21" s="157" t="s">
        <v>398</v>
      </c>
      <c r="E21" s="149" t="s">
        <v>267</v>
      </c>
      <c r="F21" s="149" t="s">
        <v>268</v>
      </c>
      <c r="G21" s="149" t="s">
        <v>25</v>
      </c>
      <c r="H21" s="149" t="s">
        <v>113</v>
      </c>
      <c r="I21" s="149" t="s">
        <v>111</v>
      </c>
      <c r="J21" s="77" t="s">
        <v>27</v>
      </c>
      <c r="K21" s="77" t="s">
        <v>112</v>
      </c>
      <c r="L21" s="149">
        <v>2</v>
      </c>
      <c r="N21" s="149">
        <v>3</v>
      </c>
      <c r="O21" s="149">
        <v>0.8</v>
      </c>
      <c r="P21" s="149">
        <v>0.75</v>
      </c>
      <c r="Q21" s="158">
        <f t="shared" si="1"/>
        <v>0.77500000000000002</v>
      </c>
      <c r="R21" s="149">
        <v>17.600000000000001</v>
      </c>
      <c r="S21" s="149">
        <v>136</v>
      </c>
      <c r="T21" s="159">
        <f t="shared" si="2"/>
        <v>25</v>
      </c>
      <c r="U21" s="149">
        <v>380</v>
      </c>
      <c r="V21" s="160">
        <f t="shared" si="0"/>
        <v>3166.666666666667</v>
      </c>
      <c r="W21" s="149">
        <v>8</v>
      </c>
      <c r="X21" s="149" t="s">
        <v>35</v>
      </c>
      <c r="Y21" s="149" t="s">
        <v>36</v>
      </c>
      <c r="Z21" s="149" t="s">
        <v>43</v>
      </c>
      <c r="AA21" s="149" t="s">
        <v>55</v>
      </c>
      <c r="AB21" s="149" t="s">
        <v>178</v>
      </c>
      <c r="AE21" s="173"/>
      <c r="AP21" s="172" t="s">
        <v>256</v>
      </c>
      <c r="AR21" s="168" t="s">
        <v>54</v>
      </c>
      <c r="AV21" s="172" t="s">
        <v>257</v>
      </c>
    </row>
    <row r="22" spans="1:48" x14ac:dyDescent="0.15">
      <c r="A22" s="149" t="s">
        <v>40</v>
      </c>
      <c r="B22" s="149" t="s">
        <v>174</v>
      </c>
      <c r="C22" s="149">
        <v>2020</v>
      </c>
      <c r="D22" s="157" t="s">
        <v>398</v>
      </c>
      <c r="E22" s="149" t="s">
        <v>267</v>
      </c>
      <c r="F22" s="149" t="s">
        <v>268</v>
      </c>
      <c r="G22" s="149" t="s">
        <v>25</v>
      </c>
      <c r="H22" s="149" t="s">
        <v>113</v>
      </c>
      <c r="I22" s="149" t="s">
        <v>111</v>
      </c>
      <c r="J22" s="77" t="s">
        <v>27</v>
      </c>
      <c r="K22" s="77" t="s">
        <v>112</v>
      </c>
      <c r="L22" s="149">
        <v>3</v>
      </c>
      <c r="N22" s="149">
        <v>3</v>
      </c>
      <c r="O22" s="149">
        <v>0.75</v>
      </c>
      <c r="P22" s="149">
        <v>0.75</v>
      </c>
      <c r="Q22" s="158">
        <f t="shared" si="1"/>
        <v>0.75</v>
      </c>
      <c r="R22" s="149">
        <v>17.8</v>
      </c>
      <c r="S22" s="149">
        <v>138</v>
      </c>
      <c r="T22" s="159">
        <f t="shared" si="2"/>
        <v>22</v>
      </c>
      <c r="U22" s="149">
        <v>380</v>
      </c>
      <c r="V22" s="160">
        <f t="shared" si="0"/>
        <v>2786.666666666667</v>
      </c>
      <c r="W22" s="149">
        <v>8</v>
      </c>
      <c r="X22" s="149" t="s">
        <v>35</v>
      </c>
      <c r="Y22" s="149" t="s">
        <v>36</v>
      </c>
      <c r="Z22" s="149" t="s">
        <v>43</v>
      </c>
      <c r="AA22" s="149" t="s">
        <v>55</v>
      </c>
      <c r="AB22" s="149" t="s">
        <v>178</v>
      </c>
      <c r="AP22" s="172" t="s">
        <v>258</v>
      </c>
      <c r="AR22" s="168" t="s">
        <v>69</v>
      </c>
      <c r="AV22" s="172"/>
    </row>
    <row r="23" spans="1:48" x14ac:dyDescent="0.15">
      <c r="A23" s="149" t="s">
        <v>40</v>
      </c>
      <c r="B23" s="149" t="s">
        <v>174</v>
      </c>
      <c r="C23" s="149">
        <v>2020</v>
      </c>
      <c r="D23" s="157" t="s">
        <v>398</v>
      </c>
      <c r="E23" s="149" t="s">
        <v>267</v>
      </c>
      <c r="F23" s="149" t="s">
        <v>268</v>
      </c>
      <c r="G23" s="149" t="s">
        <v>25</v>
      </c>
      <c r="H23" s="149" t="s">
        <v>113</v>
      </c>
      <c r="I23" s="149" t="s">
        <v>111</v>
      </c>
      <c r="J23" s="77" t="s">
        <v>27</v>
      </c>
      <c r="K23" s="77" t="s">
        <v>112</v>
      </c>
      <c r="L23" s="149">
        <v>1</v>
      </c>
      <c r="N23" s="149">
        <v>4</v>
      </c>
      <c r="O23" s="149">
        <v>0.7</v>
      </c>
      <c r="P23" s="149">
        <v>0.75</v>
      </c>
      <c r="Q23" s="158">
        <f t="shared" si="1"/>
        <v>0.72499999999999998</v>
      </c>
      <c r="R23" s="149">
        <v>14.9</v>
      </c>
      <c r="S23" s="149">
        <v>108</v>
      </c>
      <c r="T23" s="159">
        <f t="shared" si="2"/>
        <v>33</v>
      </c>
      <c r="U23" s="149">
        <v>498</v>
      </c>
      <c r="V23" s="160">
        <f t="shared" si="0"/>
        <v>4108.5</v>
      </c>
      <c r="W23" s="149">
        <v>8</v>
      </c>
      <c r="X23" s="149" t="s">
        <v>35</v>
      </c>
      <c r="Y23" s="149" t="s">
        <v>36</v>
      </c>
      <c r="Z23" s="149" t="s">
        <v>43</v>
      </c>
      <c r="AA23" s="149" t="s">
        <v>55</v>
      </c>
      <c r="AB23" s="149" t="s">
        <v>178</v>
      </c>
      <c r="AP23" s="172" t="s">
        <v>279</v>
      </c>
      <c r="AR23" s="168" t="s">
        <v>48</v>
      </c>
    </row>
    <row r="24" spans="1:48" x14ac:dyDescent="0.15">
      <c r="A24" s="149" t="s">
        <v>40</v>
      </c>
      <c r="B24" s="149" t="s">
        <v>174</v>
      </c>
      <c r="C24" s="149">
        <v>2020</v>
      </c>
      <c r="D24" s="157" t="s">
        <v>398</v>
      </c>
      <c r="E24" s="149" t="s">
        <v>267</v>
      </c>
      <c r="F24" s="149" t="s">
        <v>268</v>
      </c>
      <c r="G24" s="149" t="s">
        <v>25</v>
      </c>
      <c r="H24" s="149" t="s">
        <v>113</v>
      </c>
      <c r="I24" s="149" t="s">
        <v>111</v>
      </c>
      <c r="J24" s="77" t="s">
        <v>27</v>
      </c>
      <c r="K24" s="77" t="s">
        <v>112</v>
      </c>
      <c r="L24" s="149">
        <v>2</v>
      </c>
      <c r="N24" s="149">
        <v>4</v>
      </c>
      <c r="O24" s="149">
        <v>0.8</v>
      </c>
      <c r="P24" s="149">
        <v>0.7</v>
      </c>
      <c r="Q24" s="158">
        <f t="shared" si="1"/>
        <v>0.75</v>
      </c>
      <c r="R24" s="149">
        <v>14.4</v>
      </c>
      <c r="S24" s="149">
        <v>106</v>
      </c>
      <c r="T24" s="159">
        <f t="shared" si="2"/>
        <v>33</v>
      </c>
      <c r="U24" s="149">
        <v>498</v>
      </c>
      <c r="V24" s="160">
        <f t="shared" si="0"/>
        <v>4108.5</v>
      </c>
      <c r="W24" s="149">
        <v>8</v>
      </c>
      <c r="X24" s="149" t="s">
        <v>35</v>
      </c>
      <c r="Y24" s="149" t="s">
        <v>36</v>
      </c>
      <c r="Z24" s="149" t="s">
        <v>43</v>
      </c>
      <c r="AA24" s="149" t="s">
        <v>55</v>
      </c>
      <c r="AB24" s="149" t="s">
        <v>178</v>
      </c>
      <c r="AP24" s="172" t="s">
        <v>280</v>
      </c>
      <c r="AR24" s="168" t="s">
        <v>77</v>
      </c>
    </row>
    <row r="25" spans="1:48" x14ac:dyDescent="0.15">
      <c r="A25" s="149" t="s">
        <v>40</v>
      </c>
      <c r="B25" s="149" t="s">
        <v>174</v>
      </c>
      <c r="C25" s="149">
        <v>2020</v>
      </c>
      <c r="D25" s="157" t="s">
        <v>398</v>
      </c>
      <c r="E25" s="149" t="s">
        <v>267</v>
      </c>
      <c r="F25" s="149" t="s">
        <v>268</v>
      </c>
      <c r="G25" s="149" t="s">
        <v>25</v>
      </c>
      <c r="H25" s="149" t="s">
        <v>113</v>
      </c>
      <c r="I25" s="149" t="s">
        <v>111</v>
      </c>
      <c r="J25" s="77" t="s">
        <v>27</v>
      </c>
      <c r="K25" s="77" t="s">
        <v>112</v>
      </c>
      <c r="L25" s="149">
        <v>3</v>
      </c>
      <c r="N25" s="149">
        <v>4</v>
      </c>
      <c r="O25" s="149">
        <v>0.75</v>
      </c>
      <c r="P25" s="149">
        <v>0.75</v>
      </c>
      <c r="Q25" s="158">
        <f t="shared" si="1"/>
        <v>0.75</v>
      </c>
      <c r="R25" s="149">
        <v>14.1</v>
      </c>
      <c r="S25" s="149">
        <v>102</v>
      </c>
      <c r="T25" s="159">
        <f t="shared" si="2"/>
        <v>33</v>
      </c>
      <c r="U25" s="149">
        <v>498</v>
      </c>
      <c r="V25" s="160">
        <f t="shared" si="0"/>
        <v>4108.5</v>
      </c>
      <c r="W25" s="149">
        <v>8</v>
      </c>
      <c r="X25" s="149" t="s">
        <v>35</v>
      </c>
      <c r="Y25" s="149" t="s">
        <v>36</v>
      </c>
      <c r="Z25" s="149" t="s">
        <v>43</v>
      </c>
      <c r="AA25" s="149" t="s">
        <v>55</v>
      </c>
      <c r="AB25" s="149" t="s">
        <v>178</v>
      </c>
      <c r="AP25" s="172" t="s">
        <v>281</v>
      </c>
      <c r="AR25" s="172" t="s">
        <v>40</v>
      </c>
    </row>
    <row r="26" spans="1:48" x14ac:dyDescent="0.15">
      <c r="A26" s="149" t="s">
        <v>40</v>
      </c>
      <c r="B26" s="149" t="s">
        <v>174</v>
      </c>
      <c r="C26" s="149">
        <v>2020</v>
      </c>
      <c r="D26" s="157" t="s">
        <v>398</v>
      </c>
      <c r="E26" s="149" t="s">
        <v>267</v>
      </c>
      <c r="F26" s="149" t="s">
        <v>268</v>
      </c>
      <c r="G26" s="149" t="s">
        <v>25</v>
      </c>
      <c r="H26" s="149" t="s">
        <v>164</v>
      </c>
      <c r="I26" s="149" t="s">
        <v>111</v>
      </c>
      <c r="J26" s="77" t="s">
        <v>27</v>
      </c>
      <c r="K26" s="77" t="s">
        <v>112</v>
      </c>
      <c r="L26" s="149">
        <v>1</v>
      </c>
      <c r="N26" s="149">
        <v>3</v>
      </c>
      <c r="O26" s="149">
        <v>0.8</v>
      </c>
      <c r="P26" s="149">
        <v>0.8</v>
      </c>
      <c r="Q26" s="158">
        <f t="shared" si="1"/>
        <v>0.8</v>
      </c>
      <c r="R26" s="149">
        <v>17.3</v>
      </c>
      <c r="S26" s="149">
        <v>174</v>
      </c>
      <c r="T26" s="159">
        <f t="shared" si="2"/>
        <v>18</v>
      </c>
      <c r="U26" s="149">
        <v>380</v>
      </c>
      <c r="V26" s="160">
        <f t="shared" si="0"/>
        <v>2280</v>
      </c>
      <c r="W26" s="149">
        <v>8</v>
      </c>
      <c r="X26" s="149" t="s">
        <v>35</v>
      </c>
      <c r="Y26" s="149" t="s">
        <v>36</v>
      </c>
      <c r="Z26" s="149" t="s">
        <v>43</v>
      </c>
      <c r="AA26" s="149" t="s">
        <v>55</v>
      </c>
      <c r="AB26" s="149" t="s">
        <v>178</v>
      </c>
      <c r="AP26" s="172" t="s">
        <v>259</v>
      </c>
      <c r="AR26" s="149" t="s">
        <v>260</v>
      </c>
    </row>
    <row r="27" spans="1:48" x14ac:dyDescent="0.15">
      <c r="A27" s="149" t="s">
        <v>40</v>
      </c>
      <c r="B27" s="149" t="s">
        <v>174</v>
      </c>
      <c r="C27" s="149">
        <v>2020</v>
      </c>
      <c r="D27" s="157" t="s">
        <v>398</v>
      </c>
      <c r="E27" s="149" t="s">
        <v>267</v>
      </c>
      <c r="F27" s="149" t="s">
        <v>268</v>
      </c>
      <c r="G27" s="149" t="s">
        <v>25</v>
      </c>
      <c r="H27" s="149" t="s">
        <v>164</v>
      </c>
      <c r="I27" s="149" t="s">
        <v>111</v>
      </c>
      <c r="J27" s="77" t="s">
        <v>27</v>
      </c>
      <c r="K27" s="77" t="s">
        <v>112</v>
      </c>
      <c r="L27" s="149">
        <v>2</v>
      </c>
      <c r="N27" s="149">
        <v>3</v>
      </c>
      <c r="O27" s="149">
        <v>0.85</v>
      </c>
      <c r="P27" s="149">
        <v>0.85</v>
      </c>
      <c r="Q27" s="158">
        <f t="shared" si="1"/>
        <v>0.85</v>
      </c>
      <c r="R27" s="149">
        <v>17.5</v>
      </c>
      <c r="S27" s="149">
        <v>176</v>
      </c>
      <c r="T27" s="159">
        <f t="shared" si="2"/>
        <v>18</v>
      </c>
      <c r="U27" s="149">
        <v>380</v>
      </c>
      <c r="V27" s="160">
        <f t="shared" si="0"/>
        <v>2280</v>
      </c>
      <c r="W27" s="149">
        <v>8</v>
      </c>
      <c r="X27" s="149" t="s">
        <v>35</v>
      </c>
      <c r="Y27" s="149" t="s">
        <v>36</v>
      </c>
      <c r="Z27" s="149" t="s">
        <v>43</v>
      </c>
      <c r="AA27" s="149" t="s">
        <v>55</v>
      </c>
      <c r="AB27" s="149" t="s">
        <v>178</v>
      </c>
      <c r="AP27" s="27" t="s">
        <v>261</v>
      </c>
      <c r="AQ27" s="77"/>
      <c r="AR27" s="80" t="s">
        <v>282</v>
      </c>
    </row>
    <row r="28" spans="1:48" x14ac:dyDescent="0.15">
      <c r="A28" s="149" t="s">
        <v>40</v>
      </c>
      <c r="B28" s="149" t="s">
        <v>174</v>
      </c>
      <c r="C28" s="149">
        <v>2020</v>
      </c>
      <c r="D28" s="157" t="s">
        <v>398</v>
      </c>
      <c r="E28" s="149" t="s">
        <v>267</v>
      </c>
      <c r="F28" s="149" t="s">
        <v>268</v>
      </c>
      <c r="G28" s="149" t="s">
        <v>25</v>
      </c>
      <c r="H28" s="149" t="s">
        <v>164</v>
      </c>
      <c r="I28" s="149" t="s">
        <v>111</v>
      </c>
      <c r="J28" s="77" t="s">
        <v>27</v>
      </c>
      <c r="K28" s="77" t="s">
        <v>112</v>
      </c>
      <c r="L28" s="149">
        <v>3</v>
      </c>
      <c r="N28" s="149">
        <v>3</v>
      </c>
      <c r="O28" s="149">
        <v>0.75</v>
      </c>
      <c r="P28" s="149">
        <v>0.8</v>
      </c>
      <c r="Q28" s="158">
        <f t="shared" si="1"/>
        <v>0.77500000000000002</v>
      </c>
      <c r="R28" s="149">
        <v>16.600000000000001</v>
      </c>
      <c r="S28" s="149">
        <v>160</v>
      </c>
      <c r="T28" s="159">
        <f t="shared" si="2"/>
        <v>18</v>
      </c>
      <c r="U28" s="149">
        <v>380</v>
      </c>
      <c r="V28" s="160">
        <f t="shared" si="0"/>
        <v>2280</v>
      </c>
      <c r="W28" s="149">
        <v>8</v>
      </c>
      <c r="X28" s="149" t="s">
        <v>35</v>
      </c>
      <c r="Y28" s="149" t="s">
        <v>36</v>
      </c>
      <c r="Z28" s="149" t="s">
        <v>43</v>
      </c>
      <c r="AA28" s="149" t="s">
        <v>55</v>
      </c>
      <c r="AB28" s="149" t="s">
        <v>178</v>
      </c>
      <c r="AP28" s="27" t="s">
        <v>283</v>
      </c>
      <c r="AQ28" s="77"/>
      <c r="AR28" s="80" t="s">
        <v>284</v>
      </c>
    </row>
    <row r="29" spans="1:48" x14ac:dyDescent="0.15">
      <c r="A29" s="149" t="s">
        <v>40</v>
      </c>
      <c r="B29" s="149" t="s">
        <v>174</v>
      </c>
      <c r="C29" s="149">
        <v>2020</v>
      </c>
      <c r="D29" s="157" t="s">
        <v>398</v>
      </c>
      <c r="E29" s="149" t="s">
        <v>267</v>
      </c>
      <c r="F29" s="149" t="s">
        <v>268</v>
      </c>
      <c r="G29" s="149" t="s">
        <v>25</v>
      </c>
      <c r="H29" s="149" t="s">
        <v>164</v>
      </c>
      <c r="I29" s="149" t="s">
        <v>111</v>
      </c>
      <c r="J29" s="77" t="s">
        <v>27</v>
      </c>
      <c r="K29" s="77" t="s">
        <v>112</v>
      </c>
      <c r="L29" s="149">
        <v>1</v>
      </c>
      <c r="N29" s="149">
        <v>4</v>
      </c>
      <c r="O29" s="149">
        <v>0.7</v>
      </c>
      <c r="P29" s="149">
        <v>0.85</v>
      </c>
      <c r="Q29" s="158">
        <f t="shared" si="1"/>
        <v>0.77499999999999991</v>
      </c>
      <c r="R29" s="149">
        <v>16</v>
      </c>
      <c r="S29" s="149">
        <v>116</v>
      </c>
      <c r="T29" s="159">
        <f t="shared" si="2"/>
        <v>30</v>
      </c>
      <c r="U29" s="149">
        <v>498</v>
      </c>
      <c r="V29" s="160">
        <f t="shared" si="0"/>
        <v>3735</v>
      </c>
      <c r="W29" s="149">
        <v>8</v>
      </c>
      <c r="X29" s="149" t="s">
        <v>35</v>
      </c>
      <c r="Y29" s="149" t="s">
        <v>36</v>
      </c>
      <c r="Z29" s="149" t="s">
        <v>43</v>
      </c>
      <c r="AA29" s="149" t="s">
        <v>55</v>
      </c>
      <c r="AB29" s="149" t="s">
        <v>178</v>
      </c>
      <c r="AP29" s="27" t="s">
        <v>285</v>
      </c>
      <c r="AQ29" s="77"/>
      <c r="AR29" s="28"/>
    </row>
    <row r="30" spans="1:48" x14ac:dyDescent="0.15">
      <c r="A30" s="149" t="s">
        <v>40</v>
      </c>
      <c r="B30" s="149" t="s">
        <v>174</v>
      </c>
      <c r="C30" s="149">
        <v>2020</v>
      </c>
      <c r="D30" s="157" t="s">
        <v>398</v>
      </c>
      <c r="E30" s="149" t="s">
        <v>267</v>
      </c>
      <c r="F30" s="149" t="s">
        <v>268</v>
      </c>
      <c r="G30" s="149" t="s">
        <v>25</v>
      </c>
      <c r="H30" s="149" t="s">
        <v>164</v>
      </c>
      <c r="I30" s="149" t="s">
        <v>111</v>
      </c>
      <c r="J30" s="77" t="s">
        <v>27</v>
      </c>
      <c r="K30" s="77" t="s">
        <v>112</v>
      </c>
      <c r="L30" s="149">
        <v>2</v>
      </c>
      <c r="N30" s="149">
        <v>4</v>
      </c>
      <c r="O30" s="149">
        <v>0.75</v>
      </c>
      <c r="P30" s="149">
        <v>0.7</v>
      </c>
      <c r="Q30" s="158">
        <f t="shared" si="1"/>
        <v>0.72499999999999998</v>
      </c>
      <c r="R30" s="149">
        <v>15.8</v>
      </c>
      <c r="S30" s="149">
        <v>110</v>
      </c>
      <c r="T30" s="159">
        <f t="shared" si="2"/>
        <v>33</v>
      </c>
      <c r="U30" s="149">
        <v>498</v>
      </c>
      <c r="V30" s="160">
        <f t="shared" si="0"/>
        <v>4108.5</v>
      </c>
      <c r="W30" s="149">
        <v>8</v>
      </c>
      <c r="X30" s="149" t="s">
        <v>35</v>
      </c>
      <c r="Y30" s="149" t="s">
        <v>36</v>
      </c>
      <c r="Z30" s="149" t="s">
        <v>43</v>
      </c>
      <c r="AA30" s="149" t="s">
        <v>55</v>
      </c>
      <c r="AB30" s="149" t="s">
        <v>178</v>
      </c>
    </row>
    <row r="31" spans="1:48" x14ac:dyDescent="0.15">
      <c r="A31" s="149" t="s">
        <v>40</v>
      </c>
      <c r="B31" s="149" t="s">
        <v>174</v>
      </c>
      <c r="C31" s="149">
        <v>2020</v>
      </c>
      <c r="D31" s="157" t="s">
        <v>398</v>
      </c>
      <c r="E31" s="149" t="s">
        <v>267</v>
      </c>
      <c r="F31" s="149" t="s">
        <v>268</v>
      </c>
      <c r="G31" s="149" t="s">
        <v>25</v>
      </c>
      <c r="H31" s="149" t="s">
        <v>164</v>
      </c>
      <c r="I31" s="149" t="s">
        <v>111</v>
      </c>
      <c r="J31" s="77" t="s">
        <v>27</v>
      </c>
      <c r="K31" s="77" t="s">
        <v>112</v>
      </c>
      <c r="L31" s="149">
        <v>3</v>
      </c>
      <c r="N31" s="149">
        <v>4</v>
      </c>
      <c r="O31" s="149">
        <v>0.8</v>
      </c>
      <c r="P31" s="149">
        <v>0.75</v>
      </c>
      <c r="Q31" s="158">
        <f t="shared" si="1"/>
        <v>0.77500000000000002</v>
      </c>
      <c r="R31" s="149">
        <v>15.5</v>
      </c>
      <c r="S31" s="149">
        <v>116</v>
      </c>
      <c r="T31" s="159">
        <f t="shared" si="2"/>
        <v>30</v>
      </c>
      <c r="U31" s="149">
        <v>498</v>
      </c>
      <c r="V31" s="160">
        <f t="shared" si="0"/>
        <v>3735</v>
      </c>
      <c r="W31" s="149">
        <v>8</v>
      </c>
      <c r="X31" s="149" t="s">
        <v>35</v>
      </c>
      <c r="Y31" s="149" t="s">
        <v>36</v>
      </c>
      <c r="Z31" s="149" t="s">
        <v>43</v>
      </c>
      <c r="AA31" s="149" t="s">
        <v>55</v>
      </c>
      <c r="AB31" s="149" t="s">
        <v>178</v>
      </c>
    </row>
    <row r="32" spans="1:48" x14ac:dyDescent="0.15">
      <c r="A32" s="149" t="s">
        <v>40</v>
      </c>
      <c r="B32" s="149" t="s">
        <v>174</v>
      </c>
      <c r="C32" s="149">
        <v>2020</v>
      </c>
      <c r="D32" s="157" t="s">
        <v>398</v>
      </c>
      <c r="E32" s="149" t="s">
        <v>181</v>
      </c>
      <c r="F32" s="149" t="s">
        <v>278</v>
      </c>
      <c r="G32" s="149" t="s">
        <v>25</v>
      </c>
      <c r="H32" s="149" t="s">
        <v>113</v>
      </c>
      <c r="I32" s="149" t="s">
        <v>111</v>
      </c>
      <c r="J32" s="77" t="s">
        <v>27</v>
      </c>
      <c r="K32" s="77" t="s">
        <v>112</v>
      </c>
      <c r="L32" s="149">
        <v>1</v>
      </c>
      <c r="N32" s="149">
        <v>1</v>
      </c>
      <c r="O32" s="149">
        <v>0.75</v>
      </c>
      <c r="P32" s="149">
        <v>0.8</v>
      </c>
      <c r="Q32" s="158">
        <f t="shared" si="1"/>
        <v>0.77500000000000002</v>
      </c>
      <c r="R32" s="149">
        <v>15.7</v>
      </c>
      <c r="S32" s="149">
        <v>114</v>
      </c>
      <c r="T32" s="159">
        <f t="shared" si="2"/>
        <v>30</v>
      </c>
      <c r="U32" s="149">
        <v>98</v>
      </c>
      <c r="V32" s="160">
        <f t="shared" si="0"/>
        <v>2940</v>
      </c>
      <c r="W32" s="149">
        <v>40</v>
      </c>
      <c r="X32" s="149" t="s">
        <v>35</v>
      </c>
      <c r="Y32" s="149" t="s">
        <v>43</v>
      </c>
      <c r="Z32" s="149" t="s">
        <v>55</v>
      </c>
      <c r="AA32" s="149" t="s">
        <v>76</v>
      </c>
      <c r="AB32" s="149" t="s">
        <v>178</v>
      </c>
    </row>
    <row r="33" spans="1:28" x14ac:dyDescent="0.15">
      <c r="A33" s="149" t="s">
        <v>40</v>
      </c>
      <c r="B33" s="149" t="s">
        <v>174</v>
      </c>
      <c r="C33" s="149">
        <v>2020</v>
      </c>
      <c r="D33" s="157" t="s">
        <v>398</v>
      </c>
      <c r="E33" s="149" t="s">
        <v>181</v>
      </c>
      <c r="F33" s="149" t="s">
        <v>278</v>
      </c>
      <c r="G33" s="149" t="s">
        <v>25</v>
      </c>
      <c r="H33" s="149" t="s">
        <v>113</v>
      </c>
      <c r="I33" s="149" t="s">
        <v>111</v>
      </c>
      <c r="J33" s="77" t="s">
        <v>27</v>
      </c>
      <c r="K33" s="77" t="s">
        <v>112</v>
      </c>
      <c r="L33" s="149">
        <v>2</v>
      </c>
      <c r="N33" s="149">
        <v>1</v>
      </c>
      <c r="O33" s="149">
        <v>0.75</v>
      </c>
      <c r="P33" s="149">
        <v>0.7</v>
      </c>
      <c r="Q33" s="158">
        <f t="shared" si="1"/>
        <v>0.72499999999999998</v>
      </c>
      <c r="R33" s="149">
        <v>15.1</v>
      </c>
      <c r="S33" s="149">
        <v>108</v>
      </c>
      <c r="T33" s="159">
        <f t="shared" si="2"/>
        <v>33</v>
      </c>
      <c r="U33" s="149">
        <v>98</v>
      </c>
      <c r="V33" s="160">
        <f t="shared" si="0"/>
        <v>3234</v>
      </c>
      <c r="W33" s="149">
        <v>40</v>
      </c>
      <c r="X33" s="149" t="s">
        <v>35</v>
      </c>
      <c r="Y33" s="149" t="s">
        <v>43</v>
      </c>
      <c r="Z33" s="149" t="s">
        <v>55</v>
      </c>
      <c r="AA33" s="149" t="s">
        <v>76</v>
      </c>
      <c r="AB33" s="149" t="s">
        <v>178</v>
      </c>
    </row>
    <row r="34" spans="1:28" x14ac:dyDescent="0.15">
      <c r="A34" s="149" t="s">
        <v>40</v>
      </c>
      <c r="B34" s="149" t="s">
        <v>174</v>
      </c>
      <c r="C34" s="149">
        <v>2020</v>
      </c>
      <c r="D34" s="157" t="s">
        <v>398</v>
      </c>
      <c r="E34" s="149" t="s">
        <v>181</v>
      </c>
      <c r="F34" s="149" t="s">
        <v>278</v>
      </c>
      <c r="G34" s="149" t="s">
        <v>25</v>
      </c>
      <c r="H34" s="149" t="s">
        <v>113</v>
      </c>
      <c r="I34" s="149" t="s">
        <v>111</v>
      </c>
      <c r="J34" s="77" t="s">
        <v>27</v>
      </c>
      <c r="K34" s="77" t="s">
        <v>112</v>
      </c>
      <c r="L34" s="149">
        <v>3</v>
      </c>
      <c r="N34" s="149">
        <v>1</v>
      </c>
      <c r="O34" s="149">
        <v>0.7</v>
      </c>
      <c r="P34" s="149">
        <v>0.7</v>
      </c>
      <c r="Q34" s="158">
        <f t="shared" si="1"/>
        <v>0.7</v>
      </c>
      <c r="R34" s="149">
        <v>14.9</v>
      </c>
      <c r="S34" s="149">
        <v>106</v>
      </c>
      <c r="T34" s="159">
        <f t="shared" si="2"/>
        <v>33</v>
      </c>
      <c r="U34" s="149">
        <v>98</v>
      </c>
      <c r="V34" s="160">
        <f t="shared" si="0"/>
        <v>3234</v>
      </c>
      <c r="W34" s="149">
        <v>40</v>
      </c>
      <c r="X34" s="149" t="s">
        <v>35</v>
      </c>
      <c r="Y34" s="149" t="s">
        <v>43</v>
      </c>
      <c r="Z34" s="149" t="s">
        <v>55</v>
      </c>
      <c r="AA34" s="149" t="s">
        <v>76</v>
      </c>
      <c r="AB34" s="149" t="s">
        <v>178</v>
      </c>
    </row>
    <row r="35" spans="1:28" x14ac:dyDescent="0.15">
      <c r="A35" s="149" t="s">
        <v>40</v>
      </c>
      <c r="B35" s="149" t="s">
        <v>174</v>
      </c>
      <c r="C35" s="149">
        <v>2020</v>
      </c>
      <c r="D35" s="157" t="s">
        <v>398</v>
      </c>
      <c r="E35" s="149" t="s">
        <v>181</v>
      </c>
      <c r="F35" s="149" t="s">
        <v>278</v>
      </c>
      <c r="G35" s="149" t="s">
        <v>25</v>
      </c>
      <c r="H35" s="149" t="s">
        <v>113</v>
      </c>
      <c r="I35" s="149" t="s">
        <v>111</v>
      </c>
      <c r="J35" s="77" t="s">
        <v>27</v>
      </c>
      <c r="K35" s="77" t="s">
        <v>112</v>
      </c>
      <c r="L35" s="149">
        <v>1</v>
      </c>
      <c r="N35" s="149">
        <v>4</v>
      </c>
      <c r="O35" s="149">
        <v>0.95</v>
      </c>
      <c r="P35" s="149">
        <v>1.1000000000000001</v>
      </c>
      <c r="Q35" s="158">
        <f t="shared" si="1"/>
        <v>1.0249999999999999</v>
      </c>
      <c r="R35" s="149">
        <v>13.2</v>
      </c>
      <c r="S35" s="149">
        <v>104</v>
      </c>
      <c r="T35" s="159">
        <f t="shared" si="2"/>
        <v>33</v>
      </c>
      <c r="U35" s="149">
        <v>398</v>
      </c>
      <c r="V35" s="160">
        <f t="shared" si="0"/>
        <v>3283.5</v>
      </c>
      <c r="W35" s="149">
        <v>40</v>
      </c>
      <c r="X35" s="149" t="s">
        <v>35</v>
      </c>
      <c r="Y35" s="149" t="s">
        <v>43</v>
      </c>
      <c r="Z35" s="149" t="s">
        <v>55</v>
      </c>
      <c r="AA35" s="149" t="s">
        <v>76</v>
      </c>
      <c r="AB35" s="149" t="s">
        <v>178</v>
      </c>
    </row>
    <row r="36" spans="1:28" x14ac:dyDescent="0.15">
      <c r="A36" s="149" t="s">
        <v>40</v>
      </c>
      <c r="B36" s="149" t="s">
        <v>174</v>
      </c>
      <c r="C36" s="149">
        <v>2020</v>
      </c>
      <c r="D36" s="157" t="s">
        <v>398</v>
      </c>
      <c r="E36" s="149" t="s">
        <v>181</v>
      </c>
      <c r="F36" s="149" t="s">
        <v>278</v>
      </c>
      <c r="G36" s="149" t="s">
        <v>25</v>
      </c>
      <c r="H36" s="149" t="s">
        <v>113</v>
      </c>
      <c r="I36" s="149" t="s">
        <v>111</v>
      </c>
      <c r="J36" s="77" t="s">
        <v>27</v>
      </c>
      <c r="K36" s="77" t="s">
        <v>112</v>
      </c>
      <c r="L36" s="149">
        <v>2</v>
      </c>
      <c r="N36" s="149">
        <v>4</v>
      </c>
      <c r="O36" s="149">
        <v>1</v>
      </c>
      <c r="P36" s="149">
        <v>1</v>
      </c>
      <c r="Q36" s="158">
        <f t="shared" si="1"/>
        <v>1</v>
      </c>
      <c r="R36" s="149">
        <v>13.4</v>
      </c>
      <c r="S36" s="149">
        <v>95</v>
      </c>
      <c r="T36" s="159">
        <f t="shared" si="2"/>
        <v>36</v>
      </c>
      <c r="U36" s="149">
        <v>398</v>
      </c>
      <c r="V36" s="160">
        <f t="shared" si="0"/>
        <v>3582</v>
      </c>
      <c r="W36" s="149">
        <v>40</v>
      </c>
      <c r="X36" s="149" t="s">
        <v>35</v>
      </c>
      <c r="Y36" s="149" t="s">
        <v>43</v>
      </c>
      <c r="Z36" s="149" t="s">
        <v>55</v>
      </c>
      <c r="AA36" s="149" t="s">
        <v>76</v>
      </c>
      <c r="AB36" s="149" t="s">
        <v>178</v>
      </c>
    </row>
    <row r="37" spans="1:28" x14ac:dyDescent="0.15">
      <c r="A37" s="149" t="s">
        <v>40</v>
      </c>
      <c r="B37" s="149" t="s">
        <v>174</v>
      </c>
      <c r="C37" s="149">
        <v>2020</v>
      </c>
      <c r="D37" s="157" t="s">
        <v>398</v>
      </c>
      <c r="E37" s="149" t="s">
        <v>181</v>
      </c>
      <c r="F37" s="149" t="s">
        <v>278</v>
      </c>
      <c r="G37" s="149" t="s">
        <v>25</v>
      </c>
      <c r="H37" s="149" t="s">
        <v>113</v>
      </c>
      <c r="I37" s="149" t="s">
        <v>111</v>
      </c>
      <c r="J37" s="77" t="s">
        <v>27</v>
      </c>
      <c r="K37" s="77" t="s">
        <v>112</v>
      </c>
      <c r="L37" s="149">
        <v>3</v>
      </c>
      <c r="N37" s="149">
        <v>4</v>
      </c>
      <c r="O37" s="149">
        <v>0.95</v>
      </c>
      <c r="P37" s="149">
        <v>1.05</v>
      </c>
      <c r="Q37" s="158">
        <f t="shared" si="1"/>
        <v>1</v>
      </c>
      <c r="R37" s="149">
        <v>14</v>
      </c>
      <c r="S37" s="149">
        <v>106</v>
      </c>
      <c r="T37" s="159">
        <f t="shared" si="2"/>
        <v>33</v>
      </c>
      <c r="U37" s="149">
        <v>398</v>
      </c>
      <c r="V37" s="160">
        <f t="shared" si="0"/>
        <v>3283.5</v>
      </c>
      <c r="W37" s="149">
        <v>40</v>
      </c>
      <c r="X37" s="149" t="s">
        <v>35</v>
      </c>
      <c r="Y37" s="149" t="s">
        <v>43</v>
      </c>
      <c r="Z37" s="149" t="s">
        <v>55</v>
      </c>
      <c r="AA37" s="149" t="s">
        <v>76</v>
      </c>
      <c r="AB37" s="149" t="s">
        <v>178</v>
      </c>
    </row>
    <row r="38" spans="1:28" x14ac:dyDescent="0.15">
      <c r="A38" s="149" t="s">
        <v>40</v>
      </c>
      <c r="B38" s="149" t="s">
        <v>174</v>
      </c>
      <c r="C38" s="149">
        <v>2020</v>
      </c>
      <c r="D38" s="157" t="s">
        <v>398</v>
      </c>
      <c r="E38" s="149" t="s">
        <v>181</v>
      </c>
      <c r="F38" s="149" t="s">
        <v>278</v>
      </c>
      <c r="G38" s="149" t="s">
        <v>25</v>
      </c>
      <c r="H38" s="149" t="s">
        <v>113</v>
      </c>
      <c r="I38" s="149" t="s">
        <v>111</v>
      </c>
      <c r="J38" s="77" t="s">
        <v>27</v>
      </c>
      <c r="K38" s="77" t="s">
        <v>112</v>
      </c>
      <c r="L38" s="149">
        <v>1</v>
      </c>
      <c r="N38" s="149">
        <v>8</v>
      </c>
      <c r="O38" s="149">
        <v>1.05</v>
      </c>
      <c r="P38" s="149">
        <v>1.25</v>
      </c>
      <c r="Q38" s="158">
        <f t="shared" si="1"/>
        <v>1.1499999999999999</v>
      </c>
      <c r="R38" s="149">
        <v>14.8</v>
      </c>
      <c r="S38" s="149">
        <v>77</v>
      </c>
      <c r="T38" s="159">
        <f t="shared" si="2"/>
        <v>39</v>
      </c>
      <c r="U38" s="149">
        <v>598</v>
      </c>
      <c r="V38" s="160">
        <f t="shared" si="0"/>
        <v>2915.25</v>
      </c>
      <c r="W38" s="149">
        <v>40</v>
      </c>
      <c r="X38" s="149" t="s">
        <v>35</v>
      </c>
      <c r="Y38" s="149" t="s">
        <v>43</v>
      </c>
      <c r="Z38" s="149" t="s">
        <v>55</v>
      </c>
      <c r="AA38" s="149" t="s">
        <v>76</v>
      </c>
      <c r="AB38" s="149" t="s">
        <v>178</v>
      </c>
    </row>
    <row r="39" spans="1:28" x14ac:dyDescent="0.15">
      <c r="A39" s="149" t="s">
        <v>40</v>
      </c>
      <c r="B39" s="149" t="s">
        <v>174</v>
      </c>
      <c r="C39" s="149">
        <v>2020</v>
      </c>
      <c r="D39" s="157" t="s">
        <v>398</v>
      </c>
      <c r="E39" s="149" t="s">
        <v>181</v>
      </c>
      <c r="F39" s="149" t="s">
        <v>278</v>
      </c>
      <c r="G39" s="149" t="s">
        <v>25</v>
      </c>
      <c r="H39" s="149" t="s">
        <v>113</v>
      </c>
      <c r="I39" s="149" t="s">
        <v>111</v>
      </c>
      <c r="J39" s="77" t="s">
        <v>27</v>
      </c>
      <c r="K39" s="77" t="s">
        <v>112</v>
      </c>
      <c r="L39" s="149">
        <v>2</v>
      </c>
      <c r="N39" s="149">
        <v>8</v>
      </c>
      <c r="O39" s="149">
        <v>1.1000000000000001</v>
      </c>
      <c r="P39" s="149">
        <v>1.25</v>
      </c>
      <c r="Q39" s="158">
        <f t="shared" si="1"/>
        <v>1.175</v>
      </c>
      <c r="R39" s="149">
        <v>14.5</v>
      </c>
      <c r="S39" s="149">
        <v>84</v>
      </c>
      <c r="T39" s="159">
        <f t="shared" si="2"/>
        <v>36</v>
      </c>
      <c r="U39" s="149">
        <v>598</v>
      </c>
      <c r="V39" s="160">
        <f t="shared" si="0"/>
        <v>2691</v>
      </c>
      <c r="W39" s="149">
        <v>40</v>
      </c>
      <c r="X39" s="149" t="s">
        <v>35</v>
      </c>
      <c r="Y39" s="149" t="s">
        <v>43</v>
      </c>
      <c r="Z39" s="149" t="s">
        <v>55</v>
      </c>
      <c r="AA39" s="149" t="s">
        <v>76</v>
      </c>
      <c r="AB39" s="149" t="s">
        <v>178</v>
      </c>
    </row>
    <row r="40" spans="1:28" x14ac:dyDescent="0.15">
      <c r="A40" s="149" t="s">
        <v>40</v>
      </c>
      <c r="B40" s="149" t="s">
        <v>174</v>
      </c>
      <c r="C40" s="149">
        <v>2020</v>
      </c>
      <c r="D40" s="157" t="s">
        <v>398</v>
      </c>
      <c r="E40" s="149" t="s">
        <v>181</v>
      </c>
      <c r="F40" s="149" t="s">
        <v>278</v>
      </c>
      <c r="G40" s="149" t="s">
        <v>25</v>
      </c>
      <c r="H40" s="149" t="s">
        <v>113</v>
      </c>
      <c r="I40" s="149" t="s">
        <v>111</v>
      </c>
      <c r="J40" s="77" t="s">
        <v>27</v>
      </c>
      <c r="K40" s="77" t="s">
        <v>112</v>
      </c>
      <c r="L40" s="149">
        <v>3</v>
      </c>
      <c r="N40" s="149">
        <v>8</v>
      </c>
      <c r="O40" s="149">
        <v>1.2</v>
      </c>
      <c r="P40" s="149">
        <v>1.35</v>
      </c>
      <c r="Q40" s="158">
        <f t="shared" si="1"/>
        <v>1.2749999999999999</v>
      </c>
      <c r="R40" s="149">
        <v>15.5</v>
      </c>
      <c r="S40" s="149">
        <v>87</v>
      </c>
      <c r="T40" s="159">
        <f t="shared" si="2"/>
        <v>36</v>
      </c>
      <c r="U40" s="149">
        <v>598</v>
      </c>
      <c r="V40" s="160">
        <f t="shared" si="0"/>
        <v>2691</v>
      </c>
      <c r="W40" s="149">
        <v>40</v>
      </c>
      <c r="X40" s="149" t="s">
        <v>35</v>
      </c>
      <c r="Y40" s="149" t="s">
        <v>43</v>
      </c>
      <c r="Z40" s="149" t="s">
        <v>55</v>
      </c>
      <c r="AA40" s="149" t="s">
        <v>76</v>
      </c>
      <c r="AB40" s="149" t="s">
        <v>178</v>
      </c>
    </row>
    <row r="41" spans="1:28" x14ac:dyDescent="0.15">
      <c r="A41" s="149" t="s">
        <v>40</v>
      </c>
      <c r="B41" s="149" t="s">
        <v>174</v>
      </c>
      <c r="C41" s="149">
        <v>2020</v>
      </c>
      <c r="D41" s="157" t="s">
        <v>398</v>
      </c>
      <c r="E41" s="149" t="s">
        <v>181</v>
      </c>
      <c r="F41" s="149" t="s">
        <v>278</v>
      </c>
      <c r="G41" s="149" t="s">
        <v>25</v>
      </c>
      <c r="H41" s="149" t="s">
        <v>164</v>
      </c>
      <c r="I41" s="149" t="s">
        <v>111</v>
      </c>
      <c r="J41" s="77" t="s">
        <v>27</v>
      </c>
      <c r="K41" s="77" t="s">
        <v>112</v>
      </c>
      <c r="L41" s="149">
        <v>1</v>
      </c>
      <c r="N41" s="149">
        <v>1</v>
      </c>
      <c r="O41" s="149">
        <v>1.1499999999999999</v>
      </c>
      <c r="P41" s="149">
        <v>1.05</v>
      </c>
      <c r="Q41" s="158">
        <f t="shared" si="1"/>
        <v>1.1000000000000001</v>
      </c>
      <c r="R41" s="149">
        <v>16.399999999999999</v>
      </c>
      <c r="S41" s="149">
        <v>132</v>
      </c>
      <c r="T41" s="159">
        <f t="shared" si="2"/>
        <v>25</v>
      </c>
      <c r="U41" s="149">
        <v>138</v>
      </c>
      <c r="V41" s="160">
        <f t="shared" si="0"/>
        <v>3450</v>
      </c>
      <c r="W41" s="149">
        <v>40</v>
      </c>
      <c r="X41" s="149" t="s">
        <v>35</v>
      </c>
      <c r="Y41" s="149" t="s">
        <v>43</v>
      </c>
      <c r="Z41" s="149" t="s">
        <v>55</v>
      </c>
      <c r="AA41" s="149" t="s">
        <v>76</v>
      </c>
      <c r="AB41" s="149" t="s">
        <v>178</v>
      </c>
    </row>
    <row r="42" spans="1:28" x14ac:dyDescent="0.15">
      <c r="A42" s="149" t="s">
        <v>40</v>
      </c>
      <c r="B42" s="149" t="s">
        <v>174</v>
      </c>
      <c r="C42" s="149">
        <v>2020</v>
      </c>
      <c r="D42" s="157" t="s">
        <v>398</v>
      </c>
      <c r="E42" s="149" t="s">
        <v>181</v>
      </c>
      <c r="F42" s="149" t="s">
        <v>278</v>
      </c>
      <c r="G42" s="149" t="s">
        <v>25</v>
      </c>
      <c r="H42" s="149" t="s">
        <v>164</v>
      </c>
      <c r="I42" s="149" t="s">
        <v>111</v>
      </c>
      <c r="J42" s="77" t="s">
        <v>27</v>
      </c>
      <c r="K42" s="77" t="s">
        <v>112</v>
      </c>
      <c r="L42" s="149">
        <v>2</v>
      </c>
      <c r="N42" s="149">
        <v>1</v>
      </c>
      <c r="O42" s="149">
        <v>1.1000000000000001</v>
      </c>
      <c r="P42" s="149">
        <v>1.1499999999999999</v>
      </c>
      <c r="Q42" s="158">
        <f t="shared" si="1"/>
        <v>1.125</v>
      </c>
      <c r="R42" s="149">
        <v>16.2</v>
      </c>
      <c r="S42" s="149">
        <v>130</v>
      </c>
      <c r="T42" s="159">
        <f t="shared" si="2"/>
        <v>25</v>
      </c>
      <c r="U42" s="149">
        <v>138</v>
      </c>
      <c r="V42" s="160">
        <f t="shared" si="0"/>
        <v>3450</v>
      </c>
      <c r="W42" s="149">
        <v>40</v>
      </c>
      <c r="X42" s="149" t="s">
        <v>35</v>
      </c>
      <c r="Y42" s="149" t="s">
        <v>43</v>
      </c>
      <c r="Z42" s="149" t="s">
        <v>55</v>
      </c>
      <c r="AA42" s="149" t="s">
        <v>76</v>
      </c>
      <c r="AB42" s="149" t="s">
        <v>178</v>
      </c>
    </row>
    <row r="43" spans="1:28" x14ac:dyDescent="0.15">
      <c r="A43" s="149" t="s">
        <v>40</v>
      </c>
      <c r="B43" s="149" t="s">
        <v>174</v>
      </c>
      <c r="C43" s="149">
        <v>2020</v>
      </c>
      <c r="D43" s="157" t="s">
        <v>398</v>
      </c>
      <c r="E43" s="149" t="s">
        <v>181</v>
      </c>
      <c r="F43" s="149" t="s">
        <v>278</v>
      </c>
      <c r="G43" s="149" t="s">
        <v>25</v>
      </c>
      <c r="H43" s="149" t="s">
        <v>164</v>
      </c>
      <c r="I43" s="149" t="s">
        <v>111</v>
      </c>
      <c r="J43" s="77" t="s">
        <v>27</v>
      </c>
      <c r="K43" s="77" t="s">
        <v>112</v>
      </c>
      <c r="L43" s="149">
        <v>3</v>
      </c>
      <c r="N43" s="149">
        <v>1</v>
      </c>
      <c r="O43" s="149">
        <v>1.2</v>
      </c>
      <c r="P43" s="149">
        <v>1</v>
      </c>
      <c r="Q43" s="158">
        <f t="shared" si="1"/>
        <v>1.1000000000000001</v>
      </c>
      <c r="R43" s="149">
        <v>16.8</v>
      </c>
      <c r="S43" s="149">
        <v>132</v>
      </c>
      <c r="T43" s="159">
        <f t="shared" si="2"/>
        <v>25</v>
      </c>
      <c r="U43" s="149">
        <v>138</v>
      </c>
      <c r="V43" s="160">
        <f t="shared" si="0"/>
        <v>3450</v>
      </c>
      <c r="W43" s="149">
        <v>40</v>
      </c>
      <c r="X43" s="149" t="s">
        <v>35</v>
      </c>
      <c r="Y43" s="149" t="s">
        <v>43</v>
      </c>
      <c r="Z43" s="149" t="s">
        <v>55</v>
      </c>
      <c r="AA43" s="149" t="s">
        <v>76</v>
      </c>
      <c r="AB43" s="149" t="s">
        <v>178</v>
      </c>
    </row>
    <row r="44" spans="1:28" x14ac:dyDescent="0.15">
      <c r="A44" s="149" t="s">
        <v>40</v>
      </c>
      <c r="B44" s="149" t="s">
        <v>174</v>
      </c>
      <c r="C44" s="149">
        <v>2020</v>
      </c>
      <c r="D44" s="157" t="s">
        <v>398</v>
      </c>
      <c r="E44" s="149" t="s">
        <v>181</v>
      </c>
      <c r="F44" s="149" t="s">
        <v>278</v>
      </c>
      <c r="G44" s="149" t="s">
        <v>25</v>
      </c>
      <c r="H44" s="149" t="s">
        <v>164</v>
      </c>
      <c r="I44" s="149" t="s">
        <v>111</v>
      </c>
      <c r="J44" s="77" t="s">
        <v>27</v>
      </c>
      <c r="K44" s="77" t="s">
        <v>112</v>
      </c>
      <c r="L44" s="149">
        <v>1</v>
      </c>
      <c r="N44" s="149">
        <v>2</v>
      </c>
      <c r="O44" s="149">
        <v>0.7</v>
      </c>
      <c r="P44" s="149">
        <v>0.7</v>
      </c>
      <c r="Q44" s="158">
        <f t="shared" si="1"/>
        <v>0.7</v>
      </c>
      <c r="R44" s="149">
        <v>17.8</v>
      </c>
      <c r="S44" s="149">
        <v>160</v>
      </c>
      <c r="T44" s="159">
        <f t="shared" si="2"/>
        <v>18</v>
      </c>
      <c r="U44" s="149">
        <v>398</v>
      </c>
      <c r="V44" s="160">
        <f t="shared" si="0"/>
        <v>3582</v>
      </c>
      <c r="W44" s="149">
        <v>40</v>
      </c>
      <c r="X44" s="149" t="s">
        <v>35</v>
      </c>
      <c r="Y44" s="149" t="s">
        <v>43</v>
      </c>
      <c r="Z44" s="149" t="s">
        <v>55</v>
      </c>
      <c r="AA44" s="149" t="s">
        <v>76</v>
      </c>
      <c r="AB44" s="149" t="s">
        <v>178</v>
      </c>
    </row>
    <row r="45" spans="1:28" x14ac:dyDescent="0.15">
      <c r="A45" s="149" t="s">
        <v>40</v>
      </c>
      <c r="B45" s="149" t="s">
        <v>174</v>
      </c>
      <c r="C45" s="149">
        <v>2020</v>
      </c>
      <c r="D45" s="157" t="s">
        <v>398</v>
      </c>
      <c r="E45" s="149" t="s">
        <v>181</v>
      </c>
      <c r="F45" s="149" t="s">
        <v>278</v>
      </c>
      <c r="G45" s="149" t="s">
        <v>25</v>
      </c>
      <c r="H45" s="149" t="s">
        <v>164</v>
      </c>
      <c r="I45" s="149" t="s">
        <v>111</v>
      </c>
      <c r="J45" s="77" t="s">
        <v>27</v>
      </c>
      <c r="K45" s="77" t="s">
        <v>112</v>
      </c>
      <c r="L45" s="149">
        <v>2</v>
      </c>
      <c r="N45" s="149">
        <v>2</v>
      </c>
      <c r="O45" s="149">
        <v>0.65</v>
      </c>
      <c r="P45" s="149">
        <v>0.75</v>
      </c>
      <c r="Q45" s="158">
        <f t="shared" si="1"/>
        <v>0.7</v>
      </c>
      <c r="R45" s="149">
        <v>18.100000000000001</v>
      </c>
      <c r="S45" s="149">
        <v>162</v>
      </c>
      <c r="T45" s="159">
        <f t="shared" si="2"/>
        <v>18</v>
      </c>
      <c r="U45" s="149">
        <v>398</v>
      </c>
      <c r="V45" s="160">
        <f t="shared" si="0"/>
        <v>3582</v>
      </c>
      <c r="W45" s="149">
        <v>40</v>
      </c>
      <c r="X45" s="149" t="s">
        <v>35</v>
      </c>
      <c r="Y45" s="149" t="s">
        <v>43</v>
      </c>
      <c r="Z45" s="149" t="s">
        <v>55</v>
      </c>
      <c r="AA45" s="149" t="s">
        <v>76</v>
      </c>
      <c r="AB45" s="149" t="s">
        <v>178</v>
      </c>
    </row>
    <row r="46" spans="1:28" x14ac:dyDescent="0.15">
      <c r="A46" s="149" t="s">
        <v>40</v>
      </c>
      <c r="B46" s="149" t="s">
        <v>174</v>
      </c>
      <c r="C46" s="149">
        <v>2020</v>
      </c>
      <c r="D46" s="157" t="s">
        <v>398</v>
      </c>
      <c r="E46" s="149" t="s">
        <v>181</v>
      </c>
      <c r="F46" s="149" t="s">
        <v>278</v>
      </c>
      <c r="G46" s="149" t="s">
        <v>25</v>
      </c>
      <c r="H46" s="149" t="s">
        <v>164</v>
      </c>
      <c r="I46" s="149" t="s">
        <v>111</v>
      </c>
      <c r="J46" s="77" t="s">
        <v>27</v>
      </c>
      <c r="K46" s="77" t="s">
        <v>112</v>
      </c>
      <c r="L46" s="149">
        <v>3</v>
      </c>
      <c r="N46" s="149">
        <v>2</v>
      </c>
      <c r="O46" s="149">
        <v>0.65</v>
      </c>
      <c r="P46" s="149">
        <v>0.7</v>
      </c>
      <c r="Q46" s="158">
        <f t="shared" si="1"/>
        <v>0.67500000000000004</v>
      </c>
      <c r="R46" s="149">
        <v>17.600000000000001</v>
      </c>
      <c r="S46" s="149">
        <v>154</v>
      </c>
      <c r="T46" s="159">
        <f t="shared" si="2"/>
        <v>18</v>
      </c>
      <c r="U46" s="149">
        <v>398</v>
      </c>
      <c r="V46" s="160">
        <f t="shared" si="0"/>
        <v>3582</v>
      </c>
      <c r="W46" s="149">
        <v>40</v>
      </c>
      <c r="X46" s="149" t="s">
        <v>35</v>
      </c>
      <c r="Y46" s="149" t="s">
        <v>43</v>
      </c>
      <c r="Z46" s="149" t="s">
        <v>55</v>
      </c>
      <c r="AA46" s="149" t="s">
        <v>76</v>
      </c>
      <c r="AB46" s="149" t="s">
        <v>178</v>
      </c>
    </row>
    <row r="47" spans="1:28" x14ac:dyDescent="0.15">
      <c r="A47" s="149" t="s">
        <v>40</v>
      </c>
      <c r="B47" s="149" t="s">
        <v>174</v>
      </c>
      <c r="C47" s="149">
        <v>2020</v>
      </c>
      <c r="D47" s="157" t="s">
        <v>398</v>
      </c>
      <c r="E47" s="149" t="s">
        <v>181</v>
      </c>
      <c r="F47" s="149" t="s">
        <v>278</v>
      </c>
      <c r="G47" s="149" t="s">
        <v>25</v>
      </c>
      <c r="H47" s="149" t="s">
        <v>164</v>
      </c>
      <c r="I47" s="149" t="s">
        <v>111</v>
      </c>
      <c r="J47" s="77" t="s">
        <v>27</v>
      </c>
      <c r="K47" s="77" t="s">
        <v>112</v>
      </c>
      <c r="L47" s="149">
        <v>1</v>
      </c>
      <c r="N47" s="149">
        <v>6</v>
      </c>
      <c r="O47" s="149">
        <v>0.75</v>
      </c>
      <c r="P47" s="149">
        <v>0.75</v>
      </c>
      <c r="Q47" s="158">
        <f t="shared" si="1"/>
        <v>0.75</v>
      </c>
      <c r="R47" s="149">
        <v>18.5</v>
      </c>
      <c r="S47" s="149">
        <v>150</v>
      </c>
      <c r="T47" s="159">
        <f t="shared" si="2"/>
        <v>22</v>
      </c>
      <c r="U47" s="149">
        <v>100</v>
      </c>
      <c r="V47" s="160">
        <f t="shared" si="0"/>
        <v>366.66666666666669</v>
      </c>
      <c r="W47" s="149">
        <v>40</v>
      </c>
      <c r="X47" s="149" t="s">
        <v>35</v>
      </c>
      <c r="Y47" s="149" t="s">
        <v>43</v>
      </c>
      <c r="Z47" s="149" t="s">
        <v>55</v>
      </c>
      <c r="AA47" s="149" t="s">
        <v>76</v>
      </c>
      <c r="AB47" s="149" t="s">
        <v>178</v>
      </c>
    </row>
    <row r="48" spans="1:28" x14ac:dyDescent="0.15">
      <c r="A48" s="149" t="s">
        <v>40</v>
      </c>
      <c r="B48" s="149" t="s">
        <v>174</v>
      </c>
      <c r="C48" s="149">
        <v>2020</v>
      </c>
      <c r="D48" s="157" t="s">
        <v>398</v>
      </c>
      <c r="E48" s="149" t="s">
        <v>181</v>
      </c>
      <c r="F48" s="149" t="s">
        <v>278</v>
      </c>
      <c r="G48" s="149" t="s">
        <v>25</v>
      </c>
      <c r="H48" s="149" t="s">
        <v>164</v>
      </c>
      <c r="I48" s="149" t="s">
        <v>111</v>
      </c>
      <c r="J48" s="77" t="s">
        <v>27</v>
      </c>
      <c r="K48" s="77" t="s">
        <v>112</v>
      </c>
      <c r="L48" s="149">
        <v>2</v>
      </c>
      <c r="N48" s="149">
        <v>6</v>
      </c>
      <c r="O48" s="149">
        <v>0.7</v>
      </c>
      <c r="P48" s="149">
        <v>0.75</v>
      </c>
      <c r="Q48" s="158">
        <f t="shared" si="1"/>
        <v>0.72499999999999998</v>
      </c>
      <c r="R48" s="149">
        <v>18.7</v>
      </c>
      <c r="S48" s="149">
        <v>164</v>
      </c>
      <c r="T48" s="159">
        <f t="shared" si="2"/>
        <v>18</v>
      </c>
      <c r="U48" s="149">
        <v>100</v>
      </c>
      <c r="V48" s="160">
        <f t="shared" si="0"/>
        <v>300</v>
      </c>
      <c r="W48" s="149">
        <v>40</v>
      </c>
      <c r="X48" s="149" t="s">
        <v>35</v>
      </c>
      <c r="Y48" s="149" t="s">
        <v>43</v>
      </c>
      <c r="Z48" s="149" t="s">
        <v>55</v>
      </c>
      <c r="AA48" s="149" t="s">
        <v>76</v>
      </c>
      <c r="AB48" s="149" t="s">
        <v>178</v>
      </c>
    </row>
    <row r="49" spans="1:28" x14ac:dyDescent="0.15">
      <c r="A49" s="149" t="s">
        <v>40</v>
      </c>
      <c r="B49" s="149" t="s">
        <v>174</v>
      </c>
      <c r="C49" s="149">
        <v>2020</v>
      </c>
      <c r="D49" s="157" t="s">
        <v>398</v>
      </c>
      <c r="E49" s="149" t="s">
        <v>181</v>
      </c>
      <c r="F49" s="149" t="s">
        <v>278</v>
      </c>
      <c r="G49" s="149" t="s">
        <v>25</v>
      </c>
      <c r="H49" s="149" t="s">
        <v>164</v>
      </c>
      <c r="I49" s="149" t="s">
        <v>111</v>
      </c>
      <c r="J49" s="77" t="s">
        <v>27</v>
      </c>
      <c r="K49" s="77" t="s">
        <v>112</v>
      </c>
      <c r="L49" s="149">
        <v>3</v>
      </c>
      <c r="N49" s="149">
        <v>6</v>
      </c>
      <c r="O49" s="149">
        <v>0.8</v>
      </c>
      <c r="P49" s="149">
        <v>0.7</v>
      </c>
      <c r="Q49" s="158">
        <f t="shared" si="1"/>
        <v>0.75</v>
      </c>
      <c r="R49" s="149">
        <v>18.8</v>
      </c>
      <c r="S49" s="149">
        <v>164</v>
      </c>
      <c r="T49" s="159">
        <f t="shared" si="2"/>
        <v>18</v>
      </c>
      <c r="U49" s="149">
        <v>100</v>
      </c>
      <c r="V49" s="160">
        <f t="shared" si="0"/>
        <v>300</v>
      </c>
      <c r="W49" s="149">
        <v>40</v>
      </c>
      <c r="X49" s="149" t="s">
        <v>35</v>
      </c>
      <c r="Y49" s="149" t="s">
        <v>43</v>
      </c>
      <c r="Z49" s="149" t="s">
        <v>55</v>
      </c>
      <c r="AA49" s="149" t="s">
        <v>76</v>
      </c>
      <c r="AB49" s="149" t="s">
        <v>178</v>
      </c>
    </row>
    <row r="50" spans="1:28" x14ac:dyDescent="0.15">
      <c r="A50" s="149" t="s">
        <v>40</v>
      </c>
      <c r="B50" s="149" t="s">
        <v>174</v>
      </c>
      <c r="C50" s="149">
        <v>2020</v>
      </c>
      <c r="D50" s="157" t="s">
        <v>398</v>
      </c>
      <c r="E50" s="149" t="s">
        <v>166</v>
      </c>
      <c r="F50" s="149" t="s">
        <v>271</v>
      </c>
      <c r="G50" s="149" t="s">
        <v>25</v>
      </c>
      <c r="H50" s="149" t="s">
        <v>113</v>
      </c>
      <c r="I50" s="149" t="s">
        <v>111</v>
      </c>
      <c r="J50" s="77" t="s">
        <v>27</v>
      </c>
      <c r="K50" s="77" t="s">
        <v>112</v>
      </c>
      <c r="L50" s="149">
        <v>1</v>
      </c>
      <c r="N50" s="149">
        <v>1</v>
      </c>
      <c r="O50" s="149">
        <v>0.95</v>
      </c>
      <c r="P50" s="149">
        <v>0.9</v>
      </c>
      <c r="Q50" s="158">
        <f t="shared" si="1"/>
        <v>0.92500000000000004</v>
      </c>
      <c r="R50" s="149">
        <v>14.4</v>
      </c>
      <c r="S50" s="149">
        <v>130</v>
      </c>
      <c r="T50" s="159">
        <f t="shared" si="2"/>
        <v>25</v>
      </c>
      <c r="U50" s="149">
        <v>128</v>
      </c>
      <c r="V50" s="160">
        <f t="shared" si="0"/>
        <v>3200</v>
      </c>
      <c r="W50" s="149">
        <v>26</v>
      </c>
      <c r="X50" s="149" t="s">
        <v>35</v>
      </c>
      <c r="Y50" s="149" t="s">
        <v>43</v>
      </c>
      <c r="Z50" s="149" t="s">
        <v>55</v>
      </c>
      <c r="AA50" s="149" t="s">
        <v>76</v>
      </c>
      <c r="AB50" s="149" t="s">
        <v>178</v>
      </c>
    </row>
    <row r="51" spans="1:28" x14ac:dyDescent="0.15">
      <c r="A51" s="149" t="s">
        <v>40</v>
      </c>
      <c r="B51" s="149" t="s">
        <v>174</v>
      </c>
      <c r="C51" s="149">
        <v>2020</v>
      </c>
      <c r="D51" s="157" t="s">
        <v>398</v>
      </c>
      <c r="E51" s="149" t="s">
        <v>166</v>
      </c>
      <c r="F51" s="149" t="s">
        <v>271</v>
      </c>
      <c r="G51" s="149" t="s">
        <v>25</v>
      </c>
      <c r="H51" s="149" t="s">
        <v>113</v>
      </c>
      <c r="I51" s="149" t="s">
        <v>111</v>
      </c>
      <c r="J51" s="77" t="s">
        <v>27</v>
      </c>
      <c r="K51" s="77" t="s">
        <v>112</v>
      </c>
      <c r="L51" s="149">
        <v>2</v>
      </c>
      <c r="N51" s="149">
        <v>1</v>
      </c>
      <c r="O51" s="149">
        <v>0.85</v>
      </c>
      <c r="P51" s="149">
        <v>0.9</v>
      </c>
      <c r="Q51" s="158">
        <f t="shared" si="1"/>
        <v>0.875</v>
      </c>
      <c r="R51" s="149">
        <v>14.7</v>
      </c>
      <c r="S51" s="149">
        <v>138</v>
      </c>
      <c r="T51" s="159">
        <f t="shared" si="2"/>
        <v>22</v>
      </c>
      <c r="U51" s="149">
        <v>128</v>
      </c>
      <c r="V51" s="160">
        <f t="shared" si="0"/>
        <v>2816</v>
      </c>
      <c r="W51" s="149">
        <v>26</v>
      </c>
      <c r="X51" s="149" t="s">
        <v>35</v>
      </c>
      <c r="Y51" s="149" t="s">
        <v>43</v>
      </c>
      <c r="Z51" s="149" t="s">
        <v>55</v>
      </c>
      <c r="AA51" s="149" t="s">
        <v>76</v>
      </c>
      <c r="AB51" s="149" t="s">
        <v>178</v>
      </c>
    </row>
    <row r="52" spans="1:28" x14ac:dyDescent="0.15">
      <c r="A52" s="149" t="s">
        <v>40</v>
      </c>
      <c r="B52" s="149" t="s">
        <v>174</v>
      </c>
      <c r="C52" s="149">
        <v>2020</v>
      </c>
      <c r="D52" s="157" t="s">
        <v>398</v>
      </c>
      <c r="E52" s="149" t="s">
        <v>166</v>
      </c>
      <c r="F52" s="149" t="s">
        <v>271</v>
      </c>
      <c r="G52" s="149" t="s">
        <v>25</v>
      </c>
      <c r="H52" s="149" t="s">
        <v>113</v>
      </c>
      <c r="I52" s="149" t="s">
        <v>111</v>
      </c>
      <c r="J52" s="77" t="s">
        <v>27</v>
      </c>
      <c r="K52" s="77" t="s">
        <v>112</v>
      </c>
      <c r="L52" s="149">
        <v>3</v>
      </c>
      <c r="N52" s="149">
        <v>1</v>
      </c>
      <c r="O52" s="149">
        <v>0.9</v>
      </c>
      <c r="P52" s="149">
        <v>1</v>
      </c>
      <c r="Q52" s="158">
        <f t="shared" si="1"/>
        <v>0.95</v>
      </c>
      <c r="R52" s="149">
        <v>14.1</v>
      </c>
      <c r="S52" s="149">
        <v>130</v>
      </c>
      <c r="T52" s="159">
        <f t="shared" si="2"/>
        <v>25</v>
      </c>
      <c r="U52" s="149">
        <v>128</v>
      </c>
      <c r="V52" s="160">
        <f t="shared" si="0"/>
        <v>3200</v>
      </c>
      <c r="W52" s="149">
        <v>26</v>
      </c>
      <c r="X52" s="149" t="s">
        <v>35</v>
      </c>
      <c r="Y52" s="149" t="s">
        <v>43</v>
      </c>
      <c r="Z52" s="149" t="s">
        <v>55</v>
      </c>
      <c r="AA52" s="149" t="s">
        <v>76</v>
      </c>
      <c r="AB52" s="149" t="s">
        <v>178</v>
      </c>
    </row>
    <row r="53" spans="1:28" x14ac:dyDescent="0.15">
      <c r="A53" s="149" t="s">
        <v>40</v>
      </c>
      <c r="B53" s="149" t="s">
        <v>174</v>
      </c>
      <c r="C53" s="149">
        <v>2020</v>
      </c>
      <c r="D53" s="157" t="s">
        <v>398</v>
      </c>
      <c r="E53" s="149" t="s">
        <v>166</v>
      </c>
      <c r="F53" s="149" t="s">
        <v>271</v>
      </c>
      <c r="G53" s="149" t="s">
        <v>25</v>
      </c>
      <c r="H53" s="149" t="s">
        <v>113</v>
      </c>
      <c r="I53" s="149" t="s">
        <v>111</v>
      </c>
      <c r="J53" s="77" t="s">
        <v>27</v>
      </c>
      <c r="K53" s="77" t="s">
        <v>112</v>
      </c>
      <c r="L53" s="149">
        <v>1</v>
      </c>
      <c r="N53" s="149">
        <v>5</v>
      </c>
      <c r="O53" s="149">
        <v>0.7</v>
      </c>
      <c r="P53" s="149">
        <v>0.7</v>
      </c>
      <c r="Q53" s="158">
        <f t="shared" si="1"/>
        <v>0.7</v>
      </c>
      <c r="R53" s="149">
        <v>13</v>
      </c>
      <c r="S53" s="149">
        <v>87</v>
      </c>
      <c r="T53" s="159">
        <f t="shared" si="2"/>
        <v>36</v>
      </c>
      <c r="U53" s="149">
        <v>398</v>
      </c>
      <c r="V53" s="160">
        <f t="shared" si="0"/>
        <v>2865.6</v>
      </c>
      <c r="W53" s="149">
        <v>26</v>
      </c>
      <c r="X53" s="149" t="s">
        <v>35</v>
      </c>
      <c r="Y53" s="149" t="s">
        <v>43</v>
      </c>
      <c r="Z53" s="149" t="s">
        <v>55</v>
      </c>
      <c r="AA53" s="149" t="s">
        <v>76</v>
      </c>
      <c r="AB53" s="149" t="s">
        <v>178</v>
      </c>
    </row>
    <row r="54" spans="1:28" x14ac:dyDescent="0.15">
      <c r="A54" s="149" t="s">
        <v>40</v>
      </c>
      <c r="B54" s="149" t="s">
        <v>174</v>
      </c>
      <c r="C54" s="149">
        <v>2020</v>
      </c>
      <c r="D54" s="157" t="s">
        <v>398</v>
      </c>
      <c r="E54" s="149" t="s">
        <v>166</v>
      </c>
      <c r="F54" s="149" t="s">
        <v>271</v>
      </c>
      <c r="G54" s="149" t="s">
        <v>25</v>
      </c>
      <c r="H54" s="149" t="s">
        <v>113</v>
      </c>
      <c r="I54" s="149" t="s">
        <v>111</v>
      </c>
      <c r="J54" s="77" t="s">
        <v>27</v>
      </c>
      <c r="K54" s="77" t="s">
        <v>112</v>
      </c>
      <c r="L54" s="149">
        <v>2</v>
      </c>
      <c r="N54" s="149">
        <v>5</v>
      </c>
      <c r="O54" s="149">
        <v>0.75</v>
      </c>
      <c r="P54" s="149">
        <v>0.65</v>
      </c>
      <c r="Q54" s="158">
        <f t="shared" si="1"/>
        <v>0.7</v>
      </c>
      <c r="R54" s="149">
        <v>12.7</v>
      </c>
      <c r="S54" s="149">
        <v>84</v>
      </c>
      <c r="T54" s="159">
        <f t="shared" si="2"/>
        <v>36</v>
      </c>
      <c r="U54" s="149">
        <v>398</v>
      </c>
      <c r="V54" s="160">
        <f t="shared" si="0"/>
        <v>2865.6</v>
      </c>
      <c r="W54" s="149">
        <v>26</v>
      </c>
      <c r="X54" s="149" t="s">
        <v>35</v>
      </c>
      <c r="Y54" s="149" t="s">
        <v>43</v>
      </c>
      <c r="Z54" s="149" t="s">
        <v>55</v>
      </c>
      <c r="AA54" s="149" t="s">
        <v>76</v>
      </c>
      <c r="AB54" s="149" t="s">
        <v>178</v>
      </c>
    </row>
    <row r="55" spans="1:28" x14ac:dyDescent="0.15">
      <c r="A55" s="149" t="s">
        <v>40</v>
      </c>
      <c r="B55" s="149" t="s">
        <v>174</v>
      </c>
      <c r="C55" s="149">
        <v>2020</v>
      </c>
      <c r="D55" s="157" t="s">
        <v>398</v>
      </c>
      <c r="E55" s="149" t="s">
        <v>166</v>
      </c>
      <c r="F55" s="149" t="s">
        <v>271</v>
      </c>
      <c r="G55" s="149" t="s">
        <v>25</v>
      </c>
      <c r="H55" s="149" t="s">
        <v>113</v>
      </c>
      <c r="I55" s="149" t="s">
        <v>111</v>
      </c>
      <c r="J55" s="77" t="s">
        <v>27</v>
      </c>
      <c r="K55" s="77" t="s">
        <v>112</v>
      </c>
      <c r="L55" s="149">
        <v>3</v>
      </c>
      <c r="N55" s="149">
        <v>5</v>
      </c>
      <c r="O55" s="149">
        <v>0.75</v>
      </c>
      <c r="P55" s="149">
        <v>0.75</v>
      </c>
      <c r="Q55" s="158">
        <f t="shared" si="1"/>
        <v>0.75</v>
      </c>
      <c r="R55" s="149">
        <v>13</v>
      </c>
      <c r="S55" s="149">
        <v>92</v>
      </c>
      <c r="T55" s="159">
        <f t="shared" si="2"/>
        <v>36</v>
      </c>
      <c r="U55" s="149">
        <v>398</v>
      </c>
      <c r="V55" s="160">
        <f t="shared" si="0"/>
        <v>2865.6</v>
      </c>
      <c r="W55" s="149">
        <v>26</v>
      </c>
      <c r="X55" s="149" t="s">
        <v>35</v>
      </c>
      <c r="Y55" s="149" t="s">
        <v>43</v>
      </c>
      <c r="Z55" s="149" t="s">
        <v>55</v>
      </c>
      <c r="AA55" s="149" t="s">
        <v>76</v>
      </c>
      <c r="AB55" s="149" t="s">
        <v>178</v>
      </c>
    </row>
    <row r="56" spans="1:28" x14ac:dyDescent="0.15">
      <c r="A56" s="149" t="s">
        <v>40</v>
      </c>
      <c r="B56" s="149" t="s">
        <v>174</v>
      </c>
      <c r="C56" s="149">
        <v>2020</v>
      </c>
      <c r="D56" s="157" t="s">
        <v>398</v>
      </c>
      <c r="E56" s="149" t="s">
        <v>166</v>
      </c>
      <c r="F56" s="149" t="s">
        <v>271</v>
      </c>
      <c r="G56" s="149" t="s">
        <v>25</v>
      </c>
      <c r="H56" s="149" t="s">
        <v>113</v>
      </c>
      <c r="I56" s="149" t="s">
        <v>111</v>
      </c>
      <c r="J56" s="77" t="s">
        <v>27</v>
      </c>
      <c r="K56" s="77" t="s">
        <v>112</v>
      </c>
      <c r="L56" s="149">
        <v>1</v>
      </c>
      <c r="N56" s="149">
        <v>8</v>
      </c>
      <c r="O56" s="149">
        <v>1.05</v>
      </c>
      <c r="P56" s="149">
        <v>1.2</v>
      </c>
      <c r="Q56" s="158">
        <f t="shared" si="1"/>
        <v>1.125</v>
      </c>
      <c r="R56" s="149">
        <v>14.2</v>
      </c>
      <c r="S56" s="149">
        <v>94</v>
      </c>
      <c r="T56" s="159">
        <f t="shared" si="2"/>
        <v>36</v>
      </c>
      <c r="U56" s="149">
        <v>498</v>
      </c>
      <c r="V56" s="160">
        <f t="shared" si="0"/>
        <v>2241</v>
      </c>
      <c r="W56" s="149">
        <v>26</v>
      </c>
      <c r="X56" s="149" t="s">
        <v>35</v>
      </c>
      <c r="Y56" s="149" t="s">
        <v>43</v>
      </c>
      <c r="Z56" s="149" t="s">
        <v>55</v>
      </c>
      <c r="AA56" s="149" t="s">
        <v>76</v>
      </c>
      <c r="AB56" s="149" t="s">
        <v>178</v>
      </c>
    </row>
    <row r="57" spans="1:28" x14ac:dyDescent="0.15">
      <c r="A57" s="149" t="s">
        <v>40</v>
      </c>
      <c r="B57" s="149" t="s">
        <v>174</v>
      </c>
      <c r="C57" s="149">
        <v>2020</v>
      </c>
      <c r="D57" s="157" t="s">
        <v>398</v>
      </c>
      <c r="E57" s="149" t="s">
        <v>166</v>
      </c>
      <c r="F57" s="149" t="s">
        <v>271</v>
      </c>
      <c r="G57" s="149" t="s">
        <v>25</v>
      </c>
      <c r="H57" s="149" t="s">
        <v>113</v>
      </c>
      <c r="I57" s="149" t="s">
        <v>111</v>
      </c>
      <c r="J57" s="77" t="s">
        <v>27</v>
      </c>
      <c r="K57" s="77" t="s">
        <v>112</v>
      </c>
      <c r="L57" s="149">
        <v>2</v>
      </c>
      <c r="N57" s="149">
        <v>8</v>
      </c>
      <c r="O57" s="149">
        <v>1.2</v>
      </c>
      <c r="P57" s="149">
        <v>1.1499999999999999</v>
      </c>
      <c r="Q57" s="158">
        <f t="shared" si="1"/>
        <v>1.1749999999999998</v>
      </c>
      <c r="R57" s="149">
        <v>13.8</v>
      </c>
      <c r="S57" s="149">
        <v>102</v>
      </c>
      <c r="T57" s="159">
        <f t="shared" si="2"/>
        <v>33</v>
      </c>
      <c r="U57" s="149">
        <v>498</v>
      </c>
      <c r="V57" s="160">
        <f t="shared" si="0"/>
        <v>2054.25</v>
      </c>
      <c r="W57" s="149">
        <v>26</v>
      </c>
      <c r="X57" s="149" t="s">
        <v>35</v>
      </c>
      <c r="Y57" s="149" t="s">
        <v>43</v>
      </c>
      <c r="Z57" s="149" t="s">
        <v>55</v>
      </c>
      <c r="AA57" s="149" t="s">
        <v>76</v>
      </c>
      <c r="AB57" s="149" t="s">
        <v>178</v>
      </c>
    </row>
    <row r="58" spans="1:28" x14ac:dyDescent="0.15">
      <c r="A58" s="149" t="s">
        <v>40</v>
      </c>
      <c r="B58" s="149" t="s">
        <v>174</v>
      </c>
      <c r="C58" s="149">
        <v>2020</v>
      </c>
      <c r="D58" s="157" t="s">
        <v>398</v>
      </c>
      <c r="E58" s="149" t="s">
        <v>166</v>
      </c>
      <c r="F58" s="149" t="s">
        <v>271</v>
      </c>
      <c r="G58" s="149" t="s">
        <v>25</v>
      </c>
      <c r="H58" s="149" t="s">
        <v>113</v>
      </c>
      <c r="I58" s="149" t="s">
        <v>111</v>
      </c>
      <c r="J58" s="77" t="s">
        <v>27</v>
      </c>
      <c r="K58" s="77" t="s">
        <v>112</v>
      </c>
      <c r="L58" s="149">
        <v>3</v>
      </c>
      <c r="N58" s="149">
        <v>8</v>
      </c>
      <c r="O58" s="149">
        <v>1.1000000000000001</v>
      </c>
      <c r="P58" s="149">
        <v>1.1000000000000001</v>
      </c>
      <c r="Q58" s="158">
        <f t="shared" si="1"/>
        <v>1.1000000000000001</v>
      </c>
      <c r="R58" s="149">
        <v>14.6</v>
      </c>
      <c r="S58" s="149">
        <v>106</v>
      </c>
      <c r="T58" s="159">
        <f t="shared" si="2"/>
        <v>33</v>
      </c>
      <c r="U58" s="149">
        <v>498</v>
      </c>
      <c r="V58" s="160">
        <f t="shared" si="0"/>
        <v>2054.25</v>
      </c>
      <c r="W58" s="149">
        <v>26</v>
      </c>
      <c r="X58" s="149" t="s">
        <v>35</v>
      </c>
      <c r="Y58" s="149" t="s">
        <v>43</v>
      </c>
      <c r="Z58" s="149" t="s">
        <v>55</v>
      </c>
      <c r="AA58" s="149" t="s">
        <v>76</v>
      </c>
      <c r="AB58" s="149" t="s">
        <v>178</v>
      </c>
    </row>
    <row r="59" spans="1:28" x14ac:dyDescent="0.15">
      <c r="A59" s="149" t="s">
        <v>40</v>
      </c>
      <c r="B59" s="149" t="s">
        <v>174</v>
      </c>
      <c r="C59" s="149">
        <v>2020</v>
      </c>
      <c r="D59" s="157" t="s">
        <v>398</v>
      </c>
      <c r="E59" s="149" t="s">
        <v>166</v>
      </c>
      <c r="F59" s="149" t="s">
        <v>271</v>
      </c>
      <c r="G59" s="149" t="s">
        <v>25</v>
      </c>
      <c r="H59" s="149" t="s">
        <v>215</v>
      </c>
      <c r="I59" s="149" t="s">
        <v>111</v>
      </c>
      <c r="J59" s="77" t="s">
        <v>279</v>
      </c>
      <c r="K59" s="77" t="s">
        <v>46</v>
      </c>
      <c r="L59" s="149">
        <v>1</v>
      </c>
      <c r="N59" s="149">
        <v>4</v>
      </c>
      <c r="O59" s="149">
        <v>0.65</v>
      </c>
      <c r="P59" s="149">
        <v>0.8</v>
      </c>
      <c r="Q59" s="158">
        <f t="shared" si="1"/>
        <v>0.72500000000000009</v>
      </c>
      <c r="R59" s="149">
        <v>12.6</v>
      </c>
      <c r="S59" s="149">
        <v>114</v>
      </c>
      <c r="T59" s="159">
        <f t="shared" si="2"/>
        <v>30</v>
      </c>
      <c r="U59" s="149">
        <v>398</v>
      </c>
      <c r="V59" s="160">
        <f t="shared" si="0"/>
        <v>2985</v>
      </c>
      <c r="W59" s="149">
        <v>26</v>
      </c>
      <c r="X59" s="149" t="s">
        <v>35</v>
      </c>
      <c r="Y59" s="149" t="s">
        <v>43</v>
      </c>
      <c r="Z59" s="149" t="s">
        <v>55</v>
      </c>
      <c r="AA59" s="149" t="s">
        <v>76</v>
      </c>
      <c r="AB59" s="149" t="s">
        <v>178</v>
      </c>
    </row>
    <row r="60" spans="1:28" x14ac:dyDescent="0.15">
      <c r="A60" s="149" t="s">
        <v>40</v>
      </c>
      <c r="B60" s="149" t="s">
        <v>174</v>
      </c>
      <c r="C60" s="149">
        <v>2020</v>
      </c>
      <c r="D60" s="157" t="s">
        <v>398</v>
      </c>
      <c r="E60" s="149" t="s">
        <v>166</v>
      </c>
      <c r="F60" s="149" t="s">
        <v>271</v>
      </c>
      <c r="G60" s="149" t="s">
        <v>25</v>
      </c>
      <c r="H60" s="149" t="s">
        <v>215</v>
      </c>
      <c r="I60" s="149" t="s">
        <v>111</v>
      </c>
      <c r="J60" s="77" t="s">
        <v>279</v>
      </c>
      <c r="K60" s="77" t="s">
        <v>46</v>
      </c>
      <c r="L60" s="149">
        <v>2</v>
      </c>
      <c r="N60" s="149">
        <v>4</v>
      </c>
      <c r="O60" s="149">
        <v>0.55000000000000004</v>
      </c>
      <c r="P60" s="149">
        <v>0.7</v>
      </c>
      <c r="Q60" s="158">
        <f t="shared" si="1"/>
        <v>0.625</v>
      </c>
      <c r="R60" s="149">
        <v>12.7</v>
      </c>
      <c r="S60" s="149">
        <v>108</v>
      </c>
      <c r="T60" s="159">
        <f t="shared" si="2"/>
        <v>33</v>
      </c>
      <c r="U60" s="149">
        <v>398</v>
      </c>
      <c r="V60" s="160">
        <f t="shared" si="0"/>
        <v>3283.5</v>
      </c>
      <c r="W60" s="149">
        <v>26</v>
      </c>
      <c r="X60" s="149" t="s">
        <v>35</v>
      </c>
      <c r="Y60" s="149" t="s">
        <v>43</v>
      </c>
      <c r="Z60" s="149" t="s">
        <v>55</v>
      </c>
      <c r="AA60" s="149" t="s">
        <v>76</v>
      </c>
      <c r="AB60" s="149" t="s">
        <v>178</v>
      </c>
    </row>
    <row r="61" spans="1:28" x14ac:dyDescent="0.15">
      <c r="A61" s="149" t="s">
        <v>40</v>
      </c>
      <c r="B61" s="149" t="s">
        <v>174</v>
      </c>
      <c r="C61" s="149">
        <v>2020</v>
      </c>
      <c r="D61" s="157" t="s">
        <v>398</v>
      </c>
      <c r="E61" s="149" t="s">
        <v>166</v>
      </c>
      <c r="F61" s="149" t="s">
        <v>271</v>
      </c>
      <c r="G61" s="149" t="s">
        <v>25</v>
      </c>
      <c r="H61" s="149" t="s">
        <v>215</v>
      </c>
      <c r="I61" s="149" t="s">
        <v>111</v>
      </c>
      <c r="J61" s="77" t="s">
        <v>279</v>
      </c>
      <c r="K61" s="77" t="s">
        <v>46</v>
      </c>
      <c r="L61" s="149">
        <v>3</v>
      </c>
      <c r="N61" s="149">
        <v>4</v>
      </c>
      <c r="O61" s="149">
        <v>0.5</v>
      </c>
      <c r="P61" s="149">
        <v>0.55000000000000004</v>
      </c>
      <c r="Q61" s="158">
        <f t="shared" si="1"/>
        <v>0.52500000000000002</v>
      </c>
      <c r="R61" s="149">
        <v>12.9</v>
      </c>
      <c r="S61" s="149">
        <v>112</v>
      </c>
      <c r="T61" s="159">
        <f t="shared" si="2"/>
        <v>33</v>
      </c>
      <c r="U61" s="149">
        <v>398</v>
      </c>
      <c r="V61" s="160">
        <f t="shared" si="0"/>
        <v>3283.5</v>
      </c>
      <c r="W61" s="149">
        <v>26</v>
      </c>
      <c r="X61" s="149" t="s">
        <v>35</v>
      </c>
      <c r="Y61" s="149" t="s">
        <v>43</v>
      </c>
      <c r="Z61" s="149" t="s">
        <v>55</v>
      </c>
      <c r="AA61" s="149" t="s">
        <v>76</v>
      </c>
      <c r="AB61" s="149" t="s">
        <v>178</v>
      </c>
    </row>
    <row r="62" spans="1:28" x14ac:dyDescent="0.15">
      <c r="A62" s="149" t="s">
        <v>40</v>
      </c>
      <c r="B62" s="149" t="s">
        <v>174</v>
      </c>
      <c r="C62" s="149">
        <v>2020</v>
      </c>
      <c r="D62" s="157" t="s">
        <v>398</v>
      </c>
      <c r="E62" s="149" t="s">
        <v>166</v>
      </c>
      <c r="F62" s="149" t="s">
        <v>271</v>
      </c>
      <c r="G62" s="149" t="s">
        <v>25</v>
      </c>
      <c r="H62" s="149" t="s">
        <v>164</v>
      </c>
      <c r="I62" s="149" t="s">
        <v>111</v>
      </c>
      <c r="J62" s="77" t="s">
        <v>27</v>
      </c>
      <c r="K62" s="77" t="s">
        <v>112</v>
      </c>
      <c r="L62" s="149">
        <v>1</v>
      </c>
      <c r="N62" s="149">
        <v>1</v>
      </c>
      <c r="O62" s="149">
        <v>1</v>
      </c>
      <c r="P62" s="149">
        <v>0.85</v>
      </c>
      <c r="Q62" s="158">
        <f t="shared" si="1"/>
        <v>0.92500000000000004</v>
      </c>
      <c r="R62" s="149">
        <v>15.2</v>
      </c>
      <c r="S62" s="149">
        <v>120</v>
      </c>
      <c r="T62" s="159">
        <f t="shared" si="2"/>
        <v>30</v>
      </c>
      <c r="U62" s="149">
        <v>128</v>
      </c>
      <c r="V62" s="160">
        <f t="shared" si="0"/>
        <v>3840</v>
      </c>
      <c r="W62" s="149">
        <v>26</v>
      </c>
      <c r="X62" s="149" t="s">
        <v>35</v>
      </c>
      <c r="Y62" s="149" t="s">
        <v>43</v>
      </c>
      <c r="Z62" s="149" t="s">
        <v>55</v>
      </c>
      <c r="AA62" s="149" t="s">
        <v>76</v>
      </c>
      <c r="AB62" s="149" t="s">
        <v>178</v>
      </c>
    </row>
    <row r="63" spans="1:28" x14ac:dyDescent="0.15">
      <c r="A63" s="149" t="s">
        <v>40</v>
      </c>
      <c r="B63" s="149" t="s">
        <v>174</v>
      </c>
      <c r="C63" s="149">
        <v>2020</v>
      </c>
      <c r="D63" s="157" t="s">
        <v>398</v>
      </c>
      <c r="E63" s="149" t="s">
        <v>166</v>
      </c>
      <c r="F63" s="149" t="s">
        <v>271</v>
      </c>
      <c r="G63" s="149" t="s">
        <v>25</v>
      </c>
      <c r="H63" s="149" t="s">
        <v>164</v>
      </c>
      <c r="I63" s="149" t="s">
        <v>111</v>
      </c>
      <c r="J63" s="77" t="s">
        <v>27</v>
      </c>
      <c r="K63" s="77" t="s">
        <v>112</v>
      </c>
      <c r="L63" s="149">
        <v>2</v>
      </c>
      <c r="N63" s="149">
        <v>1</v>
      </c>
      <c r="O63" s="149">
        <v>0.95</v>
      </c>
      <c r="P63" s="149">
        <v>0.9</v>
      </c>
      <c r="Q63" s="158">
        <f t="shared" si="1"/>
        <v>0.92500000000000004</v>
      </c>
      <c r="R63" s="149">
        <v>15.6</v>
      </c>
      <c r="S63" s="149">
        <v>124</v>
      </c>
      <c r="T63" s="159">
        <f t="shared" si="2"/>
        <v>27</v>
      </c>
      <c r="U63" s="149">
        <v>128</v>
      </c>
      <c r="V63" s="160">
        <f t="shared" si="0"/>
        <v>3456</v>
      </c>
      <c r="W63" s="149">
        <v>26</v>
      </c>
      <c r="X63" s="149" t="s">
        <v>35</v>
      </c>
      <c r="Y63" s="149" t="s">
        <v>43</v>
      </c>
      <c r="Z63" s="149" t="s">
        <v>55</v>
      </c>
      <c r="AA63" s="149" t="s">
        <v>76</v>
      </c>
      <c r="AB63" s="149" t="s">
        <v>178</v>
      </c>
    </row>
    <row r="64" spans="1:28" x14ac:dyDescent="0.15">
      <c r="A64" s="149" t="s">
        <v>40</v>
      </c>
      <c r="B64" s="149" t="s">
        <v>174</v>
      </c>
      <c r="C64" s="149">
        <v>2020</v>
      </c>
      <c r="D64" s="157" t="s">
        <v>398</v>
      </c>
      <c r="E64" s="149" t="s">
        <v>166</v>
      </c>
      <c r="F64" s="149" t="s">
        <v>271</v>
      </c>
      <c r="G64" s="149" t="s">
        <v>25</v>
      </c>
      <c r="H64" s="149" t="s">
        <v>164</v>
      </c>
      <c r="I64" s="149" t="s">
        <v>111</v>
      </c>
      <c r="J64" s="77" t="s">
        <v>27</v>
      </c>
      <c r="K64" s="77" t="s">
        <v>112</v>
      </c>
      <c r="L64" s="149">
        <v>3</v>
      </c>
      <c r="N64" s="149">
        <v>1</v>
      </c>
      <c r="O64" s="149">
        <v>0.9</v>
      </c>
      <c r="P64" s="149">
        <v>0.95</v>
      </c>
      <c r="Q64" s="158">
        <f t="shared" si="1"/>
        <v>0.92500000000000004</v>
      </c>
      <c r="R64" s="149">
        <v>16.399999999999999</v>
      </c>
      <c r="S64" s="149">
        <v>128</v>
      </c>
      <c r="T64" s="159">
        <f t="shared" si="2"/>
        <v>27</v>
      </c>
      <c r="U64" s="149">
        <v>128</v>
      </c>
      <c r="V64" s="160">
        <f t="shared" si="0"/>
        <v>3456</v>
      </c>
      <c r="W64" s="149">
        <v>26</v>
      </c>
      <c r="X64" s="149" t="s">
        <v>35</v>
      </c>
      <c r="Y64" s="149" t="s">
        <v>43</v>
      </c>
      <c r="Z64" s="149" t="s">
        <v>55</v>
      </c>
      <c r="AA64" s="149" t="s">
        <v>76</v>
      </c>
      <c r="AB64" s="149" t="s">
        <v>178</v>
      </c>
    </row>
    <row r="65" spans="1:28" x14ac:dyDescent="0.15">
      <c r="A65" s="149" t="s">
        <v>40</v>
      </c>
      <c r="B65" s="149" t="s">
        <v>174</v>
      </c>
      <c r="C65" s="149">
        <v>2020</v>
      </c>
      <c r="D65" s="157" t="s">
        <v>398</v>
      </c>
      <c r="E65" s="149" t="s">
        <v>166</v>
      </c>
      <c r="F65" s="149" t="s">
        <v>271</v>
      </c>
      <c r="G65" s="149" t="s">
        <v>25</v>
      </c>
      <c r="H65" s="149" t="s">
        <v>164</v>
      </c>
      <c r="I65" s="149" t="s">
        <v>111</v>
      </c>
      <c r="J65" s="77" t="s">
        <v>27</v>
      </c>
      <c r="K65" s="77" t="s">
        <v>112</v>
      </c>
      <c r="L65" s="149">
        <v>1</v>
      </c>
      <c r="N65" s="149">
        <v>5</v>
      </c>
      <c r="O65" s="149">
        <v>0.6</v>
      </c>
      <c r="P65" s="149">
        <v>0.65</v>
      </c>
      <c r="Q65" s="158">
        <f t="shared" si="1"/>
        <v>0.625</v>
      </c>
      <c r="R65" s="149">
        <v>14.6</v>
      </c>
      <c r="S65" s="149">
        <v>86</v>
      </c>
      <c r="T65" s="159">
        <f t="shared" si="2"/>
        <v>36</v>
      </c>
      <c r="U65" s="149">
        <v>498</v>
      </c>
      <c r="V65" s="159">
        <f t="shared" si="0"/>
        <v>3585.6</v>
      </c>
      <c r="W65" s="149">
        <v>26</v>
      </c>
      <c r="X65" s="149" t="s">
        <v>35</v>
      </c>
      <c r="Y65" s="149" t="s">
        <v>43</v>
      </c>
      <c r="Z65" s="149" t="s">
        <v>55</v>
      </c>
      <c r="AA65" s="149" t="s">
        <v>76</v>
      </c>
      <c r="AB65" s="149" t="s">
        <v>178</v>
      </c>
    </row>
    <row r="66" spans="1:28" x14ac:dyDescent="0.15">
      <c r="A66" s="149" t="s">
        <v>40</v>
      </c>
      <c r="B66" s="149" t="s">
        <v>174</v>
      </c>
      <c r="C66" s="149">
        <v>2020</v>
      </c>
      <c r="D66" s="157" t="s">
        <v>398</v>
      </c>
      <c r="E66" s="149" t="s">
        <v>166</v>
      </c>
      <c r="F66" s="149" t="s">
        <v>271</v>
      </c>
      <c r="G66" s="149" t="s">
        <v>25</v>
      </c>
      <c r="H66" s="149" t="s">
        <v>164</v>
      </c>
      <c r="I66" s="149" t="s">
        <v>111</v>
      </c>
      <c r="J66" s="77" t="s">
        <v>27</v>
      </c>
      <c r="K66" s="77" t="s">
        <v>112</v>
      </c>
      <c r="L66" s="149">
        <v>2</v>
      </c>
      <c r="N66" s="149">
        <v>5</v>
      </c>
      <c r="O66" s="149">
        <v>0.65</v>
      </c>
      <c r="P66" s="149">
        <v>0.75</v>
      </c>
      <c r="Q66" s="158">
        <f t="shared" si="1"/>
        <v>0.7</v>
      </c>
      <c r="R66" s="149">
        <v>15.6</v>
      </c>
      <c r="S66" s="149">
        <v>87</v>
      </c>
      <c r="T66" s="159">
        <f t="shared" si="2"/>
        <v>36</v>
      </c>
      <c r="U66" s="149">
        <v>498</v>
      </c>
      <c r="V66" s="159">
        <f t="shared" ref="V66:V129" si="3">IF(OR(N66="",U66="",T66=""),"",U66/N66*T66)</f>
        <v>3585.6</v>
      </c>
      <c r="W66" s="149">
        <v>26</v>
      </c>
      <c r="X66" s="149" t="s">
        <v>35</v>
      </c>
      <c r="Y66" s="149" t="s">
        <v>43</v>
      </c>
      <c r="Z66" s="149" t="s">
        <v>55</v>
      </c>
      <c r="AA66" s="149" t="s">
        <v>76</v>
      </c>
      <c r="AB66" s="149" t="s">
        <v>178</v>
      </c>
    </row>
    <row r="67" spans="1:28" x14ac:dyDescent="0.15">
      <c r="A67" s="149" t="s">
        <v>40</v>
      </c>
      <c r="B67" s="149" t="s">
        <v>174</v>
      </c>
      <c r="C67" s="149">
        <v>2020</v>
      </c>
      <c r="D67" s="157" t="s">
        <v>398</v>
      </c>
      <c r="E67" s="149" t="s">
        <v>166</v>
      </c>
      <c r="F67" s="149" t="s">
        <v>271</v>
      </c>
      <c r="G67" s="149" t="s">
        <v>25</v>
      </c>
      <c r="H67" s="149" t="s">
        <v>164</v>
      </c>
      <c r="I67" s="149" t="s">
        <v>111</v>
      </c>
      <c r="J67" s="77" t="s">
        <v>27</v>
      </c>
      <c r="K67" s="77" t="s">
        <v>112</v>
      </c>
      <c r="L67" s="149">
        <v>3</v>
      </c>
      <c r="N67" s="149">
        <v>5</v>
      </c>
      <c r="O67" s="149">
        <v>0.65</v>
      </c>
      <c r="P67" s="149">
        <v>0.65</v>
      </c>
      <c r="Q67" s="158">
        <f t="shared" ref="Q67:Q130" si="4">IF(OR(O67="",P67=""),"",AVERAGE(O67,P67))</f>
        <v>0.65</v>
      </c>
      <c r="R67" s="149">
        <v>15.2</v>
      </c>
      <c r="S67" s="149">
        <v>93</v>
      </c>
      <c r="T67" s="159">
        <f t="shared" ref="T67:T130" si="5">IF(H67="","",IF(OR(H67="GREEN",H67="GK"),IF(S67&gt;=$AX$2,VLOOKUP(S67,$AX$2:$AY$12,2,1),""),IF(S67&gt;=$AZ$2,VLOOKUP(S67,$AZ$2:$BA$12,2,1),"")))</f>
        <v>36</v>
      </c>
      <c r="U67" s="149">
        <v>498</v>
      </c>
      <c r="V67" s="159">
        <f t="shared" si="3"/>
        <v>3585.6</v>
      </c>
      <c r="W67" s="149">
        <v>26</v>
      </c>
      <c r="X67" s="149" t="s">
        <v>35</v>
      </c>
      <c r="Y67" s="149" t="s">
        <v>43</v>
      </c>
      <c r="Z67" s="149" t="s">
        <v>55</v>
      </c>
      <c r="AA67" s="149" t="s">
        <v>76</v>
      </c>
      <c r="AB67" s="149" t="s">
        <v>178</v>
      </c>
    </row>
    <row r="68" spans="1:28" x14ac:dyDescent="0.15">
      <c r="A68" s="149" t="s">
        <v>40</v>
      </c>
      <c r="B68" s="149" t="s">
        <v>174</v>
      </c>
      <c r="C68" s="149">
        <v>2020</v>
      </c>
      <c r="D68" s="157" t="s">
        <v>398</v>
      </c>
      <c r="E68" s="149" t="s">
        <v>166</v>
      </c>
      <c r="F68" s="149" t="s">
        <v>271</v>
      </c>
      <c r="G68" s="149" t="s">
        <v>25</v>
      </c>
      <c r="H68" s="149" t="s">
        <v>164</v>
      </c>
      <c r="I68" s="149" t="s">
        <v>111</v>
      </c>
      <c r="J68" s="77" t="s">
        <v>27</v>
      </c>
      <c r="K68" s="77" t="s">
        <v>112</v>
      </c>
      <c r="L68" s="149">
        <v>1</v>
      </c>
      <c r="N68" s="149">
        <v>8</v>
      </c>
      <c r="O68" s="149">
        <v>1.3</v>
      </c>
      <c r="P68" s="149">
        <v>1.2</v>
      </c>
      <c r="Q68" s="158">
        <f t="shared" si="4"/>
        <v>1.25</v>
      </c>
      <c r="R68" s="149">
        <v>16.3</v>
      </c>
      <c r="S68" s="149">
        <v>102</v>
      </c>
      <c r="T68" s="159">
        <f t="shared" si="5"/>
        <v>33</v>
      </c>
      <c r="U68" s="149">
        <v>698</v>
      </c>
      <c r="V68" s="159">
        <f t="shared" si="3"/>
        <v>2879.25</v>
      </c>
      <c r="W68" s="149">
        <v>26</v>
      </c>
      <c r="X68" s="149" t="s">
        <v>35</v>
      </c>
      <c r="Y68" s="149" t="s">
        <v>43</v>
      </c>
      <c r="Z68" s="149" t="s">
        <v>55</v>
      </c>
      <c r="AA68" s="149" t="s">
        <v>76</v>
      </c>
      <c r="AB68" s="149" t="s">
        <v>178</v>
      </c>
    </row>
    <row r="69" spans="1:28" x14ac:dyDescent="0.15">
      <c r="A69" s="149" t="s">
        <v>40</v>
      </c>
      <c r="B69" s="149" t="s">
        <v>174</v>
      </c>
      <c r="C69" s="149">
        <v>2020</v>
      </c>
      <c r="D69" s="157" t="s">
        <v>398</v>
      </c>
      <c r="E69" s="149" t="s">
        <v>166</v>
      </c>
      <c r="F69" s="149" t="s">
        <v>271</v>
      </c>
      <c r="G69" s="149" t="s">
        <v>25</v>
      </c>
      <c r="H69" s="149" t="s">
        <v>164</v>
      </c>
      <c r="I69" s="149" t="s">
        <v>111</v>
      </c>
      <c r="J69" s="77" t="s">
        <v>27</v>
      </c>
      <c r="K69" s="77" t="s">
        <v>112</v>
      </c>
      <c r="L69" s="149">
        <v>2</v>
      </c>
      <c r="N69" s="149">
        <v>8</v>
      </c>
      <c r="O69" s="149">
        <v>0.9</v>
      </c>
      <c r="P69" s="149">
        <v>1.1000000000000001</v>
      </c>
      <c r="Q69" s="158">
        <f t="shared" si="4"/>
        <v>1</v>
      </c>
      <c r="R69" s="149">
        <v>17.2</v>
      </c>
      <c r="S69" s="149">
        <v>126</v>
      </c>
      <c r="T69" s="159">
        <f t="shared" si="5"/>
        <v>27</v>
      </c>
      <c r="U69" s="149">
        <v>698</v>
      </c>
      <c r="V69" s="159">
        <f t="shared" si="3"/>
        <v>2355.75</v>
      </c>
      <c r="W69" s="149">
        <v>26</v>
      </c>
      <c r="X69" s="149" t="s">
        <v>35</v>
      </c>
      <c r="Y69" s="149" t="s">
        <v>43</v>
      </c>
      <c r="Z69" s="149" t="s">
        <v>55</v>
      </c>
      <c r="AA69" s="149" t="s">
        <v>76</v>
      </c>
      <c r="AB69" s="149" t="s">
        <v>178</v>
      </c>
    </row>
    <row r="70" spans="1:28" x14ac:dyDescent="0.15">
      <c r="A70" s="149" t="s">
        <v>40</v>
      </c>
      <c r="B70" s="149" t="s">
        <v>174</v>
      </c>
      <c r="C70" s="149">
        <v>2020</v>
      </c>
      <c r="D70" s="157" t="s">
        <v>398</v>
      </c>
      <c r="E70" s="149" t="s">
        <v>166</v>
      </c>
      <c r="F70" s="149" t="s">
        <v>271</v>
      </c>
      <c r="G70" s="149" t="s">
        <v>25</v>
      </c>
      <c r="H70" s="149" t="s">
        <v>164</v>
      </c>
      <c r="I70" s="149" t="s">
        <v>111</v>
      </c>
      <c r="J70" s="77" t="s">
        <v>27</v>
      </c>
      <c r="K70" s="77" t="s">
        <v>112</v>
      </c>
      <c r="L70" s="149">
        <v>3</v>
      </c>
      <c r="N70" s="149">
        <v>8</v>
      </c>
      <c r="O70" s="149">
        <v>1.4</v>
      </c>
      <c r="P70" s="149">
        <v>1.25</v>
      </c>
      <c r="Q70" s="158">
        <f t="shared" si="4"/>
        <v>1.325</v>
      </c>
      <c r="R70" s="149">
        <v>15.8</v>
      </c>
      <c r="S70" s="149">
        <v>96</v>
      </c>
      <c r="T70" s="159">
        <f t="shared" si="5"/>
        <v>36</v>
      </c>
      <c r="U70" s="149">
        <v>698</v>
      </c>
      <c r="V70" s="159">
        <f t="shared" si="3"/>
        <v>3141</v>
      </c>
      <c r="W70" s="149">
        <v>26</v>
      </c>
      <c r="X70" s="149" t="s">
        <v>35</v>
      </c>
      <c r="Y70" s="149" t="s">
        <v>43</v>
      </c>
      <c r="Z70" s="149" t="s">
        <v>55</v>
      </c>
      <c r="AA70" s="149" t="s">
        <v>76</v>
      </c>
      <c r="AB70" s="149" t="s">
        <v>178</v>
      </c>
    </row>
    <row r="71" spans="1:28" x14ac:dyDescent="0.15">
      <c r="A71" s="149" t="s">
        <v>40</v>
      </c>
      <c r="B71" s="149" t="s">
        <v>174</v>
      </c>
      <c r="C71" s="149">
        <v>2020</v>
      </c>
      <c r="D71" s="157" t="s">
        <v>398</v>
      </c>
      <c r="E71" s="149" t="s">
        <v>166</v>
      </c>
      <c r="F71" s="149" t="s">
        <v>271</v>
      </c>
      <c r="G71" s="149" t="s">
        <v>25</v>
      </c>
      <c r="H71" s="149" t="s">
        <v>164</v>
      </c>
      <c r="I71" s="149" t="s">
        <v>170</v>
      </c>
      <c r="J71" s="77" t="s">
        <v>27</v>
      </c>
      <c r="K71" s="77" t="s">
        <v>112</v>
      </c>
      <c r="L71" s="149">
        <v>1</v>
      </c>
      <c r="N71" s="149">
        <v>2</v>
      </c>
      <c r="O71" s="149">
        <v>0.7</v>
      </c>
      <c r="P71" s="149">
        <v>0.8</v>
      </c>
      <c r="Q71" s="158">
        <f t="shared" si="4"/>
        <v>0.75</v>
      </c>
      <c r="R71" s="149">
        <v>17.7</v>
      </c>
      <c r="S71" s="149">
        <v>144</v>
      </c>
      <c r="T71" s="159">
        <f t="shared" si="5"/>
        <v>22</v>
      </c>
      <c r="U71" s="149">
        <v>398</v>
      </c>
      <c r="V71" s="159">
        <f t="shared" si="3"/>
        <v>4378</v>
      </c>
      <c r="W71" s="149">
        <v>26</v>
      </c>
      <c r="X71" s="149" t="s">
        <v>35</v>
      </c>
      <c r="Y71" s="149" t="s">
        <v>43</v>
      </c>
      <c r="Z71" s="149" t="s">
        <v>55</v>
      </c>
      <c r="AA71" s="149" t="s">
        <v>76</v>
      </c>
      <c r="AB71" s="149" t="s">
        <v>178</v>
      </c>
    </row>
    <row r="72" spans="1:28" x14ac:dyDescent="0.15">
      <c r="A72" s="149" t="s">
        <v>40</v>
      </c>
      <c r="B72" s="149" t="s">
        <v>174</v>
      </c>
      <c r="C72" s="149">
        <v>2020</v>
      </c>
      <c r="D72" s="157" t="s">
        <v>398</v>
      </c>
      <c r="E72" s="149" t="s">
        <v>166</v>
      </c>
      <c r="F72" s="149" t="s">
        <v>271</v>
      </c>
      <c r="G72" s="149" t="s">
        <v>25</v>
      </c>
      <c r="H72" s="149" t="s">
        <v>164</v>
      </c>
      <c r="I72" s="149" t="s">
        <v>170</v>
      </c>
      <c r="J72" s="77" t="s">
        <v>27</v>
      </c>
      <c r="K72" s="77" t="s">
        <v>112</v>
      </c>
      <c r="L72" s="149">
        <v>2</v>
      </c>
      <c r="N72" s="149">
        <v>2</v>
      </c>
      <c r="O72" s="149">
        <v>0.75</v>
      </c>
      <c r="P72" s="149">
        <v>0.7</v>
      </c>
      <c r="Q72" s="158">
        <f t="shared" si="4"/>
        <v>0.72499999999999998</v>
      </c>
      <c r="R72" s="149">
        <v>18</v>
      </c>
      <c r="S72" s="149">
        <v>138</v>
      </c>
      <c r="T72" s="159">
        <f t="shared" si="5"/>
        <v>22</v>
      </c>
      <c r="U72" s="149">
        <v>398</v>
      </c>
      <c r="V72" s="159">
        <f t="shared" si="3"/>
        <v>4378</v>
      </c>
      <c r="W72" s="149">
        <v>26</v>
      </c>
      <c r="X72" s="149" t="s">
        <v>35</v>
      </c>
      <c r="Y72" s="149" t="s">
        <v>43</v>
      </c>
      <c r="Z72" s="149" t="s">
        <v>55</v>
      </c>
      <c r="AA72" s="149" t="s">
        <v>76</v>
      </c>
      <c r="AB72" s="149" t="s">
        <v>178</v>
      </c>
    </row>
    <row r="73" spans="1:28" x14ac:dyDescent="0.15">
      <c r="A73" s="149" t="s">
        <v>40</v>
      </c>
      <c r="B73" s="149" t="s">
        <v>174</v>
      </c>
      <c r="C73" s="149">
        <v>2020</v>
      </c>
      <c r="D73" s="157" t="s">
        <v>398</v>
      </c>
      <c r="E73" s="149" t="s">
        <v>166</v>
      </c>
      <c r="F73" s="149" t="s">
        <v>271</v>
      </c>
      <c r="G73" s="149" t="s">
        <v>25</v>
      </c>
      <c r="H73" s="149" t="s">
        <v>164</v>
      </c>
      <c r="I73" s="149" t="s">
        <v>170</v>
      </c>
      <c r="J73" s="77" t="s">
        <v>27</v>
      </c>
      <c r="K73" s="77" t="s">
        <v>112</v>
      </c>
      <c r="L73" s="149">
        <v>3</v>
      </c>
      <c r="N73" s="149">
        <v>2</v>
      </c>
      <c r="O73" s="149">
        <v>0.7</v>
      </c>
      <c r="P73" s="149">
        <v>0.75</v>
      </c>
      <c r="Q73" s="158">
        <f t="shared" si="4"/>
        <v>0.72499999999999998</v>
      </c>
      <c r="R73" s="149">
        <v>18.399999999999999</v>
      </c>
      <c r="S73" s="149">
        <v>144</v>
      </c>
      <c r="T73" s="159">
        <f t="shared" si="5"/>
        <v>22</v>
      </c>
      <c r="U73" s="149">
        <v>398</v>
      </c>
      <c r="V73" s="159">
        <f t="shared" si="3"/>
        <v>4378</v>
      </c>
      <c r="W73" s="149">
        <v>26</v>
      </c>
      <c r="X73" s="149" t="s">
        <v>35</v>
      </c>
      <c r="Y73" s="149" t="s">
        <v>43</v>
      </c>
      <c r="Z73" s="149" t="s">
        <v>55</v>
      </c>
      <c r="AA73" s="149" t="s">
        <v>76</v>
      </c>
      <c r="AB73" s="149" t="s">
        <v>178</v>
      </c>
    </row>
    <row r="74" spans="1:28" x14ac:dyDescent="0.15">
      <c r="A74" s="149" t="s">
        <v>40</v>
      </c>
      <c r="B74" s="149" t="s">
        <v>174</v>
      </c>
      <c r="C74" s="149">
        <v>2020</v>
      </c>
      <c r="D74" s="157" t="s">
        <v>398</v>
      </c>
      <c r="E74" s="149" t="s">
        <v>166</v>
      </c>
      <c r="F74" s="149" t="s">
        <v>271</v>
      </c>
      <c r="G74" s="149" t="s">
        <v>25</v>
      </c>
      <c r="H74" s="149" t="s">
        <v>217</v>
      </c>
      <c r="I74" s="149" t="s">
        <v>111</v>
      </c>
      <c r="J74" s="77" t="s">
        <v>66</v>
      </c>
      <c r="K74" s="77" t="s">
        <v>34</v>
      </c>
      <c r="L74" s="149">
        <v>1</v>
      </c>
      <c r="N74" s="149">
        <v>5</v>
      </c>
      <c r="O74" s="149">
        <v>0.6</v>
      </c>
      <c r="P74" s="149">
        <v>0.7</v>
      </c>
      <c r="Q74" s="158">
        <f t="shared" si="4"/>
        <v>0.64999999999999991</v>
      </c>
      <c r="R74" s="149">
        <v>18.100000000000001</v>
      </c>
      <c r="S74" s="149">
        <v>83</v>
      </c>
      <c r="T74" s="159">
        <f t="shared" si="5"/>
        <v>39</v>
      </c>
      <c r="U74" s="149">
        <v>298</v>
      </c>
      <c r="V74" s="159">
        <f t="shared" si="3"/>
        <v>2324.4</v>
      </c>
      <c r="W74" s="149">
        <v>26</v>
      </c>
      <c r="X74" s="149" t="s">
        <v>35</v>
      </c>
      <c r="Y74" s="149" t="s">
        <v>43</v>
      </c>
      <c r="Z74" s="149" t="s">
        <v>55</v>
      </c>
      <c r="AA74" s="149" t="s">
        <v>76</v>
      </c>
      <c r="AB74" s="149" t="s">
        <v>178</v>
      </c>
    </row>
    <row r="75" spans="1:28" x14ac:dyDescent="0.15">
      <c r="A75" s="149" t="s">
        <v>40</v>
      </c>
      <c r="B75" s="149" t="s">
        <v>174</v>
      </c>
      <c r="C75" s="149">
        <v>2020</v>
      </c>
      <c r="D75" s="157" t="s">
        <v>398</v>
      </c>
      <c r="E75" s="149" t="s">
        <v>166</v>
      </c>
      <c r="F75" s="149" t="s">
        <v>271</v>
      </c>
      <c r="G75" s="149" t="s">
        <v>25</v>
      </c>
      <c r="H75" s="149" t="s">
        <v>217</v>
      </c>
      <c r="I75" s="149" t="s">
        <v>111</v>
      </c>
      <c r="J75" s="77" t="s">
        <v>66</v>
      </c>
      <c r="K75" s="77" t="s">
        <v>34</v>
      </c>
      <c r="L75" s="149">
        <v>2</v>
      </c>
      <c r="N75" s="149">
        <v>5</v>
      </c>
      <c r="O75" s="149">
        <v>0.75</v>
      </c>
      <c r="P75" s="149">
        <v>0.5</v>
      </c>
      <c r="Q75" s="158">
        <f t="shared" si="4"/>
        <v>0.625</v>
      </c>
      <c r="R75" s="149">
        <v>16.2</v>
      </c>
      <c r="S75" s="149">
        <v>87</v>
      </c>
      <c r="T75" s="159">
        <f t="shared" si="5"/>
        <v>36</v>
      </c>
      <c r="U75" s="149">
        <v>298</v>
      </c>
      <c r="V75" s="159">
        <f t="shared" si="3"/>
        <v>2145.6</v>
      </c>
      <c r="W75" s="149">
        <v>26</v>
      </c>
      <c r="X75" s="149" t="s">
        <v>35</v>
      </c>
      <c r="Y75" s="149" t="s">
        <v>43</v>
      </c>
      <c r="Z75" s="149" t="s">
        <v>55</v>
      </c>
      <c r="AA75" s="149" t="s">
        <v>76</v>
      </c>
      <c r="AB75" s="149" t="s">
        <v>178</v>
      </c>
    </row>
    <row r="76" spans="1:28" x14ac:dyDescent="0.15">
      <c r="A76" s="149" t="s">
        <v>40</v>
      </c>
      <c r="B76" s="149" t="s">
        <v>174</v>
      </c>
      <c r="C76" s="149">
        <v>2020</v>
      </c>
      <c r="D76" s="157" t="s">
        <v>398</v>
      </c>
      <c r="E76" s="149" t="s">
        <v>166</v>
      </c>
      <c r="F76" s="149" t="s">
        <v>271</v>
      </c>
      <c r="G76" s="149" t="s">
        <v>25</v>
      </c>
      <c r="H76" s="149" t="s">
        <v>217</v>
      </c>
      <c r="I76" s="149" t="s">
        <v>111</v>
      </c>
      <c r="J76" s="77" t="s">
        <v>66</v>
      </c>
      <c r="K76" s="77" t="s">
        <v>34</v>
      </c>
      <c r="L76" s="149">
        <v>3</v>
      </c>
      <c r="N76" s="149">
        <v>5</v>
      </c>
      <c r="O76" s="149">
        <v>0.25</v>
      </c>
      <c r="P76" s="149">
        <v>0.6</v>
      </c>
      <c r="Q76" s="158">
        <f t="shared" si="4"/>
        <v>0.42499999999999999</v>
      </c>
      <c r="R76" s="149">
        <v>17.8</v>
      </c>
      <c r="S76" s="149">
        <v>87</v>
      </c>
      <c r="T76" s="159">
        <f t="shared" si="5"/>
        <v>36</v>
      </c>
      <c r="U76" s="149">
        <v>298</v>
      </c>
      <c r="V76" s="159">
        <f t="shared" si="3"/>
        <v>2145.6</v>
      </c>
      <c r="W76" s="149">
        <v>26</v>
      </c>
      <c r="X76" s="149" t="s">
        <v>35</v>
      </c>
      <c r="Y76" s="149" t="s">
        <v>43</v>
      </c>
      <c r="Z76" s="149" t="s">
        <v>55</v>
      </c>
      <c r="AA76" s="149" t="s">
        <v>76</v>
      </c>
      <c r="AB76" s="149" t="s">
        <v>178</v>
      </c>
    </row>
    <row r="77" spans="1:28" x14ac:dyDescent="0.15">
      <c r="A77" s="149" t="s">
        <v>40</v>
      </c>
      <c r="B77" s="149" t="s">
        <v>174</v>
      </c>
      <c r="C77" s="149">
        <v>2020</v>
      </c>
      <c r="D77" s="157" t="s">
        <v>398</v>
      </c>
      <c r="E77" s="149" t="s">
        <v>272</v>
      </c>
      <c r="F77" s="149" t="s">
        <v>273</v>
      </c>
      <c r="G77" s="149" t="s">
        <v>25</v>
      </c>
      <c r="H77" s="149" t="s">
        <v>113</v>
      </c>
      <c r="I77" s="149" t="s">
        <v>111</v>
      </c>
      <c r="J77" s="77" t="s">
        <v>27</v>
      </c>
      <c r="K77" s="77" t="s">
        <v>112</v>
      </c>
      <c r="L77" s="149">
        <v>1</v>
      </c>
      <c r="N77" s="149">
        <v>1</v>
      </c>
      <c r="O77" s="149">
        <v>1.35</v>
      </c>
      <c r="P77" s="149">
        <v>1.3</v>
      </c>
      <c r="Q77" s="158">
        <f t="shared" si="4"/>
        <v>1.3250000000000002</v>
      </c>
      <c r="R77" s="149">
        <v>15.8</v>
      </c>
      <c r="S77" s="149">
        <v>138</v>
      </c>
      <c r="T77" s="159">
        <f t="shared" si="5"/>
        <v>22</v>
      </c>
      <c r="U77" s="149">
        <v>98</v>
      </c>
      <c r="V77" s="159">
        <f t="shared" si="3"/>
        <v>2156</v>
      </c>
      <c r="W77" s="149">
        <v>14</v>
      </c>
      <c r="X77" s="149" t="s">
        <v>35</v>
      </c>
      <c r="Y77" s="149" t="s">
        <v>43</v>
      </c>
      <c r="Z77" s="149" t="s">
        <v>55</v>
      </c>
      <c r="AA77" s="149" t="s">
        <v>76</v>
      </c>
      <c r="AB77" s="149" t="s">
        <v>178</v>
      </c>
    </row>
    <row r="78" spans="1:28" x14ac:dyDescent="0.15">
      <c r="A78" s="149" t="s">
        <v>40</v>
      </c>
      <c r="B78" s="149" t="s">
        <v>174</v>
      </c>
      <c r="C78" s="149">
        <v>2020</v>
      </c>
      <c r="D78" s="157" t="s">
        <v>398</v>
      </c>
      <c r="E78" s="149" t="s">
        <v>272</v>
      </c>
      <c r="F78" s="149" t="s">
        <v>273</v>
      </c>
      <c r="G78" s="149" t="s">
        <v>25</v>
      </c>
      <c r="H78" s="149" t="s">
        <v>113</v>
      </c>
      <c r="I78" s="149" t="s">
        <v>111</v>
      </c>
      <c r="J78" s="77" t="s">
        <v>27</v>
      </c>
      <c r="K78" s="77" t="s">
        <v>112</v>
      </c>
      <c r="L78" s="149">
        <v>2</v>
      </c>
      <c r="N78" s="149">
        <v>1</v>
      </c>
      <c r="O78" s="149">
        <v>1.55</v>
      </c>
      <c r="P78" s="149">
        <v>1.5</v>
      </c>
      <c r="Q78" s="158">
        <f t="shared" si="4"/>
        <v>1.5249999999999999</v>
      </c>
      <c r="R78" s="149">
        <v>15.6</v>
      </c>
      <c r="S78" s="149">
        <v>134</v>
      </c>
      <c r="T78" s="159">
        <f t="shared" si="5"/>
        <v>25</v>
      </c>
      <c r="U78" s="149">
        <v>98</v>
      </c>
      <c r="V78" s="159">
        <f t="shared" si="3"/>
        <v>2450</v>
      </c>
      <c r="W78" s="149">
        <v>14</v>
      </c>
      <c r="X78" s="149" t="s">
        <v>35</v>
      </c>
      <c r="Y78" s="149" t="s">
        <v>43</v>
      </c>
      <c r="Z78" s="149" t="s">
        <v>55</v>
      </c>
      <c r="AA78" s="149" t="s">
        <v>76</v>
      </c>
      <c r="AB78" s="149" t="s">
        <v>178</v>
      </c>
    </row>
    <row r="79" spans="1:28" x14ac:dyDescent="0.15">
      <c r="A79" s="149" t="s">
        <v>40</v>
      </c>
      <c r="B79" s="149" t="s">
        <v>174</v>
      </c>
      <c r="C79" s="149">
        <v>2020</v>
      </c>
      <c r="D79" s="157" t="s">
        <v>398</v>
      </c>
      <c r="E79" s="149" t="s">
        <v>272</v>
      </c>
      <c r="F79" s="149" t="s">
        <v>273</v>
      </c>
      <c r="G79" s="149" t="s">
        <v>25</v>
      </c>
      <c r="H79" s="149" t="s">
        <v>113</v>
      </c>
      <c r="I79" s="149" t="s">
        <v>111</v>
      </c>
      <c r="J79" s="77" t="s">
        <v>27</v>
      </c>
      <c r="K79" s="77" t="s">
        <v>112</v>
      </c>
      <c r="L79" s="149">
        <v>3</v>
      </c>
      <c r="N79" s="149">
        <v>1</v>
      </c>
      <c r="O79" s="149">
        <v>1.45</v>
      </c>
      <c r="P79" s="149">
        <v>1.25</v>
      </c>
      <c r="Q79" s="158">
        <f t="shared" si="4"/>
        <v>1.35</v>
      </c>
      <c r="R79" s="149">
        <v>16</v>
      </c>
      <c r="S79" s="149">
        <v>138</v>
      </c>
      <c r="T79" s="159">
        <f t="shared" si="5"/>
        <v>22</v>
      </c>
      <c r="U79" s="149">
        <v>98</v>
      </c>
      <c r="V79" s="159">
        <f t="shared" si="3"/>
        <v>2156</v>
      </c>
      <c r="W79" s="149">
        <v>14</v>
      </c>
      <c r="X79" s="149" t="s">
        <v>35</v>
      </c>
      <c r="Y79" s="149" t="s">
        <v>43</v>
      </c>
      <c r="Z79" s="149" t="s">
        <v>55</v>
      </c>
      <c r="AA79" s="149" t="s">
        <v>76</v>
      </c>
      <c r="AB79" s="149" t="s">
        <v>178</v>
      </c>
    </row>
    <row r="80" spans="1:28" x14ac:dyDescent="0.15">
      <c r="A80" s="149" t="s">
        <v>40</v>
      </c>
      <c r="B80" s="149" t="s">
        <v>174</v>
      </c>
      <c r="C80" s="149">
        <v>2020</v>
      </c>
      <c r="D80" s="157" t="s">
        <v>398</v>
      </c>
      <c r="E80" s="149" t="s">
        <v>272</v>
      </c>
      <c r="F80" s="149" t="s">
        <v>273</v>
      </c>
      <c r="G80" s="149" t="s">
        <v>25</v>
      </c>
      <c r="H80" s="149" t="s">
        <v>113</v>
      </c>
      <c r="I80" s="149" t="s">
        <v>111</v>
      </c>
      <c r="J80" s="77" t="s">
        <v>27</v>
      </c>
      <c r="K80" s="77" t="s">
        <v>112</v>
      </c>
      <c r="L80" s="149">
        <v>1</v>
      </c>
      <c r="N80" s="149">
        <v>4</v>
      </c>
      <c r="O80" s="149">
        <v>1.4</v>
      </c>
      <c r="P80" s="149">
        <v>1.3</v>
      </c>
      <c r="Q80" s="158">
        <f t="shared" si="4"/>
        <v>1.35</v>
      </c>
      <c r="R80" s="149">
        <v>15.7</v>
      </c>
      <c r="S80" s="149">
        <v>102</v>
      </c>
      <c r="T80" s="159">
        <f t="shared" si="5"/>
        <v>33</v>
      </c>
      <c r="U80" s="149">
        <v>398</v>
      </c>
      <c r="V80" s="159">
        <f t="shared" si="3"/>
        <v>3283.5</v>
      </c>
      <c r="W80" s="149">
        <v>14</v>
      </c>
      <c r="X80" s="149" t="s">
        <v>35</v>
      </c>
      <c r="Y80" s="149" t="s">
        <v>43</v>
      </c>
      <c r="Z80" s="149" t="s">
        <v>55</v>
      </c>
      <c r="AA80" s="149" t="s">
        <v>76</v>
      </c>
      <c r="AB80" s="149" t="s">
        <v>178</v>
      </c>
    </row>
    <row r="81" spans="1:28" x14ac:dyDescent="0.15">
      <c r="A81" s="149" t="s">
        <v>40</v>
      </c>
      <c r="B81" s="149" t="s">
        <v>174</v>
      </c>
      <c r="C81" s="149">
        <v>2020</v>
      </c>
      <c r="D81" s="157" t="s">
        <v>398</v>
      </c>
      <c r="E81" s="149" t="s">
        <v>272</v>
      </c>
      <c r="F81" s="149" t="s">
        <v>273</v>
      </c>
      <c r="G81" s="149" t="s">
        <v>25</v>
      </c>
      <c r="H81" s="149" t="s">
        <v>113</v>
      </c>
      <c r="I81" s="149" t="s">
        <v>111</v>
      </c>
      <c r="J81" s="77" t="s">
        <v>27</v>
      </c>
      <c r="K81" s="77" t="s">
        <v>112</v>
      </c>
      <c r="L81" s="149">
        <v>2</v>
      </c>
      <c r="N81" s="149">
        <v>4</v>
      </c>
      <c r="O81" s="149">
        <v>1.55</v>
      </c>
      <c r="P81" s="149">
        <v>1.35</v>
      </c>
      <c r="Q81" s="158">
        <f t="shared" si="4"/>
        <v>1.4500000000000002</v>
      </c>
      <c r="R81" s="149">
        <v>15.6</v>
      </c>
      <c r="S81" s="149">
        <v>88</v>
      </c>
      <c r="T81" s="159">
        <f t="shared" si="5"/>
        <v>36</v>
      </c>
      <c r="U81" s="149">
        <v>398</v>
      </c>
      <c r="V81" s="159">
        <f t="shared" si="3"/>
        <v>3582</v>
      </c>
      <c r="W81" s="149">
        <v>14</v>
      </c>
      <c r="X81" s="149" t="s">
        <v>35</v>
      </c>
      <c r="Y81" s="149" t="s">
        <v>43</v>
      </c>
      <c r="Z81" s="149" t="s">
        <v>55</v>
      </c>
      <c r="AA81" s="149" t="s">
        <v>76</v>
      </c>
      <c r="AB81" s="149" t="s">
        <v>178</v>
      </c>
    </row>
    <row r="82" spans="1:28" x14ac:dyDescent="0.15">
      <c r="A82" s="149" t="s">
        <v>40</v>
      </c>
      <c r="B82" s="149" t="s">
        <v>174</v>
      </c>
      <c r="C82" s="149">
        <v>2020</v>
      </c>
      <c r="D82" s="157" t="s">
        <v>398</v>
      </c>
      <c r="E82" s="149" t="s">
        <v>272</v>
      </c>
      <c r="F82" s="149" t="s">
        <v>273</v>
      </c>
      <c r="G82" s="149" t="s">
        <v>25</v>
      </c>
      <c r="H82" s="149" t="s">
        <v>113</v>
      </c>
      <c r="I82" s="149" t="s">
        <v>111</v>
      </c>
      <c r="J82" s="77" t="s">
        <v>27</v>
      </c>
      <c r="K82" s="77" t="s">
        <v>112</v>
      </c>
      <c r="L82" s="149">
        <v>3</v>
      </c>
      <c r="N82" s="149">
        <v>4</v>
      </c>
      <c r="O82" s="149">
        <v>1.25</v>
      </c>
      <c r="P82" s="149">
        <v>1.4</v>
      </c>
      <c r="Q82" s="158">
        <f t="shared" si="4"/>
        <v>1.325</v>
      </c>
      <c r="R82" s="149">
        <v>15.9</v>
      </c>
      <c r="S82" s="149">
        <v>102</v>
      </c>
      <c r="T82" s="159">
        <f t="shared" si="5"/>
        <v>33</v>
      </c>
      <c r="U82" s="149">
        <v>398</v>
      </c>
      <c r="V82" s="159">
        <f t="shared" si="3"/>
        <v>3283.5</v>
      </c>
      <c r="W82" s="149">
        <v>14</v>
      </c>
      <c r="X82" s="149" t="s">
        <v>35</v>
      </c>
      <c r="Y82" s="149" t="s">
        <v>43</v>
      </c>
      <c r="Z82" s="149" t="s">
        <v>55</v>
      </c>
      <c r="AA82" s="149" t="s">
        <v>76</v>
      </c>
      <c r="AB82" s="149" t="s">
        <v>178</v>
      </c>
    </row>
    <row r="83" spans="1:28" x14ac:dyDescent="0.15">
      <c r="A83" s="149" t="s">
        <v>40</v>
      </c>
      <c r="B83" s="149" t="s">
        <v>174</v>
      </c>
      <c r="C83" s="149">
        <v>2020</v>
      </c>
      <c r="D83" s="157" t="s">
        <v>398</v>
      </c>
      <c r="E83" s="149" t="s">
        <v>272</v>
      </c>
      <c r="F83" s="149" t="s">
        <v>273</v>
      </c>
      <c r="G83" s="149" t="s">
        <v>25</v>
      </c>
      <c r="H83" s="149" t="s">
        <v>164</v>
      </c>
      <c r="I83" s="149" t="s">
        <v>111</v>
      </c>
      <c r="J83" s="77" t="s">
        <v>27</v>
      </c>
      <c r="K83" s="77" t="s">
        <v>112</v>
      </c>
      <c r="L83" s="149">
        <v>1</v>
      </c>
      <c r="N83" s="149">
        <v>1</v>
      </c>
      <c r="O83" s="149">
        <v>0.6</v>
      </c>
      <c r="P83" s="149">
        <v>0.7</v>
      </c>
      <c r="Q83" s="158">
        <f t="shared" si="4"/>
        <v>0.64999999999999991</v>
      </c>
      <c r="R83" s="149">
        <v>16.5</v>
      </c>
      <c r="S83" s="149">
        <v>132</v>
      </c>
      <c r="T83" s="159">
        <f t="shared" si="5"/>
        <v>25</v>
      </c>
      <c r="U83" s="149">
        <v>138</v>
      </c>
      <c r="V83" s="159">
        <f t="shared" si="3"/>
        <v>3450</v>
      </c>
      <c r="W83" s="149">
        <v>14</v>
      </c>
      <c r="X83" s="149" t="s">
        <v>35</v>
      </c>
      <c r="Y83" s="149" t="s">
        <v>43</v>
      </c>
      <c r="Z83" s="149" t="s">
        <v>55</v>
      </c>
      <c r="AA83" s="149" t="s">
        <v>76</v>
      </c>
      <c r="AB83" s="149" t="s">
        <v>178</v>
      </c>
    </row>
    <row r="84" spans="1:28" x14ac:dyDescent="0.15">
      <c r="A84" s="149" t="s">
        <v>40</v>
      </c>
      <c r="B84" s="149" t="s">
        <v>174</v>
      </c>
      <c r="C84" s="149">
        <v>2020</v>
      </c>
      <c r="D84" s="157" t="s">
        <v>398</v>
      </c>
      <c r="E84" s="149" t="s">
        <v>272</v>
      </c>
      <c r="F84" s="149" t="s">
        <v>273</v>
      </c>
      <c r="G84" s="149" t="s">
        <v>25</v>
      </c>
      <c r="H84" s="149" t="s">
        <v>164</v>
      </c>
      <c r="I84" s="149" t="s">
        <v>111</v>
      </c>
      <c r="J84" s="77" t="s">
        <v>27</v>
      </c>
      <c r="K84" s="77" t="s">
        <v>112</v>
      </c>
      <c r="L84" s="149">
        <v>2</v>
      </c>
      <c r="N84" s="149">
        <v>1</v>
      </c>
      <c r="O84" s="149">
        <v>0.65</v>
      </c>
      <c r="P84" s="149">
        <v>0.65</v>
      </c>
      <c r="Q84" s="158">
        <f t="shared" si="4"/>
        <v>0.65</v>
      </c>
      <c r="R84" s="149">
        <v>17.100000000000001</v>
      </c>
      <c r="S84" s="149">
        <v>136</v>
      </c>
      <c r="T84" s="159">
        <f t="shared" si="5"/>
        <v>25</v>
      </c>
      <c r="U84" s="149">
        <v>138</v>
      </c>
      <c r="V84" s="159">
        <f t="shared" si="3"/>
        <v>3450</v>
      </c>
      <c r="W84" s="149">
        <v>14</v>
      </c>
      <c r="X84" s="149" t="s">
        <v>35</v>
      </c>
      <c r="Y84" s="149" t="s">
        <v>43</v>
      </c>
      <c r="Z84" s="149" t="s">
        <v>55</v>
      </c>
      <c r="AA84" s="149" t="s">
        <v>76</v>
      </c>
      <c r="AB84" s="149" t="s">
        <v>178</v>
      </c>
    </row>
    <row r="85" spans="1:28" x14ac:dyDescent="0.15">
      <c r="A85" s="149" t="s">
        <v>40</v>
      </c>
      <c r="B85" s="149" t="s">
        <v>174</v>
      </c>
      <c r="C85" s="149">
        <v>2020</v>
      </c>
      <c r="D85" s="157" t="s">
        <v>398</v>
      </c>
      <c r="E85" s="149" t="s">
        <v>272</v>
      </c>
      <c r="F85" s="149" t="s">
        <v>273</v>
      </c>
      <c r="G85" s="149" t="s">
        <v>25</v>
      </c>
      <c r="H85" s="149" t="s">
        <v>164</v>
      </c>
      <c r="I85" s="149" t="s">
        <v>111</v>
      </c>
      <c r="J85" s="77" t="s">
        <v>27</v>
      </c>
      <c r="K85" s="77" t="s">
        <v>112</v>
      </c>
      <c r="L85" s="149">
        <v>3</v>
      </c>
      <c r="N85" s="149">
        <v>1</v>
      </c>
      <c r="O85" s="149">
        <v>0.7</v>
      </c>
      <c r="P85" s="149">
        <v>0.65</v>
      </c>
      <c r="Q85" s="158">
        <f t="shared" si="4"/>
        <v>0.67500000000000004</v>
      </c>
      <c r="R85" s="149">
        <v>16.2</v>
      </c>
      <c r="S85" s="149">
        <v>130</v>
      </c>
      <c r="T85" s="159">
        <f t="shared" si="5"/>
        <v>25</v>
      </c>
      <c r="U85" s="149">
        <v>138</v>
      </c>
      <c r="V85" s="159">
        <f t="shared" si="3"/>
        <v>3450</v>
      </c>
      <c r="W85" s="149">
        <v>14</v>
      </c>
      <c r="X85" s="149" t="s">
        <v>35</v>
      </c>
      <c r="Y85" s="149" t="s">
        <v>43</v>
      </c>
      <c r="Z85" s="149" t="s">
        <v>55</v>
      </c>
      <c r="AA85" s="149" t="s">
        <v>76</v>
      </c>
      <c r="AB85" s="149" t="s">
        <v>178</v>
      </c>
    </row>
    <row r="86" spans="1:28" x14ac:dyDescent="0.15">
      <c r="A86" s="149" t="s">
        <v>40</v>
      </c>
      <c r="B86" s="149" t="s">
        <v>174</v>
      </c>
      <c r="C86" s="149">
        <v>2020</v>
      </c>
      <c r="D86" s="157" t="s">
        <v>398</v>
      </c>
      <c r="E86" s="149" t="s">
        <v>272</v>
      </c>
      <c r="F86" s="149" t="s">
        <v>273</v>
      </c>
      <c r="G86" s="149" t="s">
        <v>25</v>
      </c>
      <c r="H86" s="149" t="s">
        <v>164</v>
      </c>
      <c r="I86" s="149" t="s">
        <v>111</v>
      </c>
      <c r="J86" s="77" t="s">
        <v>27</v>
      </c>
      <c r="K86" s="77" t="s">
        <v>112</v>
      </c>
      <c r="L86" s="149">
        <v>1</v>
      </c>
      <c r="N86" s="149">
        <v>2</v>
      </c>
      <c r="O86" s="149">
        <v>0.75</v>
      </c>
      <c r="P86" s="149">
        <v>0.75</v>
      </c>
      <c r="Q86" s="158">
        <f t="shared" si="4"/>
        <v>0.75</v>
      </c>
      <c r="R86" s="149">
        <v>17.600000000000001</v>
      </c>
      <c r="S86" s="149">
        <v>154</v>
      </c>
      <c r="T86" s="159">
        <f t="shared" si="5"/>
        <v>18</v>
      </c>
      <c r="U86" s="149">
        <v>498</v>
      </c>
      <c r="V86" s="159">
        <f t="shared" si="3"/>
        <v>4482</v>
      </c>
      <c r="W86" s="149">
        <v>14</v>
      </c>
      <c r="X86" s="149" t="s">
        <v>35</v>
      </c>
      <c r="Y86" s="149" t="s">
        <v>43</v>
      </c>
      <c r="Z86" s="149" t="s">
        <v>55</v>
      </c>
      <c r="AA86" s="149" t="s">
        <v>76</v>
      </c>
      <c r="AB86" s="149" t="s">
        <v>178</v>
      </c>
    </row>
    <row r="87" spans="1:28" x14ac:dyDescent="0.15">
      <c r="A87" s="149" t="s">
        <v>40</v>
      </c>
      <c r="B87" s="149" t="s">
        <v>174</v>
      </c>
      <c r="C87" s="149">
        <v>2020</v>
      </c>
      <c r="D87" s="157" t="s">
        <v>398</v>
      </c>
      <c r="E87" s="149" t="s">
        <v>272</v>
      </c>
      <c r="F87" s="149" t="s">
        <v>273</v>
      </c>
      <c r="G87" s="149" t="s">
        <v>25</v>
      </c>
      <c r="H87" s="149" t="s">
        <v>164</v>
      </c>
      <c r="I87" s="149" t="s">
        <v>111</v>
      </c>
      <c r="J87" s="77" t="s">
        <v>27</v>
      </c>
      <c r="K87" s="77" t="s">
        <v>112</v>
      </c>
      <c r="L87" s="149">
        <v>2</v>
      </c>
      <c r="N87" s="149">
        <v>2</v>
      </c>
      <c r="O87" s="149">
        <v>0.8</v>
      </c>
      <c r="P87" s="149">
        <v>0.75</v>
      </c>
      <c r="Q87" s="158">
        <f t="shared" si="4"/>
        <v>0.77500000000000002</v>
      </c>
      <c r="R87" s="149">
        <v>16.899999999999999</v>
      </c>
      <c r="S87" s="149">
        <v>156</v>
      </c>
      <c r="T87" s="159">
        <f t="shared" si="5"/>
        <v>18</v>
      </c>
      <c r="U87" s="149">
        <v>498</v>
      </c>
      <c r="V87" s="159">
        <f t="shared" si="3"/>
        <v>4482</v>
      </c>
      <c r="W87" s="149">
        <v>14</v>
      </c>
      <c r="X87" s="149" t="s">
        <v>35</v>
      </c>
      <c r="Y87" s="149" t="s">
        <v>43</v>
      </c>
      <c r="Z87" s="149" t="s">
        <v>55</v>
      </c>
      <c r="AA87" s="149" t="s">
        <v>76</v>
      </c>
      <c r="AB87" s="149" t="s">
        <v>178</v>
      </c>
    </row>
    <row r="88" spans="1:28" x14ac:dyDescent="0.15">
      <c r="A88" s="149" t="s">
        <v>40</v>
      </c>
      <c r="B88" s="149" t="s">
        <v>174</v>
      </c>
      <c r="C88" s="149">
        <v>2020</v>
      </c>
      <c r="D88" s="157" t="s">
        <v>398</v>
      </c>
      <c r="E88" s="149" t="s">
        <v>272</v>
      </c>
      <c r="F88" s="149" t="s">
        <v>273</v>
      </c>
      <c r="G88" s="149" t="s">
        <v>25</v>
      </c>
      <c r="H88" s="149" t="s">
        <v>164</v>
      </c>
      <c r="I88" s="149" t="s">
        <v>111</v>
      </c>
      <c r="J88" s="77" t="s">
        <v>27</v>
      </c>
      <c r="K88" s="77" t="s">
        <v>112</v>
      </c>
      <c r="L88" s="149">
        <v>3</v>
      </c>
      <c r="N88" s="149">
        <v>2</v>
      </c>
      <c r="O88" s="149">
        <v>0.7</v>
      </c>
      <c r="P88" s="149">
        <v>0.85</v>
      </c>
      <c r="Q88" s="158">
        <f t="shared" si="4"/>
        <v>0.77499999999999991</v>
      </c>
      <c r="R88" s="149">
        <v>18.399999999999999</v>
      </c>
      <c r="S88" s="149">
        <v>166</v>
      </c>
      <c r="T88" s="159">
        <f t="shared" si="5"/>
        <v>18</v>
      </c>
      <c r="U88" s="149">
        <v>498</v>
      </c>
      <c r="V88" s="159">
        <f t="shared" si="3"/>
        <v>4482</v>
      </c>
      <c r="W88" s="149">
        <v>14</v>
      </c>
      <c r="X88" s="149" t="s">
        <v>35</v>
      </c>
      <c r="Y88" s="149" t="s">
        <v>43</v>
      </c>
      <c r="Z88" s="149" t="s">
        <v>55</v>
      </c>
      <c r="AA88" s="149" t="s">
        <v>76</v>
      </c>
      <c r="AB88" s="149" t="s">
        <v>178</v>
      </c>
    </row>
    <row r="89" spans="1:28" x14ac:dyDescent="0.15">
      <c r="A89" s="149" t="s">
        <v>40</v>
      </c>
      <c r="B89" s="149" t="s">
        <v>174</v>
      </c>
      <c r="C89" s="149">
        <v>2020</v>
      </c>
      <c r="D89" s="157" t="s">
        <v>398</v>
      </c>
      <c r="E89" s="149" t="s">
        <v>272</v>
      </c>
      <c r="F89" s="149" t="s">
        <v>273</v>
      </c>
      <c r="G89" s="149" t="s">
        <v>25</v>
      </c>
      <c r="H89" s="149" t="s">
        <v>164</v>
      </c>
      <c r="I89" s="149" t="s">
        <v>111</v>
      </c>
      <c r="J89" s="77" t="s">
        <v>27</v>
      </c>
      <c r="K89" s="77" t="s">
        <v>112</v>
      </c>
      <c r="L89" s="149">
        <v>1</v>
      </c>
      <c r="N89" s="149">
        <v>4</v>
      </c>
      <c r="O89" s="149">
        <v>0.7</v>
      </c>
      <c r="P89" s="149">
        <v>0.6</v>
      </c>
      <c r="Q89" s="158">
        <f t="shared" si="4"/>
        <v>0.64999999999999991</v>
      </c>
      <c r="R89" s="149">
        <v>17.8</v>
      </c>
      <c r="S89" s="149">
        <v>93</v>
      </c>
      <c r="T89" s="159">
        <f t="shared" si="5"/>
        <v>36</v>
      </c>
      <c r="U89" s="149">
        <v>398</v>
      </c>
      <c r="V89" s="159">
        <f t="shared" si="3"/>
        <v>3582</v>
      </c>
      <c r="W89" s="149">
        <v>14</v>
      </c>
      <c r="X89" s="149" t="s">
        <v>35</v>
      </c>
      <c r="Y89" s="149" t="s">
        <v>43</v>
      </c>
      <c r="Z89" s="149" t="s">
        <v>55</v>
      </c>
      <c r="AA89" s="149" t="s">
        <v>76</v>
      </c>
      <c r="AB89" s="149" t="s">
        <v>178</v>
      </c>
    </row>
    <row r="90" spans="1:28" x14ac:dyDescent="0.15">
      <c r="A90" s="149" t="s">
        <v>40</v>
      </c>
      <c r="B90" s="149" t="s">
        <v>174</v>
      </c>
      <c r="C90" s="149">
        <v>2020</v>
      </c>
      <c r="D90" s="157" t="s">
        <v>398</v>
      </c>
      <c r="E90" s="149" t="s">
        <v>272</v>
      </c>
      <c r="F90" s="149" t="s">
        <v>273</v>
      </c>
      <c r="G90" s="149" t="s">
        <v>25</v>
      </c>
      <c r="H90" s="149" t="s">
        <v>164</v>
      </c>
      <c r="I90" s="149" t="s">
        <v>111</v>
      </c>
      <c r="J90" s="77" t="s">
        <v>27</v>
      </c>
      <c r="K90" s="77" t="s">
        <v>112</v>
      </c>
      <c r="L90" s="149">
        <v>2</v>
      </c>
      <c r="N90" s="149">
        <v>4</v>
      </c>
      <c r="O90" s="149">
        <v>0.65</v>
      </c>
      <c r="P90" s="149">
        <v>0.6</v>
      </c>
      <c r="Q90" s="158">
        <f t="shared" si="4"/>
        <v>0.625</v>
      </c>
      <c r="R90" s="149">
        <v>18.600000000000001</v>
      </c>
      <c r="S90" s="149">
        <v>90</v>
      </c>
      <c r="T90" s="159">
        <f t="shared" si="5"/>
        <v>36</v>
      </c>
      <c r="U90" s="149">
        <v>398</v>
      </c>
      <c r="V90" s="159">
        <f t="shared" si="3"/>
        <v>3582</v>
      </c>
      <c r="W90" s="149">
        <v>14</v>
      </c>
      <c r="X90" s="149" t="s">
        <v>35</v>
      </c>
      <c r="Y90" s="149" t="s">
        <v>43</v>
      </c>
      <c r="Z90" s="149" t="s">
        <v>55</v>
      </c>
      <c r="AA90" s="149" t="s">
        <v>76</v>
      </c>
      <c r="AB90" s="149" t="s">
        <v>178</v>
      </c>
    </row>
    <row r="91" spans="1:28" x14ac:dyDescent="0.15">
      <c r="A91" s="149" t="s">
        <v>40</v>
      </c>
      <c r="B91" s="149" t="s">
        <v>174</v>
      </c>
      <c r="C91" s="149">
        <v>2020</v>
      </c>
      <c r="D91" s="157" t="s">
        <v>398</v>
      </c>
      <c r="E91" s="149" t="s">
        <v>272</v>
      </c>
      <c r="F91" s="149" t="s">
        <v>273</v>
      </c>
      <c r="G91" s="149" t="s">
        <v>25</v>
      </c>
      <c r="H91" s="149" t="s">
        <v>164</v>
      </c>
      <c r="I91" s="149" t="s">
        <v>111</v>
      </c>
      <c r="J91" s="77" t="s">
        <v>27</v>
      </c>
      <c r="K91" s="77" t="s">
        <v>112</v>
      </c>
      <c r="L91" s="149">
        <v>3</v>
      </c>
      <c r="N91" s="149">
        <v>4</v>
      </c>
      <c r="O91" s="149">
        <v>0.65</v>
      </c>
      <c r="P91" s="149">
        <v>0.65</v>
      </c>
      <c r="Q91" s="158">
        <f t="shared" si="4"/>
        <v>0.65</v>
      </c>
      <c r="R91" s="149">
        <v>18.3</v>
      </c>
      <c r="S91" s="149">
        <v>102</v>
      </c>
      <c r="T91" s="159">
        <f t="shared" si="5"/>
        <v>33</v>
      </c>
      <c r="U91" s="149">
        <v>398</v>
      </c>
      <c r="V91" s="159">
        <f t="shared" si="3"/>
        <v>3283.5</v>
      </c>
      <c r="W91" s="149">
        <v>14</v>
      </c>
      <c r="X91" s="149" t="s">
        <v>35</v>
      </c>
      <c r="Y91" s="149" t="s">
        <v>43</v>
      </c>
      <c r="Z91" s="149" t="s">
        <v>55</v>
      </c>
      <c r="AA91" s="149" t="s">
        <v>76</v>
      </c>
      <c r="AB91" s="149" t="s">
        <v>178</v>
      </c>
    </row>
    <row r="92" spans="1:28" x14ac:dyDescent="0.15">
      <c r="A92" s="149" t="s">
        <v>40</v>
      </c>
      <c r="B92" s="149" t="s">
        <v>174</v>
      </c>
      <c r="C92" s="149">
        <v>2020</v>
      </c>
      <c r="D92" s="157" t="s">
        <v>398</v>
      </c>
      <c r="E92" s="149" t="s">
        <v>240</v>
      </c>
      <c r="F92" s="149" t="s">
        <v>266</v>
      </c>
      <c r="G92" s="149" t="s">
        <v>25</v>
      </c>
      <c r="H92" s="149" t="s">
        <v>113</v>
      </c>
      <c r="I92" s="149" t="s">
        <v>111</v>
      </c>
      <c r="J92" s="77" t="s">
        <v>27</v>
      </c>
      <c r="K92" s="77" t="s">
        <v>112</v>
      </c>
      <c r="L92" s="149">
        <v>1</v>
      </c>
      <c r="N92" s="149">
        <v>1</v>
      </c>
      <c r="O92" s="149">
        <v>0.9</v>
      </c>
      <c r="P92" s="149">
        <v>0.9</v>
      </c>
      <c r="Q92" s="158">
        <f t="shared" si="4"/>
        <v>0.9</v>
      </c>
      <c r="R92" s="149">
        <v>15.5</v>
      </c>
      <c r="S92" s="149">
        <v>126</v>
      </c>
      <c r="T92" s="159">
        <f t="shared" si="5"/>
        <v>27</v>
      </c>
      <c r="U92" s="149">
        <v>127</v>
      </c>
      <c r="V92" s="159">
        <f t="shared" si="3"/>
        <v>3429</v>
      </c>
      <c r="W92" s="149">
        <v>16</v>
      </c>
      <c r="X92" s="149" t="s">
        <v>35</v>
      </c>
      <c r="Y92" s="149" t="s">
        <v>43</v>
      </c>
      <c r="Z92" s="149" t="s">
        <v>76</v>
      </c>
      <c r="AA92" s="149" t="s">
        <v>29</v>
      </c>
      <c r="AB92" s="149" t="s">
        <v>178</v>
      </c>
    </row>
    <row r="93" spans="1:28" x14ac:dyDescent="0.15">
      <c r="A93" s="149" t="s">
        <v>40</v>
      </c>
      <c r="B93" s="149" t="s">
        <v>174</v>
      </c>
      <c r="C93" s="149">
        <v>2020</v>
      </c>
      <c r="D93" s="157" t="s">
        <v>398</v>
      </c>
      <c r="E93" s="149" t="s">
        <v>240</v>
      </c>
      <c r="F93" s="149" t="s">
        <v>266</v>
      </c>
      <c r="G93" s="149" t="s">
        <v>25</v>
      </c>
      <c r="H93" s="149" t="s">
        <v>113</v>
      </c>
      <c r="I93" s="149" t="s">
        <v>111</v>
      </c>
      <c r="J93" s="77" t="s">
        <v>27</v>
      </c>
      <c r="K93" s="77" t="s">
        <v>112</v>
      </c>
      <c r="L93" s="149">
        <v>2</v>
      </c>
      <c r="N93" s="149">
        <v>1</v>
      </c>
      <c r="O93" s="149">
        <v>0.85</v>
      </c>
      <c r="P93" s="149">
        <v>1</v>
      </c>
      <c r="Q93" s="158">
        <f t="shared" si="4"/>
        <v>0.92500000000000004</v>
      </c>
      <c r="R93" s="149">
        <v>15.3</v>
      </c>
      <c r="S93" s="149">
        <v>122</v>
      </c>
      <c r="T93" s="159">
        <f t="shared" si="5"/>
        <v>27</v>
      </c>
      <c r="U93" s="149">
        <v>127</v>
      </c>
      <c r="V93" s="159">
        <f t="shared" si="3"/>
        <v>3429</v>
      </c>
      <c r="W93" s="149">
        <v>16</v>
      </c>
      <c r="X93" s="149" t="s">
        <v>35</v>
      </c>
      <c r="Y93" s="149" t="s">
        <v>43</v>
      </c>
      <c r="Z93" s="149" t="s">
        <v>76</v>
      </c>
      <c r="AA93" s="149" t="s">
        <v>29</v>
      </c>
      <c r="AB93" s="149" t="s">
        <v>178</v>
      </c>
    </row>
    <row r="94" spans="1:28" x14ac:dyDescent="0.15">
      <c r="A94" s="149" t="s">
        <v>40</v>
      </c>
      <c r="B94" s="149" t="s">
        <v>174</v>
      </c>
      <c r="C94" s="149">
        <v>2020</v>
      </c>
      <c r="D94" s="157" t="s">
        <v>398</v>
      </c>
      <c r="E94" s="149" t="s">
        <v>240</v>
      </c>
      <c r="F94" s="149" t="s">
        <v>266</v>
      </c>
      <c r="G94" s="149" t="s">
        <v>25</v>
      </c>
      <c r="H94" s="149" t="s">
        <v>113</v>
      </c>
      <c r="I94" s="149" t="s">
        <v>111</v>
      </c>
      <c r="J94" s="77" t="s">
        <v>27</v>
      </c>
      <c r="K94" s="77" t="s">
        <v>112</v>
      </c>
      <c r="L94" s="149">
        <v>3</v>
      </c>
      <c r="N94" s="149">
        <v>1</v>
      </c>
      <c r="O94" s="149">
        <v>0.85</v>
      </c>
      <c r="P94" s="149">
        <v>0.95</v>
      </c>
      <c r="Q94" s="158">
        <f t="shared" si="4"/>
        <v>0.89999999999999991</v>
      </c>
      <c r="R94" s="149">
        <v>16</v>
      </c>
      <c r="S94" s="149">
        <v>128</v>
      </c>
      <c r="T94" s="159">
        <f t="shared" si="5"/>
        <v>27</v>
      </c>
      <c r="U94" s="149">
        <v>127</v>
      </c>
      <c r="V94" s="159">
        <f t="shared" si="3"/>
        <v>3429</v>
      </c>
      <c r="W94" s="149">
        <v>16</v>
      </c>
      <c r="X94" s="149" t="s">
        <v>35</v>
      </c>
      <c r="Y94" s="149" t="s">
        <v>43</v>
      </c>
      <c r="Z94" s="149" t="s">
        <v>76</v>
      </c>
      <c r="AA94" s="149" t="s">
        <v>29</v>
      </c>
      <c r="AB94" s="149" t="s">
        <v>178</v>
      </c>
    </row>
    <row r="95" spans="1:28" x14ac:dyDescent="0.15">
      <c r="A95" s="149" t="s">
        <v>40</v>
      </c>
      <c r="B95" s="149" t="s">
        <v>174</v>
      </c>
      <c r="C95" s="149">
        <v>2020</v>
      </c>
      <c r="D95" s="157" t="s">
        <v>398</v>
      </c>
      <c r="E95" s="149" t="s">
        <v>240</v>
      </c>
      <c r="F95" s="149" t="s">
        <v>266</v>
      </c>
      <c r="G95" s="149" t="s">
        <v>25</v>
      </c>
      <c r="H95" s="149" t="s">
        <v>113</v>
      </c>
      <c r="I95" s="149" t="s">
        <v>111</v>
      </c>
      <c r="J95" s="77" t="s">
        <v>27</v>
      </c>
      <c r="K95" s="77" t="s">
        <v>112</v>
      </c>
      <c r="L95" s="149">
        <v>1</v>
      </c>
      <c r="N95" s="149">
        <v>8</v>
      </c>
      <c r="O95" s="149">
        <v>0.95</v>
      </c>
      <c r="P95" s="149">
        <v>0.95</v>
      </c>
      <c r="Q95" s="158">
        <f t="shared" si="4"/>
        <v>0.95</v>
      </c>
      <c r="R95" s="149">
        <v>14.8</v>
      </c>
      <c r="S95" s="149">
        <v>83</v>
      </c>
      <c r="T95" s="159">
        <f t="shared" si="5"/>
        <v>39</v>
      </c>
      <c r="U95" s="149">
        <v>447</v>
      </c>
      <c r="V95" s="159">
        <f t="shared" si="3"/>
        <v>2179.125</v>
      </c>
      <c r="W95" s="149">
        <v>16</v>
      </c>
      <c r="X95" s="149" t="s">
        <v>35</v>
      </c>
      <c r="Y95" s="149" t="s">
        <v>43</v>
      </c>
      <c r="Z95" s="149" t="s">
        <v>76</v>
      </c>
      <c r="AA95" s="149" t="s">
        <v>29</v>
      </c>
      <c r="AB95" s="149" t="s">
        <v>178</v>
      </c>
    </row>
    <row r="96" spans="1:28" x14ac:dyDescent="0.15">
      <c r="A96" s="149" t="s">
        <v>40</v>
      </c>
      <c r="B96" s="149" t="s">
        <v>174</v>
      </c>
      <c r="C96" s="149">
        <v>2020</v>
      </c>
      <c r="D96" s="157" t="s">
        <v>398</v>
      </c>
      <c r="E96" s="149" t="s">
        <v>240</v>
      </c>
      <c r="F96" s="149" t="s">
        <v>266</v>
      </c>
      <c r="G96" s="149" t="s">
        <v>25</v>
      </c>
      <c r="H96" s="149" t="s">
        <v>113</v>
      </c>
      <c r="I96" s="149" t="s">
        <v>111</v>
      </c>
      <c r="J96" s="77" t="s">
        <v>27</v>
      </c>
      <c r="K96" s="77" t="s">
        <v>112</v>
      </c>
      <c r="L96" s="149">
        <v>2</v>
      </c>
      <c r="N96" s="149">
        <v>8</v>
      </c>
      <c r="O96" s="149">
        <v>1.1000000000000001</v>
      </c>
      <c r="P96" s="149">
        <v>1.1000000000000001</v>
      </c>
      <c r="Q96" s="158">
        <f t="shared" si="4"/>
        <v>1.1000000000000001</v>
      </c>
      <c r="R96" s="149">
        <v>14.2</v>
      </c>
      <c r="S96" s="149">
        <v>79</v>
      </c>
      <c r="T96" s="159">
        <f t="shared" si="5"/>
        <v>39</v>
      </c>
      <c r="U96" s="149">
        <v>447</v>
      </c>
      <c r="V96" s="159">
        <f t="shared" si="3"/>
        <v>2179.125</v>
      </c>
      <c r="W96" s="149">
        <v>16</v>
      </c>
      <c r="X96" s="149" t="s">
        <v>35</v>
      </c>
      <c r="Y96" s="149" t="s">
        <v>43</v>
      </c>
      <c r="Z96" s="149" t="s">
        <v>76</v>
      </c>
      <c r="AA96" s="149" t="s">
        <v>29</v>
      </c>
      <c r="AB96" s="149" t="s">
        <v>178</v>
      </c>
    </row>
    <row r="97" spans="1:28" x14ac:dyDescent="0.15">
      <c r="A97" s="149" t="s">
        <v>40</v>
      </c>
      <c r="B97" s="149" t="s">
        <v>174</v>
      </c>
      <c r="C97" s="149">
        <v>2020</v>
      </c>
      <c r="D97" s="157" t="s">
        <v>398</v>
      </c>
      <c r="E97" s="149" t="s">
        <v>240</v>
      </c>
      <c r="F97" s="149" t="s">
        <v>266</v>
      </c>
      <c r="G97" s="149" t="s">
        <v>25</v>
      </c>
      <c r="H97" s="149" t="s">
        <v>113</v>
      </c>
      <c r="I97" s="149" t="s">
        <v>111</v>
      </c>
      <c r="J97" s="77" t="s">
        <v>27</v>
      </c>
      <c r="K97" s="77" t="s">
        <v>112</v>
      </c>
      <c r="L97" s="149">
        <v>3</v>
      </c>
      <c r="N97" s="149">
        <v>8</v>
      </c>
      <c r="O97" s="149">
        <v>0.95</v>
      </c>
      <c r="P97" s="149">
        <v>1</v>
      </c>
      <c r="Q97" s="158">
        <f t="shared" si="4"/>
        <v>0.97499999999999998</v>
      </c>
      <c r="R97" s="149">
        <v>13.1</v>
      </c>
      <c r="S97" s="149">
        <v>80</v>
      </c>
      <c r="T97" s="159">
        <f t="shared" si="5"/>
        <v>39</v>
      </c>
      <c r="U97" s="149">
        <v>447</v>
      </c>
      <c r="V97" s="159">
        <f t="shared" si="3"/>
        <v>2179.125</v>
      </c>
      <c r="W97" s="149">
        <v>16</v>
      </c>
      <c r="X97" s="149" t="s">
        <v>35</v>
      </c>
      <c r="Y97" s="149" t="s">
        <v>43</v>
      </c>
      <c r="Z97" s="149" t="s">
        <v>76</v>
      </c>
      <c r="AA97" s="149" t="s">
        <v>29</v>
      </c>
      <c r="AB97" s="149" t="s">
        <v>178</v>
      </c>
    </row>
    <row r="98" spans="1:28" x14ac:dyDescent="0.15">
      <c r="A98" s="149" t="s">
        <v>40</v>
      </c>
      <c r="B98" s="149" t="s">
        <v>174</v>
      </c>
      <c r="C98" s="149">
        <v>2020</v>
      </c>
      <c r="D98" s="157" t="s">
        <v>398</v>
      </c>
      <c r="E98" s="149" t="s">
        <v>240</v>
      </c>
      <c r="F98" s="149" t="s">
        <v>266</v>
      </c>
      <c r="G98" s="149" t="s">
        <v>25</v>
      </c>
      <c r="H98" s="149" t="s">
        <v>164</v>
      </c>
      <c r="I98" s="149" t="s">
        <v>111</v>
      </c>
      <c r="J98" s="77" t="s">
        <v>27</v>
      </c>
      <c r="K98" s="77" t="s">
        <v>112</v>
      </c>
      <c r="L98" s="149">
        <v>1</v>
      </c>
      <c r="N98" s="149">
        <v>1</v>
      </c>
      <c r="O98" s="149">
        <v>1.2</v>
      </c>
      <c r="P98" s="149">
        <v>1.1499999999999999</v>
      </c>
      <c r="Q98" s="158">
        <f t="shared" si="4"/>
        <v>1.1749999999999998</v>
      </c>
      <c r="R98" s="149">
        <v>13.6</v>
      </c>
      <c r="S98" s="149">
        <v>138</v>
      </c>
      <c r="T98" s="159">
        <f t="shared" si="5"/>
        <v>22</v>
      </c>
      <c r="U98" s="149">
        <v>127</v>
      </c>
      <c r="V98" s="159">
        <f t="shared" si="3"/>
        <v>2794</v>
      </c>
      <c r="W98" s="149">
        <v>16</v>
      </c>
      <c r="X98" s="149" t="s">
        <v>35</v>
      </c>
      <c r="Y98" s="149" t="s">
        <v>43</v>
      </c>
      <c r="Z98" s="149" t="s">
        <v>76</v>
      </c>
      <c r="AA98" s="149" t="s">
        <v>29</v>
      </c>
      <c r="AB98" s="149" t="s">
        <v>178</v>
      </c>
    </row>
    <row r="99" spans="1:28" x14ac:dyDescent="0.15">
      <c r="A99" s="149" t="s">
        <v>40</v>
      </c>
      <c r="B99" s="149" t="s">
        <v>174</v>
      </c>
      <c r="C99" s="149">
        <v>2020</v>
      </c>
      <c r="D99" s="157" t="s">
        <v>398</v>
      </c>
      <c r="E99" s="149" t="s">
        <v>240</v>
      </c>
      <c r="F99" s="149" t="s">
        <v>266</v>
      </c>
      <c r="G99" s="149" t="s">
        <v>25</v>
      </c>
      <c r="H99" s="149" t="s">
        <v>164</v>
      </c>
      <c r="I99" s="149" t="s">
        <v>111</v>
      </c>
      <c r="J99" s="77" t="s">
        <v>27</v>
      </c>
      <c r="K99" s="77" t="s">
        <v>112</v>
      </c>
      <c r="L99" s="149">
        <v>2</v>
      </c>
      <c r="N99" s="149">
        <v>1</v>
      </c>
      <c r="O99" s="149">
        <v>1.1000000000000001</v>
      </c>
      <c r="P99" s="149">
        <v>1.1000000000000001</v>
      </c>
      <c r="Q99" s="158">
        <f t="shared" si="4"/>
        <v>1.1000000000000001</v>
      </c>
      <c r="R99" s="149">
        <v>15.5</v>
      </c>
      <c r="S99" s="149">
        <v>152</v>
      </c>
      <c r="T99" s="159">
        <f t="shared" si="5"/>
        <v>18</v>
      </c>
      <c r="U99" s="149">
        <v>127</v>
      </c>
      <c r="V99" s="159">
        <f t="shared" si="3"/>
        <v>2286</v>
      </c>
      <c r="W99" s="149">
        <v>16</v>
      </c>
      <c r="X99" s="149" t="s">
        <v>35</v>
      </c>
      <c r="Y99" s="149" t="s">
        <v>43</v>
      </c>
      <c r="Z99" s="149" t="s">
        <v>76</v>
      </c>
      <c r="AA99" s="149" t="s">
        <v>29</v>
      </c>
      <c r="AB99" s="149" t="s">
        <v>178</v>
      </c>
    </row>
    <row r="100" spans="1:28" x14ac:dyDescent="0.15">
      <c r="A100" s="149" t="s">
        <v>40</v>
      </c>
      <c r="B100" s="149" t="s">
        <v>174</v>
      </c>
      <c r="C100" s="149">
        <v>2020</v>
      </c>
      <c r="D100" s="157" t="s">
        <v>398</v>
      </c>
      <c r="E100" s="149" t="s">
        <v>240</v>
      </c>
      <c r="F100" s="149" t="s">
        <v>266</v>
      </c>
      <c r="G100" s="149" t="s">
        <v>25</v>
      </c>
      <c r="H100" s="149" t="s">
        <v>164</v>
      </c>
      <c r="I100" s="149" t="s">
        <v>111</v>
      </c>
      <c r="J100" s="77" t="s">
        <v>27</v>
      </c>
      <c r="K100" s="77" t="s">
        <v>112</v>
      </c>
      <c r="L100" s="149">
        <v>3</v>
      </c>
      <c r="N100" s="149">
        <v>1</v>
      </c>
      <c r="O100" s="149">
        <v>1.1499999999999999</v>
      </c>
      <c r="P100" s="149">
        <v>1.2</v>
      </c>
      <c r="Q100" s="158">
        <f t="shared" si="4"/>
        <v>1.1749999999999998</v>
      </c>
      <c r="R100" s="149">
        <v>13.3</v>
      </c>
      <c r="S100" s="149">
        <v>136</v>
      </c>
      <c r="T100" s="159">
        <f t="shared" si="5"/>
        <v>25</v>
      </c>
      <c r="U100" s="149">
        <v>127</v>
      </c>
      <c r="V100" s="159">
        <f t="shared" si="3"/>
        <v>3175</v>
      </c>
      <c r="W100" s="149">
        <v>16</v>
      </c>
      <c r="X100" s="149" t="s">
        <v>35</v>
      </c>
      <c r="Y100" s="149" t="s">
        <v>43</v>
      </c>
      <c r="Z100" s="149" t="s">
        <v>76</v>
      </c>
      <c r="AA100" s="149" t="s">
        <v>29</v>
      </c>
      <c r="AB100" s="149" t="s">
        <v>178</v>
      </c>
    </row>
    <row r="101" spans="1:28" x14ac:dyDescent="0.15">
      <c r="A101" s="149" t="s">
        <v>40</v>
      </c>
      <c r="B101" s="149" t="s">
        <v>174</v>
      </c>
      <c r="C101" s="149">
        <v>2020</v>
      </c>
      <c r="D101" s="157" t="s">
        <v>398</v>
      </c>
      <c r="E101" s="149" t="s">
        <v>240</v>
      </c>
      <c r="F101" s="149" t="s">
        <v>266</v>
      </c>
      <c r="G101" s="149" t="s">
        <v>25</v>
      </c>
      <c r="H101" s="149" t="s">
        <v>164</v>
      </c>
      <c r="I101" s="149" t="s">
        <v>111</v>
      </c>
      <c r="J101" s="77" t="s">
        <v>27</v>
      </c>
      <c r="K101" s="77" t="s">
        <v>112</v>
      </c>
      <c r="L101" s="149">
        <v>1</v>
      </c>
      <c r="N101" s="149">
        <v>4</v>
      </c>
      <c r="O101" s="149">
        <v>0.7</v>
      </c>
      <c r="P101" s="149">
        <v>0.65</v>
      </c>
      <c r="Q101" s="158">
        <f t="shared" si="4"/>
        <v>0.67500000000000004</v>
      </c>
      <c r="R101" s="149">
        <v>15.6</v>
      </c>
      <c r="S101" s="149">
        <v>93</v>
      </c>
      <c r="T101" s="159">
        <f t="shared" si="5"/>
        <v>36</v>
      </c>
      <c r="U101" s="149">
        <v>397</v>
      </c>
      <c r="V101" s="159">
        <f t="shared" si="3"/>
        <v>3573</v>
      </c>
      <c r="W101" s="149">
        <v>16</v>
      </c>
      <c r="X101" s="149" t="s">
        <v>35</v>
      </c>
      <c r="Y101" s="149" t="s">
        <v>43</v>
      </c>
      <c r="Z101" s="149" t="s">
        <v>76</v>
      </c>
      <c r="AA101" s="149" t="s">
        <v>29</v>
      </c>
      <c r="AB101" s="149" t="s">
        <v>178</v>
      </c>
    </row>
    <row r="102" spans="1:28" x14ac:dyDescent="0.15">
      <c r="A102" s="149" t="s">
        <v>40</v>
      </c>
      <c r="B102" s="149" t="s">
        <v>174</v>
      </c>
      <c r="C102" s="149">
        <v>2020</v>
      </c>
      <c r="D102" s="157" t="s">
        <v>398</v>
      </c>
      <c r="E102" s="149" t="s">
        <v>240</v>
      </c>
      <c r="F102" s="149" t="s">
        <v>266</v>
      </c>
      <c r="G102" s="149" t="s">
        <v>25</v>
      </c>
      <c r="H102" s="149" t="s">
        <v>164</v>
      </c>
      <c r="I102" s="149" t="s">
        <v>111</v>
      </c>
      <c r="J102" s="77" t="s">
        <v>27</v>
      </c>
      <c r="K102" s="77" t="s">
        <v>112</v>
      </c>
      <c r="L102" s="149">
        <v>2</v>
      </c>
      <c r="N102" s="149">
        <v>4</v>
      </c>
      <c r="O102" s="149">
        <v>0.75</v>
      </c>
      <c r="P102" s="149">
        <v>0.75</v>
      </c>
      <c r="Q102" s="158">
        <f t="shared" si="4"/>
        <v>0.75</v>
      </c>
      <c r="R102" s="149">
        <v>14.2</v>
      </c>
      <c r="S102" s="149">
        <v>84</v>
      </c>
      <c r="T102" s="159">
        <f t="shared" si="5"/>
        <v>36</v>
      </c>
      <c r="U102" s="149">
        <v>397</v>
      </c>
      <c r="V102" s="159">
        <f t="shared" si="3"/>
        <v>3573</v>
      </c>
      <c r="W102" s="149">
        <v>16</v>
      </c>
      <c r="X102" s="149" t="s">
        <v>35</v>
      </c>
      <c r="Y102" s="149" t="s">
        <v>43</v>
      </c>
      <c r="Z102" s="149" t="s">
        <v>76</v>
      </c>
      <c r="AA102" s="149" t="s">
        <v>29</v>
      </c>
      <c r="AB102" s="149" t="s">
        <v>178</v>
      </c>
    </row>
    <row r="103" spans="1:28" x14ac:dyDescent="0.15">
      <c r="A103" s="149" t="s">
        <v>40</v>
      </c>
      <c r="B103" s="149" t="s">
        <v>174</v>
      </c>
      <c r="C103" s="149">
        <v>2020</v>
      </c>
      <c r="D103" s="157" t="s">
        <v>398</v>
      </c>
      <c r="E103" s="149" t="s">
        <v>240</v>
      </c>
      <c r="F103" s="149" t="s">
        <v>266</v>
      </c>
      <c r="G103" s="149" t="s">
        <v>25</v>
      </c>
      <c r="H103" s="149" t="s">
        <v>164</v>
      </c>
      <c r="I103" s="149" t="s">
        <v>111</v>
      </c>
      <c r="J103" s="77" t="s">
        <v>27</v>
      </c>
      <c r="K103" s="77" t="s">
        <v>112</v>
      </c>
      <c r="L103" s="149">
        <v>3</v>
      </c>
      <c r="N103" s="149">
        <v>4</v>
      </c>
      <c r="O103" s="149">
        <v>0.55000000000000004</v>
      </c>
      <c r="P103" s="149">
        <v>0.6</v>
      </c>
      <c r="Q103" s="158">
        <f t="shared" si="4"/>
        <v>0.57499999999999996</v>
      </c>
      <c r="R103" s="149">
        <v>16.3</v>
      </c>
      <c r="S103" s="149">
        <v>86</v>
      </c>
      <c r="T103" s="159">
        <f t="shared" si="5"/>
        <v>36</v>
      </c>
      <c r="U103" s="149">
        <v>397</v>
      </c>
      <c r="V103" s="159">
        <f t="shared" si="3"/>
        <v>3573</v>
      </c>
      <c r="W103" s="149">
        <v>16</v>
      </c>
      <c r="X103" s="149" t="s">
        <v>35</v>
      </c>
      <c r="Y103" s="149" t="s">
        <v>43</v>
      </c>
      <c r="Z103" s="149" t="s">
        <v>76</v>
      </c>
      <c r="AA103" s="149" t="s">
        <v>29</v>
      </c>
      <c r="AB103" s="149" t="s">
        <v>178</v>
      </c>
    </row>
    <row r="104" spans="1:28" x14ac:dyDescent="0.15">
      <c r="A104" s="149" t="s">
        <v>40</v>
      </c>
      <c r="B104" s="149" t="s">
        <v>174</v>
      </c>
      <c r="C104" s="149">
        <v>2020</v>
      </c>
      <c r="D104" s="157" t="s">
        <v>398</v>
      </c>
      <c r="E104" s="149" t="s">
        <v>274</v>
      </c>
      <c r="F104" s="149" t="s">
        <v>266</v>
      </c>
      <c r="G104" s="149" t="s">
        <v>25</v>
      </c>
      <c r="H104" s="149" t="s">
        <v>113</v>
      </c>
      <c r="I104" s="149" t="s">
        <v>111</v>
      </c>
      <c r="J104" s="77" t="s">
        <v>27</v>
      </c>
      <c r="K104" s="77" t="s">
        <v>112</v>
      </c>
      <c r="L104" s="149">
        <v>1</v>
      </c>
      <c r="N104" s="149">
        <v>1</v>
      </c>
      <c r="O104" s="149">
        <v>0.9</v>
      </c>
      <c r="P104" s="149">
        <v>0.9</v>
      </c>
      <c r="Q104" s="158">
        <f t="shared" si="4"/>
        <v>0.9</v>
      </c>
      <c r="R104" s="149">
        <v>14.2</v>
      </c>
      <c r="S104" s="149">
        <v>114</v>
      </c>
      <c r="T104" s="159">
        <f t="shared" si="5"/>
        <v>30</v>
      </c>
      <c r="U104" s="149">
        <v>58</v>
      </c>
      <c r="V104" s="159">
        <f t="shared" si="3"/>
        <v>1740</v>
      </c>
      <c r="W104" s="149">
        <v>34</v>
      </c>
      <c r="X104" s="149" t="s">
        <v>35</v>
      </c>
      <c r="Y104" s="149" t="s">
        <v>55</v>
      </c>
      <c r="Z104" s="149" t="s">
        <v>43</v>
      </c>
      <c r="AA104" s="149" t="s">
        <v>36</v>
      </c>
      <c r="AB104" s="149" t="s">
        <v>178</v>
      </c>
    </row>
    <row r="105" spans="1:28" x14ac:dyDescent="0.15">
      <c r="A105" s="149" t="s">
        <v>40</v>
      </c>
      <c r="B105" s="149" t="s">
        <v>174</v>
      </c>
      <c r="C105" s="149">
        <v>2020</v>
      </c>
      <c r="D105" s="157" t="s">
        <v>398</v>
      </c>
      <c r="E105" s="149" t="s">
        <v>274</v>
      </c>
      <c r="F105" s="149" t="s">
        <v>266</v>
      </c>
      <c r="G105" s="149" t="s">
        <v>25</v>
      </c>
      <c r="H105" s="149" t="s">
        <v>113</v>
      </c>
      <c r="I105" s="149" t="s">
        <v>111</v>
      </c>
      <c r="J105" s="77" t="s">
        <v>27</v>
      </c>
      <c r="K105" s="77" t="s">
        <v>112</v>
      </c>
      <c r="L105" s="149">
        <v>2</v>
      </c>
      <c r="N105" s="149">
        <v>1</v>
      </c>
      <c r="O105" s="149">
        <v>0.95</v>
      </c>
      <c r="P105" s="149">
        <v>0.85</v>
      </c>
      <c r="Q105" s="158">
        <f t="shared" si="4"/>
        <v>0.89999999999999991</v>
      </c>
      <c r="R105" s="149">
        <v>13.9</v>
      </c>
      <c r="S105" s="149">
        <v>110</v>
      </c>
      <c r="T105" s="159">
        <f t="shared" si="5"/>
        <v>33</v>
      </c>
      <c r="U105" s="149">
        <v>58</v>
      </c>
      <c r="V105" s="159">
        <f t="shared" si="3"/>
        <v>1914</v>
      </c>
      <c r="W105" s="149">
        <v>34</v>
      </c>
      <c r="X105" s="149" t="s">
        <v>35</v>
      </c>
      <c r="Y105" s="149" t="s">
        <v>55</v>
      </c>
      <c r="Z105" s="149" t="s">
        <v>43</v>
      </c>
      <c r="AA105" s="149" t="s">
        <v>36</v>
      </c>
      <c r="AB105" s="149" t="s">
        <v>178</v>
      </c>
    </row>
    <row r="106" spans="1:28" x14ac:dyDescent="0.15">
      <c r="A106" s="149" t="s">
        <v>40</v>
      </c>
      <c r="B106" s="149" t="s">
        <v>174</v>
      </c>
      <c r="C106" s="149">
        <v>2020</v>
      </c>
      <c r="D106" s="157" t="s">
        <v>398</v>
      </c>
      <c r="E106" s="149" t="s">
        <v>274</v>
      </c>
      <c r="F106" s="149" t="s">
        <v>266</v>
      </c>
      <c r="G106" s="149" t="s">
        <v>25</v>
      </c>
      <c r="H106" s="149" t="s">
        <v>113</v>
      </c>
      <c r="I106" s="149" t="s">
        <v>111</v>
      </c>
      <c r="J106" s="77" t="s">
        <v>27</v>
      </c>
      <c r="K106" s="77" t="s">
        <v>112</v>
      </c>
      <c r="L106" s="149">
        <v>3</v>
      </c>
      <c r="N106" s="149">
        <v>1</v>
      </c>
      <c r="O106" s="149">
        <v>0.9</v>
      </c>
      <c r="P106" s="149">
        <v>0.95</v>
      </c>
      <c r="Q106" s="158">
        <f t="shared" si="4"/>
        <v>0.92500000000000004</v>
      </c>
      <c r="R106" s="149">
        <v>14.4</v>
      </c>
      <c r="S106" s="149">
        <v>118</v>
      </c>
      <c r="T106" s="159">
        <f t="shared" si="5"/>
        <v>30</v>
      </c>
      <c r="U106" s="149">
        <v>58</v>
      </c>
      <c r="V106" s="159">
        <f t="shared" si="3"/>
        <v>1740</v>
      </c>
      <c r="W106" s="149">
        <v>34</v>
      </c>
      <c r="X106" s="149" t="s">
        <v>35</v>
      </c>
      <c r="Y106" s="149" t="s">
        <v>55</v>
      </c>
      <c r="Z106" s="149" t="s">
        <v>43</v>
      </c>
      <c r="AA106" s="149" t="s">
        <v>36</v>
      </c>
      <c r="AB106" s="149" t="s">
        <v>178</v>
      </c>
    </row>
    <row r="107" spans="1:28" x14ac:dyDescent="0.15">
      <c r="A107" s="149" t="s">
        <v>40</v>
      </c>
      <c r="B107" s="149" t="s">
        <v>174</v>
      </c>
      <c r="C107" s="149">
        <v>2020</v>
      </c>
      <c r="D107" s="157" t="s">
        <v>398</v>
      </c>
      <c r="E107" s="149" t="s">
        <v>274</v>
      </c>
      <c r="F107" s="149" t="s">
        <v>266</v>
      </c>
      <c r="G107" s="149" t="s">
        <v>25</v>
      </c>
      <c r="H107" s="149" t="s">
        <v>228</v>
      </c>
      <c r="I107" s="149" t="s">
        <v>111</v>
      </c>
      <c r="J107" s="77" t="s">
        <v>27</v>
      </c>
      <c r="K107" s="77" t="s">
        <v>112</v>
      </c>
      <c r="L107" s="149">
        <v>1</v>
      </c>
      <c r="N107" s="149">
        <v>5</v>
      </c>
      <c r="O107" s="149">
        <v>0.85</v>
      </c>
      <c r="P107" s="149">
        <v>0.8</v>
      </c>
      <c r="Q107" s="158">
        <f t="shared" si="4"/>
        <v>0.82499999999999996</v>
      </c>
      <c r="R107" s="149">
        <v>19.8</v>
      </c>
      <c r="S107" s="149">
        <v>71</v>
      </c>
      <c r="T107" s="159">
        <f t="shared" si="5"/>
        <v>42</v>
      </c>
      <c r="U107" s="149">
        <v>398</v>
      </c>
      <c r="V107" s="159">
        <f t="shared" si="3"/>
        <v>3343.2</v>
      </c>
      <c r="W107" s="149">
        <v>34</v>
      </c>
      <c r="X107" s="149" t="s">
        <v>35</v>
      </c>
      <c r="Y107" s="149" t="s">
        <v>55</v>
      </c>
      <c r="Z107" s="149" t="s">
        <v>43</v>
      </c>
      <c r="AA107" s="149" t="s">
        <v>36</v>
      </c>
      <c r="AB107" s="149" t="s">
        <v>178</v>
      </c>
    </row>
    <row r="108" spans="1:28" x14ac:dyDescent="0.15">
      <c r="A108" s="149" t="s">
        <v>40</v>
      </c>
      <c r="B108" s="149" t="s">
        <v>174</v>
      </c>
      <c r="C108" s="149">
        <v>2020</v>
      </c>
      <c r="D108" s="157" t="s">
        <v>398</v>
      </c>
      <c r="E108" s="149" t="s">
        <v>274</v>
      </c>
      <c r="F108" s="149" t="s">
        <v>266</v>
      </c>
      <c r="G108" s="149" t="s">
        <v>25</v>
      </c>
      <c r="H108" s="149" t="s">
        <v>228</v>
      </c>
      <c r="I108" s="149" t="s">
        <v>111</v>
      </c>
      <c r="J108" s="77" t="s">
        <v>27</v>
      </c>
      <c r="K108" s="77" t="s">
        <v>112</v>
      </c>
      <c r="L108" s="149">
        <v>2</v>
      </c>
      <c r="N108" s="149">
        <v>5</v>
      </c>
      <c r="O108" s="149">
        <v>0.8</v>
      </c>
      <c r="P108" s="149">
        <v>0.8</v>
      </c>
      <c r="Q108" s="158">
        <f t="shared" si="4"/>
        <v>0.8</v>
      </c>
      <c r="R108" s="149">
        <v>20.100000000000001</v>
      </c>
      <c r="S108" s="149">
        <v>77</v>
      </c>
      <c r="T108" s="159">
        <f t="shared" si="5"/>
        <v>39</v>
      </c>
      <c r="U108" s="149">
        <v>398</v>
      </c>
      <c r="V108" s="159">
        <f t="shared" si="3"/>
        <v>3104.3999999999996</v>
      </c>
      <c r="W108" s="149">
        <v>34</v>
      </c>
      <c r="X108" s="149" t="s">
        <v>35</v>
      </c>
      <c r="Y108" s="149" t="s">
        <v>55</v>
      </c>
      <c r="Z108" s="149" t="s">
        <v>43</v>
      </c>
      <c r="AA108" s="149" t="s">
        <v>36</v>
      </c>
      <c r="AB108" s="149" t="s">
        <v>178</v>
      </c>
    </row>
    <row r="109" spans="1:28" x14ac:dyDescent="0.15">
      <c r="A109" s="149" t="s">
        <v>40</v>
      </c>
      <c r="B109" s="149" t="s">
        <v>174</v>
      </c>
      <c r="C109" s="149">
        <v>2020</v>
      </c>
      <c r="D109" s="157" t="s">
        <v>398</v>
      </c>
      <c r="E109" s="149" t="s">
        <v>274</v>
      </c>
      <c r="F109" s="149" t="s">
        <v>266</v>
      </c>
      <c r="G109" s="149" t="s">
        <v>25</v>
      </c>
      <c r="H109" s="149" t="s">
        <v>228</v>
      </c>
      <c r="I109" s="149" t="s">
        <v>111</v>
      </c>
      <c r="J109" s="77" t="s">
        <v>27</v>
      </c>
      <c r="K109" s="77" t="s">
        <v>112</v>
      </c>
      <c r="L109" s="149">
        <v>3</v>
      </c>
      <c r="N109" s="149">
        <v>5</v>
      </c>
      <c r="O109" s="149">
        <v>0.8</v>
      </c>
      <c r="P109" s="149">
        <v>0.75</v>
      </c>
      <c r="Q109" s="158">
        <f t="shared" si="4"/>
        <v>0.77500000000000002</v>
      </c>
      <c r="R109" s="149">
        <v>19.600000000000001</v>
      </c>
      <c r="S109" s="149">
        <v>78</v>
      </c>
      <c r="T109" s="159">
        <f t="shared" si="5"/>
        <v>39</v>
      </c>
      <c r="U109" s="149">
        <v>398</v>
      </c>
      <c r="V109" s="159">
        <f t="shared" si="3"/>
        <v>3104.3999999999996</v>
      </c>
      <c r="W109" s="149">
        <v>34</v>
      </c>
      <c r="X109" s="149" t="s">
        <v>35</v>
      </c>
      <c r="Y109" s="149" t="s">
        <v>55</v>
      </c>
      <c r="Z109" s="149" t="s">
        <v>43</v>
      </c>
      <c r="AA109" s="149" t="s">
        <v>36</v>
      </c>
      <c r="AB109" s="149" t="s">
        <v>178</v>
      </c>
    </row>
    <row r="110" spans="1:28" x14ac:dyDescent="0.15">
      <c r="A110" s="149" t="s">
        <v>40</v>
      </c>
      <c r="B110" s="149" t="s">
        <v>174</v>
      </c>
      <c r="C110" s="149">
        <v>2020</v>
      </c>
      <c r="D110" s="157" t="s">
        <v>398</v>
      </c>
      <c r="E110" s="149" t="s">
        <v>274</v>
      </c>
      <c r="F110" s="149" t="s">
        <v>266</v>
      </c>
      <c r="G110" s="149" t="s">
        <v>25</v>
      </c>
      <c r="H110" s="149" t="s">
        <v>164</v>
      </c>
      <c r="I110" s="149" t="s">
        <v>111</v>
      </c>
      <c r="J110" s="77" t="s">
        <v>27</v>
      </c>
      <c r="K110" s="77" t="s">
        <v>112</v>
      </c>
      <c r="L110" s="149">
        <v>1</v>
      </c>
      <c r="N110" s="149">
        <v>4</v>
      </c>
      <c r="O110" s="149">
        <v>0.75</v>
      </c>
      <c r="P110" s="149">
        <v>0.7</v>
      </c>
      <c r="Q110" s="158">
        <f t="shared" si="4"/>
        <v>0.72499999999999998</v>
      </c>
      <c r="R110" s="149">
        <v>16.2</v>
      </c>
      <c r="S110" s="149">
        <v>138</v>
      </c>
      <c r="T110" s="159">
        <f t="shared" si="5"/>
        <v>22</v>
      </c>
      <c r="U110" s="149">
        <v>498</v>
      </c>
      <c r="V110" s="159">
        <f t="shared" si="3"/>
        <v>2739</v>
      </c>
      <c r="W110" s="149">
        <v>34</v>
      </c>
      <c r="X110" s="149" t="s">
        <v>35</v>
      </c>
      <c r="Y110" s="149" t="s">
        <v>55</v>
      </c>
      <c r="Z110" s="149" t="s">
        <v>43</v>
      </c>
      <c r="AA110" s="149" t="s">
        <v>36</v>
      </c>
      <c r="AB110" s="149" t="s">
        <v>178</v>
      </c>
    </row>
    <row r="111" spans="1:28" x14ac:dyDescent="0.15">
      <c r="A111" s="149" t="s">
        <v>40</v>
      </c>
      <c r="B111" s="149" t="s">
        <v>174</v>
      </c>
      <c r="C111" s="149">
        <v>2020</v>
      </c>
      <c r="D111" s="157" t="s">
        <v>398</v>
      </c>
      <c r="E111" s="149" t="s">
        <v>274</v>
      </c>
      <c r="F111" s="149" t="s">
        <v>266</v>
      </c>
      <c r="G111" s="149" t="s">
        <v>25</v>
      </c>
      <c r="H111" s="149" t="s">
        <v>164</v>
      </c>
      <c r="I111" s="149" t="s">
        <v>111</v>
      </c>
      <c r="J111" s="77" t="s">
        <v>27</v>
      </c>
      <c r="K111" s="77" t="s">
        <v>112</v>
      </c>
      <c r="L111" s="149">
        <v>2</v>
      </c>
      <c r="N111" s="149">
        <v>4</v>
      </c>
      <c r="O111" s="149">
        <v>0.75</v>
      </c>
      <c r="P111" s="149">
        <v>0.75</v>
      </c>
      <c r="Q111" s="158">
        <f t="shared" si="4"/>
        <v>0.75</v>
      </c>
      <c r="R111" s="149">
        <v>16.5</v>
      </c>
      <c r="S111" s="149">
        <v>142</v>
      </c>
      <c r="T111" s="159">
        <f t="shared" si="5"/>
        <v>22</v>
      </c>
      <c r="U111" s="149">
        <v>498</v>
      </c>
      <c r="V111" s="159">
        <f t="shared" si="3"/>
        <v>2739</v>
      </c>
      <c r="W111" s="149">
        <v>34</v>
      </c>
      <c r="X111" s="149" t="s">
        <v>35</v>
      </c>
      <c r="Y111" s="149" t="s">
        <v>55</v>
      </c>
      <c r="Z111" s="149" t="s">
        <v>43</v>
      </c>
      <c r="AA111" s="149" t="s">
        <v>36</v>
      </c>
      <c r="AB111" s="149" t="s">
        <v>178</v>
      </c>
    </row>
    <row r="112" spans="1:28" x14ac:dyDescent="0.15">
      <c r="A112" s="149" t="s">
        <v>40</v>
      </c>
      <c r="B112" s="149" t="s">
        <v>174</v>
      </c>
      <c r="C112" s="149">
        <v>2020</v>
      </c>
      <c r="D112" s="157" t="s">
        <v>398</v>
      </c>
      <c r="E112" s="149" t="s">
        <v>274</v>
      </c>
      <c r="F112" s="149" t="s">
        <v>266</v>
      </c>
      <c r="G112" s="149" t="s">
        <v>25</v>
      </c>
      <c r="H112" s="149" t="s">
        <v>164</v>
      </c>
      <c r="I112" s="149" t="s">
        <v>111</v>
      </c>
      <c r="J112" s="77" t="s">
        <v>27</v>
      </c>
      <c r="K112" s="77" t="s">
        <v>112</v>
      </c>
      <c r="L112" s="149">
        <v>3</v>
      </c>
      <c r="N112" s="149">
        <v>4</v>
      </c>
      <c r="O112" s="149">
        <v>0.8</v>
      </c>
      <c r="P112" s="149">
        <v>0.7</v>
      </c>
      <c r="Q112" s="158">
        <f t="shared" si="4"/>
        <v>0.75</v>
      </c>
      <c r="R112" s="149">
        <v>17</v>
      </c>
      <c r="S112" s="149">
        <v>146</v>
      </c>
      <c r="T112" s="159">
        <f t="shared" si="5"/>
        <v>22</v>
      </c>
      <c r="U112" s="149">
        <v>498</v>
      </c>
      <c r="V112" s="159">
        <f t="shared" si="3"/>
        <v>2739</v>
      </c>
      <c r="W112" s="149">
        <v>34</v>
      </c>
      <c r="X112" s="149" t="s">
        <v>35</v>
      </c>
      <c r="Y112" s="149" t="s">
        <v>55</v>
      </c>
      <c r="Z112" s="149" t="s">
        <v>43</v>
      </c>
      <c r="AA112" s="149" t="s">
        <v>36</v>
      </c>
      <c r="AB112" s="149" t="s">
        <v>178</v>
      </c>
    </row>
    <row r="113" spans="1:28" x14ac:dyDescent="0.15">
      <c r="A113" s="149" t="s">
        <v>40</v>
      </c>
      <c r="B113" s="149" t="s">
        <v>174</v>
      </c>
      <c r="C113" s="149">
        <v>2020</v>
      </c>
      <c r="D113" s="157" t="s">
        <v>398</v>
      </c>
      <c r="E113" s="149" t="s">
        <v>274</v>
      </c>
      <c r="F113" s="149" t="s">
        <v>266</v>
      </c>
      <c r="G113" s="149" t="s">
        <v>25</v>
      </c>
      <c r="H113" s="149" t="s">
        <v>164</v>
      </c>
      <c r="I113" s="149" t="s">
        <v>111</v>
      </c>
      <c r="J113" s="77" t="s">
        <v>27</v>
      </c>
      <c r="K113" s="77" t="s">
        <v>112</v>
      </c>
      <c r="L113" s="149">
        <v>1</v>
      </c>
      <c r="N113" s="149">
        <v>1</v>
      </c>
      <c r="O113" s="149">
        <v>0.75</v>
      </c>
      <c r="P113" s="149">
        <v>0.8</v>
      </c>
      <c r="Q113" s="158">
        <f t="shared" si="4"/>
        <v>0.77500000000000002</v>
      </c>
      <c r="R113" s="149">
        <v>15.2</v>
      </c>
      <c r="S113" s="149">
        <v>98</v>
      </c>
      <c r="T113" s="159">
        <f t="shared" si="5"/>
        <v>36</v>
      </c>
      <c r="U113" s="149">
        <v>158</v>
      </c>
      <c r="V113" s="159">
        <f t="shared" si="3"/>
        <v>5688</v>
      </c>
      <c r="W113" s="149">
        <v>34</v>
      </c>
      <c r="X113" s="149" t="s">
        <v>35</v>
      </c>
      <c r="Y113" s="149" t="s">
        <v>55</v>
      </c>
      <c r="Z113" s="149" t="s">
        <v>43</v>
      </c>
      <c r="AA113" s="149" t="s">
        <v>36</v>
      </c>
      <c r="AB113" s="149" t="s">
        <v>178</v>
      </c>
    </row>
    <row r="114" spans="1:28" x14ac:dyDescent="0.15">
      <c r="A114" s="149" t="s">
        <v>40</v>
      </c>
      <c r="B114" s="149" t="s">
        <v>174</v>
      </c>
      <c r="C114" s="149">
        <v>2020</v>
      </c>
      <c r="D114" s="157" t="s">
        <v>398</v>
      </c>
      <c r="E114" s="149" t="s">
        <v>274</v>
      </c>
      <c r="F114" s="149" t="s">
        <v>266</v>
      </c>
      <c r="G114" s="149" t="s">
        <v>25</v>
      </c>
      <c r="H114" s="149" t="s">
        <v>164</v>
      </c>
      <c r="I114" s="149" t="s">
        <v>111</v>
      </c>
      <c r="J114" s="77" t="s">
        <v>27</v>
      </c>
      <c r="K114" s="77" t="s">
        <v>112</v>
      </c>
      <c r="L114" s="149">
        <v>2</v>
      </c>
      <c r="N114" s="149">
        <v>1</v>
      </c>
      <c r="O114" s="149">
        <v>0.7</v>
      </c>
      <c r="P114" s="149">
        <v>0.7</v>
      </c>
      <c r="Q114" s="158">
        <f t="shared" si="4"/>
        <v>0.7</v>
      </c>
      <c r="R114" s="149">
        <v>15.8</v>
      </c>
      <c r="S114" s="149">
        <v>106</v>
      </c>
      <c r="T114" s="159">
        <f t="shared" si="5"/>
        <v>33</v>
      </c>
      <c r="U114" s="149">
        <v>158</v>
      </c>
      <c r="V114" s="159">
        <f t="shared" si="3"/>
        <v>5214</v>
      </c>
      <c r="W114" s="149">
        <v>34</v>
      </c>
      <c r="X114" s="149" t="s">
        <v>35</v>
      </c>
      <c r="Y114" s="149" t="s">
        <v>55</v>
      </c>
      <c r="Z114" s="149" t="s">
        <v>43</v>
      </c>
      <c r="AA114" s="149" t="s">
        <v>36</v>
      </c>
      <c r="AB114" s="149" t="s">
        <v>178</v>
      </c>
    </row>
    <row r="115" spans="1:28" x14ac:dyDescent="0.15">
      <c r="A115" s="149" t="s">
        <v>40</v>
      </c>
      <c r="B115" s="149" t="s">
        <v>174</v>
      </c>
      <c r="C115" s="149">
        <v>2020</v>
      </c>
      <c r="D115" s="157" t="s">
        <v>398</v>
      </c>
      <c r="E115" s="149" t="s">
        <v>274</v>
      </c>
      <c r="F115" s="149" t="s">
        <v>266</v>
      </c>
      <c r="G115" s="149" t="s">
        <v>25</v>
      </c>
      <c r="H115" s="149" t="s">
        <v>164</v>
      </c>
      <c r="I115" s="149" t="s">
        <v>111</v>
      </c>
      <c r="J115" s="77" t="s">
        <v>27</v>
      </c>
      <c r="K115" s="77" t="s">
        <v>112</v>
      </c>
      <c r="L115" s="149">
        <v>3</v>
      </c>
      <c r="N115" s="149">
        <v>1</v>
      </c>
      <c r="O115" s="149">
        <v>0.75</v>
      </c>
      <c r="P115" s="149">
        <v>0.7</v>
      </c>
      <c r="Q115" s="158">
        <f t="shared" si="4"/>
        <v>0.72499999999999998</v>
      </c>
      <c r="R115" s="149">
        <v>15.7</v>
      </c>
      <c r="S115" s="149">
        <v>106</v>
      </c>
      <c r="T115" s="159">
        <f t="shared" si="5"/>
        <v>33</v>
      </c>
      <c r="U115" s="149">
        <v>158</v>
      </c>
      <c r="V115" s="159">
        <f t="shared" si="3"/>
        <v>5214</v>
      </c>
      <c r="W115" s="149">
        <v>34</v>
      </c>
      <c r="X115" s="149" t="s">
        <v>35</v>
      </c>
      <c r="Y115" s="149" t="s">
        <v>55</v>
      </c>
      <c r="Z115" s="149" t="s">
        <v>43</v>
      </c>
      <c r="AA115" s="149" t="s">
        <v>36</v>
      </c>
      <c r="AB115" s="149" t="s">
        <v>178</v>
      </c>
    </row>
    <row r="116" spans="1:28" x14ac:dyDescent="0.15">
      <c r="A116" s="149" t="s">
        <v>40</v>
      </c>
      <c r="B116" s="149" t="s">
        <v>174</v>
      </c>
      <c r="C116" s="149">
        <v>2020</v>
      </c>
      <c r="D116" s="157" t="s">
        <v>398</v>
      </c>
      <c r="E116" s="149" t="s">
        <v>274</v>
      </c>
      <c r="F116" s="149" t="s">
        <v>266</v>
      </c>
      <c r="G116" s="149" t="s">
        <v>25</v>
      </c>
      <c r="H116" s="149" t="s">
        <v>164</v>
      </c>
      <c r="I116" s="149" t="s">
        <v>111</v>
      </c>
      <c r="J116" s="77" t="s">
        <v>27</v>
      </c>
      <c r="K116" s="77" t="s">
        <v>112</v>
      </c>
      <c r="L116" s="149">
        <v>1</v>
      </c>
      <c r="N116" s="149">
        <v>6</v>
      </c>
      <c r="O116" s="149">
        <v>1</v>
      </c>
      <c r="P116" s="149">
        <v>1.1000000000000001</v>
      </c>
      <c r="Q116" s="158">
        <f t="shared" si="4"/>
        <v>1.05</v>
      </c>
      <c r="R116" s="149">
        <v>16.2</v>
      </c>
      <c r="S116" s="149">
        <v>144</v>
      </c>
      <c r="T116" s="159">
        <f t="shared" si="5"/>
        <v>22</v>
      </c>
      <c r="U116" s="149">
        <v>1000</v>
      </c>
      <c r="V116" s="159">
        <f t="shared" si="3"/>
        <v>3666.6666666666665</v>
      </c>
      <c r="W116" s="149">
        <v>34</v>
      </c>
      <c r="X116" s="149" t="s">
        <v>35</v>
      </c>
      <c r="Y116" s="149" t="s">
        <v>55</v>
      </c>
      <c r="Z116" s="149" t="s">
        <v>43</v>
      </c>
      <c r="AA116" s="149" t="s">
        <v>36</v>
      </c>
      <c r="AB116" s="149" t="s">
        <v>178</v>
      </c>
    </row>
    <row r="117" spans="1:28" x14ac:dyDescent="0.15">
      <c r="A117" s="149" t="s">
        <v>40</v>
      </c>
      <c r="B117" s="149" t="s">
        <v>174</v>
      </c>
      <c r="C117" s="149">
        <v>2020</v>
      </c>
      <c r="D117" s="157" t="s">
        <v>398</v>
      </c>
      <c r="E117" s="149" t="s">
        <v>274</v>
      </c>
      <c r="F117" s="149" t="s">
        <v>266</v>
      </c>
      <c r="G117" s="149" t="s">
        <v>25</v>
      </c>
      <c r="H117" s="149" t="s">
        <v>164</v>
      </c>
      <c r="I117" s="149" t="s">
        <v>111</v>
      </c>
      <c r="J117" s="77" t="s">
        <v>27</v>
      </c>
      <c r="K117" s="77" t="s">
        <v>112</v>
      </c>
      <c r="L117" s="149">
        <v>2</v>
      </c>
      <c r="N117" s="149">
        <v>6</v>
      </c>
      <c r="O117" s="149">
        <v>0.95</v>
      </c>
      <c r="P117" s="149">
        <v>1.05</v>
      </c>
      <c r="Q117" s="158">
        <f t="shared" si="4"/>
        <v>1</v>
      </c>
      <c r="R117" s="149">
        <v>16.600000000000001</v>
      </c>
      <c r="S117" s="149">
        <v>150</v>
      </c>
      <c r="T117" s="159">
        <f t="shared" si="5"/>
        <v>22</v>
      </c>
      <c r="U117" s="149">
        <v>1000</v>
      </c>
      <c r="V117" s="159">
        <f t="shared" si="3"/>
        <v>3666.6666666666665</v>
      </c>
      <c r="W117" s="149">
        <v>34</v>
      </c>
      <c r="X117" s="149" t="s">
        <v>35</v>
      </c>
      <c r="Y117" s="149" t="s">
        <v>55</v>
      </c>
      <c r="Z117" s="149" t="s">
        <v>43</v>
      </c>
      <c r="AA117" s="149" t="s">
        <v>36</v>
      </c>
      <c r="AB117" s="149" t="s">
        <v>178</v>
      </c>
    </row>
    <row r="118" spans="1:28" x14ac:dyDescent="0.15">
      <c r="A118" s="149" t="s">
        <v>40</v>
      </c>
      <c r="B118" s="149" t="s">
        <v>174</v>
      </c>
      <c r="C118" s="149">
        <v>2020</v>
      </c>
      <c r="D118" s="157" t="s">
        <v>398</v>
      </c>
      <c r="E118" s="149" t="s">
        <v>274</v>
      </c>
      <c r="F118" s="149" t="s">
        <v>266</v>
      </c>
      <c r="G118" s="149" t="s">
        <v>25</v>
      </c>
      <c r="H118" s="149" t="s">
        <v>164</v>
      </c>
      <c r="I118" s="149" t="s">
        <v>111</v>
      </c>
      <c r="J118" s="77" t="s">
        <v>27</v>
      </c>
      <c r="K118" s="77" t="s">
        <v>112</v>
      </c>
      <c r="L118" s="149">
        <v>3</v>
      </c>
      <c r="N118" s="149">
        <v>6</v>
      </c>
      <c r="O118" s="149">
        <v>1.1499999999999999</v>
      </c>
      <c r="P118" s="149">
        <v>1.05</v>
      </c>
      <c r="Q118" s="158">
        <f t="shared" si="4"/>
        <v>1.1000000000000001</v>
      </c>
      <c r="R118" s="149">
        <v>15.9</v>
      </c>
      <c r="S118" s="149">
        <v>140</v>
      </c>
      <c r="T118" s="159">
        <f t="shared" si="5"/>
        <v>22</v>
      </c>
      <c r="U118" s="149">
        <v>1000</v>
      </c>
      <c r="V118" s="159">
        <f t="shared" si="3"/>
        <v>3666.6666666666665</v>
      </c>
      <c r="W118" s="149">
        <v>34</v>
      </c>
      <c r="X118" s="149" t="s">
        <v>35</v>
      </c>
      <c r="Y118" s="149" t="s">
        <v>55</v>
      </c>
      <c r="Z118" s="149" t="s">
        <v>43</v>
      </c>
      <c r="AA118" s="149" t="s">
        <v>36</v>
      </c>
      <c r="AB118" s="149" t="s">
        <v>178</v>
      </c>
    </row>
    <row r="119" spans="1:28" x14ac:dyDescent="0.15">
      <c r="A119" s="149" t="s">
        <v>40</v>
      </c>
      <c r="B119" s="149" t="s">
        <v>174</v>
      </c>
      <c r="C119" s="149">
        <v>2020</v>
      </c>
      <c r="D119" s="157" t="s">
        <v>398</v>
      </c>
      <c r="E119" s="149" t="s">
        <v>274</v>
      </c>
      <c r="F119" s="149" t="s">
        <v>266</v>
      </c>
      <c r="G119" s="149" t="s">
        <v>25</v>
      </c>
      <c r="H119" s="149" t="s">
        <v>235</v>
      </c>
      <c r="I119" s="149" t="s">
        <v>111</v>
      </c>
      <c r="J119" s="77" t="s">
        <v>27</v>
      </c>
      <c r="K119" s="77" t="s">
        <v>112</v>
      </c>
      <c r="L119" s="149">
        <v>1</v>
      </c>
      <c r="N119" s="149">
        <v>3</v>
      </c>
      <c r="O119" s="149">
        <v>0.5</v>
      </c>
      <c r="P119" s="149">
        <v>0.25</v>
      </c>
      <c r="Q119" s="158">
        <f t="shared" si="4"/>
        <v>0.375</v>
      </c>
      <c r="R119" s="149">
        <v>17.8</v>
      </c>
      <c r="S119" s="149">
        <v>120</v>
      </c>
      <c r="T119" s="159">
        <f t="shared" si="5"/>
        <v>30</v>
      </c>
      <c r="U119" s="149">
        <v>498</v>
      </c>
      <c r="V119" s="159">
        <f t="shared" si="3"/>
        <v>4980</v>
      </c>
      <c r="W119" s="149">
        <v>34</v>
      </c>
      <c r="X119" s="149" t="s">
        <v>35</v>
      </c>
      <c r="Y119" s="149" t="s">
        <v>55</v>
      </c>
      <c r="Z119" s="149" t="s">
        <v>43</v>
      </c>
      <c r="AA119" s="149" t="s">
        <v>36</v>
      </c>
      <c r="AB119" s="149" t="s">
        <v>178</v>
      </c>
    </row>
    <row r="120" spans="1:28" x14ac:dyDescent="0.15">
      <c r="A120" s="149" t="s">
        <v>40</v>
      </c>
      <c r="B120" s="149" t="s">
        <v>174</v>
      </c>
      <c r="C120" s="149">
        <v>2020</v>
      </c>
      <c r="D120" s="157" t="s">
        <v>398</v>
      </c>
      <c r="E120" s="149" t="s">
        <v>274</v>
      </c>
      <c r="F120" s="149" t="s">
        <v>266</v>
      </c>
      <c r="G120" s="149" t="s">
        <v>25</v>
      </c>
      <c r="H120" s="149" t="s">
        <v>235</v>
      </c>
      <c r="I120" s="149" t="s">
        <v>111</v>
      </c>
      <c r="J120" s="77" t="s">
        <v>27</v>
      </c>
      <c r="K120" s="77" t="s">
        <v>112</v>
      </c>
      <c r="L120" s="149">
        <v>2</v>
      </c>
      <c r="N120" s="149">
        <v>3</v>
      </c>
      <c r="O120" s="149">
        <v>0.25</v>
      </c>
      <c r="P120" s="149">
        <v>0.25</v>
      </c>
      <c r="Q120" s="158">
        <f t="shared" si="4"/>
        <v>0.25</v>
      </c>
      <c r="R120" s="149">
        <v>18.399999999999999</v>
      </c>
      <c r="S120" s="149">
        <v>122</v>
      </c>
      <c r="T120" s="159">
        <f t="shared" si="5"/>
        <v>27</v>
      </c>
      <c r="U120" s="149">
        <v>498</v>
      </c>
      <c r="V120" s="159">
        <f t="shared" si="3"/>
        <v>4482</v>
      </c>
      <c r="W120" s="149">
        <v>34</v>
      </c>
      <c r="X120" s="149" t="s">
        <v>35</v>
      </c>
      <c r="Y120" s="149" t="s">
        <v>55</v>
      </c>
      <c r="Z120" s="149" t="s">
        <v>43</v>
      </c>
      <c r="AA120" s="149" t="s">
        <v>36</v>
      </c>
      <c r="AB120" s="149" t="s">
        <v>178</v>
      </c>
    </row>
    <row r="121" spans="1:28" x14ac:dyDescent="0.15">
      <c r="A121" s="149" t="s">
        <v>40</v>
      </c>
      <c r="B121" s="149" t="s">
        <v>174</v>
      </c>
      <c r="C121" s="149">
        <v>2020</v>
      </c>
      <c r="D121" s="157" t="s">
        <v>398</v>
      </c>
      <c r="E121" s="149" t="s">
        <v>274</v>
      </c>
      <c r="F121" s="149" t="s">
        <v>266</v>
      </c>
      <c r="G121" s="149" t="s">
        <v>25</v>
      </c>
      <c r="H121" s="149" t="s">
        <v>235</v>
      </c>
      <c r="I121" s="149" t="s">
        <v>111</v>
      </c>
      <c r="J121" s="77" t="s">
        <v>27</v>
      </c>
      <c r="K121" s="77" t="s">
        <v>112</v>
      </c>
      <c r="L121" s="149">
        <v>3</v>
      </c>
      <c r="N121" s="149">
        <v>3</v>
      </c>
      <c r="O121" s="149">
        <v>0.25</v>
      </c>
      <c r="P121" s="149">
        <v>0.25</v>
      </c>
      <c r="Q121" s="158">
        <f t="shared" si="4"/>
        <v>0.25</v>
      </c>
      <c r="R121" s="149">
        <v>18.100000000000001</v>
      </c>
      <c r="S121" s="149">
        <v>120</v>
      </c>
      <c r="T121" s="159">
        <f t="shared" si="5"/>
        <v>30</v>
      </c>
      <c r="U121" s="149">
        <v>498</v>
      </c>
      <c r="V121" s="159">
        <f t="shared" si="3"/>
        <v>4980</v>
      </c>
      <c r="W121" s="149">
        <v>34</v>
      </c>
      <c r="X121" s="149" t="s">
        <v>35</v>
      </c>
      <c r="Y121" s="149" t="s">
        <v>55</v>
      </c>
      <c r="Z121" s="149" t="s">
        <v>43</v>
      </c>
      <c r="AA121" s="149" t="s">
        <v>36</v>
      </c>
      <c r="AB121" s="149" t="s">
        <v>178</v>
      </c>
    </row>
    <row r="122" spans="1:28" x14ac:dyDescent="0.15">
      <c r="A122" s="149" t="s">
        <v>40</v>
      </c>
      <c r="B122" s="149" t="s">
        <v>174</v>
      </c>
      <c r="C122" s="149">
        <v>2020</v>
      </c>
      <c r="D122" s="157" t="s">
        <v>398</v>
      </c>
      <c r="E122" s="149" t="s">
        <v>269</v>
      </c>
      <c r="F122" s="149" t="s">
        <v>270</v>
      </c>
      <c r="G122" s="149" t="s">
        <v>31</v>
      </c>
      <c r="H122" s="149" t="s">
        <v>113</v>
      </c>
      <c r="I122" s="149" t="s">
        <v>111</v>
      </c>
      <c r="J122" s="77" t="s">
        <v>27</v>
      </c>
      <c r="K122" s="77" t="s">
        <v>112</v>
      </c>
      <c r="L122" s="149">
        <v>1</v>
      </c>
      <c r="N122" s="149">
        <v>1</v>
      </c>
      <c r="O122" s="149">
        <v>1.1000000000000001</v>
      </c>
      <c r="P122" s="149">
        <v>1.2</v>
      </c>
      <c r="Q122" s="158">
        <f t="shared" si="4"/>
        <v>1.1499999999999999</v>
      </c>
      <c r="R122" s="149">
        <v>16.5</v>
      </c>
      <c r="S122" s="149">
        <v>136</v>
      </c>
      <c r="T122" s="159">
        <f t="shared" si="5"/>
        <v>25</v>
      </c>
      <c r="U122" s="149">
        <v>128</v>
      </c>
      <c r="V122" s="159">
        <f t="shared" si="3"/>
        <v>3200</v>
      </c>
      <c r="W122" s="149">
        <v>16</v>
      </c>
      <c r="X122" s="149" t="s">
        <v>35</v>
      </c>
      <c r="Y122" s="149" t="s">
        <v>43</v>
      </c>
      <c r="Z122" s="149" t="s">
        <v>55</v>
      </c>
      <c r="AA122" s="149" t="s">
        <v>36</v>
      </c>
      <c r="AB122" s="149" t="s">
        <v>178</v>
      </c>
    </row>
    <row r="123" spans="1:28" x14ac:dyDescent="0.15">
      <c r="A123" s="149" t="s">
        <v>40</v>
      </c>
      <c r="B123" s="149" t="s">
        <v>174</v>
      </c>
      <c r="C123" s="149">
        <v>2020</v>
      </c>
      <c r="D123" s="157" t="s">
        <v>398</v>
      </c>
      <c r="E123" s="149" t="s">
        <v>269</v>
      </c>
      <c r="F123" s="149" t="s">
        <v>270</v>
      </c>
      <c r="G123" s="149" t="s">
        <v>31</v>
      </c>
      <c r="H123" s="149" t="s">
        <v>113</v>
      </c>
      <c r="I123" s="149" t="s">
        <v>111</v>
      </c>
      <c r="J123" s="77" t="s">
        <v>27</v>
      </c>
      <c r="K123" s="77" t="s">
        <v>112</v>
      </c>
      <c r="L123" s="149">
        <v>2</v>
      </c>
      <c r="N123" s="149">
        <v>1</v>
      </c>
      <c r="O123" s="149">
        <v>1.05</v>
      </c>
      <c r="P123" s="149">
        <v>1.1499999999999999</v>
      </c>
      <c r="Q123" s="158">
        <f t="shared" si="4"/>
        <v>1.1000000000000001</v>
      </c>
      <c r="R123" s="149">
        <v>16.399999999999999</v>
      </c>
      <c r="S123" s="149">
        <v>132</v>
      </c>
      <c r="T123" s="159">
        <f t="shared" si="5"/>
        <v>25</v>
      </c>
      <c r="U123" s="149">
        <v>128</v>
      </c>
      <c r="V123" s="159">
        <f t="shared" si="3"/>
        <v>3200</v>
      </c>
      <c r="W123" s="149">
        <v>16</v>
      </c>
      <c r="X123" s="149" t="s">
        <v>35</v>
      </c>
      <c r="Y123" s="149" t="s">
        <v>43</v>
      </c>
      <c r="Z123" s="149" t="s">
        <v>55</v>
      </c>
      <c r="AA123" s="149" t="s">
        <v>36</v>
      </c>
      <c r="AB123" s="149" t="s">
        <v>178</v>
      </c>
    </row>
    <row r="124" spans="1:28" x14ac:dyDescent="0.15">
      <c r="A124" s="149" t="s">
        <v>40</v>
      </c>
      <c r="B124" s="149" t="s">
        <v>174</v>
      </c>
      <c r="C124" s="149">
        <v>2020</v>
      </c>
      <c r="D124" s="157" t="s">
        <v>398</v>
      </c>
      <c r="E124" s="149" t="s">
        <v>269</v>
      </c>
      <c r="F124" s="149" t="s">
        <v>270</v>
      </c>
      <c r="G124" s="149" t="s">
        <v>31</v>
      </c>
      <c r="H124" s="149" t="s">
        <v>113</v>
      </c>
      <c r="I124" s="149" t="s">
        <v>111</v>
      </c>
      <c r="J124" s="77" t="s">
        <v>27</v>
      </c>
      <c r="K124" s="77" t="s">
        <v>112</v>
      </c>
      <c r="L124" s="149">
        <v>3</v>
      </c>
      <c r="N124" s="149">
        <v>1</v>
      </c>
      <c r="O124" s="149">
        <v>1.1000000000000001</v>
      </c>
      <c r="P124" s="149">
        <v>1.25</v>
      </c>
      <c r="Q124" s="158">
        <f t="shared" si="4"/>
        <v>1.175</v>
      </c>
      <c r="R124" s="149">
        <v>16.100000000000001</v>
      </c>
      <c r="S124" s="149">
        <v>128</v>
      </c>
      <c r="T124" s="159">
        <f t="shared" si="5"/>
        <v>27</v>
      </c>
      <c r="U124" s="149">
        <v>128</v>
      </c>
      <c r="V124" s="159">
        <f t="shared" si="3"/>
        <v>3456</v>
      </c>
      <c r="W124" s="149">
        <v>16</v>
      </c>
      <c r="X124" s="149" t="s">
        <v>35</v>
      </c>
      <c r="Y124" s="149" t="s">
        <v>43</v>
      </c>
      <c r="Z124" s="149" t="s">
        <v>55</v>
      </c>
      <c r="AA124" s="149" t="s">
        <v>36</v>
      </c>
      <c r="AB124" s="149" t="s">
        <v>178</v>
      </c>
    </row>
    <row r="125" spans="1:28" x14ac:dyDescent="0.15">
      <c r="A125" s="149" t="s">
        <v>40</v>
      </c>
      <c r="B125" s="149" t="s">
        <v>174</v>
      </c>
      <c r="C125" s="149">
        <v>2020</v>
      </c>
      <c r="D125" s="157" t="s">
        <v>398</v>
      </c>
      <c r="E125" s="149" t="s">
        <v>269</v>
      </c>
      <c r="F125" s="149" t="s">
        <v>270</v>
      </c>
      <c r="G125" s="149" t="s">
        <v>31</v>
      </c>
      <c r="H125" s="149" t="s">
        <v>113</v>
      </c>
      <c r="I125" s="149" t="s">
        <v>111</v>
      </c>
      <c r="J125" s="77" t="s">
        <v>27</v>
      </c>
      <c r="K125" s="77" t="s">
        <v>112</v>
      </c>
      <c r="L125" s="149">
        <v>1</v>
      </c>
      <c r="N125" s="149">
        <v>4</v>
      </c>
      <c r="O125" s="149">
        <v>0.85</v>
      </c>
      <c r="P125" s="149">
        <v>0.8</v>
      </c>
      <c r="Q125" s="158">
        <f t="shared" si="4"/>
        <v>0.82499999999999996</v>
      </c>
      <c r="R125" s="149">
        <v>13.2</v>
      </c>
      <c r="S125" s="149">
        <v>95</v>
      </c>
      <c r="T125" s="159">
        <f t="shared" si="5"/>
        <v>36</v>
      </c>
      <c r="U125" s="149">
        <v>398</v>
      </c>
      <c r="V125" s="159">
        <f t="shared" si="3"/>
        <v>3582</v>
      </c>
      <c r="W125" s="149">
        <v>16</v>
      </c>
      <c r="X125" s="149" t="s">
        <v>35</v>
      </c>
      <c r="Y125" s="149" t="s">
        <v>43</v>
      </c>
      <c r="Z125" s="149" t="s">
        <v>55</v>
      </c>
      <c r="AA125" s="149" t="s">
        <v>36</v>
      </c>
      <c r="AB125" s="149" t="s">
        <v>178</v>
      </c>
    </row>
    <row r="126" spans="1:28" x14ac:dyDescent="0.15">
      <c r="A126" s="149" t="s">
        <v>40</v>
      </c>
      <c r="B126" s="149" t="s">
        <v>174</v>
      </c>
      <c r="C126" s="149">
        <v>2020</v>
      </c>
      <c r="D126" s="157" t="s">
        <v>398</v>
      </c>
      <c r="E126" s="149" t="s">
        <v>269</v>
      </c>
      <c r="F126" s="149" t="s">
        <v>270</v>
      </c>
      <c r="G126" s="149" t="s">
        <v>31</v>
      </c>
      <c r="H126" s="149" t="s">
        <v>113</v>
      </c>
      <c r="I126" s="149" t="s">
        <v>111</v>
      </c>
      <c r="J126" s="77" t="s">
        <v>27</v>
      </c>
      <c r="K126" s="77" t="s">
        <v>112</v>
      </c>
      <c r="L126" s="149">
        <v>2</v>
      </c>
      <c r="N126" s="149">
        <v>4</v>
      </c>
      <c r="O126" s="149">
        <v>0.8</v>
      </c>
      <c r="P126" s="149">
        <v>0.8</v>
      </c>
      <c r="Q126" s="158">
        <f t="shared" si="4"/>
        <v>0.8</v>
      </c>
      <c r="R126" s="149">
        <v>13.4</v>
      </c>
      <c r="S126" s="149">
        <v>96</v>
      </c>
      <c r="T126" s="159">
        <f t="shared" si="5"/>
        <v>36</v>
      </c>
      <c r="U126" s="149">
        <v>398</v>
      </c>
      <c r="V126" s="159">
        <f t="shared" si="3"/>
        <v>3582</v>
      </c>
      <c r="W126" s="149">
        <v>16</v>
      </c>
      <c r="X126" s="149" t="s">
        <v>35</v>
      </c>
      <c r="Y126" s="149" t="s">
        <v>43</v>
      </c>
      <c r="Z126" s="149" t="s">
        <v>55</v>
      </c>
      <c r="AA126" s="149" t="s">
        <v>36</v>
      </c>
      <c r="AB126" s="149" t="s">
        <v>178</v>
      </c>
    </row>
    <row r="127" spans="1:28" x14ac:dyDescent="0.15">
      <c r="A127" s="149" t="s">
        <v>40</v>
      </c>
      <c r="B127" s="149" t="s">
        <v>174</v>
      </c>
      <c r="C127" s="149">
        <v>2020</v>
      </c>
      <c r="D127" s="157" t="s">
        <v>398</v>
      </c>
      <c r="E127" s="149" t="s">
        <v>269</v>
      </c>
      <c r="F127" s="149" t="s">
        <v>270</v>
      </c>
      <c r="G127" s="149" t="s">
        <v>31</v>
      </c>
      <c r="H127" s="149" t="s">
        <v>113</v>
      </c>
      <c r="I127" s="149" t="s">
        <v>111</v>
      </c>
      <c r="J127" s="77" t="s">
        <v>27</v>
      </c>
      <c r="K127" s="77" t="s">
        <v>112</v>
      </c>
      <c r="L127" s="149">
        <v>3</v>
      </c>
      <c r="N127" s="149">
        <v>4</v>
      </c>
      <c r="O127" s="149">
        <v>0.85</v>
      </c>
      <c r="P127" s="149">
        <v>0.95</v>
      </c>
      <c r="Q127" s="158">
        <f t="shared" si="4"/>
        <v>0.89999999999999991</v>
      </c>
      <c r="R127" s="149">
        <v>14</v>
      </c>
      <c r="S127" s="149">
        <v>102</v>
      </c>
      <c r="T127" s="159">
        <f t="shared" si="5"/>
        <v>33</v>
      </c>
      <c r="U127" s="149">
        <v>398</v>
      </c>
      <c r="V127" s="159">
        <f t="shared" si="3"/>
        <v>3283.5</v>
      </c>
      <c r="W127" s="149">
        <v>16</v>
      </c>
      <c r="X127" s="149" t="s">
        <v>35</v>
      </c>
      <c r="Y127" s="149" t="s">
        <v>43</v>
      </c>
      <c r="Z127" s="149" t="s">
        <v>55</v>
      </c>
      <c r="AA127" s="149" t="s">
        <v>36</v>
      </c>
      <c r="AB127" s="149" t="s">
        <v>178</v>
      </c>
    </row>
    <row r="128" spans="1:28" x14ac:dyDescent="0.15">
      <c r="A128" s="149" t="s">
        <v>40</v>
      </c>
      <c r="B128" s="149" t="s">
        <v>174</v>
      </c>
      <c r="C128" s="149">
        <v>2020</v>
      </c>
      <c r="D128" s="157" t="s">
        <v>398</v>
      </c>
      <c r="E128" s="149" t="s">
        <v>269</v>
      </c>
      <c r="F128" s="149" t="s">
        <v>270</v>
      </c>
      <c r="G128" s="149" t="s">
        <v>31</v>
      </c>
      <c r="H128" s="149" t="s">
        <v>164</v>
      </c>
      <c r="I128" s="149" t="s">
        <v>111</v>
      </c>
      <c r="J128" s="77" t="s">
        <v>27</v>
      </c>
      <c r="K128" s="77" t="s">
        <v>112</v>
      </c>
      <c r="L128" s="149">
        <v>1</v>
      </c>
      <c r="N128" s="149">
        <v>1</v>
      </c>
      <c r="O128" s="149">
        <v>0.7</v>
      </c>
      <c r="P128" s="149">
        <v>0.75</v>
      </c>
      <c r="Q128" s="158">
        <f t="shared" si="4"/>
        <v>0.72499999999999998</v>
      </c>
      <c r="R128" s="149">
        <v>16.8</v>
      </c>
      <c r="S128" s="149">
        <v>132</v>
      </c>
      <c r="T128" s="159">
        <f t="shared" si="5"/>
        <v>25</v>
      </c>
      <c r="U128" s="149">
        <v>128</v>
      </c>
      <c r="V128" s="159">
        <f t="shared" si="3"/>
        <v>3200</v>
      </c>
      <c r="W128" s="149">
        <v>16</v>
      </c>
      <c r="X128" s="149" t="s">
        <v>35</v>
      </c>
      <c r="Y128" s="149" t="s">
        <v>43</v>
      </c>
      <c r="Z128" s="149" t="s">
        <v>55</v>
      </c>
      <c r="AA128" s="149" t="s">
        <v>36</v>
      </c>
      <c r="AB128" s="149" t="s">
        <v>178</v>
      </c>
    </row>
    <row r="129" spans="1:28" x14ac:dyDescent="0.15">
      <c r="A129" s="149" t="s">
        <v>40</v>
      </c>
      <c r="B129" s="149" t="s">
        <v>174</v>
      </c>
      <c r="C129" s="149">
        <v>2020</v>
      </c>
      <c r="D129" s="157" t="s">
        <v>398</v>
      </c>
      <c r="E129" s="149" t="s">
        <v>269</v>
      </c>
      <c r="F129" s="149" t="s">
        <v>270</v>
      </c>
      <c r="G129" s="149" t="s">
        <v>31</v>
      </c>
      <c r="H129" s="149" t="s">
        <v>164</v>
      </c>
      <c r="I129" s="149" t="s">
        <v>111</v>
      </c>
      <c r="J129" s="77" t="s">
        <v>27</v>
      </c>
      <c r="K129" s="77" t="s">
        <v>112</v>
      </c>
      <c r="L129" s="149">
        <v>2</v>
      </c>
      <c r="N129" s="149">
        <v>1</v>
      </c>
      <c r="O129" s="149">
        <v>0.75</v>
      </c>
      <c r="P129" s="149">
        <v>0.75</v>
      </c>
      <c r="Q129" s="158">
        <f t="shared" si="4"/>
        <v>0.75</v>
      </c>
      <c r="R129" s="149">
        <v>17.600000000000001</v>
      </c>
      <c r="S129" s="149">
        <v>132</v>
      </c>
      <c r="T129" s="159">
        <f t="shared" si="5"/>
        <v>25</v>
      </c>
      <c r="U129" s="149">
        <v>128</v>
      </c>
      <c r="V129" s="159">
        <f t="shared" si="3"/>
        <v>3200</v>
      </c>
      <c r="W129" s="149">
        <v>16</v>
      </c>
      <c r="X129" s="149" t="s">
        <v>35</v>
      </c>
      <c r="Y129" s="149" t="s">
        <v>43</v>
      </c>
      <c r="Z129" s="149" t="s">
        <v>55</v>
      </c>
      <c r="AA129" s="149" t="s">
        <v>36</v>
      </c>
      <c r="AB129" s="149" t="s">
        <v>178</v>
      </c>
    </row>
    <row r="130" spans="1:28" x14ac:dyDescent="0.15">
      <c r="A130" s="149" t="s">
        <v>40</v>
      </c>
      <c r="B130" s="149" t="s">
        <v>174</v>
      </c>
      <c r="C130" s="149">
        <v>2020</v>
      </c>
      <c r="D130" s="157" t="s">
        <v>398</v>
      </c>
      <c r="E130" s="149" t="s">
        <v>269</v>
      </c>
      <c r="F130" s="149" t="s">
        <v>270</v>
      </c>
      <c r="G130" s="149" t="s">
        <v>31</v>
      </c>
      <c r="H130" s="149" t="s">
        <v>164</v>
      </c>
      <c r="I130" s="149" t="s">
        <v>111</v>
      </c>
      <c r="J130" s="77" t="s">
        <v>27</v>
      </c>
      <c r="K130" s="77" t="s">
        <v>112</v>
      </c>
      <c r="L130" s="149">
        <v>3</v>
      </c>
      <c r="N130" s="149">
        <v>1</v>
      </c>
      <c r="O130" s="149">
        <v>0.7</v>
      </c>
      <c r="P130" s="149">
        <v>0.65</v>
      </c>
      <c r="Q130" s="158">
        <f t="shared" si="4"/>
        <v>0.67500000000000004</v>
      </c>
      <c r="R130" s="149">
        <v>17.2</v>
      </c>
      <c r="S130" s="149">
        <v>128</v>
      </c>
      <c r="T130" s="159">
        <f t="shared" si="5"/>
        <v>27</v>
      </c>
      <c r="U130" s="149">
        <v>128</v>
      </c>
      <c r="V130" s="159">
        <f t="shared" ref="V130:V169" si="6">IF(OR(N130="",U130="",T130=""),"",U130/N130*T130)</f>
        <v>3456</v>
      </c>
      <c r="W130" s="149">
        <v>16</v>
      </c>
      <c r="X130" s="149" t="s">
        <v>35</v>
      </c>
      <c r="Y130" s="149" t="s">
        <v>43</v>
      </c>
      <c r="Z130" s="149" t="s">
        <v>55</v>
      </c>
      <c r="AA130" s="149" t="s">
        <v>36</v>
      </c>
      <c r="AB130" s="149" t="s">
        <v>178</v>
      </c>
    </row>
    <row r="131" spans="1:28" x14ac:dyDescent="0.15">
      <c r="A131" s="149" t="s">
        <v>40</v>
      </c>
      <c r="B131" s="149" t="s">
        <v>174</v>
      </c>
      <c r="C131" s="149">
        <v>2020</v>
      </c>
      <c r="D131" s="157" t="s">
        <v>398</v>
      </c>
      <c r="E131" s="149" t="s">
        <v>269</v>
      </c>
      <c r="F131" s="149" t="s">
        <v>270</v>
      </c>
      <c r="G131" s="149" t="s">
        <v>31</v>
      </c>
      <c r="H131" s="149" t="s">
        <v>164</v>
      </c>
      <c r="I131" s="149" t="s">
        <v>111</v>
      </c>
      <c r="J131" s="77" t="s">
        <v>27</v>
      </c>
      <c r="K131" s="77" t="s">
        <v>112</v>
      </c>
      <c r="L131" s="149">
        <v>1</v>
      </c>
      <c r="N131" s="149">
        <v>4</v>
      </c>
      <c r="O131" s="149">
        <v>0.75</v>
      </c>
      <c r="P131" s="149">
        <v>0.75</v>
      </c>
      <c r="Q131" s="158">
        <f t="shared" ref="Q131:Q169" si="7">IF(OR(O131="",P131=""),"",AVERAGE(O131,P131))</f>
        <v>0.75</v>
      </c>
      <c r="R131" s="149">
        <v>17.100000000000001</v>
      </c>
      <c r="S131" s="149">
        <v>116</v>
      </c>
      <c r="T131" s="159">
        <f t="shared" ref="T131:T169" si="8">IF(H131="","",IF(OR(H131="GREEN",H131="GK"),IF(S131&gt;=$AX$2,VLOOKUP(S131,$AX$2:$AY$12,2,1),""),IF(S131&gt;=$AZ$2,VLOOKUP(S131,$AZ$2:$BA$12,2,1),"")))</f>
        <v>30</v>
      </c>
      <c r="U131" s="149">
        <v>350</v>
      </c>
      <c r="V131" s="159">
        <f t="shared" si="6"/>
        <v>2625</v>
      </c>
      <c r="W131" s="149">
        <v>16</v>
      </c>
      <c r="X131" s="149" t="s">
        <v>35</v>
      </c>
      <c r="Y131" s="149" t="s">
        <v>43</v>
      </c>
      <c r="Z131" s="149" t="s">
        <v>55</v>
      </c>
      <c r="AA131" s="149" t="s">
        <v>36</v>
      </c>
      <c r="AB131" s="149" t="s">
        <v>178</v>
      </c>
    </row>
    <row r="132" spans="1:28" x14ac:dyDescent="0.15">
      <c r="A132" s="149" t="s">
        <v>40</v>
      </c>
      <c r="B132" s="149" t="s">
        <v>174</v>
      </c>
      <c r="C132" s="149">
        <v>2020</v>
      </c>
      <c r="D132" s="157" t="s">
        <v>398</v>
      </c>
      <c r="E132" s="149" t="s">
        <v>269</v>
      </c>
      <c r="F132" s="149" t="s">
        <v>270</v>
      </c>
      <c r="G132" s="149" t="s">
        <v>31</v>
      </c>
      <c r="H132" s="149" t="s">
        <v>164</v>
      </c>
      <c r="I132" s="149" t="s">
        <v>111</v>
      </c>
      <c r="J132" s="77" t="s">
        <v>27</v>
      </c>
      <c r="K132" s="77" t="s">
        <v>112</v>
      </c>
      <c r="L132" s="149">
        <v>2</v>
      </c>
      <c r="N132" s="149">
        <v>4</v>
      </c>
      <c r="O132" s="149">
        <v>0.8</v>
      </c>
      <c r="P132" s="149">
        <v>0.85</v>
      </c>
      <c r="Q132" s="158">
        <f t="shared" si="7"/>
        <v>0.82499999999999996</v>
      </c>
      <c r="R132" s="149">
        <v>16.3</v>
      </c>
      <c r="S132" s="149">
        <v>104</v>
      </c>
      <c r="T132" s="159">
        <f t="shared" si="8"/>
        <v>33</v>
      </c>
      <c r="U132" s="149">
        <v>350</v>
      </c>
      <c r="V132" s="159">
        <f t="shared" si="6"/>
        <v>2887.5</v>
      </c>
      <c r="W132" s="149">
        <v>16</v>
      </c>
      <c r="X132" s="149" t="s">
        <v>35</v>
      </c>
      <c r="Y132" s="149" t="s">
        <v>43</v>
      </c>
      <c r="Z132" s="149" t="s">
        <v>55</v>
      </c>
      <c r="AA132" s="149" t="s">
        <v>36</v>
      </c>
      <c r="AB132" s="149" t="s">
        <v>178</v>
      </c>
    </row>
    <row r="133" spans="1:28" x14ac:dyDescent="0.15">
      <c r="A133" s="149" t="s">
        <v>40</v>
      </c>
      <c r="B133" s="149" t="s">
        <v>174</v>
      </c>
      <c r="C133" s="149">
        <v>2020</v>
      </c>
      <c r="D133" s="157" t="s">
        <v>398</v>
      </c>
      <c r="E133" s="149" t="s">
        <v>269</v>
      </c>
      <c r="F133" s="149" t="s">
        <v>270</v>
      </c>
      <c r="G133" s="149" t="s">
        <v>31</v>
      </c>
      <c r="H133" s="149" t="s">
        <v>164</v>
      </c>
      <c r="I133" s="149" t="s">
        <v>111</v>
      </c>
      <c r="J133" s="77" t="s">
        <v>27</v>
      </c>
      <c r="K133" s="77" t="s">
        <v>112</v>
      </c>
      <c r="L133" s="149">
        <v>3</v>
      </c>
      <c r="N133" s="149">
        <v>4</v>
      </c>
      <c r="O133" s="149">
        <v>0.85</v>
      </c>
      <c r="P133" s="149">
        <v>0.9</v>
      </c>
      <c r="Q133" s="158">
        <f t="shared" si="7"/>
        <v>0.875</v>
      </c>
      <c r="R133" s="149">
        <v>16.5</v>
      </c>
      <c r="S133" s="149">
        <v>116</v>
      </c>
      <c r="T133" s="159">
        <f t="shared" si="8"/>
        <v>30</v>
      </c>
      <c r="U133" s="149">
        <v>350</v>
      </c>
      <c r="V133" s="159">
        <f t="shared" si="6"/>
        <v>2625</v>
      </c>
      <c r="W133" s="149">
        <v>16</v>
      </c>
      <c r="X133" s="149" t="s">
        <v>35</v>
      </c>
      <c r="Y133" s="149" t="s">
        <v>43</v>
      </c>
      <c r="Z133" s="149" t="s">
        <v>55</v>
      </c>
      <c r="AA133" s="149" t="s">
        <v>36</v>
      </c>
      <c r="AB133" s="149" t="s">
        <v>178</v>
      </c>
    </row>
    <row r="134" spans="1:28" x14ac:dyDescent="0.15">
      <c r="A134" s="149" t="s">
        <v>40</v>
      </c>
      <c r="B134" s="149" t="s">
        <v>174</v>
      </c>
      <c r="C134" s="149">
        <v>2020</v>
      </c>
      <c r="D134" s="157" t="s">
        <v>398</v>
      </c>
      <c r="E134" s="149" t="s">
        <v>275</v>
      </c>
      <c r="F134" s="149" t="s">
        <v>276</v>
      </c>
      <c r="G134" s="149" t="s">
        <v>25</v>
      </c>
      <c r="H134" s="149" t="s">
        <v>113</v>
      </c>
      <c r="I134" s="149" t="s">
        <v>111</v>
      </c>
      <c r="J134" s="77" t="s">
        <v>27</v>
      </c>
      <c r="K134" s="77" t="s">
        <v>112</v>
      </c>
      <c r="L134" s="149">
        <v>1</v>
      </c>
      <c r="N134" s="149">
        <v>1</v>
      </c>
      <c r="O134" s="149">
        <v>1.1499999999999999</v>
      </c>
      <c r="P134" s="149">
        <v>1</v>
      </c>
      <c r="Q134" s="158">
        <f t="shared" si="7"/>
        <v>1.075</v>
      </c>
      <c r="R134" s="149">
        <v>15.1</v>
      </c>
      <c r="S134" s="149">
        <v>136</v>
      </c>
      <c r="T134" s="159">
        <f t="shared" si="8"/>
        <v>25</v>
      </c>
      <c r="U134" s="149">
        <v>128</v>
      </c>
      <c r="V134" s="159">
        <f t="shared" si="6"/>
        <v>3200</v>
      </c>
      <c r="W134" s="149">
        <v>14</v>
      </c>
      <c r="X134" s="149" t="s">
        <v>35</v>
      </c>
      <c r="Y134" s="149" t="s">
        <v>43</v>
      </c>
      <c r="Z134" s="149" t="s">
        <v>55</v>
      </c>
      <c r="AA134" s="149" t="s">
        <v>82</v>
      </c>
      <c r="AB134" s="149" t="s">
        <v>178</v>
      </c>
    </row>
    <row r="135" spans="1:28" x14ac:dyDescent="0.15">
      <c r="A135" s="149" t="s">
        <v>40</v>
      </c>
      <c r="B135" s="149" t="s">
        <v>174</v>
      </c>
      <c r="C135" s="149">
        <v>2020</v>
      </c>
      <c r="D135" s="157" t="s">
        <v>398</v>
      </c>
      <c r="E135" s="149" t="s">
        <v>275</v>
      </c>
      <c r="F135" s="149" t="s">
        <v>276</v>
      </c>
      <c r="G135" s="149" t="s">
        <v>25</v>
      </c>
      <c r="H135" s="149" t="s">
        <v>113</v>
      </c>
      <c r="I135" s="149" t="s">
        <v>111</v>
      </c>
      <c r="J135" s="77" t="s">
        <v>27</v>
      </c>
      <c r="K135" s="77" t="s">
        <v>112</v>
      </c>
      <c r="L135" s="149">
        <v>2</v>
      </c>
      <c r="N135" s="149">
        <v>1</v>
      </c>
      <c r="O135" s="149">
        <v>1.1000000000000001</v>
      </c>
      <c r="P135" s="149">
        <v>1.1000000000000001</v>
      </c>
      <c r="Q135" s="158">
        <f t="shared" si="7"/>
        <v>1.1000000000000001</v>
      </c>
      <c r="R135" s="149">
        <v>15.5</v>
      </c>
      <c r="S135" s="149">
        <v>142</v>
      </c>
      <c r="T135" s="159">
        <f t="shared" si="8"/>
        <v>22</v>
      </c>
      <c r="U135" s="149">
        <v>128</v>
      </c>
      <c r="V135" s="159">
        <f t="shared" si="6"/>
        <v>2816</v>
      </c>
      <c r="W135" s="149">
        <v>14</v>
      </c>
      <c r="X135" s="149" t="s">
        <v>35</v>
      </c>
      <c r="Y135" s="149" t="s">
        <v>43</v>
      </c>
      <c r="Z135" s="149" t="s">
        <v>55</v>
      </c>
      <c r="AA135" s="149" t="s">
        <v>82</v>
      </c>
      <c r="AB135" s="149" t="s">
        <v>178</v>
      </c>
    </row>
    <row r="136" spans="1:28" x14ac:dyDescent="0.15">
      <c r="A136" s="149" t="s">
        <v>40</v>
      </c>
      <c r="B136" s="149" t="s">
        <v>174</v>
      </c>
      <c r="C136" s="149">
        <v>2020</v>
      </c>
      <c r="D136" s="157" t="s">
        <v>398</v>
      </c>
      <c r="E136" s="149" t="s">
        <v>275</v>
      </c>
      <c r="F136" s="149" t="s">
        <v>276</v>
      </c>
      <c r="G136" s="149" t="s">
        <v>25</v>
      </c>
      <c r="H136" s="149" t="s">
        <v>113</v>
      </c>
      <c r="I136" s="149" t="s">
        <v>111</v>
      </c>
      <c r="J136" s="77" t="s">
        <v>27</v>
      </c>
      <c r="K136" s="77" t="s">
        <v>112</v>
      </c>
      <c r="L136" s="149">
        <v>3</v>
      </c>
      <c r="N136" s="149">
        <v>1</v>
      </c>
      <c r="O136" s="149">
        <v>1.05</v>
      </c>
      <c r="P136" s="149">
        <v>1.2</v>
      </c>
      <c r="Q136" s="158">
        <f t="shared" si="7"/>
        <v>1.125</v>
      </c>
      <c r="R136" s="149">
        <v>14.6</v>
      </c>
      <c r="S136" s="149">
        <v>140</v>
      </c>
      <c r="T136" s="159">
        <f t="shared" si="8"/>
        <v>22</v>
      </c>
      <c r="U136" s="149">
        <v>128</v>
      </c>
      <c r="V136" s="159">
        <f t="shared" si="6"/>
        <v>2816</v>
      </c>
      <c r="W136" s="149">
        <v>14</v>
      </c>
      <c r="X136" s="149" t="s">
        <v>35</v>
      </c>
      <c r="Y136" s="149" t="s">
        <v>43</v>
      </c>
      <c r="Z136" s="149" t="s">
        <v>55</v>
      </c>
      <c r="AA136" s="149" t="s">
        <v>82</v>
      </c>
      <c r="AB136" s="149" t="s">
        <v>178</v>
      </c>
    </row>
    <row r="137" spans="1:28" x14ac:dyDescent="0.15">
      <c r="A137" s="149" t="s">
        <v>40</v>
      </c>
      <c r="B137" s="149" t="s">
        <v>174</v>
      </c>
      <c r="C137" s="149">
        <v>2020</v>
      </c>
      <c r="D137" s="157" t="s">
        <v>398</v>
      </c>
      <c r="E137" s="149" t="s">
        <v>275</v>
      </c>
      <c r="F137" s="149" t="s">
        <v>276</v>
      </c>
      <c r="G137" s="149" t="s">
        <v>25</v>
      </c>
      <c r="H137" s="149" t="s">
        <v>113</v>
      </c>
      <c r="I137" s="149" t="s">
        <v>111</v>
      </c>
      <c r="J137" s="77" t="s">
        <v>27</v>
      </c>
      <c r="K137" s="77" t="s">
        <v>112</v>
      </c>
      <c r="L137" s="149">
        <v>1</v>
      </c>
      <c r="N137" s="149">
        <v>4</v>
      </c>
      <c r="O137" s="149">
        <v>0.7</v>
      </c>
      <c r="P137" s="149">
        <v>0.8</v>
      </c>
      <c r="Q137" s="158">
        <f t="shared" si="7"/>
        <v>0.75</v>
      </c>
      <c r="R137" s="149">
        <v>15.2</v>
      </c>
      <c r="S137" s="149">
        <v>104</v>
      </c>
      <c r="T137" s="159">
        <f t="shared" si="8"/>
        <v>33</v>
      </c>
      <c r="U137" s="149">
        <v>398</v>
      </c>
      <c r="V137" s="159">
        <f t="shared" si="6"/>
        <v>3283.5</v>
      </c>
      <c r="W137" s="149">
        <v>14</v>
      </c>
      <c r="X137" s="149" t="s">
        <v>35</v>
      </c>
      <c r="Y137" s="149" t="s">
        <v>43</v>
      </c>
      <c r="Z137" s="149" t="s">
        <v>55</v>
      </c>
      <c r="AA137" s="149" t="s">
        <v>82</v>
      </c>
      <c r="AB137" s="149" t="s">
        <v>178</v>
      </c>
    </row>
    <row r="138" spans="1:28" x14ac:dyDescent="0.15">
      <c r="A138" s="149" t="s">
        <v>40</v>
      </c>
      <c r="B138" s="149" t="s">
        <v>174</v>
      </c>
      <c r="C138" s="149">
        <v>2020</v>
      </c>
      <c r="D138" s="157" t="s">
        <v>398</v>
      </c>
      <c r="E138" s="149" t="s">
        <v>275</v>
      </c>
      <c r="F138" s="149" t="s">
        <v>276</v>
      </c>
      <c r="G138" s="149" t="s">
        <v>25</v>
      </c>
      <c r="H138" s="149" t="s">
        <v>113</v>
      </c>
      <c r="I138" s="149" t="s">
        <v>111</v>
      </c>
      <c r="J138" s="77" t="s">
        <v>27</v>
      </c>
      <c r="K138" s="77" t="s">
        <v>112</v>
      </c>
      <c r="L138" s="149">
        <v>2</v>
      </c>
      <c r="N138" s="149">
        <v>4</v>
      </c>
      <c r="O138" s="149">
        <v>0.75</v>
      </c>
      <c r="P138" s="149">
        <v>0.7</v>
      </c>
      <c r="Q138" s="158">
        <f t="shared" si="7"/>
        <v>0.72499999999999998</v>
      </c>
      <c r="R138" s="149">
        <v>14.9</v>
      </c>
      <c r="S138" s="149">
        <v>98</v>
      </c>
      <c r="T138" s="159">
        <f t="shared" si="8"/>
        <v>36</v>
      </c>
      <c r="U138" s="149">
        <v>398</v>
      </c>
      <c r="V138" s="159">
        <f t="shared" si="6"/>
        <v>3582</v>
      </c>
      <c r="W138" s="149">
        <v>14</v>
      </c>
      <c r="X138" s="149" t="s">
        <v>35</v>
      </c>
      <c r="Y138" s="149" t="s">
        <v>43</v>
      </c>
      <c r="Z138" s="149" t="s">
        <v>55</v>
      </c>
      <c r="AA138" s="149" t="s">
        <v>82</v>
      </c>
      <c r="AB138" s="149" t="s">
        <v>178</v>
      </c>
    </row>
    <row r="139" spans="1:28" x14ac:dyDescent="0.15">
      <c r="A139" s="149" t="s">
        <v>40</v>
      </c>
      <c r="B139" s="149" t="s">
        <v>174</v>
      </c>
      <c r="C139" s="149">
        <v>2020</v>
      </c>
      <c r="D139" s="157" t="s">
        <v>398</v>
      </c>
      <c r="E139" s="149" t="s">
        <v>275</v>
      </c>
      <c r="F139" s="149" t="s">
        <v>276</v>
      </c>
      <c r="G139" s="149" t="s">
        <v>25</v>
      </c>
      <c r="H139" s="149" t="s">
        <v>113</v>
      </c>
      <c r="I139" s="149" t="s">
        <v>111</v>
      </c>
      <c r="J139" s="77" t="s">
        <v>27</v>
      </c>
      <c r="K139" s="77" t="s">
        <v>112</v>
      </c>
      <c r="L139" s="149">
        <v>3</v>
      </c>
      <c r="N139" s="149">
        <v>4</v>
      </c>
      <c r="O139" s="149">
        <v>0.8</v>
      </c>
      <c r="P139" s="149">
        <v>0.7</v>
      </c>
      <c r="Q139" s="158">
        <f t="shared" si="7"/>
        <v>0.75</v>
      </c>
      <c r="R139" s="149">
        <v>14.6</v>
      </c>
      <c r="S139" s="149">
        <v>97</v>
      </c>
      <c r="T139" s="159">
        <f t="shared" si="8"/>
        <v>36</v>
      </c>
      <c r="U139" s="149">
        <v>398</v>
      </c>
      <c r="V139" s="159">
        <f t="shared" si="6"/>
        <v>3582</v>
      </c>
      <c r="W139" s="149">
        <v>14</v>
      </c>
      <c r="X139" s="149" t="s">
        <v>35</v>
      </c>
      <c r="Y139" s="149" t="s">
        <v>43</v>
      </c>
      <c r="Z139" s="149" t="s">
        <v>55</v>
      </c>
      <c r="AA139" s="149" t="s">
        <v>82</v>
      </c>
      <c r="AB139" s="149" t="s">
        <v>178</v>
      </c>
    </row>
    <row r="140" spans="1:28" x14ac:dyDescent="0.15">
      <c r="A140" s="149" t="s">
        <v>40</v>
      </c>
      <c r="B140" s="149" t="s">
        <v>174</v>
      </c>
      <c r="C140" s="149">
        <v>2020</v>
      </c>
      <c r="D140" s="157" t="s">
        <v>398</v>
      </c>
      <c r="E140" s="149" t="s">
        <v>275</v>
      </c>
      <c r="F140" s="149" t="s">
        <v>276</v>
      </c>
      <c r="G140" s="149" t="s">
        <v>25</v>
      </c>
      <c r="H140" s="149" t="s">
        <v>113</v>
      </c>
      <c r="I140" s="149" t="s">
        <v>111</v>
      </c>
      <c r="J140" s="77" t="s">
        <v>27</v>
      </c>
      <c r="K140" s="77" t="s">
        <v>112</v>
      </c>
      <c r="L140" s="149">
        <v>1</v>
      </c>
      <c r="N140" s="149">
        <v>8</v>
      </c>
      <c r="O140" s="149">
        <v>0.8</v>
      </c>
      <c r="P140" s="149">
        <v>0.95</v>
      </c>
      <c r="Q140" s="158">
        <f t="shared" si="7"/>
        <v>0.875</v>
      </c>
      <c r="R140" s="149">
        <v>13.6</v>
      </c>
      <c r="S140" s="149">
        <v>95</v>
      </c>
      <c r="T140" s="159">
        <f t="shared" si="8"/>
        <v>36</v>
      </c>
      <c r="U140" s="149">
        <v>780</v>
      </c>
      <c r="V140" s="159">
        <f t="shared" si="6"/>
        <v>3510</v>
      </c>
      <c r="W140" s="149">
        <v>14</v>
      </c>
      <c r="X140" s="149" t="s">
        <v>35</v>
      </c>
      <c r="Y140" s="149" t="s">
        <v>43</v>
      </c>
      <c r="Z140" s="149" t="s">
        <v>55</v>
      </c>
      <c r="AA140" s="149" t="s">
        <v>82</v>
      </c>
      <c r="AB140" s="149" t="s">
        <v>178</v>
      </c>
    </row>
    <row r="141" spans="1:28" x14ac:dyDescent="0.15">
      <c r="A141" s="149" t="s">
        <v>40</v>
      </c>
      <c r="B141" s="149" t="s">
        <v>174</v>
      </c>
      <c r="C141" s="149">
        <v>2020</v>
      </c>
      <c r="D141" s="157" t="s">
        <v>398</v>
      </c>
      <c r="E141" s="149" t="s">
        <v>275</v>
      </c>
      <c r="F141" s="149" t="s">
        <v>276</v>
      </c>
      <c r="G141" s="149" t="s">
        <v>25</v>
      </c>
      <c r="H141" s="149" t="s">
        <v>113</v>
      </c>
      <c r="I141" s="149" t="s">
        <v>111</v>
      </c>
      <c r="J141" s="77" t="s">
        <v>27</v>
      </c>
      <c r="K141" s="77" t="s">
        <v>112</v>
      </c>
      <c r="L141" s="149">
        <v>2</v>
      </c>
      <c r="N141" s="149">
        <v>8</v>
      </c>
      <c r="O141" s="149">
        <v>0.85</v>
      </c>
      <c r="P141" s="149">
        <v>0.85</v>
      </c>
      <c r="Q141" s="158">
        <f t="shared" si="7"/>
        <v>0.85</v>
      </c>
      <c r="R141" s="149">
        <v>14.3</v>
      </c>
      <c r="S141" s="149">
        <v>100</v>
      </c>
      <c r="T141" s="159">
        <f t="shared" si="8"/>
        <v>33</v>
      </c>
      <c r="U141" s="149">
        <v>780</v>
      </c>
      <c r="V141" s="159">
        <f t="shared" si="6"/>
        <v>3217.5</v>
      </c>
      <c r="W141" s="149">
        <v>14</v>
      </c>
      <c r="X141" s="149" t="s">
        <v>35</v>
      </c>
      <c r="Y141" s="149" t="s">
        <v>43</v>
      </c>
      <c r="Z141" s="149" t="s">
        <v>55</v>
      </c>
      <c r="AA141" s="149" t="s">
        <v>82</v>
      </c>
      <c r="AB141" s="149" t="s">
        <v>178</v>
      </c>
    </row>
    <row r="142" spans="1:28" x14ac:dyDescent="0.15">
      <c r="A142" s="149" t="s">
        <v>40</v>
      </c>
      <c r="B142" s="149" t="s">
        <v>174</v>
      </c>
      <c r="C142" s="149">
        <v>2020</v>
      </c>
      <c r="D142" s="157" t="s">
        <v>398</v>
      </c>
      <c r="E142" s="149" t="s">
        <v>275</v>
      </c>
      <c r="F142" s="149" t="s">
        <v>276</v>
      </c>
      <c r="G142" s="149" t="s">
        <v>25</v>
      </c>
      <c r="H142" s="149" t="s">
        <v>113</v>
      </c>
      <c r="I142" s="149" t="s">
        <v>111</v>
      </c>
      <c r="J142" s="77" t="s">
        <v>27</v>
      </c>
      <c r="K142" s="77" t="s">
        <v>112</v>
      </c>
      <c r="L142" s="149">
        <v>3</v>
      </c>
      <c r="N142" s="149">
        <v>8</v>
      </c>
      <c r="O142" s="149">
        <v>0.9</v>
      </c>
      <c r="P142" s="149">
        <v>0.8</v>
      </c>
      <c r="Q142" s="158">
        <f t="shared" si="7"/>
        <v>0.85000000000000009</v>
      </c>
      <c r="R142" s="149">
        <v>14</v>
      </c>
      <c r="S142" s="149">
        <v>97</v>
      </c>
      <c r="T142" s="159">
        <f t="shared" si="8"/>
        <v>36</v>
      </c>
      <c r="U142" s="149">
        <v>780</v>
      </c>
      <c r="V142" s="159">
        <f t="shared" si="6"/>
        <v>3510</v>
      </c>
      <c r="W142" s="149">
        <v>14</v>
      </c>
      <c r="X142" s="149" t="s">
        <v>35</v>
      </c>
      <c r="Y142" s="149" t="s">
        <v>43</v>
      </c>
      <c r="Z142" s="149" t="s">
        <v>55</v>
      </c>
      <c r="AA142" s="149" t="s">
        <v>82</v>
      </c>
      <c r="AB142" s="149" t="s">
        <v>178</v>
      </c>
    </row>
    <row r="143" spans="1:28" x14ac:dyDescent="0.15">
      <c r="A143" s="149" t="s">
        <v>40</v>
      </c>
      <c r="B143" s="149" t="s">
        <v>174</v>
      </c>
      <c r="C143" s="149">
        <v>2020</v>
      </c>
      <c r="D143" s="157" t="s">
        <v>398</v>
      </c>
      <c r="E143" s="149" t="s">
        <v>275</v>
      </c>
      <c r="F143" s="149" t="s">
        <v>276</v>
      </c>
      <c r="G143" s="149" t="s">
        <v>25</v>
      </c>
      <c r="H143" s="149" t="s">
        <v>164</v>
      </c>
      <c r="I143" s="149" t="s">
        <v>111</v>
      </c>
      <c r="J143" s="77" t="s">
        <v>27</v>
      </c>
      <c r="K143" s="77" t="s">
        <v>112</v>
      </c>
      <c r="L143" s="149">
        <v>1</v>
      </c>
      <c r="N143" s="149">
        <v>1</v>
      </c>
      <c r="O143" s="149">
        <v>0.85</v>
      </c>
      <c r="P143" s="149">
        <v>0.9</v>
      </c>
      <c r="Q143" s="158">
        <f t="shared" si="7"/>
        <v>0.875</v>
      </c>
      <c r="R143" s="149">
        <v>16.2</v>
      </c>
      <c r="S143" s="149">
        <v>152</v>
      </c>
      <c r="T143" s="159">
        <f t="shared" si="8"/>
        <v>18</v>
      </c>
      <c r="U143" s="149">
        <v>128</v>
      </c>
      <c r="V143" s="159">
        <f t="shared" si="6"/>
        <v>2304</v>
      </c>
      <c r="W143" s="149">
        <v>14</v>
      </c>
      <c r="X143" s="149" t="s">
        <v>35</v>
      </c>
      <c r="Y143" s="149" t="s">
        <v>43</v>
      </c>
      <c r="Z143" s="149" t="s">
        <v>55</v>
      </c>
      <c r="AA143" s="149" t="s">
        <v>82</v>
      </c>
      <c r="AB143" s="149" t="s">
        <v>178</v>
      </c>
    </row>
    <row r="144" spans="1:28" x14ac:dyDescent="0.15">
      <c r="A144" s="149" t="s">
        <v>40</v>
      </c>
      <c r="B144" s="149" t="s">
        <v>174</v>
      </c>
      <c r="C144" s="149">
        <v>2020</v>
      </c>
      <c r="D144" s="157" t="s">
        <v>398</v>
      </c>
      <c r="E144" s="149" t="s">
        <v>275</v>
      </c>
      <c r="F144" s="149" t="s">
        <v>276</v>
      </c>
      <c r="G144" s="149" t="s">
        <v>25</v>
      </c>
      <c r="H144" s="149" t="s">
        <v>164</v>
      </c>
      <c r="I144" s="149" t="s">
        <v>111</v>
      </c>
      <c r="J144" s="77" t="s">
        <v>27</v>
      </c>
      <c r="K144" s="77" t="s">
        <v>112</v>
      </c>
      <c r="L144" s="149">
        <v>2</v>
      </c>
      <c r="N144" s="149">
        <v>1</v>
      </c>
      <c r="O144" s="149">
        <v>0.9</v>
      </c>
      <c r="P144" s="149">
        <v>0.95</v>
      </c>
      <c r="Q144" s="158">
        <f t="shared" si="7"/>
        <v>0.92500000000000004</v>
      </c>
      <c r="R144" s="149">
        <v>16.8</v>
      </c>
      <c r="S144" s="149">
        <v>158</v>
      </c>
      <c r="T144" s="159">
        <f t="shared" si="8"/>
        <v>18</v>
      </c>
      <c r="U144" s="149">
        <v>128</v>
      </c>
      <c r="V144" s="159">
        <f t="shared" si="6"/>
        <v>2304</v>
      </c>
      <c r="W144" s="149">
        <v>14</v>
      </c>
      <c r="X144" s="149" t="s">
        <v>35</v>
      </c>
      <c r="Y144" s="149" t="s">
        <v>43</v>
      </c>
      <c r="Z144" s="149" t="s">
        <v>55</v>
      </c>
      <c r="AA144" s="149" t="s">
        <v>82</v>
      </c>
      <c r="AB144" s="149" t="s">
        <v>178</v>
      </c>
    </row>
    <row r="145" spans="1:28" x14ac:dyDescent="0.15">
      <c r="A145" s="149" t="s">
        <v>40</v>
      </c>
      <c r="B145" s="149" t="s">
        <v>174</v>
      </c>
      <c r="C145" s="149">
        <v>2020</v>
      </c>
      <c r="D145" s="157" t="s">
        <v>398</v>
      </c>
      <c r="E145" s="149" t="s">
        <v>275</v>
      </c>
      <c r="F145" s="149" t="s">
        <v>276</v>
      </c>
      <c r="G145" s="149" t="s">
        <v>25</v>
      </c>
      <c r="H145" s="149" t="s">
        <v>164</v>
      </c>
      <c r="I145" s="149" t="s">
        <v>111</v>
      </c>
      <c r="J145" s="77" t="s">
        <v>27</v>
      </c>
      <c r="K145" s="77" t="s">
        <v>112</v>
      </c>
      <c r="L145" s="149">
        <v>3</v>
      </c>
      <c r="N145" s="149">
        <v>1</v>
      </c>
      <c r="O145" s="149">
        <v>0.95</v>
      </c>
      <c r="P145" s="149">
        <v>0.75</v>
      </c>
      <c r="Q145" s="158">
        <f t="shared" si="7"/>
        <v>0.85</v>
      </c>
      <c r="R145" s="149">
        <v>15</v>
      </c>
      <c r="S145" s="149">
        <v>142</v>
      </c>
      <c r="T145" s="159">
        <f t="shared" si="8"/>
        <v>22</v>
      </c>
      <c r="U145" s="149">
        <v>128</v>
      </c>
      <c r="V145" s="159">
        <f t="shared" si="6"/>
        <v>2816</v>
      </c>
      <c r="W145" s="149">
        <v>14</v>
      </c>
      <c r="X145" s="149" t="s">
        <v>35</v>
      </c>
      <c r="Y145" s="149" t="s">
        <v>43</v>
      </c>
      <c r="Z145" s="149" t="s">
        <v>55</v>
      </c>
      <c r="AA145" s="149" t="s">
        <v>82</v>
      </c>
      <c r="AB145" s="149" t="s">
        <v>178</v>
      </c>
    </row>
    <row r="146" spans="1:28" x14ac:dyDescent="0.15">
      <c r="A146" s="149" t="s">
        <v>40</v>
      </c>
      <c r="B146" s="149" t="s">
        <v>174</v>
      </c>
      <c r="C146" s="149">
        <v>2020</v>
      </c>
      <c r="D146" s="157" t="s">
        <v>398</v>
      </c>
      <c r="E146" s="149" t="s">
        <v>275</v>
      </c>
      <c r="F146" s="149" t="s">
        <v>276</v>
      </c>
      <c r="G146" s="149" t="s">
        <v>25</v>
      </c>
      <c r="H146" s="149" t="s">
        <v>164</v>
      </c>
      <c r="I146" s="149" t="s">
        <v>111</v>
      </c>
      <c r="J146" s="77" t="s">
        <v>27</v>
      </c>
      <c r="K146" s="77" t="s">
        <v>112</v>
      </c>
      <c r="L146" s="149">
        <v>1</v>
      </c>
      <c r="N146" s="149">
        <v>4</v>
      </c>
      <c r="O146" s="149">
        <v>0.95</v>
      </c>
      <c r="P146" s="149">
        <v>0.9</v>
      </c>
      <c r="Q146" s="158">
        <f t="shared" si="7"/>
        <v>0.92500000000000004</v>
      </c>
      <c r="R146" s="149">
        <v>15.7</v>
      </c>
      <c r="S146" s="149">
        <v>108</v>
      </c>
      <c r="T146" s="159">
        <f t="shared" si="8"/>
        <v>33</v>
      </c>
      <c r="U146" s="149">
        <v>498</v>
      </c>
      <c r="V146" s="159">
        <f t="shared" si="6"/>
        <v>4108.5</v>
      </c>
      <c r="W146" s="149">
        <v>14</v>
      </c>
      <c r="X146" s="149" t="s">
        <v>35</v>
      </c>
      <c r="Y146" s="149" t="s">
        <v>43</v>
      </c>
      <c r="Z146" s="149" t="s">
        <v>55</v>
      </c>
      <c r="AA146" s="149" t="s">
        <v>82</v>
      </c>
      <c r="AB146" s="149" t="s">
        <v>178</v>
      </c>
    </row>
    <row r="147" spans="1:28" x14ac:dyDescent="0.15">
      <c r="A147" s="149" t="s">
        <v>40</v>
      </c>
      <c r="B147" s="149" t="s">
        <v>174</v>
      </c>
      <c r="C147" s="149">
        <v>2020</v>
      </c>
      <c r="D147" s="157" t="s">
        <v>398</v>
      </c>
      <c r="E147" s="149" t="s">
        <v>275</v>
      </c>
      <c r="F147" s="149" t="s">
        <v>276</v>
      </c>
      <c r="G147" s="149" t="s">
        <v>25</v>
      </c>
      <c r="H147" s="149" t="s">
        <v>164</v>
      </c>
      <c r="I147" s="149" t="s">
        <v>111</v>
      </c>
      <c r="J147" s="77" t="s">
        <v>27</v>
      </c>
      <c r="K147" s="77" t="s">
        <v>112</v>
      </c>
      <c r="L147" s="149">
        <v>2</v>
      </c>
      <c r="N147" s="149">
        <v>4</v>
      </c>
      <c r="O147" s="149">
        <v>0.85</v>
      </c>
      <c r="P147" s="149">
        <v>0.95</v>
      </c>
      <c r="Q147" s="158">
        <f t="shared" si="7"/>
        <v>0.89999999999999991</v>
      </c>
      <c r="R147" s="149">
        <v>15.9</v>
      </c>
      <c r="S147" s="149">
        <v>110</v>
      </c>
      <c r="T147" s="159">
        <f t="shared" si="8"/>
        <v>33</v>
      </c>
      <c r="U147" s="149">
        <v>498</v>
      </c>
      <c r="V147" s="159">
        <f t="shared" si="6"/>
        <v>4108.5</v>
      </c>
      <c r="W147" s="149">
        <v>14</v>
      </c>
      <c r="X147" s="149" t="s">
        <v>35</v>
      </c>
      <c r="Y147" s="149" t="s">
        <v>43</v>
      </c>
      <c r="Z147" s="149" t="s">
        <v>55</v>
      </c>
      <c r="AA147" s="149" t="s">
        <v>82</v>
      </c>
      <c r="AB147" s="149" t="s">
        <v>178</v>
      </c>
    </row>
    <row r="148" spans="1:28" x14ac:dyDescent="0.15">
      <c r="A148" s="149" t="s">
        <v>40</v>
      </c>
      <c r="B148" s="149" t="s">
        <v>174</v>
      </c>
      <c r="C148" s="149">
        <v>2020</v>
      </c>
      <c r="D148" s="157" t="s">
        <v>398</v>
      </c>
      <c r="E148" s="149" t="s">
        <v>275</v>
      </c>
      <c r="F148" s="149" t="s">
        <v>276</v>
      </c>
      <c r="G148" s="149" t="s">
        <v>25</v>
      </c>
      <c r="H148" s="149" t="s">
        <v>164</v>
      </c>
      <c r="I148" s="149" t="s">
        <v>111</v>
      </c>
      <c r="J148" s="77" t="s">
        <v>27</v>
      </c>
      <c r="K148" s="77" t="s">
        <v>112</v>
      </c>
      <c r="L148" s="149">
        <v>3</v>
      </c>
      <c r="N148" s="149">
        <v>4</v>
      </c>
      <c r="O148" s="149">
        <v>0.9</v>
      </c>
      <c r="P148" s="149">
        <v>0.9</v>
      </c>
      <c r="Q148" s="158">
        <f t="shared" si="7"/>
        <v>0.9</v>
      </c>
      <c r="R148" s="149">
        <v>16.100000000000001</v>
      </c>
      <c r="S148" s="149">
        <v>110</v>
      </c>
      <c r="T148" s="159">
        <f t="shared" si="8"/>
        <v>33</v>
      </c>
      <c r="U148" s="149">
        <v>498</v>
      </c>
      <c r="V148" s="159">
        <f t="shared" si="6"/>
        <v>4108.5</v>
      </c>
      <c r="W148" s="149">
        <v>14</v>
      </c>
      <c r="X148" s="149" t="s">
        <v>35</v>
      </c>
      <c r="Y148" s="149" t="s">
        <v>43</v>
      </c>
      <c r="Z148" s="149" t="s">
        <v>55</v>
      </c>
      <c r="AA148" s="149" t="s">
        <v>82</v>
      </c>
      <c r="AB148" s="149" t="s">
        <v>178</v>
      </c>
    </row>
    <row r="149" spans="1:28" x14ac:dyDescent="0.15">
      <c r="A149" s="149" t="s">
        <v>40</v>
      </c>
      <c r="B149" s="149" t="s">
        <v>174</v>
      </c>
      <c r="C149" s="149">
        <v>2020</v>
      </c>
      <c r="D149" s="157" t="s">
        <v>398</v>
      </c>
      <c r="E149" s="149" t="s">
        <v>275</v>
      </c>
      <c r="F149" s="149" t="s">
        <v>276</v>
      </c>
      <c r="G149" s="149" t="s">
        <v>25</v>
      </c>
      <c r="H149" s="149" t="s">
        <v>164</v>
      </c>
      <c r="I149" s="149" t="s">
        <v>111</v>
      </c>
      <c r="J149" s="77" t="s">
        <v>27</v>
      </c>
      <c r="K149" s="77" t="s">
        <v>112</v>
      </c>
      <c r="L149" s="149">
        <v>1</v>
      </c>
      <c r="N149" s="149">
        <v>8</v>
      </c>
      <c r="O149" s="149">
        <v>0.8</v>
      </c>
      <c r="P149" s="149">
        <v>0.75</v>
      </c>
      <c r="Q149" s="158">
        <f t="shared" si="7"/>
        <v>0.77500000000000002</v>
      </c>
      <c r="R149" s="149">
        <v>16.600000000000001</v>
      </c>
      <c r="S149" s="149">
        <v>95</v>
      </c>
      <c r="T149" s="159">
        <f t="shared" si="8"/>
        <v>36</v>
      </c>
      <c r="U149" s="149">
        <v>780</v>
      </c>
      <c r="V149" s="159">
        <f t="shared" si="6"/>
        <v>3510</v>
      </c>
      <c r="W149" s="149">
        <v>14</v>
      </c>
      <c r="X149" s="149" t="s">
        <v>35</v>
      </c>
      <c r="Y149" s="149" t="s">
        <v>43</v>
      </c>
      <c r="Z149" s="149" t="s">
        <v>55</v>
      </c>
      <c r="AA149" s="149" t="s">
        <v>82</v>
      </c>
      <c r="AB149" s="149" t="s">
        <v>178</v>
      </c>
    </row>
    <row r="150" spans="1:28" x14ac:dyDescent="0.15">
      <c r="A150" s="149" t="s">
        <v>40</v>
      </c>
      <c r="B150" s="149" t="s">
        <v>174</v>
      </c>
      <c r="C150" s="149">
        <v>2020</v>
      </c>
      <c r="D150" s="157" t="s">
        <v>398</v>
      </c>
      <c r="E150" s="149" t="s">
        <v>275</v>
      </c>
      <c r="F150" s="149" t="s">
        <v>276</v>
      </c>
      <c r="G150" s="149" t="s">
        <v>25</v>
      </c>
      <c r="H150" s="149" t="s">
        <v>164</v>
      </c>
      <c r="I150" s="149" t="s">
        <v>111</v>
      </c>
      <c r="J150" s="77" t="s">
        <v>27</v>
      </c>
      <c r="K150" s="77" t="s">
        <v>112</v>
      </c>
      <c r="L150" s="149">
        <v>2</v>
      </c>
      <c r="N150" s="149">
        <v>8</v>
      </c>
      <c r="O150" s="149">
        <v>0.75</v>
      </c>
      <c r="P150" s="149">
        <v>0.65</v>
      </c>
      <c r="Q150" s="158">
        <f t="shared" si="7"/>
        <v>0.7</v>
      </c>
      <c r="R150" s="149">
        <v>16.8</v>
      </c>
      <c r="S150" s="149">
        <v>95</v>
      </c>
      <c r="T150" s="159">
        <f t="shared" si="8"/>
        <v>36</v>
      </c>
      <c r="U150" s="149">
        <v>780</v>
      </c>
      <c r="V150" s="159">
        <f t="shared" si="6"/>
        <v>3510</v>
      </c>
      <c r="W150" s="149">
        <v>14</v>
      </c>
      <c r="X150" s="149" t="s">
        <v>35</v>
      </c>
      <c r="Y150" s="149" t="s">
        <v>43</v>
      </c>
      <c r="Z150" s="149" t="s">
        <v>55</v>
      </c>
      <c r="AA150" s="149" t="s">
        <v>82</v>
      </c>
      <c r="AB150" s="149" t="s">
        <v>178</v>
      </c>
    </row>
    <row r="151" spans="1:28" x14ac:dyDescent="0.15">
      <c r="A151" s="149" t="s">
        <v>40</v>
      </c>
      <c r="B151" s="149" t="s">
        <v>174</v>
      </c>
      <c r="C151" s="149">
        <v>2020</v>
      </c>
      <c r="D151" s="157" t="s">
        <v>398</v>
      </c>
      <c r="E151" s="149" t="s">
        <v>275</v>
      </c>
      <c r="F151" s="149" t="s">
        <v>276</v>
      </c>
      <c r="G151" s="149" t="s">
        <v>25</v>
      </c>
      <c r="H151" s="149" t="s">
        <v>164</v>
      </c>
      <c r="I151" s="149" t="s">
        <v>111</v>
      </c>
      <c r="J151" s="77" t="s">
        <v>27</v>
      </c>
      <c r="K151" s="77" t="s">
        <v>112</v>
      </c>
      <c r="L151" s="149">
        <v>3</v>
      </c>
      <c r="N151" s="149">
        <v>8</v>
      </c>
      <c r="O151" s="149">
        <v>0.6</v>
      </c>
      <c r="P151" s="149">
        <v>0.7</v>
      </c>
      <c r="Q151" s="158">
        <f t="shared" si="7"/>
        <v>0.64999999999999991</v>
      </c>
      <c r="R151" s="149">
        <v>17.899999999999999</v>
      </c>
      <c r="S151" s="149">
        <v>82</v>
      </c>
      <c r="T151" s="159">
        <f t="shared" si="8"/>
        <v>39</v>
      </c>
      <c r="U151" s="149">
        <v>780</v>
      </c>
      <c r="V151" s="159">
        <f t="shared" si="6"/>
        <v>3802.5</v>
      </c>
      <c r="W151" s="149">
        <v>14</v>
      </c>
      <c r="X151" s="149" t="s">
        <v>35</v>
      </c>
      <c r="Y151" s="149" t="s">
        <v>43</v>
      </c>
      <c r="Z151" s="149" t="s">
        <v>55</v>
      </c>
      <c r="AA151" s="149" t="s">
        <v>82</v>
      </c>
      <c r="AB151" s="149" t="s">
        <v>178</v>
      </c>
    </row>
    <row r="152" spans="1:28" x14ac:dyDescent="0.15">
      <c r="A152" s="149" t="s">
        <v>40</v>
      </c>
      <c r="B152" s="149" t="s">
        <v>174</v>
      </c>
      <c r="C152" s="149">
        <v>2020</v>
      </c>
      <c r="D152" s="157" t="s">
        <v>398</v>
      </c>
      <c r="E152" s="149" t="s">
        <v>277</v>
      </c>
      <c r="F152" s="149" t="s">
        <v>265</v>
      </c>
      <c r="G152" s="149" t="s">
        <v>25</v>
      </c>
      <c r="H152" s="149" t="s">
        <v>113</v>
      </c>
      <c r="I152" s="149" t="s">
        <v>111</v>
      </c>
      <c r="J152" s="77" t="s">
        <v>27</v>
      </c>
      <c r="K152" s="77" t="s">
        <v>112</v>
      </c>
      <c r="L152" s="149">
        <v>1</v>
      </c>
      <c r="N152" s="149">
        <v>1</v>
      </c>
      <c r="O152" s="149">
        <v>1.3</v>
      </c>
      <c r="P152" s="149">
        <v>1.2</v>
      </c>
      <c r="Q152" s="158">
        <f t="shared" si="7"/>
        <v>1.25</v>
      </c>
      <c r="R152" s="149">
        <v>13.9</v>
      </c>
      <c r="S152" s="149">
        <v>126</v>
      </c>
      <c r="T152" s="159">
        <f t="shared" si="8"/>
        <v>27</v>
      </c>
      <c r="U152" s="149">
        <v>78</v>
      </c>
      <c r="V152" s="159">
        <f t="shared" si="6"/>
        <v>2106</v>
      </c>
      <c r="W152" s="149">
        <v>11</v>
      </c>
      <c r="X152" s="149" t="s">
        <v>35</v>
      </c>
      <c r="Y152" s="149" t="s">
        <v>43</v>
      </c>
      <c r="Z152" s="149" t="s">
        <v>55</v>
      </c>
      <c r="AA152" s="149" t="s">
        <v>36</v>
      </c>
      <c r="AB152" s="149" t="s">
        <v>178</v>
      </c>
    </row>
    <row r="153" spans="1:28" x14ac:dyDescent="0.15">
      <c r="A153" s="149" t="s">
        <v>40</v>
      </c>
      <c r="B153" s="149" t="s">
        <v>174</v>
      </c>
      <c r="C153" s="149">
        <v>2020</v>
      </c>
      <c r="D153" s="157" t="s">
        <v>398</v>
      </c>
      <c r="E153" s="149" t="s">
        <v>277</v>
      </c>
      <c r="F153" s="149" t="s">
        <v>265</v>
      </c>
      <c r="G153" s="149" t="s">
        <v>25</v>
      </c>
      <c r="H153" s="149" t="s">
        <v>113</v>
      </c>
      <c r="I153" s="149" t="s">
        <v>111</v>
      </c>
      <c r="J153" s="77" t="s">
        <v>27</v>
      </c>
      <c r="K153" s="77" t="s">
        <v>112</v>
      </c>
      <c r="L153" s="149">
        <v>2</v>
      </c>
      <c r="N153" s="149">
        <v>1</v>
      </c>
      <c r="O153" s="149">
        <v>1.25</v>
      </c>
      <c r="P153" s="149">
        <v>1.45</v>
      </c>
      <c r="Q153" s="158">
        <f t="shared" si="7"/>
        <v>1.35</v>
      </c>
      <c r="R153" s="149">
        <v>13.6</v>
      </c>
      <c r="S153" s="149">
        <v>124</v>
      </c>
      <c r="T153" s="159">
        <f t="shared" si="8"/>
        <v>27</v>
      </c>
      <c r="U153" s="149">
        <v>78</v>
      </c>
      <c r="V153" s="159">
        <f t="shared" si="6"/>
        <v>2106</v>
      </c>
      <c r="W153" s="149">
        <v>11</v>
      </c>
      <c r="X153" s="149" t="s">
        <v>35</v>
      </c>
      <c r="Y153" s="149" t="s">
        <v>43</v>
      </c>
      <c r="Z153" s="149" t="s">
        <v>55</v>
      </c>
      <c r="AA153" s="149" t="s">
        <v>36</v>
      </c>
      <c r="AB153" s="149" t="s">
        <v>178</v>
      </c>
    </row>
    <row r="154" spans="1:28" x14ac:dyDescent="0.15">
      <c r="A154" s="149" t="s">
        <v>40</v>
      </c>
      <c r="B154" s="149" t="s">
        <v>174</v>
      </c>
      <c r="C154" s="149">
        <v>2020</v>
      </c>
      <c r="D154" s="157" t="s">
        <v>398</v>
      </c>
      <c r="E154" s="149" t="s">
        <v>277</v>
      </c>
      <c r="F154" s="149" t="s">
        <v>265</v>
      </c>
      <c r="G154" s="149" t="s">
        <v>25</v>
      </c>
      <c r="H154" s="149" t="s">
        <v>113</v>
      </c>
      <c r="I154" s="149" t="s">
        <v>111</v>
      </c>
      <c r="J154" s="77" t="s">
        <v>27</v>
      </c>
      <c r="K154" s="77" t="s">
        <v>112</v>
      </c>
      <c r="L154" s="149">
        <v>3</v>
      </c>
      <c r="N154" s="149">
        <v>1</v>
      </c>
      <c r="O154" s="149">
        <v>1.1499999999999999</v>
      </c>
      <c r="P154" s="149">
        <v>1.2</v>
      </c>
      <c r="Q154" s="158">
        <f t="shared" si="7"/>
        <v>1.1749999999999998</v>
      </c>
      <c r="R154" s="149">
        <v>14.2</v>
      </c>
      <c r="S154" s="149">
        <v>128</v>
      </c>
      <c r="T154" s="159">
        <f t="shared" si="8"/>
        <v>27</v>
      </c>
      <c r="U154" s="149">
        <v>78</v>
      </c>
      <c r="V154" s="159">
        <f t="shared" si="6"/>
        <v>2106</v>
      </c>
      <c r="W154" s="149">
        <v>11</v>
      </c>
      <c r="X154" s="149" t="s">
        <v>35</v>
      </c>
      <c r="Y154" s="149" t="s">
        <v>43</v>
      </c>
      <c r="Z154" s="149" t="s">
        <v>55</v>
      </c>
      <c r="AA154" s="149" t="s">
        <v>36</v>
      </c>
      <c r="AB154" s="149" t="s">
        <v>178</v>
      </c>
    </row>
    <row r="155" spans="1:28" x14ac:dyDescent="0.15">
      <c r="A155" s="149" t="s">
        <v>40</v>
      </c>
      <c r="B155" s="149" t="s">
        <v>174</v>
      </c>
      <c r="C155" s="149">
        <v>2020</v>
      </c>
      <c r="D155" s="157" t="s">
        <v>398</v>
      </c>
      <c r="E155" s="149" t="s">
        <v>277</v>
      </c>
      <c r="F155" s="149" t="s">
        <v>265</v>
      </c>
      <c r="G155" s="149" t="s">
        <v>25</v>
      </c>
      <c r="H155" s="149" t="s">
        <v>113</v>
      </c>
      <c r="I155" s="149" t="s">
        <v>111</v>
      </c>
      <c r="J155" s="77" t="s">
        <v>27</v>
      </c>
      <c r="K155" s="77" t="s">
        <v>112</v>
      </c>
      <c r="L155" s="149">
        <v>1</v>
      </c>
      <c r="N155" s="149">
        <v>5</v>
      </c>
      <c r="O155" s="149">
        <v>0.75</v>
      </c>
      <c r="P155" s="149">
        <v>0.75</v>
      </c>
      <c r="Q155" s="158">
        <f t="shared" si="7"/>
        <v>0.75</v>
      </c>
      <c r="R155" s="149">
        <v>14.7</v>
      </c>
      <c r="S155" s="149">
        <v>91</v>
      </c>
      <c r="T155" s="159">
        <f t="shared" si="8"/>
        <v>36</v>
      </c>
      <c r="U155" s="149">
        <v>398</v>
      </c>
      <c r="V155" s="159">
        <f t="shared" si="6"/>
        <v>2865.6</v>
      </c>
      <c r="W155" s="149">
        <v>11</v>
      </c>
      <c r="X155" s="149" t="s">
        <v>35</v>
      </c>
      <c r="Y155" s="149" t="s">
        <v>43</v>
      </c>
      <c r="Z155" s="149" t="s">
        <v>55</v>
      </c>
      <c r="AA155" s="149" t="s">
        <v>36</v>
      </c>
      <c r="AB155" s="149" t="s">
        <v>178</v>
      </c>
    </row>
    <row r="156" spans="1:28" x14ac:dyDescent="0.15">
      <c r="A156" s="149" t="s">
        <v>40</v>
      </c>
      <c r="B156" s="149" t="s">
        <v>174</v>
      </c>
      <c r="C156" s="149">
        <v>2020</v>
      </c>
      <c r="D156" s="157" t="s">
        <v>398</v>
      </c>
      <c r="E156" s="149" t="s">
        <v>277</v>
      </c>
      <c r="F156" s="149" t="s">
        <v>265</v>
      </c>
      <c r="G156" s="149" t="s">
        <v>25</v>
      </c>
      <c r="H156" s="149" t="s">
        <v>113</v>
      </c>
      <c r="I156" s="149" t="s">
        <v>111</v>
      </c>
      <c r="J156" s="77" t="s">
        <v>27</v>
      </c>
      <c r="K156" s="77" t="s">
        <v>112</v>
      </c>
      <c r="L156" s="149">
        <v>2</v>
      </c>
      <c r="N156" s="149">
        <v>5</v>
      </c>
      <c r="O156" s="149">
        <v>0.8</v>
      </c>
      <c r="P156" s="149">
        <v>0.85</v>
      </c>
      <c r="Q156" s="158">
        <f t="shared" si="7"/>
        <v>0.82499999999999996</v>
      </c>
      <c r="R156" s="149">
        <v>13.3</v>
      </c>
      <c r="S156" s="149">
        <v>83</v>
      </c>
      <c r="T156" s="159">
        <f t="shared" si="8"/>
        <v>39</v>
      </c>
      <c r="U156" s="149">
        <v>398</v>
      </c>
      <c r="V156" s="159">
        <f t="shared" si="6"/>
        <v>3104.3999999999996</v>
      </c>
      <c r="W156" s="149">
        <v>11</v>
      </c>
      <c r="X156" s="149" t="s">
        <v>35</v>
      </c>
      <c r="Y156" s="149" t="s">
        <v>43</v>
      </c>
      <c r="Z156" s="149" t="s">
        <v>55</v>
      </c>
      <c r="AA156" s="149" t="s">
        <v>36</v>
      </c>
      <c r="AB156" s="149" t="s">
        <v>178</v>
      </c>
    </row>
    <row r="157" spans="1:28" x14ac:dyDescent="0.15">
      <c r="A157" s="149" t="s">
        <v>40</v>
      </c>
      <c r="B157" s="149" t="s">
        <v>174</v>
      </c>
      <c r="C157" s="149">
        <v>2020</v>
      </c>
      <c r="D157" s="157" t="s">
        <v>398</v>
      </c>
      <c r="E157" s="149" t="s">
        <v>277</v>
      </c>
      <c r="F157" s="149" t="s">
        <v>265</v>
      </c>
      <c r="G157" s="149" t="s">
        <v>25</v>
      </c>
      <c r="H157" s="149" t="s">
        <v>113</v>
      </c>
      <c r="I157" s="149" t="s">
        <v>111</v>
      </c>
      <c r="J157" s="77" t="s">
        <v>27</v>
      </c>
      <c r="K157" s="77" t="s">
        <v>112</v>
      </c>
      <c r="L157" s="149">
        <v>3</v>
      </c>
      <c r="N157" s="149">
        <v>5</v>
      </c>
      <c r="O157" s="149">
        <v>0.75</v>
      </c>
      <c r="P157" s="149">
        <v>0.95</v>
      </c>
      <c r="Q157" s="158">
        <f t="shared" si="7"/>
        <v>0.85</v>
      </c>
      <c r="R157" s="149">
        <v>13.8</v>
      </c>
      <c r="S157" s="149">
        <v>89</v>
      </c>
      <c r="T157" s="159">
        <f t="shared" si="8"/>
        <v>36</v>
      </c>
      <c r="U157" s="149">
        <v>398</v>
      </c>
      <c r="V157" s="159">
        <f t="shared" si="6"/>
        <v>2865.6</v>
      </c>
      <c r="W157" s="149">
        <v>11</v>
      </c>
      <c r="X157" s="149" t="s">
        <v>35</v>
      </c>
      <c r="Y157" s="149" t="s">
        <v>43</v>
      </c>
      <c r="Z157" s="149" t="s">
        <v>55</v>
      </c>
      <c r="AA157" s="149" t="s">
        <v>36</v>
      </c>
      <c r="AB157" s="149" t="s">
        <v>178</v>
      </c>
    </row>
    <row r="158" spans="1:28" x14ac:dyDescent="0.15">
      <c r="A158" s="149" t="s">
        <v>40</v>
      </c>
      <c r="B158" s="149" t="s">
        <v>174</v>
      </c>
      <c r="C158" s="149">
        <v>2020</v>
      </c>
      <c r="D158" s="157" t="s">
        <v>398</v>
      </c>
      <c r="E158" s="149" t="s">
        <v>277</v>
      </c>
      <c r="F158" s="149" t="s">
        <v>265</v>
      </c>
      <c r="G158" s="149" t="s">
        <v>25</v>
      </c>
      <c r="H158" s="149" t="s">
        <v>113</v>
      </c>
      <c r="I158" s="149" t="s">
        <v>111</v>
      </c>
      <c r="J158" s="77" t="s">
        <v>27</v>
      </c>
      <c r="K158" s="77" t="s">
        <v>112</v>
      </c>
      <c r="L158" s="149">
        <v>1</v>
      </c>
      <c r="N158" s="149">
        <v>8</v>
      </c>
      <c r="O158" s="149">
        <v>0.85</v>
      </c>
      <c r="P158" s="149">
        <v>0.75</v>
      </c>
      <c r="Q158" s="158">
        <f t="shared" si="7"/>
        <v>0.8</v>
      </c>
      <c r="R158" s="149">
        <v>13.5</v>
      </c>
      <c r="S158" s="149">
        <v>88</v>
      </c>
      <c r="T158" s="159">
        <f t="shared" si="8"/>
        <v>36</v>
      </c>
      <c r="U158" s="149">
        <v>398</v>
      </c>
      <c r="V158" s="159">
        <f t="shared" si="6"/>
        <v>1791</v>
      </c>
      <c r="W158" s="149">
        <v>11</v>
      </c>
      <c r="X158" s="149" t="s">
        <v>35</v>
      </c>
      <c r="Y158" s="149" t="s">
        <v>43</v>
      </c>
      <c r="Z158" s="149" t="s">
        <v>55</v>
      </c>
      <c r="AA158" s="149" t="s">
        <v>36</v>
      </c>
      <c r="AB158" s="149" t="s">
        <v>178</v>
      </c>
    </row>
    <row r="159" spans="1:28" x14ac:dyDescent="0.15">
      <c r="A159" s="149" t="s">
        <v>40</v>
      </c>
      <c r="B159" s="149" t="s">
        <v>174</v>
      </c>
      <c r="C159" s="149">
        <v>2020</v>
      </c>
      <c r="D159" s="157" t="s">
        <v>398</v>
      </c>
      <c r="E159" s="149" t="s">
        <v>277</v>
      </c>
      <c r="F159" s="149" t="s">
        <v>265</v>
      </c>
      <c r="G159" s="149" t="s">
        <v>25</v>
      </c>
      <c r="H159" s="149" t="s">
        <v>113</v>
      </c>
      <c r="I159" s="149" t="s">
        <v>111</v>
      </c>
      <c r="J159" s="77" t="s">
        <v>27</v>
      </c>
      <c r="K159" s="77" t="s">
        <v>112</v>
      </c>
      <c r="L159" s="149">
        <v>2</v>
      </c>
      <c r="N159" s="149">
        <v>8</v>
      </c>
      <c r="O159" s="149">
        <v>0.75</v>
      </c>
      <c r="P159" s="149">
        <v>0.9</v>
      </c>
      <c r="Q159" s="158">
        <f t="shared" si="7"/>
        <v>0.82499999999999996</v>
      </c>
      <c r="R159" s="149">
        <v>13.2</v>
      </c>
      <c r="S159" s="149">
        <v>85</v>
      </c>
      <c r="T159" s="159">
        <f t="shared" si="8"/>
        <v>36</v>
      </c>
      <c r="U159" s="149">
        <v>398</v>
      </c>
      <c r="V159" s="159">
        <f t="shared" si="6"/>
        <v>1791</v>
      </c>
      <c r="W159" s="149">
        <v>11</v>
      </c>
      <c r="X159" s="149" t="s">
        <v>35</v>
      </c>
      <c r="Y159" s="149" t="s">
        <v>43</v>
      </c>
      <c r="Z159" s="149" t="s">
        <v>55</v>
      </c>
      <c r="AA159" s="149" t="s">
        <v>36</v>
      </c>
      <c r="AB159" s="149" t="s">
        <v>178</v>
      </c>
    </row>
    <row r="160" spans="1:28" x14ac:dyDescent="0.15">
      <c r="A160" s="149" t="s">
        <v>40</v>
      </c>
      <c r="B160" s="149" t="s">
        <v>174</v>
      </c>
      <c r="C160" s="149">
        <v>2020</v>
      </c>
      <c r="D160" s="157" t="s">
        <v>398</v>
      </c>
      <c r="E160" s="149" t="s">
        <v>277</v>
      </c>
      <c r="F160" s="149" t="s">
        <v>265</v>
      </c>
      <c r="G160" s="149" t="s">
        <v>25</v>
      </c>
      <c r="H160" s="149" t="s">
        <v>113</v>
      </c>
      <c r="I160" s="149" t="s">
        <v>111</v>
      </c>
      <c r="J160" s="77" t="s">
        <v>27</v>
      </c>
      <c r="K160" s="77" t="s">
        <v>112</v>
      </c>
      <c r="L160" s="149">
        <v>3</v>
      </c>
      <c r="N160" s="149">
        <v>8</v>
      </c>
      <c r="O160" s="149">
        <v>0.8</v>
      </c>
      <c r="P160" s="149">
        <v>0.7</v>
      </c>
      <c r="Q160" s="158">
        <f t="shared" si="7"/>
        <v>0.75</v>
      </c>
      <c r="R160" s="149">
        <v>14.3</v>
      </c>
      <c r="S160" s="149">
        <v>90</v>
      </c>
      <c r="T160" s="159">
        <f t="shared" si="8"/>
        <v>36</v>
      </c>
      <c r="U160" s="149">
        <v>398</v>
      </c>
      <c r="V160" s="159">
        <f t="shared" si="6"/>
        <v>1791</v>
      </c>
      <c r="W160" s="149">
        <v>11</v>
      </c>
      <c r="X160" s="149" t="s">
        <v>35</v>
      </c>
      <c r="Y160" s="149" t="s">
        <v>43</v>
      </c>
      <c r="Z160" s="149" t="s">
        <v>55</v>
      </c>
      <c r="AA160" s="149" t="s">
        <v>36</v>
      </c>
      <c r="AB160" s="149" t="s">
        <v>178</v>
      </c>
    </row>
    <row r="161" spans="1:28" x14ac:dyDescent="0.15">
      <c r="A161" s="149" t="s">
        <v>40</v>
      </c>
      <c r="B161" s="149" t="s">
        <v>174</v>
      </c>
      <c r="C161" s="149">
        <v>2020</v>
      </c>
      <c r="D161" s="157" t="s">
        <v>398</v>
      </c>
      <c r="E161" s="149" t="s">
        <v>277</v>
      </c>
      <c r="F161" s="149" t="s">
        <v>265</v>
      </c>
      <c r="G161" s="149" t="s">
        <v>25</v>
      </c>
      <c r="H161" s="149" t="s">
        <v>164</v>
      </c>
      <c r="I161" s="149" t="s">
        <v>111</v>
      </c>
      <c r="J161" s="77" t="s">
        <v>27</v>
      </c>
      <c r="K161" s="77" t="s">
        <v>112</v>
      </c>
      <c r="L161" s="149">
        <v>1</v>
      </c>
      <c r="N161" s="149">
        <v>1</v>
      </c>
      <c r="O161" s="149">
        <v>0.95</v>
      </c>
      <c r="P161" s="149">
        <v>1</v>
      </c>
      <c r="Q161" s="158">
        <f t="shared" si="7"/>
        <v>0.97499999999999998</v>
      </c>
      <c r="R161" s="149">
        <v>18.100000000000001</v>
      </c>
      <c r="S161" s="149">
        <v>144</v>
      </c>
      <c r="T161" s="159">
        <f t="shared" si="8"/>
        <v>22</v>
      </c>
      <c r="U161" s="149">
        <v>98</v>
      </c>
      <c r="V161" s="159">
        <f t="shared" si="6"/>
        <v>2156</v>
      </c>
      <c r="W161" s="149">
        <v>11</v>
      </c>
      <c r="X161" s="149" t="s">
        <v>35</v>
      </c>
      <c r="Y161" s="149" t="s">
        <v>43</v>
      </c>
      <c r="Z161" s="149" t="s">
        <v>55</v>
      </c>
      <c r="AA161" s="149" t="s">
        <v>36</v>
      </c>
      <c r="AB161" s="149" t="s">
        <v>178</v>
      </c>
    </row>
    <row r="162" spans="1:28" x14ac:dyDescent="0.15">
      <c r="A162" s="149" t="s">
        <v>40</v>
      </c>
      <c r="B162" s="149" t="s">
        <v>174</v>
      </c>
      <c r="C162" s="149">
        <v>2020</v>
      </c>
      <c r="D162" s="157" t="s">
        <v>398</v>
      </c>
      <c r="E162" s="149" t="s">
        <v>277</v>
      </c>
      <c r="F162" s="149" t="s">
        <v>265</v>
      </c>
      <c r="G162" s="149" t="s">
        <v>25</v>
      </c>
      <c r="H162" s="149" t="s">
        <v>164</v>
      </c>
      <c r="I162" s="149" t="s">
        <v>111</v>
      </c>
      <c r="J162" s="77" t="s">
        <v>27</v>
      </c>
      <c r="K162" s="77" t="s">
        <v>112</v>
      </c>
      <c r="L162" s="149">
        <v>2</v>
      </c>
      <c r="N162" s="149">
        <v>1</v>
      </c>
      <c r="O162" s="149">
        <v>1</v>
      </c>
      <c r="P162" s="149">
        <v>1</v>
      </c>
      <c r="Q162" s="158">
        <f t="shared" si="7"/>
        <v>1</v>
      </c>
      <c r="R162" s="149">
        <v>17.600000000000001</v>
      </c>
      <c r="S162" s="149">
        <v>138</v>
      </c>
      <c r="T162" s="159">
        <f t="shared" si="8"/>
        <v>22</v>
      </c>
      <c r="U162" s="149">
        <v>98</v>
      </c>
      <c r="V162" s="159">
        <f t="shared" si="6"/>
        <v>2156</v>
      </c>
      <c r="W162" s="149">
        <v>11</v>
      </c>
      <c r="X162" s="149" t="s">
        <v>35</v>
      </c>
      <c r="Y162" s="149" t="s">
        <v>43</v>
      </c>
      <c r="Z162" s="149" t="s">
        <v>55</v>
      </c>
      <c r="AA162" s="149" t="s">
        <v>36</v>
      </c>
      <c r="AB162" s="149" t="s">
        <v>178</v>
      </c>
    </row>
    <row r="163" spans="1:28" x14ac:dyDescent="0.15">
      <c r="A163" s="149" t="s">
        <v>40</v>
      </c>
      <c r="B163" s="149" t="s">
        <v>174</v>
      </c>
      <c r="C163" s="149">
        <v>2020</v>
      </c>
      <c r="D163" s="157" t="s">
        <v>398</v>
      </c>
      <c r="E163" s="149" t="s">
        <v>277</v>
      </c>
      <c r="F163" s="149" t="s">
        <v>265</v>
      </c>
      <c r="G163" s="149" t="s">
        <v>25</v>
      </c>
      <c r="H163" s="149" t="s">
        <v>164</v>
      </c>
      <c r="I163" s="149" t="s">
        <v>111</v>
      </c>
      <c r="J163" s="77" t="s">
        <v>27</v>
      </c>
      <c r="K163" s="77" t="s">
        <v>112</v>
      </c>
      <c r="L163" s="149">
        <v>3</v>
      </c>
      <c r="N163" s="149">
        <v>1</v>
      </c>
      <c r="O163" s="149">
        <v>0.95</v>
      </c>
      <c r="P163" s="149">
        <v>1.1000000000000001</v>
      </c>
      <c r="Q163" s="158">
        <f t="shared" si="7"/>
        <v>1.0249999999999999</v>
      </c>
      <c r="R163" s="149">
        <v>17.899999999999999</v>
      </c>
      <c r="S163" s="149">
        <v>140</v>
      </c>
      <c r="T163" s="159">
        <f t="shared" si="8"/>
        <v>22</v>
      </c>
      <c r="U163" s="149">
        <v>98</v>
      </c>
      <c r="V163" s="159">
        <f t="shared" si="6"/>
        <v>2156</v>
      </c>
      <c r="W163" s="149">
        <v>11</v>
      </c>
      <c r="X163" s="149" t="s">
        <v>35</v>
      </c>
      <c r="Y163" s="149" t="s">
        <v>43</v>
      </c>
      <c r="Z163" s="149" t="s">
        <v>55</v>
      </c>
      <c r="AA163" s="149" t="s">
        <v>36</v>
      </c>
      <c r="AB163" s="149" t="s">
        <v>178</v>
      </c>
    </row>
    <row r="164" spans="1:28" x14ac:dyDescent="0.15">
      <c r="A164" s="149" t="s">
        <v>40</v>
      </c>
      <c r="B164" s="149" t="s">
        <v>174</v>
      </c>
      <c r="C164" s="149">
        <v>2020</v>
      </c>
      <c r="D164" s="157" t="s">
        <v>398</v>
      </c>
      <c r="E164" s="149" t="s">
        <v>277</v>
      </c>
      <c r="F164" s="149" t="s">
        <v>265</v>
      </c>
      <c r="G164" s="149" t="s">
        <v>25</v>
      </c>
      <c r="H164" s="149" t="s">
        <v>164</v>
      </c>
      <c r="I164" s="149" t="s">
        <v>111</v>
      </c>
      <c r="J164" s="77" t="s">
        <v>27</v>
      </c>
      <c r="K164" s="77" t="s">
        <v>112</v>
      </c>
      <c r="L164" s="149">
        <v>1</v>
      </c>
      <c r="N164" s="149">
        <v>4</v>
      </c>
      <c r="O164" s="149">
        <v>0.65</v>
      </c>
      <c r="P164" s="149">
        <v>0.65</v>
      </c>
      <c r="Q164" s="158">
        <f t="shared" si="7"/>
        <v>0.65</v>
      </c>
      <c r="R164" s="149">
        <v>16.8</v>
      </c>
      <c r="S164" s="149">
        <v>90</v>
      </c>
      <c r="T164" s="159">
        <f t="shared" si="8"/>
        <v>36</v>
      </c>
      <c r="U164" s="149">
        <v>398</v>
      </c>
      <c r="V164" s="159">
        <f t="shared" si="6"/>
        <v>3582</v>
      </c>
      <c r="W164" s="149">
        <v>11</v>
      </c>
      <c r="X164" s="149" t="s">
        <v>35</v>
      </c>
      <c r="Y164" s="149" t="s">
        <v>43</v>
      </c>
      <c r="Z164" s="149" t="s">
        <v>55</v>
      </c>
      <c r="AA164" s="149" t="s">
        <v>36</v>
      </c>
      <c r="AB164" s="149" t="s">
        <v>178</v>
      </c>
    </row>
    <row r="165" spans="1:28" x14ac:dyDescent="0.15">
      <c r="A165" s="149" t="s">
        <v>40</v>
      </c>
      <c r="B165" s="149" t="s">
        <v>174</v>
      </c>
      <c r="C165" s="149">
        <v>2020</v>
      </c>
      <c r="D165" s="157" t="s">
        <v>398</v>
      </c>
      <c r="E165" s="149" t="s">
        <v>277</v>
      </c>
      <c r="F165" s="149" t="s">
        <v>265</v>
      </c>
      <c r="G165" s="149" t="s">
        <v>25</v>
      </c>
      <c r="H165" s="149" t="s">
        <v>164</v>
      </c>
      <c r="I165" s="149" t="s">
        <v>111</v>
      </c>
      <c r="J165" s="77" t="s">
        <v>27</v>
      </c>
      <c r="K165" s="77" t="s">
        <v>112</v>
      </c>
      <c r="L165" s="149">
        <v>2</v>
      </c>
      <c r="N165" s="149">
        <v>4</v>
      </c>
      <c r="O165" s="149">
        <v>0.7</v>
      </c>
      <c r="P165" s="149">
        <v>0.65</v>
      </c>
      <c r="Q165" s="158">
        <f t="shared" si="7"/>
        <v>0.67500000000000004</v>
      </c>
      <c r="R165" s="149">
        <v>17.399999999999999</v>
      </c>
      <c r="S165" s="149">
        <v>93</v>
      </c>
      <c r="T165" s="159">
        <f t="shared" si="8"/>
        <v>36</v>
      </c>
      <c r="U165" s="149">
        <v>398</v>
      </c>
      <c r="V165" s="159">
        <f t="shared" si="6"/>
        <v>3582</v>
      </c>
      <c r="W165" s="149">
        <v>11</v>
      </c>
      <c r="X165" s="149" t="s">
        <v>35</v>
      </c>
      <c r="Y165" s="149" t="s">
        <v>43</v>
      </c>
      <c r="Z165" s="149" t="s">
        <v>55</v>
      </c>
      <c r="AA165" s="149" t="s">
        <v>36</v>
      </c>
      <c r="AB165" s="149" t="s">
        <v>178</v>
      </c>
    </row>
    <row r="166" spans="1:28" x14ac:dyDescent="0.15">
      <c r="A166" s="149" t="s">
        <v>40</v>
      </c>
      <c r="B166" s="149" t="s">
        <v>174</v>
      </c>
      <c r="C166" s="149">
        <v>2020</v>
      </c>
      <c r="D166" s="157" t="s">
        <v>398</v>
      </c>
      <c r="E166" s="149" t="s">
        <v>277</v>
      </c>
      <c r="F166" s="149" t="s">
        <v>265</v>
      </c>
      <c r="G166" s="149" t="s">
        <v>25</v>
      </c>
      <c r="H166" s="149" t="s">
        <v>164</v>
      </c>
      <c r="I166" s="149" t="s">
        <v>111</v>
      </c>
      <c r="J166" s="77" t="s">
        <v>27</v>
      </c>
      <c r="K166" s="77" t="s">
        <v>112</v>
      </c>
      <c r="L166" s="149">
        <v>3</v>
      </c>
      <c r="N166" s="149">
        <v>4</v>
      </c>
      <c r="O166" s="149">
        <v>0.6</v>
      </c>
      <c r="P166" s="149">
        <v>0.6</v>
      </c>
      <c r="Q166" s="158">
        <f t="shared" si="7"/>
        <v>0.6</v>
      </c>
      <c r="R166" s="149">
        <v>17.100000000000001</v>
      </c>
      <c r="S166" s="149">
        <v>85</v>
      </c>
      <c r="T166" s="159">
        <f t="shared" si="8"/>
        <v>36</v>
      </c>
      <c r="U166" s="149">
        <v>398</v>
      </c>
      <c r="V166" s="159">
        <f t="shared" si="6"/>
        <v>3582</v>
      </c>
      <c r="W166" s="149">
        <v>11</v>
      </c>
      <c r="X166" s="149" t="s">
        <v>35</v>
      </c>
      <c r="Y166" s="149" t="s">
        <v>43</v>
      </c>
      <c r="Z166" s="149" t="s">
        <v>55</v>
      </c>
      <c r="AA166" s="149" t="s">
        <v>36</v>
      </c>
      <c r="AB166" s="149" t="s">
        <v>178</v>
      </c>
    </row>
    <row r="167" spans="1:28" x14ac:dyDescent="0.15">
      <c r="A167" s="149" t="s">
        <v>40</v>
      </c>
      <c r="B167" s="149" t="s">
        <v>174</v>
      </c>
      <c r="C167" s="149">
        <v>2020</v>
      </c>
      <c r="D167" s="157" t="s">
        <v>398</v>
      </c>
      <c r="E167" s="149" t="s">
        <v>277</v>
      </c>
      <c r="F167" s="149" t="s">
        <v>265</v>
      </c>
      <c r="G167" s="149" t="s">
        <v>25</v>
      </c>
      <c r="H167" s="149" t="s">
        <v>164</v>
      </c>
      <c r="I167" s="149" t="s">
        <v>111</v>
      </c>
      <c r="J167" s="77" t="s">
        <v>27</v>
      </c>
      <c r="K167" s="77" t="s">
        <v>112</v>
      </c>
      <c r="L167" s="149">
        <v>1</v>
      </c>
      <c r="N167" s="149">
        <v>8</v>
      </c>
      <c r="O167" s="149">
        <v>0.85</v>
      </c>
      <c r="P167" s="149">
        <v>0.9</v>
      </c>
      <c r="Q167" s="158">
        <f t="shared" si="7"/>
        <v>0.875</v>
      </c>
      <c r="R167" s="149">
        <v>15.3</v>
      </c>
      <c r="S167" s="149">
        <v>93</v>
      </c>
      <c r="T167" s="159">
        <f t="shared" si="8"/>
        <v>36</v>
      </c>
      <c r="U167" s="149">
        <v>598</v>
      </c>
      <c r="V167" s="159">
        <f t="shared" si="6"/>
        <v>2691</v>
      </c>
      <c r="W167" s="149">
        <v>11</v>
      </c>
      <c r="X167" s="149" t="s">
        <v>35</v>
      </c>
      <c r="Y167" s="149" t="s">
        <v>43</v>
      </c>
      <c r="Z167" s="149" t="s">
        <v>55</v>
      </c>
      <c r="AA167" s="149" t="s">
        <v>36</v>
      </c>
      <c r="AB167" s="149" t="s">
        <v>178</v>
      </c>
    </row>
    <row r="168" spans="1:28" x14ac:dyDescent="0.15">
      <c r="A168" s="149" t="s">
        <v>40</v>
      </c>
      <c r="B168" s="149" t="s">
        <v>174</v>
      </c>
      <c r="C168" s="149">
        <v>2020</v>
      </c>
      <c r="D168" s="157" t="s">
        <v>398</v>
      </c>
      <c r="E168" s="149" t="s">
        <v>277</v>
      </c>
      <c r="F168" s="149" t="s">
        <v>265</v>
      </c>
      <c r="G168" s="149" t="s">
        <v>25</v>
      </c>
      <c r="H168" s="149" t="s">
        <v>164</v>
      </c>
      <c r="I168" s="149" t="s">
        <v>111</v>
      </c>
      <c r="J168" s="77" t="s">
        <v>27</v>
      </c>
      <c r="K168" s="77" t="s">
        <v>112</v>
      </c>
      <c r="L168" s="149">
        <v>2</v>
      </c>
      <c r="N168" s="149">
        <v>8</v>
      </c>
      <c r="O168" s="149">
        <v>0.95</v>
      </c>
      <c r="P168" s="149">
        <v>1</v>
      </c>
      <c r="Q168" s="158">
        <f t="shared" si="7"/>
        <v>0.97499999999999998</v>
      </c>
      <c r="R168" s="149">
        <v>14.9</v>
      </c>
      <c r="S168" s="149">
        <v>88</v>
      </c>
      <c r="T168" s="159">
        <f t="shared" si="8"/>
        <v>36</v>
      </c>
      <c r="U168" s="149">
        <v>598</v>
      </c>
      <c r="V168" s="159">
        <f t="shared" si="6"/>
        <v>2691</v>
      </c>
      <c r="W168" s="149">
        <v>11</v>
      </c>
      <c r="X168" s="149" t="s">
        <v>35</v>
      </c>
      <c r="Y168" s="149" t="s">
        <v>43</v>
      </c>
      <c r="Z168" s="149" t="s">
        <v>55</v>
      </c>
      <c r="AA168" s="149" t="s">
        <v>36</v>
      </c>
      <c r="AB168" s="149" t="s">
        <v>178</v>
      </c>
    </row>
    <row r="169" spans="1:28" x14ac:dyDescent="0.15">
      <c r="A169" s="149" t="s">
        <v>40</v>
      </c>
      <c r="B169" s="149" t="s">
        <v>174</v>
      </c>
      <c r="C169" s="149">
        <v>2020</v>
      </c>
      <c r="D169" s="157" t="s">
        <v>398</v>
      </c>
      <c r="E169" s="149" t="s">
        <v>277</v>
      </c>
      <c r="F169" s="149" t="s">
        <v>265</v>
      </c>
      <c r="G169" s="149" t="s">
        <v>25</v>
      </c>
      <c r="H169" s="149" t="s">
        <v>164</v>
      </c>
      <c r="I169" s="149" t="s">
        <v>111</v>
      </c>
      <c r="J169" s="77" t="s">
        <v>27</v>
      </c>
      <c r="K169" s="77" t="s">
        <v>112</v>
      </c>
      <c r="L169" s="149">
        <v>3</v>
      </c>
      <c r="N169" s="149">
        <v>8</v>
      </c>
      <c r="O169" s="149">
        <v>0.95</v>
      </c>
      <c r="P169" s="149">
        <v>0.9</v>
      </c>
      <c r="Q169" s="158">
        <f t="shared" si="7"/>
        <v>0.92500000000000004</v>
      </c>
      <c r="R169" s="149">
        <v>15.1</v>
      </c>
      <c r="S169" s="149">
        <v>89</v>
      </c>
      <c r="T169" s="159">
        <f t="shared" si="8"/>
        <v>36</v>
      </c>
      <c r="U169" s="149">
        <v>598</v>
      </c>
      <c r="V169" s="159">
        <f t="shared" si="6"/>
        <v>2691</v>
      </c>
      <c r="W169" s="149">
        <v>11</v>
      </c>
      <c r="X169" s="149" t="s">
        <v>35</v>
      </c>
      <c r="Y169" s="149" t="s">
        <v>43</v>
      </c>
      <c r="Z169" s="149" t="s">
        <v>55</v>
      </c>
      <c r="AA169" s="149" t="s">
        <v>36</v>
      </c>
      <c r="AB169" s="149" t="s">
        <v>178</v>
      </c>
    </row>
  </sheetData>
  <autoFilter ref="A1:BA169" xr:uid="{00000000-0009-0000-0000-000000000000}"/>
  <phoneticPr fontId="3"/>
  <dataValidations count="18">
    <dataValidation type="decimal" allowBlank="1" showInputMessage="1" showErrorMessage="1" error="硬度を正しく入力して下さい。" sqref="O2:P500" xr:uid="{9C92D2ED-5101-412F-AE33-4261A85F1BA5}">
      <formula1>0</formula1>
      <formula2>7</formula2>
    </dataValidation>
    <dataValidation type="list" allowBlank="1" showInputMessage="1" showErrorMessage="1" sqref="Y983042:AA983119 ADM983042:ADO983119 BHA983042:BHC983119 CKO983042:CKQ983119 DOC983042:DOE983119 ERQ983042:ERS983119 FVE983042:FVG983119 GYS983042:GYU983119 ICG983042:ICI983119 JFU983042:JFW983119 KJI983042:KJK983119 LMW983042:LMY983119 MQK983042:MQM983119 NTY983042:NUA983119 OXM983042:OXO983119 QBA983042:QBC983119 REO983042:REQ983119 SIC983042:SIE983119 TLQ983042:TLS983119 UPE983042:UPG983119 VSS983042:VSU983119 WWG983042:WWI983119 JU2:JW79 ANI2:ANK79 BQW2:BQY79 CUK2:CUM79 DXY2:DYA79 FBM2:FBO79 GFA2:GFC79 HIO2:HIQ79 IMC2:IME79 JPQ2:JPS79 KTE2:KTG79 LWS2:LWU79 NAG2:NAI79 ODU2:ODW79 PHI2:PHK79 QKW2:QKY79 ROK2:ROM79 SRY2:SSA79 TVM2:TVO79 UZA2:UZC79 WCO2:WCQ79 TQ2:TS79 AXE2:AXG79 CAS2:CAU79 DEG2:DEI79 EHU2:EHW79 FLI2:FLK79 GOW2:GOY79 HSK2:HSM79 IVY2:IWA79 JZM2:JZO79 LDA2:LDC79 MGO2:MGQ79 NKC2:NKE79 ONQ2:ONS79 PRE2:PRG79 QUS2:QUU79 RYG2:RYI79 TBU2:TBW79 UFI2:UFK79 VIW2:VIY79 WMK2:WMM79 ADM2:ADO79 BHA2:BHC79 CKO2:CKQ79 DOC2:DOE79 ERQ2:ERS79 FVE2:FVG79 GYS2:GYU79 ICG2:ICI79 JFU2:JFW79 KJI2:KJK79 LMW2:LMY79 MQK2:MQM79 NTY2:NUA79 OXM2:OXO79 QBA2:QBC79 REO2:REQ79 SIC2:SIE79 TLQ2:TLS79 UPE2:UPG79 VSS2:VSU79 WWG2:WWI79 Y65538:AA65615 ADM65538:ADO65615 BHA65538:BHC65615 CKO65538:CKQ65615 DOC65538:DOE65615 ERQ65538:ERS65615 FVE65538:FVG65615 GYS65538:GYU65615 ICG65538:ICI65615 JFU65538:JFW65615 KJI65538:KJK65615 LMW65538:LMY65615 MQK65538:MQM65615 NTY65538:NUA65615 OXM65538:OXO65615 QBA65538:QBC65615 REO65538:REQ65615 SIC65538:SIE65615 TLQ65538:TLS65615 UPE65538:UPG65615 VSS65538:VSU65615 WWG65538:WWI65615 JU65538:JW65615 ANI65538:ANK65615 BQW65538:BQY65615 CUK65538:CUM65615 DXY65538:DYA65615 FBM65538:FBO65615 GFA65538:GFC65615 HIO65538:HIQ65615 IMC65538:IME65615 JPQ65538:JPS65615 KTE65538:KTG65615 LWS65538:LWU65615 NAG65538:NAI65615 ODU65538:ODW65615 PHI65538:PHK65615 QKW65538:QKY65615 ROK65538:ROM65615 SRY65538:SSA65615 TVM65538:TVO65615 UZA65538:UZC65615 WCO65538:WCQ65615 TQ65538:TS65615 AXE65538:AXG65615 CAS65538:CAU65615 DEG65538:DEI65615 EHU65538:EHW65615 FLI65538:FLK65615 GOW65538:GOY65615 HSK65538:HSM65615 IVY65538:IWA65615 JZM65538:JZO65615 LDA65538:LDC65615 MGO65538:MGQ65615 NKC65538:NKE65615 ONQ65538:ONS65615 PRE65538:PRG65615 QUS65538:QUU65615 RYG65538:RYI65615 TBU65538:TBW65615 UFI65538:UFK65615 VIW65538:VIY65615 WMK65538:WMM65615 Y131074:AA131151 ADM131074:ADO131151 BHA131074:BHC131151 CKO131074:CKQ131151 DOC131074:DOE131151 ERQ131074:ERS131151 FVE131074:FVG131151 GYS131074:GYU131151 ICG131074:ICI131151 JFU131074:JFW131151 KJI131074:KJK131151 LMW131074:LMY131151 MQK131074:MQM131151 NTY131074:NUA131151 OXM131074:OXO131151 QBA131074:QBC131151 REO131074:REQ131151 SIC131074:SIE131151 TLQ131074:TLS131151 UPE131074:UPG131151 VSS131074:VSU131151 WWG131074:WWI131151 JU131074:JW131151 ANI131074:ANK131151 BQW131074:BQY131151 CUK131074:CUM131151 DXY131074:DYA131151 FBM131074:FBO131151 GFA131074:GFC131151 HIO131074:HIQ131151 IMC131074:IME131151 JPQ131074:JPS131151 KTE131074:KTG131151 LWS131074:LWU131151 NAG131074:NAI131151 ODU131074:ODW131151 PHI131074:PHK131151 QKW131074:QKY131151 ROK131074:ROM131151 SRY131074:SSA131151 TVM131074:TVO131151 UZA131074:UZC131151 WCO131074:WCQ131151 TQ131074:TS131151 AXE131074:AXG131151 CAS131074:CAU131151 DEG131074:DEI131151 EHU131074:EHW131151 FLI131074:FLK131151 GOW131074:GOY131151 HSK131074:HSM131151 IVY131074:IWA131151 JZM131074:JZO131151 LDA131074:LDC131151 MGO131074:MGQ131151 NKC131074:NKE131151 ONQ131074:ONS131151 PRE131074:PRG131151 QUS131074:QUU131151 RYG131074:RYI131151 TBU131074:TBW131151 UFI131074:UFK131151 VIW131074:VIY131151 WMK131074:WMM131151 Y196610:AA196687 ADM196610:ADO196687 BHA196610:BHC196687 CKO196610:CKQ196687 DOC196610:DOE196687 ERQ196610:ERS196687 FVE196610:FVG196687 GYS196610:GYU196687 ICG196610:ICI196687 JFU196610:JFW196687 KJI196610:KJK196687 LMW196610:LMY196687 MQK196610:MQM196687 NTY196610:NUA196687 OXM196610:OXO196687 QBA196610:QBC196687 REO196610:REQ196687 SIC196610:SIE196687 TLQ196610:TLS196687 UPE196610:UPG196687 VSS196610:VSU196687 WWG196610:WWI196687 JU196610:JW196687 ANI196610:ANK196687 BQW196610:BQY196687 CUK196610:CUM196687 DXY196610:DYA196687 FBM196610:FBO196687 GFA196610:GFC196687 HIO196610:HIQ196687 IMC196610:IME196687 JPQ196610:JPS196687 KTE196610:KTG196687 LWS196610:LWU196687 NAG196610:NAI196687 ODU196610:ODW196687 PHI196610:PHK196687 QKW196610:QKY196687 ROK196610:ROM196687 SRY196610:SSA196687 TVM196610:TVO196687 UZA196610:UZC196687 WCO196610:WCQ196687 TQ196610:TS196687 AXE196610:AXG196687 CAS196610:CAU196687 DEG196610:DEI196687 EHU196610:EHW196687 FLI196610:FLK196687 GOW196610:GOY196687 HSK196610:HSM196687 IVY196610:IWA196687 JZM196610:JZO196687 LDA196610:LDC196687 MGO196610:MGQ196687 NKC196610:NKE196687 ONQ196610:ONS196687 PRE196610:PRG196687 QUS196610:QUU196687 RYG196610:RYI196687 TBU196610:TBW196687 UFI196610:UFK196687 VIW196610:VIY196687 WMK196610:WMM196687 Y262146:AA262223 ADM262146:ADO262223 BHA262146:BHC262223 CKO262146:CKQ262223 DOC262146:DOE262223 ERQ262146:ERS262223 FVE262146:FVG262223 GYS262146:GYU262223 ICG262146:ICI262223 JFU262146:JFW262223 KJI262146:KJK262223 LMW262146:LMY262223 MQK262146:MQM262223 NTY262146:NUA262223 OXM262146:OXO262223 QBA262146:QBC262223 REO262146:REQ262223 SIC262146:SIE262223 TLQ262146:TLS262223 UPE262146:UPG262223 VSS262146:VSU262223 WWG262146:WWI262223 JU262146:JW262223 ANI262146:ANK262223 BQW262146:BQY262223 CUK262146:CUM262223 DXY262146:DYA262223 FBM262146:FBO262223 GFA262146:GFC262223 HIO262146:HIQ262223 IMC262146:IME262223 JPQ262146:JPS262223 KTE262146:KTG262223 LWS262146:LWU262223 NAG262146:NAI262223 ODU262146:ODW262223 PHI262146:PHK262223 QKW262146:QKY262223 ROK262146:ROM262223 SRY262146:SSA262223 TVM262146:TVO262223 UZA262146:UZC262223 WCO262146:WCQ262223 TQ262146:TS262223 AXE262146:AXG262223 CAS262146:CAU262223 DEG262146:DEI262223 EHU262146:EHW262223 FLI262146:FLK262223 GOW262146:GOY262223 HSK262146:HSM262223 IVY262146:IWA262223 JZM262146:JZO262223 LDA262146:LDC262223 MGO262146:MGQ262223 NKC262146:NKE262223 ONQ262146:ONS262223 PRE262146:PRG262223 QUS262146:QUU262223 RYG262146:RYI262223 TBU262146:TBW262223 UFI262146:UFK262223 VIW262146:VIY262223 WMK262146:WMM262223 Y327682:AA327759 ADM327682:ADO327759 BHA327682:BHC327759 CKO327682:CKQ327759 DOC327682:DOE327759 ERQ327682:ERS327759 FVE327682:FVG327759 GYS327682:GYU327759 ICG327682:ICI327759 JFU327682:JFW327759 KJI327682:KJK327759 LMW327682:LMY327759 MQK327682:MQM327759 NTY327682:NUA327759 OXM327682:OXO327759 QBA327682:QBC327759 REO327682:REQ327759 SIC327682:SIE327759 TLQ327682:TLS327759 UPE327682:UPG327759 VSS327682:VSU327759 WWG327682:WWI327759 JU327682:JW327759 ANI327682:ANK327759 BQW327682:BQY327759 CUK327682:CUM327759 DXY327682:DYA327759 FBM327682:FBO327759 GFA327682:GFC327759 HIO327682:HIQ327759 IMC327682:IME327759 JPQ327682:JPS327759 KTE327682:KTG327759 LWS327682:LWU327759 NAG327682:NAI327759 ODU327682:ODW327759 PHI327682:PHK327759 QKW327682:QKY327759 ROK327682:ROM327759 SRY327682:SSA327759 TVM327682:TVO327759 UZA327682:UZC327759 WCO327682:WCQ327759 TQ327682:TS327759 AXE327682:AXG327759 CAS327682:CAU327759 DEG327682:DEI327759 EHU327682:EHW327759 FLI327682:FLK327759 GOW327682:GOY327759 HSK327682:HSM327759 IVY327682:IWA327759 JZM327682:JZO327759 LDA327682:LDC327759 MGO327682:MGQ327759 NKC327682:NKE327759 ONQ327682:ONS327759 PRE327682:PRG327759 QUS327682:QUU327759 RYG327682:RYI327759 TBU327682:TBW327759 UFI327682:UFK327759 VIW327682:VIY327759 WMK327682:WMM327759 Y393218:AA393295 ADM393218:ADO393295 BHA393218:BHC393295 CKO393218:CKQ393295 DOC393218:DOE393295 ERQ393218:ERS393295 FVE393218:FVG393295 GYS393218:GYU393295 ICG393218:ICI393295 JFU393218:JFW393295 KJI393218:KJK393295 LMW393218:LMY393295 MQK393218:MQM393295 NTY393218:NUA393295 OXM393218:OXO393295 QBA393218:QBC393295 REO393218:REQ393295 SIC393218:SIE393295 TLQ393218:TLS393295 UPE393218:UPG393295 VSS393218:VSU393295 WWG393218:WWI393295 JU393218:JW393295 ANI393218:ANK393295 BQW393218:BQY393295 CUK393218:CUM393295 DXY393218:DYA393295 FBM393218:FBO393295 GFA393218:GFC393295 HIO393218:HIQ393295 IMC393218:IME393295 JPQ393218:JPS393295 KTE393218:KTG393295 LWS393218:LWU393295 NAG393218:NAI393295 ODU393218:ODW393295 PHI393218:PHK393295 QKW393218:QKY393295 ROK393218:ROM393295 SRY393218:SSA393295 TVM393218:TVO393295 UZA393218:UZC393295 WCO393218:WCQ393295 TQ393218:TS393295 AXE393218:AXG393295 CAS393218:CAU393295 DEG393218:DEI393295 EHU393218:EHW393295 FLI393218:FLK393295 GOW393218:GOY393295 HSK393218:HSM393295 IVY393218:IWA393295 JZM393218:JZO393295 LDA393218:LDC393295 MGO393218:MGQ393295 NKC393218:NKE393295 ONQ393218:ONS393295 PRE393218:PRG393295 QUS393218:QUU393295 RYG393218:RYI393295 TBU393218:TBW393295 UFI393218:UFK393295 VIW393218:VIY393295 WMK393218:WMM393295 Y458754:AA458831 ADM458754:ADO458831 BHA458754:BHC458831 CKO458754:CKQ458831 DOC458754:DOE458831 ERQ458754:ERS458831 FVE458754:FVG458831 GYS458754:GYU458831 ICG458754:ICI458831 JFU458754:JFW458831 KJI458754:KJK458831 LMW458754:LMY458831 MQK458754:MQM458831 NTY458754:NUA458831 OXM458754:OXO458831 QBA458754:QBC458831 REO458754:REQ458831 SIC458754:SIE458831 TLQ458754:TLS458831 UPE458754:UPG458831 VSS458754:VSU458831 WWG458754:WWI458831 JU458754:JW458831 ANI458754:ANK458831 BQW458754:BQY458831 CUK458754:CUM458831 DXY458754:DYA458831 FBM458754:FBO458831 GFA458754:GFC458831 HIO458754:HIQ458831 IMC458754:IME458831 JPQ458754:JPS458831 KTE458754:KTG458831 LWS458754:LWU458831 NAG458754:NAI458831 ODU458754:ODW458831 PHI458754:PHK458831 QKW458754:QKY458831 ROK458754:ROM458831 SRY458754:SSA458831 TVM458754:TVO458831 UZA458754:UZC458831 WCO458754:WCQ458831 TQ458754:TS458831 AXE458754:AXG458831 CAS458754:CAU458831 DEG458754:DEI458831 EHU458754:EHW458831 FLI458754:FLK458831 GOW458754:GOY458831 HSK458754:HSM458831 IVY458754:IWA458831 JZM458754:JZO458831 LDA458754:LDC458831 MGO458754:MGQ458831 NKC458754:NKE458831 ONQ458754:ONS458831 PRE458754:PRG458831 QUS458754:QUU458831 RYG458754:RYI458831 TBU458754:TBW458831 UFI458754:UFK458831 VIW458754:VIY458831 WMK458754:WMM458831 Y524290:AA524367 ADM524290:ADO524367 BHA524290:BHC524367 CKO524290:CKQ524367 DOC524290:DOE524367 ERQ524290:ERS524367 FVE524290:FVG524367 GYS524290:GYU524367 ICG524290:ICI524367 JFU524290:JFW524367 KJI524290:KJK524367 LMW524290:LMY524367 MQK524290:MQM524367 NTY524290:NUA524367 OXM524290:OXO524367 QBA524290:QBC524367 REO524290:REQ524367 SIC524290:SIE524367 TLQ524290:TLS524367 UPE524290:UPG524367 VSS524290:VSU524367 WWG524290:WWI524367 JU524290:JW524367 ANI524290:ANK524367 BQW524290:BQY524367 CUK524290:CUM524367 DXY524290:DYA524367 FBM524290:FBO524367 GFA524290:GFC524367 HIO524290:HIQ524367 IMC524290:IME524367 JPQ524290:JPS524367 KTE524290:KTG524367 LWS524290:LWU524367 NAG524290:NAI524367 ODU524290:ODW524367 PHI524290:PHK524367 QKW524290:QKY524367 ROK524290:ROM524367 SRY524290:SSA524367 TVM524290:TVO524367 UZA524290:UZC524367 WCO524290:WCQ524367 TQ524290:TS524367 AXE524290:AXG524367 CAS524290:CAU524367 DEG524290:DEI524367 EHU524290:EHW524367 FLI524290:FLK524367 GOW524290:GOY524367 HSK524290:HSM524367 IVY524290:IWA524367 JZM524290:JZO524367 LDA524290:LDC524367 MGO524290:MGQ524367 NKC524290:NKE524367 ONQ524290:ONS524367 PRE524290:PRG524367 QUS524290:QUU524367 RYG524290:RYI524367 TBU524290:TBW524367 UFI524290:UFK524367 VIW524290:VIY524367 WMK524290:WMM524367 Y589826:AA589903 ADM589826:ADO589903 BHA589826:BHC589903 CKO589826:CKQ589903 DOC589826:DOE589903 ERQ589826:ERS589903 FVE589826:FVG589903 GYS589826:GYU589903 ICG589826:ICI589903 JFU589826:JFW589903 KJI589826:KJK589903 LMW589826:LMY589903 MQK589826:MQM589903 NTY589826:NUA589903 OXM589826:OXO589903 QBA589826:QBC589903 REO589826:REQ589903 SIC589826:SIE589903 TLQ589826:TLS589903 UPE589826:UPG589903 VSS589826:VSU589903 WWG589826:WWI589903 JU589826:JW589903 ANI589826:ANK589903 BQW589826:BQY589903 CUK589826:CUM589903 DXY589826:DYA589903 FBM589826:FBO589903 GFA589826:GFC589903 HIO589826:HIQ589903 IMC589826:IME589903 JPQ589826:JPS589903 KTE589826:KTG589903 LWS589826:LWU589903 NAG589826:NAI589903 ODU589826:ODW589903 PHI589826:PHK589903 QKW589826:QKY589903 ROK589826:ROM589903 SRY589826:SSA589903 TVM589826:TVO589903 UZA589826:UZC589903 WCO589826:WCQ589903 TQ589826:TS589903 AXE589826:AXG589903 CAS589826:CAU589903 DEG589826:DEI589903 EHU589826:EHW589903 FLI589826:FLK589903 GOW589826:GOY589903 HSK589826:HSM589903 IVY589826:IWA589903 JZM589826:JZO589903 LDA589826:LDC589903 MGO589826:MGQ589903 NKC589826:NKE589903 ONQ589826:ONS589903 PRE589826:PRG589903 QUS589826:QUU589903 RYG589826:RYI589903 TBU589826:TBW589903 UFI589826:UFK589903 VIW589826:VIY589903 WMK589826:WMM589903 Y655362:AA655439 ADM655362:ADO655439 BHA655362:BHC655439 CKO655362:CKQ655439 DOC655362:DOE655439 ERQ655362:ERS655439 FVE655362:FVG655439 GYS655362:GYU655439 ICG655362:ICI655439 JFU655362:JFW655439 KJI655362:KJK655439 LMW655362:LMY655439 MQK655362:MQM655439 NTY655362:NUA655439 OXM655362:OXO655439 QBA655362:QBC655439 REO655362:REQ655439 SIC655362:SIE655439 TLQ655362:TLS655439 UPE655362:UPG655439 VSS655362:VSU655439 WWG655362:WWI655439 JU655362:JW655439 ANI655362:ANK655439 BQW655362:BQY655439 CUK655362:CUM655439 DXY655362:DYA655439 FBM655362:FBO655439 GFA655362:GFC655439 HIO655362:HIQ655439 IMC655362:IME655439 JPQ655362:JPS655439 KTE655362:KTG655439 LWS655362:LWU655439 NAG655362:NAI655439 ODU655362:ODW655439 PHI655362:PHK655439 QKW655362:QKY655439 ROK655362:ROM655439 SRY655362:SSA655439 TVM655362:TVO655439 UZA655362:UZC655439 WCO655362:WCQ655439 TQ655362:TS655439 AXE655362:AXG655439 CAS655362:CAU655439 DEG655362:DEI655439 EHU655362:EHW655439 FLI655362:FLK655439 GOW655362:GOY655439 HSK655362:HSM655439 IVY655362:IWA655439 JZM655362:JZO655439 LDA655362:LDC655439 MGO655362:MGQ655439 NKC655362:NKE655439 ONQ655362:ONS655439 PRE655362:PRG655439 QUS655362:QUU655439 RYG655362:RYI655439 TBU655362:TBW655439 UFI655362:UFK655439 VIW655362:VIY655439 WMK655362:WMM655439 Y720898:AA720975 ADM720898:ADO720975 BHA720898:BHC720975 CKO720898:CKQ720975 DOC720898:DOE720975 ERQ720898:ERS720975 FVE720898:FVG720975 GYS720898:GYU720975 ICG720898:ICI720975 JFU720898:JFW720975 KJI720898:KJK720975 LMW720898:LMY720975 MQK720898:MQM720975 NTY720898:NUA720975 OXM720898:OXO720975 QBA720898:QBC720975 REO720898:REQ720975 SIC720898:SIE720975 TLQ720898:TLS720975 UPE720898:UPG720975 VSS720898:VSU720975 WWG720898:WWI720975 JU720898:JW720975 ANI720898:ANK720975 BQW720898:BQY720975 CUK720898:CUM720975 DXY720898:DYA720975 FBM720898:FBO720975 GFA720898:GFC720975 HIO720898:HIQ720975 IMC720898:IME720975 JPQ720898:JPS720975 KTE720898:KTG720975 LWS720898:LWU720975 NAG720898:NAI720975 ODU720898:ODW720975 PHI720898:PHK720975 QKW720898:QKY720975 ROK720898:ROM720975 SRY720898:SSA720975 TVM720898:TVO720975 UZA720898:UZC720975 WCO720898:WCQ720975 TQ720898:TS720975 AXE720898:AXG720975 CAS720898:CAU720975 DEG720898:DEI720975 EHU720898:EHW720975 FLI720898:FLK720975 GOW720898:GOY720975 HSK720898:HSM720975 IVY720898:IWA720975 JZM720898:JZO720975 LDA720898:LDC720975 MGO720898:MGQ720975 NKC720898:NKE720975 ONQ720898:ONS720975 PRE720898:PRG720975 QUS720898:QUU720975 RYG720898:RYI720975 TBU720898:TBW720975 UFI720898:UFK720975 VIW720898:VIY720975 WMK720898:WMM720975 Y786434:AA786511 ADM786434:ADO786511 BHA786434:BHC786511 CKO786434:CKQ786511 DOC786434:DOE786511 ERQ786434:ERS786511 FVE786434:FVG786511 GYS786434:GYU786511 ICG786434:ICI786511 JFU786434:JFW786511 KJI786434:KJK786511 LMW786434:LMY786511 MQK786434:MQM786511 NTY786434:NUA786511 OXM786434:OXO786511 QBA786434:QBC786511 REO786434:REQ786511 SIC786434:SIE786511 TLQ786434:TLS786511 UPE786434:UPG786511 VSS786434:VSU786511 WWG786434:WWI786511 JU786434:JW786511 ANI786434:ANK786511 BQW786434:BQY786511 CUK786434:CUM786511 DXY786434:DYA786511 FBM786434:FBO786511 GFA786434:GFC786511 HIO786434:HIQ786511 IMC786434:IME786511 JPQ786434:JPS786511 KTE786434:KTG786511 LWS786434:LWU786511 NAG786434:NAI786511 ODU786434:ODW786511 PHI786434:PHK786511 QKW786434:QKY786511 ROK786434:ROM786511 SRY786434:SSA786511 TVM786434:TVO786511 UZA786434:UZC786511 WCO786434:WCQ786511 TQ786434:TS786511 AXE786434:AXG786511 CAS786434:CAU786511 DEG786434:DEI786511 EHU786434:EHW786511 FLI786434:FLK786511 GOW786434:GOY786511 HSK786434:HSM786511 IVY786434:IWA786511 JZM786434:JZO786511 LDA786434:LDC786511 MGO786434:MGQ786511 NKC786434:NKE786511 ONQ786434:ONS786511 PRE786434:PRG786511 QUS786434:QUU786511 RYG786434:RYI786511 TBU786434:TBW786511 UFI786434:UFK786511 VIW786434:VIY786511 WMK786434:WMM786511 Y851970:AA852047 ADM851970:ADO852047 BHA851970:BHC852047 CKO851970:CKQ852047 DOC851970:DOE852047 ERQ851970:ERS852047 FVE851970:FVG852047 GYS851970:GYU852047 ICG851970:ICI852047 JFU851970:JFW852047 KJI851970:KJK852047 LMW851970:LMY852047 MQK851970:MQM852047 NTY851970:NUA852047 OXM851970:OXO852047 QBA851970:QBC852047 REO851970:REQ852047 SIC851970:SIE852047 TLQ851970:TLS852047 UPE851970:UPG852047 VSS851970:VSU852047 WWG851970:WWI852047 JU851970:JW852047 ANI851970:ANK852047 BQW851970:BQY852047 CUK851970:CUM852047 DXY851970:DYA852047 FBM851970:FBO852047 GFA851970:GFC852047 HIO851970:HIQ852047 IMC851970:IME852047 JPQ851970:JPS852047 KTE851970:KTG852047 LWS851970:LWU852047 NAG851970:NAI852047 ODU851970:ODW852047 PHI851970:PHK852047 QKW851970:QKY852047 ROK851970:ROM852047 SRY851970:SSA852047 TVM851970:TVO852047 UZA851970:UZC852047 WCO851970:WCQ852047 TQ851970:TS852047 AXE851970:AXG852047 CAS851970:CAU852047 DEG851970:DEI852047 EHU851970:EHW852047 FLI851970:FLK852047 GOW851970:GOY852047 HSK851970:HSM852047 IVY851970:IWA852047 JZM851970:JZO852047 LDA851970:LDC852047 MGO851970:MGQ852047 NKC851970:NKE852047 ONQ851970:ONS852047 PRE851970:PRG852047 QUS851970:QUU852047 RYG851970:RYI852047 TBU851970:TBW852047 UFI851970:UFK852047 VIW851970:VIY852047 WMK851970:WMM852047 Y917506:AA917583 ADM917506:ADO917583 BHA917506:BHC917583 CKO917506:CKQ917583 DOC917506:DOE917583 ERQ917506:ERS917583 FVE917506:FVG917583 GYS917506:GYU917583 ICG917506:ICI917583 JFU917506:JFW917583 KJI917506:KJK917583 LMW917506:LMY917583 MQK917506:MQM917583 NTY917506:NUA917583 OXM917506:OXO917583 QBA917506:QBC917583 REO917506:REQ917583 SIC917506:SIE917583 TLQ917506:TLS917583 UPE917506:UPG917583 VSS917506:VSU917583 WWG917506:WWI917583 JU917506:JW917583 ANI917506:ANK917583 BQW917506:BQY917583 CUK917506:CUM917583 DXY917506:DYA917583 FBM917506:FBO917583 GFA917506:GFC917583 HIO917506:HIQ917583 IMC917506:IME917583 JPQ917506:JPS917583 KTE917506:KTG917583 LWS917506:LWU917583 NAG917506:NAI917583 ODU917506:ODW917583 PHI917506:PHK917583 QKW917506:QKY917583 ROK917506:ROM917583 SRY917506:SSA917583 TVM917506:TVO917583 UZA917506:UZC917583 WCO917506:WCQ917583 TQ917506:TS917583 AXE917506:AXG917583 CAS917506:CAU917583 DEG917506:DEI917583 EHU917506:EHW917583 FLI917506:FLK917583 GOW917506:GOY917583 HSK917506:HSM917583 IVY917506:IWA917583 JZM917506:JZO917583 LDA917506:LDC917583 MGO917506:MGQ917583 NKC917506:NKE917583 ONQ917506:ONS917583 PRE917506:PRG917583 QUS917506:QUU917583 RYG917506:RYI917583 TBU917506:TBW917583 UFI917506:UFK917583 VIW917506:VIY917583 WMK917506:WMM917583 JU983042:JW983119 ANI983042:ANK983119 BQW983042:BQY983119 CUK983042:CUM983119 DXY983042:DYA983119 FBM983042:FBO983119 GFA983042:GFC983119 HIO983042:HIQ983119 IMC983042:IME983119 JPQ983042:JPS983119 KTE983042:KTG983119 LWS983042:LWU983119 NAG983042:NAI983119 ODU983042:ODW983119 PHI983042:PHK983119 QKW983042:QKY983119 ROK983042:ROM983119 SRY983042:SSA983119 TVM983042:TVO983119 UZA983042:UZC983119 WCO983042:WCQ983119 TQ983042:TS983119 AXE983042:AXG983119 CAS983042:CAU983119 DEG983042:DEI983119 EHU983042:EHW983119 FLI983042:FLK983119 GOW983042:GOY983119 HSK983042:HSM983119 IVY983042:IWA983119 JZM983042:JZO983119 LDA983042:LDC983119 MGO983042:MGQ983119 NKC983042:NKE983119 ONQ983042:ONS983119 PRE983042:PRG983119 QUS983042:QUU983119 RYG983042:RYI983119 TBU983042:TBW983119 UFI983042:UFK983119 VIW983042:VIY983119 WMK983042:WMM983119" xr:uid="{F1ECB0D4-B202-4C24-823F-9F9E93916F77}">
      <formula1>$AV$2:$AV$20</formula1>
    </dataValidation>
    <dataValidation type="list" allowBlank="1" showInputMessage="1" showErrorMessage="1" sqref="JG2:JG79 JG65538:JG65615 JG131074:JG131151 JG196610:JG196687 JG262146:JG262223 JG327682:JG327759 JG393218:JG393295 JG458754:JG458831 JG524290:JG524367 JG589826:JG589903 JG655362:JG655439 JG720898:JG720975 JG786434:JG786511 JG851970:JG852047 JG917506:JG917583 JG983042:JG983119 TC2:TC79 TC65538:TC65615 TC131074:TC131151 TC196610:TC196687 TC262146:TC262223 TC327682:TC327759 TC393218:TC393295 TC458754:TC458831 TC524290:TC524367 TC589826:TC589903 TC655362:TC655439 TC720898:TC720975 TC786434:TC786511 TC851970:TC852047 TC917506:TC917583 TC983042:TC983119 ACY2:ACY79 ACY65538:ACY65615 ACY131074:ACY131151 ACY196610:ACY196687 ACY262146:ACY262223 ACY327682:ACY327759 ACY393218:ACY393295 ACY458754:ACY458831 ACY524290:ACY524367 ACY589826:ACY589903 ACY655362:ACY655439 ACY720898:ACY720975 ACY786434:ACY786511 ACY851970:ACY852047 ACY917506:ACY917583 ACY983042:ACY983119 AMU2:AMU79 AMU65538:AMU65615 AMU131074:AMU131151 AMU196610:AMU196687 AMU262146:AMU262223 AMU327682:AMU327759 AMU393218:AMU393295 AMU458754:AMU458831 AMU524290:AMU524367 AMU589826:AMU589903 AMU655362:AMU655439 AMU720898:AMU720975 AMU786434:AMU786511 AMU851970:AMU852047 AMU917506:AMU917583 AMU983042:AMU983119 AWQ2:AWQ79 AWQ65538:AWQ65615 AWQ131074:AWQ131151 AWQ196610:AWQ196687 AWQ262146:AWQ262223 AWQ327682:AWQ327759 AWQ393218:AWQ393295 AWQ458754:AWQ458831 AWQ524290:AWQ524367 AWQ589826:AWQ589903 AWQ655362:AWQ655439 AWQ720898:AWQ720975 AWQ786434:AWQ786511 AWQ851970:AWQ852047 AWQ917506:AWQ917583 AWQ983042:AWQ983119 BGM2:BGM79 BGM65538:BGM65615 BGM131074:BGM131151 BGM196610:BGM196687 BGM262146:BGM262223 BGM327682:BGM327759 BGM393218:BGM393295 BGM458754:BGM458831 BGM524290:BGM524367 BGM589826:BGM589903 BGM655362:BGM655439 BGM720898:BGM720975 BGM786434:BGM786511 BGM851970:BGM852047 BGM917506:BGM917583 BGM983042:BGM983119 BQI2:BQI79 BQI65538:BQI65615 BQI131074:BQI131151 BQI196610:BQI196687 BQI262146:BQI262223 BQI327682:BQI327759 BQI393218:BQI393295 BQI458754:BQI458831 BQI524290:BQI524367 BQI589826:BQI589903 BQI655362:BQI655439 BQI720898:BQI720975 BQI786434:BQI786511 BQI851970:BQI852047 BQI917506:BQI917583 BQI983042:BQI983119 CAE2:CAE79 CAE65538:CAE65615 CAE131074:CAE131151 CAE196610:CAE196687 CAE262146:CAE262223 CAE327682:CAE327759 CAE393218:CAE393295 CAE458754:CAE458831 CAE524290:CAE524367 CAE589826:CAE589903 CAE655362:CAE655439 CAE720898:CAE720975 CAE786434:CAE786511 CAE851970:CAE852047 CAE917506:CAE917583 CAE983042:CAE983119 CKA2:CKA79 CKA65538:CKA65615 CKA131074:CKA131151 CKA196610:CKA196687 CKA262146:CKA262223 CKA327682:CKA327759 CKA393218:CKA393295 CKA458754:CKA458831 CKA524290:CKA524367 CKA589826:CKA589903 CKA655362:CKA655439 CKA720898:CKA720975 CKA786434:CKA786511 CKA851970:CKA852047 CKA917506:CKA917583 CKA983042:CKA983119 CTW2:CTW79 CTW65538:CTW65615 CTW131074:CTW131151 CTW196610:CTW196687 CTW262146:CTW262223 CTW327682:CTW327759 CTW393218:CTW393295 CTW458754:CTW458831 CTW524290:CTW524367 CTW589826:CTW589903 CTW655362:CTW655439 CTW720898:CTW720975 CTW786434:CTW786511 CTW851970:CTW852047 CTW917506:CTW917583 CTW983042:CTW983119 DDS2:DDS79 DDS65538:DDS65615 DDS131074:DDS131151 DDS196610:DDS196687 DDS262146:DDS262223 DDS327682:DDS327759 DDS393218:DDS393295 DDS458754:DDS458831 DDS524290:DDS524367 DDS589826:DDS589903 DDS655362:DDS655439 DDS720898:DDS720975 DDS786434:DDS786511 DDS851970:DDS852047 DDS917506:DDS917583 DDS983042:DDS983119 DNO2:DNO79 DNO65538:DNO65615 DNO131074:DNO131151 DNO196610:DNO196687 DNO262146:DNO262223 DNO327682:DNO327759 DNO393218:DNO393295 DNO458754:DNO458831 DNO524290:DNO524367 DNO589826:DNO589903 DNO655362:DNO655439 DNO720898:DNO720975 DNO786434:DNO786511 DNO851970:DNO852047 DNO917506:DNO917583 DNO983042:DNO983119 DXK2:DXK79 DXK65538:DXK65615 DXK131074:DXK131151 DXK196610:DXK196687 DXK262146:DXK262223 DXK327682:DXK327759 DXK393218:DXK393295 DXK458754:DXK458831 DXK524290:DXK524367 DXK589826:DXK589903 DXK655362:DXK655439 DXK720898:DXK720975 DXK786434:DXK786511 DXK851970:DXK852047 DXK917506:DXK917583 DXK983042:DXK983119 EHG2:EHG79 EHG65538:EHG65615 EHG131074:EHG131151 EHG196610:EHG196687 EHG262146:EHG262223 EHG327682:EHG327759 EHG393218:EHG393295 EHG458754:EHG458831 EHG524290:EHG524367 EHG589826:EHG589903 EHG655362:EHG655439 EHG720898:EHG720975 EHG786434:EHG786511 EHG851970:EHG852047 EHG917506:EHG917583 EHG983042:EHG983119 ERC2:ERC79 ERC65538:ERC65615 ERC131074:ERC131151 ERC196610:ERC196687 ERC262146:ERC262223 ERC327682:ERC327759 ERC393218:ERC393295 ERC458754:ERC458831 ERC524290:ERC524367 ERC589826:ERC589903 ERC655362:ERC655439 ERC720898:ERC720975 ERC786434:ERC786511 ERC851970:ERC852047 ERC917506:ERC917583 ERC983042:ERC983119 FAY2:FAY79 FAY65538:FAY65615 FAY131074:FAY131151 FAY196610:FAY196687 FAY262146:FAY262223 FAY327682:FAY327759 FAY393218:FAY393295 FAY458754:FAY458831 FAY524290:FAY524367 FAY589826:FAY589903 FAY655362:FAY655439 FAY720898:FAY720975 FAY786434:FAY786511 FAY851970:FAY852047 FAY917506:FAY917583 FAY983042:FAY983119 FKU2:FKU79 FKU65538:FKU65615 FKU131074:FKU131151 FKU196610:FKU196687 FKU262146:FKU262223 FKU327682:FKU327759 FKU393218:FKU393295 FKU458754:FKU458831 FKU524290:FKU524367 FKU589826:FKU589903 FKU655362:FKU655439 FKU720898:FKU720975 FKU786434:FKU786511 FKU851970:FKU852047 FKU917506:FKU917583 FKU983042:FKU983119 FUQ2:FUQ79 FUQ65538:FUQ65615 FUQ131074:FUQ131151 FUQ196610:FUQ196687 FUQ262146:FUQ262223 FUQ327682:FUQ327759 FUQ393218:FUQ393295 FUQ458754:FUQ458831 FUQ524290:FUQ524367 FUQ589826:FUQ589903 FUQ655362:FUQ655439 FUQ720898:FUQ720975 FUQ786434:FUQ786511 FUQ851970:FUQ852047 FUQ917506:FUQ917583 FUQ983042:FUQ983119 GEM2:GEM79 GEM65538:GEM65615 GEM131074:GEM131151 GEM196610:GEM196687 GEM262146:GEM262223 GEM327682:GEM327759 GEM393218:GEM393295 GEM458754:GEM458831 GEM524290:GEM524367 GEM589826:GEM589903 GEM655362:GEM655439 GEM720898:GEM720975 GEM786434:GEM786511 GEM851970:GEM852047 GEM917506:GEM917583 GEM983042:GEM983119 GOI2:GOI79 GOI65538:GOI65615 GOI131074:GOI131151 GOI196610:GOI196687 GOI262146:GOI262223 GOI327682:GOI327759 GOI393218:GOI393295 GOI458754:GOI458831 GOI524290:GOI524367 GOI589826:GOI589903 GOI655362:GOI655439 GOI720898:GOI720975 GOI786434:GOI786511 GOI851970:GOI852047 GOI917506:GOI917583 GOI983042:GOI983119 GYE2:GYE79 GYE65538:GYE65615 GYE131074:GYE131151 GYE196610:GYE196687 GYE262146:GYE262223 GYE327682:GYE327759 GYE393218:GYE393295 GYE458754:GYE458831 GYE524290:GYE524367 GYE589826:GYE589903 GYE655362:GYE655439 GYE720898:GYE720975 GYE786434:GYE786511 GYE851970:GYE852047 GYE917506:GYE917583 GYE983042:GYE983119 HIA2:HIA79 HIA65538:HIA65615 HIA131074:HIA131151 HIA196610:HIA196687 HIA262146:HIA262223 HIA327682:HIA327759 HIA393218:HIA393295 HIA458754:HIA458831 HIA524290:HIA524367 HIA589826:HIA589903 HIA655362:HIA655439 HIA720898:HIA720975 HIA786434:HIA786511 HIA851970:HIA852047 HIA917506:HIA917583 HIA983042:HIA983119 HRW2:HRW79 HRW65538:HRW65615 HRW131074:HRW131151 HRW196610:HRW196687 HRW262146:HRW262223 HRW327682:HRW327759 HRW393218:HRW393295 HRW458754:HRW458831 HRW524290:HRW524367 HRW589826:HRW589903 HRW655362:HRW655439 HRW720898:HRW720975 HRW786434:HRW786511 HRW851970:HRW852047 HRW917506:HRW917583 HRW983042:HRW983119 IBS2:IBS79 IBS65538:IBS65615 IBS131074:IBS131151 IBS196610:IBS196687 IBS262146:IBS262223 IBS327682:IBS327759 IBS393218:IBS393295 IBS458754:IBS458831 IBS524290:IBS524367 IBS589826:IBS589903 IBS655362:IBS655439 IBS720898:IBS720975 IBS786434:IBS786511 IBS851970:IBS852047 IBS917506:IBS917583 IBS983042:IBS983119 ILO2:ILO79 ILO65538:ILO65615 ILO131074:ILO131151 ILO196610:ILO196687 ILO262146:ILO262223 ILO327682:ILO327759 ILO393218:ILO393295 ILO458754:ILO458831 ILO524290:ILO524367 ILO589826:ILO589903 ILO655362:ILO655439 ILO720898:ILO720975 ILO786434:ILO786511 ILO851970:ILO852047 ILO917506:ILO917583 ILO983042:ILO983119 IVK2:IVK79 IVK65538:IVK65615 IVK131074:IVK131151 IVK196610:IVK196687 IVK262146:IVK262223 IVK327682:IVK327759 IVK393218:IVK393295 IVK458754:IVK458831 IVK524290:IVK524367 IVK589826:IVK589903 IVK655362:IVK655439 IVK720898:IVK720975 IVK786434:IVK786511 IVK851970:IVK852047 IVK917506:IVK917583 IVK983042:IVK983119 JFG2:JFG79 JFG65538:JFG65615 JFG131074:JFG131151 JFG196610:JFG196687 JFG262146:JFG262223 JFG327682:JFG327759 JFG393218:JFG393295 JFG458754:JFG458831 JFG524290:JFG524367 JFG589826:JFG589903 JFG655362:JFG655439 JFG720898:JFG720975 JFG786434:JFG786511 JFG851970:JFG852047 JFG917506:JFG917583 JFG983042:JFG983119 JPC2:JPC79 JPC65538:JPC65615 JPC131074:JPC131151 JPC196610:JPC196687 JPC262146:JPC262223 JPC327682:JPC327759 JPC393218:JPC393295 JPC458754:JPC458831 JPC524290:JPC524367 JPC589826:JPC589903 JPC655362:JPC655439 JPC720898:JPC720975 JPC786434:JPC786511 JPC851970:JPC852047 JPC917506:JPC917583 JPC983042:JPC983119 JYY2:JYY79 JYY65538:JYY65615 JYY131074:JYY131151 JYY196610:JYY196687 JYY262146:JYY262223 JYY327682:JYY327759 JYY393218:JYY393295 JYY458754:JYY458831 JYY524290:JYY524367 JYY589826:JYY589903 JYY655362:JYY655439 JYY720898:JYY720975 JYY786434:JYY786511 JYY851970:JYY852047 JYY917506:JYY917583 JYY983042:JYY983119 KIU2:KIU79 KIU65538:KIU65615 KIU131074:KIU131151 KIU196610:KIU196687 KIU262146:KIU262223 KIU327682:KIU327759 KIU393218:KIU393295 KIU458754:KIU458831 KIU524290:KIU524367 KIU589826:KIU589903 KIU655362:KIU655439 KIU720898:KIU720975 KIU786434:KIU786511 KIU851970:KIU852047 KIU917506:KIU917583 KIU983042:KIU983119 KSQ2:KSQ79 KSQ65538:KSQ65615 KSQ131074:KSQ131151 KSQ196610:KSQ196687 KSQ262146:KSQ262223 KSQ327682:KSQ327759 KSQ393218:KSQ393295 KSQ458754:KSQ458831 KSQ524290:KSQ524367 KSQ589826:KSQ589903 KSQ655362:KSQ655439 KSQ720898:KSQ720975 KSQ786434:KSQ786511 KSQ851970:KSQ852047 KSQ917506:KSQ917583 KSQ983042:KSQ983119 LCM2:LCM79 LCM65538:LCM65615 LCM131074:LCM131151 LCM196610:LCM196687 LCM262146:LCM262223 LCM327682:LCM327759 LCM393218:LCM393295 LCM458754:LCM458831 LCM524290:LCM524367 LCM589826:LCM589903 LCM655362:LCM655439 LCM720898:LCM720975 LCM786434:LCM786511 LCM851970:LCM852047 LCM917506:LCM917583 LCM983042:LCM983119 LMI2:LMI79 LMI65538:LMI65615 LMI131074:LMI131151 LMI196610:LMI196687 LMI262146:LMI262223 LMI327682:LMI327759 LMI393218:LMI393295 LMI458754:LMI458831 LMI524290:LMI524367 LMI589826:LMI589903 LMI655362:LMI655439 LMI720898:LMI720975 LMI786434:LMI786511 LMI851970:LMI852047 LMI917506:LMI917583 LMI983042:LMI983119 LWE2:LWE79 LWE65538:LWE65615 LWE131074:LWE131151 LWE196610:LWE196687 LWE262146:LWE262223 LWE327682:LWE327759 LWE393218:LWE393295 LWE458754:LWE458831 LWE524290:LWE524367 LWE589826:LWE589903 LWE655362:LWE655439 LWE720898:LWE720975 LWE786434:LWE786511 LWE851970:LWE852047 LWE917506:LWE917583 LWE983042:LWE983119 MGA2:MGA79 MGA65538:MGA65615 MGA131074:MGA131151 MGA196610:MGA196687 MGA262146:MGA262223 MGA327682:MGA327759 MGA393218:MGA393295 MGA458754:MGA458831 MGA524290:MGA524367 MGA589826:MGA589903 MGA655362:MGA655439 MGA720898:MGA720975 MGA786434:MGA786511 MGA851970:MGA852047 MGA917506:MGA917583 MGA983042:MGA983119 MPW2:MPW79 MPW65538:MPW65615 MPW131074:MPW131151 MPW196610:MPW196687 MPW262146:MPW262223 MPW327682:MPW327759 MPW393218:MPW393295 MPW458754:MPW458831 MPW524290:MPW524367 MPW589826:MPW589903 MPW655362:MPW655439 MPW720898:MPW720975 MPW786434:MPW786511 MPW851970:MPW852047 MPW917506:MPW917583 MPW983042:MPW983119 MZS2:MZS79 MZS65538:MZS65615 MZS131074:MZS131151 MZS196610:MZS196687 MZS262146:MZS262223 MZS327682:MZS327759 MZS393218:MZS393295 MZS458754:MZS458831 MZS524290:MZS524367 MZS589826:MZS589903 MZS655362:MZS655439 MZS720898:MZS720975 MZS786434:MZS786511 MZS851970:MZS852047 MZS917506:MZS917583 MZS983042:MZS983119 NJO2:NJO79 NJO65538:NJO65615 NJO131074:NJO131151 NJO196610:NJO196687 NJO262146:NJO262223 NJO327682:NJO327759 NJO393218:NJO393295 NJO458754:NJO458831 NJO524290:NJO524367 NJO589826:NJO589903 NJO655362:NJO655439 NJO720898:NJO720975 NJO786434:NJO786511 NJO851970:NJO852047 NJO917506:NJO917583 NJO983042:NJO983119 NTK2:NTK79 NTK65538:NTK65615 NTK131074:NTK131151 NTK196610:NTK196687 NTK262146:NTK262223 NTK327682:NTK327759 NTK393218:NTK393295 NTK458754:NTK458831 NTK524290:NTK524367 NTK589826:NTK589903 NTK655362:NTK655439 NTK720898:NTK720975 NTK786434:NTK786511 NTK851970:NTK852047 NTK917506:NTK917583 NTK983042:NTK983119 ODG2:ODG79 ODG65538:ODG65615 ODG131074:ODG131151 ODG196610:ODG196687 ODG262146:ODG262223 ODG327682:ODG327759 ODG393218:ODG393295 ODG458754:ODG458831 ODG524290:ODG524367 ODG589826:ODG589903 ODG655362:ODG655439 ODG720898:ODG720975 ODG786434:ODG786511 ODG851970:ODG852047 ODG917506:ODG917583 ODG983042:ODG983119 ONC2:ONC79 ONC65538:ONC65615 ONC131074:ONC131151 ONC196610:ONC196687 ONC262146:ONC262223 ONC327682:ONC327759 ONC393218:ONC393295 ONC458754:ONC458831 ONC524290:ONC524367 ONC589826:ONC589903 ONC655362:ONC655439 ONC720898:ONC720975 ONC786434:ONC786511 ONC851970:ONC852047 ONC917506:ONC917583 ONC983042:ONC983119 OWY2:OWY79 OWY65538:OWY65615 OWY131074:OWY131151 OWY196610:OWY196687 OWY262146:OWY262223 OWY327682:OWY327759 OWY393218:OWY393295 OWY458754:OWY458831 OWY524290:OWY524367 OWY589826:OWY589903 OWY655362:OWY655439 OWY720898:OWY720975 OWY786434:OWY786511 OWY851970:OWY852047 OWY917506:OWY917583 OWY983042:OWY983119 PGU2:PGU79 PGU65538:PGU65615 PGU131074:PGU131151 PGU196610:PGU196687 PGU262146:PGU262223 PGU327682:PGU327759 PGU393218:PGU393295 PGU458754:PGU458831 PGU524290:PGU524367 PGU589826:PGU589903 PGU655362:PGU655439 PGU720898:PGU720975 PGU786434:PGU786511 PGU851970:PGU852047 PGU917506:PGU917583 PGU983042:PGU983119 PQQ2:PQQ79 PQQ65538:PQQ65615 PQQ131074:PQQ131151 PQQ196610:PQQ196687 PQQ262146:PQQ262223 PQQ327682:PQQ327759 PQQ393218:PQQ393295 PQQ458754:PQQ458831 PQQ524290:PQQ524367 PQQ589826:PQQ589903 PQQ655362:PQQ655439 PQQ720898:PQQ720975 PQQ786434:PQQ786511 PQQ851970:PQQ852047 PQQ917506:PQQ917583 PQQ983042:PQQ983119 QAM2:QAM79 QAM65538:QAM65615 QAM131074:QAM131151 QAM196610:QAM196687 QAM262146:QAM262223 QAM327682:QAM327759 QAM393218:QAM393295 QAM458754:QAM458831 QAM524290:QAM524367 QAM589826:QAM589903 QAM655362:QAM655439 QAM720898:QAM720975 QAM786434:QAM786511 QAM851970:QAM852047 QAM917506:QAM917583 QAM983042:QAM983119 QKI2:QKI79 QKI65538:QKI65615 QKI131074:QKI131151 QKI196610:QKI196687 QKI262146:QKI262223 QKI327682:QKI327759 QKI393218:QKI393295 QKI458754:QKI458831 QKI524290:QKI524367 QKI589826:QKI589903 QKI655362:QKI655439 QKI720898:QKI720975 QKI786434:QKI786511 QKI851970:QKI852047 QKI917506:QKI917583 QKI983042:QKI983119 QUE2:QUE79 QUE65538:QUE65615 QUE131074:QUE131151 QUE196610:QUE196687 QUE262146:QUE262223 QUE327682:QUE327759 QUE393218:QUE393295 QUE458754:QUE458831 QUE524290:QUE524367 QUE589826:QUE589903 QUE655362:QUE655439 QUE720898:QUE720975 QUE786434:QUE786511 QUE851970:QUE852047 QUE917506:QUE917583 QUE983042:QUE983119 REA2:REA79 REA65538:REA65615 REA131074:REA131151 REA196610:REA196687 REA262146:REA262223 REA327682:REA327759 REA393218:REA393295 REA458754:REA458831 REA524290:REA524367 REA589826:REA589903 REA655362:REA655439 REA720898:REA720975 REA786434:REA786511 REA851970:REA852047 REA917506:REA917583 REA983042:REA983119 RNW2:RNW79 RNW65538:RNW65615 RNW131074:RNW131151 RNW196610:RNW196687 RNW262146:RNW262223 RNW327682:RNW327759 RNW393218:RNW393295 RNW458754:RNW458831 RNW524290:RNW524367 RNW589826:RNW589903 RNW655362:RNW655439 RNW720898:RNW720975 RNW786434:RNW786511 RNW851970:RNW852047 RNW917506:RNW917583 RNW983042:RNW983119 RXS2:RXS79 RXS65538:RXS65615 RXS131074:RXS131151 RXS196610:RXS196687 RXS262146:RXS262223 RXS327682:RXS327759 RXS393218:RXS393295 RXS458754:RXS458831 RXS524290:RXS524367 RXS589826:RXS589903 RXS655362:RXS655439 RXS720898:RXS720975 RXS786434:RXS786511 RXS851970:RXS852047 RXS917506:RXS917583 RXS983042:RXS983119 SHO2:SHO79 SHO65538:SHO65615 SHO131074:SHO131151 SHO196610:SHO196687 SHO262146:SHO262223 SHO327682:SHO327759 SHO393218:SHO393295 SHO458754:SHO458831 SHO524290:SHO524367 SHO589826:SHO589903 SHO655362:SHO655439 SHO720898:SHO720975 SHO786434:SHO786511 SHO851970:SHO852047 SHO917506:SHO917583 SHO983042:SHO983119 SRK2:SRK79 SRK65538:SRK65615 SRK131074:SRK131151 SRK196610:SRK196687 SRK262146:SRK262223 SRK327682:SRK327759 SRK393218:SRK393295 SRK458754:SRK458831 SRK524290:SRK524367 SRK589826:SRK589903 SRK655362:SRK655439 SRK720898:SRK720975 SRK786434:SRK786511 SRK851970:SRK852047 SRK917506:SRK917583 SRK983042:SRK983119 TBG2:TBG79 TBG65538:TBG65615 TBG131074:TBG131151 TBG196610:TBG196687 TBG262146:TBG262223 TBG327682:TBG327759 TBG393218:TBG393295 TBG458754:TBG458831 TBG524290:TBG524367 TBG589826:TBG589903 TBG655362:TBG655439 TBG720898:TBG720975 TBG786434:TBG786511 TBG851970:TBG852047 TBG917506:TBG917583 TBG983042:TBG983119 TLC2:TLC79 TLC65538:TLC65615 TLC131074:TLC131151 TLC196610:TLC196687 TLC262146:TLC262223 TLC327682:TLC327759 TLC393218:TLC393295 TLC458754:TLC458831 TLC524290:TLC524367 TLC589826:TLC589903 TLC655362:TLC655439 TLC720898:TLC720975 TLC786434:TLC786511 TLC851970:TLC852047 TLC917506:TLC917583 TLC983042:TLC983119 TUY2:TUY79 TUY65538:TUY65615 TUY131074:TUY131151 TUY196610:TUY196687 TUY262146:TUY262223 TUY327682:TUY327759 TUY393218:TUY393295 TUY458754:TUY458831 TUY524290:TUY524367 TUY589826:TUY589903 TUY655362:TUY655439 TUY720898:TUY720975 TUY786434:TUY786511 TUY851970:TUY852047 TUY917506:TUY917583 TUY983042:TUY983119 UEU2:UEU79 UEU65538:UEU65615 UEU131074:UEU131151 UEU196610:UEU196687 UEU262146:UEU262223 UEU327682:UEU327759 UEU393218:UEU393295 UEU458754:UEU458831 UEU524290:UEU524367 UEU589826:UEU589903 UEU655362:UEU655439 UEU720898:UEU720975 UEU786434:UEU786511 UEU851970:UEU852047 UEU917506:UEU917583 UEU983042:UEU983119 UOQ2:UOQ79 UOQ65538:UOQ65615 UOQ131074:UOQ131151 UOQ196610:UOQ196687 UOQ262146:UOQ262223 UOQ327682:UOQ327759 UOQ393218:UOQ393295 UOQ458754:UOQ458831 UOQ524290:UOQ524367 UOQ589826:UOQ589903 UOQ655362:UOQ655439 UOQ720898:UOQ720975 UOQ786434:UOQ786511 UOQ851970:UOQ852047 UOQ917506:UOQ917583 UOQ983042:UOQ983119 UYM2:UYM79 UYM65538:UYM65615 UYM131074:UYM131151 UYM196610:UYM196687 UYM262146:UYM262223 UYM327682:UYM327759 UYM393218:UYM393295 UYM458754:UYM458831 UYM524290:UYM524367 UYM589826:UYM589903 UYM655362:UYM655439 UYM720898:UYM720975 UYM786434:UYM786511 UYM851970:UYM852047 UYM917506:UYM917583 UYM983042:UYM983119 VII2:VII79 VII65538:VII65615 VII131074:VII131151 VII196610:VII196687 VII262146:VII262223 VII327682:VII327759 VII393218:VII393295 VII458754:VII458831 VII524290:VII524367 VII589826:VII589903 VII655362:VII655439 VII720898:VII720975 VII786434:VII786511 VII851970:VII852047 VII917506:VII917583 VII983042:VII983119 VSE2:VSE79 VSE65538:VSE65615 VSE131074:VSE131151 VSE196610:VSE196687 VSE262146:VSE262223 VSE327682:VSE327759 VSE393218:VSE393295 VSE458754:VSE458831 VSE524290:VSE524367 VSE589826:VSE589903 VSE655362:VSE655439 VSE720898:VSE720975 VSE786434:VSE786511 VSE851970:VSE852047 VSE917506:VSE917583 VSE983042:VSE983119 WCA2:WCA79 WCA65538:WCA65615 WCA131074:WCA131151 WCA196610:WCA196687 WCA262146:WCA262223 WCA327682:WCA327759 WCA393218:WCA393295 WCA458754:WCA458831 WCA524290:WCA524367 WCA589826:WCA589903 WCA655362:WCA655439 WCA720898:WCA720975 WCA786434:WCA786511 WCA851970:WCA852047 WCA917506:WCA917583 WCA983042:WCA983119 WLW2:WLW79 WLW65538:WLW65615 WLW131074:WLW131151 WLW196610:WLW196687 WLW262146:WLW262223 WLW327682:WLW327759 WLW393218:WLW393295 WLW458754:WLW458831 WLW524290:WLW524367 WLW589826:WLW589903 WLW655362:WLW655439 WLW720898:WLW720975 WLW786434:WLW786511 WLW851970:WLW852047 WLW917506:WLW917583 WLW983042:WLW983119 WVS2:WVS79 WVS65538:WVS65615 WVS131074:WVS131151 WVS196610:WVS196687 WVS262146:WVS262223 WVS327682:WVS327759 WVS393218:WVS393295 WVS458754:WVS458831 WVS524290:WVS524367 WVS589826:WVS589903 WVS655362:WVS655439 WVS720898:WVS720975 WVS786434:WVS786511 WVS851970:WVS852047 WVS917506:WVS917583 WVS983042:WVS983119" xr:uid="{C04D584A-C6AE-496C-85D1-76757AB4D365}">
      <formula1>$AR$2:$AR$25</formula1>
    </dataValidation>
    <dataValidation type="list" allowBlank="1" showInputMessage="1" showErrorMessage="1" sqref="JF2:JF79 JF65538:JF65615 JF131074:JF131151 JF196610:JF196687 JF262146:JF262223 JF327682:JF327759 JF393218:JF393295 JF458754:JF458831 JF524290:JF524367 JF589826:JF589903 JF655362:JF655439 JF720898:JF720975 JF786434:JF786511 JF851970:JF852047 JF917506:JF917583 JF983042:JF983119 TB2:TB79 TB65538:TB65615 TB131074:TB131151 TB196610:TB196687 TB262146:TB262223 TB327682:TB327759 TB393218:TB393295 TB458754:TB458831 TB524290:TB524367 TB589826:TB589903 TB655362:TB655439 TB720898:TB720975 TB786434:TB786511 TB851970:TB852047 TB917506:TB917583 TB983042:TB983119 ACX2:ACX79 ACX65538:ACX65615 ACX131074:ACX131151 ACX196610:ACX196687 ACX262146:ACX262223 ACX327682:ACX327759 ACX393218:ACX393295 ACX458754:ACX458831 ACX524290:ACX524367 ACX589826:ACX589903 ACX655362:ACX655439 ACX720898:ACX720975 ACX786434:ACX786511 ACX851970:ACX852047 ACX917506:ACX917583 ACX983042:ACX983119 AMT2:AMT79 AMT65538:AMT65615 AMT131074:AMT131151 AMT196610:AMT196687 AMT262146:AMT262223 AMT327682:AMT327759 AMT393218:AMT393295 AMT458754:AMT458831 AMT524290:AMT524367 AMT589826:AMT589903 AMT655362:AMT655439 AMT720898:AMT720975 AMT786434:AMT786511 AMT851970:AMT852047 AMT917506:AMT917583 AMT983042:AMT983119 AWP2:AWP79 AWP65538:AWP65615 AWP131074:AWP131151 AWP196610:AWP196687 AWP262146:AWP262223 AWP327682:AWP327759 AWP393218:AWP393295 AWP458754:AWP458831 AWP524290:AWP524367 AWP589826:AWP589903 AWP655362:AWP655439 AWP720898:AWP720975 AWP786434:AWP786511 AWP851970:AWP852047 AWP917506:AWP917583 AWP983042:AWP983119 BGL2:BGL79 BGL65538:BGL65615 BGL131074:BGL131151 BGL196610:BGL196687 BGL262146:BGL262223 BGL327682:BGL327759 BGL393218:BGL393295 BGL458754:BGL458831 BGL524290:BGL524367 BGL589826:BGL589903 BGL655362:BGL655439 BGL720898:BGL720975 BGL786434:BGL786511 BGL851970:BGL852047 BGL917506:BGL917583 BGL983042:BGL983119 BQH2:BQH79 BQH65538:BQH65615 BQH131074:BQH131151 BQH196610:BQH196687 BQH262146:BQH262223 BQH327682:BQH327759 BQH393218:BQH393295 BQH458754:BQH458831 BQH524290:BQH524367 BQH589826:BQH589903 BQH655362:BQH655439 BQH720898:BQH720975 BQH786434:BQH786511 BQH851970:BQH852047 BQH917506:BQH917583 BQH983042:BQH983119 CAD2:CAD79 CAD65538:CAD65615 CAD131074:CAD131151 CAD196610:CAD196687 CAD262146:CAD262223 CAD327682:CAD327759 CAD393218:CAD393295 CAD458754:CAD458831 CAD524290:CAD524367 CAD589826:CAD589903 CAD655362:CAD655439 CAD720898:CAD720975 CAD786434:CAD786511 CAD851970:CAD852047 CAD917506:CAD917583 CAD983042:CAD983119 CJZ2:CJZ79 CJZ65538:CJZ65615 CJZ131074:CJZ131151 CJZ196610:CJZ196687 CJZ262146:CJZ262223 CJZ327682:CJZ327759 CJZ393218:CJZ393295 CJZ458754:CJZ458831 CJZ524290:CJZ524367 CJZ589826:CJZ589903 CJZ655362:CJZ655439 CJZ720898:CJZ720975 CJZ786434:CJZ786511 CJZ851970:CJZ852047 CJZ917506:CJZ917583 CJZ983042:CJZ983119 CTV2:CTV79 CTV65538:CTV65615 CTV131074:CTV131151 CTV196610:CTV196687 CTV262146:CTV262223 CTV327682:CTV327759 CTV393218:CTV393295 CTV458754:CTV458831 CTV524290:CTV524367 CTV589826:CTV589903 CTV655362:CTV655439 CTV720898:CTV720975 CTV786434:CTV786511 CTV851970:CTV852047 CTV917506:CTV917583 CTV983042:CTV983119 DDR2:DDR79 DDR65538:DDR65615 DDR131074:DDR131151 DDR196610:DDR196687 DDR262146:DDR262223 DDR327682:DDR327759 DDR393218:DDR393295 DDR458754:DDR458831 DDR524290:DDR524367 DDR589826:DDR589903 DDR655362:DDR655439 DDR720898:DDR720975 DDR786434:DDR786511 DDR851970:DDR852047 DDR917506:DDR917583 DDR983042:DDR983119 DNN2:DNN79 DNN65538:DNN65615 DNN131074:DNN131151 DNN196610:DNN196687 DNN262146:DNN262223 DNN327682:DNN327759 DNN393218:DNN393295 DNN458754:DNN458831 DNN524290:DNN524367 DNN589826:DNN589903 DNN655362:DNN655439 DNN720898:DNN720975 DNN786434:DNN786511 DNN851970:DNN852047 DNN917506:DNN917583 DNN983042:DNN983119 DXJ2:DXJ79 DXJ65538:DXJ65615 DXJ131074:DXJ131151 DXJ196610:DXJ196687 DXJ262146:DXJ262223 DXJ327682:DXJ327759 DXJ393218:DXJ393295 DXJ458754:DXJ458831 DXJ524290:DXJ524367 DXJ589826:DXJ589903 DXJ655362:DXJ655439 DXJ720898:DXJ720975 DXJ786434:DXJ786511 DXJ851970:DXJ852047 DXJ917506:DXJ917583 DXJ983042:DXJ983119 EHF2:EHF79 EHF65538:EHF65615 EHF131074:EHF131151 EHF196610:EHF196687 EHF262146:EHF262223 EHF327682:EHF327759 EHF393218:EHF393295 EHF458754:EHF458831 EHF524290:EHF524367 EHF589826:EHF589903 EHF655362:EHF655439 EHF720898:EHF720975 EHF786434:EHF786511 EHF851970:EHF852047 EHF917506:EHF917583 EHF983042:EHF983119 ERB2:ERB79 ERB65538:ERB65615 ERB131074:ERB131151 ERB196610:ERB196687 ERB262146:ERB262223 ERB327682:ERB327759 ERB393218:ERB393295 ERB458754:ERB458831 ERB524290:ERB524367 ERB589826:ERB589903 ERB655362:ERB655439 ERB720898:ERB720975 ERB786434:ERB786511 ERB851970:ERB852047 ERB917506:ERB917583 ERB983042:ERB983119 FAX2:FAX79 FAX65538:FAX65615 FAX131074:FAX131151 FAX196610:FAX196687 FAX262146:FAX262223 FAX327682:FAX327759 FAX393218:FAX393295 FAX458754:FAX458831 FAX524290:FAX524367 FAX589826:FAX589903 FAX655362:FAX655439 FAX720898:FAX720975 FAX786434:FAX786511 FAX851970:FAX852047 FAX917506:FAX917583 FAX983042:FAX983119 FKT2:FKT79 FKT65538:FKT65615 FKT131074:FKT131151 FKT196610:FKT196687 FKT262146:FKT262223 FKT327682:FKT327759 FKT393218:FKT393295 FKT458754:FKT458831 FKT524290:FKT524367 FKT589826:FKT589903 FKT655362:FKT655439 FKT720898:FKT720975 FKT786434:FKT786511 FKT851970:FKT852047 FKT917506:FKT917583 FKT983042:FKT983119 FUP2:FUP79 FUP65538:FUP65615 FUP131074:FUP131151 FUP196610:FUP196687 FUP262146:FUP262223 FUP327682:FUP327759 FUP393218:FUP393295 FUP458754:FUP458831 FUP524290:FUP524367 FUP589826:FUP589903 FUP655362:FUP655439 FUP720898:FUP720975 FUP786434:FUP786511 FUP851970:FUP852047 FUP917506:FUP917583 FUP983042:FUP983119 GEL2:GEL79 GEL65538:GEL65615 GEL131074:GEL131151 GEL196610:GEL196687 GEL262146:GEL262223 GEL327682:GEL327759 GEL393218:GEL393295 GEL458754:GEL458831 GEL524290:GEL524367 GEL589826:GEL589903 GEL655362:GEL655439 GEL720898:GEL720975 GEL786434:GEL786511 GEL851970:GEL852047 GEL917506:GEL917583 GEL983042:GEL983119 GOH2:GOH79 GOH65538:GOH65615 GOH131074:GOH131151 GOH196610:GOH196687 GOH262146:GOH262223 GOH327682:GOH327759 GOH393218:GOH393295 GOH458754:GOH458831 GOH524290:GOH524367 GOH589826:GOH589903 GOH655362:GOH655439 GOH720898:GOH720975 GOH786434:GOH786511 GOH851970:GOH852047 GOH917506:GOH917583 GOH983042:GOH983119 GYD2:GYD79 GYD65538:GYD65615 GYD131074:GYD131151 GYD196610:GYD196687 GYD262146:GYD262223 GYD327682:GYD327759 GYD393218:GYD393295 GYD458754:GYD458831 GYD524290:GYD524367 GYD589826:GYD589903 GYD655362:GYD655439 GYD720898:GYD720975 GYD786434:GYD786511 GYD851970:GYD852047 GYD917506:GYD917583 GYD983042:GYD983119 HHZ2:HHZ79 HHZ65538:HHZ65615 HHZ131074:HHZ131151 HHZ196610:HHZ196687 HHZ262146:HHZ262223 HHZ327682:HHZ327759 HHZ393218:HHZ393295 HHZ458754:HHZ458831 HHZ524290:HHZ524367 HHZ589826:HHZ589903 HHZ655362:HHZ655439 HHZ720898:HHZ720975 HHZ786434:HHZ786511 HHZ851970:HHZ852047 HHZ917506:HHZ917583 HHZ983042:HHZ983119 HRV2:HRV79 HRV65538:HRV65615 HRV131074:HRV131151 HRV196610:HRV196687 HRV262146:HRV262223 HRV327682:HRV327759 HRV393218:HRV393295 HRV458754:HRV458831 HRV524290:HRV524367 HRV589826:HRV589903 HRV655362:HRV655439 HRV720898:HRV720975 HRV786434:HRV786511 HRV851970:HRV852047 HRV917506:HRV917583 HRV983042:HRV983119 IBR2:IBR79 IBR65538:IBR65615 IBR131074:IBR131151 IBR196610:IBR196687 IBR262146:IBR262223 IBR327682:IBR327759 IBR393218:IBR393295 IBR458754:IBR458831 IBR524290:IBR524367 IBR589826:IBR589903 IBR655362:IBR655439 IBR720898:IBR720975 IBR786434:IBR786511 IBR851970:IBR852047 IBR917506:IBR917583 IBR983042:IBR983119 ILN2:ILN79 ILN65538:ILN65615 ILN131074:ILN131151 ILN196610:ILN196687 ILN262146:ILN262223 ILN327682:ILN327759 ILN393218:ILN393295 ILN458754:ILN458831 ILN524290:ILN524367 ILN589826:ILN589903 ILN655362:ILN655439 ILN720898:ILN720975 ILN786434:ILN786511 ILN851970:ILN852047 ILN917506:ILN917583 ILN983042:ILN983119 IVJ2:IVJ79 IVJ65538:IVJ65615 IVJ131074:IVJ131151 IVJ196610:IVJ196687 IVJ262146:IVJ262223 IVJ327682:IVJ327759 IVJ393218:IVJ393295 IVJ458754:IVJ458831 IVJ524290:IVJ524367 IVJ589826:IVJ589903 IVJ655362:IVJ655439 IVJ720898:IVJ720975 IVJ786434:IVJ786511 IVJ851970:IVJ852047 IVJ917506:IVJ917583 IVJ983042:IVJ983119 JFF2:JFF79 JFF65538:JFF65615 JFF131074:JFF131151 JFF196610:JFF196687 JFF262146:JFF262223 JFF327682:JFF327759 JFF393218:JFF393295 JFF458754:JFF458831 JFF524290:JFF524367 JFF589826:JFF589903 JFF655362:JFF655439 JFF720898:JFF720975 JFF786434:JFF786511 JFF851970:JFF852047 JFF917506:JFF917583 JFF983042:JFF983119 JPB2:JPB79 JPB65538:JPB65615 JPB131074:JPB131151 JPB196610:JPB196687 JPB262146:JPB262223 JPB327682:JPB327759 JPB393218:JPB393295 JPB458754:JPB458831 JPB524290:JPB524367 JPB589826:JPB589903 JPB655362:JPB655439 JPB720898:JPB720975 JPB786434:JPB786511 JPB851970:JPB852047 JPB917506:JPB917583 JPB983042:JPB983119 JYX2:JYX79 JYX65538:JYX65615 JYX131074:JYX131151 JYX196610:JYX196687 JYX262146:JYX262223 JYX327682:JYX327759 JYX393218:JYX393295 JYX458754:JYX458831 JYX524290:JYX524367 JYX589826:JYX589903 JYX655362:JYX655439 JYX720898:JYX720975 JYX786434:JYX786511 JYX851970:JYX852047 JYX917506:JYX917583 JYX983042:JYX983119 KIT2:KIT79 KIT65538:KIT65615 KIT131074:KIT131151 KIT196610:KIT196687 KIT262146:KIT262223 KIT327682:KIT327759 KIT393218:KIT393295 KIT458754:KIT458831 KIT524290:KIT524367 KIT589826:KIT589903 KIT655362:KIT655439 KIT720898:KIT720975 KIT786434:KIT786511 KIT851970:KIT852047 KIT917506:KIT917583 KIT983042:KIT983119 KSP2:KSP79 KSP65538:KSP65615 KSP131074:KSP131151 KSP196610:KSP196687 KSP262146:KSP262223 KSP327682:KSP327759 KSP393218:KSP393295 KSP458754:KSP458831 KSP524290:KSP524367 KSP589826:KSP589903 KSP655362:KSP655439 KSP720898:KSP720975 KSP786434:KSP786511 KSP851970:KSP852047 KSP917506:KSP917583 KSP983042:KSP983119 LCL2:LCL79 LCL65538:LCL65615 LCL131074:LCL131151 LCL196610:LCL196687 LCL262146:LCL262223 LCL327682:LCL327759 LCL393218:LCL393295 LCL458754:LCL458831 LCL524290:LCL524367 LCL589826:LCL589903 LCL655362:LCL655439 LCL720898:LCL720975 LCL786434:LCL786511 LCL851970:LCL852047 LCL917506:LCL917583 LCL983042:LCL983119 LMH2:LMH79 LMH65538:LMH65615 LMH131074:LMH131151 LMH196610:LMH196687 LMH262146:LMH262223 LMH327682:LMH327759 LMH393218:LMH393295 LMH458754:LMH458831 LMH524290:LMH524367 LMH589826:LMH589903 LMH655362:LMH655439 LMH720898:LMH720975 LMH786434:LMH786511 LMH851970:LMH852047 LMH917506:LMH917583 LMH983042:LMH983119 LWD2:LWD79 LWD65538:LWD65615 LWD131074:LWD131151 LWD196610:LWD196687 LWD262146:LWD262223 LWD327682:LWD327759 LWD393218:LWD393295 LWD458754:LWD458831 LWD524290:LWD524367 LWD589826:LWD589903 LWD655362:LWD655439 LWD720898:LWD720975 LWD786434:LWD786511 LWD851970:LWD852047 LWD917506:LWD917583 LWD983042:LWD983119 MFZ2:MFZ79 MFZ65538:MFZ65615 MFZ131074:MFZ131151 MFZ196610:MFZ196687 MFZ262146:MFZ262223 MFZ327682:MFZ327759 MFZ393218:MFZ393295 MFZ458754:MFZ458831 MFZ524290:MFZ524367 MFZ589826:MFZ589903 MFZ655362:MFZ655439 MFZ720898:MFZ720975 MFZ786434:MFZ786511 MFZ851970:MFZ852047 MFZ917506:MFZ917583 MFZ983042:MFZ983119 MPV2:MPV79 MPV65538:MPV65615 MPV131074:MPV131151 MPV196610:MPV196687 MPV262146:MPV262223 MPV327682:MPV327759 MPV393218:MPV393295 MPV458754:MPV458831 MPV524290:MPV524367 MPV589826:MPV589903 MPV655362:MPV655439 MPV720898:MPV720975 MPV786434:MPV786511 MPV851970:MPV852047 MPV917506:MPV917583 MPV983042:MPV983119 MZR2:MZR79 MZR65538:MZR65615 MZR131074:MZR131151 MZR196610:MZR196687 MZR262146:MZR262223 MZR327682:MZR327759 MZR393218:MZR393295 MZR458754:MZR458831 MZR524290:MZR524367 MZR589826:MZR589903 MZR655362:MZR655439 MZR720898:MZR720975 MZR786434:MZR786511 MZR851970:MZR852047 MZR917506:MZR917583 MZR983042:MZR983119 NJN2:NJN79 NJN65538:NJN65615 NJN131074:NJN131151 NJN196610:NJN196687 NJN262146:NJN262223 NJN327682:NJN327759 NJN393218:NJN393295 NJN458754:NJN458831 NJN524290:NJN524367 NJN589826:NJN589903 NJN655362:NJN655439 NJN720898:NJN720975 NJN786434:NJN786511 NJN851970:NJN852047 NJN917506:NJN917583 NJN983042:NJN983119 NTJ2:NTJ79 NTJ65538:NTJ65615 NTJ131074:NTJ131151 NTJ196610:NTJ196687 NTJ262146:NTJ262223 NTJ327682:NTJ327759 NTJ393218:NTJ393295 NTJ458754:NTJ458831 NTJ524290:NTJ524367 NTJ589826:NTJ589903 NTJ655362:NTJ655439 NTJ720898:NTJ720975 NTJ786434:NTJ786511 NTJ851970:NTJ852047 NTJ917506:NTJ917583 NTJ983042:NTJ983119 ODF2:ODF79 ODF65538:ODF65615 ODF131074:ODF131151 ODF196610:ODF196687 ODF262146:ODF262223 ODF327682:ODF327759 ODF393218:ODF393295 ODF458754:ODF458831 ODF524290:ODF524367 ODF589826:ODF589903 ODF655362:ODF655439 ODF720898:ODF720975 ODF786434:ODF786511 ODF851970:ODF852047 ODF917506:ODF917583 ODF983042:ODF983119 ONB2:ONB79 ONB65538:ONB65615 ONB131074:ONB131151 ONB196610:ONB196687 ONB262146:ONB262223 ONB327682:ONB327759 ONB393218:ONB393295 ONB458754:ONB458831 ONB524290:ONB524367 ONB589826:ONB589903 ONB655362:ONB655439 ONB720898:ONB720975 ONB786434:ONB786511 ONB851970:ONB852047 ONB917506:ONB917583 ONB983042:ONB983119 OWX2:OWX79 OWX65538:OWX65615 OWX131074:OWX131151 OWX196610:OWX196687 OWX262146:OWX262223 OWX327682:OWX327759 OWX393218:OWX393295 OWX458754:OWX458831 OWX524290:OWX524367 OWX589826:OWX589903 OWX655362:OWX655439 OWX720898:OWX720975 OWX786434:OWX786511 OWX851970:OWX852047 OWX917506:OWX917583 OWX983042:OWX983119 PGT2:PGT79 PGT65538:PGT65615 PGT131074:PGT131151 PGT196610:PGT196687 PGT262146:PGT262223 PGT327682:PGT327759 PGT393218:PGT393295 PGT458754:PGT458831 PGT524290:PGT524367 PGT589826:PGT589903 PGT655362:PGT655439 PGT720898:PGT720975 PGT786434:PGT786511 PGT851970:PGT852047 PGT917506:PGT917583 PGT983042:PGT983119 PQP2:PQP79 PQP65538:PQP65615 PQP131074:PQP131151 PQP196610:PQP196687 PQP262146:PQP262223 PQP327682:PQP327759 PQP393218:PQP393295 PQP458754:PQP458831 PQP524290:PQP524367 PQP589826:PQP589903 PQP655362:PQP655439 PQP720898:PQP720975 PQP786434:PQP786511 PQP851970:PQP852047 PQP917506:PQP917583 PQP983042:PQP983119 QAL2:QAL79 QAL65538:QAL65615 QAL131074:QAL131151 QAL196610:QAL196687 QAL262146:QAL262223 QAL327682:QAL327759 QAL393218:QAL393295 QAL458754:QAL458831 QAL524290:QAL524367 QAL589826:QAL589903 QAL655362:QAL655439 QAL720898:QAL720975 QAL786434:QAL786511 QAL851970:QAL852047 QAL917506:QAL917583 QAL983042:QAL983119 QKH2:QKH79 QKH65538:QKH65615 QKH131074:QKH131151 QKH196610:QKH196687 QKH262146:QKH262223 QKH327682:QKH327759 QKH393218:QKH393295 QKH458754:QKH458831 QKH524290:QKH524367 QKH589826:QKH589903 QKH655362:QKH655439 QKH720898:QKH720975 QKH786434:QKH786511 QKH851970:QKH852047 QKH917506:QKH917583 QKH983042:QKH983119 QUD2:QUD79 QUD65538:QUD65615 QUD131074:QUD131151 QUD196610:QUD196687 QUD262146:QUD262223 QUD327682:QUD327759 QUD393218:QUD393295 QUD458754:QUD458831 QUD524290:QUD524367 QUD589826:QUD589903 QUD655362:QUD655439 QUD720898:QUD720975 QUD786434:QUD786511 QUD851970:QUD852047 QUD917506:QUD917583 QUD983042:QUD983119 RDZ2:RDZ79 RDZ65538:RDZ65615 RDZ131074:RDZ131151 RDZ196610:RDZ196687 RDZ262146:RDZ262223 RDZ327682:RDZ327759 RDZ393218:RDZ393295 RDZ458754:RDZ458831 RDZ524290:RDZ524367 RDZ589826:RDZ589903 RDZ655362:RDZ655439 RDZ720898:RDZ720975 RDZ786434:RDZ786511 RDZ851970:RDZ852047 RDZ917506:RDZ917583 RDZ983042:RDZ983119 RNV2:RNV79 RNV65538:RNV65615 RNV131074:RNV131151 RNV196610:RNV196687 RNV262146:RNV262223 RNV327682:RNV327759 RNV393218:RNV393295 RNV458754:RNV458831 RNV524290:RNV524367 RNV589826:RNV589903 RNV655362:RNV655439 RNV720898:RNV720975 RNV786434:RNV786511 RNV851970:RNV852047 RNV917506:RNV917583 RNV983042:RNV983119 RXR2:RXR79 RXR65538:RXR65615 RXR131074:RXR131151 RXR196610:RXR196687 RXR262146:RXR262223 RXR327682:RXR327759 RXR393218:RXR393295 RXR458754:RXR458831 RXR524290:RXR524367 RXR589826:RXR589903 RXR655362:RXR655439 RXR720898:RXR720975 RXR786434:RXR786511 RXR851970:RXR852047 RXR917506:RXR917583 RXR983042:RXR983119 SHN2:SHN79 SHN65538:SHN65615 SHN131074:SHN131151 SHN196610:SHN196687 SHN262146:SHN262223 SHN327682:SHN327759 SHN393218:SHN393295 SHN458754:SHN458831 SHN524290:SHN524367 SHN589826:SHN589903 SHN655362:SHN655439 SHN720898:SHN720975 SHN786434:SHN786511 SHN851970:SHN852047 SHN917506:SHN917583 SHN983042:SHN983119 SRJ2:SRJ79 SRJ65538:SRJ65615 SRJ131074:SRJ131151 SRJ196610:SRJ196687 SRJ262146:SRJ262223 SRJ327682:SRJ327759 SRJ393218:SRJ393295 SRJ458754:SRJ458831 SRJ524290:SRJ524367 SRJ589826:SRJ589903 SRJ655362:SRJ655439 SRJ720898:SRJ720975 SRJ786434:SRJ786511 SRJ851970:SRJ852047 SRJ917506:SRJ917583 SRJ983042:SRJ983119 TBF2:TBF79 TBF65538:TBF65615 TBF131074:TBF131151 TBF196610:TBF196687 TBF262146:TBF262223 TBF327682:TBF327759 TBF393218:TBF393295 TBF458754:TBF458831 TBF524290:TBF524367 TBF589826:TBF589903 TBF655362:TBF655439 TBF720898:TBF720975 TBF786434:TBF786511 TBF851970:TBF852047 TBF917506:TBF917583 TBF983042:TBF983119 TLB2:TLB79 TLB65538:TLB65615 TLB131074:TLB131151 TLB196610:TLB196687 TLB262146:TLB262223 TLB327682:TLB327759 TLB393218:TLB393295 TLB458754:TLB458831 TLB524290:TLB524367 TLB589826:TLB589903 TLB655362:TLB655439 TLB720898:TLB720975 TLB786434:TLB786511 TLB851970:TLB852047 TLB917506:TLB917583 TLB983042:TLB983119 TUX2:TUX79 TUX65538:TUX65615 TUX131074:TUX131151 TUX196610:TUX196687 TUX262146:TUX262223 TUX327682:TUX327759 TUX393218:TUX393295 TUX458754:TUX458831 TUX524290:TUX524367 TUX589826:TUX589903 TUX655362:TUX655439 TUX720898:TUX720975 TUX786434:TUX786511 TUX851970:TUX852047 TUX917506:TUX917583 TUX983042:TUX983119 UET2:UET79 UET65538:UET65615 UET131074:UET131151 UET196610:UET196687 UET262146:UET262223 UET327682:UET327759 UET393218:UET393295 UET458754:UET458831 UET524290:UET524367 UET589826:UET589903 UET655362:UET655439 UET720898:UET720975 UET786434:UET786511 UET851970:UET852047 UET917506:UET917583 UET983042:UET983119 UOP2:UOP79 UOP65538:UOP65615 UOP131074:UOP131151 UOP196610:UOP196687 UOP262146:UOP262223 UOP327682:UOP327759 UOP393218:UOP393295 UOP458754:UOP458831 UOP524290:UOP524367 UOP589826:UOP589903 UOP655362:UOP655439 UOP720898:UOP720975 UOP786434:UOP786511 UOP851970:UOP852047 UOP917506:UOP917583 UOP983042:UOP983119 UYL2:UYL79 UYL65538:UYL65615 UYL131074:UYL131151 UYL196610:UYL196687 UYL262146:UYL262223 UYL327682:UYL327759 UYL393218:UYL393295 UYL458754:UYL458831 UYL524290:UYL524367 UYL589826:UYL589903 UYL655362:UYL655439 UYL720898:UYL720975 UYL786434:UYL786511 UYL851970:UYL852047 UYL917506:UYL917583 UYL983042:UYL983119 VIH2:VIH79 VIH65538:VIH65615 VIH131074:VIH131151 VIH196610:VIH196687 VIH262146:VIH262223 VIH327682:VIH327759 VIH393218:VIH393295 VIH458754:VIH458831 VIH524290:VIH524367 VIH589826:VIH589903 VIH655362:VIH655439 VIH720898:VIH720975 VIH786434:VIH786511 VIH851970:VIH852047 VIH917506:VIH917583 VIH983042:VIH983119 VSD2:VSD79 VSD65538:VSD65615 VSD131074:VSD131151 VSD196610:VSD196687 VSD262146:VSD262223 VSD327682:VSD327759 VSD393218:VSD393295 VSD458754:VSD458831 VSD524290:VSD524367 VSD589826:VSD589903 VSD655362:VSD655439 VSD720898:VSD720975 VSD786434:VSD786511 VSD851970:VSD852047 VSD917506:VSD917583 VSD983042:VSD983119 WBZ2:WBZ79 WBZ65538:WBZ65615 WBZ131074:WBZ131151 WBZ196610:WBZ196687 WBZ262146:WBZ262223 WBZ327682:WBZ327759 WBZ393218:WBZ393295 WBZ458754:WBZ458831 WBZ524290:WBZ524367 WBZ589826:WBZ589903 WBZ655362:WBZ655439 WBZ720898:WBZ720975 WBZ786434:WBZ786511 WBZ851970:WBZ852047 WBZ917506:WBZ917583 WBZ983042:WBZ983119 WLV2:WLV79 WLV65538:WLV65615 WLV131074:WLV131151 WLV196610:WLV196687 WLV262146:WLV262223 WLV327682:WLV327759 WLV393218:WLV393295 WLV458754:WLV458831 WLV524290:WLV524367 WLV589826:WLV589903 WLV655362:WLV655439 WLV720898:WLV720975 WLV786434:WLV786511 WLV851970:WLV852047 WLV917506:WLV917583 WLV983042:WLV983119 WVR2:WVR79 WVR65538:WVR65615 WVR131074:WVR131151 WVR196610:WVR196687 WVR262146:WVR262223 WVR327682:WVR327759 WVR393218:WVR393295 WVR458754:WVR458831 WVR524290:WVR524367 WVR589826:WVR589903 WVR655362:WVR655439 WVR720898:WVR720975 WVR786434:WVR786511 WVR851970:WVR852047 WVR917506:WVR917583 WVR983042:WVR983119" xr:uid="{13A1D1C5-CD9F-43DE-926F-4B2F19CF1B1D}">
      <formula1>$AP$2:$AP$27</formula1>
    </dataValidation>
    <dataValidation type="list" allowBlank="1" showInputMessage="1" showErrorMessage="1" sqref="Y2:AA500" xr:uid="{3D1BC913-CF93-4E39-86DA-938752C1CA68}">
      <formula1>$AV$2:$AV$21</formula1>
    </dataValidation>
    <dataValidation type="list" allowBlank="1" showInputMessage="1" showErrorMessage="1" sqref="X2:X500 X65538:X65615 X131074:X131151 X196610:X196687 X262146:X262223 X327682:X327759 X393218:X393295 X458754:X458831 X524290:X524367 X589826:X589903 X655362:X655439 X720898:X720975 X786434:X786511 X851970:X852047 X917506:X917583 X983042:X983119 JT2:JT79 JT65538:JT65615 JT131074:JT131151 JT196610:JT196687 JT262146:JT262223 JT327682:JT327759 JT393218:JT393295 JT458754:JT458831 JT524290:JT524367 JT589826:JT589903 JT655362:JT655439 JT720898:JT720975 JT786434:JT786511 JT851970:JT852047 JT917506:JT917583 JT983042:JT983119 TP2:TP79 TP65538:TP65615 TP131074:TP131151 TP196610:TP196687 TP262146:TP262223 TP327682:TP327759 TP393218:TP393295 TP458754:TP458831 TP524290:TP524367 TP589826:TP589903 TP655362:TP655439 TP720898:TP720975 TP786434:TP786511 TP851970:TP852047 TP917506:TP917583 TP983042:TP983119 ADL2:ADL79 ADL65538:ADL65615 ADL131074:ADL131151 ADL196610:ADL196687 ADL262146:ADL262223 ADL327682:ADL327759 ADL393218:ADL393295 ADL458754:ADL458831 ADL524290:ADL524367 ADL589826:ADL589903 ADL655362:ADL655439 ADL720898:ADL720975 ADL786434:ADL786511 ADL851970:ADL852047 ADL917506:ADL917583 ADL983042:ADL983119 ANH2:ANH79 ANH65538:ANH65615 ANH131074:ANH131151 ANH196610:ANH196687 ANH262146:ANH262223 ANH327682:ANH327759 ANH393218:ANH393295 ANH458754:ANH458831 ANH524290:ANH524367 ANH589826:ANH589903 ANH655362:ANH655439 ANH720898:ANH720975 ANH786434:ANH786511 ANH851970:ANH852047 ANH917506:ANH917583 ANH983042:ANH983119 AXD2:AXD79 AXD65538:AXD65615 AXD131074:AXD131151 AXD196610:AXD196687 AXD262146:AXD262223 AXD327682:AXD327759 AXD393218:AXD393295 AXD458754:AXD458831 AXD524290:AXD524367 AXD589826:AXD589903 AXD655362:AXD655439 AXD720898:AXD720975 AXD786434:AXD786511 AXD851970:AXD852047 AXD917506:AXD917583 AXD983042:AXD983119 BGZ2:BGZ79 BGZ65538:BGZ65615 BGZ131074:BGZ131151 BGZ196610:BGZ196687 BGZ262146:BGZ262223 BGZ327682:BGZ327759 BGZ393218:BGZ393295 BGZ458754:BGZ458831 BGZ524290:BGZ524367 BGZ589826:BGZ589903 BGZ655362:BGZ655439 BGZ720898:BGZ720975 BGZ786434:BGZ786511 BGZ851970:BGZ852047 BGZ917506:BGZ917583 BGZ983042:BGZ983119 BQV2:BQV79 BQV65538:BQV65615 BQV131074:BQV131151 BQV196610:BQV196687 BQV262146:BQV262223 BQV327682:BQV327759 BQV393218:BQV393295 BQV458754:BQV458831 BQV524290:BQV524367 BQV589826:BQV589903 BQV655362:BQV655439 BQV720898:BQV720975 BQV786434:BQV786511 BQV851970:BQV852047 BQV917506:BQV917583 BQV983042:BQV983119 CAR2:CAR79 CAR65538:CAR65615 CAR131074:CAR131151 CAR196610:CAR196687 CAR262146:CAR262223 CAR327682:CAR327759 CAR393218:CAR393295 CAR458754:CAR458831 CAR524290:CAR524367 CAR589826:CAR589903 CAR655362:CAR655439 CAR720898:CAR720975 CAR786434:CAR786511 CAR851970:CAR852047 CAR917506:CAR917583 CAR983042:CAR983119 CKN2:CKN79 CKN65538:CKN65615 CKN131074:CKN131151 CKN196610:CKN196687 CKN262146:CKN262223 CKN327682:CKN327759 CKN393218:CKN393295 CKN458754:CKN458831 CKN524290:CKN524367 CKN589826:CKN589903 CKN655362:CKN655439 CKN720898:CKN720975 CKN786434:CKN786511 CKN851970:CKN852047 CKN917506:CKN917583 CKN983042:CKN983119 CUJ2:CUJ79 CUJ65538:CUJ65615 CUJ131074:CUJ131151 CUJ196610:CUJ196687 CUJ262146:CUJ262223 CUJ327682:CUJ327759 CUJ393218:CUJ393295 CUJ458754:CUJ458831 CUJ524290:CUJ524367 CUJ589826:CUJ589903 CUJ655362:CUJ655439 CUJ720898:CUJ720975 CUJ786434:CUJ786511 CUJ851970:CUJ852047 CUJ917506:CUJ917583 CUJ983042:CUJ983119 DEF2:DEF79 DEF65538:DEF65615 DEF131074:DEF131151 DEF196610:DEF196687 DEF262146:DEF262223 DEF327682:DEF327759 DEF393218:DEF393295 DEF458754:DEF458831 DEF524290:DEF524367 DEF589826:DEF589903 DEF655362:DEF655439 DEF720898:DEF720975 DEF786434:DEF786511 DEF851970:DEF852047 DEF917506:DEF917583 DEF983042:DEF983119 DOB2:DOB79 DOB65538:DOB65615 DOB131074:DOB131151 DOB196610:DOB196687 DOB262146:DOB262223 DOB327682:DOB327759 DOB393218:DOB393295 DOB458754:DOB458831 DOB524290:DOB524367 DOB589826:DOB589903 DOB655362:DOB655439 DOB720898:DOB720975 DOB786434:DOB786511 DOB851970:DOB852047 DOB917506:DOB917583 DOB983042:DOB983119 DXX2:DXX79 DXX65538:DXX65615 DXX131074:DXX131151 DXX196610:DXX196687 DXX262146:DXX262223 DXX327682:DXX327759 DXX393218:DXX393295 DXX458754:DXX458831 DXX524290:DXX524367 DXX589826:DXX589903 DXX655362:DXX655439 DXX720898:DXX720975 DXX786434:DXX786511 DXX851970:DXX852047 DXX917506:DXX917583 DXX983042:DXX983119 EHT2:EHT79 EHT65538:EHT65615 EHT131074:EHT131151 EHT196610:EHT196687 EHT262146:EHT262223 EHT327682:EHT327759 EHT393218:EHT393295 EHT458754:EHT458831 EHT524290:EHT524367 EHT589826:EHT589903 EHT655362:EHT655439 EHT720898:EHT720975 EHT786434:EHT786511 EHT851970:EHT852047 EHT917506:EHT917583 EHT983042:EHT983119 ERP2:ERP79 ERP65538:ERP65615 ERP131074:ERP131151 ERP196610:ERP196687 ERP262146:ERP262223 ERP327682:ERP327759 ERP393218:ERP393295 ERP458754:ERP458831 ERP524290:ERP524367 ERP589826:ERP589903 ERP655362:ERP655439 ERP720898:ERP720975 ERP786434:ERP786511 ERP851970:ERP852047 ERP917506:ERP917583 ERP983042:ERP983119 FBL2:FBL79 FBL65538:FBL65615 FBL131074:FBL131151 FBL196610:FBL196687 FBL262146:FBL262223 FBL327682:FBL327759 FBL393218:FBL393295 FBL458754:FBL458831 FBL524290:FBL524367 FBL589826:FBL589903 FBL655362:FBL655439 FBL720898:FBL720975 FBL786434:FBL786511 FBL851970:FBL852047 FBL917506:FBL917583 FBL983042:FBL983119 FLH2:FLH79 FLH65538:FLH65615 FLH131074:FLH131151 FLH196610:FLH196687 FLH262146:FLH262223 FLH327682:FLH327759 FLH393218:FLH393295 FLH458754:FLH458831 FLH524290:FLH524367 FLH589826:FLH589903 FLH655362:FLH655439 FLH720898:FLH720975 FLH786434:FLH786511 FLH851970:FLH852047 FLH917506:FLH917583 FLH983042:FLH983119 FVD2:FVD79 FVD65538:FVD65615 FVD131074:FVD131151 FVD196610:FVD196687 FVD262146:FVD262223 FVD327682:FVD327759 FVD393218:FVD393295 FVD458754:FVD458831 FVD524290:FVD524367 FVD589826:FVD589903 FVD655362:FVD655439 FVD720898:FVD720975 FVD786434:FVD786511 FVD851970:FVD852047 FVD917506:FVD917583 FVD983042:FVD983119 GEZ2:GEZ79 GEZ65538:GEZ65615 GEZ131074:GEZ131151 GEZ196610:GEZ196687 GEZ262146:GEZ262223 GEZ327682:GEZ327759 GEZ393218:GEZ393295 GEZ458754:GEZ458831 GEZ524290:GEZ524367 GEZ589826:GEZ589903 GEZ655362:GEZ655439 GEZ720898:GEZ720975 GEZ786434:GEZ786511 GEZ851970:GEZ852047 GEZ917506:GEZ917583 GEZ983042:GEZ983119 GOV2:GOV79 GOV65538:GOV65615 GOV131074:GOV131151 GOV196610:GOV196687 GOV262146:GOV262223 GOV327682:GOV327759 GOV393218:GOV393295 GOV458754:GOV458831 GOV524290:GOV524367 GOV589826:GOV589903 GOV655362:GOV655439 GOV720898:GOV720975 GOV786434:GOV786511 GOV851970:GOV852047 GOV917506:GOV917583 GOV983042:GOV983119 GYR2:GYR79 GYR65538:GYR65615 GYR131074:GYR131151 GYR196610:GYR196687 GYR262146:GYR262223 GYR327682:GYR327759 GYR393218:GYR393295 GYR458754:GYR458831 GYR524290:GYR524367 GYR589826:GYR589903 GYR655362:GYR655439 GYR720898:GYR720975 GYR786434:GYR786511 GYR851970:GYR852047 GYR917506:GYR917583 GYR983042:GYR983119 HIN2:HIN79 HIN65538:HIN65615 HIN131074:HIN131151 HIN196610:HIN196687 HIN262146:HIN262223 HIN327682:HIN327759 HIN393218:HIN393295 HIN458754:HIN458831 HIN524290:HIN524367 HIN589826:HIN589903 HIN655362:HIN655439 HIN720898:HIN720975 HIN786434:HIN786511 HIN851970:HIN852047 HIN917506:HIN917583 HIN983042:HIN983119 HSJ2:HSJ79 HSJ65538:HSJ65615 HSJ131074:HSJ131151 HSJ196610:HSJ196687 HSJ262146:HSJ262223 HSJ327682:HSJ327759 HSJ393218:HSJ393295 HSJ458754:HSJ458831 HSJ524290:HSJ524367 HSJ589826:HSJ589903 HSJ655362:HSJ655439 HSJ720898:HSJ720975 HSJ786434:HSJ786511 HSJ851970:HSJ852047 HSJ917506:HSJ917583 HSJ983042:HSJ983119 ICF2:ICF79 ICF65538:ICF65615 ICF131074:ICF131151 ICF196610:ICF196687 ICF262146:ICF262223 ICF327682:ICF327759 ICF393218:ICF393295 ICF458754:ICF458831 ICF524290:ICF524367 ICF589826:ICF589903 ICF655362:ICF655439 ICF720898:ICF720975 ICF786434:ICF786511 ICF851970:ICF852047 ICF917506:ICF917583 ICF983042:ICF983119 IMB2:IMB79 IMB65538:IMB65615 IMB131074:IMB131151 IMB196610:IMB196687 IMB262146:IMB262223 IMB327682:IMB327759 IMB393218:IMB393295 IMB458754:IMB458831 IMB524290:IMB524367 IMB589826:IMB589903 IMB655362:IMB655439 IMB720898:IMB720975 IMB786434:IMB786511 IMB851970:IMB852047 IMB917506:IMB917583 IMB983042:IMB983119 IVX2:IVX79 IVX65538:IVX65615 IVX131074:IVX131151 IVX196610:IVX196687 IVX262146:IVX262223 IVX327682:IVX327759 IVX393218:IVX393295 IVX458754:IVX458831 IVX524290:IVX524367 IVX589826:IVX589903 IVX655362:IVX655439 IVX720898:IVX720975 IVX786434:IVX786511 IVX851970:IVX852047 IVX917506:IVX917583 IVX983042:IVX983119 JFT2:JFT79 JFT65538:JFT65615 JFT131074:JFT131151 JFT196610:JFT196687 JFT262146:JFT262223 JFT327682:JFT327759 JFT393218:JFT393295 JFT458754:JFT458831 JFT524290:JFT524367 JFT589826:JFT589903 JFT655362:JFT655439 JFT720898:JFT720975 JFT786434:JFT786511 JFT851970:JFT852047 JFT917506:JFT917583 JFT983042:JFT983119 JPP2:JPP79 JPP65538:JPP65615 JPP131074:JPP131151 JPP196610:JPP196687 JPP262146:JPP262223 JPP327682:JPP327759 JPP393218:JPP393295 JPP458754:JPP458831 JPP524290:JPP524367 JPP589826:JPP589903 JPP655362:JPP655439 JPP720898:JPP720975 JPP786434:JPP786511 JPP851970:JPP852047 JPP917506:JPP917583 JPP983042:JPP983119 JZL2:JZL79 JZL65538:JZL65615 JZL131074:JZL131151 JZL196610:JZL196687 JZL262146:JZL262223 JZL327682:JZL327759 JZL393218:JZL393295 JZL458754:JZL458831 JZL524290:JZL524367 JZL589826:JZL589903 JZL655362:JZL655439 JZL720898:JZL720975 JZL786434:JZL786511 JZL851970:JZL852047 JZL917506:JZL917583 JZL983042:JZL983119 KJH2:KJH79 KJH65538:KJH65615 KJH131074:KJH131151 KJH196610:KJH196687 KJH262146:KJH262223 KJH327682:KJH327759 KJH393218:KJH393295 KJH458754:KJH458831 KJH524290:KJH524367 KJH589826:KJH589903 KJH655362:KJH655439 KJH720898:KJH720975 KJH786434:KJH786511 KJH851970:KJH852047 KJH917506:KJH917583 KJH983042:KJH983119 KTD2:KTD79 KTD65538:KTD65615 KTD131074:KTD131151 KTD196610:KTD196687 KTD262146:KTD262223 KTD327682:KTD327759 KTD393218:KTD393295 KTD458754:KTD458831 KTD524290:KTD524367 KTD589826:KTD589903 KTD655362:KTD655439 KTD720898:KTD720975 KTD786434:KTD786511 KTD851970:KTD852047 KTD917506:KTD917583 KTD983042:KTD983119 LCZ2:LCZ79 LCZ65538:LCZ65615 LCZ131074:LCZ131151 LCZ196610:LCZ196687 LCZ262146:LCZ262223 LCZ327682:LCZ327759 LCZ393218:LCZ393295 LCZ458754:LCZ458831 LCZ524290:LCZ524367 LCZ589826:LCZ589903 LCZ655362:LCZ655439 LCZ720898:LCZ720975 LCZ786434:LCZ786511 LCZ851970:LCZ852047 LCZ917506:LCZ917583 LCZ983042:LCZ983119 LMV2:LMV79 LMV65538:LMV65615 LMV131074:LMV131151 LMV196610:LMV196687 LMV262146:LMV262223 LMV327682:LMV327759 LMV393218:LMV393295 LMV458754:LMV458831 LMV524290:LMV524367 LMV589826:LMV589903 LMV655362:LMV655439 LMV720898:LMV720975 LMV786434:LMV786511 LMV851970:LMV852047 LMV917506:LMV917583 LMV983042:LMV983119 LWR2:LWR79 LWR65538:LWR65615 LWR131074:LWR131151 LWR196610:LWR196687 LWR262146:LWR262223 LWR327682:LWR327759 LWR393218:LWR393295 LWR458754:LWR458831 LWR524290:LWR524367 LWR589826:LWR589903 LWR655362:LWR655439 LWR720898:LWR720975 LWR786434:LWR786511 LWR851970:LWR852047 LWR917506:LWR917583 LWR983042:LWR983119 MGN2:MGN79 MGN65538:MGN65615 MGN131074:MGN131151 MGN196610:MGN196687 MGN262146:MGN262223 MGN327682:MGN327759 MGN393218:MGN393295 MGN458754:MGN458831 MGN524290:MGN524367 MGN589826:MGN589903 MGN655362:MGN655439 MGN720898:MGN720975 MGN786434:MGN786511 MGN851970:MGN852047 MGN917506:MGN917583 MGN983042:MGN983119 MQJ2:MQJ79 MQJ65538:MQJ65615 MQJ131074:MQJ131151 MQJ196610:MQJ196687 MQJ262146:MQJ262223 MQJ327682:MQJ327759 MQJ393218:MQJ393295 MQJ458754:MQJ458831 MQJ524290:MQJ524367 MQJ589826:MQJ589903 MQJ655362:MQJ655439 MQJ720898:MQJ720975 MQJ786434:MQJ786511 MQJ851970:MQJ852047 MQJ917506:MQJ917583 MQJ983042:MQJ983119 NAF2:NAF79 NAF65538:NAF65615 NAF131074:NAF131151 NAF196610:NAF196687 NAF262146:NAF262223 NAF327682:NAF327759 NAF393218:NAF393295 NAF458754:NAF458831 NAF524290:NAF524367 NAF589826:NAF589903 NAF655362:NAF655439 NAF720898:NAF720975 NAF786434:NAF786511 NAF851970:NAF852047 NAF917506:NAF917583 NAF983042:NAF983119 NKB2:NKB79 NKB65538:NKB65615 NKB131074:NKB131151 NKB196610:NKB196687 NKB262146:NKB262223 NKB327682:NKB327759 NKB393218:NKB393295 NKB458754:NKB458831 NKB524290:NKB524367 NKB589826:NKB589903 NKB655362:NKB655439 NKB720898:NKB720975 NKB786434:NKB786511 NKB851970:NKB852047 NKB917506:NKB917583 NKB983042:NKB983119 NTX2:NTX79 NTX65538:NTX65615 NTX131074:NTX131151 NTX196610:NTX196687 NTX262146:NTX262223 NTX327682:NTX327759 NTX393218:NTX393295 NTX458754:NTX458831 NTX524290:NTX524367 NTX589826:NTX589903 NTX655362:NTX655439 NTX720898:NTX720975 NTX786434:NTX786511 NTX851970:NTX852047 NTX917506:NTX917583 NTX983042:NTX983119 ODT2:ODT79 ODT65538:ODT65615 ODT131074:ODT131151 ODT196610:ODT196687 ODT262146:ODT262223 ODT327682:ODT327759 ODT393218:ODT393295 ODT458754:ODT458831 ODT524290:ODT524367 ODT589826:ODT589903 ODT655362:ODT655439 ODT720898:ODT720975 ODT786434:ODT786511 ODT851970:ODT852047 ODT917506:ODT917583 ODT983042:ODT983119 ONP2:ONP79 ONP65538:ONP65615 ONP131074:ONP131151 ONP196610:ONP196687 ONP262146:ONP262223 ONP327682:ONP327759 ONP393218:ONP393295 ONP458754:ONP458831 ONP524290:ONP524367 ONP589826:ONP589903 ONP655362:ONP655439 ONP720898:ONP720975 ONP786434:ONP786511 ONP851970:ONP852047 ONP917506:ONP917583 ONP983042:ONP983119 OXL2:OXL79 OXL65538:OXL65615 OXL131074:OXL131151 OXL196610:OXL196687 OXL262146:OXL262223 OXL327682:OXL327759 OXL393218:OXL393295 OXL458754:OXL458831 OXL524290:OXL524367 OXL589826:OXL589903 OXL655362:OXL655439 OXL720898:OXL720975 OXL786434:OXL786511 OXL851970:OXL852047 OXL917506:OXL917583 OXL983042:OXL983119 PHH2:PHH79 PHH65538:PHH65615 PHH131074:PHH131151 PHH196610:PHH196687 PHH262146:PHH262223 PHH327682:PHH327759 PHH393218:PHH393295 PHH458754:PHH458831 PHH524290:PHH524367 PHH589826:PHH589903 PHH655362:PHH655439 PHH720898:PHH720975 PHH786434:PHH786511 PHH851970:PHH852047 PHH917506:PHH917583 PHH983042:PHH983119 PRD2:PRD79 PRD65538:PRD65615 PRD131074:PRD131151 PRD196610:PRD196687 PRD262146:PRD262223 PRD327682:PRD327759 PRD393218:PRD393295 PRD458754:PRD458831 PRD524290:PRD524367 PRD589826:PRD589903 PRD655362:PRD655439 PRD720898:PRD720975 PRD786434:PRD786511 PRD851970:PRD852047 PRD917506:PRD917583 PRD983042:PRD983119 QAZ2:QAZ79 QAZ65538:QAZ65615 QAZ131074:QAZ131151 QAZ196610:QAZ196687 QAZ262146:QAZ262223 QAZ327682:QAZ327759 QAZ393218:QAZ393295 QAZ458754:QAZ458831 QAZ524290:QAZ524367 QAZ589826:QAZ589903 QAZ655362:QAZ655439 QAZ720898:QAZ720975 QAZ786434:QAZ786511 QAZ851970:QAZ852047 QAZ917506:QAZ917583 QAZ983042:QAZ983119 QKV2:QKV79 QKV65538:QKV65615 QKV131074:QKV131151 QKV196610:QKV196687 QKV262146:QKV262223 QKV327682:QKV327759 QKV393218:QKV393295 QKV458754:QKV458831 QKV524290:QKV524367 QKV589826:QKV589903 QKV655362:QKV655439 QKV720898:QKV720975 QKV786434:QKV786511 QKV851970:QKV852047 QKV917506:QKV917583 QKV983042:QKV983119 QUR2:QUR79 QUR65538:QUR65615 QUR131074:QUR131151 QUR196610:QUR196687 QUR262146:QUR262223 QUR327682:QUR327759 QUR393218:QUR393295 QUR458754:QUR458831 QUR524290:QUR524367 QUR589826:QUR589903 QUR655362:QUR655439 QUR720898:QUR720975 QUR786434:QUR786511 QUR851970:QUR852047 QUR917506:QUR917583 QUR983042:QUR983119 REN2:REN79 REN65538:REN65615 REN131074:REN131151 REN196610:REN196687 REN262146:REN262223 REN327682:REN327759 REN393218:REN393295 REN458754:REN458831 REN524290:REN524367 REN589826:REN589903 REN655362:REN655439 REN720898:REN720975 REN786434:REN786511 REN851970:REN852047 REN917506:REN917583 REN983042:REN983119 ROJ2:ROJ79 ROJ65538:ROJ65615 ROJ131074:ROJ131151 ROJ196610:ROJ196687 ROJ262146:ROJ262223 ROJ327682:ROJ327759 ROJ393218:ROJ393295 ROJ458754:ROJ458831 ROJ524290:ROJ524367 ROJ589826:ROJ589903 ROJ655362:ROJ655439 ROJ720898:ROJ720975 ROJ786434:ROJ786511 ROJ851970:ROJ852047 ROJ917506:ROJ917583 ROJ983042:ROJ983119 RYF2:RYF79 RYF65538:RYF65615 RYF131074:RYF131151 RYF196610:RYF196687 RYF262146:RYF262223 RYF327682:RYF327759 RYF393218:RYF393295 RYF458754:RYF458831 RYF524290:RYF524367 RYF589826:RYF589903 RYF655362:RYF655439 RYF720898:RYF720975 RYF786434:RYF786511 RYF851970:RYF852047 RYF917506:RYF917583 RYF983042:RYF983119 SIB2:SIB79 SIB65538:SIB65615 SIB131074:SIB131151 SIB196610:SIB196687 SIB262146:SIB262223 SIB327682:SIB327759 SIB393218:SIB393295 SIB458754:SIB458831 SIB524290:SIB524367 SIB589826:SIB589903 SIB655362:SIB655439 SIB720898:SIB720975 SIB786434:SIB786511 SIB851970:SIB852047 SIB917506:SIB917583 SIB983042:SIB983119 SRX2:SRX79 SRX65538:SRX65615 SRX131074:SRX131151 SRX196610:SRX196687 SRX262146:SRX262223 SRX327682:SRX327759 SRX393218:SRX393295 SRX458754:SRX458831 SRX524290:SRX524367 SRX589826:SRX589903 SRX655362:SRX655439 SRX720898:SRX720975 SRX786434:SRX786511 SRX851970:SRX852047 SRX917506:SRX917583 SRX983042:SRX983119 TBT2:TBT79 TBT65538:TBT65615 TBT131074:TBT131151 TBT196610:TBT196687 TBT262146:TBT262223 TBT327682:TBT327759 TBT393218:TBT393295 TBT458754:TBT458831 TBT524290:TBT524367 TBT589826:TBT589903 TBT655362:TBT655439 TBT720898:TBT720975 TBT786434:TBT786511 TBT851970:TBT852047 TBT917506:TBT917583 TBT983042:TBT983119 TLP2:TLP79 TLP65538:TLP65615 TLP131074:TLP131151 TLP196610:TLP196687 TLP262146:TLP262223 TLP327682:TLP327759 TLP393218:TLP393295 TLP458754:TLP458831 TLP524290:TLP524367 TLP589826:TLP589903 TLP655362:TLP655439 TLP720898:TLP720975 TLP786434:TLP786511 TLP851970:TLP852047 TLP917506:TLP917583 TLP983042:TLP983119 TVL2:TVL79 TVL65538:TVL65615 TVL131074:TVL131151 TVL196610:TVL196687 TVL262146:TVL262223 TVL327682:TVL327759 TVL393218:TVL393295 TVL458754:TVL458831 TVL524290:TVL524367 TVL589826:TVL589903 TVL655362:TVL655439 TVL720898:TVL720975 TVL786434:TVL786511 TVL851970:TVL852047 TVL917506:TVL917583 TVL983042:TVL983119 UFH2:UFH79 UFH65538:UFH65615 UFH131074:UFH131151 UFH196610:UFH196687 UFH262146:UFH262223 UFH327682:UFH327759 UFH393218:UFH393295 UFH458754:UFH458831 UFH524290:UFH524367 UFH589826:UFH589903 UFH655362:UFH655439 UFH720898:UFH720975 UFH786434:UFH786511 UFH851970:UFH852047 UFH917506:UFH917583 UFH983042:UFH983119 UPD2:UPD79 UPD65538:UPD65615 UPD131074:UPD131151 UPD196610:UPD196687 UPD262146:UPD262223 UPD327682:UPD327759 UPD393218:UPD393295 UPD458754:UPD458831 UPD524290:UPD524367 UPD589826:UPD589903 UPD655362:UPD655439 UPD720898:UPD720975 UPD786434:UPD786511 UPD851970:UPD852047 UPD917506:UPD917583 UPD983042:UPD983119 UYZ2:UYZ79 UYZ65538:UYZ65615 UYZ131074:UYZ131151 UYZ196610:UYZ196687 UYZ262146:UYZ262223 UYZ327682:UYZ327759 UYZ393218:UYZ393295 UYZ458754:UYZ458831 UYZ524290:UYZ524367 UYZ589826:UYZ589903 UYZ655362:UYZ655439 UYZ720898:UYZ720975 UYZ786434:UYZ786511 UYZ851970:UYZ852047 UYZ917506:UYZ917583 UYZ983042:UYZ983119 VIV2:VIV79 VIV65538:VIV65615 VIV131074:VIV131151 VIV196610:VIV196687 VIV262146:VIV262223 VIV327682:VIV327759 VIV393218:VIV393295 VIV458754:VIV458831 VIV524290:VIV524367 VIV589826:VIV589903 VIV655362:VIV655439 VIV720898:VIV720975 VIV786434:VIV786511 VIV851970:VIV852047 VIV917506:VIV917583 VIV983042:VIV983119 VSR2:VSR79 VSR65538:VSR65615 VSR131074:VSR131151 VSR196610:VSR196687 VSR262146:VSR262223 VSR327682:VSR327759 VSR393218:VSR393295 VSR458754:VSR458831 VSR524290:VSR524367 VSR589826:VSR589903 VSR655362:VSR655439 VSR720898:VSR720975 VSR786434:VSR786511 VSR851970:VSR852047 VSR917506:VSR917583 VSR983042:VSR983119 WCN2:WCN79 WCN65538:WCN65615 WCN131074:WCN131151 WCN196610:WCN196687 WCN262146:WCN262223 WCN327682:WCN327759 WCN393218:WCN393295 WCN458754:WCN458831 WCN524290:WCN524367 WCN589826:WCN589903 WCN655362:WCN655439 WCN720898:WCN720975 WCN786434:WCN786511 WCN851970:WCN852047 WCN917506:WCN917583 WCN983042:WCN983119 WMJ2:WMJ79 WMJ65538:WMJ65615 WMJ131074:WMJ131151 WMJ196610:WMJ196687 WMJ262146:WMJ262223 WMJ327682:WMJ327759 WMJ393218:WMJ393295 WMJ458754:WMJ458831 WMJ524290:WMJ524367 WMJ589826:WMJ589903 WMJ655362:WMJ655439 WMJ720898:WMJ720975 WMJ786434:WMJ786511 WMJ851970:WMJ852047 WMJ917506:WMJ917583 WMJ983042:WMJ983119 WWF2:WWF79 WWF65538:WWF65615 WWF131074:WWF131151 WWF196610:WWF196687 WWF262146:WWF262223 WWF327682:WWF327759 WWF393218:WWF393295 WWF458754:WWF458831 WWF524290:WWF524367 WWF589826:WWF589903 WWF655362:WWF655439 WWF720898:WWF720975 WWF786434:WWF786511 WWF851970:WWF852047 WWF917506:WWF917583 WWF983042:WWF983119" xr:uid="{F76FE462-02C1-4845-982C-7C55A9DC9A1D}">
      <formula1>$AT$2:$AT$3</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A87250AE-D057-47C7-9481-5F06E6D988C7}">
      <formula1>$AR$2:$AR$30</formula1>
    </dataValidation>
    <dataValidation type="list" allowBlank="1" showInputMessage="1" showErrorMessage="1" sqref="J65535:J65613 J131071:J131149 J196607:J196685 J262143:J262221 J327679:J327757 J393215:J393293 J458751:J458829 J524287:J524365 J589823:J589901 J655359:J655437 J720895:J720973 J786431:J786509 J851967:J852045 J917503:J917581 J983039:J983117" xr:uid="{ED269D76-C779-471B-813F-DE60524D6AE5}">
      <formula1>$AP$2:$AP$15</formula1>
    </dataValidation>
    <dataValidation type="list" allowBlank="1" showInputMessage="1" showErrorMessage="1" sqref="H65538:H65615 H131074:H131151 H196610:H196687 H262146:H262223 H327682:H327759 H393218:H393295 H458754:H458831 H524290:H524367 H589826:H589903 H655362:H655439 H720898:H720975 H786434:H786511 H851970:H852047 H917506:H917583 H983042:H983119 JD2:JD79 JD65538:JD65615 JD131074:JD131151 JD196610:JD196687 JD262146:JD262223 JD327682:JD327759 JD393218:JD393295 JD458754:JD458831 JD524290:JD524367 JD589826:JD589903 JD655362:JD655439 JD720898:JD720975 JD786434:JD786511 JD851970:JD852047 JD917506:JD917583 JD983042:JD983119 SZ2:SZ79 SZ65538:SZ65615 SZ131074:SZ131151 SZ196610:SZ196687 SZ262146:SZ262223 SZ327682:SZ327759 SZ393218:SZ393295 SZ458754:SZ458831 SZ524290:SZ524367 SZ589826:SZ589903 SZ655362:SZ655439 SZ720898:SZ720975 SZ786434:SZ786511 SZ851970:SZ852047 SZ917506:SZ917583 SZ983042:SZ983119 ACV2:ACV79 ACV65538:ACV65615 ACV131074:ACV131151 ACV196610:ACV196687 ACV262146:ACV262223 ACV327682:ACV327759 ACV393218:ACV393295 ACV458754:ACV458831 ACV524290:ACV524367 ACV589826:ACV589903 ACV655362:ACV655439 ACV720898:ACV720975 ACV786434:ACV786511 ACV851970:ACV852047 ACV917506:ACV917583 ACV983042:ACV983119 AMR2:AMR79 AMR65538:AMR65615 AMR131074:AMR131151 AMR196610:AMR196687 AMR262146:AMR262223 AMR327682:AMR327759 AMR393218:AMR393295 AMR458754:AMR458831 AMR524290:AMR524367 AMR589826:AMR589903 AMR655362:AMR655439 AMR720898:AMR720975 AMR786434:AMR786511 AMR851970:AMR852047 AMR917506:AMR917583 AMR983042:AMR983119 AWN2:AWN79 AWN65538:AWN65615 AWN131074:AWN131151 AWN196610:AWN196687 AWN262146:AWN262223 AWN327682:AWN327759 AWN393218:AWN393295 AWN458754:AWN458831 AWN524290:AWN524367 AWN589826:AWN589903 AWN655362:AWN655439 AWN720898:AWN720975 AWN786434:AWN786511 AWN851970:AWN852047 AWN917506:AWN917583 AWN983042:AWN983119 BGJ2:BGJ79 BGJ65538:BGJ65615 BGJ131074:BGJ131151 BGJ196610:BGJ196687 BGJ262146:BGJ262223 BGJ327682:BGJ327759 BGJ393218:BGJ393295 BGJ458754:BGJ458831 BGJ524290:BGJ524367 BGJ589826:BGJ589903 BGJ655362:BGJ655439 BGJ720898:BGJ720975 BGJ786434:BGJ786511 BGJ851970:BGJ852047 BGJ917506:BGJ917583 BGJ983042:BGJ983119 BQF2:BQF79 BQF65538:BQF65615 BQF131074:BQF131151 BQF196610:BQF196687 BQF262146:BQF262223 BQF327682:BQF327759 BQF393218:BQF393295 BQF458754:BQF458831 BQF524290:BQF524367 BQF589826:BQF589903 BQF655362:BQF655439 BQF720898:BQF720975 BQF786434:BQF786511 BQF851970:BQF852047 BQF917506:BQF917583 BQF983042:BQF983119 CAB2:CAB79 CAB65538:CAB65615 CAB131074:CAB131151 CAB196610:CAB196687 CAB262146:CAB262223 CAB327682:CAB327759 CAB393218:CAB393295 CAB458754:CAB458831 CAB524290:CAB524367 CAB589826:CAB589903 CAB655362:CAB655439 CAB720898:CAB720975 CAB786434:CAB786511 CAB851970:CAB852047 CAB917506:CAB917583 CAB983042:CAB983119 CJX2:CJX79 CJX65538:CJX65615 CJX131074:CJX131151 CJX196610:CJX196687 CJX262146:CJX262223 CJX327682:CJX327759 CJX393218:CJX393295 CJX458754:CJX458831 CJX524290:CJX524367 CJX589826:CJX589903 CJX655362:CJX655439 CJX720898:CJX720975 CJX786434:CJX786511 CJX851970:CJX852047 CJX917506:CJX917583 CJX983042:CJX983119 CTT2:CTT79 CTT65538:CTT65615 CTT131074:CTT131151 CTT196610:CTT196687 CTT262146:CTT262223 CTT327682:CTT327759 CTT393218:CTT393295 CTT458754:CTT458831 CTT524290:CTT524367 CTT589826:CTT589903 CTT655362:CTT655439 CTT720898:CTT720975 CTT786434:CTT786511 CTT851970:CTT852047 CTT917506:CTT917583 CTT983042:CTT983119 DDP2:DDP79 DDP65538:DDP65615 DDP131074:DDP131151 DDP196610:DDP196687 DDP262146:DDP262223 DDP327682:DDP327759 DDP393218:DDP393295 DDP458754:DDP458831 DDP524290:DDP524367 DDP589826:DDP589903 DDP655362:DDP655439 DDP720898:DDP720975 DDP786434:DDP786511 DDP851970:DDP852047 DDP917506:DDP917583 DDP983042:DDP983119 DNL2:DNL79 DNL65538:DNL65615 DNL131074:DNL131151 DNL196610:DNL196687 DNL262146:DNL262223 DNL327682:DNL327759 DNL393218:DNL393295 DNL458754:DNL458831 DNL524290:DNL524367 DNL589826:DNL589903 DNL655362:DNL655439 DNL720898:DNL720975 DNL786434:DNL786511 DNL851970:DNL852047 DNL917506:DNL917583 DNL983042:DNL983119 DXH2:DXH79 DXH65538:DXH65615 DXH131074:DXH131151 DXH196610:DXH196687 DXH262146:DXH262223 DXH327682:DXH327759 DXH393218:DXH393295 DXH458754:DXH458831 DXH524290:DXH524367 DXH589826:DXH589903 DXH655362:DXH655439 DXH720898:DXH720975 DXH786434:DXH786511 DXH851970:DXH852047 DXH917506:DXH917583 DXH983042:DXH983119 EHD2:EHD79 EHD65538:EHD65615 EHD131074:EHD131151 EHD196610:EHD196687 EHD262146:EHD262223 EHD327682:EHD327759 EHD393218:EHD393295 EHD458754:EHD458831 EHD524290:EHD524367 EHD589826:EHD589903 EHD655362:EHD655439 EHD720898:EHD720975 EHD786434:EHD786511 EHD851970:EHD852047 EHD917506:EHD917583 EHD983042:EHD983119 EQZ2:EQZ79 EQZ65538:EQZ65615 EQZ131074:EQZ131151 EQZ196610:EQZ196687 EQZ262146:EQZ262223 EQZ327682:EQZ327759 EQZ393218:EQZ393295 EQZ458754:EQZ458831 EQZ524290:EQZ524367 EQZ589826:EQZ589903 EQZ655362:EQZ655439 EQZ720898:EQZ720975 EQZ786434:EQZ786511 EQZ851970:EQZ852047 EQZ917506:EQZ917583 EQZ983042:EQZ983119 FAV2:FAV79 FAV65538:FAV65615 FAV131074:FAV131151 FAV196610:FAV196687 FAV262146:FAV262223 FAV327682:FAV327759 FAV393218:FAV393295 FAV458754:FAV458831 FAV524290:FAV524367 FAV589826:FAV589903 FAV655362:FAV655439 FAV720898:FAV720975 FAV786434:FAV786511 FAV851970:FAV852047 FAV917506:FAV917583 FAV983042:FAV983119 FKR2:FKR79 FKR65538:FKR65615 FKR131074:FKR131151 FKR196610:FKR196687 FKR262146:FKR262223 FKR327682:FKR327759 FKR393218:FKR393295 FKR458754:FKR458831 FKR524290:FKR524367 FKR589826:FKR589903 FKR655362:FKR655439 FKR720898:FKR720975 FKR786434:FKR786511 FKR851970:FKR852047 FKR917506:FKR917583 FKR983042:FKR983119 FUN2:FUN79 FUN65538:FUN65615 FUN131074:FUN131151 FUN196610:FUN196687 FUN262146:FUN262223 FUN327682:FUN327759 FUN393218:FUN393295 FUN458754:FUN458831 FUN524290:FUN524367 FUN589826:FUN589903 FUN655362:FUN655439 FUN720898:FUN720975 FUN786434:FUN786511 FUN851970:FUN852047 FUN917506:FUN917583 FUN983042:FUN983119 GEJ2:GEJ79 GEJ65538:GEJ65615 GEJ131074:GEJ131151 GEJ196610:GEJ196687 GEJ262146:GEJ262223 GEJ327682:GEJ327759 GEJ393218:GEJ393295 GEJ458754:GEJ458831 GEJ524290:GEJ524367 GEJ589826:GEJ589903 GEJ655362:GEJ655439 GEJ720898:GEJ720975 GEJ786434:GEJ786511 GEJ851970:GEJ852047 GEJ917506:GEJ917583 GEJ983042:GEJ983119 GOF2:GOF79 GOF65538:GOF65615 GOF131074:GOF131151 GOF196610:GOF196687 GOF262146:GOF262223 GOF327682:GOF327759 GOF393218:GOF393295 GOF458754:GOF458831 GOF524290:GOF524367 GOF589826:GOF589903 GOF655362:GOF655439 GOF720898:GOF720975 GOF786434:GOF786511 GOF851970:GOF852047 GOF917506:GOF917583 GOF983042:GOF983119 GYB2:GYB79 GYB65538:GYB65615 GYB131074:GYB131151 GYB196610:GYB196687 GYB262146:GYB262223 GYB327682:GYB327759 GYB393218:GYB393295 GYB458754:GYB458831 GYB524290:GYB524367 GYB589826:GYB589903 GYB655362:GYB655439 GYB720898:GYB720975 GYB786434:GYB786511 GYB851970:GYB852047 GYB917506:GYB917583 GYB983042:GYB983119 HHX2:HHX79 HHX65538:HHX65615 HHX131074:HHX131151 HHX196610:HHX196687 HHX262146:HHX262223 HHX327682:HHX327759 HHX393218:HHX393295 HHX458754:HHX458831 HHX524290:HHX524367 HHX589826:HHX589903 HHX655362:HHX655439 HHX720898:HHX720975 HHX786434:HHX786511 HHX851970:HHX852047 HHX917506:HHX917583 HHX983042:HHX983119 HRT2:HRT79 HRT65538:HRT65615 HRT131074:HRT131151 HRT196610:HRT196687 HRT262146:HRT262223 HRT327682:HRT327759 HRT393218:HRT393295 HRT458754:HRT458831 HRT524290:HRT524367 HRT589826:HRT589903 HRT655362:HRT655439 HRT720898:HRT720975 HRT786434:HRT786511 HRT851970:HRT852047 HRT917506:HRT917583 HRT983042:HRT983119 IBP2:IBP79 IBP65538:IBP65615 IBP131074:IBP131151 IBP196610:IBP196687 IBP262146:IBP262223 IBP327682:IBP327759 IBP393218:IBP393295 IBP458754:IBP458831 IBP524290:IBP524367 IBP589826:IBP589903 IBP655362:IBP655439 IBP720898:IBP720975 IBP786434:IBP786511 IBP851970:IBP852047 IBP917506:IBP917583 IBP983042:IBP983119 ILL2:ILL79 ILL65538:ILL65615 ILL131074:ILL131151 ILL196610:ILL196687 ILL262146:ILL262223 ILL327682:ILL327759 ILL393218:ILL393295 ILL458754:ILL458831 ILL524290:ILL524367 ILL589826:ILL589903 ILL655362:ILL655439 ILL720898:ILL720975 ILL786434:ILL786511 ILL851970:ILL852047 ILL917506:ILL917583 ILL983042:ILL983119 IVH2:IVH79 IVH65538:IVH65615 IVH131074:IVH131151 IVH196610:IVH196687 IVH262146:IVH262223 IVH327682:IVH327759 IVH393218:IVH393295 IVH458754:IVH458831 IVH524290:IVH524367 IVH589826:IVH589903 IVH655362:IVH655439 IVH720898:IVH720975 IVH786434:IVH786511 IVH851970:IVH852047 IVH917506:IVH917583 IVH983042:IVH983119 JFD2:JFD79 JFD65538:JFD65615 JFD131074:JFD131151 JFD196610:JFD196687 JFD262146:JFD262223 JFD327682:JFD327759 JFD393218:JFD393295 JFD458754:JFD458831 JFD524290:JFD524367 JFD589826:JFD589903 JFD655362:JFD655439 JFD720898:JFD720975 JFD786434:JFD786511 JFD851970:JFD852047 JFD917506:JFD917583 JFD983042:JFD983119 JOZ2:JOZ79 JOZ65538:JOZ65615 JOZ131074:JOZ131151 JOZ196610:JOZ196687 JOZ262146:JOZ262223 JOZ327682:JOZ327759 JOZ393218:JOZ393295 JOZ458754:JOZ458831 JOZ524290:JOZ524367 JOZ589826:JOZ589903 JOZ655362:JOZ655439 JOZ720898:JOZ720975 JOZ786434:JOZ786511 JOZ851970:JOZ852047 JOZ917506:JOZ917583 JOZ983042:JOZ983119 JYV2:JYV79 JYV65538:JYV65615 JYV131074:JYV131151 JYV196610:JYV196687 JYV262146:JYV262223 JYV327682:JYV327759 JYV393218:JYV393295 JYV458754:JYV458831 JYV524290:JYV524367 JYV589826:JYV589903 JYV655362:JYV655439 JYV720898:JYV720975 JYV786434:JYV786511 JYV851970:JYV852047 JYV917506:JYV917583 JYV983042:JYV983119 KIR2:KIR79 KIR65538:KIR65615 KIR131074:KIR131151 KIR196610:KIR196687 KIR262146:KIR262223 KIR327682:KIR327759 KIR393218:KIR393295 KIR458754:KIR458831 KIR524290:KIR524367 KIR589826:KIR589903 KIR655362:KIR655439 KIR720898:KIR720975 KIR786434:KIR786511 KIR851970:KIR852047 KIR917506:KIR917583 KIR983042:KIR983119 KSN2:KSN79 KSN65538:KSN65615 KSN131074:KSN131151 KSN196610:KSN196687 KSN262146:KSN262223 KSN327682:KSN327759 KSN393218:KSN393295 KSN458754:KSN458831 KSN524290:KSN524367 KSN589826:KSN589903 KSN655362:KSN655439 KSN720898:KSN720975 KSN786434:KSN786511 KSN851970:KSN852047 KSN917506:KSN917583 KSN983042:KSN983119 LCJ2:LCJ79 LCJ65538:LCJ65615 LCJ131074:LCJ131151 LCJ196610:LCJ196687 LCJ262146:LCJ262223 LCJ327682:LCJ327759 LCJ393218:LCJ393295 LCJ458754:LCJ458831 LCJ524290:LCJ524367 LCJ589826:LCJ589903 LCJ655362:LCJ655439 LCJ720898:LCJ720975 LCJ786434:LCJ786511 LCJ851970:LCJ852047 LCJ917506:LCJ917583 LCJ983042:LCJ983119 LMF2:LMF79 LMF65538:LMF65615 LMF131074:LMF131151 LMF196610:LMF196687 LMF262146:LMF262223 LMF327682:LMF327759 LMF393218:LMF393295 LMF458754:LMF458831 LMF524290:LMF524367 LMF589826:LMF589903 LMF655362:LMF655439 LMF720898:LMF720975 LMF786434:LMF786511 LMF851970:LMF852047 LMF917506:LMF917583 LMF983042:LMF983119 LWB2:LWB79 LWB65538:LWB65615 LWB131074:LWB131151 LWB196610:LWB196687 LWB262146:LWB262223 LWB327682:LWB327759 LWB393218:LWB393295 LWB458754:LWB458831 LWB524290:LWB524367 LWB589826:LWB589903 LWB655362:LWB655439 LWB720898:LWB720975 LWB786434:LWB786511 LWB851970:LWB852047 LWB917506:LWB917583 LWB983042:LWB983119 MFX2:MFX79 MFX65538:MFX65615 MFX131074:MFX131151 MFX196610:MFX196687 MFX262146:MFX262223 MFX327682:MFX327759 MFX393218:MFX393295 MFX458754:MFX458831 MFX524290:MFX524367 MFX589826:MFX589903 MFX655362:MFX655439 MFX720898:MFX720975 MFX786434:MFX786511 MFX851970:MFX852047 MFX917506:MFX917583 MFX983042:MFX983119 MPT2:MPT79 MPT65538:MPT65615 MPT131074:MPT131151 MPT196610:MPT196687 MPT262146:MPT262223 MPT327682:MPT327759 MPT393218:MPT393295 MPT458754:MPT458831 MPT524290:MPT524367 MPT589826:MPT589903 MPT655362:MPT655439 MPT720898:MPT720975 MPT786434:MPT786511 MPT851970:MPT852047 MPT917506:MPT917583 MPT983042:MPT983119 MZP2:MZP79 MZP65538:MZP65615 MZP131074:MZP131151 MZP196610:MZP196687 MZP262146:MZP262223 MZP327682:MZP327759 MZP393218:MZP393295 MZP458754:MZP458831 MZP524290:MZP524367 MZP589826:MZP589903 MZP655362:MZP655439 MZP720898:MZP720975 MZP786434:MZP786511 MZP851970:MZP852047 MZP917506:MZP917583 MZP983042:MZP983119 NJL2:NJL79 NJL65538:NJL65615 NJL131074:NJL131151 NJL196610:NJL196687 NJL262146:NJL262223 NJL327682:NJL327759 NJL393218:NJL393295 NJL458754:NJL458831 NJL524290:NJL524367 NJL589826:NJL589903 NJL655362:NJL655439 NJL720898:NJL720975 NJL786434:NJL786511 NJL851970:NJL852047 NJL917506:NJL917583 NJL983042:NJL983119 NTH2:NTH79 NTH65538:NTH65615 NTH131074:NTH131151 NTH196610:NTH196687 NTH262146:NTH262223 NTH327682:NTH327759 NTH393218:NTH393295 NTH458754:NTH458831 NTH524290:NTH524367 NTH589826:NTH589903 NTH655362:NTH655439 NTH720898:NTH720975 NTH786434:NTH786511 NTH851970:NTH852047 NTH917506:NTH917583 NTH983042:NTH983119 ODD2:ODD79 ODD65538:ODD65615 ODD131074:ODD131151 ODD196610:ODD196687 ODD262146:ODD262223 ODD327682:ODD327759 ODD393218:ODD393295 ODD458754:ODD458831 ODD524290:ODD524367 ODD589826:ODD589903 ODD655362:ODD655439 ODD720898:ODD720975 ODD786434:ODD786511 ODD851970:ODD852047 ODD917506:ODD917583 ODD983042:ODD983119 OMZ2:OMZ79 OMZ65538:OMZ65615 OMZ131074:OMZ131151 OMZ196610:OMZ196687 OMZ262146:OMZ262223 OMZ327682:OMZ327759 OMZ393218:OMZ393295 OMZ458754:OMZ458831 OMZ524290:OMZ524367 OMZ589826:OMZ589903 OMZ655362:OMZ655439 OMZ720898:OMZ720975 OMZ786434:OMZ786511 OMZ851970:OMZ852047 OMZ917506:OMZ917583 OMZ983042:OMZ983119 OWV2:OWV79 OWV65538:OWV65615 OWV131074:OWV131151 OWV196610:OWV196687 OWV262146:OWV262223 OWV327682:OWV327759 OWV393218:OWV393295 OWV458754:OWV458831 OWV524290:OWV524367 OWV589826:OWV589903 OWV655362:OWV655439 OWV720898:OWV720975 OWV786434:OWV786511 OWV851970:OWV852047 OWV917506:OWV917583 OWV983042:OWV983119 PGR2:PGR79 PGR65538:PGR65615 PGR131074:PGR131151 PGR196610:PGR196687 PGR262146:PGR262223 PGR327682:PGR327759 PGR393218:PGR393295 PGR458754:PGR458831 PGR524290:PGR524367 PGR589826:PGR589903 PGR655362:PGR655439 PGR720898:PGR720975 PGR786434:PGR786511 PGR851970:PGR852047 PGR917506:PGR917583 PGR983042:PGR983119 PQN2:PQN79 PQN65538:PQN65615 PQN131074:PQN131151 PQN196610:PQN196687 PQN262146:PQN262223 PQN327682:PQN327759 PQN393218:PQN393295 PQN458754:PQN458831 PQN524290:PQN524367 PQN589826:PQN589903 PQN655362:PQN655439 PQN720898:PQN720975 PQN786434:PQN786511 PQN851970:PQN852047 PQN917506:PQN917583 PQN983042:PQN983119 QAJ2:QAJ79 QAJ65538:QAJ65615 QAJ131074:QAJ131151 QAJ196610:QAJ196687 QAJ262146:QAJ262223 QAJ327682:QAJ327759 QAJ393218:QAJ393295 QAJ458754:QAJ458831 QAJ524290:QAJ524367 QAJ589826:QAJ589903 QAJ655362:QAJ655439 QAJ720898:QAJ720975 QAJ786434:QAJ786511 QAJ851970:QAJ852047 QAJ917506:QAJ917583 QAJ983042:QAJ983119 QKF2:QKF79 QKF65538:QKF65615 QKF131074:QKF131151 QKF196610:QKF196687 QKF262146:QKF262223 QKF327682:QKF327759 QKF393218:QKF393295 QKF458754:QKF458831 QKF524290:QKF524367 QKF589826:QKF589903 QKF655362:QKF655439 QKF720898:QKF720975 QKF786434:QKF786511 QKF851970:QKF852047 QKF917506:QKF917583 QKF983042:QKF983119 QUB2:QUB79 QUB65538:QUB65615 QUB131074:QUB131151 QUB196610:QUB196687 QUB262146:QUB262223 QUB327682:QUB327759 QUB393218:QUB393295 QUB458754:QUB458831 QUB524290:QUB524367 QUB589826:QUB589903 QUB655362:QUB655439 QUB720898:QUB720975 QUB786434:QUB786511 QUB851970:QUB852047 QUB917506:QUB917583 QUB983042:QUB983119 RDX2:RDX79 RDX65538:RDX65615 RDX131074:RDX131151 RDX196610:RDX196687 RDX262146:RDX262223 RDX327682:RDX327759 RDX393218:RDX393295 RDX458754:RDX458831 RDX524290:RDX524367 RDX589826:RDX589903 RDX655362:RDX655439 RDX720898:RDX720975 RDX786434:RDX786511 RDX851970:RDX852047 RDX917506:RDX917583 RDX983042:RDX983119 RNT2:RNT79 RNT65538:RNT65615 RNT131074:RNT131151 RNT196610:RNT196687 RNT262146:RNT262223 RNT327682:RNT327759 RNT393218:RNT393295 RNT458754:RNT458831 RNT524290:RNT524367 RNT589826:RNT589903 RNT655362:RNT655439 RNT720898:RNT720975 RNT786434:RNT786511 RNT851970:RNT852047 RNT917506:RNT917583 RNT983042:RNT983119 RXP2:RXP79 RXP65538:RXP65615 RXP131074:RXP131151 RXP196610:RXP196687 RXP262146:RXP262223 RXP327682:RXP327759 RXP393218:RXP393295 RXP458754:RXP458831 RXP524290:RXP524367 RXP589826:RXP589903 RXP655362:RXP655439 RXP720898:RXP720975 RXP786434:RXP786511 RXP851970:RXP852047 RXP917506:RXP917583 RXP983042:RXP983119 SHL2:SHL79 SHL65538:SHL65615 SHL131074:SHL131151 SHL196610:SHL196687 SHL262146:SHL262223 SHL327682:SHL327759 SHL393218:SHL393295 SHL458754:SHL458831 SHL524290:SHL524367 SHL589826:SHL589903 SHL655362:SHL655439 SHL720898:SHL720975 SHL786434:SHL786511 SHL851970:SHL852047 SHL917506:SHL917583 SHL983042:SHL983119 SRH2:SRH79 SRH65538:SRH65615 SRH131074:SRH131151 SRH196610:SRH196687 SRH262146:SRH262223 SRH327682:SRH327759 SRH393218:SRH393295 SRH458754:SRH458831 SRH524290:SRH524367 SRH589826:SRH589903 SRH655362:SRH655439 SRH720898:SRH720975 SRH786434:SRH786511 SRH851970:SRH852047 SRH917506:SRH917583 SRH983042:SRH983119 TBD2:TBD79 TBD65538:TBD65615 TBD131074:TBD131151 TBD196610:TBD196687 TBD262146:TBD262223 TBD327682:TBD327759 TBD393218:TBD393295 TBD458754:TBD458831 TBD524290:TBD524367 TBD589826:TBD589903 TBD655362:TBD655439 TBD720898:TBD720975 TBD786434:TBD786511 TBD851970:TBD852047 TBD917506:TBD917583 TBD983042:TBD983119 TKZ2:TKZ79 TKZ65538:TKZ65615 TKZ131074:TKZ131151 TKZ196610:TKZ196687 TKZ262146:TKZ262223 TKZ327682:TKZ327759 TKZ393218:TKZ393295 TKZ458754:TKZ458831 TKZ524290:TKZ524367 TKZ589826:TKZ589903 TKZ655362:TKZ655439 TKZ720898:TKZ720975 TKZ786434:TKZ786511 TKZ851970:TKZ852047 TKZ917506:TKZ917583 TKZ983042:TKZ983119 TUV2:TUV79 TUV65538:TUV65615 TUV131074:TUV131151 TUV196610:TUV196687 TUV262146:TUV262223 TUV327682:TUV327759 TUV393218:TUV393295 TUV458754:TUV458831 TUV524290:TUV524367 TUV589826:TUV589903 TUV655362:TUV655439 TUV720898:TUV720975 TUV786434:TUV786511 TUV851970:TUV852047 TUV917506:TUV917583 TUV983042:TUV983119 UER2:UER79 UER65538:UER65615 UER131074:UER131151 UER196610:UER196687 UER262146:UER262223 UER327682:UER327759 UER393218:UER393295 UER458754:UER458831 UER524290:UER524367 UER589826:UER589903 UER655362:UER655439 UER720898:UER720975 UER786434:UER786511 UER851970:UER852047 UER917506:UER917583 UER983042:UER983119 UON2:UON79 UON65538:UON65615 UON131074:UON131151 UON196610:UON196687 UON262146:UON262223 UON327682:UON327759 UON393218:UON393295 UON458754:UON458831 UON524290:UON524367 UON589826:UON589903 UON655362:UON655439 UON720898:UON720975 UON786434:UON786511 UON851970:UON852047 UON917506:UON917583 UON983042:UON983119 UYJ2:UYJ79 UYJ65538:UYJ65615 UYJ131074:UYJ131151 UYJ196610:UYJ196687 UYJ262146:UYJ262223 UYJ327682:UYJ327759 UYJ393218:UYJ393295 UYJ458754:UYJ458831 UYJ524290:UYJ524367 UYJ589826:UYJ589903 UYJ655362:UYJ655439 UYJ720898:UYJ720975 UYJ786434:UYJ786511 UYJ851970:UYJ852047 UYJ917506:UYJ917583 UYJ983042:UYJ983119 VIF2:VIF79 VIF65538:VIF65615 VIF131074:VIF131151 VIF196610:VIF196687 VIF262146:VIF262223 VIF327682:VIF327759 VIF393218:VIF393295 VIF458754:VIF458831 VIF524290:VIF524367 VIF589826:VIF589903 VIF655362:VIF655439 VIF720898:VIF720975 VIF786434:VIF786511 VIF851970:VIF852047 VIF917506:VIF917583 VIF983042:VIF983119 VSB2:VSB79 VSB65538:VSB65615 VSB131074:VSB131151 VSB196610:VSB196687 VSB262146:VSB262223 VSB327682:VSB327759 VSB393218:VSB393295 VSB458754:VSB458831 VSB524290:VSB524367 VSB589826:VSB589903 VSB655362:VSB655439 VSB720898:VSB720975 VSB786434:VSB786511 VSB851970:VSB852047 VSB917506:VSB917583 VSB983042:VSB983119 WBX2:WBX79 WBX65538:WBX65615 WBX131074:WBX131151 WBX196610:WBX196687 WBX262146:WBX262223 WBX327682:WBX327759 WBX393218:WBX393295 WBX458754:WBX458831 WBX524290:WBX524367 WBX589826:WBX589903 WBX655362:WBX655439 WBX720898:WBX720975 WBX786434:WBX786511 WBX851970:WBX852047 WBX917506:WBX917583 WBX983042:WBX983119 WLT2:WLT79 WLT65538:WLT65615 WLT131074:WLT131151 WLT196610:WLT196687 WLT262146:WLT262223 WLT327682:WLT327759 WLT393218:WLT393295 WLT458754:WLT458831 WLT524290:WLT524367 WLT589826:WLT589903 WLT655362:WLT655439 WLT720898:WLT720975 WLT786434:WLT786511 WLT851970:WLT852047 WLT917506:WLT917583 WLT983042:WLT983119 WVP2:WVP79 WVP65538:WVP65615 WVP131074:WVP131151 WVP196610:WVP196687 WVP262146:WVP262223 WVP327682:WVP327759 WVP393218:WVP393295 WVP458754:WVP458831 WVP524290:WVP524367 WVP589826:WVP589903 WVP655362:WVP655439 WVP720898:WVP720975 WVP786434:WVP786511 WVP851970:WVP852047 WVP917506:WVP917583 WVP983042:WVP983119" xr:uid="{B45D699A-D7E7-4AA7-88E2-E26C88E417F8}">
      <formula1>$AL$4:$AL$12</formula1>
    </dataValidation>
    <dataValidation type="list" allowBlank="1" showInputMessage="1" showErrorMessage="1" sqref="F2:F731 F65538:F65615 F131074:F131151 F196610:F196687 F262146:F262223 F327682:F327759 F393218:F393295 F458754:F458831 F524290:F524367 F589826:F589903 F655362:F655439 F720898:F720975 F786434:F786511 F851970:F852047 F917506:F917583 F983042:F983119 JB2:JB79 JB65538:JB65615 JB131074:JB131151 JB196610:JB196687 JB262146:JB262223 JB327682:JB327759 JB393218:JB393295 JB458754:JB458831 JB524290:JB524367 JB589826:JB589903 JB655362:JB655439 JB720898:JB720975 JB786434:JB786511 JB851970:JB852047 JB917506:JB917583 JB983042:JB983119 SX2:SX79 SX65538:SX65615 SX131074:SX131151 SX196610:SX196687 SX262146:SX262223 SX327682:SX327759 SX393218:SX393295 SX458754:SX458831 SX524290:SX524367 SX589826:SX589903 SX655362:SX655439 SX720898:SX720975 SX786434:SX786511 SX851970:SX852047 SX917506:SX917583 SX983042:SX983119 ACT2:ACT79 ACT65538:ACT65615 ACT131074:ACT131151 ACT196610:ACT196687 ACT262146:ACT262223 ACT327682:ACT327759 ACT393218:ACT393295 ACT458754:ACT458831 ACT524290:ACT524367 ACT589826:ACT589903 ACT655362:ACT655439 ACT720898:ACT720975 ACT786434:ACT786511 ACT851970:ACT852047 ACT917506:ACT917583 ACT983042:ACT983119 AMP2:AMP79 AMP65538:AMP65615 AMP131074:AMP131151 AMP196610:AMP196687 AMP262146:AMP262223 AMP327682:AMP327759 AMP393218:AMP393295 AMP458754:AMP458831 AMP524290:AMP524367 AMP589826:AMP589903 AMP655362:AMP655439 AMP720898:AMP720975 AMP786434:AMP786511 AMP851970:AMP852047 AMP917506:AMP917583 AMP983042:AMP983119 AWL2:AWL79 AWL65538:AWL65615 AWL131074:AWL131151 AWL196610:AWL196687 AWL262146:AWL262223 AWL327682:AWL327759 AWL393218:AWL393295 AWL458754:AWL458831 AWL524290:AWL524367 AWL589826:AWL589903 AWL655362:AWL655439 AWL720898:AWL720975 AWL786434:AWL786511 AWL851970:AWL852047 AWL917506:AWL917583 AWL983042:AWL983119 BGH2:BGH79 BGH65538:BGH65615 BGH131074:BGH131151 BGH196610:BGH196687 BGH262146:BGH262223 BGH327682:BGH327759 BGH393218:BGH393295 BGH458754:BGH458831 BGH524290:BGH524367 BGH589826:BGH589903 BGH655362:BGH655439 BGH720898:BGH720975 BGH786434:BGH786511 BGH851970:BGH852047 BGH917506:BGH917583 BGH983042:BGH983119 BQD2:BQD79 BQD65538:BQD65615 BQD131074:BQD131151 BQD196610:BQD196687 BQD262146:BQD262223 BQD327682:BQD327759 BQD393218:BQD393295 BQD458754:BQD458831 BQD524290:BQD524367 BQD589826:BQD589903 BQD655362:BQD655439 BQD720898:BQD720975 BQD786434:BQD786511 BQD851970:BQD852047 BQD917506:BQD917583 BQD983042:BQD983119 BZZ2:BZZ79 BZZ65538:BZZ65615 BZZ131074:BZZ131151 BZZ196610:BZZ196687 BZZ262146:BZZ262223 BZZ327682:BZZ327759 BZZ393218:BZZ393295 BZZ458754:BZZ458831 BZZ524290:BZZ524367 BZZ589826:BZZ589903 BZZ655362:BZZ655439 BZZ720898:BZZ720975 BZZ786434:BZZ786511 BZZ851970:BZZ852047 BZZ917506:BZZ917583 BZZ983042:BZZ983119 CJV2:CJV79 CJV65538:CJV65615 CJV131074:CJV131151 CJV196610:CJV196687 CJV262146:CJV262223 CJV327682:CJV327759 CJV393218:CJV393295 CJV458754:CJV458831 CJV524290:CJV524367 CJV589826:CJV589903 CJV655362:CJV655439 CJV720898:CJV720975 CJV786434:CJV786511 CJV851970:CJV852047 CJV917506:CJV917583 CJV983042:CJV983119 CTR2:CTR79 CTR65538:CTR65615 CTR131074:CTR131151 CTR196610:CTR196687 CTR262146:CTR262223 CTR327682:CTR327759 CTR393218:CTR393295 CTR458754:CTR458831 CTR524290:CTR524367 CTR589826:CTR589903 CTR655362:CTR655439 CTR720898:CTR720975 CTR786434:CTR786511 CTR851970:CTR852047 CTR917506:CTR917583 CTR983042:CTR983119 DDN2:DDN79 DDN65538:DDN65615 DDN131074:DDN131151 DDN196610:DDN196687 DDN262146:DDN262223 DDN327682:DDN327759 DDN393218:DDN393295 DDN458754:DDN458831 DDN524290:DDN524367 DDN589826:DDN589903 DDN655362:DDN655439 DDN720898:DDN720975 DDN786434:DDN786511 DDN851970:DDN852047 DDN917506:DDN917583 DDN983042:DDN983119 DNJ2:DNJ79 DNJ65538:DNJ65615 DNJ131074:DNJ131151 DNJ196610:DNJ196687 DNJ262146:DNJ262223 DNJ327682:DNJ327759 DNJ393218:DNJ393295 DNJ458754:DNJ458831 DNJ524290:DNJ524367 DNJ589826:DNJ589903 DNJ655362:DNJ655439 DNJ720898:DNJ720975 DNJ786434:DNJ786511 DNJ851970:DNJ852047 DNJ917506:DNJ917583 DNJ983042:DNJ983119 DXF2:DXF79 DXF65538:DXF65615 DXF131074:DXF131151 DXF196610:DXF196687 DXF262146:DXF262223 DXF327682:DXF327759 DXF393218:DXF393295 DXF458754:DXF458831 DXF524290:DXF524367 DXF589826:DXF589903 DXF655362:DXF655439 DXF720898:DXF720975 DXF786434:DXF786511 DXF851970:DXF852047 DXF917506:DXF917583 DXF983042:DXF983119 EHB2:EHB79 EHB65538:EHB65615 EHB131074:EHB131151 EHB196610:EHB196687 EHB262146:EHB262223 EHB327682:EHB327759 EHB393218:EHB393295 EHB458754:EHB458831 EHB524290:EHB524367 EHB589826:EHB589903 EHB655362:EHB655439 EHB720898:EHB720975 EHB786434:EHB786511 EHB851970:EHB852047 EHB917506:EHB917583 EHB983042:EHB983119 EQX2:EQX79 EQX65538:EQX65615 EQX131074:EQX131151 EQX196610:EQX196687 EQX262146:EQX262223 EQX327682:EQX327759 EQX393218:EQX393295 EQX458754:EQX458831 EQX524290:EQX524367 EQX589826:EQX589903 EQX655362:EQX655439 EQX720898:EQX720975 EQX786434:EQX786511 EQX851970:EQX852047 EQX917506:EQX917583 EQX983042:EQX983119 FAT2:FAT79 FAT65538:FAT65615 FAT131074:FAT131151 FAT196610:FAT196687 FAT262146:FAT262223 FAT327682:FAT327759 FAT393218:FAT393295 FAT458754:FAT458831 FAT524290:FAT524367 FAT589826:FAT589903 FAT655362:FAT655439 FAT720898:FAT720975 FAT786434:FAT786511 FAT851970:FAT852047 FAT917506:FAT917583 FAT983042:FAT983119 FKP2:FKP79 FKP65538:FKP65615 FKP131074:FKP131151 FKP196610:FKP196687 FKP262146:FKP262223 FKP327682:FKP327759 FKP393218:FKP393295 FKP458754:FKP458831 FKP524290:FKP524367 FKP589826:FKP589903 FKP655362:FKP655439 FKP720898:FKP720975 FKP786434:FKP786511 FKP851970:FKP852047 FKP917506:FKP917583 FKP983042:FKP983119 FUL2:FUL79 FUL65538:FUL65615 FUL131074:FUL131151 FUL196610:FUL196687 FUL262146:FUL262223 FUL327682:FUL327759 FUL393218:FUL393295 FUL458754:FUL458831 FUL524290:FUL524367 FUL589826:FUL589903 FUL655362:FUL655439 FUL720898:FUL720975 FUL786434:FUL786511 FUL851970:FUL852047 FUL917506:FUL917583 FUL983042:FUL983119 GEH2:GEH79 GEH65538:GEH65615 GEH131074:GEH131151 GEH196610:GEH196687 GEH262146:GEH262223 GEH327682:GEH327759 GEH393218:GEH393295 GEH458754:GEH458831 GEH524290:GEH524367 GEH589826:GEH589903 GEH655362:GEH655439 GEH720898:GEH720975 GEH786434:GEH786511 GEH851970:GEH852047 GEH917506:GEH917583 GEH983042:GEH983119 GOD2:GOD79 GOD65538:GOD65615 GOD131074:GOD131151 GOD196610:GOD196687 GOD262146:GOD262223 GOD327682:GOD327759 GOD393218:GOD393295 GOD458754:GOD458831 GOD524290:GOD524367 GOD589826:GOD589903 GOD655362:GOD655439 GOD720898:GOD720975 GOD786434:GOD786511 GOD851970:GOD852047 GOD917506:GOD917583 GOD983042:GOD983119 GXZ2:GXZ79 GXZ65538:GXZ65615 GXZ131074:GXZ131151 GXZ196610:GXZ196687 GXZ262146:GXZ262223 GXZ327682:GXZ327759 GXZ393218:GXZ393295 GXZ458754:GXZ458831 GXZ524290:GXZ524367 GXZ589826:GXZ589903 GXZ655362:GXZ655439 GXZ720898:GXZ720975 GXZ786434:GXZ786511 GXZ851970:GXZ852047 GXZ917506:GXZ917583 GXZ983042:GXZ983119 HHV2:HHV79 HHV65538:HHV65615 HHV131074:HHV131151 HHV196610:HHV196687 HHV262146:HHV262223 HHV327682:HHV327759 HHV393218:HHV393295 HHV458754:HHV458831 HHV524290:HHV524367 HHV589826:HHV589903 HHV655362:HHV655439 HHV720898:HHV720975 HHV786434:HHV786511 HHV851970:HHV852047 HHV917506:HHV917583 HHV983042:HHV983119 HRR2:HRR79 HRR65538:HRR65615 HRR131074:HRR131151 HRR196610:HRR196687 HRR262146:HRR262223 HRR327682:HRR327759 HRR393218:HRR393295 HRR458754:HRR458831 HRR524290:HRR524367 HRR589826:HRR589903 HRR655362:HRR655439 HRR720898:HRR720975 HRR786434:HRR786511 HRR851970:HRR852047 HRR917506:HRR917583 HRR983042:HRR983119 IBN2:IBN79 IBN65538:IBN65615 IBN131074:IBN131151 IBN196610:IBN196687 IBN262146:IBN262223 IBN327682:IBN327759 IBN393218:IBN393295 IBN458754:IBN458831 IBN524290:IBN524367 IBN589826:IBN589903 IBN655362:IBN655439 IBN720898:IBN720975 IBN786434:IBN786511 IBN851970:IBN852047 IBN917506:IBN917583 IBN983042:IBN983119 ILJ2:ILJ79 ILJ65538:ILJ65615 ILJ131074:ILJ131151 ILJ196610:ILJ196687 ILJ262146:ILJ262223 ILJ327682:ILJ327759 ILJ393218:ILJ393295 ILJ458754:ILJ458831 ILJ524290:ILJ524367 ILJ589826:ILJ589903 ILJ655362:ILJ655439 ILJ720898:ILJ720975 ILJ786434:ILJ786511 ILJ851970:ILJ852047 ILJ917506:ILJ917583 ILJ983042:ILJ983119 IVF2:IVF79 IVF65538:IVF65615 IVF131074:IVF131151 IVF196610:IVF196687 IVF262146:IVF262223 IVF327682:IVF327759 IVF393218:IVF393295 IVF458754:IVF458831 IVF524290:IVF524367 IVF589826:IVF589903 IVF655362:IVF655439 IVF720898:IVF720975 IVF786434:IVF786511 IVF851970:IVF852047 IVF917506:IVF917583 IVF983042:IVF983119 JFB2:JFB79 JFB65538:JFB65615 JFB131074:JFB131151 JFB196610:JFB196687 JFB262146:JFB262223 JFB327682:JFB327759 JFB393218:JFB393295 JFB458754:JFB458831 JFB524290:JFB524367 JFB589826:JFB589903 JFB655362:JFB655439 JFB720898:JFB720975 JFB786434:JFB786511 JFB851970:JFB852047 JFB917506:JFB917583 JFB983042:JFB983119 JOX2:JOX79 JOX65538:JOX65615 JOX131074:JOX131151 JOX196610:JOX196687 JOX262146:JOX262223 JOX327682:JOX327759 JOX393218:JOX393295 JOX458754:JOX458831 JOX524290:JOX524367 JOX589826:JOX589903 JOX655362:JOX655439 JOX720898:JOX720975 JOX786434:JOX786511 JOX851970:JOX852047 JOX917506:JOX917583 JOX983042:JOX983119 JYT2:JYT79 JYT65538:JYT65615 JYT131074:JYT131151 JYT196610:JYT196687 JYT262146:JYT262223 JYT327682:JYT327759 JYT393218:JYT393295 JYT458754:JYT458831 JYT524290:JYT524367 JYT589826:JYT589903 JYT655362:JYT655439 JYT720898:JYT720975 JYT786434:JYT786511 JYT851970:JYT852047 JYT917506:JYT917583 JYT983042:JYT983119 KIP2:KIP79 KIP65538:KIP65615 KIP131074:KIP131151 KIP196610:KIP196687 KIP262146:KIP262223 KIP327682:KIP327759 KIP393218:KIP393295 KIP458754:KIP458831 KIP524290:KIP524367 KIP589826:KIP589903 KIP655362:KIP655439 KIP720898:KIP720975 KIP786434:KIP786511 KIP851970:KIP852047 KIP917506:KIP917583 KIP983042:KIP983119 KSL2:KSL79 KSL65538:KSL65615 KSL131074:KSL131151 KSL196610:KSL196687 KSL262146:KSL262223 KSL327682:KSL327759 KSL393218:KSL393295 KSL458754:KSL458831 KSL524290:KSL524367 KSL589826:KSL589903 KSL655362:KSL655439 KSL720898:KSL720975 KSL786434:KSL786511 KSL851970:KSL852047 KSL917506:KSL917583 KSL983042:KSL983119 LCH2:LCH79 LCH65538:LCH65615 LCH131074:LCH131151 LCH196610:LCH196687 LCH262146:LCH262223 LCH327682:LCH327759 LCH393218:LCH393295 LCH458754:LCH458831 LCH524290:LCH524367 LCH589826:LCH589903 LCH655362:LCH655439 LCH720898:LCH720975 LCH786434:LCH786511 LCH851970:LCH852047 LCH917506:LCH917583 LCH983042:LCH983119 LMD2:LMD79 LMD65538:LMD65615 LMD131074:LMD131151 LMD196610:LMD196687 LMD262146:LMD262223 LMD327682:LMD327759 LMD393218:LMD393295 LMD458754:LMD458831 LMD524290:LMD524367 LMD589826:LMD589903 LMD655362:LMD655439 LMD720898:LMD720975 LMD786434:LMD786511 LMD851970:LMD852047 LMD917506:LMD917583 LMD983042:LMD983119 LVZ2:LVZ79 LVZ65538:LVZ65615 LVZ131074:LVZ131151 LVZ196610:LVZ196687 LVZ262146:LVZ262223 LVZ327682:LVZ327759 LVZ393218:LVZ393295 LVZ458754:LVZ458831 LVZ524290:LVZ524367 LVZ589826:LVZ589903 LVZ655362:LVZ655439 LVZ720898:LVZ720975 LVZ786434:LVZ786511 LVZ851970:LVZ852047 LVZ917506:LVZ917583 LVZ983042:LVZ983119 MFV2:MFV79 MFV65538:MFV65615 MFV131074:MFV131151 MFV196610:MFV196687 MFV262146:MFV262223 MFV327682:MFV327759 MFV393218:MFV393295 MFV458754:MFV458831 MFV524290:MFV524367 MFV589826:MFV589903 MFV655362:MFV655439 MFV720898:MFV720975 MFV786434:MFV786511 MFV851970:MFV852047 MFV917506:MFV917583 MFV983042:MFV983119 MPR2:MPR79 MPR65538:MPR65615 MPR131074:MPR131151 MPR196610:MPR196687 MPR262146:MPR262223 MPR327682:MPR327759 MPR393218:MPR393295 MPR458754:MPR458831 MPR524290:MPR524367 MPR589826:MPR589903 MPR655362:MPR655439 MPR720898:MPR720975 MPR786434:MPR786511 MPR851970:MPR852047 MPR917506:MPR917583 MPR983042:MPR983119 MZN2:MZN79 MZN65538:MZN65615 MZN131074:MZN131151 MZN196610:MZN196687 MZN262146:MZN262223 MZN327682:MZN327759 MZN393218:MZN393295 MZN458754:MZN458831 MZN524290:MZN524367 MZN589826:MZN589903 MZN655362:MZN655439 MZN720898:MZN720975 MZN786434:MZN786511 MZN851970:MZN852047 MZN917506:MZN917583 MZN983042:MZN983119 NJJ2:NJJ79 NJJ65538:NJJ65615 NJJ131074:NJJ131151 NJJ196610:NJJ196687 NJJ262146:NJJ262223 NJJ327682:NJJ327759 NJJ393218:NJJ393295 NJJ458754:NJJ458831 NJJ524290:NJJ524367 NJJ589826:NJJ589903 NJJ655362:NJJ655439 NJJ720898:NJJ720975 NJJ786434:NJJ786511 NJJ851970:NJJ852047 NJJ917506:NJJ917583 NJJ983042:NJJ983119 NTF2:NTF79 NTF65538:NTF65615 NTF131074:NTF131151 NTF196610:NTF196687 NTF262146:NTF262223 NTF327682:NTF327759 NTF393218:NTF393295 NTF458754:NTF458831 NTF524290:NTF524367 NTF589826:NTF589903 NTF655362:NTF655439 NTF720898:NTF720975 NTF786434:NTF786511 NTF851970:NTF852047 NTF917506:NTF917583 NTF983042:NTF983119 ODB2:ODB79 ODB65538:ODB65615 ODB131074:ODB131151 ODB196610:ODB196687 ODB262146:ODB262223 ODB327682:ODB327759 ODB393218:ODB393295 ODB458754:ODB458831 ODB524290:ODB524367 ODB589826:ODB589903 ODB655362:ODB655439 ODB720898:ODB720975 ODB786434:ODB786511 ODB851970:ODB852047 ODB917506:ODB917583 ODB983042:ODB983119 OMX2:OMX79 OMX65538:OMX65615 OMX131074:OMX131151 OMX196610:OMX196687 OMX262146:OMX262223 OMX327682:OMX327759 OMX393218:OMX393295 OMX458754:OMX458831 OMX524290:OMX524367 OMX589826:OMX589903 OMX655362:OMX655439 OMX720898:OMX720975 OMX786434:OMX786511 OMX851970:OMX852047 OMX917506:OMX917583 OMX983042:OMX983119 OWT2:OWT79 OWT65538:OWT65615 OWT131074:OWT131151 OWT196610:OWT196687 OWT262146:OWT262223 OWT327682:OWT327759 OWT393218:OWT393295 OWT458754:OWT458831 OWT524290:OWT524367 OWT589826:OWT589903 OWT655362:OWT655439 OWT720898:OWT720975 OWT786434:OWT786511 OWT851970:OWT852047 OWT917506:OWT917583 OWT983042:OWT983119 PGP2:PGP79 PGP65538:PGP65615 PGP131074:PGP131151 PGP196610:PGP196687 PGP262146:PGP262223 PGP327682:PGP327759 PGP393218:PGP393295 PGP458754:PGP458831 PGP524290:PGP524367 PGP589826:PGP589903 PGP655362:PGP655439 PGP720898:PGP720975 PGP786434:PGP786511 PGP851970:PGP852047 PGP917506:PGP917583 PGP983042:PGP983119 PQL2:PQL79 PQL65538:PQL65615 PQL131074:PQL131151 PQL196610:PQL196687 PQL262146:PQL262223 PQL327682:PQL327759 PQL393218:PQL393295 PQL458754:PQL458831 PQL524290:PQL524367 PQL589826:PQL589903 PQL655362:PQL655439 PQL720898:PQL720975 PQL786434:PQL786511 PQL851970:PQL852047 PQL917506:PQL917583 PQL983042:PQL983119 QAH2:QAH79 QAH65538:QAH65615 QAH131074:QAH131151 QAH196610:QAH196687 QAH262146:QAH262223 QAH327682:QAH327759 QAH393218:QAH393295 QAH458754:QAH458831 QAH524290:QAH524367 QAH589826:QAH589903 QAH655362:QAH655439 QAH720898:QAH720975 QAH786434:QAH786511 QAH851970:QAH852047 QAH917506:QAH917583 QAH983042:QAH983119 QKD2:QKD79 QKD65538:QKD65615 QKD131074:QKD131151 QKD196610:QKD196687 QKD262146:QKD262223 QKD327682:QKD327759 QKD393218:QKD393295 QKD458754:QKD458831 QKD524290:QKD524367 QKD589826:QKD589903 QKD655362:QKD655439 QKD720898:QKD720975 QKD786434:QKD786511 QKD851970:QKD852047 QKD917506:QKD917583 QKD983042:QKD983119 QTZ2:QTZ79 QTZ65538:QTZ65615 QTZ131074:QTZ131151 QTZ196610:QTZ196687 QTZ262146:QTZ262223 QTZ327682:QTZ327759 QTZ393218:QTZ393295 QTZ458754:QTZ458831 QTZ524290:QTZ524367 QTZ589826:QTZ589903 QTZ655362:QTZ655439 QTZ720898:QTZ720975 QTZ786434:QTZ786511 QTZ851970:QTZ852047 QTZ917506:QTZ917583 QTZ983042:QTZ983119 RDV2:RDV79 RDV65538:RDV65615 RDV131074:RDV131151 RDV196610:RDV196687 RDV262146:RDV262223 RDV327682:RDV327759 RDV393218:RDV393295 RDV458754:RDV458831 RDV524290:RDV524367 RDV589826:RDV589903 RDV655362:RDV655439 RDV720898:RDV720975 RDV786434:RDV786511 RDV851970:RDV852047 RDV917506:RDV917583 RDV983042:RDV983119 RNR2:RNR79 RNR65538:RNR65615 RNR131074:RNR131151 RNR196610:RNR196687 RNR262146:RNR262223 RNR327682:RNR327759 RNR393218:RNR393295 RNR458754:RNR458831 RNR524290:RNR524367 RNR589826:RNR589903 RNR655362:RNR655439 RNR720898:RNR720975 RNR786434:RNR786511 RNR851970:RNR852047 RNR917506:RNR917583 RNR983042:RNR983119 RXN2:RXN79 RXN65538:RXN65615 RXN131074:RXN131151 RXN196610:RXN196687 RXN262146:RXN262223 RXN327682:RXN327759 RXN393218:RXN393295 RXN458754:RXN458831 RXN524290:RXN524367 RXN589826:RXN589903 RXN655362:RXN655439 RXN720898:RXN720975 RXN786434:RXN786511 RXN851970:RXN852047 RXN917506:RXN917583 RXN983042:RXN983119 SHJ2:SHJ79 SHJ65538:SHJ65615 SHJ131074:SHJ131151 SHJ196610:SHJ196687 SHJ262146:SHJ262223 SHJ327682:SHJ327759 SHJ393218:SHJ393295 SHJ458754:SHJ458831 SHJ524290:SHJ524367 SHJ589826:SHJ589903 SHJ655362:SHJ655439 SHJ720898:SHJ720975 SHJ786434:SHJ786511 SHJ851970:SHJ852047 SHJ917506:SHJ917583 SHJ983042:SHJ983119 SRF2:SRF79 SRF65538:SRF65615 SRF131074:SRF131151 SRF196610:SRF196687 SRF262146:SRF262223 SRF327682:SRF327759 SRF393218:SRF393295 SRF458754:SRF458831 SRF524290:SRF524367 SRF589826:SRF589903 SRF655362:SRF655439 SRF720898:SRF720975 SRF786434:SRF786511 SRF851970:SRF852047 SRF917506:SRF917583 SRF983042:SRF983119 TBB2:TBB79 TBB65538:TBB65615 TBB131074:TBB131151 TBB196610:TBB196687 TBB262146:TBB262223 TBB327682:TBB327759 TBB393218:TBB393295 TBB458754:TBB458831 TBB524290:TBB524367 TBB589826:TBB589903 TBB655362:TBB655439 TBB720898:TBB720975 TBB786434:TBB786511 TBB851970:TBB852047 TBB917506:TBB917583 TBB983042:TBB983119 TKX2:TKX79 TKX65538:TKX65615 TKX131074:TKX131151 TKX196610:TKX196687 TKX262146:TKX262223 TKX327682:TKX327759 TKX393218:TKX393295 TKX458754:TKX458831 TKX524290:TKX524367 TKX589826:TKX589903 TKX655362:TKX655439 TKX720898:TKX720975 TKX786434:TKX786511 TKX851970:TKX852047 TKX917506:TKX917583 TKX983042:TKX983119 TUT2:TUT79 TUT65538:TUT65615 TUT131074:TUT131151 TUT196610:TUT196687 TUT262146:TUT262223 TUT327682:TUT327759 TUT393218:TUT393295 TUT458754:TUT458831 TUT524290:TUT524367 TUT589826:TUT589903 TUT655362:TUT655439 TUT720898:TUT720975 TUT786434:TUT786511 TUT851970:TUT852047 TUT917506:TUT917583 TUT983042:TUT983119 UEP2:UEP79 UEP65538:UEP65615 UEP131074:UEP131151 UEP196610:UEP196687 UEP262146:UEP262223 UEP327682:UEP327759 UEP393218:UEP393295 UEP458754:UEP458831 UEP524290:UEP524367 UEP589826:UEP589903 UEP655362:UEP655439 UEP720898:UEP720975 UEP786434:UEP786511 UEP851970:UEP852047 UEP917506:UEP917583 UEP983042:UEP983119 UOL2:UOL79 UOL65538:UOL65615 UOL131074:UOL131151 UOL196610:UOL196687 UOL262146:UOL262223 UOL327682:UOL327759 UOL393218:UOL393295 UOL458754:UOL458831 UOL524290:UOL524367 UOL589826:UOL589903 UOL655362:UOL655439 UOL720898:UOL720975 UOL786434:UOL786511 UOL851970:UOL852047 UOL917506:UOL917583 UOL983042:UOL983119 UYH2:UYH79 UYH65538:UYH65615 UYH131074:UYH131151 UYH196610:UYH196687 UYH262146:UYH262223 UYH327682:UYH327759 UYH393218:UYH393295 UYH458754:UYH458831 UYH524290:UYH524367 UYH589826:UYH589903 UYH655362:UYH655439 UYH720898:UYH720975 UYH786434:UYH786511 UYH851970:UYH852047 UYH917506:UYH917583 UYH983042:UYH983119 VID2:VID79 VID65538:VID65615 VID131074:VID131151 VID196610:VID196687 VID262146:VID262223 VID327682:VID327759 VID393218:VID393295 VID458754:VID458831 VID524290:VID524367 VID589826:VID589903 VID655362:VID655439 VID720898:VID720975 VID786434:VID786511 VID851970:VID852047 VID917506:VID917583 VID983042:VID983119 VRZ2:VRZ79 VRZ65538:VRZ65615 VRZ131074:VRZ131151 VRZ196610:VRZ196687 VRZ262146:VRZ262223 VRZ327682:VRZ327759 VRZ393218:VRZ393295 VRZ458754:VRZ458831 VRZ524290:VRZ524367 VRZ589826:VRZ589903 VRZ655362:VRZ655439 VRZ720898:VRZ720975 VRZ786434:VRZ786511 VRZ851970:VRZ852047 VRZ917506:VRZ917583 VRZ983042:VRZ983119 WBV2:WBV79 WBV65538:WBV65615 WBV131074:WBV131151 WBV196610:WBV196687 WBV262146:WBV262223 WBV327682:WBV327759 WBV393218:WBV393295 WBV458754:WBV458831 WBV524290:WBV524367 WBV589826:WBV589903 WBV655362:WBV655439 WBV720898:WBV720975 WBV786434:WBV786511 WBV851970:WBV852047 WBV917506:WBV917583 WBV983042:WBV983119 WLR2:WLR79 WLR65538:WLR65615 WLR131074:WLR131151 WLR196610:WLR196687 WLR262146:WLR262223 WLR327682:WLR327759 WLR393218:WLR393295 WLR458754:WLR458831 WLR524290:WLR524367 WLR589826:WLR589903 WLR655362:WLR655439 WLR720898:WLR720975 WLR786434:WLR786511 WLR851970:WLR852047 WLR917506:WLR917583 WLR983042:WLR983119 WVN2:WVN79 WVN65538:WVN65615 WVN131074:WVN131151 WVN196610:WVN196687 WVN262146:WVN262223 WVN327682:WVN327759 WVN393218:WVN393295 WVN458754:WVN458831 WVN524290:WVN524367 WVN589826:WVN589903 WVN655362:WVN655439 WVN720898:WVN720975 WVN786434:WVN786511 WVN851970:WVN852047 WVN917506:WVN917583 WVN983042:WVN983119" xr:uid="{AA585633-C434-4E45-B400-5C5541BEB62B}">
      <formula1>$AH$2:$AH$11</formula1>
    </dataValidation>
    <dataValidation type="list" allowBlank="1" showInputMessage="1" showErrorMessage="1" sqref="I2:I500 I65538:I65615 I131074:I131151 I196610:I196687 I262146:I262223 I327682:I327759 I393218:I393295 I458754:I458831 I524290:I524367 I589826:I589903 I655362:I655439 I720898:I720975 I786434:I786511 I851970:I852047 I917506:I917583 I983042:I983119 JE2:JE79 JE65538:JE65615 JE131074:JE131151 JE196610:JE196687 JE262146:JE262223 JE327682:JE327759 JE393218:JE393295 JE458754:JE458831 JE524290:JE524367 JE589826:JE589903 JE655362:JE655439 JE720898:JE720975 JE786434:JE786511 JE851970:JE852047 JE917506:JE917583 JE983042:JE983119 TA2:TA79 TA65538:TA65615 TA131074:TA131151 TA196610:TA196687 TA262146:TA262223 TA327682:TA327759 TA393218:TA393295 TA458754:TA458831 TA524290:TA524367 TA589826:TA589903 TA655362:TA655439 TA720898:TA720975 TA786434:TA786511 TA851970:TA852047 TA917506:TA917583 TA983042:TA983119 ACW2:ACW79 ACW65538:ACW65615 ACW131074:ACW131151 ACW196610:ACW196687 ACW262146:ACW262223 ACW327682:ACW327759 ACW393218:ACW393295 ACW458754:ACW458831 ACW524290:ACW524367 ACW589826:ACW589903 ACW655362:ACW655439 ACW720898:ACW720975 ACW786434:ACW786511 ACW851970:ACW852047 ACW917506:ACW917583 ACW983042:ACW983119 AMS2:AMS79 AMS65538:AMS65615 AMS131074:AMS131151 AMS196610:AMS196687 AMS262146:AMS262223 AMS327682:AMS327759 AMS393218:AMS393295 AMS458754:AMS458831 AMS524290:AMS524367 AMS589826:AMS589903 AMS655362:AMS655439 AMS720898:AMS720975 AMS786434:AMS786511 AMS851970:AMS852047 AMS917506:AMS917583 AMS983042:AMS983119 AWO2:AWO79 AWO65538:AWO65615 AWO131074:AWO131151 AWO196610:AWO196687 AWO262146:AWO262223 AWO327682:AWO327759 AWO393218:AWO393295 AWO458754:AWO458831 AWO524290:AWO524367 AWO589826:AWO589903 AWO655362:AWO655439 AWO720898:AWO720975 AWO786434:AWO786511 AWO851970:AWO852047 AWO917506:AWO917583 AWO983042:AWO983119 BGK2:BGK79 BGK65538:BGK65615 BGK131074:BGK131151 BGK196610:BGK196687 BGK262146:BGK262223 BGK327682:BGK327759 BGK393218:BGK393295 BGK458754:BGK458831 BGK524290:BGK524367 BGK589826:BGK589903 BGK655362:BGK655439 BGK720898:BGK720975 BGK786434:BGK786511 BGK851970:BGK852047 BGK917506:BGK917583 BGK983042:BGK983119 BQG2:BQG79 BQG65538:BQG65615 BQG131074:BQG131151 BQG196610:BQG196687 BQG262146:BQG262223 BQG327682:BQG327759 BQG393218:BQG393295 BQG458754:BQG458831 BQG524290:BQG524367 BQG589826:BQG589903 BQG655362:BQG655439 BQG720898:BQG720975 BQG786434:BQG786511 BQG851970:BQG852047 BQG917506:BQG917583 BQG983042:BQG983119 CAC2:CAC79 CAC65538:CAC65615 CAC131074:CAC131151 CAC196610:CAC196687 CAC262146:CAC262223 CAC327682:CAC327759 CAC393218:CAC393295 CAC458754:CAC458831 CAC524290:CAC524367 CAC589826:CAC589903 CAC655362:CAC655439 CAC720898:CAC720975 CAC786434:CAC786511 CAC851970:CAC852047 CAC917506:CAC917583 CAC983042:CAC983119 CJY2:CJY79 CJY65538:CJY65615 CJY131074:CJY131151 CJY196610:CJY196687 CJY262146:CJY262223 CJY327682:CJY327759 CJY393218:CJY393295 CJY458754:CJY458831 CJY524290:CJY524367 CJY589826:CJY589903 CJY655362:CJY655439 CJY720898:CJY720975 CJY786434:CJY786511 CJY851970:CJY852047 CJY917506:CJY917583 CJY983042:CJY983119 CTU2:CTU79 CTU65538:CTU65615 CTU131074:CTU131151 CTU196610:CTU196687 CTU262146:CTU262223 CTU327682:CTU327759 CTU393218:CTU393295 CTU458754:CTU458831 CTU524290:CTU524367 CTU589826:CTU589903 CTU655362:CTU655439 CTU720898:CTU720975 CTU786434:CTU786511 CTU851970:CTU852047 CTU917506:CTU917583 CTU983042:CTU983119 DDQ2:DDQ79 DDQ65538:DDQ65615 DDQ131074:DDQ131151 DDQ196610:DDQ196687 DDQ262146:DDQ262223 DDQ327682:DDQ327759 DDQ393218:DDQ393295 DDQ458754:DDQ458831 DDQ524290:DDQ524367 DDQ589826:DDQ589903 DDQ655362:DDQ655439 DDQ720898:DDQ720975 DDQ786434:DDQ786511 DDQ851970:DDQ852047 DDQ917506:DDQ917583 DDQ983042:DDQ983119 DNM2:DNM79 DNM65538:DNM65615 DNM131074:DNM131151 DNM196610:DNM196687 DNM262146:DNM262223 DNM327682:DNM327759 DNM393218:DNM393295 DNM458754:DNM458831 DNM524290:DNM524367 DNM589826:DNM589903 DNM655362:DNM655439 DNM720898:DNM720975 DNM786434:DNM786511 DNM851970:DNM852047 DNM917506:DNM917583 DNM983042:DNM983119 DXI2:DXI79 DXI65538:DXI65615 DXI131074:DXI131151 DXI196610:DXI196687 DXI262146:DXI262223 DXI327682:DXI327759 DXI393218:DXI393295 DXI458754:DXI458831 DXI524290:DXI524367 DXI589826:DXI589903 DXI655362:DXI655439 DXI720898:DXI720975 DXI786434:DXI786511 DXI851970:DXI852047 DXI917506:DXI917583 DXI983042:DXI983119 EHE2:EHE79 EHE65538:EHE65615 EHE131074:EHE131151 EHE196610:EHE196687 EHE262146:EHE262223 EHE327682:EHE327759 EHE393218:EHE393295 EHE458754:EHE458831 EHE524290:EHE524367 EHE589826:EHE589903 EHE655362:EHE655439 EHE720898:EHE720975 EHE786434:EHE786511 EHE851970:EHE852047 EHE917506:EHE917583 EHE983042:EHE983119 ERA2:ERA79 ERA65538:ERA65615 ERA131074:ERA131151 ERA196610:ERA196687 ERA262146:ERA262223 ERA327682:ERA327759 ERA393218:ERA393295 ERA458754:ERA458831 ERA524290:ERA524367 ERA589826:ERA589903 ERA655362:ERA655439 ERA720898:ERA720975 ERA786434:ERA786511 ERA851970:ERA852047 ERA917506:ERA917583 ERA983042:ERA983119 FAW2:FAW79 FAW65538:FAW65615 FAW131074:FAW131151 FAW196610:FAW196687 FAW262146:FAW262223 FAW327682:FAW327759 FAW393218:FAW393295 FAW458754:FAW458831 FAW524290:FAW524367 FAW589826:FAW589903 FAW655362:FAW655439 FAW720898:FAW720975 FAW786434:FAW786511 FAW851970:FAW852047 FAW917506:FAW917583 FAW983042:FAW983119 FKS2:FKS79 FKS65538:FKS65615 FKS131074:FKS131151 FKS196610:FKS196687 FKS262146:FKS262223 FKS327682:FKS327759 FKS393218:FKS393295 FKS458754:FKS458831 FKS524290:FKS524367 FKS589826:FKS589903 FKS655362:FKS655439 FKS720898:FKS720975 FKS786434:FKS786511 FKS851970:FKS852047 FKS917506:FKS917583 FKS983042:FKS983119 FUO2:FUO79 FUO65538:FUO65615 FUO131074:FUO131151 FUO196610:FUO196687 FUO262146:FUO262223 FUO327682:FUO327759 FUO393218:FUO393295 FUO458754:FUO458831 FUO524290:FUO524367 FUO589826:FUO589903 FUO655362:FUO655439 FUO720898:FUO720975 FUO786434:FUO786511 FUO851970:FUO852047 FUO917506:FUO917583 FUO983042:FUO983119 GEK2:GEK79 GEK65538:GEK65615 GEK131074:GEK131151 GEK196610:GEK196687 GEK262146:GEK262223 GEK327682:GEK327759 GEK393218:GEK393295 GEK458754:GEK458831 GEK524290:GEK524367 GEK589826:GEK589903 GEK655362:GEK655439 GEK720898:GEK720975 GEK786434:GEK786511 GEK851970:GEK852047 GEK917506:GEK917583 GEK983042:GEK983119 GOG2:GOG79 GOG65538:GOG65615 GOG131074:GOG131151 GOG196610:GOG196687 GOG262146:GOG262223 GOG327682:GOG327759 GOG393218:GOG393295 GOG458754:GOG458831 GOG524290:GOG524367 GOG589826:GOG589903 GOG655362:GOG655439 GOG720898:GOG720975 GOG786434:GOG786511 GOG851970:GOG852047 GOG917506:GOG917583 GOG983042:GOG983119 GYC2:GYC79 GYC65538:GYC65615 GYC131074:GYC131151 GYC196610:GYC196687 GYC262146:GYC262223 GYC327682:GYC327759 GYC393218:GYC393295 GYC458754:GYC458831 GYC524290:GYC524367 GYC589826:GYC589903 GYC655362:GYC655439 GYC720898:GYC720975 GYC786434:GYC786511 GYC851970:GYC852047 GYC917506:GYC917583 GYC983042:GYC983119 HHY2:HHY79 HHY65538:HHY65615 HHY131074:HHY131151 HHY196610:HHY196687 HHY262146:HHY262223 HHY327682:HHY327759 HHY393218:HHY393295 HHY458754:HHY458831 HHY524290:HHY524367 HHY589826:HHY589903 HHY655362:HHY655439 HHY720898:HHY720975 HHY786434:HHY786511 HHY851970:HHY852047 HHY917506:HHY917583 HHY983042:HHY983119 HRU2:HRU79 HRU65538:HRU65615 HRU131074:HRU131151 HRU196610:HRU196687 HRU262146:HRU262223 HRU327682:HRU327759 HRU393218:HRU393295 HRU458754:HRU458831 HRU524290:HRU524367 HRU589826:HRU589903 HRU655362:HRU655439 HRU720898:HRU720975 HRU786434:HRU786511 HRU851970:HRU852047 HRU917506:HRU917583 HRU983042:HRU983119 IBQ2:IBQ79 IBQ65538:IBQ65615 IBQ131074:IBQ131151 IBQ196610:IBQ196687 IBQ262146:IBQ262223 IBQ327682:IBQ327759 IBQ393218:IBQ393295 IBQ458754:IBQ458831 IBQ524290:IBQ524367 IBQ589826:IBQ589903 IBQ655362:IBQ655439 IBQ720898:IBQ720975 IBQ786434:IBQ786511 IBQ851970:IBQ852047 IBQ917506:IBQ917583 IBQ983042:IBQ983119 ILM2:ILM79 ILM65538:ILM65615 ILM131074:ILM131151 ILM196610:ILM196687 ILM262146:ILM262223 ILM327682:ILM327759 ILM393218:ILM393295 ILM458754:ILM458831 ILM524290:ILM524367 ILM589826:ILM589903 ILM655362:ILM655439 ILM720898:ILM720975 ILM786434:ILM786511 ILM851970:ILM852047 ILM917506:ILM917583 ILM983042:ILM983119 IVI2:IVI79 IVI65538:IVI65615 IVI131074:IVI131151 IVI196610:IVI196687 IVI262146:IVI262223 IVI327682:IVI327759 IVI393218:IVI393295 IVI458754:IVI458831 IVI524290:IVI524367 IVI589826:IVI589903 IVI655362:IVI655439 IVI720898:IVI720975 IVI786434:IVI786511 IVI851970:IVI852047 IVI917506:IVI917583 IVI983042:IVI983119 JFE2:JFE79 JFE65538:JFE65615 JFE131074:JFE131151 JFE196610:JFE196687 JFE262146:JFE262223 JFE327682:JFE327759 JFE393218:JFE393295 JFE458754:JFE458831 JFE524290:JFE524367 JFE589826:JFE589903 JFE655362:JFE655439 JFE720898:JFE720975 JFE786434:JFE786511 JFE851970:JFE852047 JFE917506:JFE917583 JFE983042:JFE983119 JPA2:JPA79 JPA65538:JPA65615 JPA131074:JPA131151 JPA196610:JPA196687 JPA262146:JPA262223 JPA327682:JPA327759 JPA393218:JPA393295 JPA458754:JPA458831 JPA524290:JPA524367 JPA589826:JPA589903 JPA655362:JPA655439 JPA720898:JPA720975 JPA786434:JPA786511 JPA851970:JPA852047 JPA917506:JPA917583 JPA983042:JPA983119 JYW2:JYW79 JYW65538:JYW65615 JYW131074:JYW131151 JYW196610:JYW196687 JYW262146:JYW262223 JYW327682:JYW327759 JYW393218:JYW393295 JYW458754:JYW458831 JYW524290:JYW524367 JYW589826:JYW589903 JYW655362:JYW655439 JYW720898:JYW720975 JYW786434:JYW786511 JYW851970:JYW852047 JYW917506:JYW917583 JYW983042:JYW983119 KIS2:KIS79 KIS65538:KIS65615 KIS131074:KIS131151 KIS196610:KIS196687 KIS262146:KIS262223 KIS327682:KIS327759 KIS393218:KIS393295 KIS458754:KIS458831 KIS524290:KIS524367 KIS589826:KIS589903 KIS655362:KIS655439 KIS720898:KIS720975 KIS786434:KIS786511 KIS851970:KIS852047 KIS917506:KIS917583 KIS983042:KIS983119 KSO2:KSO79 KSO65538:KSO65615 KSO131074:KSO131151 KSO196610:KSO196687 KSO262146:KSO262223 KSO327682:KSO327759 KSO393218:KSO393295 KSO458754:KSO458831 KSO524290:KSO524367 KSO589826:KSO589903 KSO655362:KSO655439 KSO720898:KSO720975 KSO786434:KSO786511 KSO851970:KSO852047 KSO917506:KSO917583 KSO983042:KSO983119 LCK2:LCK79 LCK65538:LCK65615 LCK131074:LCK131151 LCK196610:LCK196687 LCK262146:LCK262223 LCK327682:LCK327759 LCK393218:LCK393295 LCK458754:LCK458831 LCK524290:LCK524367 LCK589826:LCK589903 LCK655362:LCK655439 LCK720898:LCK720975 LCK786434:LCK786511 LCK851970:LCK852047 LCK917506:LCK917583 LCK983042:LCK983119 LMG2:LMG79 LMG65538:LMG65615 LMG131074:LMG131151 LMG196610:LMG196687 LMG262146:LMG262223 LMG327682:LMG327759 LMG393218:LMG393295 LMG458754:LMG458831 LMG524290:LMG524367 LMG589826:LMG589903 LMG655362:LMG655439 LMG720898:LMG720975 LMG786434:LMG786511 LMG851970:LMG852047 LMG917506:LMG917583 LMG983042:LMG983119 LWC2:LWC79 LWC65538:LWC65615 LWC131074:LWC131151 LWC196610:LWC196687 LWC262146:LWC262223 LWC327682:LWC327759 LWC393218:LWC393295 LWC458754:LWC458831 LWC524290:LWC524367 LWC589826:LWC589903 LWC655362:LWC655439 LWC720898:LWC720975 LWC786434:LWC786511 LWC851970:LWC852047 LWC917506:LWC917583 LWC983042:LWC983119 MFY2:MFY79 MFY65538:MFY65615 MFY131074:MFY131151 MFY196610:MFY196687 MFY262146:MFY262223 MFY327682:MFY327759 MFY393218:MFY393295 MFY458754:MFY458831 MFY524290:MFY524367 MFY589826:MFY589903 MFY655362:MFY655439 MFY720898:MFY720975 MFY786434:MFY786511 MFY851970:MFY852047 MFY917506:MFY917583 MFY983042:MFY983119 MPU2:MPU79 MPU65538:MPU65615 MPU131074:MPU131151 MPU196610:MPU196687 MPU262146:MPU262223 MPU327682:MPU327759 MPU393218:MPU393295 MPU458754:MPU458831 MPU524290:MPU524367 MPU589826:MPU589903 MPU655362:MPU655439 MPU720898:MPU720975 MPU786434:MPU786511 MPU851970:MPU852047 MPU917506:MPU917583 MPU983042:MPU983119 MZQ2:MZQ79 MZQ65538:MZQ65615 MZQ131074:MZQ131151 MZQ196610:MZQ196687 MZQ262146:MZQ262223 MZQ327682:MZQ327759 MZQ393218:MZQ393295 MZQ458754:MZQ458831 MZQ524290:MZQ524367 MZQ589826:MZQ589903 MZQ655362:MZQ655439 MZQ720898:MZQ720975 MZQ786434:MZQ786511 MZQ851970:MZQ852047 MZQ917506:MZQ917583 MZQ983042:MZQ983119 NJM2:NJM79 NJM65538:NJM65615 NJM131074:NJM131151 NJM196610:NJM196687 NJM262146:NJM262223 NJM327682:NJM327759 NJM393218:NJM393295 NJM458754:NJM458831 NJM524290:NJM524367 NJM589826:NJM589903 NJM655362:NJM655439 NJM720898:NJM720975 NJM786434:NJM786511 NJM851970:NJM852047 NJM917506:NJM917583 NJM983042:NJM983119 NTI2:NTI79 NTI65538:NTI65615 NTI131074:NTI131151 NTI196610:NTI196687 NTI262146:NTI262223 NTI327682:NTI327759 NTI393218:NTI393295 NTI458754:NTI458831 NTI524290:NTI524367 NTI589826:NTI589903 NTI655362:NTI655439 NTI720898:NTI720975 NTI786434:NTI786511 NTI851970:NTI852047 NTI917506:NTI917583 NTI983042:NTI983119 ODE2:ODE79 ODE65538:ODE65615 ODE131074:ODE131151 ODE196610:ODE196687 ODE262146:ODE262223 ODE327682:ODE327759 ODE393218:ODE393295 ODE458754:ODE458831 ODE524290:ODE524367 ODE589826:ODE589903 ODE655362:ODE655439 ODE720898:ODE720975 ODE786434:ODE786511 ODE851970:ODE852047 ODE917506:ODE917583 ODE983042:ODE983119 ONA2:ONA79 ONA65538:ONA65615 ONA131074:ONA131151 ONA196610:ONA196687 ONA262146:ONA262223 ONA327682:ONA327759 ONA393218:ONA393295 ONA458754:ONA458831 ONA524290:ONA524367 ONA589826:ONA589903 ONA655362:ONA655439 ONA720898:ONA720975 ONA786434:ONA786511 ONA851970:ONA852047 ONA917506:ONA917583 ONA983042:ONA983119 OWW2:OWW79 OWW65538:OWW65615 OWW131074:OWW131151 OWW196610:OWW196687 OWW262146:OWW262223 OWW327682:OWW327759 OWW393218:OWW393295 OWW458754:OWW458831 OWW524290:OWW524367 OWW589826:OWW589903 OWW655362:OWW655439 OWW720898:OWW720975 OWW786434:OWW786511 OWW851970:OWW852047 OWW917506:OWW917583 OWW983042:OWW983119 PGS2:PGS79 PGS65538:PGS65615 PGS131074:PGS131151 PGS196610:PGS196687 PGS262146:PGS262223 PGS327682:PGS327759 PGS393218:PGS393295 PGS458754:PGS458831 PGS524290:PGS524367 PGS589826:PGS589903 PGS655362:PGS655439 PGS720898:PGS720975 PGS786434:PGS786511 PGS851970:PGS852047 PGS917506:PGS917583 PGS983042:PGS983119 PQO2:PQO79 PQO65538:PQO65615 PQO131074:PQO131151 PQO196610:PQO196687 PQO262146:PQO262223 PQO327682:PQO327759 PQO393218:PQO393295 PQO458754:PQO458831 PQO524290:PQO524367 PQO589826:PQO589903 PQO655362:PQO655439 PQO720898:PQO720975 PQO786434:PQO786511 PQO851970:PQO852047 PQO917506:PQO917583 PQO983042:PQO983119 QAK2:QAK79 QAK65538:QAK65615 QAK131074:QAK131151 QAK196610:QAK196687 QAK262146:QAK262223 QAK327682:QAK327759 QAK393218:QAK393295 QAK458754:QAK458831 QAK524290:QAK524367 QAK589826:QAK589903 QAK655362:QAK655439 QAK720898:QAK720975 QAK786434:QAK786511 QAK851970:QAK852047 QAK917506:QAK917583 QAK983042:QAK983119 QKG2:QKG79 QKG65538:QKG65615 QKG131074:QKG131151 QKG196610:QKG196687 QKG262146:QKG262223 QKG327682:QKG327759 QKG393218:QKG393295 QKG458754:QKG458831 QKG524290:QKG524367 QKG589826:QKG589903 QKG655362:QKG655439 QKG720898:QKG720975 QKG786434:QKG786511 QKG851970:QKG852047 QKG917506:QKG917583 QKG983042:QKG983119 QUC2:QUC79 QUC65538:QUC65615 QUC131074:QUC131151 QUC196610:QUC196687 QUC262146:QUC262223 QUC327682:QUC327759 QUC393218:QUC393295 QUC458754:QUC458831 QUC524290:QUC524367 QUC589826:QUC589903 QUC655362:QUC655439 QUC720898:QUC720975 QUC786434:QUC786511 QUC851970:QUC852047 QUC917506:QUC917583 QUC983042:QUC983119 RDY2:RDY79 RDY65538:RDY65615 RDY131074:RDY131151 RDY196610:RDY196687 RDY262146:RDY262223 RDY327682:RDY327759 RDY393218:RDY393295 RDY458754:RDY458831 RDY524290:RDY524367 RDY589826:RDY589903 RDY655362:RDY655439 RDY720898:RDY720975 RDY786434:RDY786511 RDY851970:RDY852047 RDY917506:RDY917583 RDY983042:RDY983119 RNU2:RNU79 RNU65538:RNU65615 RNU131074:RNU131151 RNU196610:RNU196687 RNU262146:RNU262223 RNU327682:RNU327759 RNU393218:RNU393295 RNU458754:RNU458831 RNU524290:RNU524367 RNU589826:RNU589903 RNU655362:RNU655439 RNU720898:RNU720975 RNU786434:RNU786511 RNU851970:RNU852047 RNU917506:RNU917583 RNU983042:RNU983119 RXQ2:RXQ79 RXQ65538:RXQ65615 RXQ131074:RXQ131151 RXQ196610:RXQ196687 RXQ262146:RXQ262223 RXQ327682:RXQ327759 RXQ393218:RXQ393295 RXQ458754:RXQ458831 RXQ524290:RXQ524367 RXQ589826:RXQ589903 RXQ655362:RXQ655439 RXQ720898:RXQ720975 RXQ786434:RXQ786511 RXQ851970:RXQ852047 RXQ917506:RXQ917583 RXQ983042:RXQ983119 SHM2:SHM79 SHM65538:SHM65615 SHM131074:SHM131151 SHM196610:SHM196687 SHM262146:SHM262223 SHM327682:SHM327759 SHM393218:SHM393295 SHM458754:SHM458831 SHM524290:SHM524367 SHM589826:SHM589903 SHM655362:SHM655439 SHM720898:SHM720975 SHM786434:SHM786511 SHM851970:SHM852047 SHM917506:SHM917583 SHM983042:SHM983119 SRI2:SRI79 SRI65538:SRI65615 SRI131074:SRI131151 SRI196610:SRI196687 SRI262146:SRI262223 SRI327682:SRI327759 SRI393218:SRI393295 SRI458754:SRI458831 SRI524290:SRI524367 SRI589826:SRI589903 SRI655362:SRI655439 SRI720898:SRI720975 SRI786434:SRI786511 SRI851970:SRI852047 SRI917506:SRI917583 SRI983042:SRI983119 TBE2:TBE79 TBE65538:TBE65615 TBE131074:TBE131151 TBE196610:TBE196687 TBE262146:TBE262223 TBE327682:TBE327759 TBE393218:TBE393295 TBE458754:TBE458831 TBE524290:TBE524367 TBE589826:TBE589903 TBE655362:TBE655439 TBE720898:TBE720975 TBE786434:TBE786511 TBE851970:TBE852047 TBE917506:TBE917583 TBE983042:TBE983119 TLA2:TLA79 TLA65538:TLA65615 TLA131074:TLA131151 TLA196610:TLA196687 TLA262146:TLA262223 TLA327682:TLA327759 TLA393218:TLA393295 TLA458754:TLA458831 TLA524290:TLA524367 TLA589826:TLA589903 TLA655362:TLA655439 TLA720898:TLA720975 TLA786434:TLA786511 TLA851970:TLA852047 TLA917506:TLA917583 TLA983042:TLA983119 TUW2:TUW79 TUW65538:TUW65615 TUW131074:TUW131151 TUW196610:TUW196687 TUW262146:TUW262223 TUW327682:TUW327759 TUW393218:TUW393295 TUW458754:TUW458831 TUW524290:TUW524367 TUW589826:TUW589903 TUW655362:TUW655439 TUW720898:TUW720975 TUW786434:TUW786511 TUW851970:TUW852047 TUW917506:TUW917583 TUW983042:TUW983119 UES2:UES79 UES65538:UES65615 UES131074:UES131151 UES196610:UES196687 UES262146:UES262223 UES327682:UES327759 UES393218:UES393295 UES458754:UES458831 UES524290:UES524367 UES589826:UES589903 UES655362:UES655439 UES720898:UES720975 UES786434:UES786511 UES851970:UES852047 UES917506:UES917583 UES983042:UES983119 UOO2:UOO79 UOO65538:UOO65615 UOO131074:UOO131151 UOO196610:UOO196687 UOO262146:UOO262223 UOO327682:UOO327759 UOO393218:UOO393295 UOO458754:UOO458831 UOO524290:UOO524367 UOO589826:UOO589903 UOO655362:UOO655439 UOO720898:UOO720975 UOO786434:UOO786511 UOO851970:UOO852047 UOO917506:UOO917583 UOO983042:UOO983119 UYK2:UYK79 UYK65538:UYK65615 UYK131074:UYK131151 UYK196610:UYK196687 UYK262146:UYK262223 UYK327682:UYK327759 UYK393218:UYK393295 UYK458754:UYK458831 UYK524290:UYK524367 UYK589826:UYK589903 UYK655362:UYK655439 UYK720898:UYK720975 UYK786434:UYK786511 UYK851970:UYK852047 UYK917506:UYK917583 UYK983042:UYK983119 VIG2:VIG79 VIG65538:VIG65615 VIG131074:VIG131151 VIG196610:VIG196687 VIG262146:VIG262223 VIG327682:VIG327759 VIG393218:VIG393295 VIG458754:VIG458831 VIG524290:VIG524367 VIG589826:VIG589903 VIG655362:VIG655439 VIG720898:VIG720975 VIG786434:VIG786511 VIG851970:VIG852047 VIG917506:VIG917583 VIG983042:VIG983119 VSC2:VSC79 VSC65538:VSC65615 VSC131074:VSC131151 VSC196610:VSC196687 VSC262146:VSC262223 VSC327682:VSC327759 VSC393218:VSC393295 VSC458754:VSC458831 VSC524290:VSC524367 VSC589826:VSC589903 VSC655362:VSC655439 VSC720898:VSC720975 VSC786434:VSC786511 VSC851970:VSC852047 VSC917506:VSC917583 VSC983042:VSC983119 WBY2:WBY79 WBY65538:WBY65615 WBY131074:WBY131151 WBY196610:WBY196687 WBY262146:WBY262223 WBY327682:WBY327759 WBY393218:WBY393295 WBY458754:WBY458831 WBY524290:WBY524367 WBY589826:WBY589903 WBY655362:WBY655439 WBY720898:WBY720975 WBY786434:WBY786511 WBY851970:WBY852047 WBY917506:WBY917583 WBY983042:WBY983119 WLU2:WLU79 WLU65538:WLU65615 WLU131074:WLU131151 WLU196610:WLU196687 WLU262146:WLU262223 WLU327682:WLU327759 WLU393218:WLU393295 WLU458754:WLU458831 WLU524290:WLU524367 WLU589826:WLU589903 WLU655362:WLU655439 WLU720898:WLU720975 WLU786434:WLU786511 WLU851970:WLU852047 WLU917506:WLU917583 WLU983042:WLU983119 WVQ2:WVQ79 WVQ65538:WVQ65615 WVQ131074:WVQ131151 WVQ196610:WVQ196687 WVQ262146:WVQ262223 WVQ327682:WVQ327759 WVQ393218:WVQ393295 WVQ458754:WVQ458831 WVQ524290:WVQ524367 WVQ589826:WVQ589903 WVQ655362:WVQ655439 WVQ720898:WVQ720975 WVQ786434:WVQ786511 WVQ851970:WVQ852047 WVQ917506:WVQ917583 WVQ983042:WVQ983119" xr:uid="{575DD5DD-1BD1-4D9A-98CE-97371A9DC73C}">
      <formula1>$AN$5:$AN$6</formula1>
    </dataValidation>
    <dataValidation type="list" allowBlank="1" showInputMessage="1" showErrorMessage="1" sqref="H2:H1153" xr:uid="{2621074B-BDF4-4511-B6A6-70B1EE2C788B}">
      <formula1>$AL$2:$AL$9</formula1>
    </dataValidation>
    <dataValidation type="list" allowBlank="1" showInputMessage="1" showErrorMessage="1" sqref="A2:A500 A65538:A65615 A131074:A131151 A196610:A196687 A262146:A262223 A327682:A327759 A393218:A393295 A458754:A458831 A524290:A524367 A589826:A589903 A655362:A655439 A720898:A720975 A786434:A786511 A851970:A852047 A917506:A917583 A983042:A983119 IW2:IW79 IW65538:IW65615 IW131074:IW131151 IW196610:IW196687 IW262146:IW262223 IW327682:IW327759 IW393218:IW393295 IW458754:IW458831 IW524290:IW524367 IW589826:IW589903 IW655362:IW655439 IW720898:IW720975 IW786434:IW786511 IW851970:IW852047 IW917506:IW917583 IW983042:IW983119 SS2:SS79 SS65538:SS65615 SS131074:SS131151 SS196610:SS196687 SS262146:SS262223 SS327682:SS327759 SS393218:SS393295 SS458754:SS458831 SS524290:SS524367 SS589826:SS589903 SS655362:SS655439 SS720898:SS720975 SS786434:SS786511 SS851970:SS852047 SS917506:SS917583 SS983042:SS983119 ACO2:ACO79 ACO65538:ACO65615 ACO131074:ACO131151 ACO196610:ACO196687 ACO262146:ACO262223 ACO327682:ACO327759 ACO393218:ACO393295 ACO458754:ACO458831 ACO524290:ACO524367 ACO589826:ACO589903 ACO655362:ACO655439 ACO720898:ACO720975 ACO786434:ACO786511 ACO851970:ACO852047 ACO917506:ACO917583 ACO983042:ACO983119 AMK2:AMK79 AMK65538:AMK65615 AMK131074:AMK131151 AMK196610:AMK196687 AMK262146:AMK262223 AMK327682:AMK327759 AMK393218:AMK393295 AMK458754:AMK458831 AMK524290:AMK524367 AMK589826:AMK589903 AMK655362:AMK655439 AMK720898:AMK720975 AMK786434:AMK786511 AMK851970:AMK852047 AMK917506:AMK917583 AMK983042:AMK983119 AWG2:AWG79 AWG65538:AWG65615 AWG131074:AWG131151 AWG196610:AWG196687 AWG262146:AWG262223 AWG327682:AWG327759 AWG393218:AWG393295 AWG458754:AWG458831 AWG524290:AWG524367 AWG589826:AWG589903 AWG655362:AWG655439 AWG720898:AWG720975 AWG786434:AWG786511 AWG851970:AWG852047 AWG917506:AWG917583 AWG983042:AWG983119 BGC2:BGC79 BGC65538:BGC65615 BGC131074:BGC131151 BGC196610:BGC196687 BGC262146:BGC262223 BGC327682:BGC327759 BGC393218:BGC393295 BGC458754:BGC458831 BGC524290:BGC524367 BGC589826:BGC589903 BGC655362:BGC655439 BGC720898:BGC720975 BGC786434:BGC786511 BGC851970:BGC852047 BGC917506:BGC917583 BGC983042:BGC983119 BPY2:BPY79 BPY65538:BPY65615 BPY131074:BPY131151 BPY196610:BPY196687 BPY262146:BPY262223 BPY327682:BPY327759 BPY393218:BPY393295 BPY458754:BPY458831 BPY524290:BPY524367 BPY589826:BPY589903 BPY655362:BPY655439 BPY720898:BPY720975 BPY786434:BPY786511 BPY851970:BPY852047 BPY917506:BPY917583 BPY983042:BPY983119 BZU2:BZU79 BZU65538:BZU65615 BZU131074:BZU131151 BZU196610:BZU196687 BZU262146:BZU262223 BZU327682:BZU327759 BZU393218:BZU393295 BZU458754:BZU458831 BZU524290:BZU524367 BZU589826:BZU589903 BZU655362:BZU655439 BZU720898:BZU720975 BZU786434:BZU786511 BZU851970:BZU852047 BZU917506:BZU917583 BZU983042:BZU983119 CJQ2:CJQ79 CJQ65538:CJQ65615 CJQ131074:CJQ131151 CJQ196610:CJQ196687 CJQ262146:CJQ262223 CJQ327682:CJQ327759 CJQ393218:CJQ393295 CJQ458754:CJQ458831 CJQ524290:CJQ524367 CJQ589826:CJQ589903 CJQ655362:CJQ655439 CJQ720898:CJQ720975 CJQ786434:CJQ786511 CJQ851970:CJQ852047 CJQ917506:CJQ917583 CJQ983042:CJQ983119 CTM2:CTM79 CTM65538:CTM65615 CTM131074:CTM131151 CTM196610:CTM196687 CTM262146:CTM262223 CTM327682:CTM327759 CTM393218:CTM393295 CTM458754:CTM458831 CTM524290:CTM524367 CTM589826:CTM589903 CTM655362:CTM655439 CTM720898:CTM720975 CTM786434:CTM786511 CTM851970:CTM852047 CTM917506:CTM917583 CTM983042:CTM983119 DDI2:DDI79 DDI65538:DDI65615 DDI131074:DDI131151 DDI196610:DDI196687 DDI262146:DDI262223 DDI327682:DDI327759 DDI393218:DDI393295 DDI458754:DDI458831 DDI524290:DDI524367 DDI589826:DDI589903 DDI655362:DDI655439 DDI720898:DDI720975 DDI786434:DDI786511 DDI851970:DDI852047 DDI917506:DDI917583 DDI983042:DDI983119 DNE2:DNE79 DNE65538:DNE65615 DNE131074:DNE131151 DNE196610:DNE196687 DNE262146:DNE262223 DNE327682:DNE327759 DNE393218:DNE393295 DNE458754:DNE458831 DNE524290:DNE524367 DNE589826:DNE589903 DNE655362:DNE655439 DNE720898:DNE720975 DNE786434:DNE786511 DNE851970:DNE852047 DNE917506:DNE917583 DNE983042:DNE983119 DXA2:DXA79 DXA65538:DXA65615 DXA131074:DXA131151 DXA196610:DXA196687 DXA262146:DXA262223 DXA327682:DXA327759 DXA393218:DXA393295 DXA458754:DXA458831 DXA524290:DXA524367 DXA589826:DXA589903 DXA655362:DXA655439 DXA720898:DXA720975 DXA786434:DXA786511 DXA851970:DXA852047 DXA917506:DXA917583 DXA983042:DXA983119 EGW2:EGW79 EGW65538:EGW65615 EGW131074:EGW131151 EGW196610:EGW196687 EGW262146:EGW262223 EGW327682:EGW327759 EGW393218:EGW393295 EGW458754:EGW458831 EGW524290:EGW524367 EGW589826:EGW589903 EGW655362:EGW655439 EGW720898:EGW720975 EGW786434:EGW786511 EGW851970:EGW852047 EGW917506:EGW917583 EGW983042:EGW983119 EQS2:EQS79 EQS65538:EQS65615 EQS131074:EQS131151 EQS196610:EQS196687 EQS262146:EQS262223 EQS327682:EQS327759 EQS393218:EQS393295 EQS458754:EQS458831 EQS524290:EQS524367 EQS589826:EQS589903 EQS655362:EQS655439 EQS720898:EQS720975 EQS786434:EQS786511 EQS851970:EQS852047 EQS917506:EQS917583 EQS983042:EQS983119 FAO2:FAO79 FAO65538:FAO65615 FAO131074:FAO131151 FAO196610:FAO196687 FAO262146:FAO262223 FAO327682:FAO327759 FAO393218:FAO393295 FAO458754:FAO458831 FAO524290:FAO524367 FAO589826:FAO589903 FAO655362:FAO655439 FAO720898:FAO720975 FAO786434:FAO786511 FAO851970:FAO852047 FAO917506:FAO917583 FAO983042:FAO983119 FKK2:FKK79 FKK65538:FKK65615 FKK131074:FKK131151 FKK196610:FKK196687 FKK262146:FKK262223 FKK327682:FKK327759 FKK393218:FKK393295 FKK458754:FKK458831 FKK524290:FKK524367 FKK589826:FKK589903 FKK655362:FKK655439 FKK720898:FKK720975 FKK786434:FKK786511 FKK851970:FKK852047 FKK917506:FKK917583 FKK983042:FKK983119 FUG2:FUG79 FUG65538:FUG65615 FUG131074:FUG131151 FUG196610:FUG196687 FUG262146:FUG262223 FUG327682:FUG327759 FUG393218:FUG393295 FUG458754:FUG458831 FUG524290:FUG524367 FUG589826:FUG589903 FUG655362:FUG655439 FUG720898:FUG720975 FUG786434:FUG786511 FUG851970:FUG852047 FUG917506:FUG917583 FUG983042:FUG983119 GEC2:GEC79 GEC65538:GEC65615 GEC131074:GEC131151 GEC196610:GEC196687 GEC262146:GEC262223 GEC327682:GEC327759 GEC393218:GEC393295 GEC458754:GEC458831 GEC524290:GEC524367 GEC589826:GEC589903 GEC655362:GEC655439 GEC720898:GEC720975 GEC786434:GEC786511 GEC851970:GEC852047 GEC917506:GEC917583 GEC983042:GEC983119 GNY2:GNY79 GNY65538:GNY65615 GNY131074:GNY131151 GNY196610:GNY196687 GNY262146:GNY262223 GNY327682:GNY327759 GNY393218:GNY393295 GNY458754:GNY458831 GNY524290:GNY524367 GNY589826:GNY589903 GNY655362:GNY655439 GNY720898:GNY720975 GNY786434:GNY786511 GNY851970:GNY852047 GNY917506:GNY917583 GNY983042:GNY983119 GXU2:GXU79 GXU65538:GXU65615 GXU131074:GXU131151 GXU196610:GXU196687 GXU262146:GXU262223 GXU327682:GXU327759 GXU393218:GXU393295 GXU458754:GXU458831 GXU524290:GXU524367 GXU589826:GXU589903 GXU655362:GXU655439 GXU720898:GXU720975 GXU786434:GXU786511 GXU851970:GXU852047 GXU917506:GXU917583 GXU983042:GXU983119 HHQ2:HHQ79 HHQ65538:HHQ65615 HHQ131074:HHQ131151 HHQ196610:HHQ196687 HHQ262146:HHQ262223 HHQ327682:HHQ327759 HHQ393218:HHQ393295 HHQ458754:HHQ458831 HHQ524290:HHQ524367 HHQ589826:HHQ589903 HHQ655362:HHQ655439 HHQ720898:HHQ720975 HHQ786434:HHQ786511 HHQ851970:HHQ852047 HHQ917506:HHQ917583 HHQ983042:HHQ983119 HRM2:HRM79 HRM65538:HRM65615 HRM131074:HRM131151 HRM196610:HRM196687 HRM262146:HRM262223 HRM327682:HRM327759 HRM393218:HRM393295 HRM458754:HRM458831 HRM524290:HRM524367 HRM589826:HRM589903 HRM655362:HRM655439 HRM720898:HRM720975 HRM786434:HRM786511 HRM851970:HRM852047 HRM917506:HRM917583 HRM983042:HRM983119 IBI2:IBI79 IBI65538:IBI65615 IBI131074:IBI131151 IBI196610:IBI196687 IBI262146:IBI262223 IBI327682:IBI327759 IBI393218:IBI393295 IBI458754:IBI458831 IBI524290:IBI524367 IBI589826:IBI589903 IBI655362:IBI655439 IBI720898:IBI720975 IBI786434:IBI786511 IBI851970:IBI852047 IBI917506:IBI917583 IBI983042:IBI983119 ILE2:ILE79 ILE65538:ILE65615 ILE131074:ILE131151 ILE196610:ILE196687 ILE262146:ILE262223 ILE327682:ILE327759 ILE393218:ILE393295 ILE458754:ILE458831 ILE524290:ILE524367 ILE589826:ILE589903 ILE655362:ILE655439 ILE720898:ILE720975 ILE786434:ILE786511 ILE851970:ILE852047 ILE917506:ILE917583 ILE983042:ILE983119 IVA2:IVA79 IVA65538:IVA65615 IVA131074:IVA131151 IVA196610:IVA196687 IVA262146:IVA262223 IVA327682:IVA327759 IVA393218:IVA393295 IVA458754:IVA458831 IVA524290:IVA524367 IVA589826:IVA589903 IVA655362:IVA655439 IVA720898:IVA720975 IVA786434:IVA786511 IVA851970:IVA852047 IVA917506:IVA917583 IVA983042:IVA983119 JEW2:JEW79 JEW65538:JEW65615 JEW131074:JEW131151 JEW196610:JEW196687 JEW262146:JEW262223 JEW327682:JEW327759 JEW393218:JEW393295 JEW458754:JEW458831 JEW524290:JEW524367 JEW589826:JEW589903 JEW655362:JEW655439 JEW720898:JEW720975 JEW786434:JEW786511 JEW851970:JEW852047 JEW917506:JEW917583 JEW983042:JEW983119 JOS2:JOS79 JOS65538:JOS65615 JOS131074:JOS131151 JOS196610:JOS196687 JOS262146:JOS262223 JOS327682:JOS327759 JOS393218:JOS393295 JOS458754:JOS458831 JOS524290:JOS524367 JOS589826:JOS589903 JOS655362:JOS655439 JOS720898:JOS720975 JOS786434:JOS786511 JOS851970:JOS852047 JOS917506:JOS917583 JOS983042:JOS983119 JYO2:JYO79 JYO65538:JYO65615 JYO131074:JYO131151 JYO196610:JYO196687 JYO262146:JYO262223 JYO327682:JYO327759 JYO393218:JYO393295 JYO458754:JYO458831 JYO524290:JYO524367 JYO589826:JYO589903 JYO655362:JYO655439 JYO720898:JYO720975 JYO786434:JYO786511 JYO851970:JYO852047 JYO917506:JYO917583 JYO983042:JYO983119 KIK2:KIK79 KIK65538:KIK65615 KIK131074:KIK131151 KIK196610:KIK196687 KIK262146:KIK262223 KIK327682:KIK327759 KIK393218:KIK393295 KIK458754:KIK458831 KIK524290:KIK524367 KIK589826:KIK589903 KIK655362:KIK655439 KIK720898:KIK720975 KIK786434:KIK786511 KIK851970:KIK852047 KIK917506:KIK917583 KIK983042:KIK983119 KSG2:KSG79 KSG65538:KSG65615 KSG131074:KSG131151 KSG196610:KSG196687 KSG262146:KSG262223 KSG327682:KSG327759 KSG393218:KSG393295 KSG458754:KSG458831 KSG524290:KSG524367 KSG589826:KSG589903 KSG655362:KSG655439 KSG720898:KSG720975 KSG786434:KSG786511 KSG851970:KSG852047 KSG917506:KSG917583 KSG983042:KSG983119 LCC2:LCC79 LCC65538:LCC65615 LCC131074:LCC131151 LCC196610:LCC196687 LCC262146:LCC262223 LCC327682:LCC327759 LCC393218:LCC393295 LCC458754:LCC458831 LCC524290:LCC524367 LCC589826:LCC589903 LCC655362:LCC655439 LCC720898:LCC720975 LCC786434:LCC786511 LCC851970:LCC852047 LCC917506:LCC917583 LCC983042:LCC983119 LLY2:LLY79 LLY65538:LLY65615 LLY131074:LLY131151 LLY196610:LLY196687 LLY262146:LLY262223 LLY327682:LLY327759 LLY393218:LLY393295 LLY458754:LLY458831 LLY524290:LLY524367 LLY589826:LLY589903 LLY655362:LLY655439 LLY720898:LLY720975 LLY786434:LLY786511 LLY851970:LLY852047 LLY917506:LLY917583 LLY983042:LLY983119 LVU2:LVU79 LVU65538:LVU65615 LVU131074:LVU131151 LVU196610:LVU196687 LVU262146:LVU262223 LVU327682:LVU327759 LVU393218:LVU393295 LVU458754:LVU458831 LVU524290:LVU524367 LVU589826:LVU589903 LVU655362:LVU655439 LVU720898:LVU720975 LVU786434:LVU786511 LVU851970:LVU852047 LVU917506:LVU917583 LVU983042:LVU983119 MFQ2:MFQ79 MFQ65538:MFQ65615 MFQ131074:MFQ131151 MFQ196610:MFQ196687 MFQ262146:MFQ262223 MFQ327682:MFQ327759 MFQ393218:MFQ393295 MFQ458754:MFQ458831 MFQ524290:MFQ524367 MFQ589826:MFQ589903 MFQ655362:MFQ655439 MFQ720898:MFQ720975 MFQ786434:MFQ786511 MFQ851970:MFQ852047 MFQ917506:MFQ917583 MFQ983042:MFQ983119 MPM2:MPM79 MPM65538:MPM65615 MPM131074:MPM131151 MPM196610:MPM196687 MPM262146:MPM262223 MPM327682:MPM327759 MPM393218:MPM393295 MPM458754:MPM458831 MPM524290:MPM524367 MPM589826:MPM589903 MPM655362:MPM655439 MPM720898:MPM720975 MPM786434:MPM786511 MPM851970:MPM852047 MPM917506:MPM917583 MPM983042:MPM983119 MZI2:MZI79 MZI65538:MZI65615 MZI131074:MZI131151 MZI196610:MZI196687 MZI262146:MZI262223 MZI327682:MZI327759 MZI393218:MZI393295 MZI458754:MZI458831 MZI524290:MZI524367 MZI589826:MZI589903 MZI655362:MZI655439 MZI720898:MZI720975 MZI786434:MZI786511 MZI851970:MZI852047 MZI917506:MZI917583 MZI983042:MZI983119 NJE2:NJE79 NJE65538:NJE65615 NJE131074:NJE131151 NJE196610:NJE196687 NJE262146:NJE262223 NJE327682:NJE327759 NJE393218:NJE393295 NJE458754:NJE458831 NJE524290:NJE524367 NJE589826:NJE589903 NJE655362:NJE655439 NJE720898:NJE720975 NJE786434:NJE786511 NJE851970:NJE852047 NJE917506:NJE917583 NJE983042:NJE983119 NTA2:NTA79 NTA65538:NTA65615 NTA131074:NTA131151 NTA196610:NTA196687 NTA262146:NTA262223 NTA327682:NTA327759 NTA393218:NTA393295 NTA458754:NTA458831 NTA524290:NTA524367 NTA589826:NTA589903 NTA655362:NTA655439 NTA720898:NTA720975 NTA786434:NTA786511 NTA851970:NTA852047 NTA917506:NTA917583 NTA983042:NTA983119 OCW2:OCW79 OCW65538:OCW65615 OCW131074:OCW131151 OCW196610:OCW196687 OCW262146:OCW262223 OCW327682:OCW327759 OCW393218:OCW393295 OCW458754:OCW458831 OCW524290:OCW524367 OCW589826:OCW589903 OCW655362:OCW655439 OCW720898:OCW720975 OCW786434:OCW786511 OCW851970:OCW852047 OCW917506:OCW917583 OCW983042:OCW983119 OMS2:OMS79 OMS65538:OMS65615 OMS131074:OMS131151 OMS196610:OMS196687 OMS262146:OMS262223 OMS327682:OMS327759 OMS393218:OMS393295 OMS458754:OMS458831 OMS524290:OMS524367 OMS589826:OMS589903 OMS655362:OMS655439 OMS720898:OMS720975 OMS786434:OMS786511 OMS851970:OMS852047 OMS917506:OMS917583 OMS983042:OMS983119 OWO2:OWO79 OWO65538:OWO65615 OWO131074:OWO131151 OWO196610:OWO196687 OWO262146:OWO262223 OWO327682:OWO327759 OWO393218:OWO393295 OWO458754:OWO458831 OWO524290:OWO524367 OWO589826:OWO589903 OWO655362:OWO655439 OWO720898:OWO720975 OWO786434:OWO786511 OWO851970:OWO852047 OWO917506:OWO917583 OWO983042:OWO983119 PGK2:PGK79 PGK65538:PGK65615 PGK131074:PGK131151 PGK196610:PGK196687 PGK262146:PGK262223 PGK327682:PGK327759 PGK393218:PGK393295 PGK458754:PGK458831 PGK524290:PGK524367 PGK589826:PGK589903 PGK655362:PGK655439 PGK720898:PGK720975 PGK786434:PGK786511 PGK851970:PGK852047 PGK917506:PGK917583 PGK983042:PGK983119 PQG2:PQG79 PQG65538:PQG65615 PQG131074:PQG131151 PQG196610:PQG196687 PQG262146:PQG262223 PQG327682:PQG327759 PQG393218:PQG393295 PQG458754:PQG458831 PQG524290:PQG524367 PQG589826:PQG589903 PQG655362:PQG655439 PQG720898:PQG720975 PQG786434:PQG786511 PQG851970:PQG852047 PQG917506:PQG917583 PQG983042:PQG983119 QAC2:QAC79 QAC65538:QAC65615 QAC131074:QAC131151 QAC196610:QAC196687 QAC262146:QAC262223 QAC327682:QAC327759 QAC393218:QAC393295 QAC458754:QAC458831 QAC524290:QAC524367 QAC589826:QAC589903 QAC655362:QAC655439 QAC720898:QAC720975 QAC786434:QAC786511 QAC851970:QAC852047 QAC917506:QAC917583 QAC983042:QAC983119 QJY2:QJY79 QJY65538:QJY65615 QJY131074:QJY131151 QJY196610:QJY196687 QJY262146:QJY262223 QJY327682:QJY327759 QJY393218:QJY393295 QJY458754:QJY458831 QJY524290:QJY524367 QJY589826:QJY589903 QJY655362:QJY655439 QJY720898:QJY720975 QJY786434:QJY786511 QJY851970:QJY852047 QJY917506:QJY917583 QJY983042:QJY983119 QTU2:QTU79 QTU65538:QTU65615 QTU131074:QTU131151 QTU196610:QTU196687 QTU262146:QTU262223 QTU327682:QTU327759 QTU393218:QTU393295 QTU458754:QTU458831 QTU524290:QTU524367 QTU589826:QTU589903 QTU655362:QTU655439 QTU720898:QTU720975 QTU786434:QTU786511 QTU851970:QTU852047 QTU917506:QTU917583 QTU983042:QTU983119 RDQ2:RDQ79 RDQ65538:RDQ65615 RDQ131074:RDQ131151 RDQ196610:RDQ196687 RDQ262146:RDQ262223 RDQ327682:RDQ327759 RDQ393218:RDQ393295 RDQ458754:RDQ458831 RDQ524290:RDQ524367 RDQ589826:RDQ589903 RDQ655362:RDQ655439 RDQ720898:RDQ720975 RDQ786434:RDQ786511 RDQ851970:RDQ852047 RDQ917506:RDQ917583 RDQ983042:RDQ983119 RNM2:RNM79 RNM65538:RNM65615 RNM131074:RNM131151 RNM196610:RNM196687 RNM262146:RNM262223 RNM327682:RNM327759 RNM393218:RNM393295 RNM458754:RNM458831 RNM524290:RNM524367 RNM589826:RNM589903 RNM655362:RNM655439 RNM720898:RNM720975 RNM786434:RNM786511 RNM851970:RNM852047 RNM917506:RNM917583 RNM983042:RNM983119 RXI2:RXI79 RXI65538:RXI65615 RXI131074:RXI131151 RXI196610:RXI196687 RXI262146:RXI262223 RXI327682:RXI327759 RXI393218:RXI393295 RXI458754:RXI458831 RXI524290:RXI524367 RXI589826:RXI589903 RXI655362:RXI655439 RXI720898:RXI720975 RXI786434:RXI786511 RXI851970:RXI852047 RXI917506:RXI917583 RXI983042:RXI983119 SHE2:SHE79 SHE65538:SHE65615 SHE131074:SHE131151 SHE196610:SHE196687 SHE262146:SHE262223 SHE327682:SHE327759 SHE393218:SHE393295 SHE458754:SHE458831 SHE524290:SHE524367 SHE589826:SHE589903 SHE655362:SHE655439 SHE720898:SHE720975 SHE786434:SHE786511 SHE851970:SHE852047 SHE917506:SHE917583 SHE983042:SHE983119 SRA2:SRA79 SRA65538:SRA65615 SRA131074:SRA131151 SRA196610:SRA196687 SRA262146:SRA262223 SRA327682:SRA327759 SRA393218:SRA393295 SRA458754:SRA458831 SRA524290:SRA524367 SRA589826:SRA589903 SRA655362:SRA655439 SRA720898:SRA720975 SRA786434:SRA786511 SRA851970:SRA852047 SRA917506:SRA917583 SRA983042:SRA983119 TAW2:TAW79 TAW65538:TAW65615 TAW131074:TAW131151 TAW196610:TAW196687 TAW262146:TAW262223 TAW327682:TAW327759 TAW393218:TAW393295 TAW458754:TAW458831 TAW524290:TAW524367 TAW589826:TAW589903 TAW655362:TAW655439 TAW720898:TAW720975 TAW786434:TAW786511 TAW851970:TAW852047 TAW917506:TAW917583 TAW983042:TAW983119 TKS2:TKS79 TKS65538:TKS65615 TKS131074:TKS131151 TKS196610:TKS196687 TKS262146:TKS262223 TKS327682:TKS327759 TKS393218:TKS393295 TKS458754:TKS458831 TKS524290:TKS524367 TKS589826:TKS589903 TKS655362:TKS655439 TKS720898:TKS720975 TKS786434:TKS786511 TKS851970:TKS852047 TKS917506:TKS917583 TKS983042:TKS983119 TUO2:TUO79 TUO65538:TUO65615 TUO131074:TUO131151 TUO196610:TUO196687 TUO262146:TUO262223 TUO327682:TUO327759 TUO393218:TUO393295 TUO458754:TUO458831 TUO524290:TUO524367 TUO589826:TUO589903 TUO655362:TUO655439 TUO720898:TUO720975 TUO786434:TUO786511 TUO851970:TUO852047 TUO917506:TUO917583 TUO983042:TUO983119 UEK2:UEK79 UEK65538:UEK65615 UEK131074:UEK131151 UEK196610:UEK196687 UEK262146:UEK262223 UEK327682:UEK327759 UEK393218:UEK393295 UEK458754:UEK458831 UEK524290:UEK524367 UEK589826:UEK589903 UEK655362:UEK655439 UEK720898:UEK720975 UEK786434:UEK786511 UEK851970:UEK852047 UEK917506:UEK917583 UEK983042:UEK983119 UOG2:UOG79 UOG65538:UOG65615 UOG131074:UOG131151 UOG196610:UOG196687 UOG262146:UOG262223 UOG327682:UOG327759 UOG393218:UOG393295 UOG458754:UOG458831 UOG524290:UOG524367 UOG589826:UOG589903 UOG655362:UOG655439 UOG720898:UOG720975 UOG786434:UOG786511 UOG851970:UOG852047 UOG917506:UOG917583 UOG983042:UOG983119 UYC2:UYC79 UYC65538:UYC65615 UYC131074:UYC131151 UYC196610:UYC196687 UYC262146:UYC262223 UYC327682:UYC327759 UYC393218:UYC393295 UYC458754:UYC458831 UYC524290:UYC524367 UYC589826:UYC589903 UYC655362:UYC655439 UYC720898:UYC720975 UYC786434:UYC786511 UYC851970:UYC852047 UYC917506:UYC917583 UYC983042:UYC983119 VHY2:VHY79 VHY65538:VHY65615 VHY131074:VHY131151 VHY196610:VHY196687 VHY262146:VHY262223 VHY327682:VHY327759 VHY393218:VHY393295 VHY458754:VHY458831 VHY524290:VHY524367 VHY589826:VHY589903 VHY655362:VHY655439 VHY720898:VHY720975 VHY786434:VHY786511 VHY851970:VHY852047 VHY917506:VHY917583 VHY983042:VHY983119 VRU2:VRU79 VRU65538:VRU65615 VRU131074:VRU131151 VRU196610:VRU196687 VRU262146:VRU262223 VRU327682:VRU327759 VRU393218:VRU393295 VRU458754:VRU458831 VRU524290:VRU524367 VRU589826:VRU589903 VRU655362:VRU655439 VRU720898:VRU720975 VRU786434:VRU786511 VRU851970:VRU852047 VRU917506:VRU917583 VRU983042:VRU983119 WBQ2:WBQ79 WBQ65538:WBQ65615 WBQ131074:WBQ131151 WBQ196610:WBQ196687 WBQ262146:WBQ262223 WBQ327682:WBQ327759 WBQ393218:WBQ393295 WBQ458754:WBQ458831 WBQ524290:WBQ524367 WBQ589826:WBQ589903 WBQ655362:WBQ655439 WBQ720898:WBQ720975 WBQ786434:WBQ786511 WBQ851970:WBQ852047 WBQ917506:WBQ917583 WBQ983042:WBQ983119 WLM2:WLM79 WLM65538:WLM65615 WLM131074:WLM131151 WLM196610:WLM196687 WLM262146:WLM262223 WLM327682:WLM327759 WLM393218:WLM393295 WLM458754:WLM458831 WLM524290:WLM524367 WLM589826:WLM589903 WLM655362:WLM655439 WLM720898:WLM720975 WLM786434:WLM786511 WLM851970:WLM852047 WLM917506:WLM917583 WLM983042:WLM983119 WVI2:WVI79 WVI65538:WVI65615 WVI131074:WVI131151 WVI196610:WVI196687 WVI262146:WVI262223 WVI327682:WVI327759 WVI393218:WVI393295 WVI458754:WVI458831 WVI524290:WVI524367 WVI589826:WVI589903 WVI655362:WVI655439 WVI720898:WVI720975 WVI786434:WVI786511 WVI851970:WVI852047 WVI917506:WVI917583 WVI983042:WVI983119" xr:uid="{DADABCC5-9682-44B5-97AA-CE0717D4E57C}">
      <formula1>$AE$2:$AE$19</formula1>
    </dataValidation>
    <dataValidation type="list" allowBlank="1" showInputMessage="1" showErrorMessage="1" sqref="G2:G500 G65538:G65615 G131074:G131151 G196610:G196687 G262146:G262223 G327682:G327759 G393218:G393295 G458754:G458831 G524290:G524367 G589826:G589903 G655362:G655439 G720898:G720975 G786434:G786511 G851970:G852047 G917506:G917583 G983042:G983119 JC2:JC79 JC65538:JC65615 JC131074:JC131151 JC196610:JC196687 JC262146:JC262223 JC327682:JC327759 JC393218:JC393295 JC458754:JC458831 JC524290:JC524367 JC589826:JC589903 JC655362:JC655439 JC720898:JC720975 JC786434:JC786511 JC851970:JC852047 JC917506:JC917583 JC983042:JC983119 SY2:SY79 SY65538:SY65615 SY131074:SY131151 SY196610:SY196687 SY262146:SY262223 SY327682:SY327759 SY393218:SY393295 SY458754:SY458831 SY524290:SY524367 SY589826:SY589903 SY655362:SY655439 SY720898:SY720975 SY786434:SY786511 SY851970:SY852047 SY917506:SY917583 SY983042:SY983119 ACU2:ACU79 ACU65538:ACU65615 ACU131074:ACU131151 ACU196610:ACU196687 ACU262146:ACU262223 ACU327682:ACU327759 ACU393218:ACU393295 ACU458754:ACU458831 ACU524290:ACU524367 ACU589826:ACU589903 ACU655362:ACU655439 ACU720898:ACU720975 ACU786434:ACU786511 ACU851970:ACU852047 ACU917506:ACU917583 ACU983042:ACU983119 AMQ2:AMQ79 AMQ65538:AMQ65615 AMQ131074:AMQ131151 AMQ196610:AMQ196687 AMQ262146:AMQ262223 AMQ327682:AMQ327759 AMQ393218:AMQ393295 AMQ458754:AMQ458831 AMQ524290:AMQ524367 AMQ589826:AMQ589903 AMQ655362:AMQ655439 AMQ720898:AMQ720975 AMQ786434:AMQ786511 AMQ851970:AMQ852047 AMQ917506:AMQ917583 AMQ983042:AMQ983119 AWM2:AWM79 AWM65538:AWM65615 AWM131074:AWM131151 AWM196610:AWM196687 AWM262146:AWM262223 AWM327682:AWM327759 AWM393218:AWM393295 AWM458754:AWM458831 AWM524290:AWM524367 AWM589826:AWM589903 AWM655362:AWM655439 AWM720898:AWM720975 AWM786434:AWM786511 AWM851970:AWM852047 AWM917506:AWM917583 AWM983042:AWM983119 BGI2:BGI79 BGI65538:BGI65615 BGI131074:BGI131151 BGI196610:BGI196687 BGI262146:BGI262223 BGI327682:BGI327759 BGI393218:BGI393295 BGI458754:BGI458831 BGI524290:BGI524367 BGI589826:BGI589903 BGI655362:BGI655439 BGI720898:BGI720975 BGI786434:BGI786511 BGI851970:BGI852047 BGI917506:BGI917583 BGI983042:BGI983119 BQE2:BQE79 BQE65538:BQE65615 BQE131074:BQE131151 BQE196610:BQE196687 BQE262146:BQE262223 BQE327682:BQE327759 BQE393218:BQE393295 BQE458754:BQE458831 BQE524290:BQE524367 BQE589826:BQE589903 BQE655362:BQE655439 BQE720898:BQE720975 BQE786434:BQE786511 BQE851970:BQE852047 BQE917506:BQE917583 BQE983042:BQE983119 CAA2:CAA79 CAA65538:CAA65615 CAA131074:CAA131151 CAA196610:CAA196687 CAA262146:CAA262223 CAA327682:CAA327759 CAA393218:CAA393295 CAA458754:CAA458831 CAA524290:CAA524367 CAA589826:CAA589903 CAA655362:CAA655439 CAA720898:CAA720975 CAA786434:CAA786511 CAA851970:CAA852047 CAA917506:CAA917583 CAA983042:CAA983119 CJW2:CJW79 CJW65538:CJW65615 CJW131074:CJW131151 CJW196610:CJW196687 CJW262146:CJW262223 CJW327682:CJW327759 CJW393218:CJW393295 CJW458754:CJW458831 CJW524290:CJW524367 CJW589826:CJW589903 CJW655362:CJW655439 CJW720898:CJW720975 CJW786434:CJW786511 CJW851970:CJW852047 CJW917506:CJW917583 CJW983042:CJW983119 CTS2:CTS79 CTS65538:CTS65615 CTS131074:CTS131151 CTS196610:CTS196687 CTS262146:CTS262223 CTS327682:CTS327759 CTS393218:CTS393295 CTS458754:CTS458831 CTS524290:CTS524367 CTS589826:CTS589903 CTS655362:CTS655439 CTS720898:CTS720975 CTS786434:CTS786511 CTS851970:CTS852047 CTS917506:CTS917583 CTS983042:CTS983119 DDO2:DDO79 DDO65538:DDO65615 DDO131074:DDO131151 DDO196610:DDO196687 DDO262146:DDO262223 DDO327682:DDO327759 DDO393218:DDO393295 DDO458754:DDO458831 DDO524290:DDO524367 DDO589826:DDO589903 DDO655362:DDO655439 DDO720898:DDO720975 DDO786434:DDO786511 DDO851970:DDO852047 DDO917506:DDO917583 DDO983042:DDO983119 DNK2:DNK79 DNK65538:DNK65615 DNK131074:DNK131151 DNK196610:DNK196687 DNK262146:DNK262223 DNK327682:DNK327759 DNK393218:DNK393295 DNK458754:DNK458831 DNK524290:DNK524367 DNK589826:DNK589903 DNK655362:DNK655439 DNK720898:DNK720975 DNK786434:DNK786511 DNK851970:DNK852047 DNK917506:DNK917583 DNK983042:DNK983119 DXG2:DXG79 DXG65538:DXG65615 DXG131074:DXG131151 DXG196610:DXG196687 DXG262146:DXG262223 DXG327682:DXG327759 DXG393218:DXG393295 DXG458754:DXG458831 DXG524290:DXG524367 DXG589826:DXG589903 DXG655362:DXG655439 DXG720898:DXG720975 DXG786434:DXG786511 DXG851970:DXG852047 DXG917506:DXG917583 DXG983042:DXG983119 EHC2:EHC79 EHC65538:EHC65615 EHC131074:EHC131151 EHC196610:EHC196687 EHC262146:EHC262223 EHC327682:EHC327759 EHC393218:EHC393295 EHC458754:EHC458831 EHC524290:EHC524367 EHC589826:EHC589903 EHC655362:EHC655439 EHC720898:EHC720975 EHC786434:EHC786511 EHC851970:EHC852047 EHC917506:EHC917583 EHC983042:EHC983119 EQY2:EQY79 EQY65538:EQY65615 EQY131074:EQY131151 EQY196610:EQY196687 EQY262146:EQY262223 EQY327682:EQY327759 EQY393218:EQY393295 EQY458754:EQY458831 EQY524290:EQY524367 EQY589826:EQY589903 EQY655362:EQY655439 EQY720898:EQY720975 EQY786434:EQY786511 EQY851970:EQY852047 EQY917506:EQY917583 EQY983042:EQY983119 FAU2:FAU79 FAU65538:FAU65615 FAU131074:FAU131151 FAU196610:FAU196687 FAU262146:FAU262223 FAU327682:FAU327759 FAU393218:FAU393295 FAU458754:FAU458831 FAU524290:FAU524367 FAU589826:FAU589903 FAU655362:FAU655439 FAU720898:FAU720975 FAU786434:FAU786511 FAU851970:FAU852047 FAU917506:FAU917583 FAU983042:FAU983119 FKQ2:FKQ79 FKQ65538:FKQ65615 FKQ131074:FKQ131151 FKQ196610:FKQ196687 FKQ262146:FKQ262223 FKQ327682:FKQ327759 FKQ393218:FKQ393295 FKQ458754:FKQ458831 FKQ524290:FKQ524367 FKQ589826:FKQ589903 FKQ655362:FKQ655439 FKQ720898:FKQ720975 FKQ786434:FKQ786511 FKQ851970:FKQ852047 FKQ917506:FKQ917583 FKQ983042:FKQ983119 FUM2:FUM79 FUM65538:FUM65615 FUM131074:FUM131151 FUM196610:FUM196687 FUM262146:FUM262223 FUM327682:FUM327759 FUM393218:FUM393295 FUM458754:FUM458831 FUM524290:FUM524367 FUM589826:FUM589903 FUM655362:FUM655439 FUM720898:FUM720975 FUM786434:FUM786511 FUM851970:FUM852047 FUM917506:FUM917583 FUM983042:FUM983119 GEI2:GEI79 GEI65538:GEI65615 GEI131074:GEI131151 GEI196610:GEI196687 GEI262146:GEI262223 GEI327682:GEI327759 GEI393218:GEI393295 GEI458754:GEI458831 GEI524290:GEI524367 GEI589826:GEI589903 GEI655362:GEI655439 GEI720898:GEI720975 GEI786434:GEI786511 GEI851970:GEI852047 GEI917506:GEI917583 GEI983042:GEI983119 GOE2:GOE79 GOE65538:GOE65615 GOE131074:GOE131151 GOE196610:GOE196687 GOE262146:GOE262223 GOE327682:GOE327759 GOE393218:GOE393295 GOE458754:GOE458831 GOE524290:GOE524367 GOE589826:GOE589903 GOE655362:GOE655439 GOE720898:GOE720975 GOE786434:GOE786511 GOE851970:GOE852047 GOE917506:GOE917583 GOE983042:GOE983119 GYA2:GYA79 GYA65538:GYA65615 GYA131074:GYA131151 GYA196610:GYA196687 GYA262146:GYA262223 GYA327682:GYA327759 GYA393218:GYA393295 GYA458754:GYA458831 GYA524290:GYA524367 GYA589826:GYA589903 GYA655362:GYA655439 GYA720898:GYA720975 GYA786434:GYA786511 GYA851970:GYA852047 GYA917506:GYA917583 GYA983042:GYA983119 HHW2:HHW79 HHW65538:HHW65615 HHW131074:HHW131151 HHW196610:HHW196687 HHW262146:HHW262223 HHW327682:HHW327759 HHW393218:HHW393295 HHW458754:HHW458831 HHW524290:HHW524367 HHW589826:HHW589903 HHW655362:HHW655439 HHW720898:HHW720975 HHW786434:HHW786511 HHW851970:HHW852047 HHW917506:HHW917583 HHW983042:HHW983119 HRS2:HRS79 HRS65538:HRS65615 HRS131074:HRS131151 HRS196610:HRS196687 HRS262146:HRS262223 HRS327682:HRS327759 HRS393218:HRS393295 HRS458754:HRS458831 HRS524290:HRS524367 HRS589826:HRS589903 HRS655362:HRS655439 HRS720898:HRS720975 HRS786434:HRS786511 HRS851970:HRS852047 HRS917506:HRS917583 HRS983042:HRS983119 IBO2:IBO79 IBO65538:IBO65615 IBO131074:IBO131151 IBO196610:IBO196687 IBO262146:IBO262223 IBO327682:IBO327759 IBO393218:IBO393295 IBO458754:IBO458831 IBO524290:IBO524367 IBO589826:IBO589903 IBO655362:IBO655439 IBO720898:IBO720975 IBO786434:IBO786511 IBO851970:IBO852047 IBO917506:IBO917583 IBO983042:IBO983119 ILK2:ILK79 ILK65538:ILK65615 ILK131074:ILK131151 ILK196610:ILK196687 ILK262146:ILK262223 ILK327682:ILK327759 ILK393218:ILK393295 ILK458754:ILK458831 ILK524290:ILK524367 ILK589826:ILK589903 ILK655362:ILK655439 ILK720898:ILK720975 ILK786434:ILK786511 ILK851970:ILK852047 ILK917506:ILK917583 ILK983042:ILK983119 IVG2:IVG79 IVG65538:IVG65615 IVG131074:IVG131151 IVG196610:IVG196687 IVG262146:IVG262223 IVG327682:IVG327759 IVG393218:IVG393295 IVG458754:IVG458831 IVG524290:IVG524367 IVG589826:IVG589903 IVG655362:IVG655439 IVG720898:IVG720975 IVG786434:IVG786511 IVG851970:IVG852047 IVG917506:IVG917583 IVG983042:IVG983119 JFC2:JFC79 JFC65538:JFC65615 JFC131074:JFC131151 JFC196610:JFC196687 JFC262146:JFC262223 JFC327682:JFC327759 JFC393218:JFC393295 JFC458754:JFC458831 JFC524290:JFC524367 JFC589826:JFC589903 JFC655362:JFC655439 JFC720898:JFC720975 JFC786434:JFC786511 JFC851970:JFC852047 JFC917506:JFC917583 JFC983042:JFC983119 JOY2:JOY79 JOY65538:JOY65615 JOY131074:JOY131151 JOY196610:JOY196687 JOY262146:JOY262223 JOY327682:JOY327759 JOY393218:JOY393295 JOY458754:JOY458831 JOY524290:JOY524367 JOY589826:JOY589903 JOY655362:JOY655439 JOY720898:JOY720975 JOY786434:JOY786511 JOY851970:JOY852047 JOY917506:JOY917583 JOY983042:JOY983119 JYU2:JYU79 JYU65538:JYU65615 JYU131074:JYU131151 JYU196610:JYU196687 JYU262146:JYU262223 JYU327682:JYU327759 JYU393218:JYU393295 JYU458754:JYU458831 JYU524290:JYU524367 JYU589826:JYU589903 JYU655362:JYU655439 JYU720898:JYU720975 JYU786434:JYU786511 JYU851970:JYU852047 JYU917506:JYU917583 JYU983042:JYU983119 KIQ2:KIQ79 KIQ65538:KIQ65615 KIQ131074:KIQ131151 KIQ196610:KIQ196687 KIQ262146:KIQ262223 KIQ327682:KIQ327759 KIQ393218:KIQ393295 KIQ458754:KIQ458831 KIQ524290:KIQ524367 KIQ589826:KIQ589903 KIQ655362:KIQ655439 KIQ720898:KIQ720975 KIQ786434:KIQ786511 KIQ851970:KIQ852047 KIQ917506:KIQ917583 KIQ983042:KIQ983119 KSM2:KSM79 KSM65538:KSM65615 KSM131074:KSM131151 KSM196610:KSM196687 KSM262146:KSM262223 KSM327682:KSM327759 KSM393218:KSM393295 KSM458754:KSM458831 KSM524290:KSM524367 KSM589826:KSM589903 KSM655362:KSM655439 KSM720898:KSM720975 KSM786434:KSM786511 KSM851970:KSM852047 KSM917506:KSM917583 KSM983042:KSM983119 LCI2:LCI79 LCI65538:LCI65615 LCI131074:LCI131151 LCI196610:LCI196687 LCI262146:LCI262223 LCI327682:LCI327759 LCI393218:LCI393295 LCI458754:LCI458831 LCI524290:LCI524367 LCI589826:LCI589903 LCI655362:LCI655439 LCI720898:LCI720975 LCI786434:LCI786511 LCI851970:LCI852047 LCI917506:LCI917583 LCI983042:LCI983119 LME2:LME79 LME65538:LME65615 LME131074:LME131151 LME196610:LME196687 LME262146:LME262223 LME327682:LME327759 LME393218:LME393295 LME458754:LME458831 LME524290:LME524367 LME589826:LME589903 LME655362:LME655439 LME720898:LME720975 LME786434:LME786511 LME851970:LME852047 LME917506:LME917583 LME983042:LME983119 LWA2:LWA79 LWA65538:LWA65615 LWA131074:LWA131151 LWA196610:LWA196687 LWA262146:LWA262223 LWA327682:LWA327759 LWA393218:LWA393295 LWA458754:LWA458831 LWA524290:LWA524367 LWA589826:LWA589903 LWA655362:LWA655439 LWA720898:LWA720975 LWA786434:LWA786511 LWA851970:LWA852047 LWA917506:LWA917583 LWA983042:LWA983119 MFW2:MFW79 MFW65538:MFW65615 MFW131074:MFW131151 MFW196610:MFW196687 MFW262146:MFW262223 MFW327682:MFW327759 MFW393218:MFW393295 MFW458754:MFW458831 MFW524290:MFW524367 MFW589826:MFW589903 MFW655362:MFW655439 MFW720898:MFW720975 MFW786434:MFW786511 MFW851970:MFW852047 MFW917506:MFW917583 MFW983042:MFW983119 MPS2:MPS79 MPS65538:MPS65615 MPS131074:MPS131151 MPS196610:MPS196687 MPS262146:MPS262223 MPS327682:MPS327759 MPS393218:MPS393295 MPS458754:MPS458831 MPS524290:MPS524367 MPS589826:MPS589903 MPS655362:MPS655439 MPS720898:MPS720975 MPS786434:MPS786511 MPS851970:MPS852047 MPS917506:MPS917583 MPS983042:MPS983119 MZO2:MZO79 MZO65538:MZO65615 MZO131074:MZO131151 MZO196610:MZO196687 MZO262146:MZO262223 MZO327682:MZO327759 MZO393218:MZO393295 MZO458754:MZO458831 MZO524290:MZO524367 MZO589826:MZO589903 MZO655362:MZO655439 MZO720898:MZO720975 MZO786434:MZO786511 MZO851970:MZO852047 MZO917506:MZO917583 MZO983042:MZO983119 NJK2:NJK79 NJK65538:NJK65615 NJK131074:NJK131151 NJK196610:NJK196687 NJK262146:NJK262223 NJK327682:NJK327759 NJK393218:NJK393295 NJK458754:NJK458831 NJK524290:NJK524367 NJK589826:NJK589903 NJK655362:NJK655439 NJK720898:NJK720975 NJK786434:NJK786511 NJK851970:NJK852047 NJK917506:NJK917583 NJK983042:NJK983119 NTG2:NTG79 NTG65538:NTG65615 NTG131074:NTG131151 NTG196610:NTG196687 NTG262146:NTG262223 NTG327682:NTG327759 NTG393218:NTG393295 NTG458754:NTG458831 NTG524290:NTG524367 NTG589826:NTG589903 NTG655362:NTG655439 NTG720898:NTG720975 NTG786434:NTG786511 NTG851970:NTG852047 NTG917506:NTG917583 NTG983042:NTG983119 ODC2:ODC79 ODC65538:ODC65615 ODC131074:ODC131151 ODC196610:ODC196687 ODC262146:ODC262223 ODC327682:ODC327759 ODC393218:ODC393295 ODC458754:ODC458831 ODC524290:ODC524367 ODC589826:ODC589903 ODC655362:ODC655439 ODC720898:ODC720975 ODC786434:ODC786511 ODC851970:ODC852047 ODC917506:ODC917583 ODC983042:ODC983119 OMY2:OMY79 OMY65538:OMY65615 OMY131074:OMY131151 OMY196610:OMY196687 OMY262146:OMY262223 OMY327682:OMY327759 OMY393218:OMY393295 OMY458754:OMY458831 OMY524290:OMY524367 OMY589826:OMY589903 OMY655362:OMY655439 OMY720898:OMY720975 OMY786434:OMY786511 OMY851970:OMY852047 OMY917506:OMY917583 OMY983042:OMY983119 OWU2:OWU79 OWU65538:OWU65615 OWU131074:OWU131151 OWU196610:OWU196687 OWU262146:OWU262223 OWU327682:OWU327759 OWU393218:OWU393295 OWU458754:OWU458831 OWU524290:OWU524367 OWU589826:OWU589903 OWU655362:OWU655439 OWU720898:OWU720975 OWU786434:OWU786511 OWU851970:OWU852047 OWU917506:OWU917583 OWU983042:OWU983119 PGQ2:PGQ79 PGQ65538:PGQ65615 PGQ131074:PGQ131151 PGQ196610:PGQ196687 PGQ262146:PGQ262223 PGQ327682:PGQ327759 PGQ393218:PGQ393295 PGQ458754:PGQ458831 PGQ524290:PGQ524367 PGQ589826:PGQ589903 PGQ655362:PGQ655439 PGQ720898:PGQ720975 PGQ786434:PGQ786511 PGQ851970:PGQ852047 PGQ917506:PGQ917583 PGQ983042:PGQ983119 PQM2:PQM79 PQM65538:PQM65615 PQM131074:PQM131151 PQM196610:PQM196687 PQM262146:PQM262223 PQM327682:PQM327759 PQM393218:PQM393295 PQM458754:PQM458831 PQM524290:PQM524367 PQM589826:PQM589903 PQM655362:PQM655439 PQM720898:PQM720975 PQM786434:PQM786511 PQM851970:PQM852047 PQM917506:PQM917583 PQM983042:PQM983119 QAI2:QAI79 QAI65538:QAI65615 QAI131074:QAI131151 QAI196610:QAI196687 QAI262146:QAI262223 QAI327682:QAI327759 QAI393218:QAI393295 QAI458754:QAI458831 QAI524290:QAI524367 QAI589826:QAI589903 QAI655362:QAI655439 QAI720898:QAI720975 QAI786434:QAI786511 QAI851970:QAI852047 QAI917506:QAI917583 QAI983042:QAI983119 QKE2:QKE79 QKE65538:QKE65615 QKE131074:QKE131151 QKE196610:QKE196687 QKE262146:QKE262223 QKE327682:QKE327759 QKE393218:QKE393295 QKE458754:QKE458831 QKE524290:QKE524367 QKE589826:QKE589903 QKE655362:QKE655439 QKE720898:QKE720975 QKE786434:QKE786511 QKE851970:QKE852047 QKE917506:QKE917583 QKE983042:QKE983119 QUA2:QUA79 QUA65538:QUA65615 QUA131074:QUA131151 QUA196610:QUA196687 QUA262146:QUA262223 QUA327682:QUA327759 QUA393218:QUA393295 QUA458754:QUA458831 QUA524290:QUA524367 QUA589826:QUA589903 QUA655362:QUA655439 QUA720898:QUA720975 QUA786434:QUA786511 QUA851970:QUA852047 QUA917506:QUA917583 QUA983042:QUA983119 RDW2:RDW79 RDW65538:RDW65615 RDW131074:RDW131151 RDW196610:RDW196687 RDW262146:RDW262223 RDW327682:RDW327759 RDW393218:RDW393295 RDW458754:RDW458831 RDW524290:RDW524367 RDW589826:RDW589903 RDW655362:RDW655439 RDW720898:RDW720975 RDW786434:RDW786511 RDW851970:RDW852047 RDW917506:RDW917583 RDW983042:RDW983119 RNS2:RNS79 RNS65538:RNS65615 RNS131074:RNS131151 RNS196610:RNS196687 RNS262146:RNS262223 RNS327682:RNS327759 RNS393218:RNS393295 RNS458754:RNS458831 RNS524290:RNS524367 RNS589826:RNS589903 RNS655362:RNS655439 RNS720898:RNS720975 RNS786434:RNS786511 RNS851970:RNS852047 RNS917506:RNS917583 RNS983042:RNS983119 RXO2:RXO79 RXO65538:RXO65615 RXO131074:RXO131151 RXO196610:RXO196687 RXO262146:RXO262223 RXO327682:RXO327759 RXO393218:RXO393295 RXO458754:RXO458831 RXO524290:RXO524367 RXO589826:RXO589903 RXO655362:RXO655439 RXO720898:RXO720975 RXO786434:RXO786511 RXO851970:RXO852047 RXO917506:RXO917583 RXO983042:RXO983119 SHK2:SHK79 SHK65538:SHK65615 SHK131074:SHK131151 SHK196610:SHK196687 SHK262146:SHK262223 SHK327682:SHK327759 SHK393218:SHK393295 SHK458754:SHK458831 SHK524290:SHK524367 SHK589826:SHK589903 SHK655362:SHK655439 SHK720898:SHK720975 SHK786434:SHK786511 SHK851970:SHK852047 SHK917506:SHK917583 SHK983042:SHK983119 SRG2:SRG79 SRG65538:SRG65615 SRG131074:SRG131151 SRG196610:SRG196687 SRG262146:SRG262223 SRG327682:SRG327759 SRG393218:SRG393295 SRG458754:SRG458831 SRG524290:SRG524367 SRG589826:SRG589903 SRG655362:SRG655439 SRG720898:SRG720975 SRG786434:SRG786511 SRG851970:SRG852047 SRG917506:SRG917583 SRG983042:SRG983119 TBC2:TBC79 TBC65538:TBC65615 TBC131074:TBC131151 TBC196610:TBC196687 TBC262146:TBC262223 TBC327682:TBC327759 TBC393218:TBC393295 TBC458754:TBC458831 TBC524290:TBC524367 TBC589826:TBC589903 TBC655362:TBC655439 TBC720898:TBC720975 TBC786434:TBC786511 TBC851970:TBC852047 TBC917506:TBC917583 TBC983042:TBC983119 TKY2:TKY79 TKY65538:TKY65615 TKY131074:TKY131151 TKY196610:TKY196687 TKY262146:TKY262223 TKY327682:TKY327759 TKY393218:TKY393295 TKY458754:TKY458831 TKY524290:TKY524367 TKY589826:TKY589903 TKY655362:TKY655439 TKY720898:TKY720975 TKY786434:TKY786511 TKY851970:TKY852047 TKY917506:TKY917583 TKY983042:TKY983119 TUU2:TUU79 TUU65538:TUU65615 TUU131074:TUU131151 TUU196610:TUU196687 TUU262146:TUU262223 TUU327682:TUU327759 TUU393218:TUU393295 TUU458754:TUU458831 TUU524290:TUU524367 TUU589826:TUU589903 TUU655362:TUU655439 TUU720898:TUU720975 TUU786434:TUU786511 TUU851970:TUU852047 TUU917506:TUU917583 TUU983042:TUU983119 UEQ2:UEQ79 UEQ65538:UEQ65615 UEQ131074:UEQ131151 UEQ196610:UEQ196687 UEQ262146:UEQ262223 UEQ327682:UEQ327759 UEQ393218:UEQ393295 UEQ458754:UEQ458831 UEQ524290:UEQ524367 UEQ589826:UEQ589903 UEQ655362:UEQ655439 UEQ720898:UEQ720975 UEQ786434:UEQ786511 UEQ851970:UEQ852047 UEQ917506:UEQ917583 UEQ983042:UEQ983119 UOM2:UOM79 UOM65538:UOM65615 UOM131074:UOM131151 UOM196610:UOM196687 UOM262146:UOM262223 UOM327682:UOM327759 UOM393218:UOM393295 UOM458754:UOM458831 UOM524290:UOM524367 UOM589826:UOM589903 UOM655362:UOM655439 UOM720898:UOM720975 UOM786434:UOM786511 UOM851970:UOM852047 UOM917506:UOM917583 UOM983042:UOM983119 UYI2:UYI79 UYI65538:UYI65615 UYI131074:UYI131151 UYI196610:UYI196687 UYI262146:UYI262223 UYI327682:UYI327759 UYI393218:UYI393295 UYI458754:UYI458831 UYI524290:UYI524367 UYI589826:UYI589903 UYI655362:UYI655439 UYI720898:UYI720975 UYI786434:UYI786511 UYI851970:UYI852047 UYI917506:UYI917583 UYI983042:UYI983119 VIE2:VIE79 VIE65538:VIE65615 VIE131074:VIE131151 VIE196610:VIE196687 VIE262146:VIE262223 VIE327682:VIE327759 VIE393218:VIE393295 VIE458754:VIE458831 VIE524290:VIE524367 VIE589826:VIE589903 VIE655362:VIE655439 VIE720898:VIE720975 VIE786434:VIE786511 VIE851970:VIE852047 VIE917506:VIE917583 VIE983042:VIE983119 VSA2:VSA79 VSA65538:VSA65615 VSA131074:VSA131151 VSA196610:VSA196687 VSA262146:VSA262223 VSA327682:VSA327759 VSA393218:VSA393295 VSA458754:VSA458831 VSA524290:VSA524367 VSA589826:VSA589903 VSA655362:VSA655439 VSA720898:VSA720975 VSA786434:VSA786511 VSA851970:VSA852047 VSA917506:VSA917583 VSA983042:VSA983119 WBW2:WBW79 WBW65538:WBW65615 WBW131074:WBW131151 WBW196610:WBW196687 WBW262146:WBW262223 WBW327682:WBW327759 WBW393218:WBW393295 WBW458754:WBW458831 WBW524290:WBW524367 WBW589826:WBW589903 WBW655362:WBW655439 WBW720898:WBW720975 WBW786434:WBW786511 WBW851970:WBW852047 WBW917506:WBW917583 WBW983042:WBW983119 WLS2:WLS79 WLS65538:WLS65615 WLS131074:WLS131151 WLS196610:WLS196687 WLS262146:WLS262223 WLS327682:WLS327759 WLS393218:WLS393295 WLS458754:WLS458831 WLS524290:WLS524367 WLS589826:WLS589903 WLS655362:WLS655439 WLS720898:WLS720975 WLS786434:WLS786511 WLS851970:WLS852047 WLS917506:WLS917583 WLS983042:WLS983119 WVO2:WVO79 WVO65538:WVO65615 WVO131074:WVO131151 WVO196610:WVO196687 WVO262146:WVO262223 WVO327682:WVO327759 WVO393218:WVO393295 WVO458754:WVO458831 WVO524290:WVO524367 WVO589826:WVO589903 WVO655362:WVO655439 WVO720898:WVO720975 WVO786434:WVO786511 WVO851970:WVO852047 WVO917506:WVO917583 WVO983042:WVO983119" xr:uid="{FC2BB35F-859A-4181-8D85-74C42DEEBD2F}">
      <formula1>$AJ$2:$AJ$4</formula1>
    </dataValidation>
    <dataValidation type="list" allowBlank="1" showInputMessage="1" showErrorMessage="1" sqref="J2:J1000" xr:uid="{F0825A67-472A-48EA-B719-B8B490C4D075}">
      <formula1>$AP$2:$AP$29</formula1>
    </dataValidation>
    <dataValidation type="list" allowBlank="1" showInputMessage="1" showErrorMessage="1" sqref="K2:K1000" xr:uid="{F3A3D19D-4C91-4D79-82F5-BF2626C1E89E}">
      <formula1>$AR$2:$AR$28</formula1>
    </dataValidation>
    <dataValidation allowBlank="1" showInputMessage="1" showErrorMessage="1" sqref="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8 IX65538 ST65538 ACP65538 AML65538 AWH65538 BGD65538 BPZ65538 BZV65538 CJR65538 CTN65538 DDJ65538 DNF65538 DXB65538 EGX65538 EQT65538 FAP65538 FKL65538 FUH65538 GED65538 GNZ65538 GXV65538 HHR65538 HRN65538 IBJ65538 ILF65538 IVB65538 JEX65538 JOT65538 JYP65538 KIL65538 KSH65538 LCD65538 LLZ65538 LVV65538 MFR65538 MPN65538 MZJ65538 NJF65538 NTB65538 OCX65538 OMT65538 OWP65538 PGL65538 PQH65538 QAD65538 QJZ65538 QTV65538 RDR65538 RNN65538 RXJ65538 SHF65538 SRB65538 TAX65538 TKT65538 TUP65538 UEL65538 UOH65538 UYD65538 VHZ65538 VRV65538 WBR65538 WLN65538 WVJ65538 B131074 IX131074 ST131074 ACP131074 AML131074 AWH131074 BGD131074 BPZ131074 BZV131074 CJR131074 CTN131074 DDJ131074 DNF131074 DXB131074 EGX131074 EQT131074 FAP131074 FKL131074 FUH131074 GED131074 GNZ131074 GXV131074 HHR131074 HRN131074 IBJ131074 ILF131074 IVB131074 JEX131074 JOT131074 JYP131074 KIL131074 KSH131074 LCD131074 LLZ131074 LVV131074 MFR131074 MPN131074 MZJ131074 NJF131074 NTB131074 OCX131074 OMT131074 OWP131074 PGL131074 PQH131074 QAD131074 QJZ131074 QTV131074 RDR131074 RNN131074 RXJ131074 SHF131074 SRB131074 TAX131074 TKT131074 TUP131074 UEL131074 UOH131074 UYD131074 VHZ131074 VRV131074 WBR131074 WLN131074 WVJ131074 B196610 IX196610 ST196610 ACP196610 AML196610 AWH196610 BGD196610 BPZ196610 BZV196610 CJR196610 CTN196610 DDJ196610 DNF196610 DXB196610 EGX196610 EQT196610 FAP196610 FKL196610 FUH196610 GED196610 GNZ196610 GXV196610 HHR196610 HRN196610 IBJ196610 ILF196610 IVB196610 JEX196610 JOT196610 JYP196610 KIL196610 KSH196610 LCD196610 LLZ196610 LVV196610 MFR196610 MPN196610 MZJ196610 NJF196610 NTB196610 OCX196610 OMT196610 OWP196610 PGL196610 PQH196610 QAD196610 QJZ196610 QTV196610 RDR196610 RNN196610 RXJ196610 SHF196610 SRB196610 TAX196610 TKT196610 TUP196610 UEL196610 UOH196610 UYD196610 VHZ196610 VRV196610 WBR196610 WLN196610 WVJ196610 B262146 IX262146 ST262146 ACP262146 AML262146 AWH262146 BGD262146 BPZ262146 BZV262146 CJR262146 CTN262146 DDJ262146 DNF262146 DXB262146 EGX262146 EQT262146 FAP262146 FKL262146 FUH262146 GED262146 GNZ262146 GXV262146 HHR262146 HRN262146 IBJ262146 ILF262146 IVB262146 JEX262146 JOT262146 JYP262146 KIL262146 KSH262146 LCD262146 LLZ262146 LVV262146 MFR262146 MPN262146 MZJ262146 NJF262146 NTB262146 OCX262146 OMT262146 OWP262146 PGL262146 PQH262146 QAD262146 QJZ262146 QTV262146 RDR262146 RNN262146 RXJ262146 SHF262146 SRB262146 TAX262146 TKT262146 TUP262146 UEL262146 UOH262146 UYD262146 VHZ262146 VRV262146 WBR262146 WLN262146 WVJ262146 B327682 IX327682 ST327682 ACP327682 AML327682 AWH327682 BGD327682 BPZ327682 BZV327682 CJR327682 CTN327682 DDJ327682 DNF327682 DXB327682 EGX327682 EQT327682 FAP327682 FKL327682 FUH327682 GED327682 GNZ327682 GXV327682 HHR327682 HRN327682 IBJ327682 ILF327682 IVB327682 JEX327682 JOT327682 JYP327682 KIL327682 KSH327682 LCD327682 LLZ327682 LVV327682 MFR327682 MPN327682 MZJ327682 NJF327682 NTB327682 OCX327682 OMT327682 OWP327682 PGL327682 PQH327682 QAD327682 QJZ327682 QTV327682 RDR327682 RNN327682 RXJ327682 SHF327682 SRB327682 TAX327682 TKT327682 TUP327682 UEL327682 UOH327682 UYD327682 VHZ327682 VRV327682 WBR327682 WLN327682 WVJ327682 B393218 IX393218 ST393218 ACP393218 AML393218 AWH393218 BGD393218 BPZ393218 BZV393218 CJR393218 CTN393218 DDJ393218 DNF393218 DXB393218 EGX393218 EQT393218 FAP393218 FKL393218 FUH393218 GED393218 GNZ393218 GXV393218 HHR393218 HRN393218 IBJ393218 ILF393218 IVB393218 JEX393218 JOT393218 JYP393218 KIL393218 KSH393218 LCD393218 LLZ393218 LVV393218 MFR393218 MPN393218 MZJ393218 NJF393218 NTB393218 OCX393218 OMT393218 OWP393218 PGL393218 PQH393218 QAD393218 QJZ393218 QTV393218 RDR393218 RNN393218 RXJ393218 SHF393218 SRB393218 TAX393218 TKT393218 TUP393218 UEL393218 UOH393218 UYD393218 VHZ393218 VRV393218 WBR393218 WLN393218 WVJ393218 B458754 IX458754 ST458754 ACP458754 AML458754 AWH458754 BGD458754 BPZ458754 BZV458754 CJR458754 CTN458754 DDJ458754 DNF458754 DXB458754 EGX458754 EQT458754 FAP458754 FKL458754 FUH458754 GED458754 GNZ458754 GXV458754 HHR458754 HRN458754 IBJ458754 ILF458754 IVB458754 JEX458754 JOT458754 JYP458754 KIL458754 KSH458754 LCD458754 LLZ458754 LVV458754 MFR458754 MPN458754 MZJ458754 NJF458754 NTB458754 OCX458754 OMT458754 OWP458754 PGL458754 PQH458754 QAD458754 QJZ458754 QTV458754 RDR458754 RNN458754 RXJ458754 SHF458754 SRB458754 TAX458754 TKT458754 TUP458754 UEL458754 UOH458754 UYD458754 VHZ458754 VRV458754 WBR458754 WLN458754 WVJ458754 B524290 IX524290 ST524290 ACP524290 AML524290 AWH524290 BGD524290 BPZ524290 BZV524290 CJR524290 CTN524290 DDJ524290 DNF524290 DXB524290 EGX524290 EQT524290 FAP524290 FKL524290 FUH524290 GED524290 GNZ524290 GXV524290 HHR524290 HRN524290 IBJ524290 ILF524290 IVB524290 JEX524290 JOT524290 JYP524290 KIL524290 KSH524290 LCD524290 LLZ524290 LVV524290 MFR524290 MPN524290 MZJ524290 NJF524290 NTB524290 OCX524290 OMT524290 OWP524290 PGL524290 PQH524290 QAD524290 QJZ524290 QTV524290 RDR524290 RNN524290 RXJ524290 SHF524290 SRB524290 TAX524290 TKT524290 TUP524290 UEL524290 UOH524290 UYD524290 VHZ524290 VRV524290 WBR524290 WLN524290 WVJ524290 B589826 IX589826 ST589826 ACP589826 AML589826 AWH589826 BGD589826 BPZ589826 BZV589826 CJR589826 CTN589826 DDJ589826 DNF589826 DXB589826 EGX589826 EQT589826 FAP589826 FKL589826 FUH589826 GED589826 GNZ589826 GXV589826 HHR589826 HRN589826 IBJ589826 ILF589826 IVB589826 JEX589826 JOT589826 JYP589826 KIL589826 KSH589826 LCD589826 LLZ589826 LVV589826 MFR589826 MPN589826 MZJ589826 NJF589826 NTB589826 OCX589826 OMT589826 OWP589826 PGL589826 PQH589826 QAD589826 QJZ589826 QTV589826 RDR589826 RNN589826 RXJ589826 SHF589826 SRB589826 TAX589826 TKT589826 TUP589826 UEL589826 UOH589826 UYD589826 VHZ589826 VRV589826 WBR589826 WLN589826 WVJ589826 B655362 IX655362 ST655362 ACP655362 AML655362 AWH655362 BGD655362 BPZ655362 BZV655362 CJR655362 CTN655362 DDJ655362 DNF655362 DXB655362 EGX655362 EQT655362 FAP655362 FKL655362 FUH655362 GED655362 GNZ655362 GXV655362 HHR655362 HRN655362 IBJ655362 ILF655362 IVB655362 JEX655362 JOT655362 JYP655362 KIL655362 KSH655362 LCD655362 LLZ655362 LVV655362 MFR655362 MPN655362 MZJ655362 NJF655362 NTB655362 OCX655362 OMT655362 OWP655362 PGL655362 PQH655362 QAD655362 QJZ655362 QTV655362 RDR655362 RNN655362 RXJ655362 SHF655362 SRB655362 TAX655362 TKT655362 TUP655362 UEL655362 UOH655362 UYD655362 VHZ655362 VRV655362 WBR655362 WLN655362 WVJ655362 B720898 IX720898 ST720898 ACP720898 AML720898 AWH720898 BGD720898 BPZ720898 BZV720898 CJR720898 CTN720898 DDJ720898 DNF720898 DXB720898 EGX720898 EQT720898 FAP720898 FKL720898 FUH720898 GED720898 GNZ720898 GXV720898 HHR720898 HRN720898 IBJ720898 ILF720898 IVB720898 JEX720898 JOT720898 JYP720898 KIL720898 KSH720898 LCD720898 LLZ720898 LVV720898 MFR720898 MPN720898 MZJ720898 NJF720898 NTB720898 OCX720898 OMT720898 OWP720898 PGL720898 PQH720898 QAD720898 QJZ720898 QTV720898 RDR720898 RNN720898 RXJ720898 SHF720898 SRB720898 TAX720898 TKT720898 TUP720898 UEL720898 UOH720898 UYD720898 VHZ720898 VRV720898 WBR720898 WLN720898 WVJ720898 B786434 IX786434 ST786434 ACP786434 AML786434 AWH786434 BGD786434 BPZ786434 BZV786434 CJR786434 CTN786434 DDJ786434 DNF786434 DXB786434 EGX786434 EQT786434 FAP786434 FKL786434 FUH786434 GED786434 GNZ786434 GXV786434 HHR786434 HRN786434 IBJ786434 ILF786434 IVB786434 JEX786434 JOT786434 JYP786434 KIL786434 KSH786434 LCD786434 LLZ786434 LVV786434 MFR786434 MPN786434 MZJ786434 NJF786434 NTB786434 OCX786434 OMT786434 OWP786434 PGL786434 PQH786434 QAD786434 QJZ786434 QTV786434 RDR786434 RNN786434 RXJ786434 SHF786434 SRB786434 TAX786434 TKT786434 TUP786434 UEL786434 UOH786434 UYD786434 VHZ786434 VRV786434 WBR786434 WLN786434 WVJ786434 B851970 IX851970 ST851970 ACP851970 AML851970 AWH851970 BGD851970 BPZ851970 BZV851970 CJR851970 CTN851970 DDJ851970 DNF851970 DXB851970 EGX851970 EQT851970 FAP851970 FKL851970 FUH851970 GED851970 GNZ851970 GXV851970 HHR851970 HRN851970 IBJ851970 ILF851970 IVB851970 JEX851970 JOT851970 JYP851970 KIL851970 KSH851970 LCD851970 LLZ851970 LVV851970 MFR851970 MPN851970 MZJ851970 NJF851970 NTB851970 OCX851970 OMT851970 OWP851970 PGL851970 PQH851970 QAD851970 QJZ851970 QTV851970 RDR851970 RNN851970 RXJ851970 SHF851970 SRB851970 TAX851970 TKT851970 TUP851970 UEL851970 UOH851970 UYD851970 VHZ851970 VRV851970 WBR851970 WLN851970 WVJ851970 B917506 IX917506 ST917506 ACP917506 AML917506 AWH917506 BGD917506 BPZ917506 BZV917506 CJR917506 CTN917506 DDJ917506 DNF917506 DXB917506 EGX917506 EQT917506 FAP917506 FKL917506 FUH917506 GED917506 GNZ917506 GXV917506 HHR917506 HRN917506 IBJ917506 ILF917506 IVB917506 JEX917506 JOT917506 JYP917506 KIL917506 KSH917506 LCD917506 LLZ917506 LVV917506 MFR917506 MPN917506 MZJ917506 NJF917506 NTB917506 OCX917506 OMT917506 OWP917506 PGL917506 PQH917506 QAD917506 QJZ917506 QTV917506 RDR917506 RNN917506 RXJ917506 SHF917506 SRB917506 TAX917506 TKT917506 TUP917506 UEL917506 UOH917506 UYD917506 VHZ917506 VRV917506 WBR917506 WLN917506 WVJ917506 B983042 IX983042 ST983042 ACP983042 AML983042 AWH983042 BGD983042 BPZ983042 BZV983042 CJR983042 CTN983042 DDJ983042 DNF983042 DXB983042 EGX983042 EQT983042 FAP983042 FKL983042 FUH983042 GED983042 GNZ983042 GXV983042 HHR983042 HRN983042 IBJ983042 ILF983042 IVB983042 JEX983042 JOT983042 JYP983042 KIL983042 KSH983042 LCD983042 LLZ983042 LVV983042 MFR983042 MPN983042 MZJ983042 NJF983042 NTB983042 OCX983042 OMT983042 OWP983042 PGL983042 PQH983042 QAD983042 QJZ983042 QTV983042 RDR983042 RNN983042 RXJ983042 SHF983042 SRB983042 TAX983042 TKT983042 TUP983042 UEL983042 UOH983042 UYD983042 VHZ983042 VRV983042 WBR983042 WLN983042 WVJ983042 B2:B169" xr:uid="{9A9BAA8C-D0AA-4150-99C3-EFAD214ED3AE}"/>
    <dataValidation type="list" allowBlank="1" showInputMessage="1" showErrorMessage="1" sqref="E2:E732 E65538:E65615 E131074:E131151 E196610:E196687 E262146:E262223 E327682:E327759 E393218:E393295 E458754:E458831 E524290:E524367 E589826:E589903 E655362:E655439 E720898:E720975 E786434:E786511 E851970:E852047 E917506:E917583 E983042:E983119 JA2:JA79 JA65538:JA65615 JA131074:JA131151 JA196610:JA196687 JA262146:JA262223 JA327682:JA327759 JA393218:JA393295 JA458754:JA458831 JA524290:JA524367 JA589826:JA589903 JA655362:JA655439 JA720898:JA720975 JA786434:JA786511 JA851970:JA852047 JA917506:JA917583 JA983042:JA983119 SW2:SW79 SW65538:SW65615 SW131074:SW131151 SW196610:SW196687 SW262146:SW262223 SW327682:SW327759 SW393218:SW393295 SW458754:SW458831 SW524290:SW524367 SW589826:SW589903 SW655362:SW655439 SW720898:SW720975 SW786434:SW786511 SW851970:SW852047 SW917506:SW917583 SW983042:SW983119 ACS2:ACS79 ACS65538:ACS65615 ACS131074:ACS131151 ACS196610:ACS196687 ACS262146:ACS262223 ACS327682:ACS327759 ACS393218:ACS393295 ACS458754:ACS458831 ACS524290:ACS524367 ACS589826:ACS589903 ACS655362:ACS655439 ACS720898:ACS720975 ACS786434:ACS786511 ACS851970:ACS852047 ACS917506:ACS917583 ACS983042:ACS983119 AMO2:AMO79 AMO65538:AMO65615 AMO131074:AMO131151 AMO196610:AMO196687 AMO262146:AMO262223 AMO327682:AMO327759 AMO393218:AMO393295 AMO458754:AMO458831 AMO524290:AMO524367 AMO589826:AMO589903 AMO655362:AMO655439 AMO720898:AMO720975 AMO786434:AMO786511 AMO851970:AMO852047 AMO917506:AMO917583 AMO983042:AMO983119 AWK2:AWK79 AWK65538:AWK65615 AWK131074:AWK131151 AWK196610:AWK196687 AWK262146:AWK262223 AWK327682:AWK327759 AWK393218:AWK393295 AWK458754:AWK458831 AWK524290:AWK524367 AWK589826:AWK589903 AWK655362:AWK655439 AWK720898:AWK720975 AWK786434:AWK786511 AWK851970:AWK852047 AWK917506:AWK917583 AWK983042:AWK983119 BGG2:BGG79 BGG65538:BGG65615 BGG131074:BGG131151 BGG196610:BGG196687 BGG262146:BGG262223 BGG327682:BGG327759 BGG393218:BGG393295 BGG458754:BGG458831 BGG524290:BGG524367 BGG589826:BGG589903 BGG655362:BGG655439 BGG720898:BGG720975 BGG786434:BGG786511 BGG851970:BGG852047 BGG917506:BGG917583 BGG983042:BGG983119 BQC2:BQC79 BQC65538:BQC65615 BQC131074:BQC131151 BQC196610:BQC196687 BQC262146:BQC262223 BQC327682:BQC327759 BQC393218:BQC393295 BQC458754:BQC458831 BQC524290:BQC524367 BQC589826:BQC589903 BQC655362:BQC655439 BQC720898:BQC720975 BQC786434:BQC786511 BQC851970:BQC852047 BQC917506:BQC917583 BQC983042:BQC983119 BZY2:BZY79 BZY65538:BZY65615 BZY131074:BZY131151 BZY196610:BZY196687 BZY262146:BZY262223 BZY327682:BZY327759 BZY393218:BZY393295 BZY458754:BZY458831 BZY524290:BZY524367 BZY589826:BZY589903 BZY655362:BZY655439 BZY720898:BZY720975 BZY786434:BZY786511 BZY851970:BZY852047 BZY917506:BZY917583 BZY983042:BZY983119 CJU2:CJU79 CJU65538:CJU65615 CJU131074:CJU131151 CJU196610:CJU196687 CJU262146:CJU262223 CJU327682:CJU327759 CJU393218:CJU393295 CJU458754:CJU458831 CJU524290:CJU524367 CJU589826:CJU589903 CJU655362:CJU655439 CJU720898:CJU720975 CJU786434:CJU786511 CJU851970:CJU852047 CJU917506:CJU917583 CJU983042:CJU983119 CTQ2:CTQ79 CTQ65538:CTQ65615 CTQ131074:CTQ131151 CTQ196610:CTQ196687 CTQ262146:CTQ262223 CTQ327682:CTQ327759 CTQ393218:CTQ393295 CTQ458754:CTQ458831 CTQ524290:CTQ524367 CTQ589826:CTQ589903 CTQ655362:CTQ655439 CTQ720898:CTQ720975 CTQ786434:CTQ786511 CTQ851970:CTQ852047 CTQ917506:CTQ917583 CTQ983042:CTQ983119 DDM2:DDM79 DDM65538:DDM65615 DDM131074:DDM131151 DDM196610:DDM196687 DDM262146:DDM262223 DDM327682:DDM327759 DDM393218:DDM393295 DDM458754:DDM458831 DDM524290:DDM524367 DDM589826:DDM589903 DDM655362:DDM655439 DDM720898:DDM720975 DDM786434:DDM786511 DDM851970:DDM852047 DDM917506:DDM917583 DDM983042:DDM983119 DNI2:DNI79 DNI65538:DNI65615 DNI131074:DNI131151 DNI196610:DNI196687 DNI262146:DNI262223 DNI327682:DNI327759 DNI393218:DNI393295 DNI458754:DNI458831 DNI524290:DNI524367 DNI589826:DNI589903 DNI655362:DNI655439 DNI720898:DNI720975 DNI786434:DNI786511 DNI851970:DNI852047 DNI917506:DNI917583 DNI983042:DNI983119 DXE2:DXE79 DXE65538:DXE65615 DXE131074:DXE131151 DXE196610:DXE196687 DXE262146:DXE262223 DXE327682:DXE327759 DXE393218:DXE393295 DXE458754:DXE458831 DXE524290:DXE524367 DXE589826:DXE589903 DXE655362:DXE655439 DXE720898:DXE720975 DXE786434:DXE786511 DXE851970:DXE852047 DXE917506:DXE917583 DXE983042:DXE983119 EHA2:EHA79 EHA65538:EHA65615 EHA131074:EHA131151 EHA196610:EHA196687 EHA262146:EHA262223 EHA327682:EHA327759 EHA393218:EHA393295 EHA458754:EHA458831 EHA524290:EHA524367 EHA589826:EHA589903 EHA655362:EHA655439 EHA720898:EHA720975 EHA786434:EHA786511 EHA851970:EHA852047 EHA917506:EHA917583 EHA983042:EHA983119 EQW2:EQW79 EQW65538:EQW65615 EQW131074:EQW131151 EQW196610:EQW196687 EQW262146:EQW262223 EQW327682:EQW327759 EQW393218:EQW393295 EQW458754:EQW458831 EQW524290:EQW524367 EQW589826:EQW589903 EQW655362:EQW655439 EQW720898:EQW720975 EQW786434:EQW786511 EQW851970:EQW852047 EQW917506:EQW917583 EQW983042:EQW983119 FAS2:FAS79 FAS65538:FAS65615 FAS131074:FAS131151 FAS196610:FAS196687 FAS262146:FAS262223 FAS327682:FAS327759 FAS393218:FAS393295 FAS458754:FAS458831 FAS524290:FAS524367 FAS589826:FAS589903 FAS655362:FAS655439 FAS720898:FAS720975 FAS786434:FAS786511 FAS851970:FAS852047 FAS917506:FAS917583 FAS983042:FAS983119 FKO2:FKO79 FKO65538:FKO65615 FKO131074:FKO131151 FKO196610:FKO196687 FKO262146:FKO262223 FKO327682:FKO327759 FKO393218:FKO393295 FKO458754:FKO458831 FKO524290:FKO524367 FKO589826:FKO589903 FKO655362:FKO655439 FKO720898:FKO720975 FKO786434:FKO786511 FKO851970:FKO852047 FKO917506:FKO917583 FKO983042:FKO983119 FUK2:FUK79 FUK65538:FUK65615 FUK131074:FUK131151 FUK196610:FUK196687 FUK262146:FUK262223 FUK327682:FUK327759 FUK393218:FUK393295 FUK458754:FUK458831 FUK524290:FUK524367 FUK589826:FUK589903 FUK655362:FUK655439 FUK720898:FUK720975 FUK786434:FUK786511 FUK851970:FUK852047 FUK917506:FUK917583 FUK983042:FUK983119 GEG2:GEG79 GEG65538:GEG65615 GEG131074:GEG131151 GEG196610:GEG196687 GEG262146:GEG262223 GEG327682:GEG327759 GEG393218:GEG393295 GEG458754:GEG458831 GEG524290:GEG524367 GEG589826:GEG589903 GEG655362:GEG655439 GEG720898:GEG720975 GEG786434:GEG786511 GEG851970:GEG852047 GEG917506:GEG917583 GEG983042:GEG983119 GOC2:GOC79 GOC65538:GOC65615 GOC131074:GOC131151 GOC196610:GOC196687 GOC262146:GOC262223 GOC327682:GOC327759 GOC393218:GOC393295 GOC458754:GOC458831 GOC524290:GOC524367 GOC589826:GOC589903 GOC655362:GOC655439 GOC720898:GOC720975 GOC786434:GOC786511 GOC851970:GOC852047 GOC917506:GOC917583 GOC983042:GOC983119 GXY2:GXY79 GXY65538:GXY65615 GXY131074:GXY131151 GXY196610:GXY196687 GXY262146:GXY262223 GXY327682:GXY327759 GXY393218:GXY393295 GXY458754:GXY458831 GXY524290:GXY524367 GXY589826:GXY589903 GXY655362:GXY655439 GXY720898:GXY720975 GXY786434:GXY786511 GXY851970:GXY852047 GXY917506:GXY917583 GXY983042:GXY983119 HHU2:HHU79 HHU65538:HHU65615 HHU131074:HHU131151 HHU196610:HHU196687 HHU262146:HHU262223 HHU327682:HHU327759 HHU393218:HHU393295 HHU458754:HHU458831 HHU524290:HHU524367 HHU589826:HHU589903 HHU655362:HHU655439 HHU720898:HHU720975 HHU786434:HHU786511 HHU851970:HHU852047 HHU917506:HHU917583 HHU983042:HHU983119 HRQ2:HRQ79 HRQ65538:HRQ65615 HRQ131074:HRQ131151 HRQ196610:HRQ196687 HRQ262146:HRQ262223 HRQ327682:HRQ327759 HRQ393218:HRQ393295 HRQ458754:HRQ458831 HRQ524290:HRQ524367 HRQ589826:HRQ589903 HRQ655362:HRQ655439 HRQ720898:HRQ720975 HRQ786434:HRQ786511 HRQ851970:HRQ852047 HRQ917506:HRQ917583 HRQ983042:HRQ983119 IBM2:IBM79 IBM65538:IBM65615 IBM131074:IBM131151 IBM196610:IBM196687 IBM262146:IBM262223 IBM327682:IBM327759 IBM393218:IBM393295 IBM458754:IBM458831 IBM524290:IBM524367 IBM589826:IBM589903 IBM655362:IBM655439 IBM720898:IBM720975 IBM786434:IBM786511 IBM851970:IBM852047 IBM917506:IBM917583 IBM983042:IBM983119 ILI2:ILI79 ILI65538:ILI65615 ILI131074:ILI131151 ILI196610:ILI196687 ILI262146:ILI262223 ILI327682:ILI327759 ILI393218:ILI393295 ILI458754:ILI458831 ILI524290:ILI524367 ILI589826:ILI589903 ILI655362:ILI655439 ILI720898:ILI720975 ILI786434:ILI786511 ILI851970:ILI852047 ILI917506:ILI917583 ILI983042:ILI983119 IVE2:IVE79 IVE65538:IVE65615 IVE131074:IVE131151 IVE196610:IVE196687 IVE262146:IVE262223 IVE327682:IVE327759 IVE393218:IVE393295 IVE458754:IVE458831 IVE524290:IVE524367 IVE589826:IVE589903 IVE655362:IVE655439 IVE720898:IVE720975 IVE786434:IVE786511 IVE851970:IVE852047 IVE917506:IVE917583 IVE983042:IVE983119 JFA2:JFA79 JFA65538:JFA65615 JFA131074:JFA131151 JFA196610:JFA196687 JFA262146:JFA262223 JFA327682:JFA327759 JFA393218:JFA393295 JFA458754:JFA458831 JFA524290:JFA524367 JFA589826:JFA589903 JFA655362:JFA655439 JFA720898:JFA720975 JFA786434:JFA786511 JFA851970:JFA852047 JFA917506:JFA917583 JFA983042:JFA983119 JOW2:JOW79 JOW65538:JOW65615 JOW131074:JOW131151 JOW196610:JOW196687 JOW262146:JOW262223 JOW327682:JOW327759 JOW393218:JOW393295 JOW458754:JOW458831 JOW524290:JOW524367 JOW589826:JOW589903 JOW655362:JOW655439 JOW720898:JOW720975 JOW786434:JOW786511 JOW851970:JOW852047 JOW917506:JOW917583 JOW983042:JOW983119 JYS2:JYS79 JYS65538:JYS65615 JYS131074:JYS131151 JYS196610:JYS196687 JYS262146:JYS262223 JYS327682:JYS327759 JYS393218:JYS393295 JYS458754:JYS458831 JYS524290:JYS524367 JYS589826:JYS589903 JYS655362:JYS655439 JYS720898:JYS720975 JYS786434:JYS786511 JYS851970:JYS852047 JYS917506:JYS917583 JYS983042:JYS983119 KIO2:KIO79 KIO65538:KIO65615 KIO131074:KIO131151 KIO196610:KIO196687 KIO262146:KIO262223 KIO327682:KIO327759 KIO393218:KIO393295 KIO458754:KIO458831 KIO524290:KIO524367 KIO589826:KIO589903 KIO655362:KIO655439 KIO720898:KIO720975 KIO786434:KIO786511 KIO851970:KIO852047 KIO917506:KIO917583 KIO983042:KIO983119 KSK2:KSK79 KSK65538:KSK65615 KSK131074:KSK131151 KSK196610:KSK196687 KSK262146:KSK262223 KSK327682:KSK327759 KSK393218:KSK393295 KSK458754:KSK458831 KSK524290:KSK524367 KSK589826:KSK589903 KSK655362:KSK655439 KSK720898:KSK720975 KSK786434:KSK786511 KSK851970:KSK852047 KSK917506:KSK917583 KSK983042:KSK983119 LCG2:LCG79 LCG65538:LCG65615 LCG131074:LCG131151 LCG196610:LCG196687 LCG262146:LCG262223 LCG327682:LCG327759 LCG393218:LCG393295 LCG458754:LCG458831 LCG524290:LCG524367 LCG589826:LCG589903 LCG655362:LCG655439 LCG720898:LCG720975 LCG786434:LCG786511 LCG851970:LCG852047 LCG917506:LCG917583 LCG983042:LCG983119 LMC2:LMC79 LMC65538:LMC65615 LMC131074:LMC131151 LMC196610:LMC196687 LMC262146:LMC262223 LMC327682:LMC327759 LMC393218:LMC393295 LMC458754:LMC458831 LMC524290:LMC524367 LMC589826:LMC589903 LMC655362:LMC655439 LMC720898:LMC720975 LMC786434:LMC786511 LMC851970:LMC852047 LMC917506:LMC917583 LMC983042:LMC983119 LVY2:LVY79 LVY65538:LVY65615 LVY131074:LVY131151 LVY196610:LVY196687 LVY262146:LVY262223 LVY327682:LVY327759 LVY393218:LVY393295 LVY458754:LVY458831 LVY524290:LVY524367 LVY589826:LVY589903 LVY655362:LVY655439 LVY720898:LVY720975 LVY786434:LVY786511 LVY851970:LVY852047 LVY917506:LVY917583 LVY983042:LVY983119 MFU2:MFU79 MFU65538:MFU65615 MFU131074:MFU131151 MFU196610:MFU196687 MFU262146:MFU262223 MFU327682:MFU327759 MFU393218:MFU393295 MFU458754:MFU458831 MFU524290:MFU524367 MFU589826:MFU589903 MFU655362:MFU655439 MFU720898:MFU720975 MFU786434:MFU786511 MFU851970:MFU852047 MFU917506:MFU917583 MFU983042:MFU983119 MPQ2:MPQ79 MPQ65538:MPQ65615 MPQ131074:MPQ131151 MPQ196610:MPQ196687 MPQ262146:MPQ262223 MPQ327682:MPQ327759 MPQ393218:MPQ393295 MPQ458754:MPQ458831 MPQ524290:MPQ524367 MPQ589826:MPQ589903 MPQ655362:MPQ655439 MPQ720898:MPQ720975 MPQ786434:MPQ786511 MPQ851970:MPQ852047 MPQ917506:MPQ917583 MPQ983042:MPQ983119 MZM2:MZM79 MZM65538:MZM65615 MZM131074:MZM131151 MZM196610:MZM196687 MZM262146:MZM262223 MZM327682:MZM327759 MZM393218:MZM393295 MZM458754:MZM458831 MZM524290:MZM524367 MZM589826:MZM589903 MZM655362:MZM655439 MZM720898:MZM720975 MZM786434:MZM786511 MZM851970:MZM852047 MZM917506:MZM917583 MZM983042:MZM983119 NJI2:NJI79 NJI65538:NJI65615 NJI131074:NJI131151 NJI196610:NJI196687 NJI262146:NJI262223 NJI327682:NJI327759 NJI393218:NJI393295 NJI458754:NJI458831 NJI524290:NJI524367 NJI589826:NJI589903 NJI655362:NJI655439 NJI720898:NJI720975 NJI786434:NJI786511 NJI851970:NJI852047 NJI917506:NJI917583 NJI983042:NJI983119 NTE2:NTE79 NTE65538:NTE65615 NTE131074:NTE131151 NTE196610:NTE196687 NTE262146:NTE262223 NTE327682:NTE327759 NTE393218:NTE393295 NTE458754:NTE458831 NTE524290:NTE524367 NTE589826:NTE589903 NTE655362:NTE655439 NTE720898:NTE720975 NTE786434:NTE786511 NTE851970:NTE852047 NTE917506:NTE917583 NTE983042:NTE983119 ODA2:ODA79 ODA65538:ODA65615 ODA131074:ODA131151 ODA196610:ODA196687 ODA262146:ODA262223 ODA327682:ODA327759 ODA393218:ODA393295 ODA458754:ODA458831 ODA524290:ODA524367 ODA589826:ODA589903 ODA655362:ODA655439 ODA720898:ODA720975 ODA786434:ODA786511 ODA851970:ODA852047 ODA917506:ODA917583 ODA983042:ODA983119 OMW2:OMW79 OMW65538:OMW65615 OMW131074:OMW131151 OMW196610:OMW196687 OMW262146:OMW262223 OMW327682:OMW327759 OMW393218:OMW393295 OMW458754:OMW458831 OMW524290:OMW524367 OMW589826:OMW589903 OMW655362:OMW655439 OMW720898:OMW720975 OMW786434:OMW786511 OMW851970:OMW852047 OMW917506:OMW917583 OMW983042:OMW983119 OWS2:OWS79 OWS65538:OWS65615 OWS131074:OWS131151 OWS196610:OWS196687 OWS262146:OWS262223 OWS327682:OWS327759 OWS393218:OWS393295 OWS458754:OWS458831 OWS524290:OWS524367 OWS589826:OWS589903 OWS655362:OWS655439 OWS720898:OWS720975 OWS786434:OWS786511 OWS851970:OWS852047 OWS917506:OWS917583 OWS983042:OWS983119 PGO2:PGO79 PGO65538:PGO65615 PGO131074:PGO131151 PGO196610:PGO196687 PGO262146:PGO262223 PGO327682:PGO327759 PGO393218:PGO393295 PGO458754:PGO458831 PGO524290:PGO524367 PGO589826:PGO589903 PGO655362:PGO655439 PGO720898:PGO720975 PGO786434:PGO786511 PGO851970:PGO852047 PGO917506:PGO917583 PGO983042:PGO983119 PQK2:PQK79 PQK65538:PQK65615 PQK131074:PQK131151 PQK196610:PQK196687 PQK262146:PQK262223 PQK327682:PQK327759 PQK393218:PQK393295 PQK458754:PQK458831 PQK524290:PQK524367 PQK589826:PQK589903 PQK655362:PQK655439 PQK720898:PQK720975 PQK786434:PQK786511 PQK851970:PQK852047 PQK917506:PQK917583 PQK983042:PQK983119 QAG2:QAG79 QAG65538:QAG65615 QAG131074:QAG131151 QAG196610:QAG196687 QAG262146:QAG262223 QAG327682:QAG327759 QAG393218:QAG393295 QAG458754:QAG458831 QAG524290:QAG524367 QAG589826:QAG589903 QAG655362:QAG655439 QAG720898:QAG720975 QAG786434:QAG786511 QAG851970:QAG852047 QAG917506:QAG917583 QAG983042:QAG983119 QKC2:QKC79 QKC65538:QKC65615 QKC131074:QKC131151 QKC196610:QKC196687 QKC262146:QKC262223 QKC327682:QKC327759 QKC393218:QKC393295 QKC458754:QKC458831 QKC524290:QKC524367 QKC589826:QKC589903 QKC655362:QKC655439 QKC720898:QKC720975 QKC786434:QKC786511 QKC851970:QKC852047 QKC917506:QKC917583 QKC983042:QKC983119 QTY2:QTY79 QTY65538:QTY65615 QTY131074:QTY131151 QTY196610:QTY196687 QTY262146:QTY262223 QTY327682:QTY327759 QTY393218:QTY393295 QTY458754:QTY458831 QTY524290:QTY524367 QTY589826:QTY589903 QTY655362:QTY655439 QTY720898:QTY720975 QTY786434:QTY786511 QTY851970:QTY852047 QTY917506:QTY917583 QTY983042:QTY983119 RDU2:RDU79 RDU65538:RDU65615 RDU131074:RDU131151 RDU196610:RDU196687 RDU262146:RDU262223 RDU327682:RDU327759 RDU393218:RDU393295 RDU458754:RDU458831 RDU524290:RDU524367 RDU589826:RDU589903 RDU655362:RDU655439 RDU720898:RDU720975 RDU786434:RDU786511 RDU851970:RDU852047 RDU917506:RDU917583 RDU983042:RDU983119 RNQ2:RNQ79 RNQ65538:RNQ65615 RNQ131074:RNQ131151 RNQ196610:RNQ196687 RNQ262146:RNQ262223 RNQ327682:RNQ327759 RNQ393218:RNQ393295 RNQ458754:RNQ458831 RNQ524290:RNQ524367 RNQ589826:RNQ589903 RNQ655362:RNQ655439 RNQ720898:RNQ720975 RNQ786434:RNQ786511 RNQ851970:RNQ852047 RNQ917506:RNQ917583 RNQ983042:RNQ983119 RXM2:RXM79 RXM65538:RXM65615 RXM131074:RXM131151 RXM196610:RXM196687 RXM262146:RXM262223 RXM327682:RXM327759 RXM393218:RXM393295 RXM458754:RXM458831 RXM524290:RXM524367 RXM589826:RXM589903 RXM655362:RXM655439 RXM720898:RXM720975 RXM786434:RXM786511 RXM851970:RXM852047 RXM917506:RXM917583 RXM983042:RXM983119 SHI2:SHI79 SHI65538:SHI65615 SHI131074:SHI131151 SHI196610:SHI196687 SHI262146:SHI262223 SHI327682:SHI327759 SHI393218:SHI393295 SHI458754:SHI458831 SHI524290:SHI524367 SHI589826:SHI589903 SHI655362:SHI655439 SHI720898:SHI720975 SHI786434:SHI786511 SHI851970:SHI852047 SHI917506:SHI917583 SHI983042:SHI983119 SRE2:SRE79 SRE65538:SRE65615 SRE131074:SRE131151 SRE196610:SRE196687 SRE262146:SRE262223 SRE327682:SRE327759 SRE393218:SRE393295 SRE458754:SRE458831 SRE524290:SRE524367 SRE589826:SRE589903 SRE655362:SRE655439 SRE720898:SRE720975 SRE786434:SRE786511 SRE851970:SRE852047 SRE917506:SRE917583 SRE983042:SRE983119 TBA2:TBA79 TBA65538:TBA65615 TBA131074:TBA131151 TBA196610:TBA196687 TBA262146:TBA262223 TBA327682:TBA327759 TBA393218:TBA393295 TBA458754:TBA458831 TBA524290:TBA524367 TBA589826:TBA589903 TBA655362:TBA655439 TBA720898:TBA720975 TBA786434:TBA786511 TBA851970:TBA852047 TBA917506:TBA917583 TBA983042:TBA983119 TKW2:TKW79 TKW65538:TKW65615 TKW131074:TKW131151 TKW196610:TKW196687 TKW262146:TKW262223 TKW327682:TKW327759 TKW393218:TKW393295 TKW458754:TKW458831 TKW524290:TKW524367 TKW589826:TKW589903 TKW655362:TKW655439 TKW720898:TKW720975 TKW786434:TKW786511 TKW851970:TKW852047 TKW917506:TKW917583 TKW983042:TKW983119 TUS2:TUS79 TUS65538:TUS65615 TUS131074:TUS131151 TUS196610:TUS196687 TUS262146:TUS262223 TUS327682:TUS327759 TUS393218:TUS393295 TUS458754:TUS458831 TUS524290:TUS524367 TUS589826:TUS589903 TUS655362:TUS655439 TUS720898:TUS720975 TUS786434:TUS786511 TUS851970:TUS852047 TUS917506:TUS917583 TUS983042:TUS983119 UEO2:UEO79 UEO65538:UEO65615 UEO131074:UEO131151 UEO196610:UEO196687 UEO262146:UEO262223 UEO327682:UEO327759 UEO393218:UEO393295 UEO458754:UEO458831 UEO524290:UEO524367 UEO589826:UEO589903 UEO655362:UEO655439 UEO720898:UEO720975 UEO786434:UEO786511 UEO851970:UEO852047 UEO917506:UEO917583 UEO983042:UEO983119 UOK2:UOK79 UOK65538:UOK65615 UOK131074:UOK131151 UOK196610:UOK196687 UOK262146:UOK262223 UOK327682:UOK327759 UOK393218:UOK393295 UOK458754:UOK458831 UOK524290:UOK524367 UOK589826:UOK589903 UOK655362:UOK655439 UOK720898:UOK720975 UOK786434:UOK786511 UOK851970:UOK852047 UOK917506:UOK917583 UOK983042:UOK983119 UYG2:UYG79 UYG65538:UYG65615 UYG131074:UYG131151 UYG196610:UYG196687 UYG262146:UYG262223 UYG327682:UYG327759 UYG393218:UYG393295 UYG458754:UYG458831 UYG524290:UYG524367 UYG589826:UYG589903 UYG655362:UYG655439 UYG720898:UYG720975 UYG786434:UYG786511 UYG851970:UYG852047 UYG917506:UYG917583 UYG983042:UYG983119 VIC2:VIC79 VIC65538:VIC65615 VIC131074:VIC131151 VIC196610:VIC196687 VIC262146:VIC262223 VIC327682:VIC327759 VIC393218:VIC393295 VIC458754:VIC458831 VIC524290:VIC524367 VIC589826:VIC589903 VIC655362:VIC655439 VIC720898:VIC720975 VIC786434:VIC786511 VIC851970:VIC852047 VIC917506:VIC917583 VIC983042:VIC983119 VRY2:VRY79 VRY65538:VRY65615 VRY131074:VRY131151 VRY196610:VRY196687 VRY262146:VRY262223 VRY327682:VRY327759 VRY393218:VRY393295 VRY458754:VRY458831 VRY524290:VRY524367 VRY589826:VRY589903 VRY655362:VRY655439 VRY720898:VRY720975 VRY786434:VRY786511 VRY851970:VRY852047 VRY917506:VRY917583 VRY983042:VRY983119 WBU2:WBU79 WBU65538:WBU65615 WBU131074:WBU131151 WBU196610:WBU196687 WBU262146:WBU262223 WBU327682:WBU327759 WBU393218:WBU393295 WBU458754:WBU458831 WBU524290:WBU524367 WBU589826:WBU589903 WBU655362:WBU655439 WBU720898:WBU720975 WBU786434:WBU786511 WBU851970:WBU852047 WBU917506:WBU917583 WBU983042:WBU983119 WLQ2:WLQ79 WLQ65538:WLQ65615 WLQ131074:WLQ131151 WLQ196610:WLQ196687 WLQ262146:WLQ262223 WLQ327682:WLQ327759 WLQ393218:WLQ393295 WLQ458754:WLQ458831 WLQ524290:WLQ524367 WLQ589826:WLQ589903 WLQ655362:WLQ655439 WLQ720898:WLQ720975 WLQ786434:WLQ786511 WLQ851970:WLQ852047 WLQ917506:WLQ917583 WLQ983042:WLQ983119 WVM2:WVM79 WVM65538:WVM65615 WVM131074:WVM131151 WVM196610:WVM196687 WVM262146:WVM262223 WVM327682:WVM327759 WVM393218:WVM393295 WVM458754:WVM458831 WVM524290:WVM524367 WVM589826:WVM589903 WVM655362:WVM655439 WVM720898:WVM720975 WVM786434:WVM786511 WVM851970:WVM852047 WVM917506:WVM917583 WVM983042:WVM983119" xr:uid="{8D1583FE-7781-4D81-98A5-4BE634CA9F68}">
      <formula1>$AG$2:$AG$11</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152AA-0D8A-41A0-B029-841623EC4BD8}">
  <sheetPr>
    <pageSetUpPr fitToPage="1"/>
  </sheetPr>
  <dimension ref="A1:BA686"/>
  <sheetViews>
    <sheetView zoomScale="85" zoomScaleNormal="85" workbookViewId="0">
      <pane ySplit="1" topLeftCell="A2" activePane="bottomLeft" state="frozen"/>
      <selection pane="bottomLeft" activeCell="A2" sqref="A2"/>
    </sheetView>
  </sheetViews>
  <sheetFormatPr defaultRowHeight="13.5" x14ac:dyDescent="0.15"/>
  <cols>
    <col min="1" max="3" width="9" style="77" customWidth="1"/>
    <col min="4" max="4" width="10.5" style="77" customWidth="1"/>
    <col min="5" max="5" width="11.25" style="77" bestFit="1" customWidth="1"/>
    <col min="6" max="7" width="9" style="77"/>
    <col min="8" max="9" width="9" style="77" customWidth="1"/>
    <col min="10" max="11" width="9" style="77"/>
    <col min="12" max="16" width="9" style="77" customWidth="1"/>
    <col min="17" max="17" width="9" style="16" customWidth="1"/>
    <col min="18" max="18" width="9" style="77"/>
    <col min="19" max="19" width="9.5" style="77" bestFit="1" customWidth="1"/>
    <col min="20" max="20" width="9" style="16" customWidth="1"/>
    <col min="21" max="21" width="9" style="77"/>
    <col min="22" max="22" width="9" style="16" customWidth="1"/>
    <col min="23" max="28" width="9" style="77"/>
    <col min="29" max="29" width="26.5" style="77" customWidth="1"/>
    <col min="30" max="32" width="9" style="77"/>
    <col min="33" max="33" width="15.75" style="77" bestFit="1" customWidth="1"/>
    <col min="34" max="34" width="15" style="77" bestFit="1" customWidth="1"/>
    <col min="35" max="256" width="9" style="77"/>
    <col min="257" max="259" width="9" style="77" customWidth="1"/>
    <col min="260" max="260" width="10.5" style="77" customWidth="1"/>
    <col min="261" max="261" width="11.25" style="77" bestFit="1" customWidth="1"/>
    <col min="262" max="263" width="9" style="77"/>
    <col min="264" max="273" width="9" style="77" customWidth="1"/>
    <col min="274" max="274" width="9" style="77"/>
    <col min="275" max="275" width="9.5" style="77" bestFit="1" customWidth="1"/>
    <col min="276" max="276" width="9" style="77" customWidth="1"/>
    <col min="277" max="277" width="9" style="77"/>
    <col min="278" max="278" width="9" style="77" customWidth="1"/>
    <col min="279" max="284" width="9" style="77"/>
    <col min="285" max="285" width="26.5" style="77" customWidth="1"/>
    <col min="286" max="288" width="9" style="77"/>
    <col min="289" max="289" width="14.75" style="77" bestFit="1" customWidth="1"/>
    <col min="290" max="512" width="9" style="77"/>
    <col min="513" max="515" width="9" style="77" customWidth="1"/>
    <col min="516" max="516" width="10.5" style="77" customWidth="1"/>
    <col min="517" max="517" width="11.25" style="77" bestFit="1" customWidth="1"/>
    <col min="518" max="519" width="9" style="77"/>
    <col min="520" max="529" width="9" style="77" customWidth="1"/>
    <col min="530" max="530" width="9" style="77"/>
    <col min="531" max="531" width="9.5" style="77" bestFit="1" customWidth="1"/>
    <col min="532" max="532" width="9" style="77" customWidth="1"/>
    <col min="533" max="533" width="9" style="77"/>
    <col min="534" max="534" width="9" style="77" customWidth="1"/>
    <col min="535" max="540" width="9" style="77"/>
    <col min="541" max="541" width="26.5" style="77" customWidth="1"/>
    <col min="542" max="544" width="9" style="77"/>
    <col min="545" max="545" width="14.75" style="77" bestFit="1" customWidth="1"/>
    <col min="546" max="768" width="9" style="77"/>
    <col min="769" max="771" width="9" style="77" customWidth="1"/>
    <col min="772" max="772" width="10.5" style="77" customWidth="1"/>
    <col min="773" max="773" width="11.25" style="77" bestFit="1" customWidth="1"/>
    <col min="774" max="775" width="9" style="77"/>
    <col min="776" max="785" width="9" style="77" customWidth="1"/>
    <col min="786" max="786" width="9" style="77"/>
    <col min="787" max="787" width="9.5" style="77" bestFit="1" customWidth="1"/>
    <col min="788" max="788" width="9" style="77" customWidth="1"/>
    <col min="789" max="789" width="9" style="77"/>
    <col min="790" max="790" width="9" style="77" customWidth="1"/>
    <col min="791" max="796" width="9" style="77"/>
    <col min="797" max="797" width="26.5" style="77" customWidth="1"/>
    <col min="798" max="800" width="9" style="77"/>
    <col min="801" max="801" width="14.75" style="77" bestFit="1" customWidth="1"/>
    <col min="802" max="1024" width="9" style="77"/>
    <col min="1025" max="1027" width="9" style="77" customWidth="1"/>
    <col min="1028" max="1028" width="10.5" style="77" customWidth="1"/>
    <col min="1029" max="1029" width="11.25" style="77" bestFit="1" customWidth="1"/>
    <col min="1030" max="1031" width="9" style="77"/>
    <col min="1032" max="1041" width="9" style="77" customWidth="1"/>
    <col min="1042" max="1042" width="9" style="77"/>
    <col min="1043" max="1043" width="9.5" style="77" bestFit="1" customWidth="1"/>
    <col min="1044" max="1044" width="9" style="77" customWidth="1"/>
    <col min="1045" max="1045" width="9" style="77"/>
    <col min="1046" max="1046" width="9" style="77" customWidth="1"/>
    <col min="1047" max="1052" width="9" style="77"/>
    <col min="1053" max="1053" width="26.5" style="77" customWidth="1"/>
    <col min="1054" max="1056" width="9" style="77"/>
    <col min="1057" max="1057" width="14.75" style="77" bestFit="1" customWidth="1"/>
    <col min="1058" max="1280" width="9" style="77"/>
    <col min="1281" max="1283" width="9" style="77" customWidth="1"/>
    <col min="1284" max="1284" width="10.5" style="77" customWidth="1"/>
    <col min="1285" max="1285" width="11.25" style="77" bestFit="1" customWidth="1"/>
    <col min="1286" max="1287" width="9" style="77"/>
    <col min="1288" max="1297" width="9" style="77" customWidth="1"/>
    <col min="1298" max="1298" width="9" style="77"/>
    <col min="1299" max="1299" width="9.5" style="77" bestFit="1" customWidth="1"/>
    <col min="1300" max="1300" width="9" style="77" customWidth="1"/>
    <col min="1301" max="1301" width="9" style="77"/>
    <col min="1302" max="1302" width="9" style="77" customWidth="1"/>
    <col min="1303" max="1308" width="9" style="77"/>
    <col min="1309" max="1309" width="26.5" style="77" customWidth="1"/>
    <col min="1310" max="1312" width="9" style="77"/>
    <col min="1313" max="1313" width="14.75" style="77" bestFit="1" customWidth="1"/>
    <col min="1314" max="1536" width="9" style="77"/>
    <col min="1537" max="1539" width="9" style="77" customWidth="1"/>
    <col min="1540" max="1540" width="10.5" style="77" customWidth="1"/>
    <col min="1541" max="1541" width="11.25" style="77" bestFit="1" customWidth="1"/>
    <col min="1542" max="1543" width="9" style="77"/>
    <col min="1544" max="1553" width="9" style="77" customWidth="1"/>
    <col min="1554" max="1554" width="9" style="77"/>
    <col min="1555" max="1555" width="9.5" style="77" bestFit="1" customWidth="1"/>
    <col min="1556" max="1556" width="9" style="77" customWidth="1"/>
    <col min="1557" max="1557" width="9" style="77"/>
    <col min="1558" max="1558" width="9" style="77" customWidth="1"/>
    <col min="1559" max="1564" width="9" style="77"/>
    <col min="1565" max="1565" width="26.5" style="77" customWidth="1"/>
    <col min="1566" max="1568" width="9" style="77"/>
    <col min="1569" max="1569" width="14.75" style="77" bestFit="1" customWidth="1"/>
    <col min="1570" max="1792" width="9" style="77"/>
    <col min="1793" max="1795" width="9" style="77" customWidth="1"/>
    <col min="1796" max="1796" width="10.5" style="77" customWidth="1"/>
    <col min="1797" max="1797" width="11.25" style="77" bestFit="1" customWidth="1"/>
    <col min="1798" max="1799" width="9" style="77"/>
    <col min="1800" max="1809" width="9" style="77" customWidth="1"/>
    <col min="1810" max="1810" width="9" style="77"/>
    <col min="1811" max="1811" width="9.5" style="77" bestFit="1" customWidth="1"/>
    <col min="1812" max="1812" width="9" style="77" customWidth="1"/>
    <col min="1813" max="1813" width="9" style="77"/>
    <col min="1814" max="1814" width="9" style="77" customWidth="1"/>
    <col min="1815" max="1820" width="9" style="77"/>
    <col min="1821" max="1821" width="26.5" style="77" customWidth="1"/>
    <col min="1822" max="1824" width="9" style="77"/>
    <col min="1825" max="1825" width="14.75" style="77" bestFit="1" customWidth="1"/>
    <col min="1826" max="2048" width="9" style="77"/>
    <col min="2049" max="2051" width="9" style="77" customWidth="1"/>
    <col min="2052" max="2052" width="10.5" style="77" customWidth="1"/>
    <col min="2053" max="2053" width="11.25" style="77" bestFit="1" customWidth="1"/>
    <col min="2054" max="2055" width="9" style="77"/>
    <col min="2056" max="2065" width="9" style="77" customWidth="1"/>
    <col min="2066" max="2066" width="9" style="77"/>
    <col min="2067" max="2067" width="9.5" style="77" bestFit="1" customWidth="1"/>
    <col min="2068" max="2068" width="9" style="77" customWidth="1"/>
    <col min="2069" max="2069" width="9" style="77"/>
    <col min="2070" max="2070" width="9" style="77" customWidth="1"/>
    <col min="2071" max="2076" width="9" style="77"/>
    <col min="2077" max="2077" width="26.5" style="77" customWidth="1"/>
    <col min="2078" max="2080" width="9" style="77"/>
    <col min="2081" max="2081" width="14.75" style="77" bestFit="1" customWidth="1"/>
    <col min="2082" max="2304" width="9" style="77"/>
    <col min="2305" max="2307" width="9" style="77" customWidth="1"/>
    <col min="2308" max="2308" width="10.5" style="77" customWidth="1"/>
    <col min="2309" max="2309" width="11.25" style="77" bestFit="1" customWidth="1"/>
    <col min="2310" max="2311" width="9" style="77"/>
    <col min="2312" max="2321" width="9" style="77" customWidth="1"/>
    <col min="2322" max="2322" width="9" style="77"/>
    <col min="2323" max="2323" width="9.5" style="77" bestFit="1" customWidth="1"/>
    <col min="2324" max="2324" width="9" style="77" customWidth="1"/>
    <col min="2325" max="2325" width="9" style="77"/>
    <col min="2326" max="2326" width="9" style="77" customWidth="1"/>
    <col min="2327" max="2332" width="9" style="77"/>
    <col min="2333" max="2333" width="26.5" style="77" customWidth="1"/>
    <col min="2334" max="2336" width="9" style="77"/>
    <col min="2337" max="2337" width="14.75" style="77" bestFit="1" customWidth="1"/>
    <col min="2338" max="2560" width="9" style="77"/>
    <col min="2561" max="2563" width="9" style="77" customWidth="1"/>
    <col min="2564" max="2564" width="10.5" style="77" customWidth="1"/>
    <col min="2565" max="2565" width="11.25" style="77" bestFit="1" customWidth="1"/>
    <col min="2566" max="2567" width="9" style="77"/>
    <col min="2568" max="2577" width="9" style="77" customWidth="1"/>
    <col min="2578" max="2578" width="9" style="77"/>
    <col min="2579" max="2579" width="9.5" style="77" bestFit="1" customWidth="1"/>
    <col min="2580" max="2580" width="9" style="77" customWidth="1"/>
    <col min="2581" max="2581" width="9" style="77"/>
    <col min="2582" max="2582" width="9" style="77" customWidth="1"/>
    <col min="2583" max="2588" width="9" style="77"/>
    <col min="2589" max="2589" width="26.5" style="77" customWidth="1"/>
    <col min="2590" max="2592" width="9" style="77"/>
    <col min="2593" max="2593" width="14.75" style="77" bestFit="1" customWidth="1"/>
    <col min="2594" max="2816" width="9" style="77"/>
    <col min="2817" max="2819" width="9" style="77" customWidth="1"/>
    <col min="2820" max="2820" width="10.5" style="77" customWidth="1"/>
    <col min="2821" max="2821" width="11.25" style="77" bestFit="1" customWidth="1"/>
    <col min="2822" max="2823" width="9" style="77"/>
    <col min="2824" max="2833" width="9" style="77" customWidth="1"/>
    <col min="2834" max="2834" width="9" style="77"/>
    <col min="2835" max="2835" width="9.5" style="77" bestFit="1" customWidth="1"/>
    <col min="2836" max="2836" width="9" style="77" customWidth="1"/>
    <col min="2837" max="2837" width="9" style="77"/>
    <col min="2838" max="2838" width="9" style="77" customWidth="1"/>
    <col min="2839" max="2844" width="9" style="77"/>
    <col min="2845" max="2845" width="26.5" style="77" customWidth="1"/>
    <col min="2846" max="2848" width="9" style="77"/>
    <col min="2849" max="2849" width="14.75" style="77" bestFit="1" customWidth="1"/>
    <col min="2850" max="3072" width="9" style="77"/>
    <col min="3073" max="3075" width="9" style="77" customWidth="1"/>
    <col min="3076" max="3076" width="10.5" style="77" customWidth="1"/>
    <col min="3077" max="3077" width="11.25" style="77" bestFit="1" customWidth="1"/>
    <col min="3078" max="3079" width="9" style="77"/>
    <col min="3080" max="3089" width="9" style="77" customWidth="1"/>
    <col min="3090" max="3090" width="9" style="77"/>
    <col min="3091" max="3091" width="9.5" style="77" bestFit="1" customWidth="1"/>
    <col min="3092" max="3092" width="9" style="77" customWidth="1"/>
    <col min="3093" max="3093" width="9" style="77"/>
    <col min="3094" max="3094" width="9" style="77" customWidth="1"/>
    <col min="3095" max="3100" width="9" style="77"/>
    <col min="3101" max="3101" width="26.5" style="77" customWidth="1"/>
    <col min="3102" max="3104" width="9" style="77"/>
    <col min="3105" max="3105" width="14.75" style="77" bestFit="1" customWidth="1"/>
    <col min="3106" max="3328" width="9" style="77"/>
    <col min="3329" max="3331" width="9" style="77" customWidth="1"/>
    <col min="3332" max="3332" width="10.5" style="77" customWidth="1"/>
    <col min="3333" max="3333" width="11.25" style="77" bestFit="1" customWidth="1"/>
    <col min="3334" max="3335" width="9" style="77"/>
    <col min="3336" max="3345" width="9" style="77" customWidth="1"/>
    <col min="3346" max="3346" width="9" style="77"/>
    <col min="3347" max="3347" width="9.5" style="77" bestFit="1" customWidth="1"/>
    <col min="3348" max="3348" width="9" style="77" customWidth="1"/>
    <col min="3349" max="3349" width="9" style="77"/>
    <col min="3350" max="3350" width="9" style="77" customWidth="1"/>
    <col min="3351" max="3356" width="9" style="77"/>
    <col min="3357" max="3357" width="26.5" style="77" customWidth="1"/>
    <col min="3358" max="3360" width="9" style="77"/>
    <col min="3361" max="3361" width="14.75" style="77" bestFit="1" customWidth="1"/>
    <col min="3362" max="3584" width="9" style="77"/>
    <col min="3585" max="3587" width="9" style="77" customWidth="1"/>
    <col min="3588" max="3588" width="10.5" style="77" customWidth="1"/>
    <col min="3589" max="3589" width="11.25" style="77" bestFit="1" customWidth="1"/>
    <col min="3590" max="3591" width="9" style="77"/>
    <col min="3592" max="3601" width="9" style="77" customWidth="1"/>
    <col min="3602" max="3602" width="9" style="77"/>
    <col min="3603" max="3603" width="9.5" style="77" bestFit="1" customWidth="1"/>
    <col min="3604" max="3604" width="9" style="77" customWidth="1"/>
    <col min="3605" max="3605" width="9" style="77"/>
    <col min="3606" max="3606" width="9" style="77" customWidth="1"/>
    <col min="3607" max="3612" width="9" style="77"/>
    <col min="3613" max="3613" width="26.5" style="77" customWidth="1"/>
    <col min="3614" max="3616" width="9" style="77"/>
    <col min="3617" max="3617" width="14.75" style="77" bestFit="1" customWidth="1"/>
    <col min="3618" max="3840" width="9" style="77"/>
    <col min="3841" max="3843" width="9" style="77" customWidth="1"/>
    <col min="3844" max="3844" width="10.5" style="77" customWidth="1"/>
    <col min="3845" max="3845" width="11.25" style="77" bestFit="1" customWidth="1"/>
    <col min="3846" max="3847" width="9" style="77"/>
    <col min="3848" max="3857" width="9" style="77" customWidth="1"/>
    <col min="3858" max="3858" width="9" style="77"/>
    <col min="3859" max="3859" width="9.5" style="77" bestFit="1" customWidth="1"/>
    <col min="3860" max="3860" width="9" style="77" customWidth="1"/>
    <col min="3861" max="3861" width="9" style="77"/>
    <col min="3862" max="3862" width="9" style="77" customWidth="1"/>
    <col min="3863" max="3868" width="9" style="77"/>
    <col min="3869" max="3869" width="26.5" style="77" customWidth="1"/>
    <col min="3870" max="3872" width="9" style="77"/>
    <col min="3873" max="3873" width="14.75" style="77" bestFit="1" customWidth="1"/>
    <col min="3874" max="4096" width="9" style="77"/>
    <col min="4097" max="4099" width="9" style="77" customWidth="1"/>
    <col min="4100" max="4100" width="10.5" style="77" customWidth="1"/>
    <col min="4101" max="4101" width="11.25" style="77" bestFit="1" customWidth="1"/>
    <col min="4102" max="4103" width="9" style="77"/>
    <col min="4104" max="4113" width="9" style="77" customWidth="1"/>
    <col min="4114" max="4114" width="9" style="77"/>
    <col min="4115" max="4115" width="9.5" style="77" bestFit="1" customWidth="1"/>
    <col min="4116" max="4116" width="9" style="77" customWidth="1"/>
    <col min="4117" max="4117" width="9" style="77"/>
    <col min="4118" max="4118" width="9" style="77" customWidth="1"/>
    <col min="4119" max="4124" width="9" style="77"/>
    <col min="4125" max="4125" width="26.5" style="77" customWidth="1"/>
    <col min="4126" max="4128" width="9" style="77"/>
    <col min="4129" max="4129" width="14.75" style="77" bestFit="1" customWidth="1"/>
    <col min="4130" max="4352" width="9" style="77"/>
    <col min="4353" max="4355" width="9" style="77" customWidth="1"/>
    <col min="4356" max="4356" width="10.5" style="77" customWidth="1"/>
    <col min="4357" max="4357" width="11.25" style="77" bestFit="1" customWidth="1"/>
    <col min="4358" max="4359" width="9" style="77"/>
    <col min="4360" max="4369" width="9" style="77" customWidth="1"/>
    <col min="4370" max="4370" width="9" style="77"/>
    <col min="4371" max="4371" width="9.5" style="77" bestFit="1" customWidth="1"/>
    <col min="4372" max="4372" width="9" style="77" customWidth="1"/>
    <col min="4373" max="4373" width="9" style="77"/>
    <col min="4374" max="4374" width="9" style="77" customWidth="1"/>
    <col min="4375" max="4380" width="9" style="77"/>
    <col min="4381" max="4381" width="26.5" style="77" customWidth="1"/>
    <col min="4382" max="4384" width="9" style="77"/>
    <col min="4385" max="4385" width="14.75" style="77" bestFit="1" customWidth="1"/>
    <col min="4386" max="4608" width="9" style="77"/>
    <col min="4609" max="4611" width="9" style="77" customWidth="1"/>
    <col min="4612" max="4612" width="10.5" style="77" customWidth="1"/>
    <col min="4613" max="4613" width="11.25" style="77" bestFit="1" customWidth="1"/>
    <col min="4614" max="4615" width="9" style="77"/>
    <col min="4616" max="4625" width="9" style="77" customWidth="1"/>
    <col min="4626" max="4626" width="9" style="77"/>
    <col min="4627" max="4627" width="9.5" style="77" bestFit="1" customWidth="1"/>
    <col min="4628" max="4628" width="9" style="77" customWidth="1"/>
    <col min="4629" max="4629" width="9" style="77"/>
    <col min="4630" max="4630" width="9" style="77" customWidth="1"/>
    <col min="4631" max="4636" width="9" style="77"/>
    <col min="4637" max="4637" width="26.5" style="77" customWidth="1"/>
    <col min="4638" max="4640" width="9" style="77"/>
    <col min="4641" max="4641" width="14.75" style="77" bestFit="1" customWidth="1"/>
    <col min="4642" max="4864" width="9" style="77"/>
    <col min="4865" max="4867" width="9" style="77" customWidth="1"/>
    <col min="4868" max="4868" width="10.5" style="77" customWidth="1"/>
    <col min="4869" max="4869" width="11.25" style="77" bestFit="1" customWidth="1"/>
    <col min="4870" max="4871" width="9" style="77"/>
    <col min="4872" max="4881" width="9" style="77" customWidth="1"/>
    <col min="4882" max="4882" width="9" style="77"/>
    <col min="4883" max="4883" width="9.5" style="77" bestFit="1" customWidth="1"/>
    <col min="4884" max="4884" width="9" style="77" customWidth="1"/>
    <col min="4885" max="4885" width="9" style="77"/>
    <col min="4886" max="4886" width="9" style="77" customWidth="1"/>
    <col min="4887" max="4892" width="9" style="77"/>
    <col min="4893" max="4893" width="26.5" style="77" customWidth="1"/>
    <col min="4894" max="4896" width="9" style="77"/>
    <col min="4897" max="4897" width="14.75" style="77" bestFit="1" customWidth="1"/>
    <col min="4898" max="5120" width="9" style="77"/>
    <col min="5121" max="5123" width="9" style="77" customWidth="1"/>
    <col min="5124" max="5124" width="10.5" style="77" customWidth="1"/>
    <col min="5125" max="5125" width="11.25" style="77" bestFit="1" customWidth="1"/>
    <col min="5126" max="5127" width="9" style="77"/>
    <col min="5128" max="5137" width="9" style="77" customWidth="1"/>
    <col min="5138" max="5138" width="9" style="77"/>
    <col min="5139" max="5139" width="9.5" style="77" bestFit="1" customWidth="1"/>
    <col min="5140" max="5140" width="9" style="77" customWidth="1"/>
    <col min="5141" max="5141" width="9" style="77"/>
    <col min="5142" max="5142" width="9" style="77" customWidth="1"/>
    <col min="5143" max="5148" width="9" style="77"/>
    <col min="5149" max="5149" width="26.5" style="77" customWidth="1"/>
    <col min="5150" max="5152" width="9" style="77"/>
    <col min="5153" max="5153" width="14.75" style="77" bestFit="1" customWidth="1"/>
    <col min="5154" max="5376" width="9" style="77"/>
    <col min="5377" max="5379" width="9" style="77" customWidth="1"/>
    <col min="5380" max="5380" width="10.5" style="77" customWidth="1"/>
    <col min="5381" max="5381" width="11.25" style="77" bestFit="1" customWidth="1"/>
    <col min="5382" max="5383" width="9" style="77"/>
    <col min="5384" max="5393" width="9" style="77" customWidth="1"/>
    <col min="5394" max="5394" width="9" style="77"/>
    <col min="5395" max="5395" width="9.5" style="77" bestFit="1" customWidth="1"/>
    <col min="5396" max="5396" width="9" style="77" customWidth="1"/>
    <col min="5397" max="5397" width="9" style="77"/>
    <col min="5398" max="5398" width="9" style="77" customWidth="1"/>
    <col min="5399" max="5404" width="9" style="77"/>
    <col min="5405" max="5405" width="26.5" style="77" customWidth="1"/>
    <col min="5406" max="5408" width="9" style="77"/>
    <col min="5409" max="5409" width="14.75" style="77" bestFit="1" customWidth="1"/>
    <col min="5410" max="5632" width="9" style="77"/>
    <col min="5633" max="5635" width="9" style="77" customWidth="1"/>
    <col min="5636" max="5636" width="10.5" style="77" customWidth="1"/>
    <col min="5637" max="5637" width="11.25" style="77" bestFit="1" customWidth="1"/>
    <col min="5638" max="5639" width="9" style="77"/>
    <col min="5640" max="5649" width="9" style="77" customWidth="1"/>
    <col min="5650" max="5650" width="9" style="77"/>
    <col min="5651" max="5651" width="9.5" style="77" bestFit="1" customWidth="1"/>
    <col min="5652" max="5652" width="9" style="77" customWidth="1"/>
    <col min="5653" max="5653" width="9" style="77"/>
    <col min="5654" max="5654" width="9" style="77" customWidth="1"/>
    <col min="5655" max="5660" width="9" style="77"/>
    <col min="5661" max="5661" width="26.5" style="77" customWidth="1"/>
    <col min="5662" max="5664" width="9" style="77"/>
    <col min="5665" max="5665" width="14.75" style="77" bestFit="1" customWidth="1"/>
    <col min="5666" max="5888" width="9" style="77"/>
    <col min="5889" max="5891" width="9" style="77" customWidth="1"/>
    <col min="5892" max="5892" width="10.5" style="77" customWidth="1"/>
    <col min="5893" max="5893" width="11.25" style="77" bestFit="1" customWidth="1"/>
    <col min="5894" max="5895" width="9" style="77"/>
    <col min="5896" max="5905" width="9" style="77" customWidth="1"/>
    <col min="5906" max="5906" width="9" style="77"/>
    <col min="5907" max="5907" width="9.5" style="77" bestFit="1" customWidth="1"/>
    <col min="5908" max="5908" width="9" style="77" customWidth="1"/>
    <col min="5909" max="5909" width="9" style="77"/>
    <col min="5910" max="5910" width="9" style="77" customWidth="1"/>
    <col min="5911" max="5916" width="9" style="77"/>
    <col min="5917" max="5917" width="26.5" style="77" customWidth="1"/>
    <col min="5918" max="5920" width="9" style="77"/>
    <col min="5921" max="5921" width="14.75" style="77" bestFit="1" customWidth="1"/>
    <col min="5922" max="6144" width="9" style="77"/>
    <col min="6145" max="6147" width="9" style="77" customWidth="1"/>
    <col min="6148" max="6148" width="10.5" style="77" customWidth="1"/>
    <col min="6149" max="6149" width="11.25" style="77" bestFit="1" customWidth="1"/>
    <col min="6150" max="6151" width="9" style="77"/>
    <col min="6152" max="6161" width="9" style="77" customWidth="1"/>
    <col min="6162" max="6162" width="9" style="77"/>
    <col min="6163" max="6163" width="9.5" style="77" bestFit="1" customWidth="1"/>
    <col min="6164" max="6164" width="9" style="77" customWidth="1"/>
    <col min="6165" max="6165" width="9" style="77"/>
    <col min="6166" max="6166" width="9" style="77" customWidth="1"/>
    <col min="6167" max="6172" width="9" style="77"/>
    <col min="6173" max="6173" width="26.5" style="77" customWidth="1"/>
    <col min="6174" max="6176" width="9" style="77"/>
    <col min="6177" max="6177" width="14.75" style="77" bestFit="1" customWidth="1"/>
    <col min="6178" max="6400" width="9" style="77"/>
    <col min="6401" max="6403" width="9" style="77" customWidth="1"/>
    <col min="6404" max="6404" width="10.5" style="77" customWidth="1"/>
    <col min="6405" max="6405" width="11.25" style="77" bestFit="1" customWidth="1"/>
    <col min="6406" max="6407" width="9" style="77"/>
    <col min="6408" max="6417" width="9" style="77" customWidth="1"/>
    <col min="6418" max="6418" width="9" style="77"/>
    <col min="6419" max="6419" width="9.5" style="77" bestFit="1" customWidth="1"/>
    <col min="6420" max="6420" width="9" style="77" customWidth="1"/>
    <col min="6421" max="6421" width="9" style="77"/>
    <col min="6422" max="6422" width="9" style="77" customWidth="1"/>
    <col min="6423" max="6428" width="9" style="77"/>
    <col min="6429" max="6429" width="26.5" style="77" customWidth="1"/>
    <col min="6430" max="6432" width="9" style="77"/>
    <col min="6433" max="6433" width="14.75" style="77" bestFit="1" customWidth="1"/>
    <col min="6434" max="6656" width="9" style="77"/>
    <col min="6657" max="6659" width="9" style="77" customWidth="1"/>
    <col min="6660" max="6660" width="10.5" style="77" customWidth="1"/>
    <col min="6661" max="6661" width="11.25" style="77" bestFit="1" customWidth="1"/>
    <col min="6662" max="6663" width="9" style="77"/>
    <col min="6664" max="6673" width="9" style="77" customWidth="1"/>
    <col min="6674" max="6674" width="9" style="77"/>
    <col min="6675" max="6675" width="9.5" style="77" bestFit="1" customWidth="1"/>
    <col min="6676" max="6676" width="9" style="77" customWidth="1"/>
    <col min="6677" max="6677" width="9" style="77"/>
    <col min="6678" max="6678" width="9" style="77" customWidth="1"/>
    <col min="6679" max="6684" width="9" style="77"/>
    <col min="6685" max="6685" width="26.5" style="77" customWidth="1"/>
    <col min="6686" max="6688" width="9" style="77"/>
    <col min="6689" max="6689" width="14.75" style="77" bestFit="1" customWidth="1"/>
    <col min="6690" max="6912" width="9" style="77"/>
    <col min="6913" max="6915" width="9" style="77" customWidth="1"/>
    <col min="6916" max="6916" width="10.5" style="77" customWidth="1"/>
    <col min="6917" max="6917" width="11.25" style="77" bestFit="1" customWidth="1"/>
    <col min="6918" max="6919" width="9" style="77"/>
    <col min="6920" max="6929" width="9" style="77" customWidth="1"/>
    <col min="6930" max="6930" width="9" style="77"/>
    <col min="6931" max="6931" width="9.5" style="77" bestFit="1" customWidth="1"/>
    <col min="6932" max="6932" width="9" style="77" customWidth="1"/>
    <col min="6933" max="6933" width="9" style="77"/>
    <col min="6934" max="6934" width="9" style="77" customWidth="1"/>
    <col min="6935" max="6940" width="9" style="77"/>
    <col min="6941" max="6941" width="26.5" style="77" customWidth="1"/>
    <col min="6942" max="6944" width="9" style="77"/>
    <col min="6945" max="6945" width="14.75" style="77" bestFit="1" customWidth="1"/>
    <col min="6946" max="7168" width="9" style="77"/>
    <col min="7169" max="7171" width="9" style="77" customWidth="1"/>
    <col min="7172" max="7172" width="10.5" style="77" customWidth="1"/>
    <col min="7173" max="7173" width="11.25" style="77" bestFit="1" customWidth="1"/>
    <col min="7174" max="7175" width="9" style="77"/>
    <col min="7176" max="7185" width="9" style="77" customWidth="1"/>
    <col min="7186" max="7186" width="9" style="77"/>
    <col min="7187" max="7187" width="9.5" style="77" bestFit="1" customWidth="1"/>
    <col min="7188" max="7188" width="9" style="77" customWidth="1"/>
    <col min="7189" max="7189" width="9" style="77"/>
    <col min="7190" max="7190" width="9" style="77" customWidth="1"/>
    <col min="7191" max="7196" width="9" style="77"/>
    <col min="7197" max="7197" width="26.5" style="77" customWidth="1"/>
    <col min="7198" max="7200" width="9" style="77"/>
    <col min="7201" max="7201" width="14.75" style="77" bestFit="1" customWidth="1"/>
    <col min="7202" max="7424" width="9" style="77"/>
    <col min="7425" max="7427" width="9" style="77" customWidth="1"/>
    <col min="7428" max="7428" width="10.5" style="77" customWidth="1"/>
    <col min="7429" max="7429" width="11.25" style="77" bestFit="1" customWidth="1"/>
    <col min="7430" max="7431" width="9" style="77"/>
    <col min="7432" max="7441" width="9" style="77" customWidth="1"/>
    <col min="7442" max="7442" width="9" style="77"/>
    <col min="7443" max="7443" width="9.5" style="77" bestFit="1" customWidth="1"/>
    <col min="7444" max="7444" width="9" style="77" customWidth="1"/>
    <col min="7445" max="7445" width="9" style="77"/>
    <col min="7446" max="7446" width="9" style="77" customWidth="1"/>
    <col min="7447" max="7452" width="9" style="77"/>
    <col min="7453" max="7453" width="26.5" style="77" customWidth="1"/>
    <col min="7454" max="7456" width="9" style="77"/>
    <col min="7457" max="7457" width="14.75" style="77" bestFit="1" customWidth="1"/>
    <col min="7458" max="7680" width="9" style="77"/>
    <col min="7681" max="7683" width="9" style="77" customWidth="1"/>
    <col min="7684" max="7684" width="10.5" style="77" customWidth="1"/>
    <col min="7685" max="7685" width="11.25" style="77" bestFit="1" customWidth="1"/>
    <col min="7686" max="7687" width="9" style="77"/>
    <col min="7688" max="7697" width="9" style="77" customWidth="1"/>
    <col min="7698" max="7698" width="9" style="77"/>
    <col min="7699" max="7699" width="9.5" style="77" bestFit="1" customWidth="1"/>
    <col min="7700" max="7700" width="9" style="77" customWidth="1"/>
    <col min="7701" max="7701" width="9" style="77"/>
    <col min="7702" max="7702" width="9" style="77" customWidth="1"/>
    <col min="7703" max="7708" width="9" style="77"/>
    <col min="7709" max="7709" width="26.5" style="77" customWidth="1"/>
    <col min="7710" max="7712" width="9" style="77"/>
    <col min="7713" max="7713" width="14.75" style="77" bestFit="1" customWidth="1"/>
    <col min="7714" max="7936" width="9" style="77"/>
    <col min="7937" max="7939" width="9" style="77" customWidth="1"/>
    <col min="7940" max="7940" width="10.5" style="77" customWidth="1"/>
    <col min="7941" max="7941" width="11.25" style="77" bestFit="1" customWidth="1"/>
    <col min="7942" max="7943" width="9" style="77"/>
    <col min="7944" max="7953" width="9" style="77" customWidth="1"/>
    <col min="7954" max="7954" width="9" style="77"/>
    <col min="7955" max="7955" width="9.5" style="77" bestFit="1" customWidth="1"/>
    <col min="7956" max="7956" width="9" style="77" customWidth="1"/>
    <col min="7957" max="7957" width="9" style="77"/>
    <col min="7958" max="7958" width="9" style="77" customWidth="1"/>
    <col min="7959" max="7964" width="9" style="77"/>
    <col min="7965" max="7965" width="26.5" style="77" customWidth="1"/>
    <col min="7966" max="7968" width="9" style="77"/>
    <col min="7969" max="7969" width="14.75" style="77" bestFit="1" customWidth="1"/>
    <col min="7970" max="8192" width="9" style="77"/>
    <col min="8193" max="8195" width="9" style="77" customWidth="1"/>
    <col min="8196" max="8196" width="10.5" style="77" customWidth="1"/>
    <col min="8197" max="8197" width="11.25" style="77" bestFit="1" customWidth="1"/>
    <col min="8198" max="8199" width="9" style="77"/>
    <col min="8200" max="8209" width="9" style="77" customWidth="1"/>
    <col min="8210" max="8210" width="9" style="77"/>
    <col min="8211" max="8211" width="9.5" style="77" bestFit="1" customWidth="1"/>
    <col min="8212" max="8212" width="9" style="77" customWidth="1"/>
    <col min="8213" max="8213" width="9" style="77"/>
    <col min="8214" max="8214" width="9" style="77" customWidth="1"/>
    <col min="8215" max="8220" width="9" style="77"/>
    <col min="8221" max="8221" width="26.5" style="77" customWidth="1"/>
    <col min="8222" max="8224" width="9" style="77"/>
    <col min="8225" max="8225" width="14.75" style="77" bestFit="1" customWidth="1"/>
    <col min="8226" max="8448" width="9" style="77"/>
    <col min="8449" max="8451" width="9" style="77" customWidth="1"/>
    <col min="8452" max="8452" width="10.5" style="77" customWidth="1"/>
    <col min="8453" max="8453" width="11.25" style="77" bestFit="1" customWidth="1"/>
    <col min="8454" max="8455" width="9" style="77"/>
    <col min="8456" max="8465" width="9" style="77" customWidth="1"/>
    <col min="8466" max="8466" width="9" style="77"/>
    <col min="8467" max="8467" width="9.5" style="77" bestFit="1" customWidth="1"/>
    <col min="8468" max="8468" width="9" style="77" customWidth="1"/>
    <col min="8469" max="8469" width="9" style="77"/>
    <col min="8470" max="8470" width="9" style="77" customWidth="1"/>
    <col min="8471" max="8476" width="9" style="77"/>
    <col min="8477" max="8477" width="26.5" style="77" customWidth="1"/>
    <col min="8478" max="8480" width="9" style="77"/>
    <col min="8481" max="8481" width="14.75" style="77" bestFit="1" customWidth="1"/>
    <col min="8482" max="8704" width="9" style="77"/>
    <col min="8705" max="8707" width="9" style="77" customWidth="1"/>
    <col min="8708" max="8708" width="10.5" style="77" customWidth="1"/>
    <col min="8709" max="8709" width="11.25" style="77" bestFit="1" customWidth="1"/>
    <col min="8710" max="8711" width="9" style="77"/>
    <col min="8712" max="8721" width="9" style="77" customWidth="1"/>
    <col min="8722" max="8722" width="9" style="77"/>
    <col min="8723" max="8723" width="9.5" style="77" bestFit="1" customWidth="1"/>
    <col min="8724" max="8724" width="9" style="77" customWidth="1"/>
    <col min="8725" max="8725" width="9" style="77"/>
    <col min="8726" max="8726" width="9" style="77" customWidth="1"/>
    <col min="8727" max="8732" width="9" style="77"/>
    <col min="8733" max="8733" width="26.5" style="77" customWidth="1"/>
    <col min="8734" max="8736" width="9" style="77"/>
    <col min="8737" max="8737" width="14.75" style="77" bestFit="1" customWidth="1"/>
    <col min="8738" max="8960" width="9" style="77"/>
    <col min="8961" max="8963" width="9" style="77" customWidth="1"/>
    <col min="8964" max="8964" width="10.5" style="77" customWidth="1"/>
    <col min="8965" max="8965" width="11.25" style="77" bestFit="1" customWidth="1"/>
    <col min="8966" max="8967" width="9" style="77"/>
    <col min="8968" max="8977" width="9" style="77" customWidth="1"/>
    <col min="8978" max="8978" width="9" style="77"/>
    <col min="8979" max="8979" width="9.5" style="77" bestFit="1" customWidth="1"/>
    <col min="8980" max="8980" width="9" style="77" customWidth="1"/>
    <col min="8981" max="8981" width="9" style="77"/>
    <col min="8982" max="8982" width="9" style="77" customWidth="1"/>
    <col min="8983" max="8988" width="9" style="77"/>
    <col min="8989" max="8989" width="26.5" style="77" customWidth="1"/>
    <col min="8990" max="8992" width="9" style="77"/>
    <col min="8993" max="8993" width="14.75" style="77" bestFit="1" customWidth="1"/>
    <col min="8994" max="9216" width="9" style="77"/>
    <col min="9217" max="9219" width="9" style="77" customWidth="1"/>
    <col min="9220" max="9220" width="10.5" style="77" customWidth="1"/>
    <col min="9221" max="9221" width="11.25" style="77" bestFit="1" customWidth="1"/>
    <col min="9222" max="9223" width="9" style="77"/>
    <col min="9224" max="9233" width="9" style="77" customWidth="1"/>
    <col min="9234" max="9234" width="9" style="77"/>
    <col min="9235" max="9235" width="9.5" style="77" bestFit="1" customWidth="1"/>
    <col min="9236" max="9236" width="9" style="77" customWidth="1"/>
    <col min="9237" max="9237" width="9" style="77"/>
    <col min="9238" max="9238" width="9" style="77" customWidth="1"/>
    <col min="9239" max="9244" width="9" style="77"/>
    <col min="9245" max="9245" width="26.5" style="77" customWidth="1"/>
    <col min="9246" max="9248" width="9" style="77"/>
    <col min="9249" max="9249" width="14.75" style="77" bestFit="1" customWidth="1"/>
    <col min="9250" max="9472" width="9" style="77"/>
    <col min="9473" max="9475" width="9" style="77" customWidth="1"/>
    <col min="9476" max="9476" width="10.5" style="77" customWidth="1"/>
    <col min="9477" max="9477" width="11.25" style="77" bestFit="1" customWidth="1"/>
    <col min="9478" max="9479" width="9" style="77"/>
    <col min="9480" max="9489" width="9" style="77" customWidth="1"/>
    <col min="9490" max="9490" width="9" style="77"/>
    <col min="9491" max="9491" width="9.5" style="77" bestFit="1" customWidth="1"/>
    <col min="9492" max="9492" width="9" style="77" customWidth="1"/>
    <col min="9493" max="9493" width="9" style="77"/>
    <col min="9494" max="9494" width="9" style="77" customWidth="1"/>
    <col min="9495" max="9500" width="9" style="77"/>
    <col min="9501" max="9501" width="26.5" style="77" customWidth="1"/>
    <col min="9502" max="9504" width="9" style="77"/>
    <col min="9505" max="9505" width="14.75" style="77" bestFit="1" customWidth="1"/>
    <col min="9506" max="9728" width="9" style="77"/>
    <col min="9729" max="9731" width="9" style="77" customWidth="1"/>
    <col min="9732" max="9732" width="10.5" style="77" customWidth="1"/>
    <col min="9733" max="9733" width="11.25" style="77" bestFit="1" customWidth="1"/>
    <col min="9734" max="9735" width="9" style="77"/>
    <col min="9736" max="9745" width="9" style="77" customWidth="1"/>
    <col min="9746" max="9746" width="9" style="77"/>
    <col min="9747" max="9747" width="9.5" style="77" bestFit="1" customWidth="1"/>
    <col min="9748" max="9748" width="9" style="77" customWidth="1"/>
    <col min="9749" max="9749" width="9" style="77"/>
    <col min="9750" max="9750" width="9" style="77" customWidth="1"/>
    <col min="9751" max="9756" width="9" style="77"/>
    <col min="9757" max="9757" width="26.5" style="77" customWidth="1"/>
    <col min="9758" max="9760" width="9" style="77"/>
    <col min="9761" max="9761" width="14.75" style="77" bestFit="1" customWidth="1"/>
    <col min="9762" max="9984" width="9" style="77"/>
    <col min="9985" max="9987" width="9" style="77" customWidth="1"/>
    <col min="9988" max="9988" width="10.5" style="77" customWidth="1"/>
    <col min="9989" max="9989" width="11.25" style="77" bestFit="1" customWidth="1"/>
    <col min="9990" max="9991" width="9" style="77"/>
    <col min="9992" max="10001" width="9" style="77" customWidth="1"/>
    <col min="10002" max="10002" width="9" style="77"/>
    <col min="10003" max="10003" width="9.5" style="77" bestFit="1" customWidth="1"/>
    <col min="10004" max="10004" width="9" style="77" customWidth="1"/>
    <col min="10005" max="10005" width="9" style="77"/>
    <col min="10006" max="10006" width="9" style="77" customWidth="1"/>
    <col min="10007" max="10012" width="9" style="77"/>
    <col min="10013" max="10013" width="26.5" style="77" customWidth="1"/>
    <col min="10014" max="10016" width="9" style="77"/>
    <col min="10017" max="10017" width="14.75" style="77" bestFit="1" customWidth="1"/>
    <col min="10018" max="10240" width="9" style="77"/>
    <col min="10241" max="10243" width="9" style="77" customWidth="1"/>
    <col min="10244" max="10244" width="10.5" style="77" customWidth="1"/>
    <col min="10245" max="10245" width="11.25" style="77" bestFit="1" customWidth="1"/>
    <col min="10246" max="10247" width="9" style="77"/>
    <col min="10248" max="10257" width="9" style="77" customWidth="1"/>
    <col min="10258" max="10258" width="9" style="77"/>
    <col min="10259" max="10259" width="9.5" style="77" bestFit="1" customWidth="1"/>
    <col min="10260" max="10260" width="9" style="77" customWidth="1"/>
    <col min="10261" max="10261" width="9" style="77"/>
    <col min="10262" max="10262" width="9" style="77" customWidth="1"/>
    <col min="10263" max="10268" width="9" style="77"/>
    <col min="10269" max="10269" width="26.5" style="77" customWidth="1"/>
    <col min="10270" max="10272" width="9" style="77"/>
    <col min="10273" max="10273" width="14.75" style="77" bestFit="1" customWidth="1"/>
    <col min="10274" max="10496" width="9" style="77"/>
    <col min="10497" max="10499" width="9" style="77" customWidth="1"/>
    <col min="10500" max="10500" width="10.5" style="77" customWidth="1"/>
    <col min="10501" max="10501" width="11.25" style="77" bestFit="1" customWidth="1"/>
    <col min="10502" max="10503" width="9" style="77"/>
    <col min="10504" max="10513" width="9" style="77" customWidth="1"/>
    <col min="10514" max="10514" width="9" style="77"/>
    <col min="10515" max="10515" width="9.5" style="77" bestFit="1" customWidth="1"/>
    <col min="10516" max="10516" width="9" style="77" customWidth="1"/>
    <col min="10517" max="10517" width="9" style="77"/>
    <col min="10518" max="10518" width="9" style="77" customWidth="1"/>
    <col min="10519" max="10524" width="9" style="77"/>
    <col min="10525" max="10525" width="26.5" style="77" customWidth="1"/>
    <col min="10526" max="10528" width="9" style="77"/>
    <col min="10529" max="10529" width="14.75" style="77" bestFit="1" customWidth="1"/>
    <col min="10530" max="10752" width="9" style="77"/>
    <col min="10753" max="10755" width="9" style="77" customWidth="1"/>
    <col min="10756" max="10756" width="10.5" style="77" customWidth="1"/>
    <col min="10757" max="10757" width="11.25" style="77" bestFit="1" customWidth="1"/>
    <col min="10758" max="10759" width="9" style="77"/>
    <col min="10760" max="10769" width="9" style="77" customWidth="1"/>
    <col min="10770" max="10770" width="9" style="77"/>
    <col min="10771" max="10771" width="9.5" style="77" bestFit="1" customWidth="1"/>
    <col min="10772" max="10772" width="9" style="77" customWidth="1"/>
    <col min="10773" max="10773" width="9" style="77"/>
    <col min="10774" max="10774" width="9" style="77" customWidth="1"/>
    <col min="10775" max="10780" width="9" style="77"/>
    <col min="10781" max="10781" width="26.5" style="77" customWidth="1"/>
    <col min="10782" max="10784" width="9" style="77"/>
    <col min="10785" max="10785" width="14.75" style="77" bestFit="1" customWidth="1"/>
    <col min="10786" max="11008" width="9" style="77"/>
    <col min="11009" max="11011" width="9" style="77" customWidth="1"/>
    <col min="11012" max="11012" width="10.5" style="77" customWidth="1"/>
    <col min="11013" max="11013" width="11.25" style="77" bestFit="1" customWidth="1"/>
    <col min="11014" max="11015" width="9" style="77"/>
    <col min="11016" max="11025" width="9" style="77" customWidth="1"/>
    <col min="11026" max="11026" width="9" style="77"/>
    <col min="11027" max="11027" width="9.5" style="77" bestFit="1" customWidth="1"/>
    <col min="11028" max="11028" width="9" style="77" customWidth="1"/>
    <col min="11029" max="11029" width="9" style="77"/>
    <col min="11030" max="11030" width="9" style="77" customWidth="1"/>
    <col min="11031" max="11036" width="9" style="77"/>
    <col min="11037" max="11037" width="26.5" style="77" customWidth="1"/>
    <col min="11038" max="11040" width="9" style="77"/>
    <col min="11041" max="11041" width="14.75" style="77" bestFit="1" customWidth="1"/>
    <col min="11042" max="11264" width="9" style="77"/>
    <col min="11265" max="11267" width="9" style="77" customWidth="1"/>
    <col min="11268" max="11268" width="10.5" style="77" customWidth="1"/>
    <col min="11269" max="11269" width="11.25" style="77" bestFit="1" customWidth="1"/>
    <col min="11270" max="11271" width="9" style="77"/>
    <col min="11272" max="11281" width="9" style="77" customWidth="1"/>
    <col min="11282" max="11282" width="9" style="77"/>
    <col min="11283" max="11283" width="9.5" style="77" bestFit="1" customWidth="1"/>
    <col min="11284" max="11284" width="9" style="77" customWidth="1"/>
    <col min="11285" max="11285" width="9" style="77"/>
    <col min="11286" max="11286" width="9" style="77" customWidth="1"/>
    <col min="11287" max="11292" width="9" style="77"/>
    <col min="11293" max="11293" width="26.5" style="77" customWidth="1"/>
    <col min="11294" max="11296" width="9" style="77"/>
    <col min="11297" max="11297" width="14.75" style="77" bestFit="1" customWidth="1"/>
    <col min="11298" max="11520" width="9" style="77"/>
    <col min="11521" max="11523" width="9" style="77" customWidth="1"/>
    <col min="11524" max="11524" width="10.5" style="77" customWidth="1"/>
    <col min="11525" max="11525" width="11.25" style="77" bestFit="1" customWidth="1"/>
    <col min="11526" max="11527" width="9" style="77"/>
    <col min="11528" max="11537" width="9" style="77" customWidth="1"/>
    <col min="11538" max="11538" width="9" style="77"/>
    <col min="11539" max="11539" width="9.5" style="77" bestFit="1" customWidth="1"/>
    <col min="11540" max="11540" width="9" style="77" customWidth="1"/>
    <col min="11541" max="11541" width="9" style="77"/>
    <col min="11542" max="11542" width="9" style="77" customWidth="1"/>
    <col min="11543" max="11548" width="9" style="77"/>
    <col min="11549" max="11549" width="26.5" style="77" customWidth="1"/>
    <col min="11550" max="11552" width="9" style="77"/>
    <col min="11553" max="11553" width="14.75" style="77" bestFit="1" customWidth="1"/>
    <col min="11554" max="11776" width="9" style="77"/>
    <col min="11777" max="11779" width="9" style="77" customWidth="1"/>
    <col min="11780" max="11780" width="10.5" style="77" customWidth="1"/>
    <col min="11781" max="11781" width="11.25" style="77" bestFit="1" customWidth="1"/>
    <col min="11782" max="11783" width="9" style="77"/>
    <col min="11784" max="11793" width="9" style="77" customWidth="1"/>
    <col min="11794" max="11794" width="9" style="77"/>
    <col min="11795" max="11795" width="9.5" style="77" bestFit="1" customWidth="1"/>
    <col min="11796" max="11796" width="9" style="77" customWidth="1"/>
    <col min="11797" max="11797" width="9" style="77"/>
    <col min="11798" max="11798" width="9" style="77" customWidth="1"/>
    <col min="11799" max="11804" width="9" style="77"/>
    <col min="11805" max="11805" width="26.5" style="77" customWidth="1"/>
    <col min="11806" max="11808" width="9" style="77"/>
    <col min="11809" max="11809" width="14.75" style="77" bestFit="1" customWidth="1"/>
    <col min="11810" max="12032" width="9" style="77"/>
    <col min="12033" max="12035" width="9" style="77" customWidth="1"/>
    <col min="12036" max="12036" width="10.5" style="77" customWidth="1"/>
    <col min="12037" max="12037" width="11.25" style="77" bestFit="1" customWidth="1"/>
    <col min="12038" max="12039" width="9" style="77"/>
    <col min="12040" max="12049" width="9" style="77" customWidth="1"/>
    <col min="12050" max="12050" width="9" style="77"/>
    <col min="12051" max="12051" width="9.5" style="77" bestFit="1" customWidth="1"/>
    <col min="12052" max="12052" width="9" style="77" customWidth="1"/>
    <col min="12053" max="12053" width="9" style="77"/>
    <col min="12054" max="12054" width="9" style="77" customWidth="1"/>
    <col min="12055" max="12060" width="9" style="77"/>
    <col min="12061" max="12061" width="26.5" style="77" customWidth="1"/>
    <col min="12062" max="12064" width="9" style="77"/>
    <col min="12065" max="12065" width="14.75" style="77" bestFit="1" customWidth="1"/>
    <col min="12066" max="12288" width="9" style="77"/>
    <col min="12289" max="12291" width="9" style="77" customWidth="1"/>
    <col min="12292" max="12292" width="10.5" style="77" customWidth="1"/>
    <col min="12293" max="12293" width="11.25" style="77" bestFit="1" customWidth="1"/>
    <col min="12294" max="12295" width="9" style="77"/>
    <col min="12296" max="12305" width="9" style="77" customWidth="1"/>
    <col min="12306" max="12306" width="9" style="77"/>
    <col min="12307" max="12307" width="9.5" style="77" bestFit="1" customWidth="1"/>
    <col min="12308" max="12308" width="9" style="77" customWidth="1"/>
    <col min="12309" max="12309" width="9" style="77"/>
    <col min="12310" max="12310" width="9" style="77" customWidth="1"/>
    <col min="12311" max="12316" width="9" style="77"/>
    <col min="12317" max="12317" width="26.5" style="77" customWidth="1"/>
    <col min="12318" max="12320" width="9" style="77"/>
    <col min="12321" max="12321" width="14.75" style="77" bestFit="1" customWidth="1"/>
    <col min="12322" max="12544" width="9" style="77"/>
    <col min="12545" max="12547" width="9" style="77" customWidth="1"/>
    <col min="12548" max="12548" width="10.5" style="77" customWidth="1"/>
    <col min="12549" max="12549" width="11.25" style="77" bestFit="1" customWidth="1"/>
    <col min="12550" max="12551" width="9" style="77"/>
    <col min="12552" max="12561" width="9" style="77" customWidth="1"/>
    <col min="12562" max="12562" width="9" style="77"/>
    <col min="12563" max="12563" width="9.5" style="77" bestFit="1" customWidth="1"/>
    <col min="12564" max="12564" width="9" style="77" customWidth="1"/>
    <col min="12565" max="12565" width="9" style="77"/>
    <col min="12566" max="12566" width="9" style="77" customWidth="1"/>
    <col min="12567" max="12572" width="9" style="77"/>
    <col min="12573" max="12573" width="26.5" style="77" customWidth="1"/>
    <col min="12574" max="12576" width="9" style="77"/>
    <col min="12577" max="12577" width="14.75" style="77" bestFit="1" customWidth="1"/>
    <col min="12578" max="12800" width="9" style="77"/>
    <col min="12801" max="12803" width="9" style="77" customWidth="1"/>
    <col min="12804" max="12804" width="10.5" style="77" customWidth="1"/>
    <col min="12805" max="12805" width="11.25" style="77" bestFit="1" customWidth="1"/>
    <col min="12806" max="12807" width="9" style="77"/>
    <col min="12808" max="12817" width="9" style="77" customWidth="1"/>
    <col min="12818" max="12818" width="9" style="77"/>
    <col min="12819" max="12819" width="9.5" style="77" bestFit="1" customWidth="1"/>
    <col min="12820" max="12820" width="9" style="77" customWidth="1"/>
    <col min="12821" max="12821" width="9" style="77"/>
    <col min="12822" max="12822" width="9" style="77" customWidth="1"/>
    <col min="12823" max="12828" width="9" style="77"/>
    <col min="12829" max="12829" width="26.5" style="77" customWidth="1"/>
    <col min="12830" max="12832" width="9" style="77"/>
    <col min="12833" max="12833" width="14.75" style="77" bestFit="1" customWidth="1"/>
    <col min="12834" max="13056" width="9" style="77"/>
    <col min="13057" max="13059" width="9" style="77" customWidth="1"/>
    <col min="13060" max="13060" width="10.5" style="77" customWidth="1"/>
    <col min="13061" max="13061" width="11.25" style="77" bestFit="1" customWidth="1"/>
    <col min="13062" max="13063" width="9" style="77"/>
    <col min="13064" max="13073" width="9" style="77" customWidth="1"/>
    <col min="13074" max="13074" width="9" style="77"/>
    <col min="13075" max="13075" width="9.5" style="77" bestFit="1" customWidth="1"/>
    <col min="13076" max="13076" width="9" style="77" customWidth="1"/>
    <col min="13077" max="13077" width="9" style="77"/>
    <col min="13078" max="13078" width="9" style="77" customWidth="1"/>
    <col min="13079" max="13084" width="9" style="77"/>
    <col min="13085" max="13085" width="26.5" style="77" customWidth="1"/>
    <col min="13086" max="13088" width="9" style="77"/>
    <col min="13089" max="13089" width="14.75" style="77" bestFit="1" customWidth="1"/>
    <col min="13090" max="13312" width="9" style="77"/>
    <col min="13313" max="13315" width="9" style="77" customWidth="1"/>
    <col min="13316" max="13316" width="10.5" style="77" customWidth="1"/>
    <col min="13317" max="13317" width="11.25" style="77" bestFit="1" customWidth="1"/>
    <col min="13318" max="13319" width="9" style="77"/>
    <col min="13320" max="13329" width="9" style="77" customWidth="1"/>
    <col min="13330" max="13330" width="9" style="77"/>
    <col min="13331" max="13331" width="9.5" style="77" bestFit="1" customWidth="1"/>
    <col min="13332" max="13332" width="9" style="77" customWidth="1"/>
    <col min="13333" max="13333" width="9" style="77"/>
    <col min="13334" max="13334" width="9" style="77" customWidth="1"/>
    <col min="13335" max="13340" width="9" style="77"/>
    <col min="13341" max="13341" width="26.5" style="77" customWidth="1"/>
    <col min="13342" max="13344" width="9" style="77"/>
    <col min="13345" max="13345" width="14.75" style="77" bestFit="1" customWidth="1"/>
    <col min="13346" max="13568" width="9" style="77"/>
    <col min="13569" max="13571" width="9" style="77" customWidth="1"/>
    <col min="13572" max="13572" width="10.5" style="77" customWidth="1"/>
    <col min="13573" max="13573" width="11.25" style="77" bestFit="1" customWidth="1"/>
    <col min="13574" max="13575" width="9" style="77"/>
    <col min="13576" max="13585" width="9" style="77" customWidth="1"/>
    <col min="13586" max="13586" width="9" style="77"/>
    <col min="13587" max="13587" width="9.5" style="77" bestFit="1" customWidth="1"/>
    <col min="13588" max="13588" width="9" style="77" customWidth="1"/>
    <col min="13589" max="13589" width="9" style="77"/>
    <col min="13590" max="13590" width="9" style="77" customWidth="1"/>
    <col min="13591" max="13596" width="9" style="77"/>
    <col min="13597" max="13597" width="26.5" style="77" customWidth="1"/>
    <col min="13598" max="13600" width="9" style="77"/>
    <col min="13601" max="13601" width="14.75" style="77" bestFit="1" customWidth="1"/>
    <col min="13602" max="13824" width="9" style="77"/>
    <col min="13825" max="13827" width="9" style="77" customWidth="1"/>
    <col min="13828" max="13828" width="10.5" style="77" customWidth="1"/>
    <col min="13829" max="13829" width="11.25" style="77" bestFit="1" customWidth="1"/>
    <col min="13830" max="13831" width="9" style="77"/>
    <col min="13832" max="13841" width="9" style="77" customWidth="1"/>
    <col min="13842" max="13842" width="9" style="77"/>
    <col min="13843" max="13843" width="9.5" style="77" bestFit="1" customWidth="1"/>
    <col min="13844" max="13844" width="9" style="77" customWidth="1"/>
    <col min="13845" max="13845" width="9" style="77"/>
    <col min="13846" max="13846" width="9" style="77" customWidth="1"/>
    <col min="13847" max="13852" width="9" style="77"/>
    <col min="13853" max="13853" width="26.5" style="77" customWidth="1"/>
    <col min="13854" max="13856" width="9" style="77"/>
    <col min="13857" max="13857" width="14.75" style="77" bestFit="1" customWidth="1"/>
    <col min="13858" max="14080" width="9" style="77"/>
    <col min="14081" max="14083" width="9" style="77" customWidth="1"/>
    <col min="14084" max="14084" width="10.5" style="77" customWidth="1"/>
    <col min="14085" max="14085" width="11.25" style="77" bestFit="1" customWidth="1"/>
    <col min="14086" max="14087" width="9" style="77"/>
    <col min="14088" max="14097" width="9" style="77" customWidth="1"/>
    <col min="14098" max="14098" width="9" style="77"/>
    <col min="14099" max="14099" width="9.5" style="77" bestFit="1" customWidth="1"/>
    <col min="14100" max="14100" width="9" style="77" customWidth="1"/>
    <col min="14101" max="14101" width="9" style="77"/>
    <col min="14102" max="14102" width="9" style="77" customWidth="1"/>
    <col min="14103" max="14108" width="9" style="77"/>
    <col min="14109" max="14109" width="26.5" style="77" customWidth="1"/>
    <col min="14110" max="14112" width="9" style="77"/>
    <col min="14113" max="14113" width="14.75" style="77" bestFit="1" customWidth="1"/>
    <col min="14114" max="14336" width="9" style="77"/>
    <col min="14337" max="14339" width="9" style="77" customWidth="1"/>
    <col min="14340" max="14340" width="10.5" style="77" customWidth="1"/>
    <col min="14341" max="14341" width="11.25" style="77" bestFit="1" customWidth="1"/>
    <col min="14342" max="14343" width="9" style="77"/>
    <col min="14344" max="14353" width="9" style="77" customWidth="1"/>
    <col min="14354" max="14354" width="9" style="77"/>
    <col min="14355" max="14355" width="9.5" style="77" bestFit="1" customWidth="1"/>
    <col min="14356" max="14356" width="9" style="77" customWidth="1"/>
    <col min="14357" max="14357" width="9" style="77"/>
    <col min="14358" max="14358" width="9" style="77" customWidth="1"/>
    <col min="14359" max="14364" width="9" style="77"/>
    <col min="14365" max="14365" width="26.5" style="77" customWidth="1"/>
    <col min="14366" max="14368" width="9" style="77"/>
    <col min="14369" max="14369" width="14.75" style="77" bestFit="1" customWidth="1"/>
    <col min="14370" max="14592" width="9" style="77"/>
    <col min="14593" max="14595" width="9" style="77" customWidth="1"/>
    <col min="14596" max="14596" width="10.5" style="77" customWidth="1"/>
    <col min="14597" max="14597" width="11.25" style="77" bestFit="1" customWidth="1"/>
    <col min="14598" max="14599" width="9" style="77"/>
    <col min="14600" max="14609" width="9" style="77" customWidth="1"/>
    <col min="14610" max="14610" width="9" style="77"/>
    <col min="14611" max="14611" width="9.5" style="77" bestFit="1" customWidth="1"/>
    <col min="14612" max="14612" width="9" style="77" customWidth="1"/>
    <col min="14613" max="14613" width="9" style="77"/>
    <col min="14614" max="14614" width="9" style="77" customWidth="1"/>
    <col min="14615" max="14620" width="9" style="77"/>
    <col min="14621" max="14621" width="26.5" style="77" customWidth="1"/>
    <col min="14622" max="14624" width="9" style="77"/>
    <col min="14625" max="14625" width="14.75" style="77" bestFit="1" customWidth="1"/>
    <col min="14626" max="14848" width="9" style="77"/>
    <col min="14849" max="14851" width="9" style="77" customWidth="1"/>
    <col min="14852" max="14852" width="10.5" style="77" customWidth="1"/>
    <col min="14853" max="14853" width="11.25" style="77" bestFit="1" customWidth="1"/>
    <col min="14854" max="14855" width="9" style="77"/>
    <col min="14856" max="14865" width="9" style="77" customWidth="1"/>
    <col min="14866" max="14866" width="9" style="77"/>
    <col min="14867" max="14867" width="9.5" style="77" bestFit="1" customWidth="1"/>
    <col min="14868" max="14868" width="9" style="77" customWidth="1"/>
    <col min="14869" max="14869" width="9" style="77"/>
    <col min="14870" max="14870" width="9" style="77" customWidth="1"/>
    <col min="14871" max="14876" width="9" style="77"/>
    <col min="14877" max="14877" width="26.5" style="77" customWidth="1"/>
    <col min="14878" max="14880" width="9" style="77"/>
    <col min="14881" max="14881" width="14.75" style="77" bestFit="1" customWidth="1"/>
    <col min="14882" max="15104" width="9" style="77"/>
    <col min="15105" max="15107" width="9" style="77" customWidth="1"/>
    <col min="15108" max="15108" width="10.5" style="77" customWidth="1"/>
    <col min="15109" max="15109" width="11.25" style="77" bestFit="1" customWidth="1"/>
    <col min="15110" max="15111" width="9" style="77"/>
    <col min="15112" max="15121" width="9" style="77" customWidth="1"/>
    <col min="15122" max="15122" width="9" style="77"/>
    <col min="15123" max="15123" width="9.5" style="77" bestFit="1" customWidth="1"/>
    <col min="15124" max="15124" width="9" style="77" customWidth="1"/>
    <col min="15125" max="15125" width="9" style="77"/>
    <col min="15126" max="15126" width="9" style="77" customWidth="1"/>
    <col min="15127" max="15132" width="9" style="77"/>
    <col min="15133" max="15133" width="26.5" style="77" customWidth="1"/>
    <col min="15134" max="15136" width="9" style="77"/>
    <col min="15137" max="15137" width="14.75" style="77" bestFit="1" customWidth="1"/>
    <col min="15138" max="15360" width="9" style="77"/>
    <col min="15361" max="15363" width="9" style="77" customWidth="1"/>
    <col min="15364" max="15364" width="10.5" style="77" customWidth="1"/>
    <col min="15365" max="15365" width="11.25" style="77" bestFit="1" customWidth="1"/>
    <col min="15366" max="15367" width="9" style="77"/>
    <col min="15368" max="15377" width="9" style="77" customWidth="1"/>
    <col min="15378" max="15378" width="9" style="77"/>
    <col min="15379" max="15379" width="9.5" style="77" bestFit="1" customWidth="1"/>
    <col min="15380" max="15380" width="9" style="77" customWidth="1"/>
    <col min="15381" max="15381" width="9" style="77"/>
    <col min="15382" max="15382" width="9" style="77" customWidth="1"/>
    <col min="15383" max="15388" width="9" style="77"/>
    <col min="15389" max="15389" width="26.5" style="77" customWidth="1"/>
    <col min="15390" max="15392" width="9" style="77"/>
    <col min="15393" max="15393" width="14.75" style="77" bestFit="1" customWidth="1"/>
    <col min="15394" max="15616" width="9" style="77"/>
    <col min="15617" max="15619" width="9" style="77" customWidth="1"/>
    <col min="15620" max="15620" width="10.5" style="77" customWidth="1"/>
    <col min="15621" max="15621" width="11.25" style="77" bestFit="1" customWidth="1"/>
    <col min="15622" max="15623" width="9" style="77"/>
    <col min="15624" max="15633" width="9" style="77" customWidth="1"/>
    <col min="15634" max="15634" width="9" style="77"/>
    <col min="15635" max="15635" width="9.5" style="77" bestFit="1" customWidth="1"/>
    <col min="15636" max="15636" width="9" style="77" customWidth="1"/>
    <col min="15637" max="15637" width="9" style="77"/>
    <col min="15638" max="15638" width="9" style="77" customWidth="1"/>
    <col min="15639" max="15644" width="9" style="77"/>
    <col min="15645" max="15645" width="26.5" style="77" customWidth="1"/>
    <col min="15646" max="15648" width="9" style="77"/>
    <col min="15649" max="15649" width="14.75" style="77" bestFit="1" customWidth="1"/>
    <col min="15650" max="15872" width="9" style="77"/>
    <col min="15873" max="15875" width="9" style="77" customWidth="1"/>
    <col min="15876" max="15876" width="10.5" style="77" customWidth="1"/>
    <col min="15877" max="15877" width="11.25" style="77" bestFit="1" customWidth="1"/>
    <col min="15878" max="15879" width="9" style="77"/>
    <col min="15880" max="15889" width="9" style="77" customWidth="1"/>
    <col min="15890" max="15890" width="9" style="77"/>
    <col min="15891" max="15891" width="9.5" style="77" bestFit="1" customWidth="1"/>
    <col min="15892" max="15892" width="9" style="77" customWidth="1"/>
    <col min="15893" max="15893" width="9" style="77"/>
    <col min="15894" max="15894" width="9" style="77" customWidth="1"/>
    <col min="15895" max="15900" width="9" style="77"/>
    <col min="15901" max="15901" width="26.5" style="77" customWidth="1"/>
    <col min="15902" max="15904" width="9" style="77"/>
    <col min="15905" max="15905" width="14.75" style="77" bestFit="1" customWidth="1"/>
    <col min="15906" max="16128" width="9" style="77"/>
    <col min="16129" max="16131" width="9" style="77" customWidth="1"/>
    <col min="16132" max="16132" width="10.5" style="77" customWidth="1"/>
    <col min="16133" max="16133" width="11.25" style="77" bestFit="1" customWidth="1"/>
    <col min="16134" max="16135" width="9" style="77"/>
    <col min="16136" max="16145" width="9" style="77" customWidth="1"/>
    <col min="16146" max="16146" width="9" style="77"/>
    <col min="16147" max="16147" width="9.5" style="77" bestFit="1" customWidth="1"/>
    <col min="16148" max="16148" width="9" style="77" customWidth="1"/>
    <col min="16149" max="16149" width="9" style="77"/>
    <col min="16150" max="16150" width="9" style="77" customWidth="1"/>
    <col min="16151" max="16156" width="9" style="77"/>
    <col min="16157" max="16157" width="26.5" style="77" customWidth="1"/>
    <col min="16158" max="16160" width="9" style="77"/>
    <col min="16161" max="16161" width="14.75" style="77" bestFit="1" customWidth="1"/>
    <col min="16162" max="16384" width="9" style="77"/>
  </cols>
  <sheetData>
    <row r="1" spans="1:53" ht="45" x14ac:dyDescent="0.15">
      <c r="A1" s="40" t="s">
        <v>286</v>
      </c>
      <c r="B1" s="92" t="s">
        <v>1</v>
      </c>
      <c r="C1" s="92" t="s">
        <v>118</v>
      </c>
      <c r="D1" s="93" t="s">
        <v>2</v>
      </c>
      <c r="E1" s="83" t="s">
        <v>287</v>
      </c>
      <c r="F1" s="83" t="s">
        <v>4</v>
      </c>
      <c r="G1" s="83" t="s">
        <v>5</v>
      </c>
      <c r="H1" s="83" t="s">
        <v>173</v>
      </c>
      <c r="I1" s="83" t="s">
        <v>7</v>
      </c>
      <c r="J1" s="83" t="s">
        <v>8</v>
      </c>
      <c r="K1" s="83" t="s">
        <v>9</v>
      </c>
      <c r="L1" s="93" t="s">
        <v>119</v>
      </c>
      <c r="M1" s="93" t="s">
        <v>10</v>
      </c>
      <c r="N1" s="93" t="s">
        <v>288</v>
      </c>
      <c r="O1" s="93" t="s">
        <v>120</v>
      </c>
      <c r="P1" s="93" t="s">
        <v>121</v>
      </c>
      <c r="Q1" s="3" t="s">
        <v>12</v>
      </c>
      <c r="R1" s="93" t="s">
        <v>122</v>
      </c>
      <c r="S1" s="93" t="s">
        <v>123</v>
      </c>
      <c r="T1" s="3" t="s">
        <v>13</v>
      </c>
      <c r="U1" s="94" t="s">
        <v>289</v>
      </c>
      <c r="V1" s="5" t="s">
        <v>14</v>
      </c>
      <c r="W1" s="93" t="s">
        <v>15</v>
      </c>
      <c r="X1" s="83" t="s">
        <v>16</v>
      </c>
      <c r="Y1" s="83" t="s">
        <v>17</v>
      </c>
      <c r="Z1" s="83" t="s">
        <v>18</v>
      </c>
      <c r="AA1" s="42" t="s">
        <v>19</v>
      </c>
      <c r="AB1" s="95" t="s">
        <v>124</v>
      </c>
      <c r="AE1" s="96" t="s">
        <v>0</v>
      </c>
      <c r="AF1" s="97"/>
      <c r="AG1" s="96" t="s">
        <v>3</v>
      </c>
      <c r="AH1" s="96" t="s">
        <v>4</v>
      </c>
      <c r="AI1" s="97"/>
      <c r="AJ1" s="96" t="s">
        <v>5</v>
      </c>
      <c r="AK1" s="97"/>
      <c r="AL1" s="10" t="s">
        <v>6</v>
      </c>
      <c r="AM1" s="97"/>
      <c r="AN1" s="10" t="s">
        <v>7</v>
      </c>
      <c r="AO1" s="97"/>
      <c r="AP1" s="10" t="s">
        <v>20</v>
      </c>
      <c r="AQ1" s="97"/>
      <c r="AR1" s="10" t="s">
        <v>9</v>
      </c>
      <c r="AS1" s="97"/>
      <c r="AT1" s="11" t="s">
        <v>21</v>
      </c>
      <c r="AU1" s="97"/>
      <c r="AV1" s="10" t="s">
        <v>22</v>
      </c>
      <c r="AX1" s="12" t="s">
        <v>125</v>
      </c>
      <c r="AY1" s="13" t="s">
        <v>126</v>
      </c>
      <c r="AZ1" s="13" t="s">
        <v>127</v>
      </c>
      <c r="BA1" s="14" t="s">
        <v>128</v>
      </c>
    </row>
    <row r="2" spans="1:53" s="48" customFormat="1" x14ac:dyDescent="0.15">
      <c r="A2" s="149" t="s">
        <v>48</v>
      </c>
      <c r="B2" s="149" t="s">
        <v>290</v>
      </c>
      <c r="C2" s="149">
        <v>2020</v>
      </c>
      <c r="D2" s="157" t="s">
        <v>291</v>
      </c>
      <c r="E2" s="149" t="s">
        <v>292</v>
      </c>
      <c r="F2" s="149" t="s">
        <v>293</v>
      </c>
      <c r="G2" s="149" t="s">
        <v>31</v>
      </c>
      <c r="H2" s="149" t="s">
        <v>164</v>
      </c>
      <c r="I2" s="77" t="s">
        <v>111</v>
      </c>
      <c r="J2" s="77" t="s">
        <v>27</v>
      </c>
      <c r="K2" s="77" t="s">
        <v>112</v>
      </c>
      <c r="L2" s="77">
        <v>1</v>
      </c>
      <c r="M2" s="77"/>
      <c r="N2" s="77">
        <v>4</v>
      </c>
      <c r="O2" s="77">
        <v>0.65</v>
      </c>
      <c r="P2" s="77">
        <v>0.5</v>
      </c>
      <c r="Q2" s="44">
        <f t="shared" ref="Q2:Q68" si="0">IF(OR(O2="",P2=""),"",AVERAGE(O2,P2))</f>
        <v>0.57499999999999996</v>
      </c>
      <c r="R2" s="77">
        <v>15.1</v>
      </c>
      <c r="S2" s="77">
        <v>102</v>
      </c>
      <c r="T2" s="16">
        <f t="shared" ref="T2:T68" si="1">IF(H2="","",IF(OR(H2="GREEN",H2="GK"),IF(S2&gt;=$AX$2,VLOOKUP(S2,$AX$2:$AY$15,2,1),""),IF(S2&gt;=$AZ$2,VLOOKUP(S2,$AZ$2:$BA$15,2,1),"")))</f>
        <v>33</v>
      </c>
      <c r="U2" s="77">
        <v>398</v>
      </c>
      <c r="V2" s="179">
        <f>IF(OR(N2="",U2="",T2=""),"",U2/N2*T2)</f>
        <v>3283.5</v>
      </c>
      <c r="W2" s="77">
        <v>6</v>
      </c>
      <c r="X2" s="77" t="s">
        <v>35</v>
      </c>
      <c r="Y2" s="77" t="s">
        <v>76</v>
      </c>
      <c r="Z2" s="77" t="s">
        <v>55</v>
      </c>
      <c r="AA2" s="77" t="s">
        <v>36</v>
      </c>
      <c r="AB2" s="149" t="s">
        <v>294</v>
      </c>
      <c r="AC2" s="34"/>
      <c r="AE2" s="98" t="s">
        <v>24</v>
      </c>
      <c r="AG2" s="99" t="s">
        <v>295</v>
      </c>
      <c r="AH2" s="99" t="s">
        <v>293</v>
      </c>
      <c r="AJ2" s="49" t="s">
        <v>25</v>
      </c>
      <c r="AL2" s="100" t="s">
        <v>107</v>
      </c>
      <c r="AN2" s="49" t="s">
        <v>26</v>
      </c>
      <c r="AP2" s="50" t="s">
        <v>27</v>
      </c>
      <c r="AR2" s="50" t="s">
        <v>129</v>
      </c>
      <c r="AT2" s="49" t="s">
        <v>28</v>
      </c>
      <c r="AV2" s="50" t="s">
        <v>29</v>
      </c>
      <c r="AX2" s="180">
        <v>1</v>
      </c>
      <c r="AY2" s="181">
        <v>50</v>
      </c>
      <c r="AZ2" s="181">
        <v>1</v>
      </c>
      <c r="BA2" s="182">
        <v>50</v>
      </c>
    </row>
    <row r="3" spans="1:53" x14ac:dyDescent="0.15">
      <c r="A3" s="149" t="s">
        <v>48</v>
      </c>
      <c r="B3" s="149" t="s">
        <v>290</v>
      </c>
      <c r="C3" s="149">
        <v>2020</v>
      </c>
      <c r="D3" s="157" t="s">
        <v>291</v>
      </c>
      <c r="E3" s="149" t="s">
        <v>292</v>
      </c>
      <c r="F3" s="149" t="s">
        <v>293</v>
      </c>
      <c r="G3" s="149" t="s">
        <v>31</v>
      </c>
      <c r="H3" s="149" t="s">
        <v>164</v>
      </c>
      <c r="I3" s="77" t="s">
        <v>111</v>
      </c>
      <c r="J3" s="77" t="s">
        <v>27</v>
      </c>
      <c r="K3" s="77" t="s">
        <v>112</v>
      </c>
      <c r="L3" s="77">
        <v>2</v>
      </c>
      <c r="N3" s="77">
        <v>4</v>
      </c>
      <c r="O3" s="77">
        <v>0.6</v>
      </c>
      <c r="P3" s="77">
        <v>0.5</v>
      </c>
      <c r="Q3" s="44">
        <f t="shared" si="0"/>
        <v>0.55000000000000004</v>
      </c>
      <c r="R3" s="77">
        <v>15</v>
      </c>
      <c r="S3" s="77">
        <v>110</v>
      </c>
      <c r="T3" s="16">
        <f t="shared" si="1"/>
        <v>33</v>
      </c>
      <c r="U3" s="77">
        <v>398</v>
      </c>
      <c r="V3" s="179">
        <f t="shared" ref="V3:V69" si="2">IF(OR(N3="",U3="",T3=""),"",U3/N3*T3)</f>
        <v>3283.5</v>
      </c>
      <c r="W3" s="77">
        <v>6</v>
      </c>
      <c r="X3" s="77" t="s">
        <v>35</v>
      </c>
      <c r="Y3" s="77" t="s">
        <v>76</v>
      </c>
      <c r="Z3" s="77" t="s">
        <v>55</v>
      </c>
      <c r="AA3" s="77" t="s">
        <v>36</v>
      </c>
      <c r="AB3" s="149" t="s">
        <v>294</v>
      </c>
      <c r="AC3" s="34"/>
      <c r="AE3" s="22" t="s">
        <v>30</v>
      </c>
      <c r="AG3" s="99" t="s">
        <v>296</v>
      </c>
      <c r="AH3" s="99" t="s">
        <v>297</v>
      </c>
      <c r="AJ3" s="80" t="s">
        <v>31</v>
      </c>
      <c r="AL3" s="80" t="s">
        <v>108</v>
      </c>
      <c r="AN3" s="80" t="s">
        <v>32</v>
      </c>
      <c r="AP3" s="80" t="s">
        <v>33</v>
      </c>
      <c r="AR3" s="80" t="s">
        <v>34</v>
      </c>
      <c r="AT3" s="80" t="s">
        <v>35</v>
      </c>
      <c r="AV3" s="80" t="s">
        <v>36</v>
      </c>
      <c r="AX3" s="24">
        <v>72</v>
      </c>
      <c r="AY3" s="25">
        <v>46</v>
      </c>
      <c r="AZ3" s="25">
        <v>71</v>
      </c>
      <c r="BA3" s="26">
        <v>42</v>
      </c>
    </row>
    <row r="4" spans="1:53" x14ac:dyDescent="0.15">
      <c r="A4" s="149" t="s">
        <v>48</v>
      </c>
      <c r="B4" s="149" t="s">
        <v>290</v>
      </c>
      <c r="C4" s="149">
        <v>2020</v>
      </c>
      <c r="D4" s="157" t="s">
        <v>291</v>
      </c>
      <c r="E4" s="149" t="s">
        <v>292</v>
      </c>
      <c r="F4" s="149" t="s">
        <v>293</v>
      </c>
      <c r="G4" s="149" t="s">
        <v>31</v>
      </c>
      <c r="H4" s="149" t="s">
        <v>164</v>
      </c>
      <c r="I4" s="77" t="s">
        <v>111</v>
      </c>
      <c r="J4" s="77" t="s">
        <v>27</v>
      </c>
      <c r="K4" s="77" t="s">
        <v>112</v>
      </c>
      <c r="L4" s="77">
        <v>3</v>
      </c>
      <c r="N4" s="77">
        <v>4</v>
      </c>
      <c r="O4" s="77">
        <v>0.55000000000000004</v>
      </c>
      <c r="P4" s="77">
        <v>0.5</v>
      </c>
      <c r="Q4" s="44">
        <f t="shared" si="0"/>
        <v>0.52500000000000002</v>
      </c>
      <c r="R4" s="77">
        <v>15.5</v>
      </c>
      <c r="S4" s="77">
        <v>104</v>
      </c>
      <c r="T4" s="16">
        <f t="shared" si="1"/>
        <v>33</v>
      </c>
      <c r="U4" s="77">
        <v>398</v>
      </c>
      <c r="V4" s="179">
        <f t="shared" si="2"/>
        <v>3283.5</v>
      </c>
      <c r="W4" s="77">
        <v>6</v>
      </c>
      <c r="X4" s="77" t="s">
        <v>35</v>
      </c>
      <c r="Y4" s="77" t="s">
        <v>76</v>
      </c>
      <c r="Z4" s="77" t="s">
        <v>55</v>
      </c>
      <c r="AA4" s="77" t="s">
        <v>36</v>
      </c>
      <c r="AB4" s="149" t="s">
        <v>294</v>
      </c>
      <c r="AC4" s="34"/>
      <c r="AE4" s="22" t="s">
        <v>23</v>
      </c>
      <c r="AG4" s="99" t="s">
        <v>298</v>
      </c>
      <c r="AH4" s="99" t="s">
        <v>299</v>
      </c>
      <c r="AJ4" s="27" t="s">
        <v>37</v>
      </c>
      <c r="AL4" s="80" t="s">
        <v>109</v>
      </c>
      <c r="AN4" s="28" t="s">
        <v>38</v>
      </c>
      <c r="AP4" s="80" t="s">
        <v>130</v>
      </c>
      <c r="AR4" s="80" t="s">
        <v>131</v>
      </c>
      <c r="AT4" s="28"/>
      <c r="AV4" s="80" t="s">
        <v>39</v>
      </c>
      <c r="AX4" s="24">
        <v>75</v>
      </c>
      <c r="AY4" s="25">
        <v>42</v>
      </c>
      <c r="AZ4" s="25">
        <v>76</v>
      </c>
      <c r="BA4" s="26">
        <v>39</v>
      </c>
    </row>
    <row r="5" spans="1:53" x14ac:dyDescent="0.15">
      <c r="A5" s="149" t="s">
        <v>48</v>
      </c>
      <c r="B5" s="149" t="s">
        <v>290</v>
      </c>
      <c r="C5" s="149">
        <v>2020</v>
      </c>
      <c r="D5" s="157" t="s">
        <v>291</v>
      </c>
      <c r="E5" s="149" t="s">
        <v>300</v>
      </c>
      <c r="F5" s="149" t="s">
        <v>297</v>
      </c>
      <c r="G5" s="149" t="s">
        <v>25</v>
      </c>
      <c r="H5" s="149" t="s">
        <v>164</v>
      </c>
      <c r="I5" s="77" t="s">
        <v>111</v>
      </c>
      <c r="J5" s="77" t="s">
        <v>27</v>
      </c>
      <c r="K5" s="77" t="s">
        <v>112</v>
      </c>
      <c r="L5" s="77">
        <v>1</v>
      </c>
      <c r="N5" s="77">
        <v>1</v>
      </c>
      <c r="O5" s="77">
        <v>0.8</v>
      </c>
      <c r="P5" s="77">
        <v>0.9</v>
      </c>
      <c r="Q5" s="44">
        <f>IF(OR(O5="",P5=""),"",AVERAGE(O5,P5))</f>
        <v>0.85000000000000009</v>
      </c>
      <c r="R5" s="77">
        <v>15.1</v>
      </c>
      <c r="S5" s="77">
        <v>128</v>
      </c>
      <c r="T5" s="16">
        <f t="shared" si="1"/>
        <v>27</v>
      </c>
      <c r="U5" s="77">
        <v>138</v>
      </c>
      <c r="V5" s="179">
        <f t="shared" si="2"/>
        <v>3726</v>
      </c>
      <c r="W5" s="77">
        <v>18</v>
      </c>
      <c r="X5" s="77" t="s">
        <v>35</v>
      </c>
      <c r="Y5" s="77" t="s">
        <v>82</v>
      </c>
      <c r="Z5" s="77" t="s">
        <v>36</v>
      </c>
      <c r="AA5" s="77" t="s">
        <v>29</v>
      </c>
      <c r="AB5" s="149" t="s">
        <v>294</v>
      </c>
      <c r="AC5" s="34"/>
      <c r="AE5" s="22" t="s">
        <v>40</v>
      </c>
      <c r="AG5" s="99" t="s">
        <v>301</v>
      </c>
      <c r="AH5" s="99" t="s">
        <v>302</v>
      </c>
      <c r="AJ5" s="27"/>
      <c r="AL5" s="80" t="s">
        <v>132</v>
      </c>
      <c r="AN5" s="104" t="s">
        <v>133</v>
      </c>
      <c r="AP5" s="80" t="s">
        <v>134</v>
      </c>
      <c r="AR5" s="80" t="s">
        <v>42</v>
      </c>
      <c r="AV5" s="80" t="s">
        <v>43</v>
      </c>
      <c r="AX5" s="24">
        <v>84</v>
      </c>
      <c r="AY5" s="25">
        <v>39</v>
      </c>
      <c r="AZ5" s="25">
        <v>84</v>
      </c>
      <c r="BA5" s="26">
        <v>36</v>
      </c>
    </row>
    <row r="6" spans="1:53" x14ac:dyDescent="0.15">
      <c r="A6" s="149" t="s">
        <v>48</v>
      </c>
      <c r="B6" s="149" t="s">
        <v>290</v>
      </c>
      <c r="C6" s="149">
        <v>2020</v>
      </c>
      <c r="D6" s="157" t="s">
        <v>291</v>
      </c>
      <c r="E6" s="149" t="s">
        <v>300</v>
      </c>
      <c r="F6" s="149" t="s">
        <v>297</v>
      </c>
      <c r="G6" s="149" t="s">
        <v>25</v>
      </c>
      <c r="H6" s="149" t="s">
        <v>164</v>
      </c>
      <c r="I6" s="77" t="s">
        <v>111</v>
      </c>
      <c r="J6" s="77" t="s">
        <v>27</v>
      </c>
      <c r="K6" s="77" t="s">
        <v>112</v>
      </c>
      <c r="L6" s="77">
        <v>2</v>
      </c>
      <c r="N6" s="77">
        <v>1</v>
      </c>
      <c r="O6" s="77">
        <v>0.55000000000000004</v>
      </c>
      <c r="P6" s="77">
        <v>0.5</v>
      </c>
      <c r="Q6" s="44">
        <f t="shared" si="0"/>
        <v>0.52500000000000002</v>
      </c>
      <c r="R6" s="77">
        <v>17.5</v>
      </c>
      <c r="S6" s="77">
        <v>128</v>
      </c>
      <c r="T6" s="16">
        <f t="shared" si="1"/>
        <v>27</v>
      </c>
      <c r="U6" s="77">
        <v>138</v>
      </c>
      <c r="V6" s="179">
        <f t="shared" si="2"/>
        <v>3726</v>
      </c>
      <c r="W6" s="77">
        <v>18</v>
      </c>
      <c r="X6" s="77" t="s">
        <v>35</v>
      </c>
      <c r="Y6" s="77" t="s">
        <v>82</v>
      </c>
      <c r="Z6" s="77" t="s">
        <v>36</v>
      </c>
      <c r="AA6" s="77" t="s">
        <v>29</v>
      </c>
      <c r="AB6" s="149" t="s">
        <v>294</v>
      </c>
      <c r="AC6" s="34"/>
      <c r="AE6" s="22" t="s">
        <v>44</v>
      </c>
      <c r="AG6" s="99" t="s">
        <v>303</v>
      </c>
      <c r="AH6" s="99" t="s">
        <v>304</v>
      </c>
      <c r="AJ6" s="27"/>
      <c r="AL6" s="80" t="s">
        <v>135</v>
      </c>
      <c r="AN6" s="104" t="s">
        <v>136</v>
      </c>
      <c r="AP6" s="80" t="s">
        <v>41</v>
      </c>
      <c r="AR6" s="80" t="s">
        <v>46</v>
      </c>
      <c r="AV6" s="80" t="s">
        <v>47</v>
      </c>
      <c r="AX6" s="24">
        <v>97</v>
      </c>
      <c r="AY6" s="25">
        <v>36</v>
      </c>
      <c r="AZ6" s="25">
        <v>99</v>
      </c>
      <c r="BA6" s="26">
        <v>33</v>
      </c>
    </row>
    <row r="7" spans="1:53" x14ac:dyDescent="0.15">
      <c r="A7" s="149" t="s">
        <v>48</v>
      </c>
      <c r="B7" s="149" t="s">
        <v>290</v>
      </c>
      <c r="C7" s="149">
        <v>2020</v>
      </c>
      <c r="D7" s="157" t="s">
        <v>291</v>
      </c>
      <c r="E7" s="149" t="s">
        <v>300</v>
      </c>
      <c r="F7" s="149" t="s">
        <v>297</v>
      </c>
      <c r="G7" s="149" t="s">
        <v>25</v>
      </c>
      <c r="H7" s="149" t="s">
        <v>164</v>
      </c>
      <c r="I7" s="77" t="s">
        <v>111</v>
      </c>
      <c r="J7" s="77" t="s">
        <v>27</v>
      </c>
      <c r="K7" s="77" t="s">
        <v>112</v>
      </c>
      <c r="L7" s="77">
        <v>3</v>
      </c>
      <c r="N7" s="77">
        <v>1</v>
      </c>
      <c r="O7" s="77">
        <v>0.55000000000000004</v>
      </c>
      <c r="P7" s="77">
        <v>0.55000000000000004</v>
      </c>
      <c r="Q7" s="44">
        <f t="shared" si="0"/>
        <v>0.55000000000000004</v>
      </c>
      <c r="R7" s="77">
        <v>15.4</v>
      </c>
      <c r="S7" s="77">
        <v>127</v>
      </c>
      <c r="T7" s="16">
        <f t="shared" si="1"/>
        <v>27</v>
      </c>
      <c r="U7" s="77">
        <v>138</v>
      </c>
      <c r="V7" s="179">
        <f t="shared" si="2"/>
        <v>3726</v>
      </c>
      <c r="W7" s="77">
        <v>18</v>
      </c>
      <c r="X7" s="77" t="s">
        <v>35</v>
      </c>
      <c r="Y7" s="77" t="s">
        <v>82</v>
      </c>
      <c r="Z7" s="77" t="s">
        <v>36</v>
      </c>
      <c r="AA7" s="77" t="s">
        <v>29</v>
      </c>
      <c r="AB7" s="149" t="s">
        <v>294</v>
      </c>
      <c r="AC7" s="34"/>
      <c r="AE7" s="22" t="s">
        <v>48</v>
      </c>
      <c r="AG7" s="99" t="s">
        <v>183</v>
      </c>
      <c r="AH7" s="99" t="s">
        <v>304</v>
      </c>
      <c r="AJ7" s="27"/>
      <c r="AL7" s="86" t="s">
        <v>137</v>
      </c>
      <c r="AN7" s="104"/>
      <c r="AP7" s="80" t="s">
        <v>45</v>
      </c>
      <c r="AR7" s="80" t="s">
        <v>102</v>
      </c>
      <c r="AV7" s="80" t="s">
        <v>51</v>
      </c>
      <c r="AX7" s="24">
        <v>109</v>
      </c>
      <c r="AY7" s="25">
        <v>33</v>
      </c>
      <c r="AZ7" s="25">
        <v>113</v>
      </c>
      <c r="BA7" s="26">
        <v>30</v>
      </c>
    </row>
    <row r="8" spans="1:53" x14ac:dyDescent="0.15">
      <c r="A8" s="149" t="s">
        <v>48</v>
      </c>
      <c r="B8" s="149" t="s">
        <v>290</v>
      </c>
      <c r="C8" s="149">
        <v>2020</v>
      </c>
      <c r="D8" s="157" t="s">
        <v>291</v>
      </c>
      <c r="E8" s="149" t="s">
        <v>300</v>
      </c>
      <c r="F8" s="149" t="s">
        <v>297</v>
      </c>
      <c r="G8" s="149" t="s">
        <v>25</v>
      </c>
      <c r="H8" s="149" t="s">
        <v>164</v>
      </c>
      <c r="I8" s="77" t="s">
        <v>111</v>
      </c>
      <c r="J8" s="77" t="s">
        <v>27</v>
      </c>
      <c r="K8" s="77" t="s">
        <v>112</v>
      </c>
      <c r="L8" s="77">
        <v>1</v>
      </c>
      <c r="N8" s="77">
        <v>4</v>
      </c>
      <c r="O8" s="77">
        <v>0.55000000000000004</v>
      </c>
      <c r="P8" s="77">
        <v>0.55000000000000004</v>
      </c>
      <c r="Q8" s="44">
        <f t="shared" si="0"/>
        <v>0.55000000000000004</v>
      </c>
      <c r="R8" s="77">
        <v>16.7</v>
      </c>
      <c r="S8" s="77">
        <v>102</v>
      </c>
      <c r="T8" s="16">
        <f t="shared" si="1"/>
        <v>33</v>
      </c>
      <c r="U8" s="77">
        <v>398</v>
      </c>
      <c r="V8" s="179">
        <f t="shared" si="2"/>
        <v>3283.5</v>
      </c>
      <c r="W8" s="77">
        <v>18</v>
      </c>
      <c r="X8" s="77" t="s">
        <v>35</v>
      </c>
      <c r="Y8" s="77" t="s">
        <v>82</v>
      </c>
      <c r="Z8" s="77" t="s">
        <v>36</v>
      </c>
      <c r="AA8" s="77" t="s">
        <v>29</v>
      </c>
      <c r="AB8" s="149" t="s">
        <v>294</v>
      </c>
      <c r="AC8" s="34"/>
      <c r="AE8" s="22" t="s">
        <v>46</v>
      </c>
      <c r="AG8" s="99" t="s">
        <v>305</v>
      </c>
      <c r="AH8" s="99" t="s">
        <v>306</v>
      </c>
      <c r="AJ8" s="28"/>
      <c r="AL8" s="86" t="s">
        <v>110</v>
      </c>
      <c r="AN8" s="104"/>
      <c r="AP8" s="80" t="s">
        <v>49</v>
      </c>
      <c r="AR8" s="80" t="s">
        <v>67</v>
      </c>
      <c r="AV8" s="80" t="s">
        <v>82</v>
      </c>
      <c r="AX8" s="24">
        <v>119</v>
      </c>
      <c r="AY8" s="25">
        <v>30</v>
      </c>
      <c r="AZ8" s="25">
        <v>121</v>
      </c>
      <c r="BA8" s="26">
        <v>27</v>
      </c>
    </row>
    <row r="9" spans="1:53" x14ac:dyDescent="0.15">
      <c r="A9" s="149" t="s">
        <v>48</v>
      </c>
      <c r="B9" s="149" t="s">
        <v>290</v>
      </c>
      <c r="C9" s="149">
        <v>2020</v>
      </c>
      <c r="D9" s="157" t="s">
        <v>291</v>
      </c>
      <c r="E9" s="149" t="s">
        <v>300</v>
      </c>
      <c r="F9" s="149" t="s">
        <v>297</v>
      </c>
      <c r="G9" s="149" t="s">
        <v>25</v>
      </c>
      <c r="H9" s="149" t="s">
        <v>164</v>
      </c>
      <c r="I9" s="77" t="s">
        <v>111</v>
      </c>
      <c r="J9" s="77" t="s">
        <v>27</v>
      </c>
      <c r="K9" s="77" t="s">
        <v>112</v>
      </c>
      <c r="L9" s="77">
        <v>2</v>
      </c>
      <c r="N9" s="77">
        <v>4</v>
      </c>
      <c r="O9" s="34">
        <v>0.5</v>
      </c>
      <c r="P9" s="77">
        <v>0.55000000000000004</v>
      </c>
      <c r="Q9" s="44">
        <f t="shared" si="0"/>
        <v>0.52500000000000002</v>
      </c>
      <c r="R9" s="34">
        <v>18</v>
      </c>
      <c r="S9" s="77">
        <v>110</v>
      </c>
      <c r="T9" s="16">
        <f t="shared" si="1"/>
        <v>33</v>
      </c>
      <c r="U9" s="77">
        <v>398</v>
      </c>
      <c r="V9" s="179">
        <f t="shared" si="2"/>
        <v>3283.5</v>
      </c>
      <c r="W9" s="77">
        <v>18</v>
      </c>
      <c r="X9" s="77" t="s">
        <v>35</v>
      </c>
      <c r="Y9" s="77" t="s">
        <v>82</v>
      </c>
      <c r="Z9" s="77" t="s">
        <v>36</v>
      </c>
      <c r="AA9" s="77" t="s">
        <v>29</v>
      </c>
      <c r="AB9" s="149" t="s">
        <v>294</v>
      </c>
      <c r="AC9" s="34"/>
      <c r="AE9" s="22" t="s">
        <v>83</v>
      </c>
      <c r="AG9" s="99" t="s">
        <v>307</v>
      </c>
      <c r="AH9" s="99" t="s">
        <v>308</v>
      </c>
      <c r="AL9" s="80" t="s">
        <v>139</v>
      </c>
      <c r="AN9" s="104"/>
      <c r="AP9" s="80" t="s">
        <v>80</v>
      </c>
      <c r="AR9" s="80" t="s">
        <v>75</v>
      </c>
      <c r="AV9" s="80" t="s">
        <v>86</v>
      </c>
      <c r="AX9" s="24">
        <v>128</v>
      </c>
      <c r="AY9" s="25">
        <v>27</v>
      </c>
      <c r="AZ9" s="25">
        <v>129</v>
      </c>
      <c r="BA9" s="26">
        <v>25</v>
      </c>
    </row>
    <row r="10" spans="1:53" x14ac:dyDescent="0.15">
      <c r="A10" s="149" t="s">
        <v>48</v>
      </c>
      <c r="B10" s="149" t="s">
        <v>290</v>
      </c>
      <c r="C10" s="149">
        <v>2020</v>
      </c>
      <c r="D10" s="157" t="s">
        <v>291</v>
      </c>
      <c r="E10" s="149" t="s">
        <v>300</v>
      </c>
      <c r="F10" s="149" t="s">
        <v>297</v>
      </c>
      <c r="G10" s="149" t="s">
        <v>25</v>
      </c>
      <c r="H10" s="149" t="s">
        <v>164</v>
      </c>
      <c r="I10" s="77" t="s">
        <v>111</v>
      </c>
      <c r="J10" s="77" t="s">
        <v>27</v>
      </c>
      <c r="K10" s="77" t="s">
        <v>112</v>
      </c>
      <c r="L10" s="77">
        <v>3</v>
      </c>
      <c r="N10" s="77">
        <v>4</v>
      </c>
      <c r="O10" s="34">
        <v>0.5</v>
      </c>
      <c r="P10" s="77">
        <v>0.6</v>
      </c>
      <c r="Q10" s="44">
        <f t="shared" si="0"/>
        <v>0.55000000000000004</v>
      </c>
      <c r="R10" s="77">
        <v>15.6</v>
      </c>
      <c r="S10" s="77">
        <v>108</v>
      </c>
      <c r="T10" s="16">
        <f t="shared" si="1"/>
        <v>33</v>
      </c>
      <c r="U10" s="77">
        <v>398</v>
      </c>
      <c r="V10" s="179">
        <f t="shared" si="2"/>
        <v>3283.5</v>
      </c>
      <c r="W10" s="77">
        <v>18</v>
      </c>
      <c r="X10" s="77" t="s">
        <v>35</v>
      </c>
      <c r="Y10" s="77" t="s">
        <v>82</v>
      </c>
      <c r="Z10" s="77" t="s">
        <v>36</v>
      </c>
      <c r="AA10" s="77" t="s">
        <v>29</v>
      </c>
      <c r="AB10" s="149" t="s">
        <v>294</v>
      </c>
      <c r="AC10" s="34"/>
      <c r="AE10" s="22" t="s">
        <v>87</v>
      </c>
      <c r="AG10" s="99" t="s">
        <v>309</v>
      </c>
      <c r="AH10" s="99" t="s">
        <v>310</v>
      </c>
      <c r="AL10" s="104"/>
      <c r="AP10" s="80" t="s">
        <v>84</v>
      </c>
      <c r="AR10" s="80" t="s">
        <v>103</v>
      </c>
      <c r="AV10" s="80" t="s">
        <v>90</v>
      </c>
      <c r="AX10" s="24">
        <v>138</v>
      </c>
      <c r="AY10" s="25">
        <v>25</v>
      </c>
      <c r="AZ10" s="25">
        <v>138</v>
      </c>
      <c r="BA10" s="26">
        <v>22</v>
      </c>
    </row>
    <row r="11" spans="1:53" x14ac:dyDescent="0.15">
      <c r="A11" s="149" t="s">
        <v>48</v>
      </c>
      <c r="B11" s="149" t="s">
        <v>290</v>
      </c>
      <c r="C11" s="149">
        <v>2020</v>
      </c>
      <c r="D11" s="157" t="s">
        <v>291</v>
      </c>
      <c r="E11" s="149" t="s">
        <v>300</v>
      </c>
      <c r="F11" s="149" t="s">
        <v>297</v>
      </c>
      <c r="G11" s="149" t="s">
        <v>25</v>
      </c>
      <c r="H11" s="149" t="s">
        <v>164</v>
      </c>
      <c r="I11" s="77" t="s">
        <v>111</v>
      </c>
      <c r="J11" s="77" t="s">
        <v>27</v>
      </c>
      <c r="K11" s="77" t="s">
        <v>112</v>
      </c>
      <c r="L11" s="77">
        <v>1</v>
      </c>
      <c r="N11" s="77">
        <v>8</v>
      </c>
      <c r="O11" s="77">
        <v>0.55000000000000004</v>
      </c>
      <c r="P11" s="77">
        <v>0.5</v>
      </c>
      <c r="Q11" s="44">
        <f t="shared" si="0"/>
        <v>0.52500000000000002</v>
      </c>
      <c r="R11" s="77">
        <v>16.100000000000001</v>
      </c>
      <c r="S11" s="77">
        <v>123</v>
      </c>
      <c r="T11" s="16">
        <f t="shared" si="1"/>
        <v>27</v>
      </c>
      <c r="U11" s="77">
        <v>880</v>
      </c>
      <c r="V11" s="179">
        <f t="shared" si="2"/>
        <v>2970</v>
      </c>
      <c r="W11" s="77">
        <v>18</v>
      </c>
      <c r="X11" s="77" t="s">
        <v>35</v>
      </c>
      <c r="Y11" s="77" t="s">
        <v>82</v>
      </c>
      <c r="Z11" s="77" t="s">
        <v>36</v>
      </c>
      <c r="AA11" s="77" t="s">
        <v>29</v>
      </c>
      <c r="AB11" s="149" t="s">
        <v>294</v>
      </c>
      <c r="AC11" s="34"/>
      <c r="AE11" s="22" t="s">
        <v>52</v>
      </c>
      <c r="AG11" s="99" t="s">
        <v>311</v>
      </c>
      <c r="AH11" s="99" t="s">
        <v>310</v>
      </c>
      <c r="AL11" s="183"/>
      <c r="AP11" s="80" t="s">
        <v>88</v>
      </c>
      <c r="AR11" s="80" t="s">
        <v>73</v>
      </c>
      <c r="AV11" s="86" t="s">
        <v>312</v>
      </c>
      <c r="AX11" s="24">
        <v>151</v>
      </c>
      <c r="AY11" s="25">
        <v>22</v>
      </c>
      <c r="AZ11" s="25">
        <v>152</v>
      </c>
      <c r="BA11" s="26">
        <v>18</v>
      </c>
    </row>
    <row r="12" spans="1:53" x14ac:dyDescent="0.15">
      <c r="A12" s="149" t="s">
        <v>48</v>
      </c>
      <c r="B12" s="149" t="s">
        <v>290</v>
      </c>
      <c r="C12" s="149">
        <v>2020</v>
      </c>
      <c r="D12" s="157" t="s">
        <v>291</v>
      </c>
      <c r="E12" s="149" t="s">
        <v>300</v>
      </c>
      <c r="F12" s="149" t="s">
        <v>297</v>
      </c>
      <c r="G12" s="149" t="s">
        <v>25</v>
      </c>
      <c r="H12" s="149" t="s">
        <v>164</v>
      </c>
      <c r="I12" s="77" t="s">
        <v>111</v>
      </c>
      <c r="J12" s="77" t="s">
        <v>27</v>
      </c>
      <c r="K12" s="77" t="s">
        <v>112</v>
      </c>
      <c r="L12" s="77">
        <v>2</v>
      </c>
      <c r="N12" s="77">
        <v>8</v>
      </c>
      <c r="O12" s="77">
        <v>0.55000000000000004</v>
      </c>
      <c r="P12" s="77">
        <v>0.55000000000000004</v>
      </c>
      <c r="Q12" s="44">
        <f t="shared" si="0"/>
        <v>0.55000000000000004</v>
      </c>
      <c r="R12" s="34">
        <v>17.5</v>
      </c>
      <c r="S12" s="77">
        <v>120</v>
      </c>
      <c r="T12" s="16">
        <f t="shared" si="1"/>
        <v>30</v>
      </c>
      <c r="U12" s="77">
        <v>880</v>
      </c>
      <c r="V12" s="179">
        <f t="shared" si="2"/>
        <v>3300</v>
      </c>
      <c r="W12" s="77">
        <v>18</v>
      </c>
      <c r="X12" s="77" t="s">
        <v>35</v>
      </c>
      <c r="Y12" s="77" t="s">
        <v>82</v>
      </c>
      <c r="Z12" s="77" t="s">
        <v>36</v>
      </c>
      <c r="AA12" s="77" t="s">
        <v>29</v>
      </c>
      <c r="AB12" s="149" t="s">
        <v>294</v>
      </c>
      <c r="AC12" s="34"/>
      <c r="AE12" s="22" t="s">
        <v>56</v>
      </c>
      <c r="AG12" s="80"/>
      <c r="AH12" s="22"/>
      <c r="AL12" s="183"/>
      <c r="AP12" s="80" t="s">
        <v>53</v>
      </c>
      <c r="AR12" s="80" t="s">
        <v>104</v>
      </c>
      <c r="AV12" s="86" t="s">
        <v>313</v>
      </c>
      <c r="AX12" s="24">
        <v>180</v>
      </c>
      <c r="AY12" s="25">
        <v>18</v>
      </c>
      <c r="AZ12" s="25">
        <v>181</v>
      </c>
      <c r="BA12" s="26">
        <v>16</v>
      </c>
    </row>
    <row r="13" spans="1:53" x14ac:dyDescent="0.15">
      <c r="A13" s="149" t="s">
        <v>48</v>
      </c>
      <c r="B13" s="149" t="s">
        <v>290</v>
      </c>
      <c r="C13" s="149">
        <v>2020</v>
      </c>
      <c r="D13" s="157" t="s">
        <v>291</v>
      </c>
      <c r="E13" s="149" t="s">
        <v>300</v>
      </c>
      <c r="F13" s="149" t="s">
        <v>297</v>
      </c>
      <c r="G13" s="149" t="s">
        <v>25</v>
      </c>
      <c r="H13" s="149" t="s">
        <v>164</v>
      </c>
      <c r="I13" s="77" t="s">
        <v>111</v>
      </c>
      <c r="J13" s="77" t="s">
        <v>27</v>
      </c>
      <c r="K13" s="77" t="s">
        <v>112</v>
      </c>
      <c r="L13" s="77">
        <v>3</v>
      </c>
      <c r="N13" s="77">
        <v>8</v>
      </c>
      <c r="O13" s="77">
        <v>0.55000000000000004</v>
      </c>
      <c r="P13" s="77">
        <v>0.55000000000000004</v>
      </c>
      <c r="Q13" s="44">
        <f t="shared" si="0"/>
        <v>0.55000000000000004</v>
      </c>
      <c r="R13" s="77">
        <v>18.7</v>
      </c>
      <c r="S13" s="77">
        <v>122</v>
      </c>
      <c r="T13" s="16">
        <f t="shared" si="1"/>
        <v>27</v>
      </c>
      <c r="U13" s="77">
        <v>880</v>
      </c>
      <c r="V13" s="179">
        <f t="shared" si="2"/>
        <v>2970</v>
      </c>
      <c r="W13" s="77">
        <v>18</v>
      </c>
      <c r="X13" s="77" t="s">
        <v>35</v>
      </c>
      <c r="Y13" s="77" t="s">
        <v>82</v>
      </c>
      <c r="Z13" s="77" t="s">
        <v>36</v>
      </c>
      <c r="AA13" s="77" t="s">
        <v>29</v>
      </c>
      <c r="AB13" s="149" t="s">
        <v>294</v>
      </c>
      <c r="AC13" s="34"/>
      <c r="AE13" s="22" t="s">
        <v>59</v>
      </c>
      <c r="AG13" s="80"/>
      <c r="AH13" s="22"/>
      <c r="AL13" s="184"/>
      <c r="AP13" s="80" t="s">
        <v>57</v>
      </c>
      <c r="AR13" s="80" t="s">
        <v>87</v>
      </c>
      <c r="AV13" s="86" t="s">
        <v>314</v>
      </c>
      <c r="AX13" s="24"/>
      <c r="AY13" s="25"/>
      <c r="AZ13" s="25"/>
      <c r="BA13" s="26"/>
    </row>
    <row r="14" spans="1:53" x14ac:dyDescent="0.15">
      <c r="A14" s="149" t="s">
        <v>48</v>
      </c>
      <c r="B14" s="149" t="s">
        <v>290</v>
      </c>
      <c r="C14" s="149">
        <v>2020</v>
      </c>
      <c r="D14" s="157" t="s">
        <v>291</v>
      </c>
      <c r="E14" s="149" t="s">
        <v>300</v>
      </c>
      <c r="F14" s="149" t="s">
        <v>297</v>
      </c>
      <c r="G14" s="149" t="s">
        <v>25</v>
      </c>
      <c r="H14" s="149" t="s">
        <v>113</v>
      </c>
      <c r="I14" s="77" t="s">
        <v>111</v>
      </c>
      <c r="J14" s="77" t="s">
        <v>27</v>
      </c>
      <c r="K14" s="77" t="s">
        <v>112</v>
      </c>
      <c r="L14" s="77">
        <v>1</v>
      </c>
      <c r="N14" s="77">
        <v>1</v>
      </c>
      <c r="O14" s="77">
        <v>0.9</v>
      </c>
      <c r="P14" s="77">
        <v>0.8</v>
      </c>
      <c r="Q14" s="44">
        <f t="shared" si="0"/>
        <v>0.85000000000000009</v>
      </c>
      <c r="R14" s="77">
        <v>15.4</v>
      </c>
      <c r="S14" s="77">
        <v>124</v>
      </c>
      <c r="T14" s="16">
        <f t="shared" si="1"/>
        <v>27</v>
      </c>
      <c r="U14" s="77">
        <v>128</v>
      </c>
      <c r="V14" s="179">
        <f t="shared" si="2"/>
        <v>3456</v>
      </c>
      <c r="W14" s="77">
        <v>18</v>
      </c>
      <c r="X14" s="77" t="s">
        <v>35</v>
      </c>
      <c r="Y14" s="77" t="s">
        <v>82</v>
      </c>
      <c r="Z14" s="77" t="s">
        <v>36</v>
      </c>
      <c r="AA14" s="77" t="s">
        <v>29</v>
      </c>
      <c r="AB14" s="149" t="s">
        <v>294</v>
      </c>
      <c r="AC14" s="34"/>
      <c r="AE14" s="22" t="s">
        <v>62</v>
      </c>
      <c r="AG14" s="80"/>
      <c r="AH14" s="22"/>
      <c r="AL14" s="34"/>
      <c r="AP14" s="80" t="s">
        <v>60</v>
      </c>
      <c r="AR14" s="80" t="s">
        <v>105</v>
      </c>
      <c r="AV14" s="86" t="s">
        <v>315</v>
      </c>
      <c r="AX14" s="24"/>
      <c r="AY14" s="25"/>
      <c r="AZ14" s="25"/>
      <c r="BA14" s="26"/>
    </row>
    <row r="15" spans="1:53" x14ac:dyDescent="0.15">
      <c r="A15" s="149" t="s">
        <v>48</v>
      </c>
      <c r="B15" s="149" t="s">
        <v>290</v>
      </c>
      <c r="C15" s="149">
        <v>2020</v>
      </c>
      <c r="D15" s="157" t="s">
        <v>291</v>
      </c>
      <c r="E15" s="149" t="s">
        <v>300</v>
      </c>
      <c r="F15" s="149" t="s">
        <v>297</v>
      </c>
      <c r="G15" s="149" t="s">
        <v>25</v>
      </c>
      <c r="H15" s="149" t="s">
        <v>113</v>
      </c>
      <c r="I15" s="77" t="s">
        <v>111</v>
      </c>
      <c r="J15" s="77" t="s">
        <v>27</v>
      </c>
      <c r="K15" s="77" t="s">
        <v>112</v>
      </c>
      <c r="L15" s="77">
        <v>2</v>
      </c>
      <c r="N15" s="77">
        <v>1</v>
      </c>
      <c r="O15" s="77">
        <v>1</v>
      </c>
      <c r="P15" s="77">
        <v>0.9</v>
      </c>
      <c r="Q15" s="44">
        <f t="shared" si="0"/>
        <v>0.95</v>
      </c>
      <c r="R15" s="34">
        <v>14.3</v>
      </c>
      <c r="S15" s="77">
        <v>151</v>
      </c>
      <c r="T15" s="16">
        <f t="shared" si="1"/>
        <v>22</v>
      </c>
      <c r="U15" s="77">
        <v>128</v>
      </c>
      <c r="V15" s="179">
        <f t="shared" si="2"/>
        <v>2816</v>
      </c>
      <c r="W15" s="77">
        <v>18</v>
      </c>
      <c r="X15" s="77" t="s">
        <v>35</v>
      </c>
      <c r="Y15" s="77" t="s">
        <v>82</v>
      </c>
      <c r="Z15" s="77" t="s">
        <v>36</v>
      </c>
      <c r="AA15" s="77" t="s">
        <v>29</v>
      </c>
      <c r="AB15" s="149" t="s">
        <v>294</v>
      </c>
      <c r="AC15" s="34"/>
      <c r="AE15" s="22" t="s">
        <v>65</v>
      </c>
      <c r="AG15" s="80"/>
      <c r="AH15" s="80"/>
      <c r="AL15" s="34"/>
      <c r="AP15" s="80" t="s">
        <v>63</v>
      </c>
      <c r="AR15" s="80" t="s">
        <v>79</v>
      </c>
      <c r="AV15" s="86" t="s">
        <v>316</v>
      </c>
      <c r="AX15" s="31"/>
      <c r="AY15" s="32"/>
      <c r="AZ15" s="32"/>
      <c r="BA15" s="33"/>
    </row>
    <row r="16" spans="1:53" x14ac:dyDescent="0.15">
      <c r="A16" s="149" t="s">
        <v>48</v>
      </c>
      <c r="B16" s="149" t="s">
        <v>290</v>
      </c>
      <c r="C16" s="149">
        <v>2020</v>
      </c>
      <c r="D16" s="157" t="s">
        <v>291</v>
      </c>
      <c r="E16" s="149" t="s">
        <v>300</v>
      </c>
      <c r="F16" s="149" t="s">
        <v>297</v>
      </c>
      <c r="G16" s="149" t="s">
        <v>25</v>
      </c>
      <c r="H16" s="149" t="s">
        <v>113</v>
      </c>
      <c r="I16" s="77" t="s">
        <v>111</v>
      </c>
      <c r="J16" s="77" t="s">
        <v>27</v>
      </c>
      <c r="K16" s="77" t="s">
        <v>112</v>
      </c>
      <c r="L16" s="77">
        <v>3</v>
      </c>
      <c r="N16" s="77">
        <v>1</v>
      </c>
      <c r="O16" s="77">
        <v>0.75</v>
      </c>
      <c r="P16" s="77">
        <v>0.75</v>
      </c>
      <c r="Q16" s="44">
        <f t="shared" si="0"/>
        <v>0.75</v>
      </c>
      <c r="R16" s="77">
        <v>14.7</v>
      </c>
      <c r="S16" s="77">
        <v>131</v>
      </c>
      <c r="T16" s="16">
        <f t="shared" si="1"/>
        <v>25</v>
      </c>
      <c r="U16" s="77">
        <v>128</v>
      </c>
      <c r="V16" s="179">
        <f t="shared" si="2"/>
        <v>3200</v>
      </c>
      <c r="W16" s="77">
        <v>18</v>
      </c>
      <c r="X16" s="77" t="s">
        <v>35</v>
      </c>
      <c r="Y16" s="77" t="s">
        <v>82</v>
      </c>
      <c r="Z16" s="77" t="s">
        <v>36</v>
      </c>
      <c r="AA16" s="77" t="s">
        <v>29</v>
      </c>
      <c r="AB16" s="149" t="s">
        <v>294</v>
      </c>
      <c r="AC16" s="34"/>
      <c r="AE16" s="22" t="s">
        <v>68</v>
      </c>
      <c r="AG16" s="80"/>
      <c r="AH16" s="80"/>
      <c r="AP16" s="80" t="s">
        <v>66</v>
      </c>
      <c r="AR16" s="80" t="s">
        <v>50</v>
      </c>
      <c r="AV16" s="86" t="s">
        <v>317</v>
      </c>
    </row>
    <row r="17" spans="1:48" x14ac:dyDescent="0.15">
      <c r="A17" s="149" t="s">
        <v>48</v>
      </c>
      <c r="B17" s="149" t="s">
        <v>290</v>
      </c>
      <c r="C17" s="149">
        <v>2020</v>
      </c>
      <c r="D17" s="157" t="s">
        <v>291</v>
      </c>
      <c r="E17" s="149" t="s">
        <v>300</v>
      </c>
      <c r="F17" s="149" t="s">
        <v>297</v>
      </c>
      <c r="G17" s="149" t="s">
        <v>25</v>
      </c>
      <c r="H17" s="149" t="s">
        <v>113</v>
      </c>
      <c r="I17" s="77" t="s">
        <v>111</v>
      </c>
      <c r="J17" s="77" t="s">
        <v>27</v>
      </c>
      <c r="K17" s="77" t="s">
        <v>112</v>
      </c>
      <c r="L17" s="77">
        <v>1</v>
      </c>
      <c r="N17" s="77">
        <v>4</v>
      </c>
      <c r="O17" s="77">
        <v>0.6</v>
      </c>
      <c r="P17" s="77">
        <v>0.75</v>
      </c>
      <c r="Q17" s="44">
        <f t="shared" si="0"/>
        <v>0.67500000000000004</v>
      </c>
      <c r="R17" s="77">
        <v>14.3</v>
      </c>
      <c r="S17" s="77">
        <v>96</v>
      </c>
      <c r="T17" s="16">
        <f t="shared" si="1"/>
        <v>36</v>
      </c>
      <c r="U17" s="77">
        <v>398</v>
      </c>
      <c r="V17" s="179">
        <f t="shared" si="2"/>
        <v>3582</v>
      </c>
      <c r="W17" s="77">
        <v>18</v>
      </c>
      <c r="X17" s="77" t="s">
        <v>35</v>
      </c>
      <c r="Y17" s="77" t="s">
        <v>82</v>
      </c>
      <c r="Z17" s="77" t="s">
        <v>36</v>
      </c>
      <c r="AA17" s="77" t="s">
        <v>29</v>
      </c>
      <c r="AB17" s="149" t="s">
        <v>294</v>
      </c>
      <c r="AC17" s="34"/>
      <c r="AE17" s="22" t="s">
        <v>71</v>
      </c>
      <c r="AP17" s="27" t="s">
        <v>93</v>
      </c>
      <c r="AR17" s="80" t="s">
        <v>81</v>
      </c>
      <c r="AV17" s="86" t="s">
        <v>318</v>
      </c>
    </row>
    <row r="18" spans="1:48" x14ac:dyDescent="0.15">
      <c r="A18" s="149" t="s">
        <v>48</v>
      </c>
      <c r="B18" s="149" t="s">
        <v>290</v>
      </c>
      <c r="C18" s="149">
        <v>2020</v>
      </c>
      <c r="D18" s="157" t="s">
        <v>291</v>
      </c>
      <c r="E18" s="149" t="s">
        <v>300</v>
      </c>
      <c r="F18" s="149" t="s">
        <v>297</v>
      </c>
      <c r="G18" s="149" t="s">
        <v>25</v>
      </c>
      <c r="H18" s="149" t="s">
        <v>113</v>
      </c>
      <c r="I18" s="77" t="s">
        <v>111</v>
      </c>
      <c r="J18" s="77" t="s">
        <v>27</v>
      </c>
      <c r="K18" s="77" t="s">
        <v>112</v>
      </c>
      <c r="L18" s="77">
        <v>2</v>
      </c>
      <c r="N18" s="77">
        <v>4</v>
      </c>
      <c r="O18" s="77">
        <v>0.5</v>
      </c>
      <c r="P18" s="77">
        <v>0.55000000000000004</v>
      </c>
      <c r="Q18" s="44">
        <f t="shared" si="0"/>
        <v>0.52500000000000002</v>
      </c>
      <c r="R18" s="34">
        <v>14.7</v>
      </c>
      <c r="S18" s="77">
        <v>99</v>
      </c>
      <c r="T18" s="16">
        <f t="shared" si="1"/>
        <v>33</v>
      </c>
      <c r="U18" s="77">
        <v>398</v>
      </c>
      <c r="V18" s="179">
        <f t="shared" si="2"/>
        <v>3283.5</v>
      </c>
      <c r="W18" s="77">
        <v>18</v>
      </c>
      <c r="X18" s="77" t="s">
        <v>35</v>
      </c>
      <c r="Y18" s="77" t="s">
        <v>82</v>
      </c>
      <c r="Z18" s="77" t="s">
        <v>36</v>
      </c>
      <c r="AA18" s="77" t="s">
        <v>29</v>
      </c>
      <c r="AB18" s="149" t="s">
        <v>294</v>
      </c>
      <c r="AC18" s="34"/>
      <c r="AE18" s="22" t="s">
        <v>73</v>
      </c>
      <c r="AP18" s="27" t="s">
        <v>94</v>
      </c>
      <c r="AR18" s="80" t="s">
        <v>85</v>
      </c>
      <c r="AV18" s="86" t="s">
        <v>114</v>
      </c>
    </row>
    <row r="19" spans="1:48" x14ac:dyDescent="0.15">
      <c r="A19" s="149" t="s">
        <v>48</v>
      </c>
      <c r="B19" s="149" t="s">
        <v>290</v>
      </c>
      <c r="C19" s="149">
        <v>2020</v>
      </c>
      <c r="D19" s="157" t="s">
        <v>291</v>
      </c>
      <c r="E19" s="149" t="s">
        <v>300</v>
      </c>
      <c r="F19" s="149" t="s">
        <v>297</v>
      </c>
      <c r="G19" s="149" t="s">
        <v>25</v>
      </c>
      <c r="H19" s="149" t="s">
        <v>113</v>
      </c>
      <c r="I19" s="77" t="s">
        <v>111</v>
      </c>
      <c r="J19" s="77" t="s">
        <v>27</v>
      </c>
      <c r="K19" s="77" t="s">
        <v>112</v>
      </c>
      <c r="L19" s="77">
        <v>3</v>
      </c>
      <c r="N19" s="77">
        <v>4</v>
      </c>
      <c r="O19" s="34">
        <v>0.65</v>
      </c>
      <c r="P19" s="77">
        <v>0.6</v>
      </c>
      <c r="Q19" s="44">
        <f t="shared" si="0"/>
        <v>0.625</v>
      </c>
      <c r="R19" s="77">
        <v>14.4</v>
      </c>
      <c r="S19" s="77">
        <v>97</v>
      </c>
      <c r="T19" s="16">
        <f t="shared" si="1"/>
        <v>36</v>
      </c>
      <c r="U19" s="77">
        <v>398</v>
      </c>
      <c r="V19" s="179">
        <f t="shared" si="2"/>
        <v>3582</v>
      </c>
      <c r="W19" s="77">
        <v>18</v>
      </c>
      <c r="X19" s="77" t="s">
        <v>35</v>
      </c>
      <c r="Y19" s="77" t="s">
        <v>82</v>
      </c>
      <c r="Z19" s="77" t="s">
        <v>36</v>
      </c>
      <c r="AA19" s="77" t="s">
        <v>29</v>
      </c>
      <c r="AB19" s="149" t="s">
        <v>294</v>
      </c>
      <c r="AC19" s="34"/>
      <c r="AE19" s="35" t="s">
        <v>75</v>
      </c>
      <c r="AP19" s="27" t="s">
        <v>95</v>
      </c>
      <c r="AR19" s="80" t="s">
        <v>106</v>
      </c>
      <c r="AV19" s="86" t="s">
        <v>319</v>
      </c>
    </row>
    <row r="20" spans="1:48" x14ac:dyDescent="0.15">
      <c r="A20" s="149" t="s">
        <v>48</v>
      </c>
      <c r="B20" s="149" t="s">
        <v>290</v>
      </c>
      <c r="C20" s="149">
        <v>2020</v>
      </c>
      <c r="D20" s="157" t="s">
        <v>291</v>
      </c>
      <c r="E20" s="149" t="s">
        <v>300</v>
      </c>
      <c r="F20" s="149" t="s">
        <v>297</v>
      </c>
      <c r="G20" s="149" t="s">
        <v>25</v>
      </c>
      <c r="H20" s="149" t="s">
        <v>107</v>
      </c>
      <c r="I20" s="77" t="s">
        <v>111</v>
      </c>
      <c r="J20" s="77" t="s">
        <v>66</v>
      </c>
      <c r="K20" s="77" t="s">
        <v>50</v>
      </c>
      <c r="L20" s="77">
        <v>1</v>
      </c>
      <c r="N20" s="77">
        <v>4</v>
      </c>
      <c r="O20" s="77">
        <v>0.55000000000000004</v>
      </c>
      <c r="P20" s="77">
        <v>0.5</v>
      </c>
      <c r="Q20" s="44">
        <f t="shared" si="0"/>
        <v>0.52500000000000002</v>
      </c>
      <c r="R20" s="77">
        <v>12.5</v>
      </c>
      <c r="S20" s="77">
        <v>84</v>
      </c>
      <c r="T20" s="16">
        <f t="shared" si="1"/>
        <v>36</v>
      </c>
      <c r="U20" s="77">
        <v>398</v>
      </c>
      <c r="V20" s="179">
        <f t="shared" si="2"/>
        <v>3582</v>
      </c>
      <c r="W20" s="77">
        <v>18</v>
      </c>
      <c r="X20" s="77" t="s">
        <v>35</v>
      </c>
      <c r="Y20" s="77" t="s">
        <v>82</v>
      </c>
      <c r="Z20" s="77" t="s">
        <v>36</v>
      </c>
      <c r="AA20" s="77" t="s">
        <v>29</v>
      </c>
      <c r="AB20" s="149" t="s">
        <v>294</v>
      </c>
      <c r="AC20" s="34"/>
      <c r="AE20" s="22"/>
      <c r="AP20" s="27" t="s">
        <v>96</v>
      </c>
      <c r="AR20" s="80" t="s">
        <v>89</v>
      </c>
      <c r="AV20" s="86" t="s">
        <v>320</v>
      </c>
    </row>
    <row r="21" spans="1:48" x14ac:dyDescent="0.15">
      <c r="A21" s="149" t="s">
        <v>48</v>
      </c>
      <c r="B21" s="149" t="s">
        <v>290</v>
      </c>
      <c r="C21" s="149">
        <v>2020</v>
      </c>
      <c r="D21" s="157" t="s">
        <v>291</v>
      </c>
      <c r="E21" s="149" t="s">
        <v>300</v>
      </c>
      <c r="F21" s="149" t="s">
        <v>297</v>
      </c>
      <c r="G21" s="149" t="s">
        <v>25</v>
      </c>
      <c r="H21" s="149" t="s">
        <v>107</v>
      </c>
      <c r="I21" s="77" t="s">
        <v>111</v>
      </c>
      <c r="J21" s="77" t="s">
        <v>66</v>
      </c>
      <c r="K21" s="77" t="s">
        <v>50</v>
      </c>
      <c r="L21" s="77">
        <v>2</v>
      </c>
      <c r="N21" s="77">
        <v>4</v>
      </c>
      <c r="O21" s="77">
        <v>0.65</v>
      </c>
      <c r="P21" s="77">
        <v>0.75</v>
      </c>
      <c r="Q21" s="44">
        <f t="shared" si="0"/>
        <v>0.7</v>
      </c>
      <c r="R21" s="77">
        <v>12.9</v>
      </c>
      <c r="S21" s="77">
        <v>89</v>
      </c>
      <c r="T21" s="16">
        <f t="shared" si="1"/>
        <v>36</v>
      </c>
      <c r="U21" s="77">
        <v>398</v>
      </c>
      <c r="V21" s="179">
        <f t="shared" si="2"/>
        <v>3582</v>
      </c>
      <c r="W21" s="77">
        <v>18</v>
      </c>
      <c r="X21" s="77" t="s">
        <v>35</v>
      </c>
      <c r="Y21" s="77" t="s">
        <v>82</v>
      </c>
      <c r="Z21" s="77" t="s">
        <v>36</v>
      </c>
      <c r="AA21" s="77" t="s">
        <v>29</v>
      </c>
      <c r="AB21" s="149" t="s">
        <v>294</v>
      </c>
      <c r="AC21" s="34"/>
      <c r="AE21" s="22"/>
      <c r="AP21" s="27" t="s">
        <v>97</v>
      </c>
      <c r="AR21" s="80" t="s">
        <v>54</v>
      </c>
      <c r="AV21" s="86" t="s">
        <v>321</v>
      </c>
    </row>
    <row r="22" spans="1:48" x14ac:dyDescent="0.15">
      <c r="A22" s="149" t="s">
        <v>48</v>
      </c>
      <c r="B22" s="149" t="s">
        <v>290</v>
      </c>
      <c r="C22" s="149">
        <v>2020</v>
      </c>
      <c r="D22" s="157" t="s">
        <v>291</v>
      </c>
      <c r="E22" s="149" t="s">
        <v>300</v>
      </c>
      <c r="F22" s="149" t="s">
        <v>297</v>
      </c>
      <c r="G22" s="149" t="s">
        <v>25</v>
      </c>
      <c r="H22" s="149" t="s">
        <v>107</v>
      </c>
      <c r="I22" s="77" t="s">
        <v>111</v>
      </c>
      <c r="J22" s="77" t="s">
        <v>66</v>
      </c>
      <c r="K22" s="77" t="s">
        <v>50</v>
      </c>
      <c r="L22" s="77">
        <v>3</v>
      </c>
      <c r="N22" s="77">
        <v>4</v>
      </c>
      <c r="O22" s="34">
        <v>0.6</v>
      </c>
      <c r="P22" s="77">
        <v>0.6</v>
      </c>
      <c r="Q22" s="44">
        <f t="shared" si="0"/>
        <v>0.6</v>
      </c>
      <c r="R22" s="77">
        <v>15.2</v>
      </c>
      <c r="S22" s="77">
        <v>110</v>
      </c>
      <c r="T22" s="16">
        <f t="shared" si="1"/>
        <v>33</v>
      </c>
      <c r="U22" s="77">
        <v>398</v>
      </c>
      <c r="V22" s="179">
        <f t="shared" si="2"/>
        <v>3283.5</v>
      </c>
      <c r="W22" s="77">
        <v>18</v>
      </c>
      <c r="X22" s="77" t="s">
        <v>35</v>
      </c>
      <c r="Y22" s="77" t="s">
        <v>82</v>
      </c>
      <c r="Z22" s="77" t="s">
        <v>36</v>
      </c>
      <c r="AA22" s="77" t="s">
        <v>29</v>
      </c>
      <c r="AB22" s="149" t="s">
        <v>294</v>
      </c>
      <c r="AC22" s="34"/>
      <c r="AE22" s="35"/>
      <c r="AP22" s="27" t="s">
        <v>98</v>
      </c>
      <c r="AR22" s="80" t="s">
        <v>69</v>
      </c>
      <c r="AV22" s="80"/>
    </row>
    <row r="23" spans="1:48" x14ac:dyDescent="0.15">
      <c r="A23" s="149" t="s">
        <v>48</v>
      </c>
      <c r="B23" s="149" t="s">
        <v>290</v>
      </c>
      <c r="C23" s="149">
        <v>2020</v>
      </c>
      <c r="D23" s="157" t="s">
        <v>291</v>
      </c>
      <c r="E23" s="149" t="s">
        <v>298</v>
      </c>
      <c r="F23" s="149" t="s">
        <v>299</v>
      </c>
      <c r="G23" s="149" t="s">
        <v>31</v>
      </c>
      <c r="H23" s="149" t="s">
        <v>164</v>
      </c>
      <c r="I23" s="77" t="s">
        <v>111</v>
      </c>
      <c r="J23" s="77" t="s">
        <v>27</v>
      </c>
      <c r="K23" s="77" t="s">
        <v>112</v>
      </c>
      <c r="L23" s="77">
        <v>1</v>
      </c>
      <c r="N23" s="77">
        <v>1</v>
      </c>
      <c r="O23" s="77">
        <v>0.55000000000000004</v>
      </c>
      <c r="P23" s="77">
        <v>0.55000000000000004</v>
      </c>
      <c r="Q23" s="44">
        <f t="shared" si="0"/>
        <v>0.55000000000000004</v>
      </c>
      <c r="R23" s="77">
        <v>15.8</v>
      </c>
      <c r="S23" s="77">
        <v>139</v>
      </c>
      <c r="T23" s="16">
        <f t="shared" si="1"/>
        <v>22</v>
      </c>
      <c r="U23" s="77">
        <v>146</v>
      </c>
      <c r="V23" s="179">
        <f t="shared" si="2"/>
        <v>3212</v>
      </c>
      <c r="W23" s="77">
        <v>3</v>
      </c>
      <c r="X23" s="77" t="s">
        <v>28</v>
      </c>
      <c r="Y23" s="77" t="s">
        <v>55</v>
      </c>
      <c r="Z23" s="77" t="s">
        <v>36</v>
      </c>
      <c r="AA23" s="77" t="s">
        <v>76</v>
      </c>
      <c r="AB23" s="149" t="s">
        <v>294</v>
      </c>
      <c r="AC23" s="34"/>
      <c r="AE23" s="22"/>
      <c r="AP23" s="27" t="s">
        <v>116</v>
      </c>
      <c r="AR23" s="80" t="s">
        <v>48</v>
      </c>
    </row>
    <row r="24" spans="1:48" x14ac:dyDescent="0.15">
      <c r="A24" s="149" t="s">
        <v>48</v>
      </c>
      <c r="B24" s="149" t="s">
        <v>290</v>
      </c>
      <c r="C24" s="149">
        <v>2020</v>
      </c>
      <c r="D24" s="157" t="s">
        <v>291</v>
      </c>
      <c r="E24" s="149" t="s">
        <v>298</v>
      </c>
      <c r="F24" s="149" t="s">
        <v>299</v>
      </c>
      <c r="G24" s="149" t="s">
        <v>31</v>
      </c>
      <c r="H24" s="149" t="s">
        <v>164</v>
      </c>
      <c r="I24" s="77" t="s">
        <v>111</v>
      </c>
      <c r="J24" s="77" t="s">
        <v>27</v>
      </c>
      <c r="K24" s="77" t="s">
        <v>112</v>
      </c>
      <c r="L24" s="77">
        <v>2</v>
      </c>
      <c r="N24" s="77">
        <v>1</v>
      </c>
      <c r="O24" s="77">
        <v>0.55000000000000004</v>
      </c>
      <c r="P24" s="77">
        <v>0.55000000000000004</v>
      </c>
      <c r="Q24" s="44">
        <f t="shared" si="0"/>
        <v>0.55000000000000004</v>
      </c>
      <c r="R24" s="77">
        <v>18.600000000000001</v>
      </c>
      <c r="S24" s="77">
        <v>143</v>
      </c>
      <c r="T24" s="16">
        <f t="shared" si="1"/>
        <v>22</v>
      </c>
      <c r="U24" s="77">
        <v>146</v>
      </c>
      <c r="V24" s="179">
        <f t="shared" si="2"/>
        <v>3212</v>
      </c>
      <c r="W24" s="77">
        <v>3</v>
      </c>
      <c r="X24" s="77" t="s">
        <v>28</v>
      </c>
      <c r="Y24" s="77" t="s">
        <v>55</v>
      </c>
      <c r="Z24" s="77" t="s">
        <v>36</v>
      </c>
      <c r="AA24" s="77" t="s">
        <v>76</v>
      </c>
      <c r="AB24" s="149" t="s">
        <v>294</v>
      </c>
      <c r="AC24" s="34"/>
      <c r="AE24" s="22"/>
      <c r="AP24" s="27" t="s">
        <v>117</v>
      </c>
      <c r="AR24" s="80" t="s">
        <v>77</v>
      </c>
    </row>
    <row r="25" spans="1:48" x14ac:dyDescent="0.15">
      <c r="A25" s="149" t="s">
        <v>48</v>
      </c>
      <c r="B25" s="149" t="s">
        <v>290</v>
      </c>
      <c r="C25" s="149">
        <v>2020</v>
      </c>
      <c r="D25" s="157" t="s">
        <v>291</v>
      </c>
      <c r="E25" s="149" t="s">
        <v>298</v>
      </c>
      <c r="F25" s="149" t="s">
        <v>299</v>
      </c>
      <c r="G25" s="149" t="s">
        <v>31</v>
      </c>
      <c r="H25" s="149" t="s">
        <v>164</v>
      </c>
      <c r="I25" s="77" t="s">
        <v>111</v>
      </c>
      <c r="J25" s="77" t="s">
        <v>27</v>
      </c>
      <c r="K25" s="77" t="s">
        <v>112</v>
      </c>
      <c r="L25" s="77">
        <v>3</v>
      </c>
      <c r="N25" s="77">
        <v>1</v>
      </c>
      <c r="O25" s="34">
        <v>0.5</v>
      </c>
      <c r="P25" s="77">
        <v>0.6</v>
      </c>
      <c r="Q25" s="44">
        <f t="shared" si="0"/>
        <v>0.55000000000000004</v>
      </c>
      <c r="R25" s="77">
        <v>18.899999999999999</v>
      </c>
      <c r="S25" s="77">
        <v>135</v>
      </c>
      <c r="T25" s="16">
        <f t="shared" si="1"/>
        <v>25</v>
      </c>
      <c r="U25" s="77">
        <v>146</v>
      </c>
      <c r="V25" s="179">
        <f t="shared" si="2"/>
        <v>3650</v>
      </c>
      <c r="W25" s="77">
        <v>3</v>
      </c>
      <c r="X25" s="77" t="s">
        <v>28</v>
      </c>
      <c r="Y25" s="77" t="s">
        <v>55</v>
      </c>
      <c r="Z25" s="77" t="s">
        <v>36</v>
      </c>
      <c r="AA25" s="77" t="s">
        <v>76</v>
      </c>
      <c r="AB25" s="149" t="s">
        <v>294</v>
      </c>
      <c r="AC25" s="34"/>
      <c r="AE25" s="35"/>
      <c r="AP25" s="27" t="s">
        <v>99</v>
      </c>
      <c r="AR25" s="27" t="s">
        <v>78</v>
      </c>
    </row>
    <row r="26" spans="1:48" x14ac:dyDescent="0.15">
      <c r="A26" s="149" t="s">
        <v>48</v>
      </c>
      <c r="B26" s="149" t="s">
        <v>290</v>
      </c>
      <c r="C26" s="149">
        <v>2020</v>
      </c>
      <c r="D26" s="157" t="s">
        <v>291</v>
      </c>
      <c r="E26" s="149" t="s">
        <v>298</v>
      </c>
      <c r="F26" s="149" t="s">
        <v>299</v>
      </c>
      <c r="G26" s="149" t="s">
        <v>31</v>
      </c>
      <c r="H26" s="149" t="s">
        <v>113</v>
      </c>
      <c r="I26" s="77" t="s">
        <v>111</v>
      </c>
      <c r="J26" s="77" t="s">
        <v>27</v>
      </c>
      <c r="K26" s="77" t="s">
        <v>112</v>
      </c>
      <c r="L26" s="77">
        <v>1</v>
      </c>
      <c r="N26" s="77">
        <v>1</v>
      </c>
      <c r="O26" s="77">
        <v>0.8</v>
      </c>
      <c r="P26" s="34">
        <v>0.9</v>
      </c>
      <c r="Q26" s="44">
        <f t="shared" si="0"/>
        <v>0.85000000000000009</v>
      </c>
      <c r="R26" s="77">
        <v>14.9</v>
      </c>
      <c r="S26" s="77">
        <v>145</v>
      </c>
      <c r="T26" s="16">
        <f t="shared" si="1"/>
        <v>22</v>
      </c>
      <c r="U26" s="77">
        <v>146</v>
      </c>
      <c r="V26" s="179">
        <f t="shared" si="2"/>
        <v>3212</v>
      </c>
      <c r="W26" s="77">
        <v>3</v>
      </c>
      <c r="X26" s="77" t="s">
        <v>28</v>
      </c>
      <c r="Y26" s="77" t="s">
        <v>55</v>
      </c>
      <c r="Z26" s="77" t="s">
        <v>36</v>
      </c>
      <c r="AA26" s="77" t="s">
        <v>76</v>
      </c>
      <c r="AB26" s="149" t="s">
        <v>294</v>
      </c>
      <c r="AC26" s="34"/>
      <c r="AD26" s="34"/>
      <c r="AE26" s="35"/>
      <c r="AP26" s="27" t="s">
        <v>100</v>
      </c>
      <c r="AR26" s="80" t="s">
        <v>138</v>
      </c>
    </row>
    <row r="27" spans="1:48" x14ac:dyDescent="0.15">
      <c r="A27" s="149" t="s">
        <v>48</v>
      </c>
      <c r="B27" s="149" t="s">
        <v>290</v>
      </c>
      <c r="C27" s="149">
        <v>2020</v>
      </c>
      <c r="D27" s="157" t="s">
        <v>291</v>
      </c>
      <c r="E27" s="149" t="s">
        <v>298</v>
      </c>
      <c r="F27" s="149" t="s">
        <v>299</v>
      </c>
      <c r="G27" s="149" t="s">
        <v>31</v>
      </c>
      <c r="H27" s="149" t="s">
        <v>113</v>
      </c>
      <c r="I27" s="77" t="s">
        <v>111</v>
      </c>
      <c r="J27" s="77" t="s">
        <v>27</v>
      </c>
      <c r="K27" s="77" t="s">
        <v>112</v>
      </c>
      <c r="L27" s="77">
        <v>2</v>
      </c>
      <c r="N27" s="77">
        <v>1</v>
      </c>
      <c r="O27" s="77">
        <v>0.75</v>
      </c>
      <c r="P27" s="34">
        <v>0.7</v>
      </c>
      <c r="Q27" s="44">
        <f t="shared" si="0"/>
        <v>0.72499999999999998</v>
      </c>
      <c r="R27" s="77">
        <v>14.6</v>
      </c>
      <c r="S27" s="77">
        <v>136</v>
      </c>
      <c r="T27" s="16">
        <f t="shared" si="1"/>
        <v>25</v>
      </c>
      <c r="U27" s="77">
        <v>146</v>
      </c>
      <c r="V27" s="179">
        <f t="shared" si="2"/>
        <v>3650</v>
      </c>
      <c r="W27" s="77">
        <v>3</v>
      </c>
      <c r="X27" s="77" t="s">
        <v>28</v>
      </c>
      <c r="Y27" s="77" t="s">
        <v>55</v>
      </c>
      <c r="Z27" s="77" t="s">
        <v>36</v>
      </c>
      <c r="AA27" s="77" t="s">
        <v>76</v>
      </c>
      <c r="AB27" s="149" t="s">
        <v>294</v>
      </c>
      <c r="AC27" s="34"/>
      <c r="AD27" s="34"/>
      <c r="AE27" s="28"/>
      <c r="AP27" s="27" t="s">
        <v>101</v>
      </c>
      <c r="AR27" s="80" t="s">
        <v>159</v>
      </c>
    </row>
    <row r="28" spans="1:48" x14ac:dyDescent="0.15">
      <c r="A28" s="149" t="s">
        <v>48</v>
      </c>
      <c r="B28" s="149" t="s">
        <v>290</v>
      </c>
      <c r="C28" s="149">
        <v>2020</v>
      </c>
      <c r="D28" s="157" t="s">
        <v>291</v>
      </c>
      <c r="E28" s="149" t="s">
        <v>298</v>
      </c>
      <c r="F28" s="149" t="s">
        <v>299</v>
      </c>
      <c r="G28" s="149" t="s">
        <v>31</v>
      </c>
      <c r="H28" s="149" t="s">
        <v>113</v>
      </c>
      <c r="I28" s="77" t="s">
        <v>111</v>
      </c>
      <c r="J28" s="77" t="s">
        <v>27</v>
      </c>
      <c r="K28" s="77" t="s">
        <v>112</v>
      </c>
      <c r="L28" s="77">
        <v>3</v>
      </c>
      <c r="N28" s="77">
        <v>1</v>
      </c>
      <c r="O28" s="77">
        <v>0.65</v>
      </c>
      <c r="P28" s="34">
        <v>0.7</v>
      </c>
      <c r="Q28" s="44">
        <f t="shared" si="0"/>
        <v>0.67500000000000004</v>
      </c>
      <c r="R28" s="77">
        <v>15</v>
      </c>
      <c r="S28" s="77">
        <v>139</v>
      </c>
      <c r="T28" s="16">
        <f t="shared" si="1"/>
        <v>22</v>
      </c>
      <c r="U28" s="77">
        <v>146</v>
      </c>
      <c r="V28" s="179">
        <f t="shared" si="2"/>
        <v>3212</v>
      </c>
      <c r="W28" s="77">
        <v>3</v>
      </c>
      <c r="X28" s="77" t="s">
        <v>28</v>
      </c>
      <c r="Y28" s="77" t="s">
        <v>55</v>
      </c>
      <c r="Z28" s="77" t="s">
        <v>36</v>
      </c>
      <c r="AA28" s="77" t="s">
        <v>76</v>
      </c>
      <c r="AB28" s="149" t="s">
        <v>294</v>
      </c>
      <c r="AC28" s="34"/>
      <c r="AD28" s="34"/>
      <c r="AP28" s="27" t="s">
        <v>156</v>
      </c>
      <c r="AR28" s="80" t="s">
        <v>158</v>
      </c>
    </row>
    <row r="29" spans="1:48" x14ac:dyDescent="0.15">
      <c r="A29" s="149" t="s">
        <v>48</v>
      </c>
      <c r="B29" s="149" t="s">
        <v>290</v>
      </c>
      <c r="C29" s="149">
        <v>2020</v>
      </c>
      <c r="D29" s="157" t="s">
        <v>291</v>
      </c>
      <c r="E29" s="149" t="s">
        <v>298</v>
      </c>
      <c r="F29" s="149" t="s">
        <v>299</v>
      </c>
      <c r="G29" s="149" t="s">
        <v>31</v>
      </c>
      <c r="H29" s="149" t="s">
        <v>113</v>
      </c>
      <c r="I29" s="77" t="s">
        <v>111</v>
      </c>
      <c r="J29" s="77" t="s">
        <v>27</v>
      </c>
      <c r="K29" s="77" t="s">
        <v>112</v>
      </c>
      <c r="L29" s="77">
        <v>1</v>
      </c>
      <c r="N29" s="77">
        <v>4</v>
      </c>
      <c r="O29" s="77">
        <v>0.95</v>
      </c>
      <c r="P29" s="77">
        <v>0.8</v>
      </c>
      <c r="Q29" s="44">
        <f t="shared" si="0"/>
        <v>0.875</v>
      </c>
      <c r="R29" s="77">
        <v>14.8</v>
      </c>
      <c r="S29" s="77">
        <v>100</v>
      </c>
      <c r="T29" s="16">
        <f t="shared" si="1"/>
        <v>33</v>
      </c>
      <c r="U29" s="77">
        <v>461</v>
      </c>
      <c r="V29" s="179">
        <f t="shared" si="2"/>
        <v>3803.25</v>
      </c>
      <c r="W29" s="77">
        <v>3</v>
      </c>
      <c r="X29" s="77" t="s">
        <v>28</v>
      </c>
      <c r="Y29" s="77" t="s">
        <v>55</v>
      </c>
      <c r="Z29" s="77" t="s">
        <v>36</v>
      </c>
      <c r="AA29" s="77" t="s">
        <v>76</v>
      </c>
      <c r="AB29" s="149" t="s">
        <v>294</v>
      </c>
      <c r="AC29" s="34"/>
      <c r="AP29" s="27" t="s">
        <v>157</v>
      </c>
      <c r="AR29" s="28" t="s">
        <v>322</v>
      </c>
    </row>
    <row r="30" spans="1:48" x14ac:dyDescent="0.15">
      <c r="A30" s="149" t="s">
        <v>48</v>
      </c>
      <c r="B30" s="149" t="s">
        <v>290</v>
      </c>
      <c r="C30" s="149">
        <v>2020</v>
      </c>
      <c r="D30" s="157" t="s">
        <v>291</v>
      </c>
      <c r="E30" s="149" t="s">
        <v>298</v>
      </c>
      <c r="F30" s="149" t="s">
        <v>299</v>
      </c>
      <c r="G30" s="149" t="s">
        <v>31</v>
      </c>
      <c r="H30" s="149" t="s">
        <v>113</v>
      </c>
      <c r="I30" s="77" t="s">
        <v>111</v>
      </c>
      <c r="J30" s="77" t="s">
        <v>27</v>
      </c>
      <c r="K30" s="77" t="s">
        <v>112</v>
      </c>
      <c r="L30" s="77">
        <v>2</v>
      </c>
      <c r="N30" s="77">
        <v>4</v>
      </c>
      <c r="O30" s="77">
        <v>0.65</v>
      </c>
      <c r="P30" s="34">
        <v>0.8</v>
      </c>
      <c r="Q30" s="44">
        <f t="shared" si="0"/>
        <v>0.72500000000000009</v>
      </c>
      <c r="R30" s="77">
        <v>13.8</v>
      </c>
      <c r="S30" s="77">
        <v>94</v>
      </c>
      <c r="T30" s="16">
        <f t="shared" si="1"/>
        <v>36</v>
      </c>
      <c r="U30" s="77">
        <v>461</v>
      </c>
      <c r="V30" s="179">
        <f t="shared" si="2"/>
        <v>4149</v>
      </c>
      <c r="W30" s="77">
        <v>3</v>
      </c>
      <c r="X30" s="77" t="s">
        <v>28</v>
      </c>
      <c r="Y30" s="77" t="s">
        <v>55</v>
      </c>
      <c r="Z30" s="77" t="s">
        <v>36</v>
      </c>
      <c r="AA30" s="77" t="s">
        <v>76</v>
      </c>
      <c r="AB30" s="149" t="s">
        <v>294</v>
      </c>
      <c r="AC30" s="34"/>
    </row>
    <row r="31" spans="1:48" x14ac:dyDescent="0.15">
      <c r="A31" s="149" t="s">
        <v>48</v>
      </c>
      <c r="B31" s="149" t="s">
        <v>290</v>
      </c>
      <c r="C31" s="149">
        <v>2020</v>
      </c>
      <c r="D31" s="157" t="s">
        <v>291</v>
      </c>
      <c r="E31" s="149" t="s">
        <v>298</v>
      </c>
      <c r="F31" s="149" t="s">
        <v>299</v>
      </c>
      <c r="G31" s="149" t="s">
        <v>31</v>
      </c>
      <c r="H31" s="149" t="s">
        <v>113</v>
      </c>
      <c r="I31" s="77" t="s">
        <v>111</v>
      </c>
      <c r="J31" s="77" t="s">
        <v>27</v>
      </c>
      <c r="K31" s="77" t="s">
        <v>112</v>
      </c>
      <c r="L31" s="77">
        <v>3</v>
      </c>
      <c r="N31" s="77">
        <v>4</v>
      </c>
      <c r="O31" s="77">
        <v>0.7</v>
      </c>
      <c r="P31" s="77">
        <v>0.7</v>
      </c>
      <c r="Q31" s="44">
        <f t="shared" si="0"/>
        <v>0.7</v>
      </c>
      <c r="R31" s="77">
        <v>15</v>
      </c>
      <c r="S31" s="77">
        <v>104</v>
      </c>
      <c r="T31" s="16">
        <f t="shared" si="1"/>
        <v>33</v>
      </c>
      <c r="U31" s="77">
        <v>461</v>
      </c>
      <c r="V31" s="179">
        <f t="shared" si="2"/>
        <v>3803.25</v>
      </c>
      <c r="W31" s="77">
        <v>3</v>
      </c>
      <c r="X31" s="77" t="s">
        <v>28</v>
      </c>
      <c r="Y31" s="77" t="s">
        <v>55</v>
      </c>
      <c r="Z31" s="77" t="s">
        <v>36</v>
      </c>
      <c r="AA31" s="77" t="s">
        <v>76</v>
      </c>
      <c r="AB31" s="149" t="s">
        <v>294</v>
      </c>
      <c r="AC31" s="34"/>
    </row>
    <row r="32" spans="1:48" x14ac:dyDescent="0.15">
      <c r="A32" s="149" t="s">
        <v>48</v>
      </c>
      <c r="B32" s="149" t="s">
        <v>290</v>
      </c>
      <c r="C32" s="149">
        <v>2020</v>
      </c>
      <c r="D32" s="157" t="s">
        <v>291</v>
      </c>
      <c r="E32" s="149" t="s">
        <v>323</v>
      </c>
      <c r="F32" s="149" t="s">
        <v>302</v>
      </c>
      <c r="G32" s="149" t="s">
        <v>25</v>
      </c>
      <c r="H32" s="149" t="s">
        <v>164</v>
      </c>
      <c r="I32" s="77" t="s">
        <v>111</v>
      </c>
      <c r="J32" s="77" t="s">
        <v>27</v>
      </c>
      <c r="K32" s="77" t="s">
        <v>112</v>
      </c>
      <c r="L32" s="77">
        <v>1</v>
      </c>
      <c r="N32" s="77">
        <v>1</v>
      </c>
      <c r="O32" s="77">
        <v>1</v>
      </c>
      <c r="P32" s="77">
        <v>0.85</v>
      </c>
      <c r="Q32" s="44">
        <f t="shared" si="0"/>
        <v>0.92500000000000004</v>
      </c>
      <c r="R32" s="77">
        <v>16.7</v>
      </c>
      <c r="S32" s="77">
        <v>138</v>
      </c>
      <c r="T32" s="16">
        <f t="shared" si="1"/>
        <v>22</v>
      </c>
      <c r="U32" s="77">
        <v>128</v>
      </c>
      <c r="V32" s="179">
        <f t="shared" si="2"/>
        <v>2816</v>
      </c>
      <c r="W32" s="77">
        <v>35</v>
      </c>
      <c r="X32" s="77" t="s">
        <v>35</v>
      </c>
      <c r="Y32" s="77" t="s">
        <v>76</v>
      </c>
      <c r="Z32" s="77" t="s">
        <v>29</v>
      </c>
      <c r="AA32" s="77" t="s">
        <v>55</v>
      </c>
      <c r="AB32" s="149" t="s">
        <v>294</v>
      </c>
      <c r="AC32" s="34"/>
    </row>
    <row r="33" spans="1:29" x14ac:dyDescent="0.15">
      <c r="A33" s="149" t="s">
        <v>48</v>
      </c>
      <c r="B33" s="149" t="s">
        <v>290</v>
      </c>
      <c r="C33" s="149">
        <v>2020</v>
      </c>
      <c r="D33" s="157" t="s">
        <v>291</v>
      </c>
      <c r="E33" s="149" t="s">
        <v>323</v>
      </c>
      <c r="F33" s="149" t="s">
        <v>302</v>
      </c>
      <c r="G33" s="149" t="s">
        <v>25</v>
      </c>
      <c r="H33" s="149" t="s">
        <v>164</v>
      </c>
      <c r="I33" s="77" t="s">
        <v>111</v>
      </c>
      <c r="J33" s="77" t="s">
        <v>27</v>
      </c>
      <c r="K33" s="77" t="s">
        <v>112</v>
      </c>
      <c r="L33" s="77">
        <v>2</v>
      </c>
      <c r="N33" s="77">
        <v>1</v>
      </c>
      <c r="O33" s="77">
        <v>0.7</v>
      </c>
      <c r="P33" s="77">
        <v>0.95</v>
      </c>
      <c r="Q33" s="44">
        <f t="shared" si="0"/>
        <v>0.82499999999999996</v>
      </c>
      <c r="R33" s="77">
        <v>15.5</v>
      </c>
      <c r="S33" s="77">
        <v>137</v>
      </c>
      <c r="T33" s="16">
        <f t="shared" si="1"/>
        <v>25</v>
      </c>
      <c r="U33" s="77">
        <v>128</v>
      </c>
      <c r="V33" s="179">
        <f t="shared" si="2"/>
        <v>3200</v>
      </c>
      <c r="W33" s="77">
        <v>35</v>
      </c>
      <c r="X33" s="77" t="s">
        <v>35</v>
      </c>
      <c r="Y33" s="77" t="s">
        <v>76</v>
      </c>
      <c r="Z33" s="77" t="s">
        <v>29</v>
      </c>
      <c r="AA33" s="77" t="s">
        <v>55</v>
      </c>
      <c r="AB33" s="149" t="s">
        <v>294</v>
      </c>
      <c r="AC33" s="34"/>
    </row>
    <row r="34" spans="1:29" x14ac:dyDescent="0.15">
      <c r="A34" s="149" t="s">
        <v>48</v>
      </c>
      <c r="B34" s="149" t="s">
        <v>290</v>
      </c>
      <c r="C34" s="149">
        <v>2020</v>
      </c>
      <c r="D34" s="157" t="s">
        <v>291</v>
      </c>
      <c r="E34" s="149" t="s">
        <v>323</v>
      </c>
      <c r="F34" s="149" t="s">
        <v>302</v>
      </c>
      <c r="G34" s="149" t="s">
        <v>25</v>
      </c>
      <c r="H34" s="149" t="s">
        <v>164</v>
      </c>
      <c r="I34" s="77" t="s">
        <v>111</v>
      </c>
      <c r="J34" s="77" t="s">
        <v>27</v>
      </c>
      <c r="K34" s="77" t="s">
        <v>112</v>
      </c>
      <c r="L34" s="77">
        <v>3</v>
      </c>
      <c r="N34" s="77">
        <v>1</v>
      </c>
      <c r="O34" s="77">
        <v>0.65</v>
      </c>
      <c r="P34" s="77">
        <v>0.6</v>
      </c>
      <c r="Q34" s="44">
        <f t="shared" si="0"/>
        <v>0.625</v>
      </c>
      <c r="R34" s="77">
        <v>17.3</v>
      </c>
      <c r="S34" s="77">
        <v>135</v>
      </c>
      <c r="T34" s="16">
        <f t="shared" si="1"/>
        <v>25</v>
      </c>
      <c r="U34" s="77">
        <v>128</v>
      </c>
      <c r="V34" s="179">
        <f t="shared" si="2"/>
        <v>3200</v>
      </c>
      <c r="W34" s="77">
        <v>35</v>
      </c>
      <c r="X34" s="77" t="s">
        <v>35</v>
      </c>
      <c r="Y34" s="77" t="s">
        <v>76</v>
      </c>
      <c r="Z34" s="77" t="s">
        <v>29</v>
      </c>
      <c r="AA34" s="77" t="s">
        <v>55</v>
      </c>
      <c r="AB34" s="149" t="s">
        <v>294</v>
      </c>
      <c r="AC34" s="34"/>
    </row>
    <row r="35" spans="1:29" x14ac:dyDescent="0.15">
      <c r="A35" s="149" t="s">
        <v>48</v>
      </c>
      <c r="B35" s="149" t="s">
        <v>290</v>
      </c>
      <c r="C35" s="149">
        <v>2020</v>
      </c>
      <c r="D35" s="157" t="s">
        <v>291</v>
      </c>
      <c r="E35" s="149" t="s">
        <v>323</v>
      </c>
      <c r="F35" s="149" t="s">
        <v>302</v>
      </c>
      <c r="G35" s="149" t="s">
        <v>25</v>
      </c>
      <c r="H35" s="149" t="s">
        <v>164</v>
      </c>
      <c r="I35" s="77" t="s">
        <v>111</v>
      </c>
      <c r="J35" s="77" t="s">
        <v>27</v>
      </c>
      <c r="K35" s="77" t="s">
        <v>112</v>
      </c>
      <c r="L35" s="77">
        <v>1</v>
      </c>
      <c r="N35" s="77">
        <v>3</v>
      </c>
      <c r="O35" s="77">
        <v>0.6</v>
      </c>
      <c r="P35" s="77">
        <v>0.5</v>
      </c>
      <c r="Q35" s="44">
        <f t="shared" si="0"/>
        <v>0.55000000000000004</v>
      </c>
      <c r="R35" s="77">
        <v>17.7</v>
      </c>
      <c r="S35" s="77">
        <v>140</v>
      </c>
      <c r="T35" s="16">
        <f t="shared" si="1"/>
        <v>22</v>
      </c>
      <c r="U35" s="77">
        <v>398</v>
      </c>
      <c r="V35" s="179">
        <f t="shared" si="2"/>
        <v>2918.6666666666665</v>
      </c>
      <c r="W35" s="77">
        <v>35</v>
      </c>
      <c r="X35" s="77" t="s">
        <v>35</v>
      </c>
      <c r="Y35" s="77" t="s">
        <v>76</v>
      </c>
      <c r="Z35" s="77" t="s">
        <v>29</v>
      </c>
      <c r="AA35" s="77" t="s">
        <v>55</v>
      </c>
      <c r="AB35" s="149" t="s">
        <v>294</v>
      </c>
      <c r="AC35" s="34"/>
    </row>
    <row r="36" spans="1:29" x14ac:dyDescent="0.15">
      <c r="A36" s="149" t="s">
        <v>48</v>
      </c>
      <c r="B36" s="149" t="s">
        <v>290</v>
      </c>
      <c r="C36" s="149">
        <v>2020</v>
      </c>
      <c r="D36" s="157" t="s">
        <v>291</v>
      </c>
      <c r="E36" s="149" t="s">
        <v>323</v>
      </c>
      <c r="F36" s="149" t="s">
        <v>302</v>
      </c>
      <c r="G36" s="149" t="s">
        <v>25</v>
      </c>
      <c r="H36" s="149" t="s">
        <v>164</v>
      </c>
      <c r="I36" s="77" t="s">
        <v>111</v>
      </c>
      <c r="J36" s="77" t="s">
        <v>27</v>
      </c>
      <c r="K36" s="77" t="s">
        <v>112</v>
      </c>
      <c r="L36" s="77">
        <v>2</v>
      </c>
      <c r="N36" s="77">
        <v>3</v>
      </c>
      <c r="O36" s="77">
        <v>0.75</v>
      </c>
      <c r="P36" s="77">
        <v>0.65</v>
      </c>
      <c r="Q36" s="44">
        <f t="shared" si="0"/>
        <v>0.7</v>
      </c>
      <c r="R36" s="77">
        <v>16.5</v>
      </c>
      <c r="S36" s="77">
        <v>137</v>
      </c>
      <c r="T36" s="16">
        <f t="shared" si="1"/>
        <v>25</v>
      </c>
      <c r="U36" s="77">
        <v>398</v>
      </c>
      <c r="V36" s="179">
        <f t="shared" si="2"/>
        <v>3316.6666666666665</v>
      </c>
      <c r="W36" s="77">
        <v>35</v>
      </c>
      <c r="X36" s="77" t="s">
        <v>35</v>
      </c>
      <c r="Y36" s="77" t="s">
        <v>76</v>
      </c>
      <c r="Z36" s="77" t="s">
        <v>29</v>
      </c>
      <c r="AA36" s="77" t="s">
        <v>55</v>
      </c>
      <c r="AB36" s="149" t="s">
        <v>294</v>
      </c>
      <c r="AC36" s="34"/>
    </row>
    <row r="37" spans="1:29" x14ac:dyDescent="0.15">
      <c r="A37" s="149" t="s">
        <v>48</v>
      </c>
      <c r="B37" s="149" t="s">
        <v>290</v>
      </c>
      <c r="C37" s="149">
        <v>2020</v>
      </c>
      <c r="D37" s="157" t="s">
        <v>291</v>
      </c>
      <c r="E37" s="149" t="s">
        <v>323</v>
      </c>
      <c r="F37" s="149" t="s">
        <v>302</v>
      </c>
      <c r="G37" s="149" t="s">
        <v>25</v>
      </c>
      <c r="H37" s="149" t="s">
        <v>164</v>
      </c>
      <c r="I37" s="77" t="s">
        <v>111</v>
      </c>
      <c r="J37" s="77" t="s">
        <v>27</v>
      </c>
      <c r="K37" s="77" t="s">
        <v>112</v>
      </c>
      <c r="L37" s="77">
        <v>3</v>
      </c>
      <c r="N37" s="77">
        <v>3</v>
      </c>
      <c r="O37" s="77">
        <v>0.75</v>
      </c>
      <c r="P37" s="77">
        <v>0.55000000000000004</v>
      </c>
      <c r="Q37" s="44">
        <f t="shared" si="0"/>
        <v>0.65</v>
      </c>
      <c r="R37" s="77">
        <v>17.5</v>
      </c>
      <c r="S37" s="77">
        <v>137</v>
      </c>
      <c r="T37" s="16">
        <f t="shared" si="1"/>
        <v>25</v>
      </c>
      <c r="U37" s="77">
        <v>398</v>
      </c>
      <c r="V37" s="179">
        <f t="shared" si="2"/>
        <v>3316.6666666666665</v>
      </c>
      <c r="W37" s="77">
        <v>35</v>
      </c>
      <c r="X37" s="77" t="s">
        <v>35</v>
      </c>
      <c r="Y37" s="77" t="s">
        <v>76</v>
      </c>
      <c r="Z37" s="77" t="s">
        <v>29</v>
      </c>
      <c r="AA37" s="77" t="s">
        <v>55</v>
      </c>
      <c r="AB37" s="149" t="s">
        <v>294</v>
      </c>
      <c r="AC37" s="34"/>
    </row>
    <row r="38" spans="1:29" x14ac:dyDescent="0.15">
      <c r="A38" s="149" t="s">
        <v>48</v>
      </c>
      <c r="B38" s="149" t="s">
        <v>290</v>
      </c>
      <c r="C38" s="149">
        <v>2020</v>
      </c>
      <c r="D38" s="157" t="s">
        <v>291</v>
      </c>
      <c r="E38" s="149" t="s">
        <v>323</v>
      </c>
      <c r="F38" s="149" t="s">
        <v>302</v>
      </c>
      <c r="G38" s="149" t="s">
        <v>25</v>
      </c>
      <c r="H38" s="149" t="s">
        <v>164</v>
      </c>
      <c r="I38" s="77" t="s">
        <v>111</v>
      </c>
      <c r="J38" s="77" t="s">
        <v>27</v>
      </c>
      <c r="K38" s="77" t="s">
        <v>112</v>
      </c>
      <c r="L38" s="77">
        <v>1</v>
      </c>
      <c r="N38" s="77">
        <v>5</v>
      </c>
      <c r="O38" s="77">
        <v>0.7</v>
      </c>
      <c r="P38" s="77">
        <v>0.75</v>
      </c>
      <c r="Q38" s="44">
        <f t="shared" si="0"/>
        <v>0.72499999999999998</v>
      </c>
      <c r="R38" s="77">
        <v>19.2</v>
      </c>
      <c r="S38" s="77">
        <v>189</v>
      </c>
      <c r="T38" s="16">
        <f t="shared" si="1"/>
        <v>16</v>
      </c>
      <c r="U38" s="77">
        <v>798</v>
      </c>
      <c r="V38" s="179">
        <f t="shared" si="2"/>
        <v>2553.6</v>
      </c>
      <c r="W38" s="77">
        <v>35</v>
      </c>
      <c r="X38" s="77" t="s">
        <v>35</v>
      </c>
      <c r="Y38" s="77" t="s">
        <v>76</v>
      </c>
      <c r="Z38" s="77" t="s">
        <v>29</v>
      </c>
      <c r="AA38" s="77" t="s">
        <v>55</v>
      </c>
      <c r="AB38" s="149" t="s">
        <v>294</v>
      </c>
      <c r="AC38" s="34"/>
    </row>
    <row r="39" spans="1:29" x14ac:dyDescent="0.15">
      <c r="A39" s="149" t="s">
        <v>48</v>
      </c>
      <c r="B39" s="149" t="s">
        <v>290</v>
      </c>
      <c r="C39" s="149">
        <v>2020</v>
      </c>
      <c r="D39" s="157" t="s">
        <v>291</v>
      </c>
      <c r="E39" s="149" t="s">
        <v>323</v>
      </c>
      <c r="F39" s="149" t="s">
        <v>302</v>
      </c>
      <c r="G39" s="149" t="s">
        <v>25</v>
      </c>
      <c r="H39" s="149" t="s">
        <v>164</v>
      </c>
      <c r="I39" s="77" t="s">
        <v>111</v>
      </c>
      <c r="J39" s="77" t="s">
        <v>27</v>
      </c>
      <c r="K39" s="77" t="s">
        <v>112</v>
      </c>
      <c r="L39" s="77">
        <v>2</v>
      </c>
      <c r="N39" s="77">
        <v>5</v>
      </c>
      <c r="O39" s="77">
        <v>0.5</v>
      </c>
      <c r="P39" s="77">
        <v>0.5</v>
      </c>
      <c r="Q39" s="44">
        <f t="shared" si="0"/>
        <v>0.5</v>
      </c>
      <c r="R39" s="77">
        <v>19.8</v>
      </c>
      <c r="S39" s="77">
        <v>177</v>
      </c>
      <c r="T39" s="16">
        <f t="shared" si="1"/>
        <v>18</v>
      </c>
      <c r="U39" s="77">
        <v>798</v>
      </c>
      <c r="V39" s="179">
        <f t="shared" si="2"/>
        <v>2872.7999999999997</v>
      </c>
      <c r="W39" s="77">
        <v>35</v>
      </c>
      <c r="X39" s="77" t="s">
        <v>35</v>
      </c>
      <c r="Y39" s="77" t="s">
        <v>76</v>
      </c>
      <c r="Z39" s="77" t="s">
        <v>29</v>
      </c>
      <c r="AA39" s="77" t="s">
        <v>55</v>
      </c>
      <c r="AB39" s="149" t="s">
        <v>294</v>
      </c>
      <c r="AC39" s="34"/>
    </row>
    <row r="40" spans="1:29" x14ac:dyDescent="0.15">
      <c r="A40" s="149" t="s">
        <v>48</v>
      </c>
      <c r="B40" s="149" t="s">
        <v>290</v>
      </c>
      <c r="C40" s="149">
        <v>2020</v>
      </c>
      <c r="D40" s="157" t="s">
        <v>291</v>
      </c>
      <c r="E40" s="149" t="s">
        <v>323</v>
      </c>
      <c r="F40" s="149" t="s">
        <v>302</v>
      </c>
      <c r="G40" s="149" t="s">
        <v>25</v>
      </c>
      <c r="H40" s="149" t="s">
        <v>164</v>
      </c>
      <c r="I40" s="77" t="s">
        <v>111</v>
      </c>
      <c r="J40" s="77" t="s">
        <v>27</v>
      </c>
      <c r="K40" s="77" t="s">
        <v>112</v>
      </c>
      <c r="L40" s="77">
        <v>3</v>
      </c>
      <c r="N40" s="77">
        <v>5</v>
      </c>
      <c r="O40" s="77">
        <v>0.5</v>
      </c>
      <c r="P40" s="77">
        <v>0.9</v>
      </c>
      <c r="Q40" s="44">
        <f t="shared" si="0"/>
        <v>0.7</v>
      </c>
      <c r="R40" s="77">
        <v>17.5</v>
      </c>
      <c r="S40" s="77">
        <v>190</v>
      </c>
      <c r="T40" s="16">
        <f t="shared" si="1"/>
        <v>16</v>
      </c>
      <c r="U40" s="77">
        <v>798</v>
      </c>
      <c r="V40" s="179">
        <f t="shared" si="2"/>
        <v>2553.6</v>
      </c>
      <c r="W40" s="77">
        <v>35</v>
      </c>
      <c r="X40" s="77" t="s">
        <v>35</v>
      </c>
      <c r="Y40" s="77" t="s">
        <v>76</v>
      </c>
      <c r="Z40" s="77" t="s">
        <v>29</v>
      </c>
      <c r="AA40" s="77" t="s">
        <v>55</v>
      </c>
      <c r="AB40" s="149" t="s">
        <v>294</v>
      </c>
      <c r="AC40" s="34"/>
    </row>
    <row r="41" spans="1:29" x14ac:dyDescent="0.15">
      <c r="A41" s="149" t="s">
        <v>48</v>
      </c>
      <c r="B41" s="149" t="s">
        <v>290</v>
      </c>
      <c r="C41" s="149">
        <v>2020</v>
      </c>
      <c r="D41" s="157" t="s">
        <v>291</v>
      </c>
      <c r="E41" s="149" t="s">
        <v>323</v>
      </c>
      <c r="F41" s="149" t="s">
        <v>302</v>
      </c>
      <c r="G41" s="149" t="s">
        <v>25</v>
      </c>
      <c r="H41" s="149" t="s">
        <v>113</v>
      </c>
      <c r="I41" s="77" t="s">
        <v>111</v>
      </c>
      <c r="J41" s="77" t="s">
        <v>27</v>
      </c>
      <c r="K41" s="77" t="s">
        <v>112</v>
      </c>
      <c r="L41" s="77">
        <v>1</v>
      </c>
      <c r="N41" s="77">
        <v>1</v>
      </c>
      <c r="O41" s="77">
        <v>0.5</v>
      </c>
      <c r="P41" s="77">
        <v>0.55000000000000004</v>
      </c>
      <c r="Q41" s="44">
        <f t="shared" si="0"/>
        <v>0.52500000000000002</v>
      </c>
      <c r="R41" s="77">
        <v>14.8</v>
      </c>
      <c r="S41" s="77">
        <v>124</v>
      </c>
      <c r="T41" s="16">
        <f t="shared" si="1"/>
        <v>27</v>
      </c>
      <c r="U41" s="77">
        <v>98</v>
      </c>
      <c r="V41" s="179">
        <f t="shared" si="2"/>
        <v>2646</v>
      </c>
      <c r="W41" s="77">
        <v>35</v>
      </c>
      <c r="X41" s="77" t="s">
        <v>35</v>
      </c>
      <c r="Y41" s="77" t="s">
        <v>76</v>
      </c>
      <c r="Z41" s="77" t="s">
        <v>29</v>
      </c>
      <c r="AA41" s="77" t="s">
        <v>55</v>
      </c>
      <c r="AB41" s="149" t="s">
        <v>294</v>
      </c>
      <c r="AC41" s="34"/>
    </row>
    <row r="42" spans="1:29" x14ac:dyDescent="0.15">
      <c r="A42" s="149" t="s">
        <v>48</v>
      </c>
      <c r="B42" s="149" t="s">
        <v>290</v>
      </c>
      <c r="C42" s="149">
        <v>2020</v>
      </c>
      <c r="D42" s="157" t="s">
        <v>291</v>
      </c>
      <c r="E42" s="149" t="s">
        <v>323</v>
      </c>
      <c r="F42" s="149" t="s">
        <v>302</v>
      </c>
      <c r="G42" s="149" t="s">
        <v>25</v>
      </c>
      <c r="H42" s="149" t="s">
        <v>113</v>
      </c>
      <c r="I42" s="77" t="s">
        <v>111</v>
      </c>
      <c r="J42" s="77" t="s">
        <v>27</v>
      </c>
      <c r="K42" s="77" t="s">
        <v>112</v>
      </c>
      <c r="L42" s="77">
        <v>2</v>
      </c>
      <c r="N42" s="77">
        <v>1</v>
      </c>
      <c r="O42" s="77">
        <v>0.85</v>
      </c>
      <c r="P42" s="77">
        <v>0.9</v>
      </c>
      <c r="Q42" s="44">
        <f t="shared" si="0"/>
        <v>0.875</v>
      </c>
      <c r="R42" s="77">
        <v>14.4</v>
      </c>
      <c r="S42" s="77">
        <v>136</v>
      </c>
      <c r="T42" s="16">
        <f t="shared" si="1"/>
        <v>25</v>
      </c>
      <c r="U42" s="77">
        <v>98</v>
      </c>
      <c r="V42" s="179">
        <f t="shared" si="2"/>
        <v>2450</v>
      </c>
      <c r="W42" s="77">
        <v>35</v>
      </c>
      <c r="X42" s="77" t="s">
        <v>35</v>
      </c>
      <c r="Y42" s="77" t="s">
        <v>76</v>
      </c>
      <c r="Z42" s="77" t="s">
        <v>29</v>
      </c>
      <c r="AA42" s="77" t="s">
        <v>55</v>
      </c>
      <c r="AB42" s="149" t="s">
        <v>294</v>
      </c>
      <c r="AC42" s="34"/>
    </row>
    <row r="43" spans="1:29" x14ac:dyDescent="0.15">
      <c r="A43" s="149" t="s">
        <v>48</v>
      </c>
      <c r="B43" s="149" t="s">
        <v>290</v>
      </c>
      <c r="C43" s="149">
        <v>2020</v>
      </c>
      <c r="D43" s="157" t="s">
        <v>291</v>
      </c>
      <c r="E43" s="149" t="s">
        <v>323</v>
      </c>
      <c r="F43" s="149" t="s">
        <v>302</v>
      </c>
      <c r="G43" s="149" t="s">
        <v>25</v>
      </c>
      <c r="H43" s="149" t="s">
        <v>113</v>
      </c>
      <c r="I43" s="77" t="s">
        <v>111</v>
      </c>
      <c r="J43" s="77" t="s">
        <v>27</v>
      </c>
      <c r="K43" s="77" t="s">
        <v>112</v>
      </c>
      <c r="L43" s="77">
        <v>3</v>
      </c>
      <c r="N43" s="77">
        <v>1</v>
      </c>
      <c r="O43" s="77">
        <v>0.95</v>
      </c>
      <c r="P43" s="77">
        <v>0.8</v>
      </c>
      <c r="Q43" s="44">
        <f t="shared" si="0"/>
        <v>0.875</v>
      </c>
      <c r="R43" s="77">
        <v>14.4</v>
      </c>
      <c r="S43" s="77">
        <v>140</v>
      </c>
      <c r="T43" s="16">
        <f t="shared" si="1"/>
        <v>22</v>
      </c>
      <c r="U43" s="77">
        <v>98</v>
      </c>
      <c r="V43" s="179">
        <f t="shared" si="2"/>
        <v>2156</v>
      </c>
      <c r="W43" s="77">
        <v>35</v>
      </c>
      <c r="X43" s="77" t="s">
        <v>35</v>
      </c>
      <c r="Y43" s="77" t="s">
        <v>76</v>
      </c>
      <c r="Z43" s="77" t="s">
        <v>29</v>
      </c>
      <c r="AA43" s="77" t="s">
        <v>55</v>
      </c>
      <c r="AB43" s="149" t="s">
        <v>294</v>
      </c>
      <c r="AC43" s="34"/>
    </row>
    <row r="44" spans="1:29" x14ac:dyDescent="0.15">
      <c r="A44" s="149" t="s">
        <v>48</v>
      </c>
      <c r="B44" s="149" t="s">
        <v>290</v>
      </c>
      <c r="C44" s="149">
        <v>2020</v>
      </c>
      <c r="D44" s="157" t="s">
        <v>291</v>
      </c>
      <c r="E44" s="149" t="s">
        <v>323</v>
      </c>
      <c r="F44" s="149" t="s">
        <v>302</v>
      </c>
      <c r="G44" s="149" t="s">
        <v>25</v>
      </c>
      <c r="H44" s="149" t="s">
        <v>113</v>
      </c>
      <c r="I44" s="77" t="s">
        <v>111</v>
      </c>
      <c r="J44" s="77" t="s">
        <v>27</v>
      </c>
      <c r="K44" s="77" t="s">
        <v>112</v>
      </c>
      <c r="L44" s="77">
        <v>1</v>
      </c>
      <c r="N44" s="77">
        <v>4</v>
      </c>
      <c r="O44" s="77">
        <v>0.9</v>
      </c>
      <c r="P44" s="77">
        <v>0.85</v>
      </c>
      <c r="Q44" s="44">
        <f t="shared" si="0"/>
        <v>0.875</v>
      </c>
      <c r="R44" s="77">
        <v>16.899999999999999</v>
      </c>
      <c r="S44" s="77">
        <v>93</v>
      </c>
      <c r="T44" s="16">
        <f t="shared" si="1"/>
        <v>36</v>
      </c>
      <c r="U44" s="77">
        <v>298</v>
      </c>
      <c r="V44" s="179">
        <f t="shared" si="2"/>
        <v>2682</v>
      </c>
      <c r="W44" s="77">
        <v>35</v>
      </c>
      <c r="X44" s="77" t="s">
        <v>35</v>
      </c>
      <c r="Y44" s="77" t="s">
        <v>76</v>
      </c>
      <c r="Z44" s="77" t="s">
        <v>29</v>
      </c>
      <c r="AA44" s="77" t="s">
        <v>55</v>
      </c>
      <c r="AB44" s="149" t="s">
        <v>294</v>
      </c>
    </row>
    <row r="45" spans="1:29" x14ac:dyDescent="0.15">
      <c r="A45" s="149" t="s">
        <v>48</v>
      </c>
      <c r="B45" s="149" t="s">
        <v>290</v>
      </c>
      <c r="C45" s="149">
        <v>2020</v>
      </c>
      <c r="D45" s="157" t="s">
        <v>291</v>
      </c>
      <c r="E45" s="149" t="s">
        <v>323</v>
      </c>
      <c r="F45" s="149" t="s">
        <v>302</v>
      </c>
      <c r="G45" s="149" t="s">
        <v>25</v>
      </c>
      <c r="H45" s="149" t="s">
        <v>113</v>
      </c>
      <c r="I45" s="77" t="s">
        <v>111</v>
      </c>
      <c r="J45" s="77" t="s">
        <v>27</v>
      </c>
      <c r="K45" s="77" t="s">
        <v>112</v>
      </c>
      <c r="L45" s="77">
        <v>2</v>
      </c>
      <c r="N45" s="77">
        <v>4</v>
      </c>
      <c r="O45" s="77">
        <v>0.5</v>
      </c>
      <c r="P45" s="77">
        <v>0.6</v>
      </c>
      <c r="Q45" s="44">
        <f t="shared" si="0"/>
        <v>0.55000000000000004</v>
      </c>
      <c r="R45" s="77">
        <v>14.8</v>
      </c>
      <c r="S45" s="77">
        <v>104</v>
      </c>
      <c r="T45" s="16">
        <f t="shared" si="1"/>
        <v>33</v>
      </c>
      <c r="U45" s="77">
        <v>298</v>
      </c>
      <c r="V45" s="179">
        <f t="shared" si="2"/>
        <v>2458.5</v>
      </c>
      <c r="W45" s="77">
        <v>35</v>
      </c>
      <c r="X45" s="77" t="s">
        <v>35</v>
      </c>
      <c r="Y45" s="77" t="s">
        <v>76</v>
      </c>
      <c r="Z45" s="77" t="s">
        <v>29</v>
      </c>
      <c r="AA45" s="77" t="s">
        <v>55</v>
      </c>
      <c r="AB45" s="149" t="s">
        <v>294</v>
      </c>
    </row>
    <row r="46" spans="1:29" x14ac:dyDescent="0.15">
      <c r="A46" s="149" t="s">
        <v>48</v>
      </c>
      <c r="B46" s="149" t="s">
        <v>290</v>
      </c>
      <c r="C46" s="149">
        <v>2020</v>
      </c>
      <c r="D46" s="157" t="s">
        <v>291</v>
      </c>
      <c r="E46" s="149" t="s">
        <v>323</v>
      </c>
      <c r="F46" s="149" t="s">
        <v>302</v>
      </c>
      <c r="G46" s="149" t="s">
        <v>25</v>
      </c>
      <c r="H46" s="149" t="s">
        <v>113</v>
      </c>
      <c r="I46" s="77" t="s">
        <v>111</v>
      </c>
      <c r="J46" s="77" t="s">
        <v>27</v>
      </c>
      <c r="K46" s="77" t="s">
        <v>112</v>
      </c>
      <c r="L46" s="77">
        <v>3</v>
      </c>
      <c r="N46" s="77">
        <v>4</v>
      </c>
      <c r="O46" s="77">
        <v>0.7</v>
      </c>
      <c r="P46" s="77">
        <v>0.6</v>
      </c>
      <c r="Q46" s="44">
        <f t="shared" si="0"/>
        <v>0.64999999999999991</v>
      </c>
      <c r="R46" s="77">
        <v>15.7</v>
      </c>
      <c r="S46" s="77">
        <v>102</v>
      </c>
      <c r="T46" s="16">
        <f t="shared" si="1"/>
        <v>33</v>
      </c>
      <c r="U46" s="77">
        <v>298</v>
      </c>
      <c r="V46" s="179">
        <f t="shared" si="2"/>
        <v>2458.5</v>
      </c>
      <c r="W46" s="77">
        <v>35</v>
      </c>
      <c r="X46" s="77" t="s">
        <v>35</v>
      </c>
      <c r="Y46" s="77" t="s">
        <v>76</v>
      </c>
      <c r="Z46" s="77" t="s">
        <v>29</v>
      </c>
      <c r="AA46" s="77" t="s">
        <v>55</v>
      </c>
      <c r="AB46" s="149" t="s">
        <v>294</v>
      </c>
    </row>
    <row r="47" spans="1:29" x14ac:dyDescent="0.15">
      <c r="A47" s="149" t="s">
        <v>48</v>
      </c>
      <c r="B47" s="149" t="s">
        <v>290</v>
      </c>
      <c r="C47" s="149">
        <v>2020</v>
      </c>
      <c r="D47" s="157" t="s">
        <v>291</v>
      </c>
      <c r="E47" s="149" t="s">
        <v>323</v>
      </c>
      <c r="F47" s="149" t="s">
        <v>302</v>
      </c>
      <c r="G47" s="149" t="s">
        <v>25</v>
      </c>
      <c r="H47" s="149" t="s">
        <v>113</v>
      </c>
      <c r="I47" s="77" t="s">
        <v>111</v>
      </c>
      <c r="J47" s="77" t="s">
        <v>27</v>
      </c>
      <c r="K47" s="77" t="s">
        <v>112</v>
      </c>
      <c r="L47" s="77">
        <v>1</v>
      </c>
      <c r="N47" s="77">
        <v>7</v>
      </c>
      <c r="O47" s="77">
        <v>0.65</v>
      </c>
      <c r="P47" s="77">
        <v>0.8</v>
      </c>
      <c r="Q47" s="44">
        <f t="shared" si="0"/>
        <v>0.72500000000000009</v>
      </c>
      <c r="R47" s="77">
        <v>15.1</v>
      </c>
      <c r="S47" s="77">
        <v>92</v>
      </c>
      <c r="T47" s="16">
        <f t="shared" si="1"/>
        <v>36</v>
      </c>
      <c r="U47" s="77">
        <v>498</v>
      </c>
      <c r="V47" s="179">
        <f t="shared" si="2"/>
        <v>2561.1428571428569</v>
      </c>
      <c r="W47" s="77">
        <v>35</v>
      </c>
      <c r="X47" s="77" t="s">
        <v>35</v>
      </c>
      <c r="Y47" s="77" t="s">
        <v>76</v>
      </c>
      <c r="Z47" s="77" t="s">
        <v>29</v>
      </c>
      <c r="AA47" s="77" t="s">
        <v>55</v>
      </c>
      <c r="AB47" s="149" t="s">
        <v>294</v>
      </c>
      <c r="AC47" s="34"/>
    </row>
    <row r="48" spans="1:29" x14ac:dyDescent="0.15">
      <c r="A48" s="149" t="s">
        <v>48</v>
      </c>
      <c r="B48" s="149" t="s">
        <v>290</v>
      </c>
      <c r="C48" s="149">
        <v>2020</v>
      </c>
      <c r="D48" s="157" t="s">
        <v>291</v>
      </c>
      <c r="E48" s="149" t="s">
        <v>323</v>
      </c>
      <c r="F48" s="149" t="s">
        <v>302</v>
      </c>
      <c r="G48" s="149" t="s">
        <v>25</v>
      </c>
      <c r="H48" s="149" t="s">
        <v>113</v>
      </c>
      <c r="I48" s="77" t="s">
        <v>111</v>
      </c>
      <c r="J48" s="77" t="s">
        <v>27</v>
      </c>
      <c r="K48" s="77" t="s">
        <v>112</v>
      </c>
      <c r="L48" s="77">
        <v>2</v>
      </c>
      <c r="N48" s="77">
        <v>7</v>
      </c>
      <c r="O48" s="77">
        <v>0.6</v>
      </c>
      <c r="P48" s="77">
        <v>0.7</v>
      </c>
      <c r="Q48" s="44">
        <f t="shared" si="0"/>
        <v>0.64999999999999991</v>
      </c>
      <c r="R48" s="77">
        <v>14.7</v>
      </c>
      <c r="S48" s="77">
        <v>92</v>
      </c>
      <c r="T48" s="16">
        <f t="shared" si="1"/>
        <v>36</v>
      </c>
      <c r="U48" s="77">
        <v>498</v>
      </c>
      <c r="V48" s="179">
        <f t="shared" si="2"/>
        <v>2561.1428571428569</v>
      </c>
      <c r="W48" s="77">
        <v>35</v>
      </c>
      <c r="X48" s="77" t="s">
        <v>35</v>
      </c>
      <c r="Y48" s="77" t="s">
        <v>76</v>
      </c>
      <c r="Z48" s="77" t="s">
        <v>29</v>
      </c>
      <c r="AA48" s="77" t="s">
        <v>55</v>
      </c>
      <c r="AB48" s="149" t="s">
        <v>294</v>
      </c>
      <c r="AC48" s="34"/>
    </row>
    <row r="49" spans="1:29" x14ac:dyDescent="0.15">
      <c r="A49" s="149" t="s">
        <v>48</v>
      </c>
      <c r="B49" s="149" t="s">
        <v>290</v>
      </c>
      <c r="C49" s="149">
        <v>2020</v>
      </c>
      <c r="D49" s="157" t="s">
        <v>291</v>
      </c>
      <c r="E49" s="149" t="s">
        <v>323</v>
      </c>
      <c r="F49" s="149" t="s">
        <v>302</v>
      </c>
      <c r="G49" s="149" t="s">
        <v>25</v>
      </c>
      <c r="H49" s="149" t="s">
        <v>113</v>
      </c>
      <c r="I49" s="77" t="s">
        <v>111</v>
      </c>
      <c r="J49" s="77" t="s">
        <v>27</v>
      </c>
      <c r="K49" s="77" t="s">
        <v>112</v>
      </c>
      <c r="L49" s="77">
        <v>3</v>
      </c>
      <c r="N49" s="77">
        <v>7</v>
      </c>
      <c r="O49" s="77">
        <v>0.7</v>
      </c>
      <c r="P49" s="77">
        <v>0.95</v>
      </c>
      <c r="Q49" s="44">
        <f t="shared" si="0"/>
        <v>0.82499999999999996</v>
      </c>
      <c r="R49" s="77">
        <v>12.5</v>
      </c>
      <c r="S49" s="77">
        <v>89</v>
      </c>
      <c r="T49" s="16">
        <f t="shared" si="1"/>
        <v>36</v>
      </c>
      <c r="U49" s="77">
        <v>498</v>
      </c>
      <c r="V49" s="179">
        <f t="shared" si="2"/>
        <v>2561.1428571428569</v>
      </c>
      <c r="W49" s="77">
        <v>35</v>
      </c>
      <c r="X49" s="77" t="s">
        <v>35</v>
      </c>
      <c r="Y49" s="77" t="s">
        <v>76</v>
      </c>
      <c r="Z49" s="77" t="s">
        <v>29</v>
      </c>
      <c r="AA49" s="77" t="s">
        <v>55</v>
      </c>
      <c r="AB49" s="149" t="s">
        <v>294</v>
      </c>
      <c r="AC49" s="34"/>
    </row>
    <row r="50" spans="1:29" x14ac:dyDescent="0.15">
      <c r="A50" s="149" t="s">
        <v>48</v>
      </c>
      <c r="B50" s="149" t="s">
        <v>290</v>
      </c>
      <c r="C50" s="149">
        <v>2020</v>
      </c>
      <c r="D50" s="157" t="s">
        <v>291</v>
      </c>
      <c r="E50" s="149" t="s">
        <v>323</v>
      </c>
      <c r="F50" s="149" t="s">
        <v>302</v>
      </c>
      <c r="G50" s="149" t="s">
        <v>25</v>
      </c>
      <c r="H50" s="149" t="s">
        <v>107</v>
      </c>
      <c r="I50" s="77" t="s">
        <v>111</v>
      </c>
      <c r="J50" s="77" t="s">
        <v>66</v>
      </c>
      <c r="K50" s="77" t="s">
        <v>46</v>
      </c>
      <c r="L50" s="77">
        <v>1</v>
      </c>
      <c r="N50" s="77">
        <v>1</v>
      </c>
      <c r="O50" s="77">
        <v>0.6</v>
      </c>
      <c r="P50" s="77">
        <v>0.5</v>
      </c>
      <c r="Q50" s="44">
        <f t="shared" si="0"/>
        <v>0.55000000000000004</v>
      </c>
      <c r="R50" s="77">
        <v>14.6</v>
      </c>
      <c r="S50" s="77">
        <v>109</v>
      </c>
      <c r="T50" s="16">
        <f t="shared" si="1"/>
        <v>33</v>
      </c>
      <c r="U50" s="77">
        <v>98</v>
      </c>
      <c r="V50" s="179">
        <f t="shared" si="2"/>
        <v>3234</v>
      </c>
      <c r="W50" s="77">
        <v>35</v>
      </c>
      <c r="X50" s="77" t="s">
        <v>35</v>
      </c>
      <c r="Y50" s="77" t="s">
        <v>76</v>
      </c>
      <c r="Z50" s="77" t="s">
        <v>29</v>
      </c>
      <c r="AA50" s="77" t="s">
        <v>55</v>
      </c>
      <c r="AB50" s="149" t="s">
        <v>294</v>
      </c>
      <c r="AC50" s="34"/>
    </row>
    <row r="51" spans="1:29" x14ac:dyDescent="0.15">
      <c r="A51" s="149" t="s">
        <v>48</v>
      </c>
      <c r="B51" s="149" t="s">
        <v>290</v>
      </c>
      <c r="C51" s="149">
        <v>2020</v>
      </c>
      <c r="D51" s="157" t="s">
        <v>291</v>
      </c>
      <c r="E51" s="149" t="s">
        <v>323</v>
      </c>
      <c r="F51" s="149" t="s">
        <v>302</v>
      </c>
      <c r="G51" s="149" t="s">
        <v>25</v>
      </c>
      <c r="H51" s="149" t="s">
        <v>107</v>
      </c>
      <c r="I51" s="77" t="s">
        <v>111</v>
      </c>
      <c r="J51" s="77" t="s">
        <v>66</v>
      </c>
      <c r="K51" s="77" t="s">
        <v>46</v>
      </c>
      <c r="L51" s="77">
        <v>2</v>
      </c>
      <c r="N51" s="77">
        <v>1</v>
      </c>
      <c r="O51" s="77">
        <v>0.7</v>
      </c>
      <c r="P51" s="77">
        <v>0.7</v>
      </c>
      <c r="Q51" s="44">
        <f t="shared" si="0"/>
        <v>0.7</v>
      </c>
      <c r="R51" s="77">
        <v>14</v>
      </c>
      <c r="S51" s="77">
        <v>111</v>
      </c>
      <c r="T51" s="16">
        <f t="shared" si="1"/>
        <v>33</v>
      </c>
      <c r="U51" s="77">
        <v>98</v>
      </c>
      <c r="V51" s="179">
        <f t="shared" si="2"/>
        <v>3234</v>
      </c>
      <c r="W51" s="77">
        <v>35</v>
      </c>
      <c r="X51" s="77" t="s">
        <v>35</v>
      </c>
      <c r="Y51" s="77" t="s">
        <v>76</v>
      </c>
      <c r="Z51" s="77" t="s">
        <v>29</v>
      </c>
      <c r="AA51" s="77" t="s">
        <v>55</v>
      </c>
      <c r="AB51" s="149" t="s">
        <v>294</v>
      </c>
      <c r="AC51" s="34"/>
    </row>
    <row r="52" spans="1:29" x14ac:dyDescent="0.15">
      <c r="A52" s="149" t="s">
        <v>48</v>
      </c>
      <c r="B52" s="149" t="s">
        <v>290</v>
      </c>
      <c r="C52" s="149">
        <v>2020</v>
      </c>
      <c r="D52" s="157" t="s">
        <v>291</v>
      </c>
      <c r="E52" s="149" t="s">
        <v>323</v>
      </c>
      <c r="F52" s="149" t="s">
        <v>302</v>
      </c>
      <c r="G52" s="149" t="s">
        <v>25</v>
      </c>
      <c r="H52" s="149" t="s">
        <v>107</v>
      </c>
      <c r="I52" s="77" t="s">
        <v>111</v>
      </c>
      <c r="J52" s="77" t="s">
        <v>66</v>
      </c>
      <c r="K52" s="77" t="s">
        <v>46</v>
      </c>
      <c r="L52" s="77">
        <v>3</v>
      </c>
      <c r="N52" s="77">
        <v>1</v>
      </c>
      <c r="O52" s="77">
        <v>0.65</v>
      </c>
      <c r="P52" s="77">
        <v>0.5</v>
      </c>
      <c r="Q52" s="44">
        <f t="shared" si="0"/>
        <v>0.57499999999999996</v>
      </c>
      <c r="R52" s="77">
        <v>13.7</v>
      </c>
      <c r="S52" s="77">
        <v>112</v>
      </c>
      <c r="T52" s="16">
        <f t="shared" si="1"/>
        <v>33</v>
      </c>
      <c r="U52" s="77">
        <v>98</v>
      </c>
      <c r="V52" s="179">
        <f t="shared" si="2"/>
        <v>3234</v>
      </c>
      <c r="W52" s="77">
        <v>35</v>
      </c>
      <c r="X52" s="77" t="s">
        <v>35</v>
      </c>
      <c r="Y52" s="77" t="s">
        <v>76</v>
      </c>
      <c r="Z52" s="77" t="s">
        <v>29</v>
      </c>
      <c r="AA52" s="77" t="s">
        <v>55</v>
      </c>
      <c r="AB52" s="149" t="s">
        <v>294</v>
      </c>
      <c r="AC52" s="34"/>
    </row>
    <row r="53" spans="1:29" x14ac:dyDescent="0.15">
      <c r="A53" s="149" t="s">
        <v>48</v>
      </c>
      <c r="B53" s="149" t="s">
        <v>290</v>
      </c>
      <c r="C53" s="149">
        <v>2020</v>
      </c>
      <c r="D53" s="157" t="s">
        <v>291</v>
      </c>
      <c r="E53" s="149" t="s">
        <v>323</v>
      </c>
      <c r="F53" s="149" t="s">
        <v>302</v>
      </c>
      <c r="G53" s="149" t="s">
        <v>25</v>
      </c>
      <c r="H53" s="149" t="s">
        <v>107</v>
      </c>
      <c r="I53" s="77" t="s">
        <v>111</v>
      </c>
      <c r="J53" s="77" t="s">
        <v>66</v>
      </c>
      <c r="K53" s="77" t="s">
        <v>42</v>
      </c>
      <c r="L53" s="77">
        <v>1</v>
      </c>
      <c r="N53" s="77">
        <v>1</v>
      </c>
      <c r="O53" s="77">
        <v>0.9</v>
      </c>
      <c r="P53" s="77">
        <v>0.75</v>
      </c>
      <c r="Q53" s="44">
        <f t="shared" si="0"/>
        <v>0.82499999999999996</v>
      </c>
      <c r="R53" s="77">
        <v>13.9</v>
      </c>
      <c r="S53" s="77">
        <v>117</v>
      </c>
      <c r="T53" s="16">
        <f t="shared" si="1"/>
        <v>30</v>
      </c>
      <c r="U53" s="77">
        <v>98</v>
      </c>
      <c r="V53" s="179">
        <f t="shared" si="2"/>
        <v>2940</v>
      </c>
      <c r="W53" s="77">
        <v>35</v>
      </c>
      <c r="X53" s="77" t="s">
        <v>35</v>
      </c>
      <c r="Y53" s="77" t="s">
        <v>76</v>
      </c>
      <c r="Z53" s="77" t="s">
        <v>29</v>
      </c>
      <c r="AA53" s="77" t="s">
        <v>55</v>
      </c>
      <c r="AB53" s="149" t="s">
        <v>294</v>
      </c>
      <c r="AC53" s="34"/>
    </row>
    <row r="54" spans="1:29" x14ac:dyDescent="0.15">
      <c r="A54" s="149" t="s">
        <v>48</v>
      </c>
      <c r="B54" s="149" t="s">
        <v>290</v>
      </c>
      <c r="C54" s="149">
        <v>2020</v>
      </c>
      <c r="D54" s="157" t="s">
        <v>291</v>
      </c>
      <c r="E54" s="149" t="s">
        <v>323</v>
      </c>
      <c r="F54" s="149" t="s">
        <v>302</v>
      </c>
      <c r="G54" s="149" t="s">
        <v>25</v>
      </c>
      <c r="H54" s="149" t="s">
        <v>107</v>
      </c>
      <c r="I54" s="77" t="s">
        <v>111</v>
      </c>
      <c r="J54" s="77" t="s">
        <v>66</v>
      </c>
      <c r="K54" s="77" t="s">
        <v>42</v>
      </c>
      <c r="L54" s="77">
        <v>2</v>
      </c>
      <c r="N54" s="77">
        <v>1</v>
      </c>
      <c r="O54" s="77">
        <v>0.95</v>
      </c>
      <c r="P54" s="77">
        <v>0.9</v>
      </c>
      <c r="Q54" s="44">
        <f t="shared" si="0"/>
        <v>0.92500000000000004</v>
      </c>
      <c r="R54" s="77">
        <v>13.9</v>
      </c>
      <c r="S54" s="77">
        <v>116</v>
      </c>
      <c r="T54" s="16">
        <f t="shared" si="1"/>
        <v>30</v>
      </c>
      <c r="U54" s="77">
        <v>98</v>
      </c>
      <c r="V54" s="179">
        <f t="shared" si="2"/>
        <v>2940</v>
      </c>
      <c r="W54" s="77">
        <v>35</v>
      </c>
      <c r="X54" s="77" t="s">
        <v>35</v>
      </c>
      <c r="Y54" s="77" t="s">
        <v>76</v>
      </c>
      <c r="Z54" s="77" t="s">
        <v>29</v>
      </c>
      <c r="AA54" s="77" t="s">
        <v>55</v>
      </c>
      <c r="AB54" s="149" t="s">
        <v>294</v>
      </c>
      <c r="AC54" s="34"/>
    </row>
    <row r="55" spans="1:29" x14ac:dyDescent="0.15">
      <c r="A55" s="149" t="s">
        <v>48</v>
      </c>
      <c r="B55" s="149" t="s">
        <v>290</v>
      </c>
      <c r="C55" s="149">
        <v>2020</v>
      </c>
      <c r="D55" s="157" t="s">
        <v>291</v>
      </c>
      <c r="E55" s="149" t="s">
        <v>323</v>
      </c>
      <c r="F55" s="149" t="s">
        <v>302</v>
      </c>
      <c r="G55" s="149" t="s">
        <v>25</v>
      </c>
      <c r="H55" s="149" t="s">
        <v>107</v>
      </c>
      <c r="I55" s="77" t="s">
        <v>111</v>
      </c>
      <c r="J55" s="77" t="s">
        <v>66</v>
      </c>
      <c r="K55" s="77" t="s">
        <v>42</v>
      </c>
      <c r="L55" s="77">
        <v>3</v>
      </c>
      <c r="N55" s="77">
        <v>1</v>
      </c>
      <c r="O55" s="77">
        <v>0.7</v>
      </c>
      <c r="P55" s="77">
        <v>0.75</v>
      </c>
      <c r="Q55" s="44">
        <f t="shared" si="0"/>
        <v>0.72499999999999998</v>
      </c>
      <c r="R55" s="77">
        <v>11.2</v>
      </c>
      <c r="S55" s="77">
        <v>120</v>
      </c>
      <c r="T55" s="16">
        <f t="shared" si="1"/>
        <v>30</v>
      </c>
      <c r="U55" s="77">
        <v>98</v>
      </c>
      <c r="V55" s="179">
        <f t="shared" si="2"/>
        <v>2940</v>
      </c>
      <c r="W55" s="77">
        <v>35</v>
      </c>
      <c r="X55" s="77" t="s">
        <v>35</v>
      </c>
      <c r="Y55" s="77" t="s">
        <v>76</v>
      </c>
      <c r="Z55" s="77" t="s">
        <v>29</v>
      </c>
      <c r="AA55" s="77" t="s">
        <v>55</v>
      </c>
      <c r="AB55" s="149" t="s">
        <v>294</v>
      </c>
      <c r="AC55" s="34"/>
    </row>
    <row r="56" spans="1:29" x14ac:dyDescent="0.15">
      <c r="A56" s="149" t="s">
        <v>48</v>
      </c>
      <c r="B56" s="149" t="s">
        <v>290</v>
      </c>
      <c r="C56" s="149">
        <v>2020</v>
      </c>
      <c r="D56" s="157" t="s">
        <v>291</v>
      </c>
      <c r="E56" s="149" t="s">
        <v>323</v>
      </c>
      <c r="F56" s="149" t="s">
        <v>302</v>
      </c>
      <c r="G56" s="149" t="s">
        <v>25</v>
      </c>
      <c r="H56" s="149" t="s">
        <v>107</v>
      </c>
      <c r="I56" s="77" t="s">
        <v>111</v>
      </c>
      <c r="J56" s="77" t="s">
        <v>66</v>
      </c>
      <c r="K56" s="77" t="s">
        <v>42</v>
      </c>
      <c r="L56" s="77">
        <v>1</v>
      </c>
      <c r="N56" s="77">
        <v>4</v>
      </c>
      <c r="O56" s="77">
        <v>0.65</v>
      </c>
      <c r="P56" s="77">
        <v>0.6</v>
      </c>
      <c r="Q56" s="44">
        <f t="shared" si="0"/>
        <v>0.625</v>
      </c>
      <c r="R56" s="77">
        <v>14.5</v>
      </c>
      <c r="S56" s="77">
        <v>121</v>
      </c>
      <c r="T56" s="16">
        <f t="shared" si="1"/>
        <v>27</v>
      </c>
      <c r="U56" s="77">
        <v>298</v>
      </c>
      <c r="V56" s="179">
        <f t="shared" si="2"/>
        <v>2011.5</v>
      </c>
      <c r="W56" s="77">
        <v>35</v>
      </c>
      <c r="X56" s="77" t="s">
        <v>35</v>
      </c>
      <c r="Y56" s="77" t="s">
        <v>76</v>
      </c>
      <c r="Z56" s="77" t="s">
        <v>29</v>
      </c>
      <c r="AA56" s="77" t="s">
        <v>55</v>
      </c>
      <c r="AB56" s="149" t="s">
        <v>294</v>
      </c>
      <c r="AC56" s="34"/>
    </row>
    <row r="57" spans="1:29" x14ac:dyDescent="0.15">
      <c r="A57" s="149" t="s">
        <v>48</v>
      </c>
      <c r="B57" s="149" t="s">
        <v>290</v>
      </c>
      <c r="C57" s="149">
        <v>2020</v>
      </c>
      <c r="D57" s="157" t="s">
        <v>291</v>
      </c>
      <c r="E57" s="149" t="s">
        <v>323</v>
      </c>
      <c r="F57" s="149" t="s">
        <v>302</v>
      </c>
      <c r="G57" s="149" t="s">
        <v>25</v>
      </c>
      <c r="H57" s="149" t="s">
        <v>107</v>
      </c>
      <c r="I57" s="77" t="s">
        <v>111</v>
      </c>
      <c r="J57" s="77" t="s">
        <v>66</v>
      </c>
      <c r="K57" s="77" t="s">
        <v>42</v>
      </c>
      <c r="L57" s="77">
        <v>2</v>
      </c>
      <c r="N57" s="77">
        <v>4</v>
      </c>
      <c r="O57" s="77">
        <v>1</v>
      </c>
      <c r="P57" s="77">
        <v>0.75</v>
      </c>
      <c r="Q57" s="44">
        <f t="shared" si="0"/>
        <v>0.875</v>
      </c>
      <c r="R57" s="77">
        <v>14.6</v>
      </c>
      <c r="S57" s="77">
        <v>112</v>
      </c>
      <c r="T57" s="16">
        <f t="shared" si="1"/>
        <v>33</v>
      </c>
      <c r="U57" s="77">
        <v>298</v>
      </c>
      <c r="V57" s="179">
        <f t="shared" si="2"/>
        <v>2458.5</v>
      </c>
      <c r="W57" s="77">
        <v>35</v>
      </c>
      <c r="X57" s="77" t="s">
        <v>35</v>
      </c>
      <c r="Y57" s="77" t="s">
        <v>76</v>
      </c>
      <c r="Z57" s="77" t="s">
        <v>29</v>
      </c>
      <c r="AA57" s="77" t="s">
        <v>55</v>
      </c>
      <c r="AB57" s="149" t="s">
        <v>294</v>
      </c>
      <c r="AC57" s="34"/>
    </row>
    <row r="58" spans="1:29" x14ac:dyDescent="0.15">
      <c r="A58" s="149" t="s">
        <v>48</v>
      </c>
      <c r="B58" s="149" t="s">
        <v>290</v>
      </c>
      <c r="C58" s="149">
        <v>2020</v>
      </c>
      <c r="D58" s="157" t="s">
        <v>291</v>
      </c>
      <c r="E58" s="149" t="s">
        <v>323</v>
      </c>
      <c r="F58" s="149" t="s">
        <v>302</v>
      </c>
      <c r="G58" s="149" t="s">
        <v>25</v>
      </c>
      <c r="H58" s="149" t="s">
        <v>107</v>
      </c>
      <c r="I58" s="77" t="s">
        <v>111</v>
      </c>
      <c r="J58" s="77" t="s">
        <v>66</v>
      </c>
      <c r="K58" s="77" t="s">
        <v>42</v>
      </c>
      <c r="L58" s="77">
        <v>3</v>
      </c>
      <c r="N58" s="77">
        <v>4</v>
      </c>
      <c r="O58" s="77">
        <v>0.6</v>
      </c>
      <c r="P58" s="77">
        <v>0.7</v>
      </c>
      <c r="Q58" s="44">
        <f t="shared" si="0"/>
        <v>0.64999999999999991</v>
      </c>
      <c r="R58" s="77">
        <v>11.3</v>
      </c>
      <c r="S58" s="77">
        <v>123</v>
      </c>
      <c r="T58" s="16">
        <f t="shared" si="1"/>
        <v>27</v>
      </c>
      <c r="U58" s="77">
        <v>298</v>
      </c>
      <c r="V58" s="179">
        <f t="shared" si="2"/>
        <v>2011.5</v>
      </c>
      <c r="W58" s="77">
        <v>35</v>
      </c>
      <c r="X58" s="77" t="s">
        <v>35</v>
      </c>
      <c r="Y58" s="77" t="s">
        <v>76</v>
      </c>
      <c r="Z58" s="77" t="s">
        <v>29</v>
      </c>
      <c r="AA58" s="77" t="s">
        <v>55</v>
      </c>
      <c r="AB58" s="149" t="s">
        <v>294</v>
      </c>
      <c r="AC58" s="34"/>
    </row>
    <row r="59" spans="1:29" x14ac:dyDescent="0.15">
      <c r="A59" s="149" t="s">
        <v>48</v>
      </c>
      <c r="B59" s="149" t="s">
        <v>290</v>
      </c>
      <c r="C59" s="149">
        <v>2020</v>
      </c>
      <c r="D59" s="157" t="s">
        <v>291</v>
      </c>
      <c r="E59" s="149" t="s">
        <v>303</v>
      </c>
      <c r="F59" s="149" t="s">
        <v>304</v>
      </c>
      <c r="G59" s="149" t="s">
        <v>25</v>
      </c>
      <c r="H59" s="149" t="s">
        <v>164</v>
      </c>
      <c r="I59" s="77" t="s">
        <v>111</v>
      </c>
      <c r="J59" s="77" t="s">
        <v>27</v>
      </c>
      <c r="K59" s="77" t="s">
        <v>112</v>
      </c>
      <c r="L59" s="77">
        <v>1</v>
      </c>
      <c r="N59" s="77">
        <v>1</v>
      </c>
      <c r="O59" s="77">
        <v>1.25</v>
      </c>
      <c r="P59" s="77">
        <v>0.85</v>
      </c>
      <c r="Q59" s="44">
        <f t="shared" si="0"/>
        <v>1.05</v>
      </c>
      <c r="R59" s="77">
        <v>14.5</v>
      </c>
      <c r="S59" s="77">
        <v>140</v>
      </c>
      <c r="T59" s="16">
        <f t="shared" si="1"/>
        <v>22</v>
      </c>
      <c r="U59" s="77">
        <v>98</v>
      </c>
      <c r="V59" s="179">
        <f t="shared" si="2"/>
        <v>2156</v>
      </c>
      <c r="W59" s="77">
        <v>12</v>
      </c>
      <c r="X59" s="77" t="s">
        <v>35</v>
      </c>
      <c r="Y59" s="77" t="s">
        <v>55</v>
      </c>
      <c r="Z59" s="77" t="s">
        <v>36</v>
      </c>
      <c r="AA59" s="77" t="s">
        <v>43</v>
      </c>
      <c r="AB59" s="149" t="s">
        <v>294</v>
      </c>
      <c r="AC59" s="34"/>
    </row>
    <row r="60" spans="1:29" x14ac:dyDescent="0.15">
      <c r="A60" s="149" t="s">
        <v>48</v>
      </c>
      <c r="B60" s="149" t="s">
        <v>290</v>
      </c>
      <c r="C60" s="149">
        <v>2020</v>
      </c>
      <c r="D60" s="157" t="s">
        <v>291</v>
      </c>
      <c r="E60" s="149" t="s">
        <v>303</v>
      </c>
      <c r="F60" s="149" t="s">
        <v>304</v>
      </c>
      <c r="G60" s="149" t="s">
        <v>25</v>
      </c>
      <c r="H60" s="149" t="s">
        <v>164</v>
      </c>
      <c r="I60" s="77" t="s">
        <v>111</v>
      </c>
      <c r="J60" s="77" t="s">
        <v>27</v>
      </c>
      <c r="K60" s="77" t="s">
        <v>112</v>
      </c>
      <c r="L60" s="77">
        <v>2</v>
      </c>
      <c r="N60" s="77">
        <v>1</v>
      </c>
      <c r="O60" s="77">
        <v>0.9</v>
      </c>
      <c r="P60" s="77">
        <v>0.75</v>
      </c>
      <c r="Q60" s="44">
        <f t="shared" si="0"/>
        <v>0.82499999999999996</v>
      </c>
      <c r="R60" s="77">
        <v>14.8</v>
      </c>
      <c r="S60" s="77">
        <v>150</v>
      </c>
      <c r="T60" s="16">
        <f t="shared" si="1"/>
        <v>22</v>
      </c>
      <c r="U60" s="77">
        <v>98</v>
      </c>
      <c r="V60" s="179">
        <f t="shared" si="2"/>
        <v>2156</v>
      </c>
      <c r="W60" s="77">
        <v>12</v>
      </c>
      <c r="X60" s="77" t="s">
        <v>35</v>
      </c>
      <c r="Y60" s="77" t="s">
        <v>55</v>
      </c>
      <c r="Z60" s="77" t="s">
        <v>36</v>
      </c>
      <c r="AA60" s="77" t="s">
        <v>43</v>
      </c>
      <c r="AB60" s="149" t="s">
        <v>294</v>
      </c>
      <c r="AC60" s="34"/>
    </row>
    <row r="61" spans="1:29" x14ac:dyDescent="0.15">
      <c r="A61" s="149" t="s">
        <v>48</v>
      </c>
      <c r="B61" s="149" t="s">
        <v>290</v>
      </c>
      <c r="C61" s="149">
        <v>2020</v>
      </c>
      <c r="D61" s="157" t="s">
        <v>291</v>
      </c>
      <c r="E61" s="149" t="s">
        <v>303</v>
      </c>
      <c r="F61" s="149" t="s">
        <v>304</v>
      </c>
      <c r="G61" s="149" t="s">
        <v>25</v>
      </c>
      <c r="H61" s="149" t="s">
        <v>164</v>
      </c>
      <c r="I61" s="77" t="s">
        <v>111</v>
      </c>
      <c r="J61" s="77" t="s">
        <v>27</v>
      </c>
      <c r="K61" s="77" t="s">
        <v>112</v>
      </c>
      <c r="L61" s="77">
        <v>3</v>
      </c>
      <c r="N61" s="77">
        <v>1</v>
      </c>
      <c r="O61" s="77">
        <v>0.75</v>
      </c>
      <c r="P61" s="77">
        <v>0.9</v>
      </c>
      <c r="Q61" s="44">
        <f t="shared" si="0"/>
        <v>0.82499999999999996</v>
      </c>
      <c r="R61" s="77">
        <v>15.2</v>
      </c>
      <c r="S61" s="77">
        <v>142</v>
      </c>
      <c r="T61" s="16">
        <f t="shared" si="1"/>
        <v>22</v>
      </c>
      <c r="U61" s="77">
        <v>98</v>
      </c>
      <c r="V61" s="179">
        <f t="shared" si="2"/>
        <v>2156</v>
      </c>
      <c r="W61" s="77">
        <v>12</v>
      </c>
      <c r="X61" s="77" t="s">
        <v>35</v>
      </c>
      <c r="Y61" s="77" t="s">
        <v>55</v>
      </c>
      <c r="Z61" s="77" t="s">
        <v>36</v>
      </c>
      <c r="AA61" s="77" t="s">
        <v>43</v>
      </c>
      <c r="AB61" s="149" t="s">
        <v>294</v>
      </c>
      <c r="AC61" s="34"/>
    </row>
    <row r="62" spans="1:29" x14ac:dyDescent="0.15">
      <c r="A62" s="149" t="s">
        <v>48</v>
      </c>
      <c r="B62" s="149" t="s">
        <v>290</v>
      </c>
      <c r="C62" s="149">
        <v>2020</v>
      </c>
      <c r="D62" s="157" t="s">
        <v>291</v>
      </c>
      <c r="E62" s="149" t="s">
        <v>303</v>
      </c>
      <c r="F62" s="149" t="s">
        <v>304</v>
      </c>
      <c r="G62" s="149" t="s">
        <v>25</v>
      </c>
      <c r="H62" s="149" t="s">
        <v>164</v>
      </c>
      <c r="I62" s="77" t="s">
        <v>111</v>
      </c>
      <c r="J62" s="77" t="s">
        <v>27</v>
      </c>
      <c r="K62" s="77" t="s">
        <v>112</v>
      </c>
      <c r="L62" s="77">
        <v>1</v>
      </c>
      <c r="N62" s="77">
        <v>4</v>
      </c>
      <c r="O62" s="77">
        <v>0.55000000000000004</v>
      </c>
      <c r="P62" s="77">
        <v>0.7</v>
      </c>
      <c r="Q62" s="44">
        <f t="shared" si="0"/>
        <v>0.625</v>
      </c>
      <c r="R62" s="77">
        <v>14.7</v>
      </c>
      <c r="S62" s="77">
        <v>108</v>
      </c>
      <c r="T62" s="16">
        <f t="shared" si="1"/>
        <v>33</v>
      </c>
      <c r="U62" s="77">
        <v>498</v>
      </c>
      <c r="V62" s="179">
        <f t="shared" si="2"/>
        <v>4108.5</v>
      </c>
      <c r="W62" s="77">
        <v>12</v>
      </c>
      <c r="X62" s="77" t="s">
        <v>35</v>
      </c>
      <c r="Y62" s="77" t="s">
        <v>55</v>
      </c>
      <c r="Z62" s="77" t="s">
        <v>36</v>
      </c>
      <c r="AA62" s="77" t="s">
        <v>43</v>
      </c>
      <c r="AB62" s="149" t="s">
        <v>294</v>
      </c>
    </row>
    <row r="63" spans="1:29" x14ac:dyDescent="0.15">
      <c r="A63" s="149" t="s">
        <v>48</v>
      </c>
      <c r="B63" s="149" t="s">
        <v>290</v>
      </c>
      <c r="C63" s="149">
        <v>2020</v>
      </c>
      <c r="D63" s="157" t="s">
        <v>291</v>
      </c>
      <c r="E63" s="149" t="s">
        <v>303</v>
      </c>
      <c r="F63" s="149" t="s">
        <v>304</v>
      </c>
      <c r="G63" s="149" t="s">
        <v>25</v>
      </c>
      <c r="H63" s="149" t="s">
        <v>164</v>
      </c>
      <c r="I63" s="77" t="s">
        <v>111</v>
      </c>
      <c r="J63" s="77" t="s">
        <v>27</v>
      </c>
      <c r="K63" s="77" t="s">
        <v>112</v>
      </c>
      <c r="L63" s="77">
        <v>2</v>
      </c>
      <c r="N63" s="77">
        <v>4</v>
      </c>
      <c r="O63" s="77">
        <v>0.7</v>
      </c>
      <c r="P63" s="77">
        <v>0.5</v>
      </c>
      <c r="Q63" s="44">
        <f t="shared" si="0"/>
        <v>0.6</v>
      </c>
      <c r="R63" s="77">
        <v>15.1</v>
      </c>
      <c r="S63" s="77">
        <v>112</v>
      </c>
      <c r="T63" s="16">
        <f t="shared" si="1"/>
        <v>33</v>
      </c>
      <c r="U63" s="77">
        <v>498</v>
      </c>
      <c r="V63" s="179">
        <f t="shared" si="2"/>
        <v>4108.5</v>
      </c>
      <c r="W63" s="77">
        <v>12</v>
      </c>
      <c r="X63" s="77" t="s">
        <v>35</v>
      </c>
      <c r="Y63" s="77" t="s">
        <v>55</v>
      </c>
      <c r="Z63" s="77" t="s">
        <v>36</v>
      </c>
      <c r="AA63" s="77" t="s">
        <v>43</v>
      </c>
      <c r="AB63" s="149" t="s">
        <v>294</v>
      </c>
    </row>
    <row r="64" spans="1:29" x14ac:dyDescent="0.15">
      <c r="A64" s="149" t="s">
        <v>48</v>
      </c>
      <c r="B64" s="149" t="s">
        <v>290</v>
      </c>
      <c r="C64" s="149">
        <v>2020</v>
      </c>
      <c r="D64" s="157" t="s">
        <v>291</v>
      </c>
      <c r="E64" s="149" t="s">
        <v>303</v>
      </c>
      <c r="F64" s="149" t="s">
        <v>304</v>
      </c>
      <c r="G64" s="149" t="s">
        <v>25</v>
      </c>
      <c r="H64" s="149" t="s">
        <v>164</v>
      </c>
      <c r="I64" s="77" t="s">
        <v>111</v>
      </c>
      <c r="J64" s="77" t="s">
        <v>27</v>
      </c>
      <c r="K64" s="77" t="s">
        <v>112</v>
      </c>
      <c r="L64" s="77">
        <v>3</v>
      </c>
      <c r="N64" s="77">
        <v>4</v>
      </c>
      <c r="O64" s="77">
        <v>0.5</v>
      </c>
      <c r="P64" s="77">
        <v>0.5</v>
      </c>
      <c r="Q64" s="44">
        <f t="shared" si="0"/>
        <v>0.5</v>
      </c>
      <c r="R64" s="77">
        <v>16.2</v>
      </c>
      <c r="S64" s="77">
        <v>118</v>
      </c>
      <c r="T64" s="16">
        <f t="shared" si="1"/>
        <v>30</v>
      </c>
      <c r="U64" s="77">
        <v>498</v>
      </c>
      <c r="V64" s="179">
        <f t="shared" si="2"/>
        <v>3735</v>
      </c>
      <c r="W64" s="77">
        <v>12</v>
      </c>
      <c r="X64" s="77" t="s">
        <v>35</v>
      </c>
      <c r="Y64" s="77" t="s">
        <v>55</v>
      </c>
      <c r="Z64" s="77" t="s">
        <v>36</v>
      </c>
      <c r="AA64" s="77" t="s">
        <v>43</v>
      </c>
      <c r="AB64" s="149" t="s">
        <v>294</v>
      </c>
    </row>
    <row r="65" spans="1:29" x14ac:dyDescent="0.15">
      <c r="A65" s="149" t="s">
        <v>48</v>
      </c>
      <c r="B65" s="149" t="s">
        <v>290</v>
      </c>
      <c r="C65" s="149">
        <v>2020</v>
      </c>
      <c r="D65" s="157" t="s">
        <v>291</v>
      </c>
      <c r="E65" s="149" t="s">
        <v>303</v>
      </c>
      <c r="F65" s="149" t="s">
        <v>304</v>
      </c>
      <c r="G65" s="149" t="s">
        <v>25</v>
      </c>
      <c r="H65" s="149" t="s">
        <v>164</v>
      </c>
      <c r="I65" s="77" t="s">
        <v>170</v>
      </c>
      <c r="J65" s="77" t="s">
        <v>27</v>
      </c>
      <c r="K65" s="77" t="s">
        <v>112</v>
      </c>
      <c r="L65" s="77">
        <v>1</v>
      </c>
      <c r="N65" s="77">
        <v>1</v>
      </c>
      <c r="O65" s="77">
        <v>0.5</v>
      </c>
      <c r="P65" s="77">
        <v>0.55000000000000004</v>
      </c>
      <c r="Q65" s="44">
        <f>IF(OR(O65="",P65=""),"",AVERAGE(O65,P65))</f>
        <v>0.52500000000000002</v>
      </c>
      <c r="R65" s="77">
        <v>16.600000000000001</v>
      </c>
      <c r="S65" s="77">
        <v>127</v>
      </c>
      <c r="T65" s="16">
        <f t="shared" si="1"/>
        <v>27</v>
      </c>
      <c r="U65" s="77">
        <v>128</v>
      </c>
      <c r="V65" s="179">
        <f t="shared" si="2"/>
        <v>3456</v>
      </c>
      <c r="W65" s="77">
        <v>12</v>
      </c>
      <c r="X65" s="77" t="s">
        <v>35</v>
      </c>
      <c r="Y65" s="77" t="s">
        <v>55</v>
      </c>
      <c r="Z65" s="77" t="s">
        <v>36</v>
      </c>
      <c r="AA65" s="77" t="s">
        <v>43</v>
      </c>
      <c r="AB65" s="149" t="s">
        <v>294</v>
      </c>
    </row>
    <row r="66" spans="1:29" x14ac:dyDescent="0.15">
      <c r="A66" s="149" t="s">
        <v>48</v>
      </c>
      <c r="B66" s="149" t="s">
        <v>290</v>
      </c>
      <c r="C66" s="149">
        <v>2020</v>
      </c>
      <c r="D66" s="157" t="s">
        <v>291</v>
      </c>
      <c r="E66" s="149" t="s">
        <v>303</v>
      </c>
      <c r="F66" s="149" t="s">
        <v>304</v>
      </c>
      <c r="G66" s="149" t="s">
        <v>25</v>
      </c>
      <c r="H66" s="149" t="s">
        <v>164</v>
      </c>
      <c r="I66" s="77" t="s">
        <v>170</v>
      </c>
      <c r="J66" s="77" t="s">
        <v>27</v>
      </c>
      <c r="K66" s="77" t="s">
        <v>112</v>
      </c>
      <c r="L66" s="77">
        <v>2</v>
      </c>
      <c r="N66" s="77">
        <v>1</v>
      </c>
      <c r="O66" s="77">
        <v>0.6</v>
      </c>
      <c r="P66" s="77">
        <v>0.5</v>
      </c>
      <c r="Q66" s="44">
        <f t="shared" si="0"/>
        <v>0.55000000000000004</v>
      </c>
      <c r="R66" s="77">
        <v>17</v>
      </c>
      <c r="S66" s="77">
        <v>125</v>
      </c>
      <c r="T66" s="16">
        <f t="shared" si="1"/>
        <v>27</v>
      </c>
      <c r="U66" s="77">
        <v>128</v>
      </c>
      <c r="V66" s="179">
        <f t="shared" si="2"/>
        <v>3456</v>
      </c>
      <c r="W66" s="77">
        <v>12</v>
      </c>
      <c r="X66" s="77" t="s">
        <v>35</v>
      </c>
      <c r="Y66" s="77" t="s">
        <v>55</v>
      </c>
      <c r="Z66" s="77" t="s">
        <v>36</v>
      </c>
      <c r="AA66" s="77" t="s">
        <v>43</v>
      </c>
      <c r="AB66" s="149" t="s">
        <v>294</v>
      </c>
    </row>
    <row r="67" spans="1:29" x14ac:dyDescent="0.15">
      <c r="A67" s="149" t="s">
        <v>48</v>
      </c>
      <c r="B67" s="149" t="s">
        <v>290</v>
      </c>
      <c r="C67" s="149">
        <v>2020</v>
      </c>
      <c r="D67" s="157" t="s">
        <v>291</v>
      </c>
      <c r="E67" s="149" t="s">
        <v>303</v>
      </c>
      <c r="F67" s="149" t="s">
        <v>304</v>
      </c>
      <c r="G67" s="149" t="s">
        <v>25</v>
      </c>
      <c r="H67" s="149" t="s">
        <v>164</v>
      </c>
      <c r="I67" s="77" t="s">
        <v>170</v>
      </c>
      <c r="J67" s="77" t="s">
        <v>27</v>
      </c>
      <c r="K67" s="77" t="s">
        <v>112</v>
      </c>
      <c r="L67" s="77">
        <v>3</v>
      </c>
      <c r="N67" s="77">
        <v>1</v>
      </c>
      <c r="O67" s="77">
        <v>0.5</v>
      </c>
      <c r="P67" s="77">
        <v>0.6</v>
      </c>
      <c r="Q67" s="44">
        <f t="shared" si="0"/>
        <v>0.55000000000000004</v>
      </c>
      <c r="R67" s="77">
        <v>17.5</v>
      </c>
      <c r="S67" s="77">
        <v>122</v>
      </c>
      <c r="T67" s="16">
        <f t="shared" si="1"/>
        <v>27</v>
      </c>
      <c r="U67" s="77">
        <v>128</v>
      </c>
      <c r="V67" s="179">
        <f t="shared" si="2"/>
        <v>3456</v>
      </c>
      <c r="W67" s="77">
        <v>12</v>
      </c>
      <c r="X67" s="77" t="s">
        <v>35</v>
      </c>
      <c r="Y67" s="77" t="s">
        <v>55</v>
      </c>
      <c r="Z67" s="77" t="s">
        <v>36</v>
      </c>
      <c r="AA67" s="77" t="s">
        <v>43</v>
      </c>
      <c r="AB67" s="149" t="s">
        <v>294</v>
      </c>
    </row>
    <row r="68" spans="1:29" x14ac:dyDescent="0.15">
      <c r="A68" s="149" t="s">
        <v>48</v>
      </c>
      <c r="B68" s="149" t="s">
        <v>290</v>
      </c>
      <c r="C68" s="149">
        <v>2020</v>
      </c>
      <c r="D68" s="157" t="s">
        <v>291</v>
      </c>
      <c r="E68" s="149" t="s">
        <v>303</v>
      </c>
      <c r="F68" s="149" t="s">
        <v>304</v>
      </c>
      <c r="G68" s="149" t="s">
        <v>25</v>
      </c>
      <c r="H68" s="149" t="s">
        <v>113</v>
      </c>
      <c r="I68" s="77" t="s">
        <v>111</v>
      </c>
      <c r="J68" s="77" t="s">
        <v>27</v>
      </c>
      <c r="K68" s="77" t="s">
        <v>112</v>
      </c>
      <c r="L68" s="77">
        <v>1</v>
      </c>
      <c r="N68" s="77">
        <v>1</v>
      </c>
      <c r="O68" s="77">
        <v>0.9</v>
      </c>
      <c r="P68" s="77">
        <v>1</v>
      </c>
      <c r="Q68" s="44">
        <f t="shared" si="0"/>
        <v>0.95</v>
      </c>
      <c r="R68" s="77">
        <v>17.8</v>
      </c>
      <c r="S68" s="77">
        <v>116</v>
      </c>
      <c r="T68" s="16">
        <f t="shared" si="1"/>
        <v>30</v>
      </c>
      <c r="U68" s="77">
        <v>98</v>
      </c>
      <c r="V68" s="179">
        <f t="shared" si="2"/>
        <v>2940</v>
      </c>
      <c r="W68" s="77">
        <v>12</v>
      </c>
      <c r="X68" s="77" t="s">
        <v>35</v>
      </c>
      <c r="Y68" s="77" t="s">
        <v>55</v>
      </c>
      <c r="Z68" s="77" t="s">
        <v>36</v>
      </c>
      <c r="AA68" s="77" t="s">
        <v>43</v>
      </c>
      <c r="AB68" s="149" t="s">
        <v>294</v>
      </c>
      <c r="AC68" s="34"/>
    </row>
    <row r="69" spans="1:29" x14ac:dyDescent="0.15">
      <c r="A69" s="149" t="s">
        <v>48</v>
      </c>
      <c r="B69" s="149" t="s">
        <v>290</v>
      </c>
      <c r="C69" s="149">
        <v>2020</v>
      </c>
      <c r="D69" s="157" t="s">
        <v>291</v>
      </c>
      <c r="E69" s="149" t="s">
        <v>303</v>
      </c>
      <c r="F69" s="149" t="s">
        <v>304</v>
      </c>
      <c r="G69" s="149" t="s">
        <v>25</v>
      </c>
      <c r="H69" s="149" t="s">
        <v>113</v>
      </c>
      <c r="I69" s="77" t="s">
        <v>111</v>
      </c>
      <c r="J69" s="77" t="s">
        <v>27</v>
      </c>
      <c r="K69" s="77" t="s">
        <v>112</v>
      </c>
      <c r="L69" s="77">
        <v>2</v>
      </c>
      <c r="N69" s="77">
        <v>1</v>
      </c>
      <c r="O69" s="77">
        <v>1.1000000000000001</v>
      </c>
      <c r="P69" s="77">
        <v>1</v>
      </c>
      <c r="Q69" s="44">
        <f t="shared" ref="Q69:Q139" si="3">IF(OR(O69="",P69=""),"",AVERAGE(O69,P69))</f>
        <v>1.05</v>
      </c>
      <c r="R69" s="77">
        <v>15.1</v>
      </c>
      <c r="S69" s="77">
        <v>115</v>
      </c>
      <c r="T69" s="16">
        <f t="shared" ref="T69:T139" si="4">IF(H69="","",IF(OR(H69="GREEN",H69="GK"),IF(S69&gt;=$AX$2,VLOOKUP(S69,$AX$2:$AY$15,2,1),""),IF(S69&gt;=$AZ$2,VLOOKUP(S69,$AZ$2:$BA$15,2,1),"")))</f>
        <v>30</v>
      </c>
      <c r="U69" s="77">
        <v>98</v>
      </c>
      <c r="V69" s="179">
        <f t="shared" si="2"/>
        <v>2940</v>
      </c>
      <c r="W69" s="77">
        <v>12</v>
      </c>
      <c r="X69" s="77" t="s">
        <v>35</v>
      </c>
      <c r="Y69" s="77" t="s">
        <v>55</v>
      </c>
      <c r="Z69" s="77" t="s">
        <v>36</v>
      </c>
      <c r="AA69" s="77" t="s">
        <v>43</v>
      </c>
      <c r="AB69" s="149" t="s">
        <v>294</v>
      </c>
      <c r="AC69" s="34"/>
    </row>
    <row r="70" spans="1:29" x14ac:dyDescent="0.15">
      <c r="A70" s="149" t="s">
        <v>48</v>
      </c>
      <c r="B70" s="149" t="s">
        <v>290</v>
      </c>
      <c r="C70" s="149">
        <v>2020</v>
      </c>
      <c r="D70" s="157" t="s">
        <v>291</v>
      </c>
      <c r="E70" s="149" t="s">
        <v>303</v>
      </c>
      <c r="F70" s="149" t="s">
        <v>304</v>
      </c>
      <c r="G70" s="149" t="s">
        <v>25</v>
      </c>
      <c r="H70" s="149" t="s">
        <v>113</v>
      </c>
      <c r="I70" s="77" t="s">
        <v>111</v>
      </c>
      <c r="J70" s="77" t="s">
        <v>27</v>
      </c>
      <c r="K70" s="77" t="s">
        <v>112</v>
      </c>
      <c r="L70" s="77">
        <v>3</v>
      </c>
      <c r="N70" s="77">
        <v>1</v>
      </c>
      <c r="O70" s="77">
        <v>1.4</v>
      </c>
      <c r="P70" s="77">
        <v>1.6</v>
      </c>
      <c r="Q70" s="44">
        <f t="shared" si="3"/>
        <v>1.5</v>
      </c>
      <c r="R70" s="34">
        <v>15.2</v>
      </c>
      <c r="S70" s="77">
        <v>117</v>
      </c>
      <c r="T70" s="16">
        <f t="shared" si="4"/>
        <v>30</v>
      </c>
      <c r="U70" s="77">
        <v>98</v>
      </c>
      <c r="V70" s="179">
        <f t="shared" ref="V70:V139" si="5">IF(OR(N70="",U70="",T70=""),"",U70/N70*T70)</f>
        <v>2940</v>
      </c>
      <c r="W70" s="77">
        <v>12</v>
      </c>
      <c r="X70" s="77" t="s">
        <v>35</v>
      </c>
      <c r="Y70" s="77" t="s">
        <v>55</v>
      </c>
      <c r="Z70" s="77" t="s">
        <v>36</v>
      </c>
      <c r="AA70" s="77" t="s">
        <v>43</v>
      </c>
      <c r="AB70" s="149" t="s">
        <v>294</v>
      </c>
      <c r="AC70" s="34"/>
    </row>
    <row r="71" spans="1:29" x14ac:dyDescent="0.15">
      <c r="A71" s="149" t="s">
        <v>48</v>
      </c>
      <c r="B71" s="149" t="s">
        <v>290</v>
      </c>
      <c r="C71" s="149">
        <v>2020</v>
      </c>
      <c r="D71" s="157" t="s">
        <v>291</v>
      </c>
      <c r="E71" s="149" t="s">
        <v>303</v>
      </c>
      <c r="F71" s="149" t="s">
        <v>304</v>
      </c>
      <c r="G71" s="149" t="s">
        <v>25</v>
      </c>
      <c r="H71" s="149" t="s">
        <v>113</v>
      </c>
      <c r="I71" s="77" t="s">
        <v>111</v>
      </c>
      <c r="J71" s="77" t="s">
        <v>27</v>
      </c>
      <c r="K71" s="77" t="s">
        <v>112</v>
      </c>
      <c r="L71" s="77">
        <v>1</v>
      </c>
      <c r="N71" s="77">
        <v>4</v>
      </c>
      <c r="O71" s="77">
        <v>0.6</v>
      </c>
      <c r="P71" s="77">
        <v>0.6</v>
      </c>
      <c r="Q71" s="44">
        <f t="shared" si="3"/>
        <v>0.6</v>
      </c>
      <c r="R71" s="77">
        <v>15.3</v>
      </c>
      <c r="S71" s="77">
        <v>98</v>
      </c>
      <c r="T71" s="16">
        <f t="shared" si="4"/>
        <v>36</v>
      </c>
      <c r="U71" s="77">
        <v>398</v>
      </c>
      <c r="V71" s="179">
        <f t="shared" si="5"/>
        <v>3582</v>
      </c>
      <c r="W71" s="77">
        <v>12</v>
      </c>
      <c r="X71" s="77" t="s">
        <v>35</v>
      </c>
      <c r="Y71" s="77" t="s">
        <v>55</v>
      </c>
      <c r="Z71" s="77" t="s">
        <v>36</v>
      </c>
      <c r="AA71" s="77" t="s">
        <v>43</v>
      </c>
      <c r="AB71" s="149" t="s">
        <v>294</v>
      </c>
      <c r="AC71" s="34"/>
    </row>
    <row r="72" spans="1:29" x14ac:dyDescent="0.15">
      <c r="A72" s="149" t="s">
        <v>48</v>
      </c>
      <c r="B72" s="149" t="s">
        <v>290</v>
      </c>
      <c r="C72" s="149">
        <v>2020</v>
      </c>
      <c r="D72" s="157" t="s">
        <v>291</v>
      </c>
      <c r="E72" s="149" t="s">
        <v>303</v>
      </c>
      <c r="F72" s="149" t="s">
        <v>304</v>
      </c>
      <c r="G72" s="149" t="s">
        <v>25</v>
      </c>
      <c r="H72" s="149" t="s">
        <v>113</v>
      </c>
      <c r="I72" s="77" t="s">
        <v>111</v>
      </c>
      <c r="J72" s="77" t="s">
        <v>27</v>
      </c>
      <c r="K72" s="77" t="s">
        <v>112</v>
      </c>
      <c r="L72" s="77">
        <v>2</v>
      </c>
      <c r="N72" s="77">
        <v>4</v>
      </c>
      <c r="O72" s="77">
        <v>0.5</v>
      </c>
      <c r="P72" s="77">
        <v>0.5</v>
      </c>
      <c r="Q72" s="44">
        <f t="shared" si="3"/>
        <v>0.5</v>
      </c>
      <c r="R72" s="34">
        <v>14.9</v>
      </c>
      <c r="S72" s="77">
        <v>94</v>
      </c>
      <c r="T72" s="16">
        <f t="shared" si="4"/>
        <v>36</v>
      </c>
      <c r="U72" s="77">
        <v>398</v>
      </c>
      <c r="V72" s="179">
        <f t="shared" si="5"/>
        <v>3582</v>
      </c>
      <c r="W72" s="77">
        <v>12</v>
      </c>
      <c r="X72" s="77" t="s">
        <v>35</v>
      </c>
      <c r="Y72" s="77" t="s">
        <v>55</v>
      </c>
      <c r="Z72" s="77" t="s">
        <v>36</v>
      </c>
      <c r="AA72" s="77" t="s">
        <v>43</v>
      </c>
      <c r="AB72" s="149" t="s">
        <v>294</v>
      </c>
      <c r="AC72" s="34"/>
    </row>
    <row r="73" spans="1:29" x14ac:dyDescent="0.15">
      <c r="A73" s="149" t="s">
        <v>48</v>
      </c>
      <c r="B73" s="149" t="s">
        <v>290</v>
      </c>
      <c r="C73" s="149">
        <v>2020</v>
      </c>
      <c r="D73" s="157" t="s">
        <v>291</v>
      </c>
      <c r="E73" s="149" t="s">
        <v>303</v>
      </c>
      <c r="F73" s="149" t="s">
        <v>304</v>
      </c>
      <c r="G73" s="149" t="s">
        <v>25</v>
      </c>
      <c r="H73" s="149" t="s">
        <v>113</v>
      </c>
      <c r="I73" s="77" t="s">
        <v>111</v>
      </c>
      <c r="J73" s="77" t="s">
        <v>27</v>
      </c>
      <c r="K73" s="77" t="s">
        <v>112</v>
      </c>
      <c r="L73" s="77">
        <v>3</v>
      </c>
      <c r="N73" s="77">
        <v>4</v>
      </c>
      <c r="O73" s="77">
        <v>0.6</v>
      </c>
      <c r="P73" s="77">
        <v>0.6</v>
      </c>
      <c r="Q73" s="44">
        <f t="shared" si="3"/>
        <v>0.6</v>
      </c>
      <c r="R73" s="34">
        <v>14.9</v>
      </c>
      <c r="S73" s="77">
        <v>99</v>
      </c>
      <c r="T73" s="16">
        <f t="shared" si="4"/>
        <v>33</v>
      </c>
      <c r="U73" s="77">
        <v>398</v>
      </c>
      <c r="V73" s="179">
        <f t="shared" si="5"/>
        <v>3283.5</v>
      </c>
      <c r="W73" s="77">
        <v>12</v>
      </c>
      <c r="X73" s="77" t="s">
        <v>35</v>
      </c>
      <c r="Y73" s="77" t="s">
        <v>55</v>
      </c>
      <c r="Z73" s="77" t="s">
        <v>36</v>
      </c>
      <c r="AA73" s="77" t="s">
        <v>43</v>
      </c>
      <c r="AB73" s="149" t="s">
        <v>294</v>
      </c>
      <c r="AC73" s="34"/>
    </row>
    <row r="74" spans="1:29" x14ac:dyDescent="0.15">
      <c r="A74" s="149" t="s">
        <v>48</v>
      </c>
      <c r="B74" s="149" t="s">
        <v>290</v>
      </c>
      <c r="C74" s="149">
        <v>2020</v>
      </c>
      <c r="D74" s="157" t="s">
        <v>291</v>
      </c>
      <c r="E74" s="149" t="s">
        <v>196</v>
      </c>
      <c r="F74" s="149" t="s">
        <v>304</v>
      </c>
      <c r="G74" s="149" t="s">
        <v>25</v>
      </c>
      <c r="H74" s="149" t="s">
        <v>164</v>
      </c>
      <c r="I74" s="77" t="s">
        <v>111</v>
      </c>
      <c r="J74" s="77" t="s">
        <v>27</v>
      </c>
      <c r="K74" s="77" t="s">
        <v>112</v>
      </c>
      <c r="L74" s="77">
        <v>1</v>
      </c>
      <c r="N74" s="77">
        <v>1</v>
      </c>
      <c r="O74" s="77">
        <v>0.65</v>
      </c>
      <c r="P74" s="77">
        <v>0.65</v>
      </c>
      <c r="Q74" s="44">
        <f t="shared" si="3"/>
        <v>0.65</v>
      </c>
      <c r="R74" s="77">
        <v>18.600000000000001</v>
      </c>
      <c r="S74" s="77">
        <v>128</v>
      </c>
      <c r="T74" s="16">
        <f t="shared" si="4"/>
        <v>27</v>
      </c>
      <c r="U74" s="77">
        <v>128</v>
      </c>
      <c r="V74" s="179">
        <f t="shared" si="5"/>
        <v>3456</v>
      </c>
      <c r="W74" s="77">
        <v>10</v>
      </c>
      <c r="X74" s="77" t="s">
        <v>35</v>
      </c>
      <c r="Y74" s="77" t="s">
        <v>36</v>
      </c>
      <c r="Z74" s="77" t="s">
        <v>55</v>
      </c>
      <c r="AA74" s="77" t="s">
        <v>43</v>
      </c>
      <c r="AB74" s="149" t="s">
        <v>294</v>
      </c>
      <c r="AC74" s="34"/>
    </row>
    <row r="75" spans="1:29" x14ac:dyDescent="0.15">
      <c r="A75" s="149" t="s">
        <v>48</v>
      </c>
      <c r="B75" s="149" t="s">
        <v>290</v>
      </c>
      <c r="C75" s="149">
        <v>2020</v>
      </c>
      <c r="D75" s="157" t="s">
        <v>291</v>
      </c>
      <c r="E75" s="149" t="s">
        <v>196</v>
      </c>
      <c r="F75" s="149" t="s">
        <v>304</v>
      </c>
      <c r="G75" s="149" t="s">
        <v>25</v>
      </c>
      <c r="H75" s="149" t="s">
        <v>164</v>
      </c>
      <c r="I75" s="77" t="s">
        <v>111</v>
      </c>
      <c r="J75" s="77" t="s">
        <v>27</v>
      </c>
      <c r="K75" s="77" t="s">
        <v>112</v>
      </c>
      <c r="L75" s="77">
        <v>2</v>
      </c>
      <c r="N75" s="77">
        <v>1</v>
      </c>
      <c r="O75" s="77">
        <v>0.7</v>
      </c>
      <c r="P75" s="77">
        <v>0.7</v>
      </c>
      <c r="Q75" s="44">
        <f t="shared" si="3"/>
        <v>0.7</v>
      </c>
      <c r="R75" s="77">
        <v>15.4</v>
      </c>
      <c r="S75" s="77">
        <v>132</v>
      </c>
      <c r="T75" s="16">
        <f t="shared" si="4"/>
        <v>25</v>
      </c>
      <c r="U75" s="77">
        <v>128</v>
      </c>
      <c r="V75" s="179">
        <f t="shared" si="5"/>
        <v>3200</v>
      </c>
      <c r="W75" s="77">
        <v>10</v>
      </c>
      <c r="X75" s="77" t="s">
        <v>35</v>
      </c>
      <c r="Y75" s="77" t="s">
        <v>36</v>
      </c>
      <c r="Z75" s="77" t="s">
        <v>55</v>
      </c>
      <c r="AA75" s="77" t="s">
        <v>43</v>
      </c>
      <c r="AB75" s="149" t="s">
        <v>294</v>
      </c>
      <c r="AC75" s="34"/>
    </row>
    <row r="76" spans="1:29" x14ac:dyDescent="0.15">
      <c r="A76" s="149" t="s">
        <v>48</v>
      </c>
      <c r="B76" s="149" t="s">
        <v>290</v>
      </c>
      <c r="C76" s="149">
        <v>2020</v>
      </c>
      <c r="D76" s="157" t="s">
        <v>291</v>
      </c>
      <c r="E76" s="149" t="s">
        <v>196</v>
      </c>
      <c r="F76" s="149" t="s">
        <v>304</v>
      </c>
      <c r="G76" s="149" t="s">
        <v>25</v>
      </c>
      <c r="H76" s="149" t="s">
        <v>164</v>
      </c>
      <c r="I76" s="77" t="s">
        <v>111</v>
      </c>
      <c r="J76" s="77" t="s">
        <v>27</v>
      </c>
      <c r="K76" s="77" t="s">
        <v>112</v>
      </c>
      <c r="L76" s="77">
        <v>3</v>
      </c>
      <c r="N76" s="77">
        <v>1</v>
      </c>
      <c r="O76" s="77">
        <v>0.55000000000000004</v>
      </c>
      <c r="P76" s="77">
        <v>0.5</v>
      </c>
      <c r="Q76" s="44">
        <f t="shared" si="3"/>
        <v>0.52500000000000002</v>
      </c>
      <c r="R76" s="77">
        <v>15.1</v>
      </c>
      <c r="S76" s="77">
        <v>134</v>
      </c>
      <c r="T76" s="16">
        <f t="shared" si="4"/>
        <v>25</v>
      </c>
      <c r="U76" s="77">
        <v>128</v>
      </c>
      <c r="V76" s="179">
        <f t="shared" si="5"/>
        <v>3200</v>
      </c>
      <c r="W76" s="77">
        <v>10</v>
      </c>
      <c r="X76" s="77" t="s">
        <v>35</v>
      </c>
      <c r="Y76" s="77" t="s">
        <v>36</v>
      </c>
      <c r="Z76" s="77" t="s">
        <v>55</v>
      </c>
      <c r="AA76" s="77" t="s">
        <v>43</v>
      </c>
      <c r="AB76" s="149" t="s">
        <v>294</v>
      </c>
      <c r="AC76" s="34"/>
    </row>
    <row r="77" spans="1:29" x14ac:dyDescent="0.15">
      <c r="A77" s="149" t="s">
        <v>48</v>
      </c>
      <c r="B77" s="149" t="s">
        <v>290</v>
      </c>
      <c r="C77" s="149">
        <v>2020</v>
      </c>
      <c r="D77" s="157" t="s">
        <v>291</v>
      </c>
      <c r="E77" s="149" t="s">
        <v>196</v>
      </c>
      <c r="F77" s="149" t="s">
        <v>304</v>
      </c>
      <c r="G77" s="149" t="s">
        <v>25</v>
      </c>
      <c r="H77" s="149" t="s">
        <v>164</v>
      </c>
      <c r="I77" s="77" t="s">
        <v>111</v>
      </c>
      <c r="J77" s="77" t="s">
        <v>27</v>
      </c>
      <c r="K77" s="77" t="s">
        <v>112</v>
      </c>
      <c r="L77" s="77">
        <v>1</v>
      </c>
      <c r="N77" s="77">
        <v>8</v>
      </c>
      <c r="O77" s="77">
        <v>0.5</v>
      </c>
      <c r="P77" s="77">
        <v>0.55000000000000004</v>
      </c>
      <c r="Q77" s="44">
        <f t="shared" si="3"/>
        <v>0.52500000000000002</v>
      </c>
      <c r="R77" s="77">
        <v>16.8</v>
      </c>
      <c r="S77" s="77">
        <v>86</v>
      </c>
      <c r="T77" s="16">
        <f t="shared" si="4"/>
        <v>36</v>
      </c>
      <c r="U77" s="77">
        <v>798</v>
      </c>
      <c r="V77" s="179">
        <f t="shared" si="5"/>
        <v>3591</v>
      </c>
      <c r="W77" s="77">
        <v>10</v>
      </c>
      <c r="X77" s="77" t="s">
        <v>35</v>
      </c>
      <c r="Y77" s="77" t="s">
        <v>36</v>
      </c>
      <c r="Z77" s="77" t="s">
        <v>55</v>
      </c>
      <c r="AA77" s="77" t="s">
        <v>43</v>
      </c>
      <c r="AB77" s="149" t="s">
        <v>294</v>
      </c>
    </row>
    <row r="78" spans="1:29" x14ac:dyDescent="0.15">
      <c r="A78" s="149" t="s">
        <v>48</v>
      </c>
      <c r="B78" s="149" t="s">
        <v>290</v>
      </c>
      <c r="C78" s="149">
        <v>2020</v>
      </c>
      <c r="D78" s="157" t="s">
        <v>291</v>
      </c>
      <c r="E78" s="149" t="s">
        <v>196</v>
      </c>
      <c r="F78" s="149" t="s">
        <v>304</v>
      </c>
      <c r="G78" s="149" t="s">
        <v>25</v>
      </c>
      <c r="H78" s="149" t="s">
        <v>164</v>
      </c>
      <c r="I78" s="77" t="s">
        <v>111</v>
      </c>
      <c r="J78" s="77" t="s">
        <v>27</v>
      </c>
      <c r="K78" s="77" t="s">
        <v>112</v>
      </c>
      <c r="L78" s="77">
        <v>2</v>
      </c>
      <c r="N78" s="77">
        <v>8</v>
      </c>
      <c r="O78" s="77">
        <v>0.6</v>
      </c>
      <c r="P78" s="77">
        <v>0.55000000000000004</v>
      </c>
      <c r="Q78" s="44">
        <f t="shared" si="3"/>
        <v>0.57499999999999996</v>
      </c>
      <c r="R78" s="77">
        <v>15.4</v>
      </c>
      <c r="S78" s="77">
        <v>86</v>
      </c>
      <c r="T78" s="16">
        <f t="shared" si="4"/>
        <v>36</v>
      </c>
      <c r="U78" s="77">
        <v>798</v>
      </c>
      <c r="V78" s="179">
        <f t="shared" si="5"/>
        <v>3591</v>
      </c>
      <c r="W78" s="77">
        <v>10</v>
      </c>
      <c r="X78" s="77" t="s">
        <v>35</v>
      </c>
      <c r="Y78" s="77" t="s">
        <v>36</v>
      </c>
      <c r="Z78" s="77" t="s">
        <v>55</v>
      </c>
      <c r="AA78" s="77" t="s">
        <v>43</v>
      </c>
      <c r="AB78" s="149" t="s">
        <v>294</v>
      </c>
    </row>
    <row r="79" spans="1:29" x14ac:dyDescent="0.15">
      <c r="A79" s="149" t="s">
        <v>48</v>
      </c>
      <c r="B79" s="149" t="s">
        <v>290</v>
      </c>
      <c r="C79" s="149">
        <v>2020</v>
      </c>
      <c r="D79" s="157" t="s">
        <v>291</v>
      </c>
      <c r="E79" s="149" t="s">
        <v>196</v>
      </c>
      <c r="F79" s="149" t="s">
        <v>304</v>
      </c>
      <c r="G79" s="149" t="s">
        <v>25</v>
      </c>
      <c r="H79" s="149" t="s">
        <v>164</v>
      </c>
      <c r="I79" s="77" t="s">
        <v>111</v>
      </c>
      <c r="J79" s="77" t="s">
        <v>27</v>
      </c>
      <c r="K79" s="77" t="s">
        <v>112</v>
      </c>
      <c r="L79" s="77">
        <v>3</v>
      </c>
      <c r="N79" s="77">
        <v>8</v>
      </c>
      <c r="O79" s="77">
        <v>0.5</v>
      </c>
      <c r="P79" s="77">
        <v>0.55000000000000004</v>
      </c>
      <c r="Q79" s="44">
        <f t="shared" si="3"/>
        <v>0.52500000000000002</v>
      </c>
      <c r="R79" s="77">
        <v>15.3</v>
      </c>
      <c r="S79" s="77">
        <v>81</v>
      </c>
      <c r="T79" s="16">
        <f t="shared" si="4"/>
        <v>39</v>
      </c>
      <c r="U79" s="77">
        <v>798</v>
      </c>
      <c r="V79" s="179">
        <f t="shared" si="5"/>
        <v>3890.25</v>
      </c>
      <c r="W79" s="77">
        <v>10</v>
      </c>
      <c r="X79" s="77" t="s">
        <v>35</v>
      </c>
      <c r="Y79" s="77" t="s">
        <v>36</v>
      </c>
      <c r="Z79" s="77" t="s">
        <v>55</v>
      </c>
      <c r="AA79" s="77" t="s">
        <v>43</v>
      </c>
      <c r="AB79" s="149" t="s">
        <v>294</v>
      </c>
    </row>
    <row r="80" spans="1:29" x14ac:dyDescent="0.15">
      <c r="A80" s="149" t="s">
        <v>48</v>
      </c>
      <c r="B80" s="149" t="s">
        <v>290</v>
      </c>
      <c r="C80" s="149">
        <v>2020</v>
      </c>
      <c r="D80" s="157" t="s">
        <v>291</v>
      </c>
      <c r="E80" s="149" t="s">
        <v>196</v>
      </c>
      <c r="F80" s="149" t="s">
        <v>304</v>
      </c>
      <c r="G80" s="149" t="s">
        <v>25</v>
      </c>
      <c r="H80" s="149" t="s">
        <v>113</v>
      </c>
      <c r="I80" s="77" t="s">
        <v>111</v>
      </c>
      <c r="J80" s="77" t="s">
        <v>27</v>
      </c>
      <c r="K80" s="77" t="s">
        <v>112</v>
      </c>
      <c r="L80" s="77">
        <v>1</v>
      </c>
      <c r="N80" s="77">
        <v>1</v>
      </c>
      <c r="O80" s="77">
        <v>0.8</v>
      </c>
      <c r="P80" s="77">
        <v>1.1000000000000001</v>
      </c>
      <c r="Q80" s="44">
        <f t="shared" si="3"/>
        <v>0.95000000000000007</v>
      </c>
      <c r="R80" s="77">
        <v>13.8</v>
      </c>
      <c r="S80" s="77">
        <v>133</v>
      </c>
      <c r="T80" s="16">
        <f t="shared" si="4"/>
        <v>25</v>
      </c>
      <c r="U80" s="77">
        <v>98</v>
      </c>
      <c r="V80" s="179">
        <f t="shared" si="5"/>
        <v>2450</v>
      </c>
      <c r="W80" s="77">
        <v>10</v>
      </c>
      <c r="X80" s="77" t="s">
        <v>35</v>
      </c>
      <c r="Y80" s="77" t="s">
        <v>36</v>
      </c>
      <c r="Z80" s="77" t="s">
        <v>55</v>
      </c>
      <c r="AA80" s="77" t="s">
        <v>43</v>
      </c>
      <c r="AB80" s="149" t="s">
        <v>294</v>
      </c>
    </row>
    <row r="81" spans="1:28" x14ac:dyDescent="0.15">
      <c r="A81" s="149" t="s">
        <v>48</v>
      </c>
      <c r="B81" s="149" t="s">
        <v>290</v>
      </c>
      <c r="C81" s="149">
        <v>2020</v>
      </c>
      <c r="D81" s="157" t="s">
        <v>291</v>
      </c>
      <c r="E81" s="149" t="s">
        <v>196</v>
      </c>
      <c r="F81" s="149" t="s">
        <v>304</v>
      </c>
      <c r="G81" s="149" t="s">
        <v>25</v>
      </c>
      <c r="H81" s="149" t="s">
        <v>113</v>
      </c>
      <c r="I81" s="77" t="s">
        <v>111</v>
      </c>
      <c r="J81" s="77" t="s">
        <v>27</v>
      </c>
      <c r="K81" s="77" t="s">
        <v>112</v>
      </c>
      <c r="L81" s="77">
        <v>2</v>
      </c>
      <c r="N81" s="77">
        <v>1</v>
      </c>
      <c r="O81" s="77">
        <v>1.1000000000000001</v>
      </c>
      <c r="P81" s="77">
        <v>0.9</v>
      </c>
      <c r="Q81" s="44">
        <f t="shared" si="3"/>
        <v>1</v>
      </c>
      <c r="R81" s="77">
        <v>14.4</v>
      </c>
      <c r="S81" s="77">
        <v>131</v>
      </c>
      <c r="T81" s="16">
        <f t="shared" si="4"/>
        <v>25</v>
      </c>
      <c r="U81" s="77">
        <v>98</v>
      </c>
      <c r="V81" s="179">
        <f t="shared" si="5"/>
        <v>2450</v>
      </c>
      <c r="W81" s="77">
        <v>10</v>
      </c>
      <c r="X81" s="77" t="s">
        <v>35</v>
      </c>
      <c r="Y81" s="77" t="s">
        <v>36</v>
      </c>
      <c r="Z81" s="77" t="s">
        <v>55</v>
      </c>
      <c r="AA81" s="77" t="s">
        <v>43</v>
      </c>
      <c r="AB81" s="149" t="s">
        <v>294</v>
      </c>
    </row>
    <row r="82" spans="1:28" x14ac:dyDescent="0.15">
      <c r="A82" s="149" t="s">
        <v>48</v>
      </c>
      <c r="B82" s="149" t="s">
        <v>290</v>
      </c>
      <c r="C82" s="149">
        <v>2020</v>
      </c>
      <c r="D82" s="157" t="s">
        <v>291</v>
      </c>
      <c r="E82" s="149" t="s">
        <v>196</v>
      </c>
      <c r="F82" s="149" t="s">
        <v>304</v>
      </c>
      <c r="G82" s="149" t="s">
        <v>25</v>
      </c>
      <c r="H82" s="149" t="s">
        <v>113</v>
      </c>
      <c r="I82" s="77" t="s">
        <v>111</v>
      </c>
      <c r="J82" s="77" t="s">
        <v>27</v>
      </c>
      <c r="K82" s="77" t="s">
        <v>112</v>
      </c>
      <c r="L82" s="77">
        <v>3</v>
      </c>
      <c r="N82" s="77">
        <v>1</v>
      </c>
      <c r="O82" s="77">
        <v>0.95</v>
      </c>
      <c r="P82" s="77">
        <v>0.75</v>
      </c>
      <c r="Q82" s="44">
        <f t="shared" si="3"/>
        <v>0.85</v>
      </c>
      <c r="R82" s="77">
        <v>14.1</v>
      </c>
      <c r="S82" s="77">
        <v>137</v>
      </c>
      <c r="T82" s="16">
        <f t="shared" si="4"/>
        <v>25</v>
      </c>
      <c r="U82" s="77">
        <v>98</v>
      </c>
      <c r="V82" s="179">
        <f t="shared" si="5"/>
        <v>2450</v>
      </c>
      <c r="W82" s="77">
        <v>10</v>
      </c>
      <c r="X82" s="77" t="s">
        <v>35</v>
      </c>
      <c r="Y82" s="77" t="s">
        <v>36</v>
      </c>
      <c r="Z82" s="77" t="s">
        <v>55</v>
      </c>
      <c r="AA82" s="77" t="s">
        <v>43</v>
      </c>
      <c r="AB82" s="149" t="s">
        <v>294</v>
      </c>
    </row>
    <row r="83" spans="1:28" x14ac:dyDescent="0.15">
      <c r="A83" s="149" t="s">
        <v>48</v>
      </c>
      <c r="B83" s="149" t="s">
        <v>290</v>
      </c>
      <c r="C83" s="149">
        <v>2020</v>
      </c>
      <c r="D83" s="157" t="s">
        <v>291</v>
      </c>
      <c r="E83" s="149" t="s">
        <v>196</v>
      </c>
      <c r="F83" s="149" t="s">
        <v>304</v>
      </c>
      <c r="G83" s="149" t="s">
        <v>25</v>
      </c>
      <c r="H83" s="149" t="s">
        <v>113</v>
      </c>
      <c r="I83" s="77" t="s">
        <v>111</v>
      </c>
      <c r="J83" s="77" t="s">
        <v>27</v>
      </c>
      <c r="K83" s="77" t="s">
        <v>112</v>
      </c>
      <c r="L83" s="77">
        <v>1</v>
      </c>
      <c r="N83" s="77">
        <v>8</v>
      </c>
      <c r="O83" s="77">
        <v>0.7</v>
      </c>
      <c r="P83" s="77">
        <v>0.7</v>
      </c>
      <c r="Q83" s="44">
        <f t="shared" si="3"/>
        <v>0.7</v>
      </c>
      <c r="R83" s="77">
        <v>16.8</v>
      </c>
      <c r="S83" s="77">
        <v>92</v>
      </c>
      <c r="T83" s="16">
        <f t="shared" si="4"/>
        <v>36</v>
      </c>
      <c r="U83" s="77">
        <v>598</v>
      </c>
      <c r="V83" s="179">
        <f t="shared" si="5"/>
        <v>2691</v>
      </c>
      <c r="W83" s="77">
        <v>10</v>
      </c>
      <c r="X83" s="77" t="s">
        <v>35</v>
      </c>
      <c r="Y83" s="77" t="s">
        <v>36</v>
      </c>
      <c r="Z83" s="77" t="s">
        <v>55</v>
      </c>
      <c r="AA83" s="77" t="s">
        <v>43</v>
      </c>
      <c r="AB83" s="149" t="s">
        <v>294</v>
      </c>
    </row>
    <row r="84" spans="1:28" x14ac:dyDescent="0.15">
      <c r="A84" s="149" t="s">
        <v>48</v>
      </c>
      <c r="B84" s="149" t="s">
        <v>290</v>
      </c>
      <c r="C84" s="149">
        <v>2020</v>
      </c>
      <c r="D84" s="157" t="s">
        <v>291</v>
      </c>
      <c r="E84" s="149" t="s">
        <v>196</v>
      </c>
      <c r="F84" s="149" t="s">
        <v>304</v>
      </c>
      <c r="G84" s="149" t="s">
        <v>25</v>
      </c>
      <c r="H84" s="149" t="s">
        <v>113</v>
      </c>
      <c r="I84" s="77" t="s">
        <v>111</v>
      </c>
      <c r="J84" s="77" t="s">
        <v>27</v>
      </c>
      <c r="K84" s="77" t="s">
        <v>112</v>
      </c>
      <c r="L84" s="77">
        <v>2</v>
      </c>
      <c r="N84" s="77">
        <v>8</v>
      </c>
      <c r="O84" s="77">
        <v>0.7</v>
      </c>
      <c r="P84" s="77">
        <v>0.65</v>
      </c>
      <c r="Q84" s="44">
        <f t="shared" si="3"/>
        <v>0.67500000000000004</v>
      </c>
      <c r="R84" s="77">
        <v>15.5</v>
      </c>
      <c r="S84" s="77">
        <v>89</v>
      </c>
      <c r="T84" s="16">
        <f t="shared" si="4"/>
        <v>36</v>
      </c>
      <c r="U84" s="77">
        <v>598</v>
      </c>
      <c r="V84" s="179">
        <f t="shared" si="5"/>
        <v>2691</v>
      </c>
      <c r="W84" s="77">
        <v>10</v>
      </c>
      <c r="X84" s="77" t="s">
        <v>35</v>
      </c>
      <c r="Y84" s="77" t="s">
        <v>36</v>
      </c>
      <c r="Z84" s="77" t="s">
        <v>55</v>
      </c>
      <c r="AA84" s="77" t="s">
        <v>43</v>
      </c>
      <c r="AB84" s="149" t="s">
        <v>294</v>
      </c>
    </row>
    <row r="85" spans="1:28" x14ac:dyDescent="0.15">
      <c r="A85" s="149" t="s">
        <v>48</v>
      </c>
      <c r="B85" s="149" t="s">
        <v>290</v>
      </c>
      <c r="C85" s="149">
        <v>2020</v>
      </c>
      <c r="D85" s="157" t="s">
        <v>291</v>
      </c>
      <c r="E85" s="149" t="s">
        <v>196</v>
      </c>
      <c r="F85" s="149" t="s">
        <v>304</v>
      </c>
      <c r="G85" s="149" t="s">
        <v>25</v>
      </c>
      <c r="H85" s="149" t="s">
        <v>113</v>
      </c>
      <c r="I85" s="77" t="s">
        <v>111</v>
      </c>
      <c r="J85" s="77" t="s">
        <v>27</v>
      </c>
      <c r="K85" s="77" t="s">
        <v>112</v>
      </c>
      <c r="L85" s="77">
        <v>3</v>
      </c>
      <c r="N85" s="77">
        <v>8</v>
      </c>
      <c r="O85" s="77">
        <v>0.75</v>
      </c>
      <c r="P85" s="77">
        <v>0.8</v>
      </c>
      <c r="Q85" s="44">
        <f t="shared" si="3"/>
        <v>0.77500000000000002</v>
      </c>
      <c r="R85" s="77">
        <v>14.4</v>
      </c>
      <c r="S85" s="77">
        <v>83</v>
      </c>
      <c r="T85" s="16">
        <f t="shared" si="4"/>
        <v>39</v>
      </c>
      <c r="U85" s="77">
        <v>598</v>
      </c>
      <c r="V85" s="179">
        <f t="shared" si="5"/>
        <v>2915.25</v>
      </c>
      <c r="W85" s="77">
        <v>10</v>
      </c>
      <c r="X85" s="77" t="s">
        <v>35</v>
      </c>
      <c r="Y85" s="77" t="s">
        <v>36</v>
      </c>
      <c r="Z85" s="77" t="s">
        <v>55</v>
      </c>
      <c r="AA85" s="77" t="s">
        <v>43</v>
      </c>
      <c r="AB85" s="149" t="s">
        <v>294</v>
      </c>
    </row>
    <row r="86" spans="1:28" x14ac:dyDescent="0.15">
      <c r="A86" s="149" t="s">
        <v>48</v>
      </c>
      <c r="B86" s="149" t="s">
        <v>290</v>
      </c>
      <c r="C86" s="149">
        <v>2020</v>
      </c>
      <c r="D86" s="157" t="s">
        <v>291</v>
      </c>
      <c r="E86" s="149" t="s">
        <v>324</v>
      </c>
      <c r="F86" s="149" t="s">
        <v>306</v>
      </c>
      <c r="G86" s="149" t="s">
        <v>25</v>
      </c>
      <c r="H86" s="149" t="s">
        <v>164</v>
      </c>
      <c r="I86" s="77" t="s">
        <v>111</v>
      </c>
      <c r="J86" s="77" t="s">
        <v>27</v>
      </c>
      <c r="K86" s="77" t="s">
        <v>112</v>
      </c>
      <c r="L86" s="77">
        <v>1</v>
      </c>
      <c r="N86" s="77">
        <v>1</v>
      </c>
      <c r="O86" s="77">
        <v>0.65</v>
      </c>
      <c r="P86" s="77">
        <v>0.6</v>
      </c>
      <c r="Q86" s="44">
        <f t="shared" si="3"/>
        <v>0.625</v>
      </c>
      <c r="R86" s="77">
        <v>18.7</v>
      </c>
      <c r="S86" s="77">
        <v>135</v>
      </c>
      <c r="T86" s="16">
        <f t="shared" si="4"/>
        <v>25</v>
      </c>
      <c r="U86" s="77">
        <v>138</v>
      </c>
      <c r="V86" s="179">
        <f t="shared" si="5"/>
        <v>3450</v>
      </c>
      <c r="W86" s="77">
        <v>19</v>
      </c>
      <c r="X86" s="77" t="s">
        <v>35</v>
      </c>
      <c r="Y86" s="77" t="s">
        <v>55</v>
      </c>
      <c r="Z86" s="77" t="s">
        <v>64</v>
      </c>
      <c r="AA86" s="77" t="s">
        <v>43</v>
      </c>
      <c r="AB86" s="149" t="s">
        <v>294</v>
      </c>
    </row>
    <row r="87" spans="1:28" x14ac:dyDescent="0.15">
      <c r="A87" s="149" t="s">
        <v>48</v>
      </c>
      <c r="B87" s="149" t="s">
        <v>290</v>
      </c>
      <c r="C87" s="149">
        <v>2020</v>
      </c>
      <c r="D87" s="157" t="s">
        <v>291</v>
      </c>
      <c r="E87" s="149" t="s">
        <v>324</v>
      </c>
      <c r="F87" s="149" t="s">
        <v>306</v>
      </c>
      <c r="G87" s="149" t="s">
        <v>25</v>
      </c>
      <c r="H87" s="149" t="s">
        <v>164</v>
      </c>
      <c r="I87" s="77" t="s">
        <v>111</v>
      </c>
      <c r="J87" s="77" t="s">
        <v>27</v>
      </c>
      <c r="K87" s="77" t="s">
        <v>112</v>
      </c>
      <c r="L87" s="77">
        <v>2</v>
      </c>
      <c r="N87" s="77">
        <v>1</v>
      </c>
      <c r="O87" s="77">
        <v>0.6</v>
      </c>
      <c r="P87" s="77">
        <v>0.6</v>
      </c>
      <c r="Q87" s="44">
        <f t="shared" si="3"/>
        <v>0.6</v>
      </c>
      <c r="R87" s="77">
        <v>18.3</v>
      </c>
      <c r="S87" s="77">
        <v>138</v>
      </c>
      <c r="T87" s="16">
        <f t="shared" si="4"/>
        <v>22</v>
      </c>
      <c r="U87" s="77">
        <v>138</v>
      </c>
      <c r="V87" s="179">
        <f t="shared" si="5"/>
        <v>3036</v>
      </c>
      <c r="W87" s="77">
        <v>19</v>
      </c>
      <c r="X87" s="77" t="s">
        <v>35</v>
      </c>
      <c r="Y87" s="77" t="s">
        <v>55</v>
      </c>
      <c r="Z87" s="77" t="s">
        <v>64</v>
      </c>
      <c r="AA87" s="77" t="s">
        <v>43</v>
      </c>
      <c r="AB87" s="149" t="s">
        <v>294</v>
      </c>
    </row>
    <row r="88" spans="1:28" x14ac:dyDescent="0.15">
      <c r="A88" s="149" t="s">
        <v>48</v>
      </c>
      <c r="B88" s="149" t="s">
        <v>290</v>
      </c>
      <c r="C88" s="149">
        <v>2020</v>
      </c>
      <c r="D88" s="157" t="s">
        <v>291</v>
      </c>
      <c r="E88" s="149" t="s">
        <v>324</v>
      </c>
      <c r="F88" s="149" t="s">
        <v>306</v>
      </c>
      <c r="G88" s="149" t="s">
        <v>25</v>
      </c>
      <c r="H88" s="149" t="s">
        <v>164</v>
      </c>
      <c r="I88" s="77" t="s">
        <v>111</v>
      </c>
      <c r="J88" s="77" t="s">
        <v>27</v>
      </c>
      <c r="K88" s="77" t="s">
        <v>112</v>
      </c>
      <c r="L88" s="77">
        <v>3</v>
      </c>
      <c r="N88" s="77">
        <v>1</v>
      </c>
      <c r="O88" s="77">
        <v>0.55000000000000004</v>
      </c>
      <c r="P88" s="77">
        <v>0.7</v>
      </c>
      <c r="Q88" s="44">
        <f t="shared" si="3"/>
        <v>0.625</v>
      </c>
      <c r="R88" s="77">
        <v>15.7</v>
      </c>
      <c r="S88" s="77">
        <v>141</v>
      </c>
      <c r="T88" s="16">
        <f t="shared" si="4"/>
        <v>22</v>
      </c>
      <c r="U88" s="77">
        <v>138</v>
      </c>
      <c r="V88" s="179">
        <f t="shared" si="5"/>
        <v>3036</v>
      </c>
      <c r="W88" s="77">
        <v>19</v>
      </c>
      <c r="X88" s="77" t="s">
        <v>35</v>
      </c>
      <c r="Y88" s="77" t="s">
        <v>55</v>
      </c>
      <c r="Z88" s="77" t="s">
        <v>64</v>
      </c>
      <c r="AA88" s="77" t="s">
        <v>43</v>
      </c>
      <c r="AB88" s="149" t="s">
        <v>294</v>
      </c>
    </row>
    <row r="89" spans="1:28" x14ac:dyDescent="0.15">
      <c r="A89" s="149" t="s">
        <v>48</v>
      </c>
      <c r="B89" s="149" t="s">
        <v>290</v>
      </c>
      <c r="C89" s="149">
        <v>2020</v>
      </c>
      <c r="D89" s="157" t="s">
        <v>291</v>
      </c>
      <c r="E89" s="149" t="s">
        <v>324</v>
      </c>
      <c r="F89" s="149" t="s">
        <v>306</v>
      </c>
      <c r="G89" s="149" t="s">
        <v>25</v>
      </c>
      <c r="H89" s="149" t="s">
        <v>164</v>
      </c>
      <c r="I89" s="77" t="s">
        <v>111</v>
      </c>
      <c r="J89" s="77" t="s">
        <v>27</v>
      </c>
      <c r="K89" s="77" t="s">
        <v>112</v>
      </c>
      <c r="L89" s="77">
        <v>1</v>
      </c>
      <c r="N89" s="77">
        <v>4</v>
      </c>
      <c r="O89" s="77">
        <v>0.9</v>
      </c>
      <c r="P89" s="77">
        <v>1</v>
      </c>
      <c r="Q89" s="44">
        <f t="shared" si="3"/>
        <v>0.95</v>
      </c>
      <c r="R89" s="77">
        <v>14.7</v>
      </c>
      <c r="S89" s="77">
        <v>112</v>
      </c>
      <c r="T89" s="16">
        <f t="shared" si="4"/>
        <v>33</v>
      </c>
      <c r="U89" s="77">
        <v>498</v>
      </c>
      <c r="V89" s="179">
        <f t="shared" si="5"/>
        <v>4108.5</v>
      </c>
      <c r="W89" s="77">
        <v>19</v>
      </c>
      <c r="X89" s="77" t="s">
        <v>35</v>
      </c>
      <c r="Y89" s="77" t="s">
        <v>55</v>
      </c>
      <c r="Z89" s="77" t="s">
        <v>64</v>
      </c>
      <c r="AA89" s="77" t="s">
        <v>43</v>
      </c>
      <c r="AB89" s="149" t="s">
        <v>294</v>
      </c>
    </row>
    <row r="90" spans="1:28" x14ac:dyDescent="0.15">
      <c r="A90" s="149" t="s">
        <v>48</v>
      </c>
      <c r="B90" s="149" t="s">
        <v>290</v>
      </c>
      <c r="C90" s="149">
        <v>2020</v>
      </c>
      <c r="D90" s="157" t="s">
        <v>291</v>
      </c>
      <c r="E90" s="149" t="s">
        <v>324</v>
      </c>
      <c r="F90" s="149" t="s">
        <v>306</v>
      </c>
      <c r="G90" s="149" t="s">
        <v>25</v>
      </c>
      <c r="H90" s="149" t="s">
        <v>164</v>
      </c>
      <c r="I90" s="77" t="s">
        <v>111</v>
      </c>
      <c r="J90" s="77" t="s">
        <v>27</v>
      </c>
      <c r="K90" s="77" t="s">
        <v>112</v>
      </c>
      <c r="L90" s="77">
        <v>2</v>
      </c>
      <c r="N90" s="77">
        <v>4</v>
      </c>
      <c r="O90" s="77">
        <v>1.2</v>
      </c>
      <c r="P90" s="77">
        <v>1.25</v>
      </c>
      <c r="Q90" s="44">
        <f t="shared" si="3"/>
        <v>1.2250000000000001</v>
      </c>
      <c r="R90" s="77">
        <v>14.7</v>
      </c>
      <c r="S90" s="77">
        <v>107</v>
      </c>
      <c r="T90" s="16">
        <f t="shared" si="4"/>
        <v>33</v>
      </c>
      <c r="U90" s="77">
        <v>498</v>
      </c>
      <c r="V90" s="179">
        <f t="shared" si="5"/>
        <v>4108.5</v>
      </c>
      <c r="W90" s="77">
        <v>19</v>
      </c>
      <c r="X90" s="77" t="s">
        <v>35</v>
      </c>
      <c r="Y90" s="77" t="s">
        <v>55</v>
      </c>
      <c r="Z90" s="77" t="s">
        <v>64</v>
      </c>
      <c r="AA90" s="77" t="s">
        <v>43</v>
      </c>
      <c r="AB90" s="149" t="s">
        <v>294</v>
      </c>
    </row>
    <row r="91" spans="1:28" x14ac:dyDescent="0.15">
      <c r="A91" s="149" t="s">
        <v>48</v>
      </c>
      <c r="B91" s="149" t="s">
        <v>290</v>
      </c>
      <c r="C91" s="149">
        <v>2020</v>
      </c>
      <c r="D91" s="157" t="s">
        <v>291</v>
      </c>
      <c r="E91" s="149" t="s">
        <v>324</v>
      </c>
      <c r="F91" s="149" t="s">
        <v>306</v>
      </c>
      <c r="G91" s="149" t="s">
        <v>25</v>
      </c>
      <c r="H91" s="149" t="s">
        <v>164</v>
      </c>
      <c r="I91" s="77" t="s">
        <v>111</v>
      </c>
      <c r="J91" s="77" t="s">
        <v>27</v>
      </c>
      <c r="K91" s="77" t="s">
        <v>112</v>
      </c>
      <c r="L91" s="77">
        <v>3</v>
      </c>
      <c r="N91" s="77">
        <v>4</v>
      </c>
      <c r="O91" s="77">
        <v>0.75</v>
      </c>
      <c r="P91" s="77">
        <v>0.6</v>
      </c>
      <c r="Q91" s="44">
        <f t="shared" si="3"/>
        <v>0.67500000000000004</v>
      </c>
      <c r="R91" s="77">
        <v>15.4</v>
      </c>
      <c r="S91" s="77">
        <v>103</v>
      </c>
      <c r="T91" s="16">
        <f t="shared" si="4"/>
        <v>33</v>
      </c>
      <c r="U91" s="77">
        <v>498</v>
      </c>
      <c r="V91" s="179">
        <f t="shared" si="5"/>
        <v>4108.5</v>
      </c>
      <c r="W91" s="77">
        <v>19</v>
      </c>
      <c r="X91" s="77" t="s">
        <v>35</v>
      </c>
      <c r="Y91" s="77" t="s">
        <v>55</v>
      </c>
      <c r="Z91" s="77" t="s">
        <v>64</v>
      </c>
      <c r="AA91" s="77" t="s">
        <v>43</v>
      </c>
      <c r="AB91" s="149" t="s">
        <v>294</v>
      </c>
    </row>
    <row r="92" spans="1:28" x14ac:dyDescent="0.15">
      <c r="A92" s="149" t="s">
        <v>48</v>
      </c>
      <c r="B92" s="149" t="s">
        <v>290</v>
      </c>
      <c r="C92" s="149">
        <v>2020</v>
      </c>
      <c r="D92" s="157" t="s">
        <v>291</v>
      </c>
      <c r="E92" s="149" t="s">
        <v>324</v>
      </c>
      <c r="F92" s="149" t="s">
        <v>306</v>
      </c>
      <c r="G92" s="149" t="s">
        <v>25</v>
      </c>
      <c r="H92" s="149" t="s">
        <v>164</v>
      </c>
      <c r="I92" s="77" t="s">
        <v>111</v>
      </c>
      <c r="J92" s="77" t="s">
        <v>27</v>
      </c>
      <c r="K92" s="77" t="s">
        <v>112</v>
      </c>
      <c r="L92" s="77">
        <v>1</v>
      </c>
      <c r="N92" s="77">
        <v>8</v>
      </c>
      <c r="O92" s="77">
        <v>0.7</v>
      </c>
      <c r="P92" s="77">
        <v>0.7</v>
      </c>
      <c r="Q92" s="44">
        <f t="shared" si="3"/>
        <v>0.7</v>
      </c>
      <c r="R92" s="77">
        <v>14.4</v>
      </c>
      <c r="S92" s="77">
        <v>92</v>
      </c>
      <c r="T92" s="16">
        <f t="shared" si="4"/>
        <v>36</v>
      </c>
      <c r="U92" s="77">
        <v>698</v>
      </c>
      <c r="V92" s="179">
        <f t="shared" si="5"/>
        <v>3141</v>
      </c>
      <c r="W92" s="77">
        <v>19</v>
      </c>
      <c r="X92" s="77" t="s">
        <v>35</v>
      </c>
      <c r="Y92" s="77" t="s">
        <v>55</v>
      </c>
      <c r="Z92" s="77" t="s">
        <v>64</v>
      </c>
      <c r="AA92" s="77" t="s">
        <v>43</v>
      </c>
      <c r="AB92" s="149" t="s">
        <v>294</v>
      </c>
    </row>
    <row r="93" spans="1:28" x14ac:dyDescent="0.15">
      <c r="A93" s="149" t="s">
        <v>48</v>
      </c>
      <c r="B93" s="149" t="s">
        <v>290</v>
      </c>
      <c r="C93" s="149">
        <v>2020</v>
      </c>
      <c r="D93" s="157" t="s">
        <v>291</v>
      </c>
      <c r="E93" s="149" t="s">
        <v>324</v>
      </c>
      <c r="F93" s="149" t="s">
        <v>306</v>
      </c>
      <c r="G93" s="149" t="s">
        <v>25</v>
      </c>
      <c r="H93" s="149" t="s">
        <v>164</v>
      </c>
      <c r="I93" s="77" t="s">
        <v>111</v>
      </c>
      <c r="J93" s="77" t="s">
        <v>27</v>
      </c>
      <c r="K93" s="77" t="s">
        <v>112</v>
      </c>
      <c r="L93" s="77">
        <v>2</v>
      </c>
      <c r="N93" s="77">
        <v>8</v>
      </c>
      <c r="O93" s="77">
        <v>0.75</v>
      </c>
      <c r="P93" s="77">
        <v>0.75</v>
      </c>
      <c r="Q93" s="44">
        <f t="shared" si="3"/>
        <v>0.75</v>
      </c>
      <c r="R93" s="77">
        <v>14.2</v>
      </c>
      <c r="S93" s="77">
        <v>94</v>
      </c>
      <c r="T93" s="16">
        <f t="shared" si="4"/>
        <v>36</v>
      </c>
      <c r="U93" s="77">
        <v>698</v>
      </c>
      <c r="V93" s="179">
        <f t="shared" si="5"/>
        <v>3141</v>
      </c>
      <c r="W93" s="77">
        <v>19</v>
      </c>
      <c r="X93" s="77" t="s">
        <v>35</v>
      </c>
      <c r="Y93" s="77" t="s">
        <v>55</v>
      </c>
      <c r="Z93" s="77" t="s">
        <v>64</v>
      </c>
      <c r="AA93" s="77" t="s">
        <v>43</v>
      </c>
      <c r="AB93" s="149" t="s">
        <v>294</v>
      </c>
    </row>
    <row r="94" spans="1:28" x14ac:dyDescent="0.15">
      <c r="A94" s="149" t="s">
        <v>48</v>
      </c>
      <c r="B94" s="149" t="s">
        <v>290</v>
      </c>
      <c r="C94" s="149">
        <v>2020</v>
      </c>
      <c r="D94" s="157" t="s">
        <v>291</v>
      </c>
      <c r="E94" s="149" t="s">
        <v>324</v>
      </c>
      <c r="F94" s="149" t="s">
        <v>306</v>
      </c>
      <c r="G94" s="149" t="s">
        <v>25</v>
      </c>
      <c r="H94" s="149" t="s">
        <v>164</v>
      </c>
      <c r="I94" s="77" t="s">
        <v>111</v>
      </c>
      <c r="J94" s="77" t="s">
        <v>27</v>
      </c>
      <c r="K94" s="77" t="s">
        <v>112</v>
      </c>
      <c r="L94" s="77">
        <v>3</v>
      </c>
      <c r="N94" s="77">
        <v>8</v>
      </c>
      <c r="O94" s="77">
        <v>0.7</v>
      </c>
      <c r="P94" s="77">
        <v>0.75</v>
      </c>
      <c r="Q94" s="44">
        <f t="shared" si="3"/>
        <v>0.72499999999999998</v>
      </c>
      <c r="R94" s="77">
        <v>14.2</v>
      </c>
      <c r="S94" s="77">
        <v>93</v>
      </c>
      <c r="T94" s="16">
        <f t="shared" si="4"/>
        <v>36</v>
      </c>
      <c r="U94" s="77">
        <v>698</v>
      </c>
      <c r="V94" s="179">
        <f t="shared" si="5"/>
        <v>3141</v>
      </c>
      <c r="W94" s="77">
        <v>19</v>
      </c>
      <c r="X94" s="77" t="s">
        <v>35</v>
      </c>
      <c r="Y94" s="77" t="s">
        <v>55</v>
      </c>
      <c r="Z94" s="77" t="s">
        <v>64</v>
      </c>
      <c r="AA94" s="77" t="s">
        <v>43</v>
      </c>
      <c r="AB94" s="149" t="s">
        <v>294</v>
      </c>
    </row>
    <row r="95" spans="1:28" x14ac:dyDescent="0.15">
      <c r="A95" s="149" t="s">
        <v>48</v>
      </c>
      <c r="B95" s="149" t="s">
        <v>290</v>
      </c>
      <c r="C95" s="149">
        <v>2020</v>
      </c>
      <c r="D95" s="157" t="s">
        <v>291</v>
      </c>
      <c r="E95" s="149" t="s">
        <v>324</v>
      </c>
      <c r="F95" s="149" t="s">
        <v>306</v>
      </c>
      <c r="G95" s="149" t="s">
        <v>25</v>
      </c>
      <c r="H95" s="149" t="s">
        <v>113</v>
      </c>
      <c r="I95" s="77" t="s">
        <v>111</v>
      </c>
      <c r="J95" s="77" t="s">
        <v>27</v>
      </c>
      <c r="K95" s="77" t="s">
        <v>112</v>
      </c>
      <c r="L95" s="77">
        <v>1</v>
      </c>
      <c r="N95" s="77">
        <v>1</v>
      </c>
      <c r="O95" s="77">
        <v>1</v>
      </c>
      <c r="P95" s="77">
        <v>1</v>
      </c>
      <c r="Q95" s="44">
        <f t="shared" si="3"/>
        <v>1</v>
      </c>
      <c r="R95" s="77">
        <v>14.9</v>
      </c>
      <c r="S95" s="77">
        <v>138</v>
      </c>
      <c r="T95" s="16">
        <f t="shared" si="4"/>
        <v>22</v>
      </c>
      <c r="U95" s="77">
        <v>128</v>
      </c>
      <c r="V95" s="179">
        <f t="shared" si="5"/>
        <v>2816</v>
      </c>
      <c r="W95" s="77">
        <v>19</v>
      </c>
      <c r="X95" s="77" t="s">
        <v>35</v>
      </c>
      <c r="Y95" s="77" t="s">
        <v>55</v>
      </c>
      <c r="Z95" s="77" t="s">
        <v>64</v>
      </c>
      <c r="AA95" s="77" t="s">
        <v>43</v>
      </c>
      <c r="AB95" s="149" t="s">
        <v>294</v>
      </c>
    </row>
    <row r="96" spans="1:28" x14ac:dyDescent="0.15">
      <c r="A96" s="149" t="s">
        <v>48</v>
      </c>
      <c r="B96" s="149" t="s">
        <v>290</v>
      </c>
      <c r="C96" s="149">
        <v>2020</v>
      </c>
      <c r="D96" s="157" t="s">
        <v>291</v>
      </c>
      <c r="E96" s="149" t="s">
        <v>324</v>
      </c>
      <c r="F96" s="149" t="s">
        <v>306</v>
      </c>
      <c r="G96" s="149" t="s">
        <v>25</v>
      </c>
      <c r="H96" s="149" t="s">
        <v>113</v>
      </c>
      <c r="I96" s="77" t="s">
        <v>111</v>
      </c>
      <c r="J96" s="77" t="s">
        <v>27</v>
      </c>
      <c r="K96" s="77" t="s">
        <v>112</v>
      </c>
      <c r="L96" s="77">
        <v>2</v>
      </c>
      <c r="N96" s="77">
        <v>1</v>
      </c>
      <c r="O96" s="77">
        <v>0.85</v>
      </c>
      <c r="P96" s="77">
        <v>1</v>
      </c>
      <c r="Q96" s="44">
        <f t="shared" si="3"/>
        <v>0.92500000000000004</v>
      </c>
      <c r="R96" s="77">
        <v>15</v>
      </c>
      <c r="S96" s="77">
        <v>149</v>
      </c>
      <c r="T96" s="16">
        <f t="shared" si="4"/>
        <v>22</v>
      </c>
      <c r="U96" s="77">
        <v>128</v>
      </c>
      <c r="V96" s="179">
        <f t="shared" si="5"/>
        <v>2816</v>
      </c>
      <c r="W96" s="77">
        <v>19</v>
      </c>
      <c r="X96" s="77" t="s">
        <v>35</v>
      </c>
      <c r="Y96" s="77" t="s">
        <v>55</v>
      </c>
      <c r="Z96" s="77" t="s">
        <v>64</v>
      </c>
      <c r="AA96" s="77" t="s">
        <v>43</v>
      </c>
      <c r="AB96" s="149" t="s">
        <v>294</v>
      </c>
    </row>
    <row r="97" spans="1:28" x14ac:dyDescent="0.15">
      <c r="A97" s="149" t="s">
        <v>48</v>
      </c>
      <c r="B97" s="149" t="s">
        <v>290</v>
      </c>
      <c r="C97" s="149">
        <v>2020</v>
      </c>
      <c r="D97" s="157" t="s">
        <v>291</v>
      </c>
      <c r="E97" s="149" t="s">
        <v>324</v>
      </c>
      <c r="F97" s="149" t="s">
        <v>306</v>
      </c>
      <c r="G97" s="149" t="s">
        <v>25</v>
      </c>
      <c r="H97" s="149" t="s">
        <v>113</v>
      </c>
      <c r="I97" s="77" t="s">
        <v>111</v>
      </c>
      <c r="J97" s="77" t="s">
        <v>27</v>
      </c>
      <c r="K97" s="77" t="s">
        <v>112</v>
      </c>
      <c r="L97" s="77">
        <v>3</v>
      </c>
      <c r="N97" s="77">
        <v>1</v>
      </c>
      <c r="O97" s="77">
        <v>0.95</v>
      </c>
      <c r="P97" s="77">
        <v>0.85</v>
      </c>
      <c r="Q97" s="44">
        <f t="shared" si="3"/>
        <v>0.89999999999999991</v>
      </c>
      <c r="R97" s="77">
        <v>15.5</v>
      </c>
      <c r="S97" s="77">
        <v>144</v>
      </c>
      <c r="T97" s="16">
        <f t="shared" si="4"/>
        <v>22</v>
      </c>
      <c r="U97" s="77">
        <v>128</v>
      </c>
      <c r="V97" s="179">
        <f t="shared" si="5"/>
        <v>2816</v>
      </c>
      <c r="W97" s="77">
        <v>19</v>
      </c>
      <c r="X97" s="77" t="s">
        <v>35</v>
      </c>
      <c r="Y97" s="77" t="s">
        <v>55</v>
      </c>
      <c r="Z97" s="77" t="s">
        <v>64</v>
      </c>
      <c r="AA97" s="77" t="s">
        <v>43</v>
      </c>
      <c r="AB97" s="149" t="s">
        <v>294</v>
      </c>
    </row>
    <row r="98" spans="1:28" x14ac:dyDescent="0.15">
      <c r="A98" s="149" t="s">
        <v>48</v>
      </c>
      <c r="B98" s="149" t="s">
        <v>290</v>
      </c>
      <c r="C98" s="149">
        <v>2020</v>
      </c>
      <c r="D98" s="157" t="s">
        <v>291</v>
      </c>
      <c r="E98" s="149" t="s">
        <v>324</v>
      </c>
      <c r="F98" s="149" t="s">
        <v>306</v>
      </c>
      <c r="G98" s="149" t="s">
        <v>25</v>
      </c>
      <c r="H98" s="149" t="s">
        <v>113</v>
      </c>
      <c r="I98" s="77" t="s">
        <v>111</v>
      </c>
      <c r="J98" s="77" t="s">
        <v>27</v>
      </c>
      <c r="K98" s="77" t="s">
        <v>112</v>
      </c>
      <c r="L98" s="77">
        <v>1</v>
      </c>
      <c r="N98" s="77">
        <v>4</v>
      </c>
      <c r="O98" s="77">
        <v>1</v>
      </c>
      <c r="P98" s="77">
        <v>0.95</v>
      </c>
      <c r="Q98" s="16">
        <f t="shared" si="3"/>
        <v>0.97499999999999998</v>
      </c>
      <c r="R98" s="77">
        <v>13.5</v>
      </c>
      <c r="S98" s="77">
        <v>102</v>
      </c>
      <c r="T98" s="16">
        <f t="shared" si="4"/>
        <v>33</v>
      </c>
      <c r="U98" s="77">
        <v>398</v>
      </c>
      <c r="V98" s="16">
        <f t="shared" si="5"/>
        <v>3283.5</v>
      </c>
      <c r="W98" s="77">
        <v>19</v>
      </c>
      <c r="X98" s="77" t="s">
        <v>35</v>
      </c>
      <c r="Y98" s="77" t="s">
        <v>55</v>
      </c>
      <c r="Z98" s="77" t="s">
        <v>64</v>
      </c>
      <c r="AA98" s="77" t="s">
        <v>43</v>
      </c>
      <c r="AB98" s="149" t="s">
        <v>294</v>
      </c>
    </row>
    <row r="99" spans="1:28" x14ac:dyDescent="0.15">
      <c r="A99" s="149" t="s">
        <v>48</v>
      </c>
      <c r="B99" s="149" t="s">
        <v>290</v>
      </c>
      <c r="C99" s="149">
        <v>2020</v>
      </c>
      <c r="D99" s="157" t="s">
        <v>291</v>
      </c>
      <c r="E99" s="149" t="s">
        <v>324</v>
      </c>
      <c r="F99" s="149" t="s">
        <v>306</v>
      </c>
      <c r="G99" s="149" t="s">
        <v>25</v>
      </c>
      <c r="H99" s="149" t="s">
        <v>113</v>
      </c>
      <c r="I99" s="77" t="s">
        <v>111</v>
      </c>
      <c r="J99" s="77" t="s">
        <v>27</v>
      </c>
      <c r="K99" s="77" t="s">
        <v>112</v>
      </c>
      <c r="L99" s="77">
        <v>2</v>
      </c>
      <c r="N99" s="77">
        <v>4</v>
      </c>
      <c r="O99" s="77">
        <v>0.9</v>
      </c>
      <c r="P99" s="77">
        <v>1.1000000000000001</v>
      </c>
      <c r="Q99" s="44">
        <f t="shared" si="3"/>
        <v>1</v>
      </c>
      <c r="R99" s="77">
        <v>13.2</v>
      </c>
      <c r="S99" s="77">
        <v>95</v>
      </c>
      <c r="T99" s="16">
        <f t="shared" si="4"/>
        <v>36</v>
      </c>
      <c r="U99" s="77">
        <v>398</v>
      </c>
      <c r="V99" s="179">
        <f t="shared" si="5"/>
        <v>3582</v>
      </c>
      <c r="W99" s="77">
        <v>19</v>
      </c>
      <c r="X99" s="77" t="s">
        <v>35</v>
      </c>
      <c r="Y99" s="77" t="s">
        <v>55</v>
      </c>
      <c r="Z99" s="77" t="s">
        <v>64</v>
      </c>
      <c r="AA99" s="77" t="s">
        <v>43</v>
      </c>
      <c r="AB99" s="149" t="s">
        <v>294</v>
      </c>
    </row>
    <row r="100" spans="1:28" x14ac:dyDescent="0.15">
      <c r="A100" s="149" t="s">
        <v>48</v>
      </c>
      <c r="B100" s="149" t="s">
        <v>290</v>
      </c>
      <c r="C100" s="149">
        <v>2020</v>
      </c>
      <c r="D100" s="157" t="s">
        <v>291</v>
      </c>
      <c r="E100" s="149" t="s">
        <v>324</v>
      </c>
      <c r="F100" s="149" t="s">
        <v>306</v>
      </c>
      <c r="G100" s="149" t="s">
        <v>25</v>
      </c>
      <c r="H100" s="149" t="s">
        <v>113</v>
      </c>
      <c r="I100" s="77" t="s">
        <v>111</v>
      </c>
      <c r="J100" s="77" t="s">
        <v>27</v>
      </c>
      <c r="K100" s="77" t="s">
        <v>112</v>
      </c>
      <c r="L100" s="77">
        <v>3</v>
      </c>
      <c r="N100" s="77">
        <v>4</v>
      </c>
      <c r="O100" s="77">
        <v>0.85</v>
      </c>
      <c r="P100" s="77">
        <v>1</v>
      </c>
      <c r="Q100" s="44">
        <f t="shared" si="3"/>
        <v>0.92500000000000004</v>
      </c>
      <c r="R100" s="77">
        <v>13.5</v>
      </c>
      <c r="S100" s="77">
        <v>95</v>
      </c>
      <c r="T100" s="16">
        <f t="shared" si="4"/>
        <v>36</v>
      </c>
      <c r="U100" s="77">
        <v>398</v>
      </c>
      <c r="V100" s="179">
        <f t="shared" si="5"/>
        <v>3582</v>
      </c>
      <c r="W100" s="77">
        <v>19</v>
      </c>
      <c r="X100" s="77" t="s">
        <v>35</v>
      </c>
      <c r="Y100" s="77" t="s">
        <v>55</v>
      </c>
      <c r="Z100" s="77" t="s">
        <v>64</v>
      </c>
      <c r="AA100" s="77" t="s">
        <v>43</v>
      </c>
      <c r="AB100" s="149" t="s">
        <v>294</v>
      </c>
    </row>
    <row r="101" spans="1:28" x14ac:dyDescent="0.15">
      <c r="A101" s="149" t="s">
        <v>48</v>
      </c>
      <c r="B101" s="149" t="s">
        <v>290</v>
      </c>
      <c r="C101" s="149">
        <v>2020</v>
      </c>
      <c r="D101" s="157" t="s">
        <v>291</v>
      </c>
      <c r="E101" s="149" t="s">
        <v>324</v>
      </c>
      <c r="F101" s="149" t="s">
        <v>306</v>
      </c>
      <c r="G101" s="149" t="s">
        <v>25</v>
      </c>
      <c r="H101" s="149" t="s">
        <v>113</v>
      </c>
      <c r="I101" s="77" t="s">
        <v>111</v>
      </c>
      <c r="J101" s="77" t="s">
        <v>27</v>
      </c>
      <c r="K101" s="77" t="s">
        <v>112</v>
      </c>
      <c r="L101" s="77">
        <v>1</v>
      </c>
      <c r="N101" s="77">
        <v>8</v>
      </c>
      <c r="O101" s="77">
        <v>0.5</v>
      </c>
      <c r="P101" s="77">
        <v>0.5</v>
      </c>
      <c r="Q101" s="44">
        <f t="shared" si="3"/>
        <v>0.5</v>
      </c>
      <c r="R101" s="77">
        <v>14.6</v>
      </c>
      <c r="S101" s="77">
        <v>89</v>
      </c>
      <c r="T101" s="16">
        <f t="shared" si="4"/>
        <v>36</v>
      </c>
      <c r="U101" s="77">
        <v>498</v>
      </c>
      <c r="V101" s="179">
        <f t="shared" si="5"/>
        <v>2241</v>
      </c>
      <c r="W101" s="77">
        <v>19</v>
      </c>
      <c r="X101" s="77" t="s">
        <v>35</v>
      </c>
      <c r="Y101" s="77" t="s">
        <v>55</v>
      </c>
      <c r="Z101" s="77" t="s">
        <v>64</v>
      </c>
      <c r="AA101" s="77" t="s">
        <v>43</v>
      </c>
      <c r="AB101" s="149" t="s">
        <v>294</v>
      </c>
    </row>
    <row r="102" spans="1:28" x14ac:dyDescent="0.15">
      <c r="A102" s="149" t="s">
        <v>48</v>
      </c>
      <c r="B102" s="149" t="s">
        <v>290</v>
      </c>
      <c r="C102" s="149">
        <v>2020</v>
      </c>
      <c r="D102" s="157" t="s">
        <v>291</v>
      </c>
      <c r="E102" s="149" t="s">
        <v>324</v>
      </c>
      <c r="F102" s="149" t="s">
        <v>306</v>
      </c>
      <c r="G102" s="149" t="s">
        <v>25</v>
      </c>
      <c r="H102" s="149" t="s">
        <v>113</v>
      </c>
      <c r="I102" s="77" t="s">
        <v>111</v>
      </c>
      <c r="J102" s="77" t="s">
        <v>27</v>
      </c>
      <c r="K102" s="77" t="s">
        <v>112</v>
      </c>
      <c r="L102" s="77">
        <v>2</v>
      </c>
      <c r="N102" s="77">
        <v>8</v>
      </c>
      <c r="O102" s="77">
        <v>1</v>
      </c>
      <c r="P102" s="77">
        <v>0.9</v>
      </c>
      <c r="Q102" s="44">
        <f t="shared" si="3"/>
        <v>0.95</v>
      </c>
      <c r="R102" s="77">
        <v>14.7</v>
      </c>
      <c r="S102" s="77">
        <v>75</v>
      </c>
      <c r="T102" s="16">
        <f t="shared" si="4"/>
        <v>42</v>
      </c>
      <c r="U102" s="77">
        <v>498</v>
      </c>
      <c r="V102" s="179">
        <f t="shared" si="5"/>
        <v>2614.5</v>
      </c>
      <c r="W102" s="77">
        <v>19</v>
      </c>
      <c r="X102" s="77" t="s">
        <v>35</v>
      </c>
      <c r="Y102" s="77" t="s">
        <v>55</v>
      </c>
      <c r="Z102" s="77" t="s">
        <v>64</v>
      </c>
      <c r="AA102" s="77" t="s">
        <v>43</v>
      </c>
      <c r="AB102" s="149" t="s">
        <v>294</v>
      </c>
    </row>
    <row r="103" spans="1:28" x14ac:dyDescent="0.15">
      <c r="A103" s="149" t="s">
        <v>48</v>
      </c>
      <c r="B103" s="149" t="s">
        <v>290</v>
      </c>
      <c r="C103" s="149">
        <v>2020</v>
      </c>
      <c r="D103" s="157" t="s">
        <v>291</v>
      </c>
      <c r="E103" s="149" t="s">
        <v>324</v>
      </c>
      <c r="F103" s="149" t="s">
        <v>306</v>
      </c>
      <c r="G103" s="149" t="s">
        <v>25</v>
      </c>
      <c r="H103" s="149" t="s">
        <v>113</v>
      </c>
      <c r="I103" s="77" t="s">
        <v>111</v>
      </c>
      <c r="J103" s="77" t="s">
        <v>27</v>
      </c>
      <c r="K103" s="77" t="s">
        <v>112</v>
      </c>
      <c r="L103" s="77">
        <v>3</v>
      </c>
      <c r="N103" s="77">
        <v>8</v>
      </c>
      <c r="O103" s="77">
        <v>0.75</v>
      </c>
      <c r="P103" s="77">
        <v>0.7</v>
      </c>
      <c r="Q103" s="44">
        <f t="shared" si="3"/>
        <v>0.72499999999999998</v>
      </c>
      <c r="R103" s="77">
        <v>15</v>
      </c>
      <c r="S103" s="77">
        <v>74</v>
      </c>
      <c r="T103" s="16">
        <f t="shared" si="4"/>
        <v>42</v>
      </c>
      <c r="U103" s="77">
        <v>498</v>
      </c>
      <c r="V103" s="179">
        <f t="shared" si="5"/>
        <v>2614.5</v>
      </c>
      <c r="W103" s="77">
        <v>19</v>
      </c>
      <c r="X103" s="77" t="s">
        <v>35</v>
      </c>
      <c r="Y103" s="77" t="s">
        <v>55</v>
      </c>
      <c r="Z103" s="77" t="s">
        <v>64</v>
      </c>
      <c r="AA103" s="77" t="s">
        <v>43</v>
      </c>
      <c r="AB103" s="149" t="s">
        <v>294</v>
      </c>
    </row>
    <row r="104" spans="1:28" x14ac:dyDescent="0.15">
      <c r="A104" s="149" t="s">
        <v>48</v>
      </c>
      <c r="B104" s="149" t="s">
        <v>290</v>
      </c>
      <c r="C104" s="149">
        <v>2020</v>
      </c>
      <c r="D104" s="157" t="s">
        <v>291</v>
      </c>
      <c r="E104" s="149" t="s">
        <v>325</v>
      </c>
      <c r="F104" s="149" t="s">
        <v>308</v>
      </c>
      <c r="G104" s="149" t="s">
        <v>25</v>
      </c>
      <c r="H104" s="149" t="s">
        <v>164</v>
      </c>
      <c r="I104" s="77" t="s">
        <v>111</v>
      </c>
      <c r="J104" s="77" t="s">
        <v>27</v>
      </c>
      <c r="K104" s="77" t="s">
        <v>112</v>
      </c>
      <c r="L104" s="77">
        <v>1</v>
      </c>
      <c r="N104" s="77">
        <v>1</v>
      </c>
      <c r="O104" s="77">
        <v>0.5</v>
      </c>
      <c r="P104" s="77">
        <v>0.5</v>
      </c>
      <c r="Q104" s="44">
        <f t="shared" si="3"/>
        <v>0.5</v>
      </c>
      <c r="R104" s="77">
        <v>16</v>
      </c>
      <c r="S104" s="77">
        <v>139</v>
      </c>
      <c r="T104" s="16">
        <f t="shared" si="4"/>
        <v>22</v>
      </c>
      <c r="U104" s="77">
        <v>138</v>
      </c>
      <c r="V104" s="179">
        <f t="shared" si="5"/>
        <v>3036</v>
      </c>
      <c r="W104" s="77">
        <v>11</v>
      </c>
      <c r="X104" s="77" t="s">
        <v>35</v>
      </c>
      <c r="Y104" s="77" t="s">
        <v>76</v>
      </c>
      <c r="Z104" s="77" t="s">
        <v>55</v>
      </c>
      <c r="AA104" s="77" t="s">
        <v>36</v>
      </c>
      <c r="AB104" s="149" t="s">
        <v>294</v>
      </c>
    </row>
    <row r="105" spans="1:28" x14ac:dyDescent="0.15">
      <c r="A105" s="149" t="s">
        <v>48</v>
      </c>
      <c r="B105" s="149" t="s">
        <v>290</v>
      </c>
      <c r="C105" s="149">
        <v>2020</v>
      </c>
      <c r="D105" s="157" t="s">
        <v>291</v>
      </c>
      <c r="E105" s="149" t="s">
        <v>325</v>
      </c>
      <c r="F105" s="149" t="s">
        <v>308</v>
      </c>
      <c r="G105" s="149" t="s">
        <v>25</v>
      </c>
      <c r="H105" s="149" t="s">
        <v>164</v>
      </c>
      <c r="I105" s="77" t="s">
        <v>111</v>
      </c>
      <c r="J105" s="77" t="s">
        <v>27</v>
      </c>
      <c r="K105" s="77" t="s">
        <v>112</v>
      </c>
      <c r="L105" s="77">
        <v>2</v>
      </c>
      <c r="N105" s="77">
        <v>1</v>
      </c>
      <c r="O105" s="77">
        <v>0.5</v>
      </c>
      <c r="P105" s="77">
        <v>0.65</v>
      </c>
      <c r="Q105" s="44">
        <f t="shared" si="3"/>
        <v>0.57499999999999996</v>
      </c>
      <c r="R105" s="77">
        <v>15.9</v>
      </c>
      <c r="S105" s="77">
        <v>149</v>
      </c>
      <c r="T105" s="16">
        <f t="shared" si="4"/>
        <v>22</v>
      </c>
      <c r="U105" s="77">
        <v>138</v>
      </c>
      <c r="V105" s="179">
        <f t="shared" si="5"/>
        <v>3036</v>
      </c>
      <c r="W105" s="77">
        <v>11</v>
      </c>
      <c r="X105" s="77" t="s">
        <v>35</v>
      </c>
      <c r="Y105" s="77" t="s">
        <v>76</v>
      </c>
      <c r="Z105" s="77" t="s">
        <v>55</v>
      </c>
      <c r="AA105" s="77" t="s">
        <v>36</v>
      </c>
      <c r="AB105" s="149" t="s">
        <v>294</v>
      </c>
    </row>
    <row r="106" spans="1:28" x14ac:dyDescent="0.15">
      <c r="A106" s="149" t="s">
        <v>48</v>
      </c>
      <c r="B106" s="149" t="s">
        <v>290</v>
      </c>
      <c r="C106" s="149">
        <v>2020</v>
      </c>
      <c r="D106" s="157" t="s">
        <v>291</v>
      </c>
      <c r="E106" s="149" t="s">
        <v>325</v>
      </c>
      <c r="F106" s="149" t="s">
        <v>308</v>
      </c>
      <c r="G106" s="149" t="s">
        <v>25</v>
      </c>
      <c r="H106" s="149" t="s">
        <v>164</v>
      </c>
      <c r="I106" s="77" t="s">
        <v>111</v>
      </c>
      <c r="J106" s="77" t="s">
        <v>27</v>
      </c>
      <c r="K106" s="77" t="s">
        <v>112</v>
      </c>
      <c r="L106" s="77">
        <v>3</v>
      </c>
      <c r="N106" s="77">
        <v>1</v>
      </c>
      <c r="O106" s="77">
        <v>0.5</v>
      </c>
      <c r="P106" s="77">
        <v>0.5</v>
      </c>
      <c r="Q106" s="44">
        <f t="shared" si="3"/>
        <v>0.5</v>
      </c>
      <c r="R106" s="77">
        <v>17.100000000000001</v>
      </c>
      <c r="S106" s="77">
        <v>140</v>
      </c>
      <c r="T106" s="16">
        <f t="shared" si="4"/>
        <v>22</v>
      </c>
      <c r="U106" s="77">
        <v>138</v>
      </c>
      <c r="V106" s="179">
        <f t="shared" si="5"/>
        <v>3036</v>
      </c>
      <c r="W106" s="77">
        <v>11</v>
      </c>
      <c r="X106" s="77" t="s">
        <v>35</v>
      </c>
      <c r="Y106" s="77" t="s">
        <v>76</v>
      </c>
      <c r="Z106" s="77" t="s">
        <v>55</v>
      </c>
      <c r="AA106" s="77" t="s">
        <v>36</v>
      </c>
      <c r="AB106" s="149" t="s">
        <v>294</v>
      </c>
    </row>
    <row r="107" spans="1:28" x14ac:dyDescent="0.15">
      <c r="A107" s="149" t="s">
        <v>48</v>
      </c>
      <c r="B107" s="149" t="s">
        <v>290</v>
      </c>
      <c r="C107" s="149">
        <v>2020</v>
      </c>
      <c r="D107" s="157" t="s">
        <v>291</v>
      </c>
      <c r="E107" s="149" t="s">
        <v>325</v>
      </c>
      <c r="F107" s="149" t="s">
        <v>308</v>
      </c>
      <c r="G107" s="149" t="s">
        <v>25</v>
      </c>
      <c r="H107" s="149" t="s">
        <v>164</v>
      </c>
      <c r="I107" s="77" t="s">
        <v>111</v>
      </c>
      <c r="J107" s="77" t="s">
        <v>27</v>
      </c>
      <c r="K107" s="77" t="s">
        <v>112</v>
      </c>
      <c r="L107" s="77">
        <v>1</v>
      </c>
      <c r="N107" s="77">
        <v>3</v>
      </c>
      <c r="O107" s="77">
        <v>0.5</v>
      </c>
      <c r="P107" s="77">
        <v>0.5</v>
      </c>
      <c r="Q107" s="44">
        <f t="shared" si="3"/>
        <v>0.5</v>
      </c>
      <c r="R107" s="77">
        <v>17.2</v>
      </c>
      <c r="S107" s="77">
        <v>105</v>
      </c>
      <c r="T107" s="16">
        <f t="shared" si="4"/>
        <v>33</v>
      </c>
      <c r="U107" s="77">
        <v>398</v>
      </c>
      <c r="V107" s="179">
        <f t="shared" si="5"/>
        <v>4378</v>
      </c>
      <c r="W107" s="77">
        <v>11</v>
      </c>
      <c r="X107" s="77" t="s">
        <v>35</v>
      </c>
      <c r="Y107" s="77" t="s">
        <v>76</v>
      </c>
      <c r="Z107" s="77" t="s">
        <v>55</v>
      </c>
      <c r="AA107" s="77" t="s">
        <v>36</v>
      </c>
      <c r="AB107" s="149" t="s">
        <v>294</v>
      </c>
    </row>
    <row r="108" spans="1:28" x14ac:dyDescent="0.15">
      <c r="A108" s="149" t="s">
        <v>48</v>
      </c>
      <c r="B108" s="149" t="s">
        <v>290</v>
      </c>
      <c r="C108" s="149">
        <v>2020</v>
      </c>
      <c r="D108" s="157" t="s">
        <v>291</v>
      </c>
      <c r="E108" s="149" t="s">
        <v>325</v>
      </c>
      <c r="F108" s="149" t="s">
        <v>308</v>
      </c>
      <c r="G108" s="149" t="s">
        <v>25</v>
      </c>
      <c r="H108" s="149" t="s">
        <v>164</v>
      </c>
      <c r="I108" s="77" t="s">
        <v>111</v>
      </c>
      <c r="J108" s="77" t="s">
        <v>27</v>
      </c>
      <c r="K108" s="77" t="s">
        <v>112</v>
      </c>
      <c r="L108" s="77">
        <v>2</v>
      </c>
      <c r="N108" s="77">
        <v>3</v>
      </c>
      <c r="O108" s="77">
        <v>0.5</v>
      </c>
      <c r="P108" s="77">
        <v>0.5</v>
      </c>
      <c r="Q108" s="44">
        <f t="shared" si="3"/>
        <v>0.5</v>
      </c>
      <c r="R108" s="77">
        <v>15.9</v>
      </c>
      <c r="S108" s="77">
        <v>128</v>
      </c>
      <c r="T108" s="16">
        <f t="shared" si="4"/>
        <v>27</v>
      </c>
      <c r="U108" s="77">
        <v>398</v>
      </c>
      <c r="V108" s="179">
        <f t="shared" si="5"/>
        <v>3581.9999999999995</v>
      </c>
      <c r="W108" s="77">
        <v>11</v>
      </c>
      <c r="X108" s="77" t="s">
        <v>35</v>
      </c>
      <c r="Y108" s="77" t="s">
        <v>76</v>
      </c>
      <c r="Z108" s="77" t="s">
        <v>55</v>
      </c>
      <c r="AA108" s="77" t="s">
        <v>36</v>
      </c>
      <c r="AB108" s="149" t="s">
        <v>294</v>
      </c>
    </row>
    <row r="109" spans="1:28" x14ac:dyDescent="0.15">
      <c r="A109" s="149" t="s">
        <v>48</v>
      </c>
      <c r="B109" s="149" t="s">
        <v>290</v>
      </c>
      <c r="C109" s="149">
        <v>2020</v>
      </c>
      <c r="D109" s="157" t="s">
        <v>291</v>
      </c>
      <c r="E109" s="149" t="s">
        <v>325</v>
      </c>
      <c r="F109" s="149" t="s">
        <v>308</v>
      </c>
      <c r="G109" s="149" t="s">
        <v>25</v>
      </c>
      <c r="H109" s="149" t="s">
        <v>164</v>
      </c>
      <c r="I109" s="77" t="s">
        <v>111</v>
      </c>
      <c r="J109" s="77" t="s">
        <v>27</v>
      </c>
      <c r="K109" s="77" t="s">
        <v>112</v>
      </c>
      <c r="L109" s="77">
        <v>3</v>
      </c>
      <c r="N109" s="77">
        <v>3</v>
      </c>
      <c r="O109" s="77">
        <v>0.5</v>
      </c>
      <c r="P109" s="77">
        <v>0.5</v>
      </c>
      <c r="Q109" s="44">
        <f t="shared" si="3"/>
        <v>0.5</v>
      </c>
      <c r="R109" s="77">
        <v>19.2</v>
      </c>
      <c r="S109" s="77">
        <v>136</v>
      </c>
      <c r="T109" s="16">
        <f t="shared" si="4"/>
        <v>25</v>
      </c>
      <c r="U109" s="77">
        <v>398</v>
      </c>
      <c r="V109" s="179">
        <f t="shared" si="5"/>
        <v>3316.6666666666665</v>
      </c>
      <c r="W109" s="77">
        <v>11</v>
      </c>
      <c r="X109" s="77" t="s">
        <v>35</v>
      </c>
      <c r="Y109" s="77" t="s">
        <v>76</v>
      </c>
      <c r="Z109" s="77" t="s">
        <v>55</v>
      </c>
      <c r="AA109" s="77" t="s">
        <v>36</v>
      </c>
      <c r="AB109" s="149" t="s">
        <v>294</v>
      </c>
    </row>
    <row r="110" spans="1:28" x14ac:dyDescent="0.15">
      <c r="A110" s="149" t="s">
        <v>48</v>
      </c>
      <c r="B110" s="149" t="s">
        <v>290</v>
      </c>
      <c r="C110" s="149">
        <v>2020</v>
      </c>
      <c r="D110" s="157" t="s">
        <v>291</v>
      </c>
      <c r="E110" s="149" t="s">
        <v>325</v>
      </c>
      <c r="F110" s="149" t="s">
        <v>308</v>
      </c>
      <c r="G110" s="149" t="s">
        <v>25</v>
      </c>
      <c r="H110" s="149" t="s">
        <v>164</v>
      </c>
      <c r="I110" s="77" t="s">
        <v>111</v>
      </c>
      <c r="J110" s="77" t="s">
        <v>27</v>
      </c>
      <c r="K110" s="77" t="s">
        <v>112</v>
      </c>
      <c r="L110" s="77">
        <v>1</v>
      </c>
      <c r="N110" s="77">
        <v>8</v>
      </c>
      <c r="O110" s="77">
        <v>0.6</v>
      </c>
      <c r="P110" s="77">
        <v>0.5</v>
      </c>
      <c r="Q110" s="44">
        <f t="shared" si="3"/>
        <v>0.55000000000000004</v>
      </c>
      <c r="R110" s="77">
        <v>19.2</v>
      </c>
      <c r="S110" s="77">
        <v>105</v>
      </c>
      <c r="T110" s="16">
        <f t="shared" si="4"/>
        <v>33</v>
      </c>
      <c r="U110" s="77">
        <v>880</v>
      </c>
      <c r="V110" s="179">
        <f t="shared" si="5"/>
        <v>3630</v>
      </c>
      <c r="W110" s="77">
        <v>11</v>
      </c>
      <c r="X110" s="77" t="s">
        <v>35</v>
      </c>
      <c r="Y110" s="77" t="s">
        <v>76</v>
      </c>
      <c r="Z110" s="77" t="s">
        <v>55</v>
      </c>
      <c r="AA110" s="77" t="s">
        <v>36</v>
      </c>
      <c r="AB110" s="149" t="s">
        <v>294</v>
      </c>
    </row>
    <row r="111" spans="1:28" x14ac:dyDescent="0.15">
      <c r="A111" s="149" t="s">
        <v>48</v>
      </c>
      <c r="B111" s="149" t="s">
        <v>290</v>
      </c>
      <c r="C111" s="149">
        <v>2020</v>
      </c>
      <c r="D111" s="157" t="s">
        <v>291</v>
      </c>
      <c r="E111" s="149" t="s">
        <v>325</v>
      </c>
      <c r="F111" s="149" t="s">
        <v>308</v>
      </c>
      <c r="G111" s="149" t="s">
        <v>25</v>
      </c>
      <c r="H111" s="149" t="s">
        <v>164</v>
      </c>
      <c r="I111" s="77" t="s">
        <v>111</v>
      </c>
      <c r="J111" s="77" t="s">
        <v>27</v>
      </c>
      <c r="K111" s="77" t="s">
        <v>112</v>
      </c>
      <c r="L111" s="77">
        <v>2</v>
      </c>
      <c r="N111" s="77">
        <v>8</v>
      </c>
      <c r="O111" s="77">
        <v>0.5</v>
      </c>
      <c r="P111" s="77">
        <v>0.5</v>
      </c>
      <c r="Q111" s="44">
        <f t="shared" si="3"/>
        <v>0.5</v>
      </c>
      <c r="R111" s="77">
        <v>19.600000000000001</v>
      </c>
      <c r="S111" s="77">
        <v>105</v>
      </c>
      <c r="T111" s="16">
        <f t="shared" si="4"/>
        <v>33</v>
      </c>
      <c r="U111" s="77">
        <v>880</v>
      </c>
      <c r="V111" s="179">
        <f t="shared" si="5"/>
        <v>3630</v>
      </c>
      <c r="W111" s="77">
        <v>11</v>
      </c>
      <c r="X111" s="77" t="s">
        <v>35</v>
      </c>
      <c r="Y111" s="77" t="s">
        <v>76</v>
      </c>
      <c r="Z111" s="77" t="s">
        <v>55</v>
      </c>
      <c r="AA111" s="77" t="s">
        <v>36</v>
      </c>
      <c r="AB111" s="149" t="s">
        <v>294</v>
      </c>
    </row>
    <row r="112" spans="1:28" x14ac:dyDescent="0.15">
      <c r="A112" s="149" t="s">
        <v>48</v>
      </c>
      <c r="B112" s="149" t="s">
        <v>290</v>
      </c>
      <c r="C112" s="149">
        <v>2020</v>
      </c>
      <c r="D112" s="157" t="s">
        <v>291</v>
      </c>
      <c r="E112" s="149" t="s">
        <v>325</v>
      </c>
      <c r="F112" s="149" t="s">
        <v>308</v>
      </c>
      <c r="G112" s="149" t="s">
        <v>25</v>
      </c>
      <c r="H112" s="149" t="s">
        <v>164</v>
      </c>
      <c r="I112" s="77" t="s">
        <v>111</v>
      </c>
      <c r="J112" s="77" t="s">
        <v>27</v>
      </c>
      <c r="K112" s="77" t="s">
        <v>112</v>
      </c>
      <c r="L112" s="77">
        <v>3</v>
      </c>
      <c r="N112" s="77">
        <v>8</v>
      </c>
      <c r="O112" s="77">
        <v>0.7</v>
      </c>
      <c r="P112" s="77">
        <v>0.5</v>
      </c>
      <c r="Q112" s="44">
        <f t="shared" si="3"/>
        <v>0.6</v>
      </c>
      <c r="R112" s="77">
        <v>15.8</v>
      </c>
      <c r="S112" s="77">
        <v>107</v>
      </c>
      <c r="T112" s="16">
        <f t="shared" si="4"/>
        <v>33</v>
      </c>
      <c r="U112" s="77">
        <v>880</v>
      </c>
      <c r="V112" s="179">
        <f t="shared" si="5"/>
        <v>3630</v>
      </c>
      <c r="W112" s="77">
        <v>11</v>
      </c>
      <c r="X112" s="77" t="s">
        <v>35</v>
      </c>
      <c r="Y112" s="77" t="s">
        <v>76</v>
      </c>
      <c r="Z112" s="77" t="s">
        <v>55</v>
      </c>
      <c r="AA112" s="77" t="s">
        <v>36</v>
      </c>
      <c r="AB112" s="149" t="s">
        <v>294</v>
      </c>
    </row>
    <row r="113" spans="1:28" x14ac:dyDescent="0.15">
      <c r="A113" s="149" t="s">
        <v>48</v>
      </c>
      <c r="B113" s="149" t="s">
        <v>290</v>
      </c>
      <c r="C113" s="149">
        <v>2020</v>
      </c>
      <c r="D113" s="157" t="s">
        <v>291</v>
      </c>
      <c r="E113" s="149" t="s">
        <v>325</v>
      </c>
      <c r="F113" s="149" t="s">
        <v>308</v>
      </c>
      <c r="G113" s="149" t="s">
        <v>25</v>
      </c>
      <c r="H113" s="149" t="s">
        <v>107</v>
      </c>
      <c r="I113" s="77" t="s">
        <v>111</v>
      </c>
      <c r="J113" s="77" t="s">
        <v>66</v>
      </c>
      <c r="K113" s="77" t="s">
        <v>46</v>
      </c>
      <c r="L113" s="77">
        <v>1</v>
      </c>
      <c r="N113" s="77">
        <v>1</v>
      </c>
      <c r="O113" s="77">
        <v>0.55000000000000004</v>
      </c>
      <c r="P113" s="77">
        <v>0.6</v>
      </c>
      <c r="Q113" s="44">
        <f t="shared" si="3"/>
        <v>0.57499999999999996</v>
      </c>
      <c r="R113" s="77">
        <v>15.5</v>
      </c>
      <c r="S113" s="77">
        <v>99</v>
      </c>
      <c r="T113" s="16">
        <f t="shared" si="4"/>
        <v>33</v>
      </c>
      <c r="U113" s="77">
        <v>98</v>
      </c>
      <c r="V113" s="179">
        <f t="shared" si="5"/>
        <v>3234</v>
      </c>
      <c r="W113" s="77">
        <v>11</v>
      </c>
      <c r="X113" s="77" t="s">
        <v>35</v>
      </c>
      <c r="Y113" s="77" t="s">
        <v>76</v>
      </c>
      <c r="Z113" s="77" t="s">
        <v>55</v>
      </c>
      <c r="AA113" s="77" t="s">
        <v>36</v>
      </c>
      <c r="AB113" s="149" t="s">
        <v>294</v>
      </c>
    </row>
    <row r="114" spans="1:28" x14ac:dyDescent="0.15">
      <c r="A114" s="149" t="s">
        <v>48</v>
      </c>
      <c r="B114" s="149" t="s">
        <v>290</v>
      </c>
      <c r="C114" s="149">
        <v>2020</v>
      </c>
      <c r="D114" s="157" t="s">
        <v>291</v>
      </c>
      <c r="E114" s="149" t="s">
        <v>325</v>
      </c>
      <c r="F114" s="149" t="s">
        <v>308</v>
      </c>
      <c r="G114" s="149" t="s">
        <v>25</v>
      </c>
      <c r="H114" s="149" t="s">
        <v>107</v>
      </c>
      <c r="I114" s="77" t="s">
        <v>111</v>
      </c>
      <c r="J114" s="77" t="s">
        <v>66</v>
      </c>
      <c r="K114" s="77" t="s">
        <v>46</v>
      </c>
      <c r="L114" s="77">
        <v>2</v>
      </c>
      <c r="N114" s="77">
        <v>1</v>
      </c>
      <c r="O114" s="77">
        <v>1</v>
      </c>
      <c r="P114" s="77">
        <v>1</v>
      </c>
      <c r="Q114" s="44">
        <f t="shared" si="3"/>
        <v>1</v>
      </c>
      <c r="R114" s="77">
        <v>14.9</v>
      </c>
      <c r="S114" s="77">
        <v>88</v>
      </c>
      <c r="T114" s="16">
        <f t="shared" si="4"/>
        <v>36</v>
      </c>
      <c r="U114" s="77">
        <v>98</v>
      </c>
      <c r="V114" s="179">
        <f t="shared" si="5"/>
        <v>3528</v>
      </c>
      <c r="W114" s="77">
        <v>11</v>
      </c>
      <c r="X114" s="77" t="s">
        <v>35</v>
      </c>
      <c r="Y114" s="77" t="s">
        <v>76</v>
      </c>
      <c r="Z114" s="77" t="s">
        <v>55</v>
      </c>
      <c r="AA114" s="77" t="s">
        <v>36</v>
      </c>
      <c r="AB114" s="149" t="s">
        <v>294</v>
      </c>
    </row>
    <row r="115" spans="1:28" x14ac:dyDescent="0.15">
      <c r="A115" s="149" t="s">
        <v>48</v>
      </c>
      <c r="B115" s="149" t="s">
        <v>290</v>
      </c>
      <c r="C115" s="149">
        <v>2020</v>
      </c>
      <c r="D115" s="157" t="s">
        <v>291</v>
      </c>
      <c r="E115" s="149" t="s">
        <v>325</v>
      </c>
      <c r="F115" s="149" t="s">
        <v>308</v>
      </c>
      <c r="G115" s="149" t="s">
        <v>25</v>
      </c>
      <c r="H115" s="149" t="s">
        <v>107</v>
      </c>
      <c r="I115" s="77" t="s">
        <v>111</v>
      </c>
      <c r="J115" s="77" t="s">
        <v>66</v>
      </c>
      <c r="K115" s="77" t="s">
        <v>46</v>
      </c>
      <c r="L115" s="77">
        <v>3</v>
      </c>
      <c r="N115" s="77">
        <v>1</v>
      </c>
      <c r="O115" s="77">
        <v>0.7</v>
      </c>
      <c r="P115" s="77">
        <v>0.75</v>
      </c>
      <c r="Q115" s="44">
        <f t="shared" si="3"/>
        <v>0.72499999999999998</v>
      </c>
      <c r="R115" s="77">
        <v>14.5</v>
      </c>
      <c r="S115" s="77">
        <v>95</v>
      </c>
      <c r="T115" s="16">
        <f t="shared" si="4"/>
        <v>36</v>
      </c>
      <c r="U115" s="77">
        <v>98</v>
      </c>
      <c r="V115" s="179">
        <f t="shared" si="5"/>
        <v>3528</v>
      </c>
      <c r="W115" s="77">
        <v>11</v>
      </c>
      <c r="X115" s="77" t="s">
        <v>35</v>
      </c>
      <c r="Y115" s="77" t="s">
        <v>76</v>
      </c>
      <c r="Z115" s="77" t="s">
        <v>55</v>
      </c>
      <c r="AA115" s="77" t="s">
        <v>36</v>
      </c>
      <c r="AB115" s="149" t="s">
        <v>294</v>
      </c>
    </row>
    <row r="116" spans="1:28" x14ac:dyDescent="0.15">
      <c r="A116" s="149" t="s">
        <v>48</v>
      </c>
      <c r="B116" s="149" t="s">
        <v>290</v>
      </c>
      <c r="C116" s="149">
        <v>2020</v>
      </c>
      <c r="D116" s="157" t="s">
        <v>291</v>
      </c>
      <c r="E116" s="149" t="s">
        <v>326</v>
      </c>
      <c r="F116" s="149" t="s">
        <v>310</v>
      </c>
      <c r="G116" s="149" t="s">
        <v>25</v>
      </c>
      <c r="H116" s="149" t="s">
        <v>164</v>
      </c>
      <c r="I116" s="77" t="s">
        <v>111</v>
      </c>
      <c r="J116" s="77" t="s">
        <v>27</v>
      </c>
      <c r="K116" s="77" t="s">
        <v>112</v>
      </c>
      <c r="L116" s="77">
        <v>1</v>
      </c>
      <c r="N116" s="77">
        <v>1</v>
      </c>
      <c r="O116" s="77">
        <v>0.7</v>
      </c>
      <c r="P116" s="77">
        <v>0.8</v>
      </c>
      <c r="Q116" s="16">
        <f t="shared" si="3"/>
        <v>0.75</v>
      </c>
      <c r="R116" s="77">
        <v>15.8</v>
      </c>
      <c r="S116" s="77">
        <v>115</v>
      </c>
      <c r="T116" s="16">
        <f t="shared" si="4"/>
        <v>30</v>
      </c>
      <c r="U116" s="77">
        <v>158</v>
      </c>
      <c r="V116" s="16">
        <f t="shared" si="5"/>
        <v>4740</v>
      </c>
      <c r="W116" s="77">
        <v>8</v>
      </c>
      <c r="X116" s="77" t="s">
        <v>35</v>
      </c>
      <c r="Y116" s="77" t="s">
        <v>55</v>
      </c>
      <c r="Z116" s="77" t="s">
        <v>36</v>
      </c>
      <c r="AA116" s="77" t="s">
        <v>64</v>
      </c>
      <c r="AB116" s="149" t="s">
        <v>294</v>
      </c>
    </row>
    <row r="117" spans="1:28" x14ac:dyDescent="0.15">
      <c r="A117" s="149" t="s">
        <v>48</v>
      </c>
      <c r="B117" s="149" t="s">
        <v>290</v>
      </c>
      <c r="C117" s="149">
        <v>2020</v>
      </c>
      <c r="D117" s="157" t="s">
        <v>291</v>
      </c>
      <c r="E117" s="149" t="s">
        <v>326</v>
      </c>
      <c r="F117" s="149" t="s">
        <v>310</v>
      </c>
      <c r="G117" s="149" t="s">
        <v>25</v>
      </c>
      <c r="H117" s="149" t="s">
        <v>164</v>
      </c>
      <c r="I117" s="77" t="s">
        <v>111</v>
      </c>
      <c r="J117" s="77" t="s">
        <v>27</v>
      </c>
      <c r="K117" s="77" t="s">
        <v>112</v>
      </c>
      <c r="L117" s="77">
        <v>2</v>
      </c>
      <c r="N117" s="77">
        <v>1</v>
      </c>
      <c r="O117" s="77">
        <v>0.55000000000000004</v>
      </c>
      <c r="P117" s="77">
        <v>0.6</v>
      </c>
      <c r="Q117" s="16">
        <f t="shared" si="3"/>
        <v>0.57499999999999996</v>
      </c>
      <c r="R117" s="77">
        <v>16</v>
      </c>
      <c r="S117" s="77">
        <v>115</v>
      </c>
      <c r="T117" s="16">
        <f t="shared" si="4"/>
        <v>30</v>
      </c>
      <c r="U117" s="77">
        <v>158</v>
      </c>
      <c r="V117" s="16">
        <f t="shared" si="5"/>
        <v>4740</v>
      </c>
      <c r="W117" s="77">
        <v>8</v>
      </c>
      <c r="X117" s="77" t="s">
        <v>35</v>
      </c>
      <c r="Y117" s="77" t="s">
        <v>55</v>
      </c>
      <c r="Z117" s="77" t="s">
        <v>36</v>
      </c>
      <c r="AA117" s="77" t="s">
        <v>64</v>
      </c>
      <c r="AB117" s="149" t="s">
        <v>294</v>
      </c>
    </row>
    <row r="118" spans="1:28" x14ac:dyDescent="0.15">
      <c r="A118" s="149" t="s">
        <v>48</v>
      </c>
      <c r="B118" s="149" t="s">
        <v>290</v>
      </c>
      <c r="C118" s="149">
        <v>2020</v>
      </c>
      <c r="D118" s="157" t="s">
        <v>291</v>
      </c>
      <c r="E118" s="149" t="s">
        <v>326</v>
      </c>
      <c r="F118" s="149" t="s">
        <v>310</v>
      </c>
      <c r="G118" s="149" t="s">
        <v>25</v>
      </c>
      <c r="H118" s="149" t="s">
        <v>164</v>
      </c>
      <c r="I118" s="77" t="s">
        <v>111</v>
      </c>
      <c r="J118" s="77" t="s">
        <v>27</v>
      </c>
      <c r="K118" s="77" t="s">
        <v>112</v>
      </c>
      <c r="L118" s="77">
        <v>3</v>
      </c>
      <c r="N118" s="77">
        <v>1</v>
      </c>
      <c r="O118" s="77">
        <v>0.5</v>
      </c>
      <c r="P118" s="77">
        <v>0.5</v>
      </c>
      <c r="Q118" s="16">
        <f t="shared" si="3"/>
        <v>0.5</v>
      </c>
      <c r="R118" s="77">
        <v>17.3</v>
      </c>
      <c r="S118" s="77">
        <v>147</v>
      </c>
      <c r="T118" s="16">
        <f t="shared" si="4"/>
        <v>22</v>
      </c>
      <c r="U118" s="77">
        <v>158</v>
      </c>
      <c r="V118" s="16">
        <f t="shared" si="5"/>
        <v>3476</v>
      </c>
      <c r="W118" s="77">
        <v>8</v>
      </c>
      <c r="X118" s="77" t="s">
        <v>35</v>
      </c>
      <c r="Y118" s="77" t="s">
        <v>55</v>
      </c>
      <c r="Z118" s="77" t="s">
        <v>36</v>
      </c>
      <c r="AA118" s="77" t="s">
        <v>64</v>
      </c>
      <c r="AB118" s="149" t="s">
        <v>294</v>
      </c>
    </row>
    <row r="119" spans="1:28" x14ac:dyDescent="0.15">
      <c r="A119" s="149" t="s">
        <v>48</v>
      </c>
      <c r="B119" s="149" t="s">
        <v>290</v>
      </c>
      <c r="C119" s="149">
        <v>2020</v>
      </c>
      <c r="D119" s="157" t="s">
        <v>291</v>
      </c>
      <c r="E119" s="149" t="s">
        <v>326</v>
      </c>
      <c r="F119" s="149" t="s">
        <v>310</v>
      </c>
      <c r="G119" s="149" t="s">
        <v>25</v>
      </c>
      <c r="H119" s="149" t="s">
        <v>164</v>
      </c>
      <c r="I119" s="77" t="s">
        <v>111</v>
      </c>
      <c r="J119" s="77" t="s">
        <v>27</v>
      </c>
      <c r="K119" s="77" t="s">
        <v>112</v>
      </c>
      <c r="L119" s="77">
        <v>1</v>
      </c>
      <c r="N119" s="77">
        <v>4</v>
      </c>
      <c r="O119" s="77">
        <v>0.95</v>
      </c>
      <c r="P119" s="77">
        <v>0.85</v>
      </c>
      <c r="Q119" s="16">
        <f t="shared" si="3"/>
        <v>0.89999999999999991</v>
      </c>
      <c r="R119" s="77">
        <v>16.600000000000001</v>
      </c>
      <c r="S119" s="77">
        <v>112</v>
      </c>
      <c r="T119" s="16">
        <f t="shared" si="4"/>
        <v>33</v>
      </c>
      <c r="U119" s="77">
        <v>498</v>
      </c>
      <c r="V119" s="16">
        <f t="shared" si="5"/>
        <v>4108.5</v>
      </c>
      <c r="W119" s="77">
        <v>8</v>
      </c>
      <c r="X119" s="77" t="s">
        <v>35</v>
      </c>
      <c r="Y119" s="77" t="s">
        <v>55</v>
      </c>
      <c r="Z119" s="77" t="s">
        <v>36</v>
      </c>
      <c r="AA119" s="77" t="s">
        <v>64</v>
      </c>
      <c r="AB119" s="149" t="s">
        <v>294</v>
      </c>
    </row>
    <row r="120" spans="1:28" x14ac:dyDescent="0.15">
      <c r="A120" s="149" t="s">
        <v>48</v>
      </c>
      <c r="B120" s="149" t="s">
        <v>290</v>
      </c>
      <c r="C120" s="149">
        <v>2020</v>
      </c>
      <c r="D120" s="157" t="s">
        <v>291</v>
      </c>
      <c r="E120" s="149" t="s">
        <v>326</v>
      </c>
      <c r="F120" s="149" t="s">
        <v>310</v>
      </c>
      <c r="G120" s="149" t="s">
        <v>25</v>
      </c>
      <c r="H120" s="149" t="s">
        <v>164</v>
      </c>
      <c r="I120" s="77" t="s">
        <v>111</v>
      </c>
      <c r="J120" s="77" t="s">
        <v>27</v>
      </c>
      <c r="K120" s="77" t="s">
        <v>112</v>
      </c>
      <c r="L120" s="77">
        <v>2</v>
      </c>
      <c r="N120" s="77">
        <v>4</v>
      </c>
      <c r="O120" s="77">
        <v>0.6</v>
      </c>
      <c r="P120" s="77">
        <v>0.6</v>
      </c>
      <c r="Q120" s="16">
        <f t="shared" si="3"/>
        <v>0.6</v>
      </c>
      <c r="R120" s="77">
        <v>18</v>
      </c>
      <c r="S120" s="77">
        <v>104</v>
      </c>
      <c r="T120" s="16">
        <f t="shared" si="4"/>
        <v>33</v>
      </c>
      <c r="U120" s="77">
        <v>498</v>
      </c>
      <c r="V120" s="16">
        <f t="shared" si="5"/>
        <v>4108.5</v>
      </c>
      <c r="W120" s="77">
        <v>8</v>
      </c>
      <c r="X120" s="77" t="s">
        <v>35</v>
      </c>
      <c r="Y120" s="77" t="s">
        <v>55</v>
      </c>
      <c r="Z120" s="77" t="s">
        <v>36</v>
      </c>
      <c r="AA120" s="77" t="s">
        <v>64</v>
      </c>
      <c r="AB120" s="149" t="s">
        <v>294</v>
      </c>
    </row>
    <row r="121" spans="1:28" x14ac:dyDescent="0.15">
      <c r="A121" s="149" t="s">
        <v>48</v>
      </c>
      <c r="B121" s="149" t="s">
        <v>290</v>
      </c>
      <c r="C121" s="149">
        <v>2020</v>
      </c>
      <c r="D121" s="157" t="s">
        <v>291</v>
      </c>
      <c r="E121" s="149" t="s">
        <v>326</v>
      </c>
      <c r="F121" s="149" t="s">
        <v>310</v>
      </c>
      <c r="G121" s="149" t="s">
        <v>25</v>
      </c>
      <c r="H121" s="149" t="s">
        <v>164</v>
      </c>
      <c r="I121" s="77" t="s">
        <v>111</v>
      </c>
      <c r="J121" s="77" t="s">
        <v>27</v>
      </c>
      <c r="K121" s="77" t="s">
        <v>112</v>
      </c>
      <c r="L121" s="77">
        <v>3</v>
      </c>
      <c r="N121" s="77">
        <v>4</v>
      </c>
      <c r="O121" s="77">
        <v>0.5</v>
      </c>
      <c r="P121" s="77">
        <v>0.55000000000000004</v>
      </c>
      <c r="Q121" s="16">
        <f t="shared" si="3"/>
        <v>0.52500000000000002</v>
      </c>
      <c r="R121" s="77">
        <v>15.4</v>
      </c>
      <c r="S121" s="77">
        <v>114</v>
      </c>
      <c r="T121" s="16">
        <f t="shared" si="4"/>
        <v>30</v>
      </c>
      <c r="U121" s="77">
        <v>498</v>
      </c>
      <c r="V121" s="16">
        <f t="shared" si="5"/>
        <v>3735</v>
      </c>
      <c r="W121" s="77">
        <v>8</v>
      </c>
      <c r="X121" s="77" t="s">
        <v>35</v>
      </c>
      <c r="Y121" s="77" t="s">
        <v>55</v>
      </c>
      <c r="Z121" s="77" t="s">
        <v>36</v>
      </c>
      <c r="AA121" s="77" t="s">
        <v>64</v>
      </c>
      <c r="AB121" s="149" t="s">
        <v>294</v>
      </c>
    </row>
    <row r="122" spans="1:28" x14ac:dyDescent="0.15">
      <c r="A122" s="149" t="s">
        <v>48</v>
      </c>
      <c r="B122" s="149" t="s">
        <v>290</v>
      </c>
      <c r="C122" s="149">
        <v>2020</v>
      </c>
      <c r="D122" s="157" t="s">
        <v>291</v>
      </c>
      <c r="E122" s="149" t="s">
        <v>326</v>
      </c>
      <c r="F122" s="149" t="s">
        <v>310</v>
      </c>
      <c r="G122" s="149" t="s">
        <v>25</v>
      </c>
      <c r="H122" s="149" t="s">
        <v>113</v>
      </c>
      <c r="I122" s="77" t="s">
        <v>111</v>
      </c>
      <c r="J122" s="77" t="s">
        <v>27</v>
      </c>
      <c r="K122" s="77" t="s">
        <v>112</v>
      </c>
      <c r="L122" s="77">
        <v>1</v>
      </c>
      <c r="N122" s="77">
        <v>1</v>
      </c>
      <c r="O122" s="77">
        <v>0.75</v>
      </c>
      <c r="P122" s="77">
        <v>0.85</v>
      </c>
      <c r="Q122" s="16">
        <f t="shared" si="3"/>
        <v>0.8</v>
      </c>
      <c r="R122" s="77">
        <v>16.100000000000001</v>
      </c>
      <c r="S122" s="77">
        <v>133</v>
      </c>
      <c r="T122" s="16">
        <f t="shared" si="4"/>
        <v>25</v>
      </c>
      <c r="U122" s="77">
        <v>138</v>
      </c>
      <c r="V122" s="16">
        <f t="shared" si="5"/>
        <v>3450</v>
      </c>
      <c r="W122" s="77">
        <v>8</v>
      </c>
      <c r="X122" s="77" t="s">
        <v>35</v>
      </c>
      <c r="Y122" s="77" t="s">
        <v>55</v>
      </c>
      <c r="Z122" s="77" t="s">
        <v>36</v>
      </c>
      <c r="AA122" s="77" t="s">
        <v>64</v>
      </c>
      <c r="AB122" s="149" t="s">
        <v>294</v>
      </c>
    </row>
    <row r="123" spans="1:28" x14ac:dyDescent="0.15">
      <c r="A123" s="149" t="s">
        <v>48</v>
      </c>
      <c r="B123" s="149" t="s">
        <v>290</v>
      </c>
      <c r="C123" s="149">
        <v>2020</v>
      </c>
      <c r="D123" s="157" t="s">
        <v>291</v>
      </c>
      <c r="E123" s="149" t="s">
        <v>326</v>
      </c>
      <c r="F123" s="149" t="s">
        <v>310</v>
      </c>
      <c r="G123" s="149" t="s">
        <v>25</v>
      </c>
      <c r="H123" s="149" t="s">
        <v>113</v>
      </c>
      <c r="I123" s="77" t="s">
        <v>111</v>
      </c>
      <c r="J123" s="77" t="s">
        <v>27</v>
      </c>
      <c r="K123" s="77" t="s">
        <v>112</v>
      </c>
      <c r="L123" s="77">
        <v>2</v>
      </c>
      <c r="N123" s="77">
        <v>1</v>
      </c>
      <c r="O123" s="77">
        <v>0.75</v>
      </c>
      <c r="P123" s="77">
        <v>0.75</v>
      </c>
      <c r="Q123" s="16">
        <f t="shared" si="3"/>
        <v>0.75</v>
      </c>
      <c r="R123" s="77">
        <v>15.3</v>
      </c>
      <c r="S123" s="77">
        <v>140</v>
      </c>
      <c r="T123" s="16">
        <f t="shared" si="4"/>
        <v>22</v>
      </c>
      <c r="U123" s="77">
        <v>138</v>
      </c>
      <c r="V123" s="16">
        <f t="shared" si="5"/>
        <v>3036</v>
      </c>
      <c r="W123" s="77">
        <v>8</v>
      </c>
      <c r="X123" s="77" t="s">
        <v>35</v>
      </c>
      <c r="Y123" s="77" t="s">
        <v>55</v>
      </c>
      <c r="Z123" s="77" t="s">
        <v>36</v>
      </c>
      <c r="AA123" s="77" t="s">
        <v>64</v>
      </c>
      <c r="AB123" s="149" t="s">
        <v>294</v>
      </c>
    </row>
    <row r="124" spans="1:28" x14ac:dyDescent="0.15">
      <c r="A124" s="149" t="s">
        <v>48</v>
      </c>
      <c r="B124" s="149" t="s">
        <v>290</v>
      </c>
      <c r="C124" s="149">
        <v>2020</v>
      </c>
      <c r="D124" s="157" t="s">
        <v>291</v>
      </c>
      <c r="E124" s="149" t="s">
        <v>326</v>
      </c>
      <c r="F124" s="149" t="s">
        <v>310</v>
      </c>
      <c r="G124" s="149" t="s">
        <v>25</v>
      </c>
      <c r="H124" s="149" t="s">
        <v>113</v>
      </c>
      <c r="I124" s="77" t="s">
        <v>111</v>
      </c>
      <c r="J124" s="77" t="s">
        <v>27</v>
      </c>
      <c r="K124" s="77" t="s">
        <v>112</v>
      </c>
      <c r="L124" s="77">
        <v>3</v>
      </c>
      <c r="N124" s="77">
        <v>1</v>
      </c>
      <c r="O124" s="77">
        <v>0.7</v>
      </c>
      <c r="P124" s="77">
        <v>0.75</v>
      </c>
      <c r="Q124" s="16">
        <f t="shared" si="3"/>
        <v>0.72499999999999998</v>
      </c>
      <c r="R124" s="77">
        <v>15.2</v>
      </c>
      <c r="S124" s="77">
        <v>140</v>
      </c>
      <c r="T124" s="16">
        <f t="shared" si="4"/>
        <v>22</v>
      </c>
      <c r="U124" s="77">
        <v>138</v>
      </c>
      <c r="V124" s="16">
        <f t="shared" si="5"/>
        <v>3036</v>
      </c>
      <c r="W124" s="77">
        <v>8</v>
      </c>
      <c r="X124" s="77" t="s">
        <v>35</v>
      </c>
      <c r="Y124" s="77" t="s">
        <v>55</v>
      </c>
      <c r="Z124" s="77" t="s">
        <v>36</v>
      </c>
      <c r="AA124" s="77" t="s">
        <v>64</v>
      </c>
      <c r="AB124" s="149" t="s">
        <v>294</v>
      </c>
    </row>
    <row r="125" spans="1:28" x14ac:dyDescent="0.15">
      <c r="A125" s="149" t="s">
        <v>48</v>
      </c>
      <c r="B125" s="149" t="s">
        <v>290</v>
      </c>
      <c r="C125" s="149">
        <v>2020</v>
      </c>
      <c r="D125" s="157" t="s">
        <v>291</v>
      </c>
      <c r="E125" s="149" t="s">
        <v>326</v>
      </c>
      <c r="F125" s="149" t="s">
        <v>310</v>
      </c>
      <c r="G125" s="149" t="s">
        <v>25</v>
      </c>
      <c r="H125" s="149" t="s">
        <v>113</v>
      </c>
      <c r="I125" s="77" t="s">
        <v>111</v>
      </c>
      <c r="J125" s="77" t="s">
        <v>27</v>
      </c>
      <c r="K125" s="77" t="s">
        <v>112</v>
      </c>
      <c r="L125" s="77">
        <v>1</v>
      </c>
      <c r="N125" s="77">
        <v>4</v>
      </c>
      <c r="O125" s="77">
        <v>0.75</v>
      </c>
      <c r="P125" s="77">
        <v>0.85</v>
      </c>
      <c r="Q125" s="16">
        <f t="shared" si="3"/>
        <v>0.8</v>
      </c>
      <c r="R125" s="77">
        <v>14.1</v>
      </c>
      <c r="S125" s="77">
        <v>97</v>
      </c>
      <c r="T125" s="16">
        <f t="shared" si="4"/>
        <v>36</v>
      </c>
      <c r="U125" s="77">
        <v>398</v>
      </c>
      <c r="V125" s="16">
        <f t="shared" si="5"/>
        <v>3582</v>
      </c>
      <c r="W125" s="77">
        <v>8</v>
      </c>
      <c r="X125" s="77" t="s">
        <v>35</v>
      </c>
      <c r="Y125" s="77" t="s">
        <v>55</v>
      </c>
      <c r="Z125" s="77" t="s">
        <v>36</v>
      </c>
      <c r="AA125" s="77" t="s">
        <v>64</v>
      </c>
      <c r="AB125" s="149" t="s">
        <v>294</v>
      </c>
    </row>
    <row r="126" spans="1:28" x14ac:dyDescent="0.15">
      <c r="A126" s="149" t="s">
        <v>48</v>
      </c>
      <c r="B126" s="149" t="s">
        <v>290</v>
      </c>
      <c r="C126" s="149">
        <v>2020</v>
      </c>
      <c r="D126" s="157" t="s">
        <v>291</v>
      </c>
      <c r="E126" s="149" t="s">
        <v>326</v>
      </c>
      <c r="F126" s="149" t="s">
        <v>310</v>
      </c>
      <c r="G126" s="149" t="s">
        <v>25</v>
      </c>
      <c r="H126" s="149" t="s">
        <v>113</v>
      </c>
      <c r="I126" s="77" t="s">
        <v>111</v>
      </c>
      <c r="J126" s="77" t="s">
        <v>27</v>
      </c>
      <c r="K126" s="77" t="s">
        <v>112</v>
      </c>
      <c r="L126" s="77">
        <v>2</v>
      </c>
      <c r="N126" s="77">
        <v>4</v>
      </c>
      <c r="O126" s="77">
        <v>1.1000000000000001</v>
      </c>
      <c r="P126" s="77">
        <v>1</v>
      </c>
      <c r="Q126" s="16">
        <f t="shared" si="3"/>
        <v>1.05</v>
      </c>
      <c r="R126" s="77">
        <v>13</v>
      </c>
      <c r="S126" s="77">
        <v>103</v>
      </c>
      <c r="T126" s="16">
        <f t="shared" si="4"/>
        <v>33</v>
      </c>
      <c r="U126" s="77">
        <v>398</v>
      </c>
      <c r="V126" s="16">
        <f t="shared" si="5"/>
        <v>3283.5</v>
      </c>
      <c r="W126" s="77">
        <v>8</v>
      </c>
      <c r="X126" s="77" t="s">
        <v>35</v>
      </c>
      <c r="Y126" s="77" t="s">
        <v>55</v>
      </c>
      <c r="Z126" s="77" t="s">
        <v>36</v>
      </c>
      <c r="AA126" s="77" t="s">
        <v>64</v>
      </c>
      <c r="AB126" s="149" t="s">
        <v>294</v>
      </c>
    </row>
    <row r="127" spans="1:28" x14ac:dyDescent="0.15">
      <c r="A127" s="149" t="s">
        <v>48</v>
      </c>
      <c r="B127" s="149" t="s">
        <v>290</v>
      </c>
      <c r="C127" s="149">
        <v>2020</v>
      </c>
      <c r="D127" s="157" t="s">
        <v>291</v>
      </c>
      <c r="E127" s="149" t="s">
        <v>326</v>
      </c>
      <c r="F127" s="149" t="s">
        <v>310</v>
      </c>
      <c r="G127" s="149" t="s">
        <v>25</v>
      </c>
      <c r="H127" s="149" t="s">
        <v>113</v>
      </c>
      <c r="I127" s="77" t="s">
        <v>111</v>
      </c>
      <c r="J127" s="77" t="s">
        <v>27</v>
      </c>
      <c r="K127" s="77" t="s">
        <v>112</v>
      </c>
      <c r="L127" s="77">
        <v>3</v>
      </c>
      <c r="N127" s="77">
        <v>4</v>
      </c>
      <c r="O127" s="77">
        <v>1</v>
      </c>
      <c r="P127" s="77">
        <v>1.1000000000000001</v>
      </c>
      <c r="Q127" s="16">
        <f t="shared" si="3"/>
        <v>1.05</v>
      </c>
      <c r="R127" s="77">
        <v>13.8</v>
      </c>
      <c r="S127" s="77">
        <v>100</v>
      </c>
      <c r="T127" s="16">
        <f t="shared" si="4"/>
        <v>33</v>
      </c>
      <c r="U127" s="77">
        <v>398</v>
      </c>
      <c r="V127" s="16">
        <f t="shared" si="5"/>
        <v>3283.5</v>
      </c>
      <c r="W127" s="77">
        <v>8</v>
      </c>
      <c r="X127" s="77" t="s">
        <v>35</v>
      </c>
      <c r="Y127" s="77" t="s">
        <v>55</v>
      </c>
      <c r="Z127" s="77" t="s">
        <v>36</v>
      </c>
      <c r="AA127" s="77" t="s">
        <v>64</v>
      </c>
      <c r="AB127" s="149" t="s">
        <v>294</v>
      </c>
    </row>
    <row r="128" spans="1:28" x14ac:dyDescent="0.15">
      <c r="A128" s="149" t="s">
        <v>48</v>
      </c>
      <c r="B128" s="149" t="s">
        <v>290</v>
      </c>
      <c r="C128" s="149">
        <v>2020</v>
      </c>
      <c r="D128" s="157" t="s">
        <v>291</v>
      </c>
      <c r="E128" s="149" t="s">
        <v>326</v>
      </c>
      <c r="F128" s="149" t="s">
        <v>310</v>
      </c>
      <c r="G128" s="149" t="s">
        <v>25</v>
      </c>
      <c r="H128" s="149" t="s">
        <v>107</v>
      </c>
      <c r="I128" s="77" t="s">
        <v>111</v>
      </c>
      <c r="J128" s="77" t="s">
        <v>66</v>
      </c>
      <c r="K128" s="77" t="s">
        <v>42</v>
      </c>
      <c r="L128" s="77">
        <v>1</v>
      </c>
      <c r="N128" s="77">
        <v>4</v>
      </c>
      <c r="O128" s="77">
        <v>0.85</v>
      </c>
      <c r="P128" s="77">
        <v>0.75</v>
      </c>
      <c r="Q128" s="16">
        <f t="shared" si="3"/>
        <v>0.8</v>
      </c>
      <c r="R128" s="77">
        <v>14.8</v>
      </c>
      <c r="S128" s="77">
        <v>77</v>
      </c>
      <c r="T128" s="16">
        <f t="shared" si="4"/>
        <v>39</v>
      </c>
      <c r="U128" s="77">
        <v>398</v>
      </c>
      <c r="V128" s="16">
        <f t="shared" si="5"/>
        <v>3880.5</v>
      </c>
      <c r="W128" s="77">
        <v>8</v>
      </c>
      <c r="X128" s="77" t="s">
        <v>35</v>
      </c>
      <c r="Y128" s="77" t="s">
        <v>55</v>
      </c>
      <c r="Z128" s="77" t="s">
        <v>36</v>
      </c>
      <c r="AA128" s="77" t="s">
        <v>64</v>
      </c>
      <c r="AB128" s="149" t="s">
        <v>294</v>
      </c>
    </row>
    <row r="129" spans="1:28" x14ac:dyDescent="0.15">
      <c r="A129" s="149" t="s">
        <v>48</v>
      </c>
      <c r="B129" s="149" t="s">
        <v>290</v>
      </c>
      <c r="C129" s="149">
        <v>2020</v>
      </c>
      <c r="D129" s="157" t="s">
        <v>291</v>
      </c>
      <c r="E129" s="149" t="s">
        <v>326</v>
      </c>
      <c r="F129" s="149" t="s">
        <v>310</v>
      </c>
      <c r="G129" s="149" t="s">
        <v>25</v>
      </c>
      <c r="H129" s="149" t="s">
        <v>107</v>
      </c>
      <c r="I129" s="77" t="s">
        <v>111</v>
      </c>
      <c r="J129" s="77" t="s">
        <v>66</v>
      </c>
      <c r="K129" s="77" t="s">
        <v>42</v>
      </c>
      <c r="L129" s="77">
        <v>2</v>
      </c>
      <c r="N129" s="77">
        <v>4</v>
      </c>
      <c r="O129" s="77">
        <v>0.65</v>
      </c>
      <c r="P129" s="77">
        <v>0.7</v>
      </c>
      <c r="Q129" s="16">
        <f t="shared" si="3"/>
        <v>0.67500000000000004</v>
      </c>
      <c r="R129" s="77">
        <v>15.1</v>
      </c>
      <c r="S129" s="77">
        <v>77</v>
      </c>
      <c r="T129" s="16">
        <f t="shared" si="4"/>
        <v>39</v>
      </c>
      <c r="U129" s="77">
        <v>398</v>
      </c>
      <c r="V129" s="16">
        <f t="shared" si="5"/>
        <v>3880.5</v>
      </c>
      <c r="W129" s="77">
        <v>8</v>
      </c>
      <c r="X129" s="77" t="s">
        <v>35</v>
      </c>
      <c r="Y129" s="77" t="s">
        <v>55</v>
      </c>
      <c r="Z129" s="77" t="s">
        <v>36</v>
      </c>
      <c r="AA129" s="77" t="s">
        <v>64</v>
      </c>
      <c r="AB129" s="149" t="s">
        <v>294</v>
      </c>
    </row>
    <row r="130" spans="1:28" x14ac:dyDescent="0.15">
      <c r="A130" s="149" t="s">
        <v>48</v>
      </c>
      <c r="B130" s="149" t="s">
        <v>290</v>
      </c>
      <c r="C130" s="149">
        <v>2020</v>
      </c>
      <c r="D130" s="157" t="s">
        <v>291</v>
      </c>
      <c r="E130" s="149" t="s">
        <v>326</v>
      </c>
      <c r="F130" s="149" t="s">
        <v>310</v>
      </c>
      <c r="G130" s="149" t="s">
        <v>25</v>
      </c>
      <c r="H130" s="149" t="s">
        <v>107</v>
      </c>
      <c r="I130" s="77" t="s">
        <v>111</v>
      </c>
      <c r="J130" s="77" t="s">
        <v>66</v>
      </c>
      <c r="K130" s="77" t="s">
        <v>42</v>
      </c>
      <c r="L130" s="77">
        <v>3</v>
      </c>
      <c r="N130" s="77">
        <v>4</v>
      </c>
      <c r="O130" s="77">
        <v>0.75</v>
      </c>
      <c r="P130" s="77">
        <v>0.95</v>
      </c>
      <c r="Q130" s="16">
        <f t="shared" si="3"/>
        <v>0.85</v>
      </c>
      <c r="R130" s="77">
        <v>14.9</v>
      </c>
      <c r="S130" s="77">
        <v>94</v>
      </c>
      <c r="T130" s="16">
        <f t="shared" si="4"/>
        <v>36</v>
      </c>
      <c r="U130" s="77">
        <v>398</v>
      </c>
      <c r="V130" s="16">
        <f t="shared" si="5"/>
        <v>3582</v>
      </c>
      <c r="W130" s="77">
        <v>8</v>
      </c>
      <c r="X130" s="77" t="s">
        <v>35</v>
      </c>
      <c r="Y130" s="77" t="s">
        <v>55</v>
      </c>
      <c r="Z130" s="77" t="s">
        <v>36</v>
      </c>
      <c r="AA130" s="77" t="s">
        <v>64</v>
      </c>
      <c r="AB130" s="149" t="s">
        <v>294</v>
      </c>
    </row>
    <row r="131" spans="1:28" x14ac:dyDescent="0.15">
      <c r="A131" s="149" t="s">
        <v>48</v>
      </c>
      <c r="B131" s="149" t="s">
        <v>290</v>
      </c>
      <c r="C131" s="149">
        <v>2020</v>
      </c>
      <c r="D131" s="157" t="s">
        <v>291</v>
      </c>
      <c r="E131" s="149" t="s">
        <v>327</v>
      </c>
      <c r="F131" s="149" t="s">
        <v>310</v>
      </c>
      <c r="G131" s="149" t="s">
        <v>25</v>
      </c>
      <c r="H131" s="149" t="s">
        <v>164</v>
      </c>
      <c r="I131" s="77" t="s">
        <v>111</v>
      </c>
      <c r="J131" s="77" t="s">
        <v>27</v>
      </c>
      <c r="K131" s="77" t="s">
        <v>112</v>
      </c>
      <c r="L131" s="77">
        <v>1</v>
      </c>
      <c r="N131" s="77">
        <v>1</v>
      </c>
      <c r="O131" s="77">
        <v>0.5</v>
      </c>
      <c r="P131" s="77">
        <v>0.5</v>
      </c>
      <c r="Q131" s="16">
        <f t="shared" si="3"/>
        <v>0.5</v>
      </c>
      <c r="R131" s="77">
        <v>19.5</v>
      </c>
      <c r="S131" s="77">
        <v>148</v>
      </c>
      <c r="T131" s="16">
        <f t="shared" si="4"/>
        <v>22</v>
      </c>
      <c r="U131" s="77">
        <v>158</v>
      </c>
      <c r="V131" s="16">
        <f t="shared" si="5"/>
        <v>3476</v>
      </c>
      <c r="W131" s="77">
        <v>7</v>
      </c>
      <c r="X131" s="77" t="s">
        <v>35</v>
      </c>
      <c r="Y131" s="77" t="s">
        <v>55</v>
      </c>
      <c r="Z131" s="77" t="s">
        <v>36</v>
      </c>
      <c r="AA131" s="77" t="s">
        <v>29</v>
      </c>
      <c r="AB131" s="149" t="s">
        <v>294</v>
      </c>
    </row>
    <row r="132" spans="1:28" x14ac:dyDescent="0.15">
      <c r="A132" s="149" t="s">
        <v>48</v>
      </c>
      <c r="B132" s="149" t="s">
        <v>290</v>
      </c>
      <c r="C132" s="149">
        <v>2020</v>
      </c>
      <c r="D132" s="157" t="s">
        <v>291</v>
      </c>
      <c r="E132" s="149" t="s">
        <v>327</v>
      </c>
      <c r="F132" s="149" t="s">
        <v>310</v>
      </c>
      <c r="G132" s="149" t="s">
        <v>25</v>
      </c>
      <c r="H132" s="149" t="s">
        <v>164</v>
      </c>
      <c r="I132" s="77" t="s">
        <v>111</v>
      </c>
      <c r="J132" s="77" t="s">
        <v>27</v>
      </c>
      <c r="K132" s="77" t="s">
        <v>112</v>
      </c>
      <c r="L132" s="77">
        <v>2</v>
      </c>
      <c r="N132" s="77">
        <v>1</v>
      </c>
      <c r="O132" s="77">
        <v>0.5</v>
      </c>
      <c r="P132" s="77">
        <v>0.5</v>
      </c>
      <c r="Q132" s="16">
        <f t="shared" si="3"/>
        <v>0.5</v>
      </c>
      <c r="R132" s="77">
        <v>19</v>
      </c>
      <c r="S132" s="77">
        <v>161</v>
      </c>
      <c r="T132" s="16">
        <f t="shared" si="4"/>
        <v>18</v>
      </c>
      <c r="U132" s="77">
        <v>158</v>
      </c>
      <c r="V132" s="16">
        <f t="shared" si="5"/>
        <v>2844</v>
      </c>
      <c r="W132" s="77">
        <v>7</v>
      </c>
      <c r="X132" s="77" t="s">
        <v>35</v>
      </c>
      <c r="Y132" s="77" t="s">
        <v>55</v>
      </c>
      <c r="Z132" s="77" t="s">
        <v>36</v>
      </c>
      <c r="AA132" s="77" t="s">
        <v>29</v>
      </c>
      <c r="AB132" s="149" t="s">
        <v>294</v>
      </c>
    </row>
    <row r="133" spans="1:28" x14ac:dyDescent="0.15">
      <c r="A133" s="149" t="s">
        <v>48</v>
      </c>
      <c r="B133" s="149" t="s">
        <v>290</v>
      </c>
      <c r="C133" s="149">
        <v>2020</v>
      </c>
      <c r="D133" s="157" t="s">
        <v>291</v>
      </c>
      <c r="E133" s="149" t="s">
        <v>327</v>
      </c>
      <c r="F133" s="149" t="s">
        <v>310</v>
      </c>
      <c r="G133" s="149" t="s">
        <v>25</v>
      </c>
      <c r="H133" s="149" t="s">
        <v>164</v>
      </c>
      <c r="I133" s="77" t="s">
        <v>111</v>
      </c>
      <c r="J133" s="77" t="s">
        <v>27</v>
      </c>
      <c r="K133" s="77" t="s">
        <v>112</v>
      </c>
      <c r="L133" s="77">
        <v>3</v>
      </c>
      <c r="N133" s="77">
        <v>1</v>
      </c>
      <c r="O133" s="77">
        <v>0.5</v>
      </c>
      <c r="P133" s="77">
        <v>0.5</v>
      </c>
      <c r="Q133" s="16">
        <f t="shared" si="3"/>
        <v>0.5</v>
      </c>
      <c r="R133" s="77">
        <v>17.399999999999999</v>
      </c>
      <c r="S133" s="77">
        <v>151</v>
      </c>
      <c r="T133" s="16">
        <f t="shared" si="4"/>
        <v>22</v>
      </c>
      <c r="U133" s="77">
        <v>158</v>
      </c>
      <c r="V133" s="16">
        <f t="shared" si="5"/>
        <v>3476</v>
      </c>
      <c r="W133" s="77">
        <v>7</v>
      </c>
      <c r="X133" s="77" t="s">
        <v>35</v>
      </c>
      <c r="Y133" s="77" t="s">
        <v>55</v>
      </c>
      <c r="Z133" s="77" t="s">
        <v>36</v>
      </c>
      <c r="AA133" s="77" t="s">
        <v>29</v>
      </c>
      <c r="AB133" s="149" t="s">
        <v>294</v>
      </c>
    </row>
    <row r="134" spans="1:28" x14ac:dyDescent="0.15">
      <c r="A134" s="149" t="s">
        <v>48</v>
      </c>
      <c r="B134" s="149" t="s">
        <v>290</v>
      </c>
      <c r="C134" s="149">
        <v>2020</v>
      </c>
      <c r="D134" s="157" t="s">
        <v>291</v>
      </c>
      <c r="E134" s="149" t="s">
        <v>327</v>
      </c>
      <c r="F134" s="149" t="s">
        <v>310</v>
      </c>
      <c r="G134" s="149" t="s">
        <v>25</v>
      </c>
      <c r="H134" s="149" t="s">
        <v>164</v>
      </c>
      <c r="I134" s="77" t="s">
        <v>111</v>
      </c>
      <c r="J134" s="77" t="s">
        <v>27</v>
      </c>
      <c r="K134" s="77" t="s">
        <v>112</v>
      </c>
      <c r="L134" s="77">
        <v>1</v>
      </c>
      <c r="N134" s="77">
        <v>4</v>
      </c>
      <c r="O134" s="77">
        <v>1</v>
      </c>
      <c r="P134" s="77">
        <v>0.9</v>
      </c>
      <c r="Q134" s="16">
        <f t="shared" si="3"/>
        <v>0.95</v>
      </c>
      <c r="R134" s="77">
        <v>14.7</v>
      </c>
      <c r="S134" s="77">
        <v>110</v>
      </c>
      <c r="T134" s="16">
        <f t="shared" si="4"/>
        <v>33</v>
      </c>
      <c r="U134" s="77">
        <v>498</v>
      </c>
      <c r="V134" s="16">
        <f t="shared" si="5"/>
        <v>4108.5</v>
      </c>
      <c r="W134" s="77">
        <v>7</v>
      </c>
      <c r="X134" s="77" t="s">
        <v>35</v>
      </c>
      <c r="Y134" s="77" t="s">
        <v>55</v>
      </c>
      <c r="Z134" s="77" t="s">
        <v>36</v>
      </c>
      <c r="AA134" s="77" t="s">
        <v>29</v>
      </c>
      <c r="AB134" s="149" t="s">
        <v>294</v>
      </c>
    </row>
    <row r="135" spans="1:28" x14ac:dyDescent="0.15">
      <c r="A135" s="149" t="s">
        <v>48</v>
      </c>
      <c r="B135" s="149" t="s">
        <v>290</v>
      </c>
      <c r="C135" s="149">
        <v>2020</v>
      </c>
      <c r="D135" s="157" t="s">
        <v>291</v>
      </c>
      <c r="E135" s="149" t="s">
        <v>327</v>
      </c>
      <c r="F135" s="149" t="s">
        <v>310</v>
      </c>
      <c r="G135" s="149" t="s">
        <v>25</v>
      </c>
      <c r="H135" s="149" t="s">
        <v>164</v>
      </c>
      <c r="I135" s="77" t="s">
        <v>111</v>
      </c>
      <c r="J135" s="77" t="s">
        <v>27</v>
      </c>
      <c r="K135" s="77" t="s">
        <v>112</v>
      </c>
      <c r="L135" s="77">
        <v>2</v>
      </c>
      <c r="N135" s="77">
        <v>4</v>
      </c>
      <c r="O135" s="77">
        <v>0.65</v>
      </c>
      <c r="P135" s="77">
        <v>0.5</v>
      </c>
      <c r="Q135" s="16">
        <f t="shared" si="3"/>
        <v>0.57499999999999996</v>
      </c>
      <c r="R135" s="77">
        <v>18.600000000000001</v>
      </c>
      <c r="S135" s="77">
        <v>108</v>
      </c>
      <c r="T135" s="16">
        <f t="shared" si="4"/>
        <v>33</v>
      </c>
      <c r="U135" s="77">
        <v>498</v>
      </c>
      <c r="V135" s="16">
        <f t="shared" si="5"/>
        <v>4108.5</v>
      </c>
      <c r="W135" s="77">
        <v>7</v>
      </c>
      <c r="X135" s="77" t="s">
        <v>35</v>
      </c>
      <c r="Y135" s="77" t="s">
        <v>55</v>
      </c>
      <c r="Z135" s="77" t="s">
        <v>36</v>
      </c>
      <c r="AA135" s="77" t="s">
        <v>29</v>
      </c>
      <c r="AB135" s="149" t="s">
        <v>294</v>
      </c>
    </row>
    <row r="136" spans="1:28" x14ac:dyDescent="0.15">
      <c r="A136" s="149" t="s">
        <v>48</v>
      </c>
      <c r="B136" s="149" t="s">
        <v>290</v>
      </c>
      <c r="C136" s="149">
        <v>2020</v>
      </c>
      <c r="D136" s="157" t="s">
        <v>291</v>
      </c>
      <c r="E136" s="149" t="s">
        <v>327</v>
      </c>
      <c r="F136" s="149" t="s">
        <v>310</v>
      </c>
      <c r="G136" s="149" t="s">
        <v>25</v>
      </c>
      <c r="H136" s="149" t="s">
        <v>164</v>
      </c>
      <c r="I136" s="77" t="s">
        <v>111</v>
      </c>
      <c r="J136" s="77" t="s">
        <v>27</v>
      </c>
      <c r="K136" s="77" t="s">
        <v>112</v>
      </c>
      <c r="L136" s="77">
        <v>3</v>
      </c>
      <c r="N136" s="77">
        <v>4</v>
      </c>
      <c r="O136" s="77">
        <v>0.7</v>
      </c>
      <c r="P136" s="77">
        <v>0.75</v>
      </c>
      <c r="Q136" s="16">
        <f t="shared" si="3"/>
        <v>0.72499999999999998</v>
      </c>
      <c r="R136" s="77">
        <v>15</v>
      </c>
      <c r="S136" s="77">
        <v>107</v>
      </c>
      <c r="T136" s="16">
        <f t="shared" si="4"/>
        <v>33</v>
      </c>
      <c r="U136" s="77">
        <v>498</v>
      </c>
      <c r="V136" s="16">
        <f t="shared" si="5"/>
        <v>4108.5</v>
      </c>
      <c r="W136" s="77">
        <v>7</v>
      </c>
      <c r="X136" s="77" t="s">
        <v>35</v>
      </c>
      <c r="Y136" s="77" t="s">
        <v>55</v>
      </c>
      <c r="Z136" s="77" t="s">
        <v>36</v>
      </c>
      <c r="AA136" s="77" t="s">
        <v>29</v>
      </c>
      <c r="AB136" s="149" t="s">
        <v>294</v>
      </c>
    </row>
    <row r="137" spans="1:28" x14ac:dyDescent="0.15">
      <c r="A137" s="149" t="s">
        <v>48</v>
      </c>
      <c r="B137" s="149" t="s">
        <v>290</v>
      </c>
      <c r="C137" s="149">
        <v>2020</v>
      </c>
      <c r="D137" s="157" t="s">
        <v>291</v>
      </c>
      <c r="E137" s="149" t="s">
        <v>327</v>
      </c>
      <c r="F137" s="149" t="s">
        <v>310</v>
      </c>
      <c r="G137" s="149" t="s">
        <v>25</v>
      </c>
      <c r="H137" s="149" t="s">
        <v>107</v>
      </c>
      <c r="I137" s="77" t="s">
        <v>111</v>
      </c>
      <c r="J137" s="77" t="s">
        <v>66</v>
      </c>
      <c r="K137" s="77" t="s">
        <v>42</v>
      </c>
      <c r="L137" s="77">
        <v>1</v>
      </c>
      <c r="N137" s="77">
        <v>1</v>
      </c>
      <c r="O137" s="77">
        <v>0.2</v>
      </c>
      <c r="P137" s="77">
        <v>0.9</v>
      </c>
      <c r="Q137" s="16">
        <f t="shared" si="3"/>
        <v>0.55000000000000004</v>
      </c>
      <c r="R137" s="77">
        <v>14.6</v>
      </c>
      <c r="S137" s="77">
        <v>115</v>
      </c>
      <c r="T137" s="16">
        <f t="shared" si="4"/>
        <v>30</v>
      </c>
      <c r="U137" s="77">
        <v>98</v>
      </c>
      <c r="V137" s="16">
        <f t="shared" si="5"/>
        <v>2940</v>
      </c>
      <c r="W137" s="77">
        <v>7</v>
      </c>
      <c r="X137" s="77" t="s">
        <v>35</v>
      </c>
      <c r="Y137" s="77" t="s">
        <v>55</v>
      </c>
      <c r="Z137" s="77" t="s">
        <v>36</v>
      </c>
      <c r="AA137" s="77" t="s">
        <v>29</v>
      </c>
      <c r="AB137" s="149" t="s">
        <v>294</v>
      </c>
    </row>
    <row r="138" spans="1:28" x14ac:dyDescent="0.15">
      <c r="A138" s="149" t="s">
        <v>48</v>
      </c>
      <c r="B138" s="149" t="s">
        <v>290</v>
      </c>
      <c r="C138" s="149">
        <v>2020</v>
      </c>
      <c r="D138" s="157" t="s">
        <v>291</v>
      </c>
      <c r="E138" s="149" t="s">
        <v>327</v>
      </c>
      <c r="F138" s="149" t="s">
        <v>310</v>
      </c>
      <c r="G138" s="149" t="s">
        <v>25</v>
      </c>
      <c r="H138" s="149" t="s">
        <v>107</v>
      </c>
      <c r="I138" s="77" t="s">
        <v>111</v>
      </c>
      <c r="J138" s="77" t="s">
        <v>66</v>
      </c>
      <c r="K138" s="77" t="s">
        <v>42</v>
      </c>
      <c r="L138" s="77">
        <v>2</v>
      </c>
      <c r="N138" s="77">
        <v>1</v>
      </c>
      <c r="O138" s="77">
        <v>0.5</v>
      </c>
      <c r="P138" s="77">
        <v>0.5</v>
      </c>
      <c r="Q138" s="16">
        <f t="shared" si="3"/>
        <v>0.5</v>
      </c>
      <c r="R138" s="77">
        <v>12.6</v>
      </c>
      <c r="S138" s="77">
        <v>110</v>
      </c>
      <c r="T138" s="16">
        <f t="shared" si="4"/>
        <v>33</v>
      </c>
      <c r="U138" s="77">
        <v>98</v>
      </c>
      <c r="V138" s="16">
        <f t="shared" si="5"/>
        <v>3234</v>
      </c>
      <c r="W138" s="77">
        <v>7</v>
      </c>
      <c r="X138" s="77" t="s">
        <v>35</v>
      </c>
      <c r="Y138" s="77" t="s">
        <v>55</v>
      </c>
      <c r="Z138" s="77" t="s">
        <v>36</v>
      </c>
      <c r="AA138" s="77" t="s">
        <v>29</v>
      </c>
      <c r="AB138" s="149" t="s">
        <v>294</v>
      </c>
    </row>
    <row r="139" spans="1:28" x14ac:dyDescent="0.15">
      <c r="A139" s="149" t="s">
        <v>48</v>
      </c>
      <c r="B139" s="149" t="s">
        <v>290</v>
      </c>
      <c r="C139" s="149">
        <v>2020</v>
      </c>
      <c r="D139" s="157" t="s">
        <v>291</v>
      </c>
      <c r="E139" s="149" t="s">
        <v>327</v>
      </c>
      <c r="F139" s="149" t="s">
        <v>310</v>
      </c>
      <c r="G139" s="149" t="s">
        <v>25</v>
      </c>
      <c r="H139" s="149" t="s">
        <v>107</v>
      </c>
      <c r="I139" s="77" t="s">
        <v>111</v>
      </c>
      <c r="J139" s="77" t="s">
        <v>66</v>
      </c>
      <c r="K139" s="77" t="s">
        <v>42</v>
      </c>
      <c r="L139" s="77">
        <v>3</v>
      </c>
      <c r="N139" s="77">
        <v>1</v>
      </c>
      <c r="O139" s="77">
        <v>0.75</v>
      </c>
      <c r="P139" s="77">
        <v>0.8</v>
      </c>
      <c r="Q139" s="16">
        <f t="shared" si="3"/>
        <v>0.77500000000000002</v>
      </c>
      <c r="R139" s="77">
        <v>14.2</v>
      </c>
      <c r="S139" s="77">
        <v>117</v>
      </c>
      <c r="T139" s="16">
        <f t="shared" si="4"/>
        <v>30</v>
      </c>
      <c r="U139" s="77">
        <v>98</v>
      </c>
      <c r="V139" s="16">
        <f t="shared" si="5"/>
        <v>2940</v>
      </c>
      <c r="W139" s="77">
        <v>7</v>
      </c>
      <c r="X139" s="77" t="s">
        <v>35</v>
      </c>
      <c r="Y139" s="77" t="s">
        <v>55</v>
      </c>
      <c r="Z139" s="77" t="s">
        <v>36</v>
      </c>
      <c r="AA139" s="77" t="s">
        <v>29</v>
      </c>
      <c r="AB139" s="149" t="s">
        <v>294</v>
      </c>
    </row>
    <row r="140" spans="1:28" x14ac:dyDescent="0.15">
      <c r="A140" s="149"/>
      <c r="B140" s="149"/>
      <c r="C140" s="149"/>
      <c r="D140" s="157"/>
      <c r="E140" s="149"/>
      <c r="F140" s="149"/>
      <c r="G140" s="149"/>
      <c r="H140" s="149"/>
      <c r="AB140" s="149"/>
    </row>
    <row r="141" spans="1:28" x14ac:dyDescent="0.15">
      <c r="A141" s="149"/>
      <c r="B141" s="149"/>
      <c r="C141" s="149"/>
      <c r="D141" s="157"/>
      <c r="E141" s="149"/>
      <c r="F141" s="149"/>
      <c r="G141" s="149"/>
      <c r="H141" s="149"/>
      <c r="AB141" s="149"/>
    </row>
    <row r="142" spans="1:28" x14ac:dyDescent="0.15">
      <c r="A142" s="149"/>
      <c r="B142" s="149"/>
      <c r="C142" s="149"/>
      <c r="D142" s="157"/>
      <c r="E142" s="149"/>
      <c r="F142" s="149"/>
      <c r="G142" s="149"/>
      <c r="H142" s="149"/>
      <c r="AB142" s="149"/>
    </row>
    <row r="143" spans="1:28" x14ac:dyDescent="0.15">
      <c r="A143" s="149"/>
      <c r="B143" s="149"/>
      <c r="C143" s="149"/>
      <c r="D143" s="157"/>
      <c r="E143" s="149"/>
      <c r="F143" s="149"/>
      <c r="G143" s="149"/>
      <c r="H143" s="149"/>
      <c r="AB143" s="149"/>
    </row>
    <row r="144" spans="1:28" x14ac:dyDescent="0.15">
      <c r="A144" s="149"/>
      <c r="B144" s="149"/>
      <c r="C144" s="149"/>
      <c r="D144" s="157"/>
      <c r="E144" s="149"/>
      <c r="F144" s="149"/>
      <c r="G144" s="149"/>
      <c r="H144" s="149"/>
      <c r="AB144" s="149"/>
    </row>
    <row r="145" spans="1:28" x14ac:dyDescent="0.15">
      <c r="A145" s="149"/>
      <c r="B145" s="149"/>
      <c r="C145" s="149"/>
      <c r="D145" s="157"/>
      <c r="E145" s="149"/>
      <c r="F145" s="149"/>
      <c r="G145" s="149"/>
      <c r="H145" s="149"/>
      <c r="AB145" s="149"/>
    </row>
    <row r="146" spans="1:28" x14ac:dyDescent="0.15">
      <c r="A146" s="149"/>
      <c r="B146" s="149"/>
      <c r="C146" s="149"/>
      <c r="D146" s="157"/>
      <c r="E146" s="149"/>
      <c r="F146" s="149"/>
      <c r="G146" s="149"/>
      <c r="H146" s="149"/>
      <c r="AB146" s="149"/>
    </row>
    <row r="147" spans="1:28" x14ac:dyDescent="0.15">
      <c r="A147" s="149"/>
      <c r="B147" s="149"/>
      <c r="C147" s="149"/>
      <c r="D147" s="157"/>
      <c r="E147" s="149"/>
      <c r="F147" s="149"/>
      <c r="G147" s="149"/>
      <c r="H147" s="149"/>
      <c r="AB147" s="149"/>
    </row>
    <row r="148" spans="1:28" x14ac:dyDescent="0.15">
      <c r="A148" s="149"/>
      <c r="B148" s="149"/>
      <c r="C148" s="149"/>
      <c r="D148" s="157"/>
      <c r="E148" s="149"/>
      <c r="F148" s="149"/>
      <c r="G148" s="149"/>
      <c r="H148" s="149"/>
      <c r="AB148" s="149"/>
    </row>
    <row r="149" spans="1:28" x14ac:dyDescent="0.15">
      <c r="A149" s="149"/>
      <c r="B149" s="149"/>
      <c r="C149" s="149"/>
      <c r="D149" s="157"/>
      <c r="E149" s="149"/>
      <c r="F149" s="149"/>
      <c r="G149" s="149"/>
      <c r="H149" s="149"/>
      <c r="AB149" s="149"/>
    </row>
    <row r="150" spans="1:28" x14ac:dyDescent="0.15">
      <c r="A150" s="149"/>
      <c r="B150" s="149"/>
      <c r="C150" s="149"/>
      <c r="D150" s="157"/>
      <c r="E150" s="149"/>
      <c r="F150" s="149"/>
      <c r="G150" s="149"/>
      <c r="H150" s="149"/>
      <c r="AB150" s="149"/>
    </row>
    <row r="151" spans="1:28" x14ac:dyDescent="0.15">
      <c r="A151" s="149"/>
      <c r="B151" s="149"/>
      <c r="C151" s="149"/>
      <c r="D151" s="157"/>
      <c r="E151" s="149"/>
      <c r="F151" s="149"/>
      <c r="G151" s="149"/>
      <c r="H151" s="149"/>
      <c r="AB151" s="149"/>
    </row>
    <row r="152" spans="1:28" x14ac:dyDescent="0.15">
      <c r="A152" s="149"/>
      <c r="B152" s="149"/>
      <c r="C152" s="149"/>
      <c r="D152" s="157"/>
      <c r="E152" s="149"/>
      <c r="F152" s="149"/>
      <c r="G152" s="149"/>
      <c r="H152" s="149"/>
      <c r="AB152" s="149"/>
    </row>
    <row r="153" spans="1:28" x14ac:dyDescent="0.15">
      <c r="A153" s="149"/>
      <c r="B153" s="149"/>
      <c r="C153" s="149"/>
      <c r="D153" s="157"/>
      <c r="E153" s="149"/>
      <c r="F153" s="149"/>
      <c r="G153" s="149"/>
      <c r="H153" s="149"/>
      <c r="AB153" s="149"/>
    </row>
    <row r="154" spans="1:28" x14ac:dyDescent="0.15">
      <c r="A154" s="149"/>
      <c r="B154" s="149"/>
      <c r="C154" s="149"/>
      <c r="D154" s="157"/>
      <c r="E154" s="149"/>
      <c r="F154" s="149"/>
      <c r="G154" s="149"/>
      <c r="H154" s="149"/>
      <c r="AB154" s="149"/>
    </row>
    <row r="155" spans="1:28" x14ac:dyDescent="0.15">
      <c r="A155" s="149"/>
      <c r="B155" s="149"/>
      <c r="C155" s="149"/>
      <c r="D155" s="157"/>
      <c r="E155" s="149"/>
      <c r="F155" s="149"/>
      <c r="G155" s="149"/>
      <c r="H155" s="149"/>
      <c r="AB155" s="149"/>
    </row>
    <row r="156" spans="1:28" x14ac:dyDescent="0.15">
      <c r="A156" s="149"/>
      <c r="B156" s="149"/>
      <c r="C156" s="149"/>
      <c r="D156" s="157"/>
      <c r="E156" s="149"/>
      <c r="F156" s="149"/>
      <c r="G156" s="149"/>
      <c r="H156" s="149"/>
      <c r="AB156" s="149"/>
    </row>
    <row r="157" spans="1:28" x14ac:dyDescent="0.15">
      <c r="A157" s="149"/>
      <c r="B157" s="149"/>
      <c r="C157" s="149"/>
      <c r="D157" s="157"/>
      <c r="E157" s="149"/>
      <c r="F157" s="149"/>
      <c r="G157" s="149"/>
      <c r="H157" s="149"/>
      <c r="AB157" s="149"/>
    </row>
    <row r="158" spans="1:28" x14ac:dyDescent="0.15">
      <c r="A158" s="149"/>
      <c r="B158" s="149"/>
      <c r="C158" s="149"/>
      <c r="D158" s="157"/>
      <c r="E158" s="149"/>
      <c r="F158" s="149"/>
      <c r="G158" s="149"/>
      <c r="H158" s="149"/>
      <c r="AB158" s="149"/>
    </row>
    <row r="159" spans="1:28" x14ac:dyDescent="0.15">
      <c r="A159" s="149"/>
      <c r="B159" s="149"/>
      <c r="C159" s="149"/>
      <c r="D159" s="157"/>
      <c r="E159" s="149"/>
      <c r="F159" s="149"/>
      <c r="G159" s="149"/>
      <c r="H159" s="149"/>
      <c r="AB159" s="149"/>
    </row>
    <row r="160" spans="1:28" x14ac:dyDescent="0.15">
      <c r="A160" s="149"/>
      <c r="B160" s="149"/>
      <c r="C160" s="149"/>
      <c r="D160" s="157"/>
      <c r="E160" s="149"/>
      <c r="F160" s="149"/>
      <c r="G160" s="149"/>
      <c r="H160" s="149"/>
      <c r="AB160" s="149"/>
    </row>
    <row r="161" spans="1:28" x14ac:dyDescent="0.15">
      <c r="A161" s="149"/>
      <c r="B161" s="149"/>
      <c r="C161" s="149"/>
      <c r="D161" s="157"/>
      <c r="E161" s="149"/>
      <c r="F161" s="149"/>
      <c r="G161" s="149"/>
      <c r="H161" s="149"/>
      <c r="AB161" s="149"/>
    </row>
    <row r="162" spans="1:28" x14ac:dyDescent="0.15">
      <c r="A162" s="149"/>
      <c r="B162" s="149"/>
      <c r="C162" s="149"/>
      <c r="D162" s="157"/>
      <c r="E162" s="149"/>
      <c r="F162" s="149"/>
      <c r="G162" s="149"/>
      <c r="H162" s="149"/>
      <c r="AB162" s="149"/>
    </row>
    <row r="163" spans="1:28" x14ac:dyDescent="0.15">
      <c r="A163" s="149"/>
      <c r="B163" s="149"/>
      <c r="C163" s="149"/>
      <c r="D163" s="157"/>
      <c r="E163" s="149"/>
      <c r="F163" s="149"/>
      <c r="G163" s="149"/>
      <c r="H163" s="149"/>
      <c r="AB163" s="149"/>
    </row>
    <row r="164" spans="1:28" x14ac:dyDescent="0.15">
      <c r="A164" s="149"/>
      <c r="B164" s="149"/>
      <c r="C164" s="149"/>
      <c r="D164" s="157"/>
      <c r="E164" s="149"/>
      <c r="F164" s="149"/>
      <c r="G164" s="149"/>
      <c r="H164" s="149"/>
      <c r="AB164" s="149"/>
    </row>
    <row r="165" spans="1:28" x14ac:dyDescent="0.15">
      <c r="A165" s="149"/>
      <c r="B165" s="149"/>
      <c r="C165" s="149"/>
      <c r="D165" s="157"/>
      <c r="E165" s="149"/>
      <c r="F165" s="149"/>
      <c r="G165" s="149"/>
      <c r="H165" s="149"/>
      <c r="AB165" s="149"/>
    </row>
    <row r="166" spans="1:28" x14ac:dyDescent="0.15">
      <c r="A166" s="149"/>
      <c r="B166" s="149"/>
      <c r="C166" s="149"/>
      <c r="D166" s="157"/>
      <c r="E166" s="149"/>
      <c r="F166" s="149"/>
      <c r="G166" s="149"/>
      <c r="H166" s="149"/>
      <c r="AB166" s="149"/>
    </row>
    <row r="167" spans="1:28" x14ac:dyDescent="0.15">
      <c r="A167" s="149"/>
      <c r="B167" s="149"/>
      <c r="C167" s="149"/>
      <c r="D167" s="157"/>
      <c r="E167" s="149"/>
      <c r="F167" s="149"/>
      <c r="G167" s="149"/>
      <c r="H167" s="149"/>
      <c r="AB167" s="149"/>
    </row>
    <row r="168" spans="1:28" x14ac:dyDescent="0.15">
      <c r="A168" s="149"/>
      <c r="B168" s="149"/>
      <c r="C168" s="149"/>
      <c r="D168" s="157"/>
      <c r="E168" s="149"/>
      <c r="F168" s="149"/>
      <c r="G168" s="149"/>
      <c r="H168" s="149"/>
      <c r="AB168" s="149"/>
    </row>
    <row r="169" spans="1:28" x14ac:dyDescent="0.15">
      <c r="A169" s="149"/>
      <c r="B169" s="149"/>
      <c r="C169" s="149"/>
      <c r="D169" s="157"/>
      <c r="E169" s="149"/>
      <c r="F169" s="149"/>
      <c r="G169" s="149"/>
      <c r="H169" s="149"/>
      <c r="AB169" s="149"/>
    </row>
    <row r="170" spans="1:28" x14ac:dyDescent="0.15">
      <c r="A170" s="149"/>
      <c r="B170" s="149"/>
      <c r="C170" s="149"/>
      <c r="D170" s="157"/>
      <c r="E170" s="149"/>
      <c r="F170" s="149"/>
      <c r="G170" s="149"/>
      <c r="H170" s="149"/>
      <c r="AB170" s="149"/>
    </row>
    <row r="171" spans="1:28" x14ac:dyDescent="0.15">
      <c r="A171" s="149"/>
      <c r="B171" s="149"/>
      <c r="C171" s="149"/>
      <c r="D171" s="157"/>
      <c r="E171" s="149"/>
      <c r="F171" s="149"/>
      <c r="G171" s="149"/>
      <c r="H171" s="149"/>
      <c r="AB171" s="149"/>
    </row>
    <row r="172" spans="1:28" x14ac:dyDescent="0.15">
      <c r="A172" s="149"/>
      <c r="B172" s="149"/>
      <c r="C172" s="149"/>
      <c r="D172" s="157"/>
      <c r="E172" s="149"/>
      <c r="F172" s="149"/>
      <c r="G172" s="149"/>
      <c r="H172" s="149"/>
      <c r="AB172" s="149"/>
    </row>
    <row r="173" spans="1:28" x14ac:dyDescent="0.15">
      <c r="A173" s="149"/>
      <c r="B173" s="149"/>
      <c r="C173" s="149"/>
      <c r="D173" s="157"/>
      <c r="E173" s="149"/>
      <c r="F173" s="149"/>
      <c r="G173" s="149"/>
      <c r="H173" s="149"/>
      <c r="AB173" s="149"/>
    </row>
    <row r="174" spans="1:28" x14ac:dyDescent="0.15">
      <c r="A174" s="149"/>
      <c r="B174" s="149"/>
      <c r="C174" s="149"/>
      <c r="D174" s="157"/>
      <c r="E174" s="149"/>
      <c r="F174" s="149"/>
      <c r="G174" s="149"/>
      <c r="H174" s="149"/>
      <c r="AB174" s="149"/>
    </row>
    <row r="175" spans="1:28" x14ac:dyDescent="0.15">
      <c r="A175" s="149"/>
      <c r="B175" s="149"/>
      <c r="C175" s="149"/>
      <c r="D175" s="157"/>
      <c r="E175" s="149"/>
      <c r="F175" s="149"/>
      <c r="G175" s="149"/>
      <c r="H175" s="149"/>
      <c r="AB175" s="149"/>
    </row>
    <row r="176" spans="1:28" x14ac:dyDescent="0.15">
      <c r="A176" s="149"/>
      <c r="B176" s="149"/>
      <c r="C176" s="149"/>
      <c r="D176" s="157"/>
      <c r="E176" s="149"/>
      <c r="F176" s="149"/>
      <c r="G176" s="149"/>
      <c r="H176" s="149"/>
      <c r="AB176" s="149"/>
    </row>
    <row r="177" spans="1:28" x14ac:dyDescent="0.15">
      <c r="A177" s="149"/>
      <c r="B177" s="149"/>
      <c r="C177" s="149"/>
      <c r="D177" s="157"/>
      <c r="E177" s="149"/>
      <c r="F177" s="149"/>
      <c r="G177" s="149"/>
      <c r="H177" s="149"/>
      <c r="AB177" s="149"/>
    </row>
    <row r="178" spans="1:28" x14ac:dyDescent="0.15">
      <c r="A178" s="149"/>
      <c r="B178" s="149"/>
      <c r="C178" s="149"/>
      <c r="D178" s="157"/>
      <c r="E178" s="149"/>
      <c r="F178" s="149"/>
      <c r="G178" s="149"/>
      <c r="H178" s="149"/>
      <c r="AB178" s="149"/>
    </row>
    <row r="179" spans="1:28" x14ac:dyDescent="0.15">
      <c r="A179" s="149"/>
      <c r="B179" s="149"/>
      <c r="C179" s="149"/>
      <c r="D179" s="157"/>
      <c r="E179" s="149"/>
      <c r="F179" s="149"/>
      <c r="G179" s="149"/>
      <c r="H179" s="149"/>
      <c r="AB179" s="149"/>
    </row>
    <row r="180" spans="1:28" x14ac:dyDescent="0.15">
      <c r="A180" s="149"/>
      <c r="B180" s="149"/>
      <c r="C180" s="149"/>
      <c r="D180" s="157"/>
      <c r="E180" s="149"/>
      <c r="F180" s="149"/>
      <c r="G180" s="149"/>
      <c r="H180" s="149"/>
      <c r="AB180" s="149"/>
    </row>
    <row r="181" spans="1:28" x14ac:dyDescent="0.15">
      <c r="A181" s="149"/>
      <c r="B181" s="149"/>
      <c r="C181" s="149"/>
      <c r="D181" s="157"/>
      <c r="E181" s="149"/>
      <c r="F181" s="149"/>
      <c r="G181" s="149"/>
      <c r="H181" s="149"/>
      <c r="AB181" s="149"/>
    </row>
    <row r="182" spans="1:28" x14ac:dyDescent="0.15">
      <c r="A182" s="149"/>
      <c r="B182" s="149"/>
      <c r="C182" s="149"/>
      <c r="D182" s="157"/>
      <c r="E182" s="149"/>
      <c r="F182" s="149"/>
      <c r="G182" s="149"/>
      <c r="H182" s="149"/>
      <c r="AB182" s="149"/>
    </row>
    <row r="183" spans="1:28" x14ac:dyDescent="0.15">
      <c r="A183" s="149"/>
      <c r="B183" s="149"/>
      <c r="C183" s="149"/>
      <c r="D183" s="157"/>
      <c r="E183" s="149"/>
      <c r="F183" s="149"/>
      <c r="G183" s="149"/>
      <c r="H183" s="149"/>
      <c r="AB183" s="149"/>
    </row>
    <row r="184" spans="1:28" x14ac:dyDescent="0.15">
      <c r="A184" s="149"/>
      <c r="B184" s="149"/>
      <c r="C184" s="149"/>
      <c r="D184" s="157"/>
      <c r="E184" s="149"/>
      <c r="F184" s="149"/>
      <c r="G184" s="149"/>
      <c r="H184" s="149"/>
      <c r="AB184" s="149"/>
    </row>
    <row r="185" spans="1:28" x14ac:dyDescent="0.15">
      <c r="A185" s="149"/>
      <c r="B185" s="149"/>
      <c r="C185" s="149"/>
      <c r="D185" s="157"/>
      <c r="E185" s="149"/>
      <c r="F185" s="149"/>
      <c r="G185" s="149"/>
      <c r="H185" s="149"/>
      <c r="AB185" s="149"/>
    </row>
    <row r="186" spans="1:28" x14ac:dyDescent="0.15">
      <c r="A186" s="149"/>
      <c r="B186" s="149"/>
      <c r="C186" s="149"/>
      <c r="D186" s="157"/>
      <c r="E186" s="149"/>
      <c r="F186" s="149"/>
      <c r="G186" s="149"/>
      <c r="H186" s="149"/>
      <c r="AB186" s="149"/>
    </row>
    <row r="187" spans="1:28" x14ac:dyDescent="0.15">
      <c r="A187" s="149"/>
      <c r="B187" s="149"/>
      <c r="C187" s="149"/>
      <c r="D187" s="157"/>
      <c r="E187" s="149"/>
      <c r="F187" s="149"/>
      <c r="G187" s="149"/>
      <c r="H187" s="149"/>
      <c r="AB187" s="149"/>
    </row>
    <row r="188" spans="1:28" x14ac:dyDescent="0.15">
      <c r="A188" s="149"/>
      <c r="B188" s="149"/>
      <c r="C188" s="149"/>
      <c r="D188" s="157"/>
      <c r="E188" s="149"/>
      <c r="F188" s="149"/>
      <c r="G188" s="149"/>
      <c r="H188" s="149"/>
      <c r="AB188" s="149"/>
    </row>
    <row r="189" spans="1:28" x14ac:dyDescent="0.15">
      <c r="A189" s="149"/>
      <c r="B189" s="149"/>
      <c r="C189" s="149"/>
      <c r="D189" s="157"/>
      <c r="E189" s="149"/>
      <c r="F189" s="149"/>
      <c r="G189" s="149"/>
      <c r="H189" s="149"/>
      <c r="AB189" s="149"/>
    </row>
    <row r="190" spans="1:28" x14ac:dyDescent="0.15">
      <c r="A190" s="149"/>
      <c r="B190" s="149"/>
      <c r="C190" s="149"/>
      <c r="D190" s="157"/>
      <c r="E190" s="149"/>
      <c r="F190" s="149"/>
      <c r="G190" s="149"/>
      <c r="H190" s="149"/>
      <c r="AB190" s="149"/>
    </row>
    <row r="191" spans="1:28" x14ac:dyDescent="0.15">
      <c r="A191" s="149"/>
      <c r="B191" s="149"/>
      <c r="C191" s="149"/>
      <c r="D191" s="157"/>
      <c r="E191" s="149"/>
      <c r="F191" s="149"/>
      <c r="G191" s="149"/>
      <c r="H191" s="149"/>
      <c r="AB191" s="149"/>
    </row>
    <row r="192" spans="1:28" x14ac:dyDescent="0.15">
      <c r="A192" s="149"/>
      <c r="B192" s="149"/>
      <c r="C192" s="149"/>
      <c r="D192" s="157"/>
      <c r="E192" s="149"/>
      <c r="F192" s="149"/>
      <c r="G192" s="149"/>
      <c r="H192" s="149"/>
      <c r="AB192" s="149"/>
    </row>
    <row r="193" spans="1:28" x14ac:dyDescent="0.15">
      <c r="A193" s="149"/>
      <c r="B193" s="149"/>
      <c r="C193" s="149"/>
      <c r="D193" s="157"/>
      <c r="E193" s="149"/>
      <c r="F193" s="149"/>
      <c r="G193" s="149"/>
      <c r="H193" s="149"/>
      <c r="AB193" s="149"/>
    </row>
    <row r="194" spans="1:28" x14ac:dyDescent="0.15">
      <c r="A194" s="149"/>
      <c r="B194" s="149"/>
      <c r="C194" s="149"/>
      <c r="D194" s="157"/>
      <c r="E194" s="149"/>
      <c r="F194" s="149"/>
      <c r="G194" s="149"/>
      <c r="H194" s="149"/>
      <c r="AB194" s="149"/>
    </row>
    <row r="195" spans="1:28" x14ac:dyDescent="0.15">
      <c r="A195" s="149"/>
      <c r="B195" s="149"/>
      <c r="C195" s="149"/>
      <c r="D195" s="157"/>
      <c r="E195" s="149"/>
      <c r="F195" s="149"/>
      <c r="G195" s="149"/>
      <c r="H195" s="149"/>
      <c r="AB195" s="149"/>
    </row>
    <row r="196" spans="1:28" x14ac:dyDescent="0.15">
      <c r="A196" s="149"/>
      <c r="B196" s="149"/>
      <c r="C196" s="149"/>
      <c r="D196" s="157"/>
      <c r="E196" s="149"/>
      <c r="F196" s="149"/>
      <c r="G196" s="149"/>
      <c r="H196" s="149"/>
      <c r="AB196" s="149"/>
    </row>
    <row r="197" spans="1:28" x14ac:dyDescent="0.15">
      <c r="A197" s="149"/>
      <c r="B197" s="149"/>
      <c r="C197" s="149"/>
      <c r="D197" s="157"/>
      <c r="E197" s="149"/>
      <c r="F197" s="149"/>
      <c r="G197" s="149"/>
      <c r="H197" s="149"/>
      <c r="AB197" s="149"/>
    </row>
    <row r="198" spans="1:28" x14ac:dyDescent="0.15">
      <c r="A198" s="149"/>
      <c r="B198" s="149"/>
      <c r="C198" s="149"/>
      <c r="D198" s="157"/>
      <c r="E198" s="149"/>
      <c r="F198" s="149"/>
      <c r="G198" s="149"/>
      <c r="H198" s="149"/>
      <c r="AB198" s="149"/>
    </row>
    <row r="199" spans="1:28" x14ac:dyDescent="0.15">
      <c r="A199" s="149"/>
      <c r="B199" s="149"/>
      <c r="C199" s="149"/>
      <c r="D199" s="157"/>
      <c r="E199" s="149"/>
      <c r="F199" s="149"/>
      <c r="G199" s="149"/>
      <c r="H199" s="149"/>
      <c r="AB199" s="149"/>
    </row>
    <row r="200" spans="1:28" x14ac:dyDescent="0.15">
      <c r="A200" s="149"/>
      <c r="B200" s="149"/>
      <c r="C200" s="149"/>
      <c r="D200" s="157"/>
      <c r="E200" s="149"/>
      <c r="F200" s="149"/>
      <c r="G200" s="149"/>
      <c r="H200" s="149"/>
      <c r="AB200" s="149"/>
    </row>
    <row r="201" spans="1:28" x14ac:dyDescent="0.15">
      <c r="A201" s="149"/>
      <c r="B201" s="149"/>
      <c r="C201" s="149"/>
      <c r="D201" s="157"/>
      <c r="E201" s="149"/>
      <c r="F201" s="149"/>
      <c r="G201" s="149"/>
      <c r="H201" s="149"/>
      <c r="AB201" s="149"/>
    </row>
    <row r="202" spans="1:28" x14ac:dyDescent="0.15">
      <c r="A202" s="149"/>
      <c r="B202" s="149"/>
      <c r="C202" s="149"/>
      <c r="D202" s="157"/>
      <c r="E202" s="149"/>
      <c r="F202" s="149"/>
      <c r="G202" s="149"/>
      <c r="H202" s="149"/>
      <c r="AB202" s="149"/>
    </row>
    <row r="203" spans="1:28" x14ac:dyDescent="0.15">
      <c r="A203" s="149"/>
      <c r="B203" s="149"/>
      <c r="C203" s="149"/>
      <c r="D203" s="157"/>
      <c r="E203" s="149"/>
      <c r="F203" s="149"/>
      <c r="G203" s="149"/>
      <c r="H203" s="149"/>
      <c r="AB203" s="149"/>
    </row>
    <row r="204" spans="1:28" x14ac:dyDescent="0.15">
      <c r="A204" s="149"/>
      <c r="B204" s="149"/>
      <c r="C204" s="149"/>
      <c r="D204" s="157"/>
      <c r="E204" s="149"/>
      <c r="F204" s="149"/>
      <c r="G204" s="149"/>
      <c r="H204" s="149"/>
      <c r="AB204" s="149"/>
    </row>
    <row r="205" spans="1:28" x14ac:dyDescent="0.15">
      <c r="A205" s="149"/>
      <c r="B205" s="149"/>
      <c r="C205" s="149"/>
      <c r="D205" s="157"/>
      <c r="E205" s="149"/>
      <c r="F205" s="149"/>
      <c r="G205" s="149"/>
      <c r="H205" s="149"/>
      <c r="AB205" s="149"/>
    </row>
    <row r="206" spans="1:28" x14ac:dyDescent="0.15">
      <c r="A206" s="149"/>
      <c r="B206" s="149"/>
      <c r="C206" s="149"/>
      <c r="D206" s="157"/>
      <c r="E206" s="149"/>
      <c r="F206" s="149"/>
      <c r="G206" s="149"/>
      <c r="H206" s="149"/>
      <c r="AB206" s="149"/>
    </row>
    <row r="207" spans="1:28" x14ac:dyDescent="0.15">
      <c r="A207" s="149"/>
      <c r="B207" s="149"/>
      <c r="C207" s="149"/>
      <c r="D207" s="157"/>
      <c r="E207" s="149"/>
      <c r="F207" s="149"/>
      <c r="G207" s="149"/>
      <c r="H207" s="149"/>
      <c r="AB207" s="149"/>
    </row>
    <row r="208" spans="1:28" x14ac:dyDescent="0.15">
      <c r="A208" s="149"/>
      <c r="B208" s="149"/>
      <c r="C208" s="149"/>
      <c r="D208" s="157"/>
      <c r="E208" s="149"/>
      <c r="F208" s="149"/>
      <c r="G208" s="149"/>
      <c r="H208" s="149"/>
      <c r="AB208" s="149"/>
    </row>
    <row r="209" spans="1:28" x14ac:dyDescent="0.15">
      <c r="A209" s="149"/>
      <c r="B209" s="149"/>
      <c r="C209" s="149"/>
      <c r="D209" s="157"/>
      <c r="E209" s="149"/>
      <c r="F209" s="149"/>
      <c r="G209" s="149"/>
      <c r="H209" s="149"/>
      <c r="AB209" s="149"/>
    </row>
    <row r="210" spans="1:28" x14ac:dyDescent="0.15">
      <c r="A210" s="149"/>
      <c r="B210" s="149"/>
      <c r="C210" s="149"/>
      <c r="D210" s="157"/>
      <c r="E210" s="149"/>
      <c r="F210" s="149"/>
      <c r="G210" s="149"/>
      <c r="H210" s="149"/>
      <c r="AB210" s="149"/>
    </row>
    <row r="211" spans="1:28" x14ac:dyDescent="0.15">
      <c r="A211" s="149"/>
      <c r="B211" s="149"/>
      <c r="C211" s="149"/>
      <c r="D211" s="157"/>
      <c r="E211" s="149"/>
      <c r="F211" s="149"/>
      <c r="G211" s="149"/>
      <c r="H211" s="149"/>
      <c r="AB211" s="149"/>
    </row>
    <row r="212" spans="1:28" x14ac:dyDescent="0.15">
      <c r="A212" s="149"/>
      <c r="B212" s="149"/>
      <c r="C212" s="149"/>
      <c r="D212" s="157"/>
      <c r="E212" s="149"/>
      <c r="F212" s="149"/>
      <c r="G212" s="149"/>
      <c r="H212" s="149"/>
      <c r="AB212" s="149"/>
    </row>
    <row r="213" spans="1:28" x14ac:dyDescent="0.15">
      <c r="A213" s="149"/>
      <c r="B213" s="149"/>
      <c r="C213" s="149"/>
      <c r="D213" s="157"/>
      <c r="E213" s="149"/>
      <c r="F213" s="149"/>
      <c r="G213" s="149"/>
      <c r="H213" s="149"/>
      <c r="AB213" s="149"/>
    </row>
    <row r="214" spans="1:28" x14ac:dyDescent="0.15">
      <c r="A214" s="149"/>
      <c r="B214" s="149"/>
      <c r="C214" s="149"/>
      <c r="D214" s="157"/>
      <c r="E214" s="149"/>
      <c r="F214" s="149"/>
      <c r="G214" s="149"/>
      <c r="H214" s="149"/>
      <c r="AB214" s="149"/>
    </row>
    <row r="215" spans="1:28" x14ac:dyDescent="0.15">
      <c r="A215" s="149"/>
      <c r="B215" s="149"/>
      <c r="C215" s="149"/>
      <c r="D215" s="157"/>
      <c r="E215" s="149"/>
      <c r="F215" s="149"/>
      <c r="G215" s="149"/>
      <c r="H215" s="149"/>
      <c r="AB215" s="149"/>
    </row>
    <row r="216" spans="1:28" x14ac:dyDescent="0.15">
      <c r="A216" s="149"/>
      <c r="B216" s="149"/>
      <c r="C216" s="149"/>
      <c r="D216" s="157"/>
      <c r="E216" s="149"/>
      <c r="F216" s="149"/>
      <c r="G216" s="149"/>
      <c r="H216" s="149"/>
      <c r="AB216" s="149"/>
    </row>
    <row r="217" spans="1:28" x14ac:dyDescent="0.15">
      <c r="A217" s="149"/>
      <c r="B217" s="149"/>
      <c r="C217" s="149"/>
      <c r="D217" s="157"/>
      <c r="E217" s="149"/>
      <c r="F217" s="149"/>
      <c r="G217" s="149"/>
      <c r="H217" s="149"/>
      <c r="AB217" s="149"/>
    </row>
    <row r="218" spans="1:28" x14ac:dyDescent="0.15">
      <c r="A218" s="149"/>
      <c r="B218" s="149"/>
      <c r="C218" s="149"/>
      <c r="D218" s="157"/>
      <c r="E218" s="149"/>
      <c r="F218" s="149"/>
      <c r="G218" s="149"/>
      <c r="H218" s="149"/>
      <c r="AB218" s="149"/>
    </row>
    <row r="219" spans="1:28" x14ac:dyDescent="0.15">
      <c r="A219" s="149"/>
      <c r="B219" s="149"/>
      <c r="C219" s="149"/>
      <c r="D219" s="157"/>
      <c r="E219" s="149"/>
      <c r="F219" s="149"/>
      <c r="G219" s="149"/>
      <c r="H219" s="149"/>
      <c r="AB219" s="149"/>
    </row>
    <row r="220" spans="1:28" x14ac:dyDescent="0.15">
      <c r="A220" s="149"/>
      <c r="B220" s="149"/>
      <c r="C220" s="149"/>
      <c r="D220" s="157"/>
      <c r="E220" s="149"/>
      <c r="F220" s="149"/>
      <c r="G220" s="149"/>
      <c r="H220" s="149"/>
      <c r="AB220" s="149"/>
    </row>
    <row r="221" spans="1:28" x14ac:dyDescent="0.15">
      <c r="A221" s="149"/>
      <c r="B221" s="149"/>
      <c r="C221" s="149"/>
      <c r="D221" s="157"/>
      <c r="E221" s="149"/>
      <c r="F221" s="149"/>
      <c r="G221" s="149"/>
      <c r="H221" s="149"/>
      <c r="AB221" s="149"/>
    </row>
    <row r="222" spans="1:28" x14ac:dyDescent="0.15">
      <c r="A222" s="149"/>
      <c r="B222" s="149"/>
      <c r="C222" s="149"/>
      <c r="D222" s="157"/>
      <c r="E222" s="149"/>
      <c r="F222" s="149"/>
      <c r="G222" s="149"/>
      <c r="H222" s="149"/>
      <c r="AB222" s="149"/>
    </row>
    <row r="223" spans="1:28" x14ac:dyDescent="0.15">
      <c r="A223" s="149"/>
      <c r="B223" s="149"/>
      <c r="C223" s="149"/>
      <c r="D223" s="157"/>
      <c r="E223" s="149"/>
      <c r="F223" s="149"/>
      <c r="G223" s="149"/>
      <c r="H223" s="149"/>
      <c r="AB223" s="149"/>
    </row>
    <row r="224" spans="1:28" x14ac:dyDescent="0.15">
      <c r="A224" s="149"/>
      <c r="B224" s="149"/>
      <c r="C224" s="149"/>
      <c r="D224" s="157"/>
      <c r="E224" s="149"/>
      <c r="F224" s="149"/>
      <c r="G224" s="149"/>
      <c r="H224" s="149"/>
      <c r="AB224" s="149"/>
    </row>
    <row r="225" spans="1:28" x14ac:dyDescent="0.15">
      <c r="A225" s="149"/>
      <c r="B225" s="149"/>
      <c r="C225" s="149"/>
      <c r="D225" s="157"/>
      <c r="E225" s="149"/>
      <c r="F225" s="149"/>
      <c r="G225" s="149"/>
      <c r="H225" s="149"/>
      <c r="AB225" s="149"/>
    </row>
    <row r="226" spans="1:28" x14ac:dyDescent="0.15">
      <c r="A226" s="149"/>
      <c r="B226" s="149"/>
      <c r="C226" s="149"/>
      <c r="D226" s="157"/>
      <c r="E226" s="149"/>
      <c r="F226" s="149"/>
      <c r="G226" s="149"/>
      <c r="H226" s="149"/>
      <c r="AB226" s="149"/>
    </row>
    <row r="227" spans="1:28" x14ac:dyDescent="0.15">
      <c r="A227" s="149"/>
      <c r="B227" s="149"/>
      <c r="C227" s="149"/>
      <c r="D227" s="157"/>
      <c r="E227" s="149"/>
      <c r="F227" s="149"/>
      <c r="G227" s="149"/>
      <c r="H227" s="149"/>
      <c r="AB227" s="149"/>
    </row>
    <row r="228" spans="1:28" x14ac:dyDescent="0.15">
      <c r="A228" s="149"/>
      <c r="B228" s="149"/>
      <c r="C228" s="149"/>
      <c r="D228" s="157"/>
      <c r="E228" s="149"/>
      <c r="F228" s="149"/>
      <c r="G228" s="149"/>
      <c r="H228" s="149"/>
      <c r="AB228" s="149"/>
    </row>
    <row r="229" spans="1:28" x14ac:dyDescent="0.15">
      <c r="A229" s="149"/>
      <c r="B229" s="149"/>
      <c r="C229" s="149"/>
      <c r="D229" s="157"/>
      <c r="E229" s="149"/>
      <c r="F229" s="149"/>
      <c r="G229" s="149"/>
      <c r="H229" s="149"/>
      <c r="AB229" s="149"/>
    </row>
    <row r="230" spans="1:28" x14ac:dyDescent="0.15">
      <c r="A230" s="149"/>
      <c r="B230" s="149"/>
      <c r="C230" s="149"/>
      <c r="D230" s="157"/>
      <c r="E230" s="149"/>
      <c r="F230" s="149"/>
      <c r="G230" s="149"/>
      <c r="H230" s="149"/>
      <c r="AB230" s="149"/>
    </row>
    <row r="231" spans="1:28" x14ac:dyDescent="0.15">
      <c r="A231" s="149"/>
      <c r="B231" s="149"/>
      <c r="C231" s="149"/>
      <c r="D231" s="157"/>
      <c r="E231" s="149"/>
      <c r="F231" s="149"/>
      <c r="G231" s="149"/>
      <c r="H231" s="149"/>
      <c r="AB231" s="149"/>
    </row>
    <row r="232" spans="1:28" x14ac:dyDescent="0.15">
      <c r="A232" s="149"/>
      <c r="B232" s="149"/>
      <c r="C232" s="149"/>
      <c r="D232" s="157"/>
      <c r="E232" s="149"/>
      <c r="F232" s="149"/>
      <c r="G232" s="149"/>
      <c r="H232" s="149"/>
      <c r="AB232" s="149"/>
    </row>
    <row r="233" spans="1:28" x14ac:dyDescent="0.15">
      <c r="A233" s="149"/>
      <c r="B233" s="149"/>
      <c r="C233" s="149"/>
      <c r="D233" s="157"/>
      <c r="E233" s="149"/>
      <c r="F233" s="149"/>
      <c r="G233" s="149"/>
      <c r="H233" s="149"/>
      <c r="AB233" s="149"/>
    </row>
    <row r="234" spans="1:28" x14ac:dyDescent="0.15">
      <c r="A234" s="149"/>
      <c r="B234" s="149"/>
      <c r="C234" s="149"/>
      <c r="D234" s="157"/>
      <c r="E234" s="149"/>
      <c r="F234" s="149"/>
      <c r="G234" s="149"/>
      <c r="H234" s="149"/>
      <c r="AB234" s="149"/>
    </row>
    <row r="235" spans="1:28" x14ac:dyDescent="0.15">
      <c r="A235" s="149"/>
      <c r="B235" s="149"/>
      <c r="C235" s="149"/>
      <c r="D235" s="157"/>
      <c r="E235" s="149"/>
      <c r="F235" s="149"/>
      <c r="G235" s="149"/>
      <c r="H235" s="149"/>
      <c r="AB235" s="149"/>
    </row>
    <row r="236" spans="1:28" x14ac:dyDescent="0.15">
      <c r="A236" s="149"/>
      <c r="B236" s="149"/>
      <c r="C236" s="149"/>
      <c r="D236" s="157"/>
      <c r="E236" s="149"/>
      <c r="F236" s="149"/>
      <c r="G236" s="149"/>
      <c r="H236" s="149"/>
      <c r="AB236" s="149"/>
    </row>
    <row r="237" spans="1:28" x14ac:dyDescent="0.15">
      <c r="A237" s="149"/>
      <c r="B237" s="149"/>
      <c r="C237" s="149"/>
      <c r="D237" s="157"/>
      <c r="E237" s="149"/>
      <c r="F237" s="149"/>
      <c r="G237" s="149"/>
      <c r="H237" s="149"/>
      <c r="AB237" s="149"/>
    </row>
    <row r="238" spans="1:28" x14ac:dyDescent="0.15">
      <c r="A238" s="149"/>
      <c r="B238" s="149"/>
      <c r="C238" s="149"/>
      <c r="D238" s="157"/>
      <c r="E238" s="149"/>
      <c r="F238" s="149"/>
      <c r="G238" s="149"/>
      <c r="H238" s="149"/>
      <c r="AB238" s="149"/>
    </row>
    <row r="239" spans="1:28" x14ac:dyDescent="0.15">
      <c r="A239" s="149"/>
      <c r="B239" s="149"/>
      <c r="C239" s="149"/>
      <c r="D239" s="157"/>
      <c r="E239" s="149"/>
      <c r="F239" s="149"/>
      <c r="G239" s="149"/>
      <c r="H239" s="149"/>
      <c r="AB239" s="149"/>
    </row>
    <row r="240" spans="1:28" x14ac:dyDescent="0.15">
      <c r="A240" s="149"/>
      <c r="B240" s="149"/>
      <c r="C240" s="149"/>
      <c r="D240" s="157"/>
      <c r="E240" s="149"/>
      <c r="F240" s="149"/>
      <c r="G240" s="149"/>
      <c r="H240" s="149"/>
      <c r="AB240" s="149"/>
    </row>
    <row r="241" spans="1:28" x14ac:dyDescent="0.15">
      <c r="A241" s="149"/>
      <c r="B241" s="149"/>
      <c r="C241" s="149"/>
      <c r="D241" s="157"/>
      <c r="E241" s="149"/>
      <c r="F241" s="149"/>
      <c r="G241" s="149"/>
      <c r="H241" s="149"/>
      <c r="AB241" s="149"/>
    </row>
    <row r="242" spans="1:28" x14ac:dyDescent="0.15">
      <c r="A242" s="149"/>
      <c r="B242" s="149"/>
      <c r="C242" s="149"/>
      <c r="D242" s="157"/>
      <c r="E242" s="149"/>
      <c r="F242" s="149"/>
      <c r="G242" s="149"/>
      <c r="H242" s="149"/>
      <c r="AB242" s="149"/>
    </row>
    <row r="243" spans="1:28" x14ac:dyDescent="0.15">
      <c r="A243" s="149"/>
      <c r="B243" s="149"/>
      <c r="C243" s="149"/>
      <c r="D243" s="157"/>
      <c r="E243" s="149"/>
      <c r="F243" s="149"/>
      <c r="G243" s="149"/>
      <c r="H243" s="149"/>
      <c r="AB243" s="149"/>
    </row>
    <row r="244" spans="1:28" x14ac:dyDescent="0.15">
      <c r="A244" s="149"/>
      <c r="B244" s="149"/>
      <c r="C244" s="149"/>
      <c r="D244" s="157"/>
      <c r="E244" s="149"/>
      <c r="F244" s="149"/>
      <c r="G244" s="149"/>
      <c r="H244" s="149"/>
      <c r="AB244" s="149"/>
    </row>
    <row r="245" spans="1:28" x14ac:dyDescent="0.15">
      <c r="A245" s="149"/>
      <c r="B245" s="149"/>
      <c r="C245" s="149"/>
      <c r="D245" s="157"/>
      <c r="E245" s="149"/>
      <c r="F245" s="149"/>
      <c r="G245" s="149"/>
      <c r="H245" s="149"/>
      <c r="AB245" s="149"/>
    </row>
    <row r="246" spans="1:28" x14ac:dyDescent="0.15">
      <c r="A246" s="149"/>
      <c r="B246" s="149"/>
      <c r="C246" s="149"/>
      <c r="D246" s="157"/>
      <c r="E246" s="149"/>
      <c r="F246" s="149"/>
      <c r="G246" s="149"/>
      <c r="H246" s="149"/>
      <c r="AB246" s="149"/>
    </row>
    <row r="247" spans="1:28" x14ac:dyDescent="0.15">
      <c r="A247" s="149"/>
      <c r="B247" s="149"/>
      <c r="C247" s="149"/>
      <c r="D247" s="157"/>
      <c r="E247" s="149"/>
      <c r="F247" s="149"/>
      <c r="G247" s="149"/>
      <c r="H247" s="149"/>
      <c r="AB247" s="149"/>
    </row>
    <row r="248" spans="1:28" x14ac:dyDescent="0.15">
      <c r="A248" s="149"/>
      <c r="B248" s="149"/>
      <c r="C248" s="149"/>
      <c r="D248" s="157"/>
      <c r="E248" s="149"/>
      <c r="F248" s="149"/>
      <c r="G248" s="149"/>
      <c r="H248" s="149"/>
      <c r="AB248" s="149"/>
    </row>
    <row r="249" spans="1:28" x14ac:dyDescent="0.15">
      <c r="A249" s="149"/>
      <c r="B249" s="149"/>
      <c r="C249" s="149"/>
      <c r="D249" s="157"/>
      <c r="E249" s="149"/>
      <c r="F249" s="149"/>
      <c r="G249" s="149"/>
      <c r="H249" s="149"/>
      <c r="AB249" s="149"/>
    </row>
    <row r="250" spans="1:28" x14ac:dyDescent="0.15">
      <c r="A250" s="149"/>
      <c r="B250" s="149"/>
      <c r="C250" s="149"/>
      <c r="D250" s="157"/>
      <c r="E250" s="149"/>
      <c r="F250" s="149"/>
      <c r="G250" s="149"/>
      <c r="H250" s="149"/>
      <c r="AB250" s="149"/>
    </row>
    <row r="251" spans="1:28" x14ac:dyDescent="0.15">
      <c r="A251" s="149"/>
      <c r="B251" s="149"/>
      <c r="C251" s="149"/>
      <c r="D251" s="157"/>
      <c r="E251" s="149"/>
      <c r="F251" s="149"/>
      <c r="G251" s="149"/>
      <c r="H251" s="149"/>
      <c r="AB251" s="149"/>
    </row>
    <row r="252" spans="1:28" x14ac:dyDescent="0.15">
      <c r="A252" s="149"/>
      <c r="B252" s="149"/>
      <c r="C252" s="149"/>
      <c r="D252" s="157"/>
      <c r="E252" s="149"/>
      <c r="F252" s="149"/>
      <c r="G252" s="149"/>
      <c r="H252" s="149"/>
      <c r="AB252" s="149"/>
    </row>
    <row r="253" spans="1:28" x14ac:dyDescent="0.15">
      <c r="A253" s="149"/>
      <c r="B253" s="149"/>
      <c r="C253" s="149"/>
      <c r="D253" s="157"/>
      <c r="E253" s="149"/>
      <c r="F253" s="149"/>
      <c r="G253" s="149"/>
      <c r="H253" s="149"/>
      <c r="AB253" s="149"/>
    </row>
    <row r="254" spans="1:28" x14ac:dyDescent="0.15">
      <c r="A254" s="149"/>
      <c r="B254" s="149"/>
      <c r="C254" s="149"/>
      <c r="D254" s="157"/>
      <c r="E254" s="149"/>
      <c r="F254" s="149"/>
      <c r="G254" s="149"/>
      <c r="H254" s="149"/>
      <c r="AB254" s="149"/>
    </row>
    <row r="255" spans="1:28" x14ac:dyDescent="0.15">
      <c r="A255" s="149"/>
      <c r="B255" s="149"/>
      <c r="C255" s="149"/>
      <c r="D255" s="157"/>
      <c r="E255" s="149"/>
      <c r="F255" s="149"/>
      <c r="G255" s="149"/>
      <c r="H255" s="149"/>
      <c r="AB255" s="149"/>
    </row>
    <row r="256" spans="1:28" x14ac:dyDescent="0.15">
      <c r="A256" s="149"/>
      <c r="B256" s="149"/>
      <c r="C256" s="149"/>
      <c r="D256" s="157"/>
      <c r="E256" s="149"/>
      <c r="F256" s="149"/>
      <c r="G256" s="149"/>
      <c r="H256" s="149"/>
      <c r="AB256" s="149"/>
    </row>
    <row r="257" spans="1:28" x14ac:dyDescent="0.15">
      <c r="A257" s="149"/>
      <c r="B257" s="149"/>
      <c r="C257" s="149"/>
      <c r="D257" s="157"/>
      <c r="E257" s="149"/>
      <c r="F257" s="149"/>
      <c r="G257" s="149"/>
      <c r="H257" s="149"/>
      <c r="AB257" s="149"/>
    </row>
    <row r="258" spans="1:28" x14ac:dyDescent="0.15">
      <c r="A258" s="149"/>
      <c r="B258" s="149"/>
      <c r="C258" s="149"/>
      <c r="D258" s="157"/>
      <c r="E258" s="149"/>
      <c r="F258" s="149"/>
      <c r="G258" s="149"/>
      <c r="H258" s="149"/>
      <c r="AB258" s="149"/>
    </row>
    <row r="259" spans="1:28" x14ac:dyDescent="0.15">
      <c r="A259" s="149"/>
      <c r="B259" s="149"/>
      <c r="C259" s="149"/>
      <c r="D259" s="157"/>
      <c r="E259" s="149"/>
      <c r="F259" s="149"/>
      <c r="G259" s="149"/>
      <c r="H259" s="149"/>
      <c r="AB259" s="149"/>
    </row>
    <row r="260" spans="1:28" x14ac:dyDescent="0.15">
      <c r="A260" s="149"/>
      <c r="B260" s="149"/>
      <c r="C260" s="149"/>
      <c r="D260" s="157"/>
      <c r="E260" s="149"/>
      <c r="F260" s="149"/>
      <c r="G260" s="149"/>
      <c r="H260" s="149"/>
      <c r="AB260" s="149"/>
    </row>
    <row r="261" spans="1:28" x14ac:dyDescent="0.15">
      <c r="A261" s="149"/>
      <c r="B261" s="149"/>
      <c r="C261" s="149"/>
      <c r="D261" s="157"/>
      <c r="E261" s="149"/>
      <c r="F261" s="149"/>
      <c r="G261" s="149"/>
      <c r="H261" s="149"/>
      <c r="AB261" s="149"/>
    </row>
    <row r="262" spans="1:28" x14ac:dyDescent="0.15">
      <c r="A262" s="149"/>
      <c r="B262" s="149"/>
      <c r="C262" s="149"/>
      <c r="D262" s="157"/>
      <c r="E262" s="149"/>
      <c r="F262" s="149"/>
      <c r="G262" s="149"/>
      <c r="H262" s="149"/>
      <c r="AB262" s="149"/>
    </row>
    <row r="263" spans="1:28" x14ac:dyDescent="0.15">
      <c r="A263" s="149"/>
      <c r="B263" s="149"/>
      <c r="C263" s="149"/>
      <c r="D263" s="157"/>
      <c r="E263" s="149"/>
      <c r="F263" s="149"/>
      <c r="G263" s="149"/>
      <c r="H263" s="149"/>
      <c r="AB263" s="149"/>
    </row>
    <row r="264" spans="1:28" x14ac:dyDescent="0.15">
      <c r="A264" s="149"/>
      <c r="B264" s="149"/>
      <c r="C264" s="149"/>
      <c r="D264" s="157"/>
      <c r="E264" s="149"/>
      <c r="F264" s="149"/>
      <c r="G264" s="149"/>
      <c r="H264" s="149"/>
      <c r="AB264" s="149"/>
    </row>
    <row r="265" spans="1:28" x14ac:dyDescent="0.15">
      <c r="A265" s="149"/>
      <c r="B265" s="149"/>
      <c r="C265" s="149"/>
      <c r="D265" s="157"/>
      <c r="E265" s="149"/>
      <c r="F265" s="149"/>
      <c r="G265" s="149"/>
      <c r="H265" s="149"/>
      <c r="AB265" s="149"/>
    </row>
    <row r="266" spans="1:28" x14ac:dyDescent="0.15">
      <c r="A266" s="149"/>
      <c r="B266" s="149"/>
      <c r="C266" s="149"/>
      <c r="D266" s="157"/>
      <c r="E266" s="149"/>
      <c r="F266" s="149"/>
      <c r="G266" s="149"/>
      <c r="H266" s="149"/>
      <c r="AB266" s="149"/>
    </row>
    <row r="267" spans="1:28" x14ac:dyDescent="0.15">
      <c r="A267" s="149"/>
      <c r="B267" s="149"/>
      <c r="C267" s="149"/>
      <c r="D267" s="157"/>
      <c r="E267" s="149"/>
      <c r="F267" s="149"/>
      <c r="G267" s="149"/>
      <c r="H267" s="149"/>
      <c r="AB267" s="149"/>
    </row>
    <row r="268" spans="1:28" x14ac:dyDescent="0.15">
      <c r="A268" s="149"/>
      <c r="B268" s="149"/>
      <c r="C268" s="149"/>
      <c r="D268" s="157"/>
      <c r="E268" s="149"/>
      <c r="F268" s="149"/>
      <c r="G268" s="149"/>
      <c r="H268" s="149"/>
      <c r="AB268" s="149"/>
    </row>
    <row r="269" spans="1:28" x14ac:dyDescent="0.15">
      <c r="A269" s="149"/>
      <c r="B269" s="149"/>
      <c r="C269" s="149"/>
      <c r="D269" s="157"/>
      <c r="E269" s="149"/>
      <c r="F269" s="149"/>
      <c r="G269" s="149"/>
      <c r="H269" s="149"/>
      <c r="AB269" s="149"/>
    </row>
    <row r="270" spans="1:28" x14ac:dyDescent="0.15">
      <c r="A270" s="149"/>
      <c r="B270" s="149"/>
      <c r="C270" s="149"/>
      <c r="D270" s="157"/>
      <c r="E270" s="149"/>
      <c r="F270" s="149"/>
      <c r="G270" s="149"/>
      <c r="H270" s="149"/>
      <c r="AB270" s="149"/>
    </row>
    <row r="271" spans="1:28" x14ac:dyDescent="0.15">
      <c r="A271" s="149"/>
      <c r="B271" s="149"/>
      <c r="C271" s="149"/>
      <c r="D271" s="157"/>
      <c r="E271" s="149"/>
      <c r="F271" s="149"/>
      <c r="G271" s="149"/>
      <c r="H271" s="149"/>
      <c r="AB271" s="149"/>
    </row>
    <row r="272" spans="1:28" x14ac:dyDescent="0.15">
      <c r="A272" s="149"/>
      <c r="B272" s="149"/>
      <c r="C272" s="149"/>
      <c r="D272" s="157"/>
      <c r="E272" s="149"/>
      <c r="F272" s="149"/>
      <c r="G272" s="149"/>
      <c r="H272" s="149"/>
      <c r="AB272" s="149"/>
    </row>
    <row r="273" spans="1:28" x14ac:dyDescent="0.15">
      <c r="A273" s="149"/>
      <c r="B273" s="149"/>
      <c r="C273" s="149"/>
      <c r="D273" s="157"/>
      <c r="E273" s="149"/>
      <c r="F273" s="149"/>
      <c r="G273" s="149"/>
      <c r="H273" s="149"/>
      <c r="AB273" s="149"/>
    </row>
    <row r="274" spans="1:28" x14ac:dyDescent="0.15">
      <c r="A274" s="149"/>
      <c r="B274" s="149"/>
      <c r="C274" s="149"/>
      <c r="D274" s="157"/>
      <c r="E274" s="149"/>
      <c r="F274" s="149"/>
      <c r="G274" s="149"/>
      <c r="H274" s="149"/>
      <c r="AB274" s="149"/>
    </row>
    <row r="275" spans="1:28" x14ac:dyDescent="0.15">
      <c r="A275" s="149"/>
      <c r="B275" s="149"/>
      <c r="C275" s="149"/>
      <c r="D275" s="157"/>
      <c r="E275" s="149"/>
      <c r="F275" s="149"/>
      <c r="G275" s="149"/>
      <c r="H275" s="149"/>
      <c r="AB275" s="149"/>
    </row>
    <row r="276" spans="1:28" x14ac:dyDescent="0.15">
      <c r="A276" s="149"/>
      <c r="B276" s="149"/>
      <c r="C276" s="149"/>
      <c r="D276" s="157"/>
      <c r="E276" s="149"/>
      <c r="F276" s="149"/>
      <c r="G276" s="149"/>
      <c r="H276" s="149"/>
      <c r="AB276" s="149"/>
    </row>
    <row r="277" spans="1:28" x14ac:dyDescent="0.15">
      <c r="A277" s="149"/>
      <c r="B277" s="149"/>
      <c r="C277" s="149"/>
      <c r="D277" s="157"/>
      <c r="E277" s="149"/>
      <c r="F277" s="149"/>
      <c r="G277" s="149"/>
      <c r="H277" s="149"/>
      <c r="AB277" s="149"/>
    </row>
    <row r="278" spans="1:28" x14ac:dyDescent="0.15">
      <c r="A278" s="149"/>
      <c r="B278" s="149"/>
      <c r="C278" s="149"/>
      <c r="D278" s="157"/>
      <c r="E278" s="149"/>
      <c r="F278" s="149"/>
      <c r="G278" s="149"/>
      <c r="H278" s="149"/>
      <c r="AB278" s="149"/>
    </row>
    <row r="279" spans="1:28" x14ac:dyDescent="0.15">
      <c r="A279" s="149"/>
      <c r="B279" s="149"/>
      <c r="C279" s="149"/>
      <c r="D279" s="157"/>
      <c r="E279" s="149"/>
      <c r="F279" s="149"/>
      <c r="G279" s="149"/>
      <c r="H279" s="149"/>
      <c r="AB279" s="149"/>
    </row>
    <row r="280" spans="1:28" x14ac:dyDescent="0.15">
      <c r="A280" s="149"/>
      <c r="B280" s="149"/>
      <c r="C280" s="149"/>
      <c r="D280" s="157"/>
      <c r="E280" s="149"/>
      <c r="F280" s="149"/>
      <c r="G280" s="149"/>
      <c r="H280" s="149"/>
      <c r="AB280" s="149"/>
    </row>
    <row r="281" spans="1:28" x14ac:dyDescent="0.15">
      <c r="A281" s="149"/>
      <c r="B281" s="149"/>
      <c r="C281" s="149"/>
      <c r="D281" s="157"/>
      <c r="E281" s="149"/>
      <c r="F281" s="149"/>
      <c r="G281" s="149"/>
      <c r="H281" s="149"/>
      <c r="AB281" s="149"/>
    </row>
    <row r="282" spans="1:28" x14ac:dyDescent="0.15">
      <c r="A282" s="149"/>
      <c r="B282" s="149"/>
      <c r="C282" s="149"/>
      <c r="D282" s="157"/>
      <c r="E282" s="149"/>
      <c r="F282" s="149"/>
      <c r="G282" s="149"/>
      <c r="H282" s="149"/>
      <c r="AB282" s="149"/>
    </row>
    <row r="283" spans="1:28" x14ac:dyDescent="0.15">
      <c r="A283" s="149"/>
      <c r="B283" s="149"/>
      <c r="C283" s="149"/>
      <c r="D283" s="157"/>
      <c r="E283" s="149"/>
      <c r="F283" s="149"/>
      <c r="G283" s="149"/>
      <c r="H283" s="149"/>
      <c r="AB283" s="149"/>
    </row>
    <row r="284" spans="1:28" x14ac:dyDescent="0.15">
      <c r="A284" s="149"/>
      <c r="B284" s="149"/>
      <c r="C284" s="149"/>
      <c r="D284" s="157"/>
      <c r="E284" s="149"/>
      <c r="F284" s="149"/>
      <c r="G284" s="149"/>
      <c r="H284" s="149"/>
      <c r="AB284" s="149"/>
    </row>
    <row r="285" spans="1:28" x14ac:dyDescent="0.15">
      <c r="A285" s="149"/>
      <c r="B285" s="149"/>
      <c r="C285" s="149"/>
      <c r="D285" s="157"/>
      <c r="E285" s="149"/>
      <c r="F285" s="149"/>
      <c r="G285" s="149"/>
      <c r="H285" s="149"/>
      <c r="AB285" s="149"/>
    </row>
    <row r="286" spans="1:28" x14ac:dyDescent="0.15">
      <c r="A286" s="149"/>
      <c r="B286" s="149"/>
      <c r="C286" s="149"/>
      <c r="D286" s="157"/>
      <c r="E286" s="149"/>
      <c r="F286" s="149"/>
      <c r="G286" s="149"/>
      <c r="H286" s="149"/>
      <c r="AB286" s="149"/>
    </row>
    <row r="287" spans="1:28" x14ac:dyDescent="0.15">
      <c r="A287" s="149"/>
      <c r="B287" s="149"/>
      <c r="C287" s="149"/>
      <c r="D287" s="157"/>
      <c r="E287" s="149"/>
      <c r="F287" s="149"/>
      <c r="G287" s="149"/>
      <c r="H287" s="149"/>
      <c r="AB287" s="149"/>
    </row>
    <row r="288" spans="1:28" x14ac:dyDescent="0.15">
      <c r="A288" s="149"/>
      <c r="B288" s="149"/>
      <c r="C288" s="149"/>
      <c r="D288" s="157"/>
      <c r="E288" s="149"/>
      <c r="F288" s="149"/>
      <c r="G288" s="149"/>
      <c r="H288" s="149"/>
      <c r="AB288" s="149"/>
    </row>
    <row r="289" spans="1:28" x14ac:dyDescent="0.15">
      <c r="A289" s="149"/>
      <c r="B289" s="149"/>
      <c r="C289" s="149"/>
      <c r="D289" s="157"/>
      <c r="E289" s="149"/>
      <c r="F289" s="149"/>
      <c r="G289" s="149"/>
      <c r="H289" s="149"/>
      <c r="AB289" s="149"/>
    </row>
    <row r="290" spans="1:28" x14ac:dyDescent="0.15">
      <c r="A290" s="149"/>
      <c r="B290" s="149"/>
      <c r="C290" s="149"/>
      <c r="D290" s="157"/>
      <c r="E290" s="149"/>
      <c r="F290" s="149"/>
      <c r="G290" s="149"/>
      <c r="H290" s="149"/>
      <c r="AB290" s="149"/>
    </row>
    <row r="291" spans="1:28" x14ac:dyDescent="0.15">
      <c r="A291" s="149"/>
      <c r="B291" s="149"/>
      <c r="C291" s="149"/>
      <c r="D291" s="157"/>
      <c r="E291" s="149"/>
      <c r="F291" s="149"/>
      <c r="G291" s="149"/>
      <c r="H291" s="149"/>
      <c r="AB291" s="149"/>
    </row>
    <row r="292" spans="1:28" x14ac:dyDescent="0.15">
      <c r="A292" s="149"/>
      <c r="B292" s="149"/>
      <c r="C292" s="149"/>
      <c r="D292" s="157"/>
      <c r="E292" s="149"/>
      <c r="F292" s="149"/>
      <c r="G292" s="149"/>
      <c r="H292" s="149"/>
      <c r="AB292" s="149"/>
    </row>
    <row r="293" spans="1:28" x14ac:dyDescent="0.15">
      <c r="A293" s="149"/>
      <c r="B293" s="149"/>
      <c r="C293" s="149"/>
      <c r="D293" s="157"/>
      <c r="E293" s="149"/>
      <c r="F293" s="149"/>
      <c r="G293" s="149"/>
      <c r="H293" s="149"/>
      <c r="AB293" s="149"/>
    </row>
    <row r="294" spans="1:28" x14ac:dyDescent="0.15">
      <c r="A294" s="149"/>
      <c r="B294" s="149"/>
      <c r="C294" s="149"/>
      <c r="D294" s="157"/>
      <c r="E294" s="149"/>
      <c r="F294" s="149"/>
      <c r="G294" s="149"/>
      <c r="H294" s="149"/>
      <c r="AB294" s="149"/>
    </row>
    <row r="295" spans="1:28" x14ac:dyDescent="0.15">
      <c r="A295" s="149"/>
      <c r="B295" s="149"/>
      <c r="C295" s="149"/>
      <c r="D295" s="157"/>
      <c r="E295" s="149"/>
      <c r="F295" s="149"/>
      <c r="G295" s="149"/>
      <c r="H295" s="149"/>
      <c r="AB295" s="149"/>
    </row>
    <row r="296" spans="1:28" x14ac:dyDescent="0.15">
      <c r="A296" s="149"/>
      <c r="B296" s="149"/>
      <c r="C296" s="149"/>
      <c r="D296" s="157"/>
      <c r="E296" s="149"/>
      <c r="F296" s="149"/>
      <c r="G296" s="149"/>
      <c r="H296" s="149"/>
      <c r="AB296" s="149"/>
    </row>
    <row r="297" spans="1:28" x14ac:dyDescent="0.15">
      <c r="A297" s="149"/>
      <c r="B297" s="149"/>
      <c r="C297" s="149"/>
      <c r="D297" s="157"/>
      <c r="E297" s="149"/>
      <c r="F297" s="149"/>
      <c r="G297" s="149"/>
      <c r="H297" s="149"/>
      <c r="AB297" s="149"/>
    </row>
    <row r="298" spans="1:28" x14ac:dyDescent="0.15">
      <c r="A298" s="149"/>
      <c r="B298" s="149"/>
      <c r="C298" s="149"/>
      <c r="D298" s="157"/>
      <c r="E298" s="149"/>
      <c r="F298" s="149"/>
      <c r="G298" s="149"/>
      <c r="H298" s="149"/>
      <c r="AB298" s="149"/>
    </row>
    <row r="299" spans="1:28" x14ac:dyDescent="0.15">
      <c r="A299" s="149"/>
      <c r="B299" s="149"/>
      <c r="C299" s="149"/>
      <c r="D299" s="157"/>
      <c r="E299" s="149"/>
      <c r="F299" s="149"/>
      <c r="G299" s="149"/>
      <c r="H299" s="149"/>
      <c r="AB299" s="149"/>
    </row>
    <row r="300" spans="1:28" x14ac:dyDescent="0.15">
      <c r="A300" s="149"/>
      <c r="B300" s="149"/>
      <c r="C300" s="149"/>
      <c r="D300" s="157"/>
      <c r="E300" s="149"/>
      <c r="F300" s="149"/>
      <c r="G300" s="149"/>
      <c r="H300" s="149"/>
      <c r="AB300" s="149"/>
    </row>
    <row r="301" spans="1:28" x14ac:dyDescent="0.15">
      <c r="A301" s="149"/>
      <c r="B301" s="149"/>
      <c r="C301" s="149"/>
      <c r="D301" s="157"/>
      <c r="E301" s="149"/>
      <c r="F301" s="149"/>
      <c r="G301" s="149"/>
      <c r="H301" s="149"/>
      <c r="AB301" s="149"/>
    </row>
    <row r="302" spans="1:28" x14ac:dyDescent="0.15">
      <c r="A302" s="149"/>
      <c r="B302" s="149"/>
      <c r="C302" s="149"/>
      <c r="D302" s="157"/>
      <c r="E302" s="149"/>
      <c r="F302" s="149"/>
      <c r="G302" s="149"/>
      <c r="H302" s="149"/>
      <c r="AB302" s="149"/>
    </row>
    <row r="303" spans="1:28" x14ac:dyDescent="0.15">
      <c r="A303" s="149"/>
      <c r="B303" s="149"/>
      <c r="C303" s="149"/>
      <c r="D303" s="157"/>
      <c r="E303" s="149"/>
      <c r="F303" s="149"/>
      <c r="G303" s="149"/>
      <c r="H303" s="149"/>
      <c r="AB303" s="149"/>
    </row>
    <row r="304" spans="1:28" x14ac:dyDescent="0.15">
      <c r="A304" s="149"/>
      <c r="B304" s="149"/>
      <c r="C304" s="149"/>
      <c r="D304" s="157"/>
      <c r="E304" s="149"/>
      <c r="F304" s="149"/>
      <c r="G304" s="149"/>
      <c r="H304" s="149"/>
      <c r="AB304" s="149"/>
    </row>
    <row r="305" spans="1:28" x14ac:dyDescent="0.15">
      <c r="A305" s="149"/>
      <c r="B305" s="149"/>
      <c r="C305" s="149"/>
      <c r="D305" s="157"/>
      <c r="E305" s="149"/>
      <c r="F305" s="149"/>
      <c r="G305" s="149"/>
      <c r="H305" s="149"/>
      <c r="AB305" s="149"/>
    </row>
    <row r="306" spans="1:28" x14ac:dyDescent="0.15">
      <c r="A306" s="149"/>
      <c r="B306" s="149"/>
      <c r="C306" s="149"/>
      <c r="D306" s="157"/>
      <c r="E306" s="149"/>
      <c r="F306" s="149"/>
      <c r="G306" s="149"/>
      <c r="H306" s="149"/>
      <c r="AB306" s="149"/>
    </row>
    <row r="307" spans="1:28" x14ac:dyDescent="0.15">
      <c r="A307" s="149"/>
      <c r="B307" s="149"/>
      <c r="C307" s="149"/>
      <c r="D307" s="157"/>
      <c r="E307" s="149"/>
      <c r="F307" s="149"/>
      <c r="G307" s="149"/>
      <c r="H307" s="149"/>
      <c r="AB307" s="149"/>
    </row>
    <row r="308" spans="1:28" x14ac:dyDescent="0.15">
      <c r="A308" s="149"/>
      <c r="B308" s="149"/>
      <c r="C308" s="149"/>
      <c r="D308" s="157"/>
      <c r="E308" s="149"/>
      <c r="F308" s="149"/>
      <c r="G308" s="149"/>
      <c r="H308" s="149"/>
      <c r="AB308" s="149"/>
    </row>
    <row r="309" spans="1:28" x14ac:dyDescent="0.15">
      <c r="A309" s="149"/>
      <c r="B309" s="149"/>
      <c r="C309" s="149"/>
      <c r="D309" s="157"/>
      <c r="E309" s="149"/>
      <c r="F309" s="149"/>
      <c r="G309" s="149"/>
      <c r="H309" s="149"/>
      <c r="AB309" s="149"/>
    </row>
    <row r="310" spans="1:28" x14ac:dyDescent="0.15">
      <c r="A310" s="149"/>
      <c r="B310" s="149"/>
      <c r="C310" s="149"/>
      <c r="D310" s="157"/>
      <c r="E310" s="149"/>
      <c r="F310" s="149"/>
      <c r="G310" s="149"/>
      <c r="H310" s="149"/>
      <c r="AB310" s="149"/>
    </row>
    <row r="311" spans="1:28" x14ac:dyDescent="0.15">
      <c r="A311" s="149"/>
      <c r="B311" s="149"/>
      <c r="C311" s="149"/>
      <c r="D311" s="157"/>
      <c r="E311" s="149"/>
      <c r="F311" s="149"/>
      <c r="G311" s="149"/>
      <c r="H311" s="149"/>
      <c r="AB311" s="149"/>
    </row>
    <row r="312" spans="1:28" x14ac:dyDescent="0.15">
      <c r="A312" s="149"/>
      <c r="B312" s="149"/>
      <c r="C312" s="149"/>
      <c r="D312" s="157"/>
      <c r="E312" s="149"/>
      <c r="F312" s="149"/>
      <c r="G312" s="149"/>
      <c r="H312" s="149"/>
      <c r="AB312" s="149"/>
    </row>
    <row r="313" spans="1:28" x14ac:dyDescent="0.15">
      <c r="A313" s="149"/>
      <c r="B313" s="149"/>
      <c r="C313" s="149"/>
      <c r="D313" s="157"/>
      <c r="E313" s="149"/>
      <c r="F313" s="149"/>
      <c r="G313" s="149"/>
      <c r="H313" s="149"/>
      <c r="AB313" s="149"/>
    </row>
    <row r="314" spans="1:28" x14ac:dyDescent="0.15">
      <c r="A314" s="149"/>
      <c r="B314" s="149"/>
      <c r="C314" s="149"/>
      <c r="D314" s="157"/>
      <c r="E314" s="149"/>
      <c r="F314" s="149"/>
      <c r="G314" s="149"/>
      <c r="H314" s="149"/>
      <c r="AB314" s="149"/>
    </row>
    <row r="315" spans="1:28" x14ac:dyDescent="0.15">
      <c r="A315" s="149"/>
      <c r="B315" s="149"/>
      <c r="C315" s="149"/>
      <c r="D315" s="157"/>
      <c r="E315" s="149"/>
      <c r="F315" s="149"/>
      <c r="G315" s="149"/>
      <c r="H315" s="149"/>
      <c r="AB315" s="149"/>
    </row>
    <row r="316" spans="1:28" x14ac:dyDescent="0.15">
      <c r="A316" s="149"/>
      <c r="B316" s="149"/>
      <c r="C316" s="149"/>
      <c r="D316" s="157"/>
      <c r="E316" s="149"/>
      <c r="F316" s="149"/>
      <c r="G316" s="149"/>
      <c r="H316" s="149"/>
      <c r="AB316" s="149"/>
    </row>
    <row r="317" spans="1:28" x14ac:dyDescent="0.15">
      <c r="A317" s="149"/>
      <c r="B317" s="149"/>
      <c r="C317" s="149"/>
      <c r="D317" s="157"/>
      <c r="E317" s="149"/>
      <c r="F317" s="149"/>
      <c r="G317" s="149"/>
      <c r="H317" s="149"/>
      <c r="AB317" s="149"/>
    </row>
    <row r="318" spans="1:28" x14ac:dyDescent="0.15">
      <c r="A318" s="149"/>
      <c r="B318" s="149"/>
      <c r="C318" s="149"/>
      <c r="D318" s="157"/>
      <c r="E318" s="149"/>
      <c r="F318" s="149"/>
      <c r="G318" s="149"/>
      <c r="H318" s="149"/>
      <c r="AB318" s="149"/>
    </row>
    <row r="319" spans="1:28" x14ac:dyDescent="0.15">
      <c r="A319" s="149"/>
      <c r="B319" s="149"/>
      <c r="C319" s="149"/>
      <c r="D319" s="157"/>
      <c r="E319" s="149"/>
      <c r="F319" s="149"/>
      <c r="G319" s="149"/>
      <c r="H319" s="149"/>
      <c r="AB319" s="149"/>
    </row>
    <row r="320" spans="1:28" x14ac:dyDescent="0.15">
      <c r="A320" s="149"/>
      <c r="B320" s="149"/>
      <c r="C320" s="149"/>
      <c r="D320" s="157"/>
      <c r="E320" s="149"/>
      <c r="F320" s="149"/>
      <c r="G320" s="149"/>
      <c r="H320" s="149"/>
      <c r="AB320" s="149"/>
    </row>
    <row r="321" spans="1:28" x14ac:dyDescent="0.15">
      <c r="A321" s="149"/>
      <c r="B321" s="149"/>
      <c r="C321" s="149"/>
      <c r="D321" s="157"/>
      <c r="E321" s="149"/>
      <c r="F321" s="149"/>
      <c r="G321" s="149"/>
      <c r="H321" s="149"/>
      <c r="AB321" s="149"/>
    </row>
    <row r="322" spans="1:28" x14ac:dyDescent="0.15">
      <c r="A322" s="149"/>
      <c r="B322" s="149"/>
      <c r="C322" s="149"/>
      <c r="D322" s="157"/>
      <c r="E322" s="149"/>
      <c r="F322" s="149"/>
      <c r="G322" s="149"/>
      <c r="H322" s="149"/>
      <c r="AB322" s="149"/>
    </row>
    <row r="323" spans="1:28" x14ac:dyDescent="0.15">
      <c r="A323" s="149"/>
      <c r="B323" s="149"/>
      <c r="C323" s="149"/>
      <c r="D323" s="157"/>
      <c r="E323" s="149"/>
      <c r="F323" s="149"/>
      <c r="G323" s="149"/>
      <c r="H323" s="149"/>
      <c r="AB323" s="149"/>
    </row>
    <row r="324" spans="1:28" x14ac:dyDescent="0.15">
      <c r="A324" s="149"/>
      <c r="B324" s="149"/>
      <c r="C324" s="149"/>
      <c r="D324" s="157"/>
      <c r="E324" s="149"/>
      <c r="F324" s="149"/>
      <c r="G324" s="149"/>
      <c r="H324" s="149"/>
      <c r="AB324" s="149"/>
    </row>
    <row r="325" spans="1:28" x14ac:dyDescent="0.15">
      <c r="A325" s="149"/>
      <c r="B325" s="149"/>
      <c r="C325" s="149"/>
      <c r="D325" s="157"/>
      <c r="E325" s="149"/>
      <c r="F325" s="149"/>
      <c r="G325" s="149"/>
      <c r="H325" s="149"/>
      <c r="AB325" s="149"/>
    </row>
    <row r="326" spans="1:28" x14ac:dyDescent="0.15">
      <c r="A326" s="149"/>
      <c r="B326" s="149"/>
      <c r="C326" s="149"/>
      <c r="D326" s="157"/>
      <c r="E326" s="149"/>
      <c r="F326" s="149"/>
      <c r="G326" s="149"/>
      <c r="H326" s="149"/>
      <c r="AB326" s="149"/>
    </row>
    <row r="327" spans="1:28" x14ac:dyDescent="0.15">
      <c r="A327" s="149"/>
      <c r="B327" s="149"/>
      <c r="C327" s="149"/>
      <c r="D327" s="157"/>
      <c r="E327" s="149"/>
      <c r="F327" s="149"/>
      <c r="G327" s="149"/>
      <c r="H327" s="149"/>
      <c r="AB327" s="149"/>
    </row>
    <row r="328" spans="1:28" x14ac:dyDescent="0.15">
      <c r="A328" s="149"/>
      <c r="B328" s="149"/>
      <c r="C328" s="149"/>
      <c r="D328" s="157"/>
      <c r="E328" s="149"/>
      <c r="F328" s="149"/>
      <c r="G328" s="149"/>
      <c r="H328" s="149"/>
      <c r="AB328" s="149"/>
    </row>
    <row r="329" spans="1:28" x14ac:dyDescent="0.15">
      <c r="A329" s="149"/>
      <c r="B329" s="149"/>
      <c r="C329" s="149"/>
      <c r="D329" s="157"/>
      <c r="E329" s="149"/>
      <c r="F329" s="149"/>
      <c r="G329" s="149"/>
      <c r="H329" s="149"/>
      <c r="AB329" s="149"/>
    </row>
    <row r="330" spans="1:28" x14ac:dyDescent="0.15">
      <c r="A330" s="149"/>
      <c r="B330" s="149"/>
      <c r="C330" s="149"/>
      <c r="D330" s="157"/>
      <c r="E330" s="149"/>
      <c r="F330" s="149"/>
      <c r="G330" s="149"/>
      <c r="H330" s="149"/>
      <c r="AB330" s="149"/>
    </row>
    <row r="331" spans="1:28" x14ac:dyDescent="0.15">
      <c r="A331" s="149"/>
      <c r="B331" s="149"/>
      <c r="C331" s="149"/>
      <c r="D331" s="157"/>
      <c r="E331" s="149"/>
      <c r="F331" s="149"/>
      <c r="G331" s="149"/>
      <c r="H331" s="149"/>
      <c r="AB331" s="149"/>
    </row>
    <row r="332" spans="1:28" x14ac:dyDescent="0.15">
      <c r="A332" s="149"/>
      <c r="B332" s="149"/>
      <c r="C332" s="149"/>
      <c r="D332" s="157"/>
      <c r="E332" s="149"/>
      <c r="F332" s="149"/>
      <c r="G332" s="149"/>
      <c r="H332" s="149"/>
      <c r="AB332" s="149"/>
    </row>
    <row r="333" spans="1:28" x14ac:dyDescent="0.15">
      <c r="A333" s="149"/>
      <c r="B333" s="149"/>
      <c r="C333" s="149"/>
      <c r="D333" s="157"/>
      <c r="E333" s="149"/>
      <c r="F333" s="149"/>
      <c r="G333" s="149"/>
      <c r="H333" s="149"/>
      <c r="AB333" s="149"/>
    </row>
    <row r="334" spans="1:28" x14ac:dyDescent="0.15">
      <c r="A334" s="149"/>
      <c r="B334" s="149"/>
      <c r="C334" s="149"/>
      <c r="D334" s="157"/>
      <c r="E334" s="149"/>
      <c r="F334" s="149"/>
      <c r="G334" s="149"/>
      <c r="H334" s="149"/>
      <c r="AB334" s="149"/>
    </row>
    <row r="335" spans="1:28" x14ac:dyDescent="0.15">
      <c r="A335" s="149"/>
      <c r="B335" s="149"/>
      <c r="C335" s="149"/>
      <c r="D335" s="157"/>
      <c r="E335" s="149"/>
      <c r="F335" s="149"/>
      <c r="G335" s="149"/>
      <c r="H335" s="149"/>
      <c r="AB335" s="149"/>
    </row>
    <row r="336" spans="1:28" x14ac:dyDescent="0.15">
      <c r="A336" s="149"/>
      <c r="B336" s="149"/>
      <c r="C336" s="149"/>
      <c r="D336" s="157"/>
      <c r="E336" s="149"/>
      <c r="F336" s="149"/>
      <c r="G336" s="149"/>
      <c r="H336" s="149"/>
      <c r="AB336" s="149"/>
    </row>
    <row r="337" spans="1:28" x14ac:dyDescent="0.15">
      <c r="A337" s="149"/>
      <c r="B337" s="149"/>
      <c r="C337" s="149"/>
      <c r="D337" s="157"/>
      <c r="E337" s="149"/>
      <c r="F337" s="149"/>
      <c r="G337" s="149"/>
      <c r="H337" s="149"/>
      <c r="AB337" s="149"/>
    </row>
    <row r="338" spans="1:28" x14ac:dyDescent="0.15">
      <c r="A338" s="149"/>
      <c r="B338" s="149"/>
      <c r="C338" s="149"/>
      <c r="D338" s="157"/>
      <c r="E338" s="149"/>
      <c r="F338" s="149"/>
      <c r="G338" s="149"/>
      <c r="H338" s="149"/>
      <c r="AB338" s="149"/>
    </row>
    <row r="339" spans="1:28" x14ac:dyDescent="0.15">
      <c r="A339" s="149"/>
      <c r="B339" s="149"/>
      <c r="C339" s="149"/>
      <c r="D339" s="157"/>
      <c r="E339" s="149"/>
      <c r="F339" s="149"/>
      <c r="G339" s="149"/>
      <c r="H339" s="149"/>
      <c r="AB339" s="149"/>
    </row>
    <row r="340" spans="1:28" x14ac:dyDescent="0.15">
      <c r="A340" s="149"/>
      <c r="B340" s="149"/>
      <c r="C340" s="149"/>
      <c r="D340" s="157"/>
      <c r="E340" s="149"/>
      <c r="F340" s="149"/>
      <c r="G340" s="149"/>
      <c r="H340" s="149"/>
      <c r="AB340" s="149"/>
    </row>
    <row r="341" spans="1:28" x14ac:dyDescent="0.15">
      <c r="A341" s="149"/>
      <c r="B341" s="149"/>
      <c r="C341" s="149"/>
      <c r="D341" s="157"/>
      <c r="E341" s="149"/>
      <c r="F341" s="149"/>
      <c r="G341" s="149"/>
      <c r="H341" s="149"/>
      <c r="AB341" s="149"/>
    </row>
    <row r="342" spans="1:28" x14ac:dyDescent="0.15">
      <c r="A342" s="149"/>
      <c r="B342" s="149"/>
      <c r="C342" s="149"/>
      <c r="D342" s="157"/>
      <c r="E342" s="149"/>
      <c r="F342" s="149"/>
      <c r="G342" s="149"/>
      <c r="H342" s="149"/>
      <c r="AB342" s="149"/>
    </row>
    <row r="343" spans="1:28" x14ac:dyDescent="0.15">
      <c r="A343" s="149"/>
      <c r="B343" s="149"/>
      <c r="C343" s="149"/>
      <c r="D343" s="157"/>
      <c r="E343" s="149"/>
      <c r="F343" s="149"/>
      <c r="G343" s="149"/>
      <c r="H343" s="149"/>
      <c r="AB343" s="149"/>
    </row>
    <row r="344" spans="1:28" x14ac:dyDescent="0.15">
      <c r="A344" s="149"/>
      <c r="B344" s="149"/>
      <c r="C344" s="149"/>
      <c r="D344" s="157"/>
      <c r="E344" s="149"/>
      <c r="F344" s="149"/>
      <c r="G344" s="149"/>
      <c r="H344" s="149"/>
      <c r="AB344" s="149"/>
    </row>
    <row r="345" spans="1:28" x14ac:dyDescent="0.15">
      <c r="A345" s="149"/>
      <c r="B345" s="149"/>
      <c r="C345" s="149"/>
      <c r="D345" s="157"/>
      <c r="E345" s="149"/>
      <c r="F345" s="149"/>
      <c r="G345" s="149"/>
      <c r="H345" s="149"/>
      <c r="AB345" s="149"/>
    </row>
    <row r="346" spans="1:28" x14ac:dyDescent="0.15">
      <c r="A346" s="149"/>
      <c r="B346" s="149"/>
      <c r="C346" s="149"/>
      <c r="D346" s="157"/>
      <c r="E346" s="149"/>
      <c r="F346" s="149"/>
      <c r="G346" s="149"/>
      <c r="H346" s="149"/>
      <c r="AB346" s="149"/>
    </row>
    <row r="347" spans="1:28" x14ac:dyDescent="0.15">
      <c r="A347" s="149"/>
      <c r="B347" s="149"/>
      <c r="C347" s="149"/>
      <c r="D347" s="157"/>
      <c r="E347" s="149"/>
      <c r="F347" s="149"/>
      <c r="G347" s="149"/>
      <c r="H347" s="149"/>
      <c r="AB347" s="149"/>
    </row>
    <row r="348" spans="1:28" x14ac:dyDescent="0.15">
      <c r="A348" s="149"/>
      <c r="B348" s="149"/>
      <c r="C348" s="149"/>
      <c r="D348" s="157"/>
      <c r="E348" s="149"/>
      <c r="F348" s="149"/>
      <c r="G348" s="149"/>
      <c r="H348" s="149"/>
      <c r="AB348" s="149"/>
    </row>
    <row r="349" spans="1:28" x14ac:dyDescent="0.15">
      <c r="A349" s="149"/>
      <c r="B349" s="149"/>
      <c r="C349" s="149"/>
      <c r="D349" s="157"/>
      <c r="E349" s="149"/>
      <c r="F349" s="149"/>
      <c r="G349" s="149"/>
      <c r="H349" s="149"/>
      <c r="AB349" s="149"/>
    </row>
    <row r="350" spans="1:28" x14ac:dyDescent="0.15">
      <c r="A350" s="149"/>
      <c r="B350" s="149"/>
      <c r="C350" s="149"/>
      <c r="D350" s="157"/>
      <c r="E350" s="149"/>
      <c r="F350" s="149"/>
      <c r="G350" s="149"/>
      <c r="H350" s="149"/>
      <c r="AB350" s="149"/>
    </row>
    <row r="351" spans="1:28" x14ac:dyDescent="0.15">
      <c r="A351" s="149"/>
      <c r="B351" s="149"/>
      <c r="C351" s="149"/>
      <c r="D351" s="157"/>
      <c r="E351" s="149"/>
      <c r="F351" s="149"/>
      <c r="G351" s="149"/>
      <c r="H351" s="149"/>
      <c r="AB351" s="149"/>
    </row>
    <row r="352" spans="1:28" x14ac:dyDescent="0.15">
      <c r="A352" s="149"/>
      <c r="B352" s="149"/>
      <c r="C352" s="149"/>
      <c r="D352" s="157"/>
      <c r="E352" s="149"/>
      <c r="F352" s="149"/>
      <c r="G352" s="149"/>
      <c r="H352" s="149"/>
      <c r="AB352" s="149"/>
    </row>
    <row r="353" spans="1:28" x14ac:dyDescent="0.15">
      <c r="A353" s="149"/>
      <c r="B353" s="149"/>
      <c r="C353" s="149"/>
      <c r="D353" s="157"/>
      <c r="E353" s="149"/>
      <c r="F353" s="149"/>
      <c r="G353" s="149"/>
      <c r="H353" s="149"/>
      <c r="AB353" s="149"/>
    </row>
    <row r="354" spans="1:28" x14ac:dyDescent="0.15">
      <c r="A354" s="149"/>
      <c r="B354" s="149"/>
      <c r="C354" s="149"/>
      <c r="D354" s="157"/>
      <c r="E354" s="149"/>
      <c r="F354" s="149"/>
      <c r="G354" s="149"/>
      <c r="H354" s="149"/>
      <c r="AB354" s="149"/>
    </row>
    <row r="355" spans="1:28" x14ac:dyDescent="0.15">
      <c r="A355" s="149"/>
      <c r="B355" s="149"/>
      <c r="C355" s="149"/>
      <c r="D355" s="157"/>
      <c r="E355" s="149"/>
      <c r="F355" s="149"/>
      <c r="G355" s="149"/>
      <c r="H355" s="149"/>
      <c r="AB355" s="149"/>
    </row>
    <row r="356" spans="1:28" x14ac:dyDescent="0.15">
      <c r="A356" s="149"/>
      <c r="B356" s="149"/>
      <c r="C356" s="149"/>
      <c r="D356" s="157"/>
      <c r="E356" s="149"/>
      <c r="F356" s="149"/>
      <c r="G356" s="149"/>
      <c r="H356" s="149"/>
      <c r="AB356" s="149"/>
    </row>
    <row r="357" spans="1:28" x14ac:dyDescent="0.15">
      <c r="A357" s="149"/>
      <c r="B357" s="149"/>
      <c r="C357" s="149"/>
      <c r="D357" s="157"/>
      <c r="E357" s="149"/>
      <c r="F357" s="149"/>
      <c r="G357" s="149"/>
      <c r="H357" s="149"/>
      <c r="AB357" s="149"/>
    </row>
    <row r="358" spans="1:28" x14ac:dyDescent="0.15">
      <c r="A358" s="149"/>
      <c r="B358" s="149"/>
      <c r="C358" s="149"/>
      <c r="D358" s="157"/>
      <c r="E358" s="149"/>
      <c r="F358" s="149"/>
      <c r="G358" s="149"/>
      <c r="H358" s="149"/>
      <c r="AB358" s="149"/>
    </row>
    <row r="359" spans="1:28" x14ac:dyDescent="0.15">
      <c r="A359" s="149"/>
      <c r="B359" s="149"/>
      <c r="C359" s="149"/>
      <c r="D359" s="157"/>
      <c r="E359" s="149"/>
      <c r="F359" s="149"/>
      <c r="G359" s="149"/>
      <c r="H359" s="149"/>
      <c r="AB359" s="149"/>
    </row>
    <row r="360" spans="1:28" x14ac:dyDescent="0.15">
      <c r="A360" s="149"/>
      <c r="B360" s="149"/>
      <c r="C360" s="149"/>
      <c r="D360" s="157"/>
      <c r="E360" s="149"/>
      <c r="F360" s="149"/>
      <c r="G360" s="149"/>
      <c r="H360" s="149"/>
      <c r="AB360" s="149"/>
    </row>
    <row r="361" spans="1:28" x14ac:dyDescent="0.15">
      <c r="A361" s="149"/>
      <c r="B361" s="149"/>
      <c r="C361" s="149"/>
      <c r="D361" s="157"/>
      <c r="E361" s="149"/>
      <c r="F361" s="149"/>
      <c r="G361" s="149"/>
      <c r="H361" s="149"/>
      <c r="AB361" s="149"/>
    </row>
    <row r="362" spans="1:28" x14ac:dyDescent="0.15">
      <c r="A362" s="149"/>
      <c r="B362" s="149"/>
      <c r="C362" s="149"/>
      <c r="D362" s="157"/>
      <c r="E362" s="149"/>
      <c r="F362" s="149"/>
      <c r="G362" s="149"/>
      <c r="H362" s="149"/>
      <c r="AB362" s="149"/>
    </row>
    <row r="363" spans="1:28" x14ac:dyDescent="0.15">
      <c r="A363" s="149"/>
      <c r="B363" s="149"/>
      <c r="C363" s="149"/>
      <c r="D363" s="157"/>
      <c r="E363" s="149"/>
      <c r="F363" s="149"/>
      <c r="G363" s="149"/>
      <c r="H363" s="149"/>
      <c r="AB363" s="149"/>
    </row>
    <row r="364" spans="1:28" x14ac:dyDescent="0.15">
      <c r="A364" s="149"/>
      <c r="B364" s="149"/>
      <c r="C364" s="149"/>
      <c r="D364" s="157"/>
      <c r="E364" s="149"/>
      <c r="F364" s="149"/>
      <c r="G364" s="149"/>
      <c r="H364" s="149"/>
      <c r="AB364" s="149"/>
    </row>
    <row r="365" spans="1:28" x14ac:dyDescent="0.15">
      <c r="A365" s="149"/>
      <c r="B365" s="149"/>
      <c r="C365" s="149"/>
      <c r="D365" s="157"/>
      <c r="E365" s="149"/>
      <c r="F365" s="149"/>
      <c r="G365" s="149"/>
      <c r="H365" s="149"/>
      <c r="AB365" s="149"/>
    </row>
    <row r="366" spans="1:28" x14ac:dyDescent="0.15">
      <c r="A366" s="149"/>
      <c r="B366" s="149"/>
      <c r="C366" s="149"/>
      <c r="D366" s="157"/>
      <c r="E366" s="149"/>
      <c r="F366" s="149"/>
      <c r="G366" s="149"/>
      <c r="H366" s="149"/>
      <c r="AB366" s="149"/>
    </row>
    <row r="367" spans="1:28" x14ac:dyDescent="0.15">
      <c r="A367" s="149"/>
      <c r="B367" s="149"/>
      <c r="C367" s="149"/>
      <c r="D367" s="157"/>
      <c r="E367" s="149"/>
      <c r="F367" s="149"/>
      <c r="G367" s="149"/>
      <c r="H367" s="149"/>
      <c r="AB367" s="149"/>
    </row>
    <row r="368" spans="1:28" x14ac:dyDescent="0.15">
      <c r="A368" s="149"/>
      <c r="B368" s="149"/>
      <c r="C368" s="149"/>
      <c r="D368" s="157"/>
      <c r="E368" s="149"/>
      <c r="F368" s="149"/>
      <c r="G368" s="149"/>
      <c r="H368" s="149"/>
      <c r="AB368" s="149"/>
    </row>
    <row r="369" spans="1:28" x14ac:dyDescent="0.15">
      <c r="A369" s="149"/>
      <c r="B369" s="149"/>
      <c r="C369" s="149"/>
      <c r="D369" s="157"/>
      <c r="E369" s="149"/>
      <c r="F369" s="149"/>
      <c r="G369" s="149"/>
      <c r="H369" s="149"/>
      <c r="AB369" s="149"/>
    </row>
    <row r="370" spans="1:28" x14ac:dyDescent="0.15">
      <c r="A370" s="149"/>
      <c r="B370" s="149"/>
      <c r="C370" s="149"/>
      <c r="D370" s="157"/>
      <c r="E370" s="149"/>
      <c r="F370" s="149"/>
      <c r="G370" s="149"/>
      <c r="H370" s="149"/>
      <c r="AB370" s="149"/>
    </row>
    <row r="371" spans="1:28" x14ac:dyDescent="0.15">
      <c r="A371" s="149"/>
      <c r="B371" s="149"/>
      <c r="C371" s="149"/>
      <c r="D371" s="157"/>
      <c r="E371" s="149"/>
      <c r="F371" s="149"/>
      <c r="G371" s="149"/>
      <c r="H371" s="149"/>
      <c r="AB371" s="149"/>
    </row>
    <row r="372" spans="1:28" x14ac:dyDescent="0.15">
      <c r="A372" s="149"/>
      <c r="B372" s="149"/>
      <c r="C372" s="149"/>
      <c r="D372" s="157"/>
      <c r="E372" s="149"/>
      <c r="F372" s="149"/>
      <c r="G372" s="149"/>
      <c r="H372" s="149"/>
      <c r="AB372" s="149"/>
    </row>
    <row r="373" spans="1:28" x14ac:dyDescent="0.15">
      <c r="A373" s="149"/>
      <c r="B373" s="149"/>
      <c r="C373" s="149"/>
      <c r="D373" s="157"/>
      <c r="E373" s="149"/>
      <c r="F373" s="149"/>
      <c r="G373" s="149"/>
      <c r="H373" s="149"/>
      <c r="AB373" s="149"/>
    </row>
    <row r="374" spans="1:28" x14ac:dyDescent="0.15">
      <c r="A374" s="149"/>
      <c r="B374" s="149"/>
      <c r="C374" s="149"/>
      <c r="D374" s="157"/>
      <c r="E374" s="149"/>
      <c r="F374" s="149"/>
      <c r="G374" s="149"/>
      <c r="H374" s="149"/>
      <c r="AB374" s="149"/>
    </row>
    <row r="375" spans="1:28" x14ac:dyDescent="0.15">
      <c r="A375" s="149"/>
      <c r="B375" s="149"/>
      <c r="C375" s="149"/>
      <c r="D375" s="157"/>
      <c r="E375" s="149"/>
      <c r="F375" s="149"/>
      <c r="G375" s="149"/>
      <c r="H375" s="149"/>
      <c r="AB375" s="149"/>
    </row>
    <row r="376" spans="1:28" x14ac:dyDescent="0.15">
      <c r="A376" s="149"/>
      <c r="B376" s="149"/>
      <c r="C376" s="149"/>
      <c r="D376" s="157"/>
      <c r="E376" s="149"/>
      <c r="F376" s="149"/>
      <c r="G376" s="149"/>
      <c r="H376" s="149"/>
      <c r="AB376" s="149"/>
    </row>
    <row r="377" spans="1:28" x14ac:dyDescent="0.15">
      <c r="A377" s="149"/>
      <c r="B377" s="149"/>
      <c r="C377" s="149"/>
      <c r="D377" s="157"/>
      <c r="E377" s="149"/>
      <c r="F377" s="149"/>
      <c r="G377" s="149"/>
      <c r="H377" s="149"/>
      <c r="AB377" s="149"/>
    </row>
    <row r="378" spans="1:28" x14ac:dyDescent="0.15">
      <c r="A378" s="149"/>
      <c r="B378" s="149"/>
      <c r="C378" s="149"/>
      <c r="D378" s="157"/>
      <c r="E378" s="149"/>
      <c r="F378" s="149"/>
      <c r="G378" s="149"/>
      <c r="H378" s="149"/>
      <c r="AB378" s="149"/>
    </row>
    <row r="379" spans="1:28" x14ac:dyDescent="0.15">
      <c r="A379" s="149"/>
      <c r="B379" s="149"/>
      <c r="C379" s="149"/>
      <c r="D379" s="157"/>
      <c r="E379" s="149"/>
      <c r="F379" s="149"/>
      <c r="G379" s="149"/>
      <c r="H379" s="149"/>
      <c r="AB379" s="149"/>
    </row>
    <row r="380" spans="1:28" x14ac:dyDescent="0.15">
      <c r="A380" s="149"/>
      <c r="B380" s="149"/>
      <c r="C380" s="149"/>
      <c r="D380" s="157"/>
      <c r="E380" s="149"/>
      <c r="F380" s="149"/>
      <c r="G380" s="149"/>
      <c r="H380" s="149"/>
      <c r="AB380" s="149"/>
    </row>
    <row r="381" spans="1:28" x14ac:dyDescent="0.15">
      <c r="A381" s="149"/>
      <c r="B381" s="149"/>
      <c r="C381" s="149"/>
      <c r="D381" s="157"/>
      <c r="E381" s="149"/>
      <c r="F381" s="149"/>
      <c r="G381" s="149"/>
      <c r="H381" s="149"/>
      <c r="AB381" s="149"/>
    </row>
    <row r="382" spans="1:28" x14ac:dyDescent="0.15">
      <c r="A382" s="149"/>
      <c r="B382" s="149"/>
      <c r="C382" s="149"/>
      <c r="D382" s="157"/>
      <c r="E382" s="149"/>
      <c r="F382" s="149"/>
      <c r="G382" s="149"/>
      <c r="H382" s="149"/>
      <c r="AB382" s="149"/>
    </row>
    <row r="383" spans="1:28" x14ac:dyDescent="0.15">
      <c r="A383" s="149"/>
      <c r="B383" s="149"/>
      <c r="C383" s="149"/>
      <c r="D383" s="157"/>
      <c r="E383" s="149"/>
      <c r="F383" s="149"/>
      <c r="G383" s="149"/>
      <c r="H383" s="149"/>
      <c r="AB383" s="149"/>
    </row>
    <row r="384" spans="1:28" x14ac:dyDescent="0.15">
      <c r="A384" s="149"/>
      <c r="B384" s="149"/>
      <c r="C384" s="149"/>
      <c r="D384" s="157"/>
      <c r="E384" s="149"/>
      <c r="F384" s="149"/>
      <c r="G384" s="149"/>
      <c r="H384" s="149"/>
      <c r="AB384" s="149"/>
    </row>
    <row r="385" spans="1:28" x14ac:dyDescent="0.15">
      <c r="A385" s="149"/>
      <c r="B385" s="149"/>
      <c r="C385" s="149"/>
      <c r="D385" s="157"/>
      <c r="E385" s="149"/>
      <c r="F385" s="149"/>
      <c r="G385" s="149"/>
      <c r="H385" s="149"/>
      <c r="AB385" s="149"/>
    </row>
    <row r="386" spans="1:28" x14ac:dyDescent="0.15">
      <c r="A386" s="149"/>
      <c r="B386" s="149"/>
      <c r="C386" s="149"/>
      <c r="D386" s="157"/>
      <c r="E386" s="149"/>
      <c r="F386" s="149"/>
      <c r="G386" s="149"/>
      <c r="H386" s="149"/>
      <c r="AB386" s="149"/>
    </row>
    <row r="387" spans="1:28" x14ac:dyDescent="0.15">
      <c r="A387" s="149"/>
      <c r="B387" s="149"/>
      <c r="C387" s="149"/>
      <c r="D387" s="157"/>
      <c r="E387" s="149"/>
      <c r="F387" s="149"/>
      <c r="G387" s="149"/>
      <c r="H387" s="149"/>
      <c r="AB387" s="149"/>
    </row>
    <row r="388" spans="1:28" x14ac:dyDescent="0.15">
      <c r="A388" s="149"/>
      <c r="B388" s="149"/>
      <c r="C388" s="149"/>
      <c r="D388" s="157"/>
      <c r="E388" s="149"/>
      <c r="F388" s="149"/>
      <c r="G388" s="149"/>
      <c r="H388" s="149"/>
      <c r="AB388" s="149"/>
    </row>
    <row r="389" spans="1:28" x14ac:dyDescent="0.15">
      <c r="A389" s="149"/>
      <c r="B389" s="149"/>
      <c r="C389" s="149"/>
      <c r="D389" s="157"/>
      <c r="E389" s="149"/>
      <c r="F389" s="149"/>
      <c r="G389" s="149"/>
      <c r="H389" s="149"/>
      <c r="AB389" s="149"/>
    </row>
    <row r="390" spans="1:28" x14ac:dyDescent="0.15">
      <c r="A390" s="149"/>
      <c r="B390" s="149"/>
      <c r="C390" s="149"/>
      <c r="D390" s="157"/>
      <c r="E390" s="149"/>
      <c r="F390" s="149"/>
      <c r="G390" s="149"/>
      <c r="H390" s="149"/>
      <c r="AB390" s="149"/>
    </row>
    <row r="391" spans="1:28" x14ac:dyDescent="0.15">
      <c r="A391" s="149"/>
      <c r="B391" s="149"/>
      <c r="C391" s="149"/>
      <c r="D391" s="157"/>
      <c r="E391" s="149"/>
      <c r="F391" s="149"/>
      <c r="G391" s="149"/>
      <c r="H391" s="149"/>
      <c r="AB391" s="149"/>
    </row>
    <row r="392" spans="1:28" x14ac:dyDescent="0.15">
      <c r="A392" s="149"/>
      <c r="B392" s="149"/>
      <c r="C392" s="149"/>
      <c r="D392" s="157"/>
      <c r="E392" s="149"/>
      <c r="F392" s="149"/>
      <c r="G392" s="149"/>
      <c r="H392" s="149"/>
      <c r="AB392" s="149"/>
    </row>
    <row r="393" spans="1:28" x14ac:dyDescent="0.15">
      <c r="A393" s="149"/>
      <c r="B393" s="149"/>
      <c r="C393" s="149"/>
      <c r="D393" s="157"/>
      <c r="E393" s="149"/>
      <c r="F393" s="149"/>
      <c r="G393" s="149"/>
      <c r="H393" s="149"/>
      <c r="AB393" s="149"/>
    </row>
    <row r="394" spans="1:28" x14ac:dyDescent="0.15">
      <c r="A394" s="149"/>
      <c r="B394" s="149"/>
      <c r="C394" s="149"/>
      <c r="D394" s="157"/>
      <c r="E394" s="149"/>
      <c r="F394" s="149"/>
      <c r="G394" s="149"/>
      <c r="H394" s="149"/>
      <c r="AB394" s="149"/>
    </row>
    <row r="395" spans="1:28" x14ac:dyDescent="0.15">
      <c r="A395" s="149"/>
      <c r="B395" s="149"/>
      <c r="C395" s="149"/>
      <c r="D395" s="157"/>
      <c r="E395" s="149"/>
      <c r="F395" s="149"/>
      <c r="G395" s="149"/>
      <c r="H395" s="149"/>
      <c r="AB395" s="149"/>
    </row>
    <row r="396" spans="1:28" x14ac:dyDescent="0.15">
      <c r="A396" s="149"/>
      <c r="B396" s="149"/>
      <c r="C396" s="149"/>
      <c r="D396" s="157"/>
      <c r="E396" s="149"/>
      <c r="F396" s="149"/>
      <c r="G396" s="149"/>
      <c r="H396" s="149"/>
      <c r="AB396" s="149"/>
    </row>
    <row r="397" spans="1:28" x14ac:dyDescent="0.15">
      <c r="A397" s="149"/>
      <c r="B397" s="149"/>
      <c r="C397" s="149"/>
      <c r="D397" s="157"/>
      <c r="E397" s="149"/>
      <c r="F397" s="149"/>
      <c r="G397" s="149"/>
      <c r="H397" s="149"/>
      <c r="AB397" s="149"/>
    </row>
    <row r="398" spans="1:28" x14ac:dyDescent="0.15">
      <c r="A398" s="149"/>
      <c r="B398" s="149"/>
      <c r="C398" s="149"/>
      <c r="D398" s="157"/>
      <c r="E398" s="149"/>
      <c r="F398" s="149"/>
      <c r="G398" s="149"/>
      <c r="H398" s="149"/>
      <c r="AB398" s="149"/>
    </row>
    <row r="399" spans="1:28" x14ac:dyDescent="0.15">
      <c r="A399" s="149"/>
      <c r="B399" s="149"/>
      <c r="C399" s="149"/>
      <c r="D399" s="157"/>
      <c r="E399" s="149"/>
      <c r="F399" s="149"/>
      <c r="G399" s="149"/>
      <c r="H399" s="149"/>
      <c r="AB399" s="149"/>
    </row>
    <row r="400" spans="1:28" x14ac:dyDescent="0.15">
      <c r="A400" s="149"/>
      <c r="B400" s="149"/>
      <c r="C400" s="149"/>
      <c r="D400" s="157"/>
      <c r="E400" s="149"/>
      <c r="F400" s="149"/>
      <c r="G400" s="149"/>
      <c r="H400" s="149"/>
      <c r="AB400" s="149"/>
    </row>
    <row r="401" spans="1:28" x14ac:dyDescent="0.15">
      <c r="A401" s="149"/>
      <c r="B401" s="149"/>
      <c r="C401" s="149"/>
      <c r="D401" s="157"/>
      <c r="E401" s="149"/>
      <c r="F401" s="149"/>
      <c r="G401" s="149"/>
      <c r="H401" s="149"/>
      <c r="AB401" s="149"/>
    </row>
    <row r="402" spans="1:28" x14ac:dyDescent="0.15">
      <c r="A402" s="149"/>
      <c r="B402" s="149"/>
      <c r="C402" s="149"/>
      <c r="D402" s="157"/>
      <c r="E402" s="149"/>
      <c r="F402" s="149"/>
      <c r="G402" s="149"/>
      <c r="H402" s="149"/>
      <c r="AB402" s="149"/>
    </row>
    <row r="403" spans="1:28" x14ac:dyDescent="0.15">
      <c r="A403" s="149"/>
      <c r="B403" s="149"/>
      <c r="C403" s="149"/>
      <c r="D403" s="157"/>
      <c r="E403" s="149"/>
      <c r="F403" s="149"/>
      <c r="G403" s="149"/>
      <c r="H403" s="149"/>
      <c r="AB403" s="149"/>
    </row>
    <row r="404" spans="1:28" x14ac:dyDescent="0.15">
      <c r="A404" s="149"/>
      <c r="B404" s="149"/>
      <c r="C404" s="149"/>
      <c r="D404" s="157"/>
      <c r="E404" s="149"/>
      <c r="F404" s="149"/>
      <c r="G404" s="149"/>
      <c r="H404" s="149"/>
      <c r="AB404" s="149"/>
    </row>
    <row r="405" spans="1:28" x14ac:dyDescent="0.15">
      <c r="A405" s="149"/>
      <c r="B405" s="149"/>
      <c r="C405" s="149"/>
      <c r="D405" s="157"/>
      <c r="E405" s="149"/>
      <c r="F405" s="149"/>
      <c r="G405" s="149"/>
      <c r="H405" s="149"/>
      <c r="AB405" s="149"/>
    </row>
    <row r="406" spans="1:28" x14ac:dyDescent="0.15">
      <c r="A406" s="149"/>
      <c r="B406" s="149"/>
      <c r="C406" s="149"/>
      <c r="D406" s="157"/>
      <c r="E406" s="149"/>
      <c r="F406" s="149"/>
      <c r="G406" s="149"/>
      <c r="H406" s="149"/>
      <c r="AB406" s="149"/>
    </row>
    <row r="407" spans="1:28" x14ac:dyDescent="0.15">
      <c r="A407" s="149"/>
      <c r="B407" s="149"/>
      <c r="C407" s="149"/>
      <c r="D407" s="157"/>
      <c r="E407" s="149"/>
      <c r="F407" s="149"/>
      <c r="G407" s="149"/>
      <c r="H407" s="149"/>
      <c r="AB407" s="149"/>
    </row>
    <row r="408" spans="1:28" x14ac:dyDescent="0.15">
      <c r="A408" s="149"/>
      <c r="B408" s="149"/>
      <c r="C408" s="149"/>
      <c r="D408" s="157"/>
      <c r="E408" s="149"/>
      <c r="F408" s="149"/>
      <c r="G408" s="149"/>
      <c r="H408" s="149"/>
      <c r="AB408" s="149"/>
    </row>
    <row r="409" spans="1:28" x14ac:dyDescent="0.15">
      <c r="A409" s="149"/>
      <c r="B409" s="149"/>
      <c r="C409" s="149"/>
      <c r="D409" s="157"/>
      <c r="E409" s="149"/>
      <c r="F409" s="149"/>
      <c r="G409" s="149"/>
      <c r="H409" s="149"/>
      <c r="AB409" s="149"/>
    </row>
    <row r="410" spans="1:28" x14ac:dyDescent="0.15">
      <c r="A410" s="149"/>
      <c r="B410" s="149"/>
      <c r="C410" s="149"/>
      <c r="D410" s="157"/>
      <c r="E410" s="149"/>
      <c r="F410" s="149"/>
      <c r="G410" s="149"/>
      <c r="H410" s="149"/>
      <c r="AB410" s="149"/>
    </row>
    <row r="411" spans="1:28" x14ac:dyDescent="0.15">
      <c r="A411" s="149"/>
      <c r="B411" s="149"/>
      <c r="C411" s="149"/>
      <c r="D411" s="157"/>
      <c r="E411" s="149"/>
      <c r="F411" s="149"/>
      <c r="G411" s="149"/>
      <c r="H411" s="149"/>
      <c r="AB411" s="149"/>
    </row>
    <row r="412" spans="1:28" x14ac:dyDescent="0.15">
      <c r="A412" s="149"/>
      <c r="B412" s="149"/>
      <c r="C412" s="149"/>
      <c r="D412" s="157"/>
      <c r="E412" s="149"/>
      <c r="F412" s="149"/>
      <c r="G412" s="149"/>
      <c r="H412" s="149"/>
      <c r="AB412" s="149"/>
    </row>
    <row r="413" spans="1:28" x14ac:dyDescent="0.15">
      <c r="A413" s="149"/>
      <c r="B413" s="149"/>
      <c r="C413" s="149"/>
      <c r="D413" s="157"/>
      <c r="E413" s="149"/>
      <c r="F413" s="149"/>
      <c r="G413" s="149"/>
      <c r="H413" s="149"/>
      <c r="AB413" s="149"/>
    </row>
    <row r="414" spans="1:28" x14ac:dyDescent="0.15">
      <c r="A414" s="149"/>
      <c r="B414" s="149"/>
      <c r="C414" s="149"/>
      <c r="D414" s="157"/>
      <c r="E414" s="149"/>
      <c r="F414" s="149"/>
      <c r="G414" s="149"/>
      <c r="H414" s="149"/>
      <c r="AB414" s="149"/>
    </row>
    <row r="415" spans="1:28" x14ac:dyDescent="0.15">
      <c r="A415" s="149"/>
      <c r="B415" s="149"/>
      <c r="C415" s="149"/>
      <c r="D415" s="157"/>
      <c r="E415" s="149"/>
      <c r="F415" s="149"/>
      <c r="G415" s="149"/>
      <c r="H415" s="149"/>
      <c r="AB415" s="149"/>
    </row>
    <row r="416" spans="1:28" x14ac:dyDescent="0.15">
      <c r="A416" s="149"/>
      <c r="B416" s="149"/>
      <c r="C416" s="149"/>
      <c r="D416" s="157"/>
      <c r="E416" s="149"/>
      <c r="F416" s="149"/>
      <c r="G416" s="149"/>
      <c r="H416" s="149"/>
      <c r="AB416" s="149"/>
    </row>
    <row r="417" spans="1:28" x14ac:dyDescent="0.15">
      <c r="A417" s="149"/>
      <c r="B417" s="149"/>
      <c r="C417" s="149"/>
      <c r="D417" s="157"/>
      <c r="E417" s="149"/>
      <c r="F417" s="149"/>
      <c r="G417" s="149"/>
      <c r="H417" s="149"/>
      <c r="AB417" s="149"/>
    </row>
    <row r="418" spans="1:28" x14ac:dyDescent="0.15">
      <c r="A418" s="149"/>
      <c r="B418" s="149"/>
      <c r="C418" s="149"/>
      <c r="D418" s="157"/>
      <c r="E418" s="149"/>
      <c r="F418" s="149"/>
      <c r="G418" s="149"/>
      <c r="H418" s="149"/>
      <c r="AB418" s="149"/>
    </row>
    <row r="419" spans="1:28" x14ac:dyDescent="0.15">
      <c r="A419" s="149"/>
      <c r="B419" s="149"/>
      <c r="C419" s="149"/>
      <c r="D419" s="157"/>
      <c r="E419" s="149"/>
      <c r="F419" s="149"/>
      <c r="G419" s="149"/>
      <c r="H419" s="149"/>
      <c r="AB419" s="149"/>
    </row>
    <row r="420" spans="1:28" x14ac:dyDescent="0.15">
      <c r="A420" s="149"/>
      <c r="B420" s="149"/>
      <c r="C420" s="149"/>
      <c r="D420" s="157"/>
      <c r="E420" s="149"/>
      <c r="F420" s="149"/>
      <c r="G420" s="149"/>
      <c r="H420" s="149"/>
      <c r="AB420" s="149"/>
    </row>
    <row r="421" spans="1:28" x14ac:dyDescent="0.15">
      <c r="A421" s="149"/>
      <c r="B421" s="149"/>
      <c r="C421" s="149"/>
      <c r="D421" s="157"/>
      <c r="E421" s="149"/>
      <c r="F421" s="149"/>
      <c r="G421" s="149"/>
      <c r="H421" s="149"/>
      <c r="AB421" s="149"/>
    </row>
    <row r="422" spans="1:28" x14ac:dyDescent="0.15">
      <c r="A422" s="149"/>
      <c r="B422" s="149"/>
      <c r="C422" s="149"/>
      <c r="D422" s="157"/>
      <c r="E422" s="149"/>
      <c r="F422" s="149"/>
      <c r="G422" s="149"/>
      <c r="H422" s="149"/>
      <c r="AB422" s="149"/>
    </row>
    <row r="423" spans="1:28" x14ac:dyDescent="0.15">
      <c r="A423" s="149"/>
      <c r="B423" s="149"/>
      <c r="C423" s="149"/>
      <c r="D423" s="157"/>
      <c r="E423" s="149"/>
      <c r="F423" s="149"/>
      <c r="G423" s="149"/>
      <c r="H423" s="149"/>
      <c r="AB423" s="149"/>
    </row>
    <row r="424" spans="1:28" x14ac:dyDescent="0.15">
      <c r="A424" s="149"/>
      <c r="B424" s="149"/>
      <c r="C424" s="149"/>
      <c r="D424" s="157"/>
      <c r="E424" s="149"/>
      <c r="F424" s="149"/>
      <c r="G424" s="149"/>
      <c r="H424" s="149"/>
      <c r="AB424" s="149"/>
    </row>
    <row r="425" spans="1:28" x14ac:dyDescent="0.15">
      <c r="A425" s="149"/>
      <c r="B425" s="149"/>
      <c r="C425" s="149"/>
      <c r="D425" s="157"/>
      <c r="E425" s="149"/>
      <c r="F425" s="149"/>
      <c r="G425" s="149"/>
      <c r="H425" s="149"/>
      <c r="AB425" s="149"/>
    </row>
    <row r="426" spans="1:28" x14ac:dyDescent="0.15">
      <c r="A426" s="149"/>
      <c r="B426" s="149"/>
      <c r="C426" s="149"/>
      <c r="D426" s="157"/>
      <c r="E426" s="149"/>
      <c r="F426" s="149"/>
      <c r="G426" s="149"/>
      <c r="H426" s="149"/>
      <c r="AB426" s="149"/>
    </row>
    <row r="427" spans="1:28" x14ac:dyDescent="0.15">
      <c r="A427" s="149"/>
      <c r="B427" s="149"/>
      <c r="C427" s="149"/>
      <c r="D427" s="157"/>
      <c r="E427" s="149"/>
      <c r="F427" s="149"/>
      <c r="G427" s="149"/>
      <c r="H427" s="149"/>
      <c r="AB427" s="149"/>
    </row>
    <row r="428" spans="1:28" x14ac:dyDescent="0.15">
      <c r="A428" s="149"/>
      <c r="B428" s="149"/>
      <c r="C428" s="149"/>
      <c r="D428" s="157"/>
      <c r="E428" s="149"/>
      <c r="F428" s="149"/>
      <c r="G428" s="149"/>
      <c r="H428" s="149"/>
      <c r="AB428" s="149"/>
    </row>
    <row r="429" spans="1:28" x14ac:dyDescent="0.15">
      <c r="A429" s="149"/>
      <c r="B429" s="149"/>
      <c r="C429" s="149"/>
      <c r="D429" s="157"/>
      <c r="E429" s="149"/>
      <c r="F429" s="149"/>
      <c r="G429" s="149"/>
      <c r="H429" s="149"/>
      <c r="AB429" s="149"/>
    </row>
    <row r="430" spans="1:28" x14ac:dyDescent="0.15">
      <c r="A430" s="149"/>
      <c r="B430" s="149"/>
      <c r="C430" s="149"/>
      <c r="D430" s="157"/>
      <c r="E430" s="149"/>
      <c r="F430" s="149"/>
      <c r="G430" s="149"/>
      <c r="H430" s="149"/>
      <c r="AB430" s="149"/>
    </row>
    <row r="431" spans="1:28" x14ac:dyDescent="0.15">
      <c r="A431" s="149"/>
      <c r="B431" s="149"/>
      <c r="C431" s="149"/>
      <c r="D431" s="157"/>
      <c r="E431" s="149"/>
      <c r="F431" s="149"/>
      <c r="G431" s="149"/>
      <c r="H431" s="149"/>
      <c r="AB431" s="149"/>
    </row>
    <row r="432" spans="1:28" x14ac:dyDescent="0.15">
      <c r="A432" s="149"/>
      <c r="B432" s="149"/>
      <c r="C432" s="149"/>
      <c r="D432" s="157"/>
      <c r="E432" s="149"/>
      <c r="F432" s="149"/>
      <c r="G432" s="149"/>
      <c r="H432" s="149"/>
      <c r="AB432" s="149"/>
    </row>
    <row r="433" spans="1:28" x14ac:dyDescent="0.15">
      <c r="A433" s="149"/>
      <c r="B433" s="149"/>
      <c r="C433" s="149"/>
      <c r="D433" s="157"/>
      <c r="E433" s="149"/>
      <c r="F433" s="149"/>
      <c r="G433" s="149"/>
      <c r="H433" s="149"/>
      <c r="AB433" s="149"/>
    </row>
    <row r="434" spans="1:28" x14ac:dyDescent="0.15">
      <c r="A434" s="149"/>
      <c r="B434" s="149"/>
      <c r="C434" s="149"/>
      <c r="D434" s="157"/>
      <c r="E434" s="149"/>
      <c r="F434" s="149"/>
      <c r="G434" s="149"/>
      <c r="H434" s="149"/>
      <c r="AB434" s="149"/>
    </row>
    <row r="435" spans="1:28" x14ac:dyDescent="0.15">
      <c r="A435" s="149"/>
      <c r="B435" s="149"/>
      <c r="C435" s="149"/>
      <c r="D435" s="157"/>
      <c r="E435" s="149"/>
      <c r="F435" s="149"/>
      <c r="G435" s="149"/>
      <c r="H435" s="149"/>
      <c r="AB435" s="149"/>
    </row>
    <row r="436" spans="1:28" x14ac:dyDescent="0.15">
      <c r="A436" s="149"/>
      <c r="B436" s="149"/>
      <c r="C436" s="149"/>
      <c r="D436" s="157"/>
      <c r="E436" s="149"/>
      <c r="F436" s="149"/>
      <c r="G436" s="149"/>
      <c r="H436" s="149"/>
      <c r="AB436" s="149"/>
    </row>
    <row r="437" spans="1:28" x14ac:dyDescent="0.15">
      <c r="A437" s="149"/>
      <c r="B437" s="149"/>
      <c r="C437" s="149"/>
      <c r="D437" s="157"/>
      <c r="E437" s="149"/>
      <c r="F437" s="149"/>
      <c r="G437" s="149"/>
      <c r="H437" s="149"/>
      <c r="AB437" s="149"/>
    </row>
    <row r="438" spans="1:28" x14ac:dyDescent="0.15">
      <c r="A438" s="149"/>
      <c r="B438" s="149"/>
      <c r="C438" s="149"/>
      <c r="D438" s="157"/>
      <c r="E438" s="149"/>
      <c r="F438" s="149"/>
      <c r="G438" s="149"/>
      <c r="H438" s="149"/>
      <c r="AB438" s="149"/>
    </row>
    <row r="439" spans="1:28" x14ac:dyDescent="0.15">
      <c r="A439" s="149"/>
      <c r="B439" s="149"/>
      <c r="C439" s="149"/>
      <c r="D439" s="157"/>
      <c r="E439" s="149"/>
      <c r="F439" s="149"/>
      <c r="G439" s="149"/>
      <c r="H439" s="149"/>
      <c r="AB439" s="149"/>
    </row>
    <row r="440" spans="1:28" x14ac:dyDescent="0.15">
      <c r="A440" s="149"/>
      <c r="B440" s="149"/>
      <c r="C440" s="149"/>
      <c r="D440" s="157"/>
      <c r="E440" s="149"/>
      <c r="F440" s="149"/>
      <c r="G440" s="149"/>
      <c r="H440" s="149"/>
      <c r="AB440" s="149"/>
    </row>
    <row r="441" spans="1:28" x14ac:dyDescent="0.15">
      <c r="A441" s="149"/>
      <c r="B441" s="149"/>
      <c r="C441" s="149"/>
      <c r="D441" s="157"/>
      <c r="E441" s="149"/>
      <c r="F441" s="149"/>
      <c r="G441" s="149"/>
      <c r="H441" s="149"/>
      <c r="AB441" s="149"/>
    </row>
    <row r="442" spans="1:28" x14ac:dyDescent="0.15">
      <c r="A442" s="149"/>
      <c r="B442" s="149"/>
      <c r="C442" s="149"/>
      <c r="D442" s="157"/>
      <c r="E442" s="149"/>
      <c r="F442" s="149"/>
      <c r="G442" s="149"/>
      <c r="H442" s="149"/>
      <c r="AB442" s="149"/>
    </row>
    <row r="443" spans="1:28" x14ac:dyDescent="0.15">
      <c r="A443" s="149"/>
      <c r="B443" s="149"/>
      <c r="C443" s="149"/>
      <c r="D443" s="157"/>
      <c r="E443" s="149"/>
      <c r="F443" s="149"/>
      <c r="G443" s="149"/>
      <c r="H443" s="149"/>
      <c r="AB443" s="149"/>
    </row>
    <row r="444" spans="1:28" x14ac:dyDescent="0.15">
      <c r="A444" s="149"/>
      <c r="B444" s="149"/>
      <c r="C444" s="149"/>
      <c r="D444" s="157"/>
      <c r="E444" s="149"/>
      <c r="F444" s="149"/>
      <c r="G444" s="149"/>
      <c r="H444" s="149"/>
      <c r="AB444" s="149"/>
    </row>
    <row r="445" spans="1:28" x14ac:dyDescent="0.15">
      <c r="A445" s="149"/>
      <c r="B445" s="149"/>
      <c r="C445" s="149"/>
      <c r="D445" s="157"/>
      <c r="E445" s="149"/>
      <c r="F445" s="149"/>
      <c r="G445" s="149"/>
      <c r="H445" s="149"/>
      <c r="AB445" s="149"/>
    </row>
    <row r="446" spans="1:28" x14ac:dyDescent="0.15">
      <c r="A446" s="149"/>
      <c r="B446" s="149"/>
      <c r="C446" s="149"/>
      <c r="D446" s="157"/>
      <c r="E446" s="149"/>
      <c r="F446" s="149"/>
      <c r="G446" s="149"/>
      <c r="H446" s="149"/>
      <c r="AB446" s="149"/>
    </row>
    <row r="447" spans="1:28" x14ac:dyDescent="0.15">
      <c r="A447" s="149"/>
      <c r="B447" s="149"/>
      <c r="C447" s="149"/>
      <c r="D447" s="157"/>
      <c r="E447" s="149"/>
      <c r="F447" s="149"/>
      <c r="G447" s="149"/>
      <c r="H447" s="149"/>
      <c r="AB447" s="149"/>
    </row>
    <row r="448" spans="1:28" x14ac:dyDescent="0.15">
      <c r="A448" s="149"/>
      <c r="B448" s="149"/>
      <c r="C448" s="149"/>
      <c r="D448" s="157"/>
      <c r="E448" s="149"/>
      <c r="F448" s="149"/>
      <c r="G448" s="149"/>
      <c r="H448" s="149"/>
      <c r="AB448" s="149"/>
    </row>
    <row r="449" spans="1:28" x14ac:dyDescent="0.15">
      <c r="A449" s="149"/>
      <c r="B449" s="149"/>
      <c r="C449" s="149"/>
      <c r="D449" s="157"/>
      <c r="E449" s="149"/>
      <c r="F449" s="149"/>
      <c r="G449" s="149"/>
      <c r="H449" s="149"/>
      <c r="AB449" s="149"/>
    </row>
    <row r="450" spans="1:28" x14ac:dyDescent="0.15">
      <c r="A450" s="149"/>
      <c r="B450" s="149"/>
      <c r="C450" s="149"/>
      <c r="D450" s="157"/>
      <c r="E450" s="149"/>
      <c r="F450" s="149"/>
      <c r="G450" s="149"/>
      <c r="H450" s="149"/>
      <c r="AB450" s="149"/>
    </row>
    <row r="451" spans="1:28" x14ac:dyDescent="0.15">
      <c r="A451" s="149"/>
      <c r="B451" s="149"/>
      <c r="C451" s="149"/>
      <c r="D451" s="157"/>
      <c r="E451" s="149"/>
      <c r="F451" s="149"/>
      <c r="G451" s="149"/>
      <c r="H451" s="149"/>
      <c r="AB451" s="149"/>
    </row>
    <row r="452" spans="1:28" x14ac:dyDescent="0.15">
      <c r="A452" s="149"/>
      <c r="B452" s="149"/>
      <c r="C452" s="149"/>
      <c r="D452" s="157"/>
      <c r="E452" s="149"/>
      <c r="F452" s="149"/>
      <c r="G452" s="149"/>
      <c r="H452" s="149"/>
      <c r="AB452" s="149"/>
    </row>
    <row r="453" spans="1:28" x14ac:dyDescent="0.15">
      <c r="A453" s="149"/>
      <c r="B453" s="149"/>
      <c r="C453" s="149"/>
      <c r="D453" s="157"/>
      <c r="E453" s="149"/>
      <c r="F453" s="149"/>
      <c r="G453" s="149"/>
      <c r="H453" s="149"/>
      <c r="AB453" s="149"/>
    </row>
    <row r="454" spans="1:28" x14ac:dyDescent="0.15">
      <c r="A454" s="149"/>
      <c r="B454" s="149"/>
      <c r="C454" s="149"/>
      <c r="D454" s="157"/>
      <c r="E454" s="149"/>
      <c r="F454" s="149"/>
      <c r="G454" s="149"/>
      <c r="H454" s="149"/>
      <c r="AB454" s="149"/>
    </row>
    <row r="455" spans="1:28" x14ac:dyDescent="0.15">
      <c r="A455" s="149"/>
      <c r="B455" s="149"/>
      <c r="C455" s="149"/>
      <c r="D455" s="157"/>
      <c r="E455" s="149"/>
      <c r="F455" s="149"/>
      <c r="G455" s="149"/>
      <c r="H455" s="149"/>
      <c r="AB455" s="149"/>
    </row>
    <row r="456" spans="1:28" x14ac:dyDescent="0.15">
      <c r="A456" s="149"/>
      <c r="B456" s="149"/>
      <c r="C456" s="149"/>
      <c r="D456" s="157"/>
      <c r="E456" s="149"/>
      <c r="F456" s="149"/>
      <c r="G456" s="149"/>
      <c r="H456" s="149"/>
      <c r="AB456" s="149"/>
    </row>
    <row r="457" spans="1:28" x14ac:dyDescent="0.15">
      <c r="A457" s="149"/>
      <c r="B457" s="149"/>
      <c r="C457" s="149"/>
      <c r="D457" s="157"/>
      <c r="E457" s="149"/>
      <c r="F457" s="149"/>
      <c r="G457" s="149"/>
      <c r="H457" s="149"/>
      <c r="AB457" s="149"/>
    </row>
    <row r="458" spans="1:28" x14ac:dyDescent="0.15">
      <c r="A458" s="149"/>
      <c r="B458" s="149"/>
      <c r="C458" s="149"/>
      <c r="D458" s="157"/>
      <c r="E458" s="149"/>
      <c r="F458" s="149"/>
      <c r="G458" s="149"/>
      <c r="H458" s="149"/>
      <c r="AB458" s="149"/>
    </row>
    <row r="459" spans="1:28" x14ac:dyDescent="0.15">
      <c r="A459" s="149"/>
      <c r="B459" s="149"/>
      <c r="C459" s="149"/>
      <c r="D459" s="157"/>
      <c r="E459" s="149"/>
      <c r="F459" s="149"/>
      <c r="G459" s="149"/>
      <c r="H459" s="149"/>
      <c r="AB459" s="149"/>
    </row>
    <row r="460" spans="1:28" x14ac:dyDescent="0.15">
      <c r="A460" s="149"/>
      <c r="B460" s="149"/>
      <c r="C460" s="149"/>
      <c r="D460" s="157"/>
      <c r="E460" s="149"/>
      <c r="F460" s="149"/>
      <c r="G460" s="149"/>
      <c r="H460" s="149"/>
      <c r="AB460" s="149"/>
    </row>
    <row r="461" spans="1:28" x14ac:dyDescent="0.15">
      <c r="A461" s="149"/>
      <c r="B461" s="149"/>
      <c r="C461" s="149"/>
      <c r="D461" s="157"/>
      <c r="E461" s="149"/>
      <c r="F461" s="149"/>
      <c r="G461" s="149"/>
      <c r="H461" s="149"/>
      <c r="AB461" s="149"/>
    </row>
    <row r="462" spans="1:28" x14ac:dyDescent="0.15">
      <c r="A462" s="149"/>
      <c r="B462" s="149"/>
      <c r="C462" s="149"/>
      <c r="D462" s="157"/>
      <c r="E462" s="149"/>
      <c r="F462" s="149"/>
      <c r="G462" s="149"/>
      <c r="H462" s="149"/>
      <c r="AB462" s="149"/>
    </row>
    <row r="463" spans="1:28" x14ac:dyDescent="0.15">
      <c r="A463" s="149"/>
      <c r="B463" s="149"/>
      <c r="C463" s="149"/>
      <c r="D463" s="157"/>
      <c r="E463" s="149"/>
      <c r="F463" s="149"/>
      <c r="G463" s="149"/>
      <c r="H463" s="149"/>
      <c r="AB463" s="149"/>
    </row>
    <row r="464" spans="1:28" x14ac:dyDescent="0.15">
      <c r="A464" s="149"/>
      <c r="B464" s="149"/>
      <c r="C464" s="149"/>
      <c r="D464" s="157"/>
      <c r="E464" s="149"/>
      <c r="F464" s="149"/>
      <c r="G464" s="149"/>
      <c r="H464" s="149"/>
      <c r="AB464" s="149"/>
    </row>
    <row r="465" spans="1:28" x14ac:dyDescent="0.15">
      <c r="A465" s="149"/>
      <c r="B465" s="149"/>
      <c r="C465" s="149"/>
      <c r="D465" s="157"/>
      <c r="E465" s="149"/>
      <c r="F465" s="149"/>
      <c r="G465" s="149"/>
      <c r="H465" s="149"/>
      <c r="AB465" s="149"/>
    </row>
    <row r="466" spans="1:28" x14ac:dyDescent="0.15">
      <c r="A466" s="149"/>
      <c r="B466" s="149"/>
      <c r="C466" s="149"/>
      <c r="D466" s="157"/>
      <c r="E466" s="149"/>
      <c r="F466" s="149"/>
      <c r="G466" s="149"/>
      <c r="H466" s="149"/>
      <c r="AB466" s="149"/>
    </row>
    <row r="467" spans="1:28" x14ac:dyDescent="0.15">
      <c r="A467" s="149"/>
      <c r="B467" s="149"/>
      <c r="C467" s="149"/>
      <c r="D467" s="157"/>
      <c r="E467" s="149"/>
      <c r="F467" s="149"/>
      <c r="G467" s="149"/>
      <c r="H467" s="149"/>
      <c r="AB467" s="149"/>
    </row>
    <row r="468" spans="1:28" x14ac:dyDescent="0.15">
      <c r="A468" s="149"/>
      <c r="B468" s="149"/>
      <c r="C468" s="149"/>
      <c r="D468" s="157"/>
      <c r="E468" s="149"/>
      <c r="F468" s="149"/>
      <c r="G468" s="149"/>
      <c r="H468" s="149"/>
      <c r="AB468" s="149"/>
    </row>
    <row r="469" spans="1:28" x14ac:dyDescent="0.15">
      <c r="A469" s="149"/>
      <c r="B469" s="149"/>
      <c r="C469" s="149"/>
      <c r="D469" s="157"/>
      <c r="E469" s="149"/>
      <c r="F469" s="149"/>
      <c r="G469" s="149"/>
      <c r="H469" s="149"/>
      <c r="AB469" s="149"/>
    </row>
    <row r="470" spans="1:28" x14ac:dyDescent="0.15">
      <c r="A470" s="149"/>
      <c r="B470" s="149"/>
      <c r="C470" s="149"/>
      <c r="D470" s="157"/>
      <c r="E470" s="149"/>
      <c r="F470" s="149"/>
      <c r="G470" s="149"/>
      <c r="H470" s="149"/>
      <c r="AB470" s="149"/>
    </row>
    <row r="471" spans="1:28" x14ac:dyDescent="0.15">
      <c r="A471" s="149"/>
      <c r="B471" s="149"/>
      <c r="C471" s="149"/>
      <c r="D471" s="157"/>
      <c r="E471" s="149"/>
      <c r="F471" s="149"/>
      <c r="G471" s="149"/>
      <c r="H471" s="149"/>
      <c r="AB471" s="149"/>
    </row>
    <row r="472" spans="1:28" x14ac:dyDescent="0.15">
      <c r="A472" s="149"/>
      <c r="B472" s="149"/>
      <c r="C472" s="149"/>
      <c r="D472" s="157"/>
      <c r="E472" s="149"/>
      <c r="F472" s="149"/>
      <c r="G472" s="149"/>
      <c r="H472" s="149"/>
      <c r="AB472" s="149"/>
    </row>
    <row r="473" spans="1:28" x14ac:dyDescent="0.15">
      <c r="A473" s="149"/>
      <c r="B473" s="149"/>
      <c r="C473" s="149"/>
      <c r="D473" s="157"/>
      <c r="E473" s="149"/>
      <c r="F473" s="149"/>
      <c r="G473" s="149"/>
      <c r="H473" s="149"/>
      <c r="AB473" s="149"/>
    </row>
    <row r="474" spans="1:28" x14ac:dyDescent="0.15">
      <c r="A474" s="149"/>
      <c r="B474" s="149"/>
      <c r="C474" s="149"/>
      <c r="D474" s="157"/>
      <c r="E474" s="149"/>
      <c r="F474" s="149"/>
      <c r="G474" s="149"/>
      <c r="H474" s="149"/>
      <c r="AB474" s="149"/>
    </row>
    <row r="475" spans="1:28" x14ac:dyDescent="0.15">
      <c r="A475" s="149"/>
      <c r="B475" s="149"/>
      <c r="C475" s="149"/>
      <c r="D475" s="157"/>
      <c r="E475" s="149"/>
      <c r="F475" s="149"/>
      <c r="G475" s="149"/>
      <c r="H475" s="149"/>
      <c r="AB475" s="149"/>
    </row>
    <row r="476" spans="1:28" x14ac:dyDescent="0.15">
      <c r="A476" s="149"/>
      <c r="B476" s="149"/>
      <c r="C476" s="149"/>
      <c r="D476" s="157"/>
      <c r="E476" s="149"/>
      <c r="F476" s="149"/>
      <c r="G476" s="149"/>
      <c r="H476" s="149"/>
      <c r="AB476" s="149"/>
    </row>
    <row r="477" spans="1:28" x14ac:dyDescent="0.15">
      <c r="A477" s="149"/>
      <c r="B477" s="149"/>
      <c r="C477" s="149"/>
      <c r="D477" s="157"/>
      <c r="E477" s="149"/>
      <c r="F477" s="149"/>
      <c r="G477" s="149"/>
      <c r="H477" s="149"/>
      <c r="AB477" s="149"/>
    </row>
    <row r="478" spans="1:28" x14ac:dyDescent="0.15">
      <c r="A478" s="149"/>
      <c r="B478" s="149"/>
      <c r="C478" s="149"/>
      <c r="D478" s="157"/>
      <c r="E478" s="149"/>
      <c r="F478" s="149"/>
      <c r="G478" s="149"/>
      <c r="H478" s="149"/>
      <c r="AB478" s="149"/>
    </row>
    <row r="479" spans="1:28" x14ac:dyDescent="0.15">
      <c r="A479" s="149"/>
      <c r="B479" s="149"/>
      <c r="C479" s="149"/>
      <c r="D479" s="157"/>
      <c r="E479" s="149"/>
      <c r="F479" s="149"/>
      <c r="G479" s="149"/>
      <c r="H479" s="149"/>
      <c r="AB479" s="149"/>
    </row>
    <row r="480" spans="1:28" x14ac:dyDescent="0.15">
      <c r="A480" s="149"/>
      <c r="B480" s="149"/>
      <c r="C480" s="149"/>
      <c r="D480" s="157"/>
      <c r="E480" s="149"/>
      <c r="F480" s="149"/>
      <c r="G480" s="149"/>
      <c r="H480" s="149"/>
      <c r="AB480" s="149"/>
    </row>
    <row r="481" spans="1:28" x14ac:dyDescent="0.15">
      <c r="A481" s="149"/>
      <c r="B481" s="149"/>
      <c r="C481" s="149"/>
      <c r="D481" s="157"/>
      <c r="E481" s="149"/>
      <c r="F481" s="149"/>
      <c r="G481" s="149"/>
      <c r="H481" s="149"/>
      <c r="AB481" s="149"/>
    </row>
    <row r="482" spans="1:28" x14ac:dyDescent="0.15">
      <c r="A482" s="149"/>
      <c r="B482" s="149"/>
      <c r="C482" s="149"/>
      <c r="D482" s="157"/>
      <c r="E482" s="149"/>
      <c r="F482" s="149"/>
      <c r="G482" s="149"/>
      <c r="H482" s="149"/>
      <c r="AB482" s="149"/>
    </row>
    <row r="483" spans="1:28" x14ac:dyDescent="0.15">
      <c r="A483" s="149"/>
      <c r="B483" s="149"/>
      <c r="C483" s="149"/>
      <c r="D483" s="157"/>
      <c r="E483" s="149"/>
      <c r="F483" s="149"/>
      <c r="G483" s="149"/>
      <c r="H483" s="149"/>
      <c r="AB483" s="149"/>
    </row>
    <row r="484" spans="1:28" x14ac:dyDescent="0.15">
      <c r="A484" s="149"/>
      <c r="B484" s="149"/>
      <c r="C484" s="149"/>
      <c r="D484" s="157"/>
      <c r="E484" s="149"/>
      <c r="F484" s="149"/>
      <c r="G484" s="149"/>
      <c r="H484" s="149"/>
      <c r="AB484" s="149"/>
    </row>
    <row r="485" spans="1:28" x14ac:dyDescent="0.15">
      <c r="A485" s="149"/>
      <c r="B485" s="149"/>
      <c r="C485" s="149"/>
      <c r="D485" s="157"/>
      <c r="E485" s="149"/>
      <c r="F485" s="149"/>
      <c r="G485" s="149"/>
      <c r="H485" s="149"/>
      <c r="AB485" s="149"/>
    </row>
    <row r="486" spans="1:28" x14ac:dyDescent="0.15">
      <c r="A486" s="149"/>
      <c r="B486" s="149"/>
      <c r="C486" s="149"/>
      <c r="D486" s="157"/>
      <c r="E486" s="149"/>
      <c r="F486" s="149"/>
      <c r="G486" s="149"/>
      <c r="H486" s="149"/>
      <c r="AB486" s="149"/>
    </row>
    <row r="487" spans="1:28" x14ac:dyDescent="0.15">
      <c r="A487" s="149"/>
      <c r="B487" s="149"/>
      <c r="C487" s="149"/>
      <c r="D487" s="157"/>
      <c r="E487" s="149"/>
      <c r="F487" s="149"/>
      <c r="G487" s="149"/>
      <c r="H487" s="149"/>
      <c r="AB487" s="149"/>
    </row>
    <row r="488" spans="1:28" x14ac:dyDescent="0.15">
      <c r="A488" s="149"/>
      <c r="B488" s="149"/>
      <c r="C488" s="149"/>
      <c r="D488" s="157"/>
      <c r="E488" s="149"/>
      <c r="F488" s="149"/>
      <c r="G488" s="149"/>
      <c r="H488" s="149"/>
      <c r="AB488" s="149"/>
    </row>
    <row r="489" spans="1:28" x14ac:dyDescent="0.15">
      <c r="A489" s="149"/>
      <c r="B489" s="149"/>
      <c r="C489" s="149"/>
      <c r="D489" s="157"/>
      <c r="E489" s="149"/>
      <c r="F489" s="149"/>
      <c r="G489" s="149"/>
      <c r="H489" s="149"/>
      <c r="AB489" s="149"/>
    </row>
    <row r="490" spans="1:28" x14ac:dyDescent="0.15">
      <c r="A490" s="149"/>
      <c r="B490" s="149"/>
      <c r="C490" s="149"/>
      <c r="D490" s="157"/>
      <c r="E490" s="149"/>
      <c r="F490" s="149"/>
      <c r="G490" s="149"/>
      <c r="H490" s="149"/>
      <c r="AB490" s="149"/>
    </row>
    <row r="491" spans="1:28" x14ac:dyDescent="0.15">
      <c r="A491" s="149"/>
      <c r="B491" s="149"/>
      <c r="C491" s="149"/>
      <c r="D491" s="157"/>
      <c r="E491" s="149"/>
      <c r="F491" s="149"/>
      <c r="G491" s="149"/>
      <c r="H491" s="149"/>
      <c r="AB491" s="149"/>
    </row>
    <row r="492" spans="1:28" x14ac:dyDescent="0.15">
      <c r="A492" s="149"/>
      <c r="B492" s="149"/>
      <c r="C492" s="149"/>
      <c r="D492" s="157"/>
      <c r="E492" s="149"/>
      <c r="F492" s="149"/>
      <c r="G492" s="149"/>
      <c r="H492" s="149"/>
      <c r="AB492" s="149"/>
    </row>
    <row r="493" spans="1:28" x14ac:dyDescent="0.15">
      <c r="A493" s="149"/>
      <c r="B493" s="149"/>
      <c r="C493" s="149"/>
      <c r="D493" s="157"/>
      <c r="E493" s="149"/>
      <c r="F493" s="149"/>
      <c r="G493" s="149"/>
      <c r="H493" s="149"/>
      <c r="AB493" s="149"/>
    </row>
    <row r="494" spans="1:28" x14ac:dyDescent="0.15">
      <c r="A494" s="149"/>
      <c r="B494" s="149"/>
      <c r="C494" s="149"/>
      <c r="D494" s="157"/>
      <c r="E494" s="149"/>
      <c r="F494" s="149"/>
      <c r="G494" s="149"/>
      <c r="H494" s="149"/>
      <c r="AB494" s="149"/>
    </row>
    <row r="495" spans="1:28" x14ac:dyDescent="0.15">
      <c r="A495" s="149"/>
      <c r="B495" s="149"/>
      <c r="C495" s="149"/>
      <c r="D495" s="157"/>
      <c r="E495" s="149"/>
      <c r="F495" s="149"/>
      <c r="G495" s="149"/>
      <c r="H495" s="149"/>
      <c r="AB495" s="149"/>
    </row>
    <row r="496" spans="1:28" x14ac:dyDescent="0.15">
      <c r="A496" s="149"/>
      <c r="B496" s="149"/>
      <c r="C496" s="149"/>
      <c r="D496" s="157"/>
      <c r="E496" s="149"/>
      <c r="F496" s="149"/>
      <c r="G496" s="149"/>
      <c r="H496" s="149"/>
      <c r="AB496" s="149"/>
    </row>
    <row r="497" spans="1:28" x14ac:dyDescent="0.15">
      <c r="A497" s="149"/>
      <c r="B497" s="149"/>
      <c r="C497" s="149"/>
      <c r="D497" s="157"/>
      <c r="E497" s="149"/>
      <c r="F497" s="149"/>
      <c r="G497" s="149"/>
      <c r="H497" s="149"/>
      <c r="AB497" s="149"/>
    </row>
    <row r="498" spans="1:28" x14ac:dyDescent="0.15">
      <c r="A498" s="149"/>
      <c r="B498" s="149"/>
      <c r="C498" s="149"/>
      <c r="D498" s="157"/>
      <c r="E498" s="149"/>
      <c r="F498" s="149"/>
      <c r="G498" s="149"/>
      <c r="H498" s="149"/>
      <c r="AB498" s="149"/>
    </row>
    <row r="499" spans="1:28" x14ac:dyDescent="0.15">
      <c r="A499" s="149"/>
      <c r="B499" s="149"/>
      <c r="C499" s="149"/>
      <c r="D499" s="157"/>
      <c r="E499" s="149"/>
      <c r="F499" s="149"/>
      <c r="G499" s="149"/>
      <c r="H499" s="149"/>
      <c r="AB499" s="149"/>
    </row>
    <row r="500" spans="1:28" x14ac:dyDescent="0.15">
      <c r="A500" s="149"/>
      <c r="B500" s="149"/>
      <c r="C500" s="149"/>
      <c r="D500" s="157"/>
      <c r="E500" s="149"/>
      <c r="F500" s="149"/>
      <c r="G500" s="149"/>
      <c r="H500" s="149"/>
      <c r="AB500" s="149"/>
    </row>
    <row r="501" spans="1:28" x14ac:dyDescent="0.15">
      <c r="A501" s="149"/>
      <c r="B501" s="149"/>
      <c r="C501" s="149"/>
      <c r="D501" s="157"/>
      <c r="E501" s="149"/>
      <c r="F501" s="149"/>
      <c r="G501" s="149"/>
      <c r="H501" s="149"/>
      <c r="AB501" s="149"/>
    </row>
    <row r="502" spans="1:28" x14ac:dyDescent="0.15">
      <c r="A502" s="149"/>
      <c r="B502" s="149"/>
      <c r="C502" s="149"/>
      <c r="D502" s="157"/>
      <c r="E502" s="149"/>
      <c r="F502" s="149"/>
      <c r="G502" s="149"/>
      <c r="H502" s="149"/>
      <c r="AB502" s="149"/>
    </row>
    <row r="503" spans="1:28" x14ac:dyDescent="0.15">
      <c r="A503" s="149"/>
      <c r="B503" s="149"/>
      <c r="C503" s="149"/>
      <c r="D503" s="157"/>
      <c r="E503" s="149"/>
      <c r="F503" s="149"/>
      <c r="G503" s="149"/>
      <c r="H503" s="149"/>
      <c r="AB503" s="149"/>
    </row>
    <row r="504" spans="1:28" x14ac:dyDescent="0.15">
      <c r="A504" s="149"/>
      <c r="B504" s="149"/>
      <c r="C504" s="149"/>
      <c r="D504" s="157"/>
      <c r="E504" s="149"/>
      <c r="F504" s="149"/>
      <c r="G504" s="149"/>
      <c r="H504" s="149"/>
      <c r="AB504" s="149"/>
    </row>
    <row r="505" spans="1:28" x14ac:dyDescent="0.15">
      <c r="A505" s="149"/>
      <c r="B505" s="149"/>
      <c r="C505" s="149"/>
      <c r="D505" s="157"/>
      <c r="E505" s="149"/>
      <c r="F505" s="149"/>
      <c r="G505" s="149"/>
      <c r="H505" s="149"/>
      <c r="AB505" s="149"/>
    </row>
    <row r="506" spans="1:28" x14ac:dyDescent="0.15">
      <c r="A506" s="149"/>
      <c r="B506" s="149"/>
      <c r="C506" s="149"/>
      <c r="D506" s="157"/>
      <c r="E506" s="149"/>
      <c r="F506" s="149"/>
      <c r="G506" s="149"/>
      <c r="H506" s="149"/>
      <c r="AB506" s="149"/>
    </row>
    <row r="507" spans="1:28" x14ac:dyDescent="0.15">
      <c r="A507" s="149"/>
      <c r="B507" s="149"/>
      <c r="C507" s="149"/>
      <c r="D507" s="157"/>
      <c r="E507" s="149"/>
      <c r="F507" s="149"/>
      <c r="G507" s="149"/>
      <c r="H507" s="149"/>
      <c r="AB507" s="149"/>
    </row>
    <row r="508" spans="1:28" x14ac:dyDescent="0.15">
      <c r="A508" s="149"/>
      <c r="B508" s="149"/>
      <c r="C508" s="149"/>
      <c r="D508" s="157"/>
      <c r="E508" s="149"/>
      <c r="F508" s="149"/>
      <c r="G508" s="149"/>
      <c r="H508" s="149"/>
      <c r="AB508" s="149"/>
    </row>
    <row r="509" spans="1:28" x14ac:dyDescent="0.15">
      <c r="A509" s="149"/>
      <c r="B509" s="149"/>
      <c r="C509" s="149"/>
      <c r="D509" s="157"/>
      <c r="E509" s="149"/>
      <c r="F509" s="149"/>
      <c r="G509" s="149"/>
      <c r="H509" s="149"/>
      <c r="AB509" s="149"/>
    </row>
    <row r="510" spans="1:28" x14ac:dyDescent="0.15">
      <c r="A510" s="149"/>
      <c r="B510" s="149"/>
      <c r="C510" s="149"/>
      <c r="D510" s="157"/>
      <c r="E510" s="149"/>
      <c r="F510" s="149"/>
      <c r="G510" s="149"/>
      <c r="H510" s="149"/>
      <c r="AB510" s="149"/>
    </row>
    <row r="511" spans="1:28" x14ac:dyDescent="0.15">
      <c r="A511" s="149"/>
      <c r="B511" s="149"/>
      <c r="C511" s="149"/>
      <c r="D511" s="157"/>
      <c r="E511" s="149"/>
      <c r="F511" s="149"/>
      <c r="G511" s="149"/>
      <c r="H511" s="149"/>
      <c r="AB511" s="149"/>
    </row>
    <row r="512" spans="1:28" x14ac:dyDescent="0.15">
      <c r="A512" s="149"/>
      <c r="B512" s="149"/>
      <c r="C512" s="149"/>
      <c r="D512" s="157"/>
      <c r="E512" s="149"/>
      <c r="F512" s="149"/>
      <c r="G512" s="149"/>
      <c r="H512" s="149"/>
      <c r="AB512" s="149"/>
    </row>
    <row r="513" spans="1:28" x14ac:dyDescent="0.15">
      <c r="A513" s="149"/>
      <c r="B513" s="149"/>
      <c r="C513" s="149"/>
      <c r="D513" s="157"/>
      <c r="E513" s="149"/>
      <c r="F513" s="149"/>
      <c r="G513" s="149"/>
      <c r="H513" s="149"/>
      <c r="AB513" s="149"/>
    </row>
    <row r="514" spans="1:28" x14ac:dyDescent="0.15">
      <c r="A514" s="149"/>
      <c r="B514" s="149"/>
      <c r="C514" s="149"/>
      <c r="D514" s="157"/>
      <c r="E514" s="149"/>
      <c r="F514" s="149"/>
      <c r="G514" s="149"/>
      <c r="H514" s="149"/>
      <c r="AB514" s="149"/>
    </row>
    <row r="515" spans="1:28" x14ac:dyDescent="0.15">
      <c r="A515" s="149"/>
      <c r="B515" s="149"/>
      <c r="C515" s="149"/>
      <c r="D515" s="157"/>
      <c r="E515" s="149"/>
      <c r="F515" s="149"/>
      <c r="G515" s="149"/>
      <c r="H515" s="149"/>
      <c r="AB515" s="149"/>
    </row>
    <row r="516" spans="1:28" x14ac:dyDescent="0.15">
      <c r="A516" s="149"/>
      <c r="B516" s="149"/>
      <c r="C516" s="149"/>
      <c r="D516" s="157"/>
      <c r="E516" s="149"/>
      <c r="F516" s="149"/>
      <c r="G516" s="149"/>
      <c r="H516" s="149"/>
      <c r="AB516" s="149"/>
    </row>
    <row r="517" spans="1:28" x14ac:dyDescent="0.15">
      <c r="A517" s="149"/>
      <c r="B517" s="149"/>
      <c r="C517" s="149"/>
      <c r="D517" s="157"/>
      <c r="E517" s="149"/>
      <c r="F517" s="149"/>
      <c r="G517" s="149"/>
      <c r="H517" s="149"/>
      <c r="AB517" s="149"/>
    </row>
    <row r="518" spans="1:28" x14ac:dyDescent="0.15">
      <c r="A518" s="149"/>
      <c r="B518" s="149"/>
      <c r="C518" s="149"/>
      <c r="D518" s="157"/>
      <c r="E518" s="149"/>
      <c r="F518" s="149"/>
      <c r="G518" s="149"/>
      <c r="H518" s="149"/>
      <c r="AB518" s="149"/>
    </row>
    <row r="519" spans="1:28" x14ac:dyDescent="0.15">
      <c r="A519" s="149"/>
      <c r="B519" s="149"/>
      <c r="C519" s="149"/>
      <c r="D519" s="157"/>
      <c r="E519" s="149"/>
      <c r="F519" s="149"/>
      <c r="G519" s="149"/>
      <c r="H519" s="149"/>
      <c r="AB519" s="149"/>
    </row>
    <row r="520" spans="1:28" x14ac:dyDescent="0.15">
      <c r="A520" s="149"/>
      <c r="B520" s="149"/>
      <c r="C520" s="149"/>
      <c r="D520" s="157"/>
      <c r="E520" s="149"/>
      <c r="F520" s="149"/>
      <c r="G520" s="149"/>
      <c r="H520" s="149"/>
      <c r="AB520" s="149"/>
    </row>
    <row r="521" spans="1:28" x14ac:dyDescent="0.15">
      <c r="A521" s="149"/>
      <c r="B521" s="149"/>
      <c r="C521" s="149"/>
      <c r="D521" s="157"/>
      <c r="E521" s="149"/>
      <c r="F521" s="149"/>
      <c r="G521" s="149"/>
      <c r="H521" s="149"/>
      <c r="AB521" s="149"/>
    </row>
    <row r="522" spans="1:28" x14ac:dyDescent="0.15">
      <c r="A522" s="149"/>
      <c r="B522" s="149"/>
      <c r="C522" s="149"/>
      <c r="D522" s="157"/>
      <c r="E522" s="149"/>
      <c r="F522" s="149"/>
      <c r="G522" s="149"/>
      <c r="H522" s="149"/>
      <c r="AB522" s="149"/>
    </row>
    <row r="523" spans="1:28" x14ac:dyDescent="0.15">
      <c r="A523" s="149"/>
      <c r="B523" s="149"/>
      <c r="C523" s="149"/>
      <c r="D523" s="157"/>
      <c r="E523" s="149"/>
      <c r="F523" s="149"/>
      <c r="G523" s="149"/>
      <c r="H523" s="149"/>
      <c r="AB523" s="149"/>
    </row>
    <row r="524" spans="1:28" x14ac:dyDescent="0.15">
      <c r="A524" s="149"/>
      <c r="B524" s="149"/>
      <c r="C524" s="149"/>
      <c r="D524" s="157"/>
      <c r="E524" s="149"/>
      <c r="F524" s="149"/>
      <c r="G524" s="149"/>
      <c r="H524" s="149"/>
      <c r="AB524" s="149"/>
    </row>
    <row r="525" spans="1:28" x14ac:dyDescent="0.15">
      <c r="A525" s="149"/>
      <c r="B525" s="149"/>
      <c r="C525" s="149"/>
      <c r="D525" s="157"/>
      <c r="E525" s="149"/>
      <c r="F525" s="149"/>
      <c r="G525" s="149"/>
      <c r="H525" s="149"/>
      <c r="AB525" s="149"/>
    </row>
    <row r="526" spans="1:28" x14ac:dyDescent="0.15">
      <c r="A526" s="149"/>
      <c r="B526" s="149"/>
      <c r="C526" s="149"/>
      <c r="D526" s="157"/>
      <c r="E526" s="149"/>
      <c r="F526" s="149"/>
      <c r="G526" s="149"/>
      <c r="H526" s="149"/>
      <c r="AB526" s="149"/>
    </row>
    <row r="527" spans="1:28" x14ac:dyDescent="0.15">
      <c r="A527" s="149"/>
      <c r="B527" s="149"/>
      <c r="C527" s="149"/>
      <c r="D527" s="157"/>
      <c r="E527" s="149"/>
      <c r="F527" s="149"/>
      <c r="G527" s="149"/>
      <c r="H527" s="149"/>
      <c r="AB527" s="149"/>
    </row>
    <row r="528" spans="1:28" x14ac:dyDescent="0.15">
      <c r="A528" s="149"/>
      <c r="B528" s="149"/>
      <c r="C528" s="149"/>
      <c r="D528" s="157"/>
      <c r="E528" s="149"/>
      <c r="F528" s="149"/>
      <c r="G528" s="149"/>
      <c r="H528" s="149"/>
      <c r="AB528" s="149"/>
    </row>
    <row r="529" spans="1:28" x14ac:dyDescent="0.15">
      <c r="A529" s="149"/>
      <c r="B529" s="149"/>
      <c r="C529" s="149"/>
      <c r="D529" s="157"/>
      <c r="E529" s="149"/>
      <c r="F529" s="149"/>
      <c r="G529" s="149"/>
      <c r="H529" s="149"/>
      <c r="AB529" s="149"/>
    </row>
    <row r="530" spans="1:28" x14ac:dyDescent="0.15">
      <c r="A530" s="149"/>
      <c r="B530" s="149"/>
      <c r="C530" s="149"/>
      <c r="D530" s="157"/>
      <c r="E530" s="149"/>
      <c r="F530" s="149"/>
      <c r="G530" s="149"/>
      <c r="H530" s="149"/>
      <c r="AB530" s="149"/>
    </row>
    <row r="531" spans="1:28" x14ac:dyDescent="0.15">
      <c r="A531" s="149"/>
      <c r="B531" s="149"/>
      <c r="C531" s="149"/>
      <c r="D531" s="157"/>
      <c r="E531" s="149"/>
      <c r="F531" s="149"/>
      <c r="G531" s="149"/>
      <c r="H531" s="149"/>
      <c r="AB531" s="149"/>
    </row>
    <row r="532" spans="1:28" x14ac:dyDescent="0.15">
      <c r="A532" s="149"/>
      <c r="B532" s="149"/>
      <c r="C532" s="149"/>
      <c r="D532" s="157"/>
      <c r="E532" s="149"/>
      <c r="F532" s="149"/>
      <c r="G532" s="149"/>
      <c r="H532" s="149"/>
      <c r="AB532" s="149"/>
    </row>
    <row r="533" spans="1:28" x14ac:dyDescent="0.15">
      <c r="A533" s="149"/>
      <c r="B533" s="149"/>
      <c r="C533" s="149"/>
      <c r="D533" s="157"/>
      <c r="E533" s="149"/>
      <c r="F533" s="149"/>
      <c r="G533" s="149"/>
      <c r="H533" s="149"/>
      <c r="AB533" s="149"/>
    </row>
    <row r="534" spans="1:28" x14ac:dyDescent="0.15">
      <c r="A534" s="149"/>
      <c r="B534" s="149"/>
      <c r="C534" s="149"/>
      <c r="D534" s="157"/>
      <c r="E534" s="149"/>
      <c r="F534" s="149"/>
      <c r="G534" s="149"/>
      <c r="H534" s="149"/>
      <c r="AB534" s="149"/>
    </row>
    <row r="535" spans="1:28" x14ac:dyDescent="0.15">
      <c r="A535" s="149"/>
      <c r="B535" s="149"/>
      <c r="C535" s="149"/>
      <c r="D535" s="157"/>
      <c r="E535" s="149"/>
      <c r="F535" s="149"/>
      <c r="G535" s="149"/>
      <c r="H535" s="149"/>
      <c r="AB535" s="149"/>
    </row>
    <row r="536" spans="1:28" x14ac:dyDescent="0.15">
      <c r="A536" s="149"/>
      <c r="B536" s="149"/>
      <c r="C536" s="149"/>
      <c r="D536" s="157"/>
      <c r="E536" s="149"/>
      <c r="F536" s="149"/>
      <c r="G536" s="149"/>
      <c r="H536" s="149"/>
    </row>
    <row r="537" spans="1:28" x14ac:dyDescent="0.15">
      <c r="A537" s="149"/>
      <c r="B537" s="149"/>
      <c r="C537" s="149"/>
      <c r="D537" s="157"/>
      <c r="E537" s="149"/>
      <c r="F537" s="149"/>
      <c r="G537" s="149"/>
      <c r="H537" s="149"/>
    </row>
    <row r="538" spans="1:28" x14ac:dyDescent="0.15">
      <c r="A538" s="149"/>
      <c r="B538" s="149"/>
      <c r="C538" s="149"/>
      <c r="D538" s="157"/>
      <c r="E538" s="149"/>
      <c r="F538" s="149"/>
      <c r="G538" s="149"/>
      <c r="H538" s="149"/>
    </row>
    <row r="539" spans="1:28" x14ac:dyDescent="0.15">
      <c r="A539" s="149"/>
      <c r="B539" s="149"/>
      <c r="C539" s="149"/>
      <c r="D539" s="157"/>
      <c r="E539" s="149"/>
      <c r="F539" s="149"/>
      <c r="G539" s="149"/>
      <c r="H539" s="149"/>
    </row>
    <row r="540" spans="1:28" x14ac:dyDescent="0.15">
      <c r="A540" s="149"/>
      <c r="B540" s="149"/>
      <c r="C540" s="149"/>
      <c r="D540" s="157"/>
      <c r="E540" s="149"/>
      <c r="F540" s="149"/>
      <c r="G540" s="149"/>
      <c r="H540" s="149"/>
    </row>
    <row r="541" spans="1:28" x14ac:dyDescent="0.15">
      <c r="A541" s="149"/>
      <c r="B541" s="149"/>
      <c r="C541" s="149"/>
      <c r="D541" s="157"/>
      <c r="E541" s="149"/>
      <c r="F541" s="149"/>
      <c r="G541" s="149"/>
      <c r="H541" s="149"/>
    </row>
    <row r="542" spans="1:28" x14ac:dyDescent="0.15">
      <c r="A542" s="149"/>
      <c r="B542" s="149"/>
      <c r="C542" s="149"/>
      <c r="D542" s="157"/>
      <c r="E542" s="149"/>
      <c r="F542" s="149"/>
      <c r="G542" s="149"/>
      <c r="H542" s="149"/>
    </row>
    <row r="543" spans="1:28" x14ac:dyDescent="0.15">
      <c r="A543" s="149"/>
      <c r="B543" s="149"/>
      <c r="C543" s="149"/>
      <c r="D543" s="157"/>
      <c r="E543" s="149"/>
      <c r="F543" s="149"/>
      <c r="G543" s="149"/>
      <c r="H543" s="149"/>
    </row>
    <row r="544" spans="1:28" x14ac:dyDescent="0.15">
      <c r="A544" s="149"/>
      <c r="B544" s="149"/>
      <c r="C544" s="149"/>
      <c r="D544" s="157"/>
      <c r="E544" s="149"/>
      <c r="F544" s="149"/>
      <c r="G544" s="149"/>
      <c r="H544" s="149"/>
    </row>
    <row r="545" spans="1:8" x14ac:dyDescent="0.15">
      <c r="A545" s="149"/>
      <c r="B545" s="149"/>
      <c r="C545" s="149"/>
      <c r="D545" s="157"/>
      <c r="E545" s="149"/>
      <c r="F545" s="149"/>
      <c r="G545" s="149"/>
      <c r="H545" s="149"/>
    </row>
    <row r="546" spans="1:8" x14ac:dyDescent="0.15">
      <c r="A546" s="149"/>
      <c r="B546" s="149"/>
      <c r="C546" s="149"/>
      <c r="D546" s="157"/>
      <c r="E546" s="149"/>
      <c r="F546" s="149"/>
      <c r="G546" s="149"/>
      <c r="H546" s="149"/>
    </row>
    <row r="547" spans="1:8" x14ac:dyDescent="0.15">
      <c r="A547" s="149"/>
      <c r="B547" s="149"/>
      <c r="C547" s="149"/>
      <c r="D547" s="157"/>
      <c r="E547" s="149"/>
      <c r="F547" s="149"/>
      <c r="G547" s="149"/>
      <c r="H547" s="149"/>
    </row>
    <row r="548" spans="1:8" x14ac:dyDescent="0.15">
      <c r="A548" s="149"/>
      <c r="B548" s="149"/>
      <c r="C548" s="149"/>
      <c r="D548" s="157"/>
      <c r="E548" s="149"/>
      <c r="F548" s="149"/>
      <c r="G548" s="149"/>
      <c r="H548" s="149"/>
    </row>
    <row r="549" spans="1:8" x14ac:dyDescent="0.15">
      <c r="A549" s="149"/>
      <c r="B549" s="149"/>
      <c r="C549" s="149"/>
      <c r="D549" s="157"/>
      <c r="E549" s="149"/>
      <c r="F549" s="149"/>
      <c r="G549" s="149"/>
      <c r="H549" s="149"/>
    </row>
    <row r="550" spans="1:8" x14ac:dyDescent="0.15">
      <c r="A550" s="149"/>
      <c r="B550" s="149"/>
      <c r="C550" s="149"/>
      <c r="D550" s="157"/>
      <c r="E550" s="149"/>
      <c r="F550" s="149"/>
      <c r="G550" s="149"/>
      <c r="H550" s="149"/>
    </row>
    <row r="551" spans="1:8" x14ac:dyDescent="0.15">
      <c r="A551" s="149"/>
      <c r="B551" s="149"/>
      <c r="C551" s="149"/>
      <c r="D551" s="157"/>
      <c r="E551" s="149"/>
      <c r="F551" s="149"/>
      <c r="G551" s="149"/>
      <c r="H551" s="149"/>
    </row>
    <row r="552" spans="1:8" x14ac:dyDescent="0.15">
      <c r="A552" s="149"/>
      <c r="B552" s="149"/>
      <c r="C552" s="149"/>
      <c r="D552" s="157"/>
      <c r="E552" s="149"/>
      <c r="F552" s="149"/>
      <c r="G552" s="149"/>
      <c r="H552" s="149"/>
    </row>
    <row r="553" spans="1:8" x14ac:dyDescent="0.15">
      <c r="A553" s="149"/>
      <c r="B553" s="149"/>
      <c r="C553" s="149"/>
      <c r="D553" s="157"/>
      <c r="E553" s="149"/>
      <c r="F553" s="149"/>
      <c r="G553" s="149"/>
      <c r="H553" s="149"/>
    </row>
    <row r="554" spans="1:8" x14ac:dyDescent="0.15">
      <c r="A554" s="149"/>
      <c r="B554" s="149"/>
      <c r="C554" s="149"/>
      <c r="D554" s="157"/>
      <c r="E554" s="149"/>
      <c r="F554" s="149"/>
      <c r="G554" s="149"/>
      <c r="H554" s="149"/>
    </row>
    <row r="555" spans="1:8" x14ac:dyDescent="0.15">
      <c r="A555" s="149"/>
      <c r="B555" s="149"/>
      <c r="C555" s="149"/>
      <c r="D555" s="157"/>
      <c r="E555" s="149"/>
      <c r="F555" s="149"/>
      <c r="G555" s="149"/>
      <c r="H555" s="149"/>
    </row>
    <row r="556" spans="1:8" x14ac:dyDescent="0.15">
      <c r="A556" s="149"/>
      <c r="B556" s="149"/>
      <c r="C556" s="149"/>
      <c r="D556" s="157"/>
      <c r="E556" s="149"/>
      <c r="F556" s="149"/>
      <c r="G556" s="149"/>
      <c r="H556" s="149"/>
    </row>
    <row r="557" spans="1:8" x14ac:dyDescent="0.15">
      <c r="A557" s="149"/>
      <c r="B557" s="149"/>
      <c r="C557" s="149"/>
      <c r="D557" s="157"/>
      <c r="E557" s="149"/>
      <c r="F557" s="149"/>
      <c r="G557" s="149"/>
      <c r="H557" s="149"/>
    </row>
    <row r="558" spans="1:8" x14ac:dyDescent="0.15">
      <c r="A558" s="149"/>
      <c r="B558" s="149"/>
      <c r="C558" s="149"/>
      <c r="D558" s="157"/>
      <c r="E558" s="149"/>
      <c r="F558" s="149"/>
      <c r="G558" s="149"/>
      <c r="H558" s="149"/>
    </row>
    <row r="559" spans="1:8" x14ac:dyDescent="0.15">
      <c r="A559" s="149"/>
      <c r="B559" s="149"/>
      <c r="C559" s="149"/>
      <c r="D559" s="157"/>
      <c r="E559" s="149"/>
      <c r="F559" s="149"/>
      <c r="G559" s="149"/>
      <c r="H559" s="149"/>
    </row>
    <row r="560" spans="1:8" x14ac:dyDescent="0.15">
      <c r="A560" s="149"/>
      <c r="B560" s="149"/>
      <c r="C560" s="149"/>
      <c r="D560" s="157"/>
      <c r="E560" s="149"/>
      <c r="F560" s="149"/>
      <c r="G560" s="149"/>
      <c r="H560" s="149"/>
    </row>
    <row r="561" spans="1:8" x14ac:dyDescent="0.15">
      <c r="A561" s="149"/>
      <c r="B561" s="149"/>
      <c r="C561" s="149"/>
      <c r="D561" s="157"/>
      <c r="E561" s="149"/>
      <c r="F561" s="149"/>
      <c r="G561" s="149"/>
      <c r="H561" s="149"/>
    </row>
    <row r="562" spans="1:8" x14ac:dyDescent="0.15">
      <c r="A562" s="149"/>
      <c r="B562" s="149"/>
      <c r="C562" s="149"/>
      <c r="D562" s="157"/>
      <c r="E562" s="149"/>
      <c r="F562" s="149"/>
      <c r="G562" s="149"/>
      <c r="H562" s="149"/>
    </row>
    <row r="563" spans="1:8" x14ac:dyDescent="0.15">
      <c r="A563" s="149"/>
      <c r="B563" s="149"/>
      <c r="C563" s="149"/>
      <c r="D563" s="157"/>
      <c r="E563" s="149"/>
      <c r="F563" s="149"/>
      <c r="G563" s="149"/>
      <c r="H563" s="149"/>
    </row>
    <row r="564" spans="1:8" x14ac:dyDescent="0.15">
      <c r="A564" s="149"/>
      <c r="B564" s="149"/>
      <c r="C564" s="149"/>
      <c r="D564" s="157"/>
      <c r="E564" s="149"/>
      <c r="F564" s="149"/>
      <c r="G564" s="149"/>
      <c r="H564" s="149"/>
    </row>
    <row r="565" spans="1:8" x14ac:dyDescent="0.15">
      <c r="A565" s="149"/>
      <c r="B565" s="149"/>
      <c r="C565" s="149"/>
      <c r="D565" s="157"/>
      <c r="E565" s="149"/>
      <c r="F565" s="149"/>
      <c r="G565" s="149"/>
      <c r="H565" s="149"/>
    </row>
    <row r="566" spans="1:8" x14ac:dyDescent="0.15">
      <c r="A566" s="149"/>
      <c r="B566" s="149"/>
      <c r="C566" s="149"/>
      <c r="D566" s="157"/>
      <c r="E566" s="149"/>
      <c r="F566" s="149"/>
      <c r="G566" s="149"/>
      <c r="H566" s="149"/>
    </row>
    <row r="567" spans="1:8" x14ac:dyDescent="0.15">
      <c r="A567" s="149"/>
      <c r="B567" s="149"/>
      <c r="C567" s="149"/>
      <c r="D567" s="157"/>
      <c r="E567" s="149"/>
      <c r="F567" s="149"/>
      <c r="G567" s="149"/>
      <c r="H567" s="149"/>
    </row>
    <row r="568" spans="1:8" x14ac:dyDescent="0.15">
      <c r="A568" s="149"/>
      <c r="B568" s="149"/>
      <c r="C568" s="149"/>
      <c r="D568" s="157"/>
      <c r="E568" s="149"/>
      <c r="F568" s="149"/>
      <c r="G568" s="149"/>
      <c r="H568" s="149"/>
    </row>
    <row r="569" spans="1:8" x14ac:dyDescent="0.15">
      <c r="A569" s="149"/>
      <c r="B569" s="149"/>
      <c r="C569" s="149"/>
      <c r="D569" s="157"/>
      <c r="E569" s="149"/>
      <c r="F569" s="149"/>
      <c r="G569" s="149"/>
      <c r="H569" s="149"/>
    </row>
    <row r="570" spans="1:8" x14ac:dyDescent="0.15">
      <c r="A570" s="149"/>
      <c r="B570" s="149"/>
      <c r="C570" s="149"/>
      <c r="D570" s="157"/>
      <c r="E570" s="149"/>
      <c r="F570" s="149"/>
      <c r="G570" s="149"/>
      <c r="H570" s="149"/>
    </row>
    <row r="571" spans="1:8" x14ac:dyDescent="0.15">
      <c r="A571" s="149"/>
      <c r="B571" s="149"/>
      <c r="C571" s="149"/>
      <c r="D571" s="157"/>
      <c r="E571" s="149"/>
      <c r="F571" s="149"/>
      <c r="G571" s="149"/>
      <c r="H571" s="149"/>
    </row>
    <row r="572" spans="1:8" x14ac:dyDescent="0.15">
      <c r="A572" s="149"/>
      <c r="B572" s="149"/>
      <c r="C572" s="149"/>
      <c r="D572" s="157"/>
      <c r="E572" s="149"/>
      <c r="F572" s="149"/>
      <c r="G572" s="149"/>
      <c r="H572" s="149"/>
    </row>
    <row r="573" spans="1:8" x14ac:dyDescent="0.15">
      <c r="A573" s="149"/>
      <c r="B573" s="149"/>
      <c r="C573" s="149"/>
      <c r="D573" s="157"/>
      <c r="E573" s="149"/>
      <c r="F573" s="149"/>
      <c r="G573" s="149"/>
      <c r="H573" s="149"/>
    </row>
    <row r="574" spans="1:8" x14ac:dyDescent="0.15">
      <c r="A574" s="149"/>
      <c r="B574" s="149"/>
      <c r="C574" s="149"/>
      <c r="D574" s="157"/>
      <c r="E574" s="149"/>
      <c r="F574" s="149"/>
      <c r="G574" s="149"/>
      <c r="H574" s="149"/>
    </row>
    <row r="575" spans="1:8" x14ac:dyDescent="0.15">
      <c r="A575" s="149"/>
      <c r="B575" s="149"/>
      <c r="C575" s="149"/>
      <c r="D575" s="157"/>
      <c r="E575" s="149"/>
      <c r="F575" s="149"/>
      <c r="G575" s="149"/>
      <c r="H575" s="149"/>
    </row>
    <row r="576" spans="1:8" x14ac:dyDescent="0.15">
      <c r="A576" s="149"/>
      <c r="B576" s="149"/>
      <c r="C576" s="149"/>
      <c r="D576" s="157"/>
      <c r="E576" s="149"/>
      <c r="F576" s="149"/>
      <c r="G576" s="149"/>
      <c r="H576" s="149"/>
    </row>
    <row r="577" spans="1:8" x14ac:dyDescent="0.15">
      <c r="A577" s="149"/>
      <c r="B577" s="149"/>
      <c r="C577" s="149"/>
      <c r="D577" s="157"/>
      <c r="E577" s="149"/>
      <c r="F577" s="149"/>
      <c r="G577" s="149"/>
      <c r="H577" s="149"/>
    </row>
    <row r="578" spans="1:8" x14ac:dyDescent="0.15">
      <c r="A578" s="149"/>
      <c r="B578" s="149"/>
      <c r="C578" s="149"/>
      <c r="D578" s="157"/>
      <c r="E578" s="149"/>
      <c r="F578" s="149"/>
      <c r="G578" s="149"/>
      <c r="H578" s="149"/>
    </row>
    <row r="579" spans="1:8" x14ac:dyDescent="0.15">
      <c r="A579" s="149"/>
      <c r="B579" s="149"/>
      <c r="C579" s="149"/>
      <c r="D579" s="157"/>
      <c r="E579" s="149"/>
      <c r="F579" s="149"/>
      <c r="G579" s="149"/>
      <c r="H579" s="149"/>
    </row>
    <row r="580" spans="1:8" x14ac:dyDescent="0.15">
      <c r="A580" s="149"/>
      <c r="B580" s="149"/>
      <c r="C580" s="149"/>
      <c r="D580" s="157"/>
      <c r="E580" s="149"/>
      <c r="F580" s="149"/>
      <c r="G580" s="149"/>
      <c r="H580" s="149"/>
    </row>
    <row r="581" spans="1:8" x14ac:dyDescent="0.15">
      <c r="A581" s="149"/>
      <c r="B581" s="149"/>
      <c r="C581" s="149"/>
      <c r="D581" s="157"/>
      <c r="E581" s="149"/>
      <c r="F581" s="149"/>
      <c r="G581" s="149"/>
      <c r="H581" s="149"/>
    </row>
    <row r="582" spans="1:8" x14ac:dyDescent="0.15">
      <c r="A582" s="149"/>
      <c r="B582" s="149"/>
      <c r="C582" s="149"/>
      <c r="D582" s="157"/>
      <c r="E582" s="149"/>
      <c r="F582" s="149"/>
      <c r="G582" s="149"/>
      <c r="H582" s="149"/>
    </row>
    <row r="583" spans="1:8" x14ac:dyDescent="0.15">
      <c r="A583" s="149"/>
      <c r="B583" s="149"/>
      <c r="C583" s="149"/>
      <c r="D583" s="157"/>
      <c r="E583" s="149"/>
      <c r="F583" s="149"/>
      <c r="G583" s="149"/>
      <c r="H583" s="149"/>
    </row>
    <row r="584" spans="1:8" x14ac:dyDescent="0.15">
      <c r="A584" s="149"/>
      <c r="B584" s="149"/>
      <c r="C584" s="149"/>
      <c r="D584" s="157"/>
      <c r="E584" s="149"/>
      <c r="F584" s="149"/>
      <c r="G584" s="149"/>
      <c r="H584" s="149"/>
    </row>
    <row r="585" spans="1:8" x14ac:dyDescent="0.15">
      <c r="A585" s="149"/>
      <c r="B585" s="149"/>
      <c r="C585" s="149"/>
      <c r="D585" s="157"/>
      <c r="E585" s="149"/>
      <c r="F585" s="149"/>
      <c r="G585" s="149"/>
      <c r="H585" s="149"/>
    </row>
    <row r="586" spans="1:8" x14ac:dyDescent="0.15">
      <c r="A586" s="149"/>
      <c r="B586" s="149"/>
      <c r="C586" s="149"/>
      <c r="D586" s="157"/>
      <c r="E586" s="149"/>
      <c r="F586" s="149"/>
      <c r="G586" s="149"/>
      <c r="H586" s="149"/>
    </row>
    <row r="587" spans="1:8" x14ac:dyDescent="0.15">
      <c r="A587" s="149"/>
      <c r="B587" s="149"/>
      <c r="C587" s="149"/>
      <c r="D587" s="157"/>
      <c r="E587" s="149"/>
      <c r="F587" s="149"/>
      <c r="G587" s="149"/>
      <c r="H587" s="149"/>
    </row>
    <row r="588" spans="1:8" x14ac:dyDescent="0.15">
      <c r="A588" s="149"/>
      <c r="B588" s="149"/>
      <c r="C588" s="149"/>
      <c r="D588" s="157"/>
      <c r="E588" s="149"/>
      <c r="F588" s="149"/>
      <c r="G588" s="149"/>
      <c r="H588" s="149"/>
    </row>
    <row r="589" spans="1:8" x14ac:dyDescent="0.15">
      <c r="A589" s="149"/>
      <c r="B589" s="149"/>
      <c r="C589" s="149"/>
      <c r="D589" s="157"/>
      <c r="E589" s="149"/>
      <c r="F589" s="149"/>
      <c r="G589" s="149"/>
      <c r="H589" s="149"/>
    </row>
    <row r="590" spans="1:8" x14ac:dyDescent="0.15">
      <c r="A590" s="149"/>
      <c r="B590" s="149"/>
      <c r="C590" s="149"/>
      <c r="D590" s="157"/>
      <c r="E590" s="149"/>
      <c r="F590" s="149"/>
      <c r="G590" s="149"/>
      <c r="H590" s="149"/>
    </row>
    <row r="591" spans="1:8" x14ac:dyDescent="0.15">
      <c r="A591" s="149"/>
      <c r="B591" s="149"/>
      <c r="C591" s="149"/>
      <c r="D591" s="157"/>
      <c r="E591" s="149"/>
      <c r="F591" s="149"/>
      <c r="G591" s="149"/>
      <c r="H591" s="149"/>
    </row>
    <row r="592" spans="1:8" x14ac:dyDescent="0.15">
      <c r="A592" s="149"/>
      <c r="B592" s="149"/>
      <c r="C592" s="149"/>
      <c r="D592" s="157"/>
      <c r="E592" s="149"/>
      <c r="F592" s="149"/>
      <c r="G592" s="149"/>
      <c r="H592" s="149"/>
    </row>
    <row r="593" spans="1:8" x14ac:dyDescent="0.15">
      <c r="A593" s="149"/>
      <c r="B593" s="149"/>
      <c r="C593" s="149"/>
      <c r="D593" s="157"/>
      <c r="E593" s="149"/>
      <c r="F593" s="149"/>
      <c r="G593" s="149"/>
      <c r="H593" s="149"/>
    </row>
    <row r="594" spans="1:8" x14ac:dyDescent="0.15">
      <c r="A594" s="149"/>
      <c r="B594" s="149"/>
      <c r="C594" s="149"/>
      <c r="D594" s="157"/>
      <c r="E594" s="149"/>
      <c r="F594" s="149"/>
      <c r="G594" s="149"/>
      <c r="H594" s="149"/>
    </row>
    <row r="595" spans="1:8" x14ac:dyDescent="0.15">
      <c r="A595" s="149"/>
      <c r="B595" s="149"/>
      <c r="C595" s="149"/>
      <c r="D595" s="157"/>
      <c r="E595" s="149"/>
      <c r="F595" s="149"/>
      <c r="G595" s="149"/>
      <c r="H595" s="149"/>
    </row>
    <row r="596" spans="1:8" x14ac:dyDescent="0.15">
      <c r="A596" s="149"/>
      <c r="B596" s="149"/>
      <c r="C596" s="149"/>
      <c r="D596" s="157"/>
      <c r="E596" s="149"/>
      <c r="F596" s="149"/>
      <c r="G596" s="149"/>
      <c r="H596" s="149"/>
    </row>
    <row r="597" spans="1:8" x14ac:dyDescent="0.15">
      <c r="A597" s="149"/>
      <c r="B597" s="149"/>
      <c r="C597" s="149"/>
      <c r="D597" s="157"/>
      <c r="E597" s="149"/>
      <c r="F597" s="149"/>
      <c r="G597" s="149"/>
      <c r="H597" s="149"/>
    </row>
    <row r="598" spans="1:8" x14ac:dyDescent="0.15">
      <c r="A598" s="149"/>
      <c r="B598" s="149"/>
      <c r="C598" s="149"/>
      <c r="D598" s="157"/>
      <c r="E598" s="149"/>
      <c r="F598" s="149"/>
      <c r="G598" s="149"/>
      <c r="H598" s="149"/>
    </row>
    <row r="599" spans="1:8" x14ac:dyDescent="0.15">
      <c r="A599" s="149"/>
      <c r="B599" s="149"/>
      <c r="C599" s="149"/>
      <c r="D599" s="157"/>
      <c r="E599" s="149"/>
      <c r="F599" s="149"/>
      <c r="G599" s="149"/>
      <c r="H599" s="149"/>
    </row>
    <row r="600" spans="1:8" x14ac:dyDescent="0.15">
      <c r="A600" s="149"/>
      <c r="B600" s="149"/>
      <c r="C600" s="149"/>
      <c r="D600" s="157"/>
      <c r="E600" s="149"/>
      <c r="F600" s="149"/>
      <c r="G600" s="149"/>
      <c r="H600" s="149"/>
    </row>
    <row r="601" spans="1:8" x14ac:dyDescent="0.15">
      <c r="A601" s="149"/>
      <c r="B601" s="149"/>
      <c r="C601" s="149"/>
      <c r="D601" s="157"/>
      <c r="E601" s="149"/>
      <c r="F601" s="149"/>
      <c r="G601" s="149"/>
      <c r="H601" s="149"/>
    </row>
    <row r="602" spans="1:8" x14ac:dyDescent="0.15">
      <c r="A602" s="149"/>
      <c r="B602" s="149"/>
      <c r="C602" s="149"/>
      <c r="D602" s="157"/>
      <c r="E602" s="149"/>
      <c r="F602" s="149"/>
      <c r="G602" s="149"/>
      <c r="H602" s="149"/>
    </row>
    <row r="603" spans="1:8" x14ac:dyDescent="0.15">
      <c r="A603" s="149"/>
      <c r="B603" s="149"/>
      <c r="C603" s="149"/>
      <c r="D603" s="157"/>
      <c r="E603" s="149"/>
      <c r="F603" s="149"/>
      <c r="G603" s="149"/>
      <c r="H603" s="149"/>
    </row>
    <row r="604" spans="1:8" x14ac:dyDescent="0.15">
      <c r="A604" s="149"/>
      <c r="B604" s="149"/>
      <c r="C604" s="149"/>
      <c r="D604" s="157"/>
      <c r="E604" s="149"/>
      <c r="F604" s="149"/>
      <c r="G604" s="149"/>
      <c r="H604" s="149"/>
    </row>
    <row r="605" spans="1:8" x14ac:dyDescent="0.15">
      <c r="A605" s="149"/>
      <c r="B605" s="149"/>
      <c r="C605" s="149"/>
      <c r="D605" s="157"/>
      <c r="E605" s="149"/>
      <c r="F605" s="149"/>
      <c r="G605" s="149"/>
      <c r="H605" s="149"/>
    </row>
    <row r="606" spans="1:8" x14ac:dyDescent="0.15">
      <c r="A606" s="149"/>
      <c r="B606" s="149"/>
      <c r="C606" s="149"/>
      <c r="D606" s="157"/>
      <c r="E606" s="149"/>
      <c r="F606" s="149"/>
      <c r="G606" s="149"/>
      <c r="H606" s="149"/>
    </row>
    <row r="607" spans="1:8" x14ac:dyDescent="0.15">
      <c r="A607" s="149"/>
      <c r="B607" s="149"/>
      <c r="C607" s="149"/>
      <c r="D607" s="157"/>
      <c r="E607" s="149"/>
      <c r="F607" s="149"/>
      <c r="G607" s="149"/>
      <c r="H607" s="149"/>
    </row>
    <row r="608" spans="1:8" x14ac:dyDescent="0.15">
      <c r="A608" s="149"/>
      <c r="B608" s="149"/>
      <c r="C608" s="149"/>
      <c r="D608" s="157"/>
      <c r="E608" s="149"/>
      <c r="F608" s="149"/>
      <c r="G608" s="149"/>
      <c r="H608" s="149"/>
    </row>
    <row r="609" spans="1:8" x14ac:dyDescent="0.15">
      <c r="A609" s="149"/>
      <c r="B609" s="149"/>
      <c r="C609" s="149"/>
      <c r="D609" s="157"/>
      <c r="E609" s="149"/>
      <c r="F609" s="149"/>
      <c r="G609" s="149"/>
      <c r="H609" s="149"/>
    </row>
    <row r="610" spans="1:8" x14ac:dyDescent="0.15">
      <c r="A610" s="149"/>
      <c r="B610" s="149"/>
      <c r="C610" s="149"/>
      <c r="D610" s="157"/>
      <c r="E610" s="149"/>
      <c r="F610" s="149"/>
      <c r="G610" s="149"/>
      <c r="H610" s="149"/>
    </row>
    <row r="611" spans="1:8" x14ac:dyDescent="0.15">
      <c r="A611" s="149"/>
      <c r="B611" s="149"/>
      <c r="C611" s="149"/>
      <c r="D611" s="157"/>
      <c r="E611" s="149"/>
      <c r="F611" s="149"/>
      <c r="G611" s="149"/>
      <c r="H611" s="149"/>
    </row>
    <row r="612" spans="1:8" x14ac:dyDescent="0.15">
      <c r="A612" s="149"/>
      <c r="B612" s="149"/>
      <c r="C612" s="149"/>
      <c r="D612" s="157"/>
      <c r="E612" s="149"/>
      <c r="F612" s="149"/>
      <c r="G612" s="149"/>
      <c r="H612" s="149"/>
    </row>
    <row r="613" spans="1:8" x14ac:dyDescent="0.15">
      <c r="A613" s="149"/>
      <c r="B613" s="149"/>
      <c r="C613" s="149"/>
      <c r="D613" s="157"/>
      <c r="E613" s="149"/>
      <c r="F613" s="149"/>
      <c r="G613" s="149"/>
      <c r="H613" s="149"/>
    </row>
    <row r="614" spans="1:8" x14ac:dyDescent="0.15">
      <c r="A614" s="149"/>
      <c r="B614" s="149"/>
      <c r="C614" s="149"/>
      <c r="D614" s="157"/>
      <c r="E614" s="149"/>
      <c r="F614" s="149"/>
      <c r="G614" s="149"/>
      <c r="H614" s="149"/>
    </row>
    <row r="615" spans="1:8" x14ac:dyDescent="0.15">
      <c r="A615" s="149"/>
      <c r="B615" s="149"/>
      <c r="C615" s="149"/>
      <c r="D615" s="157"/>
      <c r="E615" s="149"/>
      <c r="F615" s="149"/>
      <c r="G615" s="149"/>
      <c r="H615" s="149"/>
    </row>
    <row r="616" spans="1:8" x14ac:dyDescent="0.15">
      <c r="A616" s="149"/>
      <c r="B616" s="149"/>
      <c r="C616" s="149"/>
      <c r="D616" s="157"/>
      <c r="E616" s="149"/>
      <c r="F616" s="149"/>
      <c r="G616" s="149"/>
      <c r="H616" s="149"/>
    </row>
    <row r="617" spans="1:8" x14ac:dyDescent="0.15">
      <c r="A617" s="149"/>
      <c r="B617" s="149"/>
      <c r="C617" s="149"/>
      <c r="D617" s="157"/>
      <c r="E617" s="149"/>
      <c r="F617" s="149"/>
      <c r="G617" s="149"/>
      <c r="H617" s="149"/>
    </row>
    <row r="618" spans="1:8" x14ac:dyDescent="0.15">
      <c r="A618" s="149"/>
      <c r="B618" s="149"/>
      <c r="C618" s="149"/>
      <c r="D618" s="157"/>
      <c r="E618" s="149"/>
      <c r="F618" s="149"/>
      <c r="G618" s="149"/>
      <c r="H618" s="149"/>
    </row>
    <row r="619" spans="1:8" x14ac:dyDescent="0.15">
      <c r="A619" s="149"/>
      <c r="B619" s="149"/>
      <c r="C619" s="149"/>
      <c r="D619" s="157"/>
      <c r="E619" s="149"/>
      <c r="F619" s="149"/>
      <c r="G619" s="149"/>
      <c r="H619" s="149"/>
    </row>
    <row r="620" spans="1:8" x14ac:dyDescent="0.15">
      <c r="A620" s="149"/>
      <c r="B620" s="149"/>
      <c r="C620" s="149"/>
      <c r="D620" s="157"/>
      <c r="E620" s="149"/>
      <c r="F620" s="149"/>
      <c r="G620" s="149"/>
      <c r="H620" s="149"/>
    </row>
    <row r="621" spans="1:8" x14ac:dyDescent="0.15">
      <c r="A621" s="149"/>
      <c r="B621" s="149"/>
      <c r="C621" s="149"/>
      <c r="D621" s="157"/>
      <c r="E621" s="149"/>
      <c r="F621" s="149"/>
      <c r="G621" s="149"/>
      <c r="H621" s="149"/>
    </row>
    <row r="622" spans="1:8" x14ac:dyDescent="0.15">
      <c r="A622" s="149"/>
      <c r="B622" s="149"/>
      <c r="C622" s="149"/>
      <c r="D622" s="157"/>
      <c r="E622" s="149"/>
      <c r="F622" s="149"/>
      <c r="G622" s="149"/>
      <c r="H622" s="149"/>
    </row>
    <row r="623" spans="1:8" x14ac:dyDescent="0.15">
      <c r="A623" s="149"/>
      <c r="B623" s="149"/>
      <c r="C623" s="149"/>
      <c r="D623" s="157"/>
      <c r="E623" s="149"/>
      <c r="F623" s="149"/>
      <c r="G623" s="149"/>
      <c r="H623" s="149"/>
    </row>
    <row r="624" spans="1:8" x14ac:dyDescent="0.15">
      <c r="A624" s="149"/>
      <c r="B624" s="149"/>
      <c r="C624" s="149"/>
      <c r="D624" s="157"/>
      <c r="E624" s="149"/>
      <c r="F624" s="149"/>
      <c r="G624" s="149"/>
      <c r="H624" s="149"/>
    </row>
    <row r="625" spans="1:8" x14ac:dyDescent="0.15">
      <c r="A625" s="149"/>
      <c r="B625" s="149"/>
      <c r="C625" s="149"/>
      <c r="D625" s="157"/>
      <c r="E625" s="149"/>
      <c r="F625" s="149"/>
      <c r="G625" s="149"/>
      <c r="H625" s="149"/>
    </row>
    <row r="626" spans="1:8" x14ac:dyDescent="0.15">
      <c r="A626" s="149"/>
      <c r="B626" s="149"/>
      <c r="C626" s="149"/>
      <c r="D626" s="157"/>
      <c r="E626" s="149"/>
      <c r="F626" s="149"/>
      <c r="G626" s="149"/>
      <c r="H626" s="149"/>
    </row>
    <row r="627" spans="1:8" x14ac:dyDescent="0.15">
      <c r="A627" s="149"/>
      <c r="B627" s="149"/>
      <c r="C627" s="149"/>
      <c r="D627" s="157"/>
      <c r="E627" s="149"/>
      <c r="F627" s="149"/>
      <c r="G627" s="149"/>
      <c r="H627" s="149"/>
    </row>
    <row r="628" spans="1:8" x14ac:dyDescent="0.15">
      <c r="A628" s="149"/>
      <c r="B628" s="149"/>
      <c r="C628" s="149"/>
      <c r="D628" s="157"/>
      <c r="E628" s="149"/>
      <c r="F628" s="149"/>
      <c r="G628" s="149"/>
      <c r="H628" s="149"/>
    </row>
    <row r="629" spans="1:8" x14ac:dyDescent="0.15">
      <c r="A629" s="149"/>
      <c r="B629" s="149"/>
      <c r="C629" s="149"/>
      <c r="D629" s="157"/>
      <c r="E629" s="149"/>
      <c r="F629" s="149"/>
      <c r="G629" s="149"/>
      <c r="H629" s="149"/>
    </row>
    <row r="630" spans="1:8" x14ac:dyDescent="0.15">
      <c r="A630" s="149"/>
      <c r="B630" s="149"/>
      <c r="C630" s="149"/>
      <c r="D630" s="157"/>
      <c r="E630" s="149"/>
      <c r="F630" s="149"/>
      <c r="G630" s="149"/>
      <c r="H630" s="149"/>
    </row>
    <row r="631" spans="1:8" x14ac:dyDescent="0.15">
      <c r="A631" s="149"/>
      <c r="B631" s="149"/>
      <c r="C631" s="149"/>
      <c r="D631" s="157"/>
      <c r="E631" s="149"/>
      <c r="F631" s="149"/>
      <c r="G631" s="149"/>
      <c r="H631" s="149"/>
    </row>
    <row r="632" spans="1:8" x14ac:dyDescent="0.15">
      <c r="A632" s="149"/>
      <c r="B632" s="149"/>
      <c r="C632" s="149"/>
      <c r="D632" s="157"/>
      <c r="E632" s="149"/>
      <c r="F632" s="149"/>
      <c r="G632" s="149"/>
      <c r="H632" s="149"/>
    </row>
    <row r="633" spans="1:8" x14ac:dyDescent="0.15">
      <c r="A633" s="149"/>
      <c r="B633" s="149"/>
      <c r="C633" s="149"/>
      <c r="D633" s="157"/>
      <c r="E633" s="149"/>
      <c r="F633" s="149"/>
      <c r="G633" s="149"/>
      <c r="H633" s="149"/>
    </row>
    <row r="634" spans="1:8" x14ac:dyDescent="0.15">
      <c r="A634" s="149"/>
      <c r="B634" s="149"/>
      <c r="C634" s="149"/>
      <c r="D634" s="157"/>
      <c r="E634" s="149"/>
      <c r="F634" s="149"/>
      <c r="G634" s="149"/>
      <c r="H634" s="149"/>
    </row>
    <row r="635" spans="1:8" x14ac:dyDescent="0.15">
      <c r="A635" s="149"/>
      <c r="B635" s="149"/>
      <c r="C635" s="149"/>
      <c r="D635" s="157"/>
      <c r="E635" s="149"/>
      <c r="F635" s="149"/>
      <c r="G635" s="149"/>
      <c r="H635" s="149"/>
    </row>
    <row r="636" spans="1:8" x14ac:dyDescent="0.15">
      <c r="A636" s="149"/>
      <c r="B636" s="149"/>
      <c r="C636" s="149"/>
      <c r="D636" s="157"/>
      <c r="E636" s="149"/>
      <c r="F636" s="149"/>
      <c r="G636" s="149"/>
      <c r="H636" s="149"/>
    </row>
    <row r="637" spans="1:8" x14ac:dyDescent="0.15">
      <c r="A637" s="149"/>
      <c r="B637" s="149"/>
      <c r="C637" s="149"/>
      <c r="D637" s="157"/>
      <c r="E637" s="149"/>
      <c r="F637" s="149"/>
      <c r="G637" s="149"/>
      <c r="H637" s="149"/>
    </row>
    <row r="638" spans="1:8" x14ac:dyDescent="0.15">
      <c r="A638" s="149"/>
      <c r="B638" s="149"/>
      <c r="C638" s="149"/>
      <c r="D638" s="157"/>
      <c r="E638" s="149"/>
      <c r="F638" s="149"/>
      <c r="G638" s="149"/>
      <c r="H638" s="149"/>
    </row>
    <row r="639" spans="1:8" x14ac:dyDescent="0.15">
      <c r="A639" s="149"/>
      <c r="B639" s="149"/>
      <c r="C639" s="149"/>
      <c r="D639" s="157"/>
      <c r="E639" s="149"/>
      <c r="F639" s="149"/>
      <c r="G639" s="149"/>
      <c r="H639" s="149"/>
    </row>
    <row r="640" spans="1:8" x14ac:dyDescent="0.15">
      <c r="A640" s="149"/>
      <c r="B640" s="149"/>
      <c r="C640" s="149"/>
      <c r="D640" s="157"/>
      <c r="E640" s="149"/>
      <c r="F640" s="149"/>
      <c r="G640" s="149"/>
      <c r="H640" s="149"/>
    </row>
    <row r="641" spans="1:8" x14ac:dyDescent="0.15">
      <c r="A641" s="149"/>
      <c r="B641" s="149"/>
      <c r="C641" s="149"/>
      <c r="D641" s="157"/>
      <c r="E641" s="149"/>
      <c r="F641" s="149"/>
      <c r="G641" s="149"/>
      <c r="H641" s="149"/>
    </row>
    <row r="642" spans="1:8" x14ac:dyDescent="0.15">
      <c r="A642" s="149"/>
      <c r="B642" s="149"/>
      <c r="C642" s="149"/>
      <c r="D642" s="157"/>
      <c r="E642" s="149"/>
      <c r="F642" s="149"/>
      <c r="G642" s="149"/>
      <c r="H642" s="149"/>
    </row>
    <row r="643" spans="1:8" x14ac:dyDescent="0.15">
      <c r="A643" s="149"/>
      <c r="B643" s="149"/>
      <c r="C643" s="149"/>
      <c r="D643" s="157"/>
      <c r="E643" s="149"/>
      <c r="F643" s="149"/>
      <c r="G643" s="149"/>
      <c r="H643" s="149"/>
    </row>
    <row r="644" spans="1:8" x14ac:dyDescent="0.15">
      <c r="A644" s="149"/>
      <c r="B644" s="149"/>
      <c r="C644" s="149"/>
      <c r="D644" s="157"/>
      <c r="E644" s="149"/>
      <c r="F644" s="149"/>
      <c r="G644" s="149"/>
      <c r="H644" s="149"/>
    </row>
    <row r="645" spans="1:8" x14ac:dyDescent="0.15">
      <c r="A645" s="149"/>
      <c r="B645" s="149"/>
      <c r="C645" s="149"/>
      <c r="D645" s="157"/>
      <c r="E645" s="149"/>
      <c r="F645" s="149"/>
      <c r="G645" s="149"/>
      <c r="H645" s="149"/>
    </row>
    <row r="646" spans="1:8" x14ac:dyDescent="0.15">
      <c r="A646" s="149"/>
      <c r="B646" s="149"/>
      <c r="C646" s="149"/>
      <c r="D646" s="157"/>
      <c r="E646" s="149"/>
      <c r="F646" s="149"/>
      <c r="G646" s="149"/>
      <c r="H646" s="149"/>
    </row>
    <row r="647" spans="1:8" x14ac:dyDescent="0.15">
      <c r="A647" s="149"/>
      <c r="B647" s="149"/>
      <c r="C647" s="149"/>
      <c r="D647" s="157"/>
      <c r="E647" s="149"/>
      <c r="F647" s="149"/>
      <c r="G647" s="149"/>
      <c r="H647" s="149"/>
    </row>
    <row r="648" spans="1:8" x14ac:dyDescent="0.15">
      <c r="A648" s="149"/>
      <c r="B648" s="149"/>
      <c r="C648" s="149"/>
      <c r="D648" s="157"/>
      <c r="E648" s="149"/>
      <c r="F648" s="149"/>
      <c r="G648" s="149"/>
      <c r="H648" s="149"/>
    </row>
    <row r="649" spans="1:8" x14ac:dyDescent="0.15">
      <c r="A649" s="149"/>
      <c r="B649" s="149"/>
      <c r="C649" s="149"/>
      <c r="D649" s="157"/>
      <c r="E649" s="149"/>
      <c r="F649" s="149"/>
      <c r="G649" s="149"/>
      <c r="H649" s="149"/>
    </row>
    <row r="650" spans="1:8" x14ac:dyDescent="0.15">
      <c r="A650" s="149"/>
      <c r="B650" s="149"/>
      <c r="C650" s="149"/>
      <c r="D650" s="157"/>
      <c r="E650" s="149"/>
      <c r="F650" s="149"/>
      <c r="G650" s="149"/>
      <c r="H650" s="149"/>
    </row>
    <row r="651" spans="1:8" x14ac:dyDescent="0.15">
      <c r="A651" s="149"/>
      <c r="B651" s="149"/>
      <c r="C651" s="149"/>
      <c r="D651" s="157"/>
      <c r="E651" s="149"/>
      <c r="F651" s="149"/>
      <c r="G651" s="149"/>
      <c r="H651" s="149"/>
    </row>
    <row r="652" spans="1:8" x14ac:dyDescent="0.15">
      <c r="A652" s="149"/>
      <c r="B652" s="149"/>
      <c r="C652" s="149"/>
      <c r="D652" s="157"/>
      <c r="E652" s="149"/>
      <c r="F652" s="149"/>
      <c r="G652" s="149"/>
      <c r="H652" s="149"/>
    </row>
    <row r="653" spans="1:8" x14ac:dyDescent="0.15">
      <c r="A653" s="149"/>
      <c r="B653" s="149"/>
      <c r="C653" s="149"/>
      <c r="D653" s="157"/>
      <c r="E653" s="149"/>
      <c r="F653" s="149"/>
      <c r="G653" s="149"/>
      <c r="H653" s="149"/>
    </row>
    <row r="654" spans="1:8" x14ac:dyDescent="0.15">
      <c r="A654" s="149"/>
      <c r="B654" s="149"/>
      <c r="C654" s="149"/>
      <c r="D654" s="157"/>
      <c r="E654" s="149"/>
      <c r="F654" s="149"/>
      <c r="G654" s="149"/>
      <c r="H654" s="149"/>
    </row>
    <row r="655" spans="1:8" x14ac:dyDescent="0.15">
      <c r="A655" s="149"/>
      <c r="B655" s="149"/>
      <c r="C655" s="149"/>
      <c r="D655" s="157"/>
      <c r="E655" s="149"/>
      <c r="F655" s="149"/>
      <c r="G655" s="149"/>
      <c r="H655" s="149"/>
    </row>
    <row r="656" spans="1:8" x14ac:dyDescent="0.15">
      <c r="A656" s="149"/>
      <c r="B656" s="149"/>
      <c r="C656" s="149"/>
      <c r="D656" s="157"/>
      <c r="E656" s="149"/>
      <c r="F656" s="149"/>
      <c r="G656" s="149"/>
      <c r="H656" s="149"/>
    </row>
    <row r="657" spans="1:8" x14ac:dyDescent="0.15">
      <c r="A657" s="149"/>
      <c r="B657" s="149"/>
      <c r="C657" s="149"/>
      <c r="D657" s="157"/>
      <c r="E657" s="149"/>
      <c r="F657" s="149"/>
      <c r="G657" s="149"/>
      <c r="H657" s="149"/>
    </row>
    <row r="658" spans="1:8" x14ac:dyDescent="0.15">
      <c r="A658" s="149"/>
      <c r="B658" s="149"/>
      <c r="C658" s="149"/>
      <c r="D658" s="157"/>
      <c r="E658" s="149"/>
      <c r="F658" s="149"/>
      <c r="G658" s="149"/>
      <c r="H658" s="149"/>
    </row>
    <row r="659" spans="1:8" x14ac:dyDescent="0.15">
      <c r="A659" s="149"/>
      <c r="B659" s="149"/>
      <c r="C659" s="149"/>
      <c r="D659" s="157"/>
      <c r="E659" s="149"/>
      <c r="F659" s="149"/>
      <c r="G659" s="149"/>
      <c r="H659" s="149"/>
    </row>
    <row r="660" spans="1:8" x14ac:dyDescent="0.15">
      <c r="A660" s="149"/>
      <c r="B660" s="149"/>
      <c r="C660" s="149"/>
      <c r="D660" s="157"/>
      <c r="E660" s="149"/>
      <c r="F660" s="149"/>
      <c r="G660" s="149"/>
      <c r="H660" s="149"/>
    </row>
    <row r="661" spans="1:8" x14ac:dyDescent="0.15">
      <c r="A661" s="149"/>
      <c r="B661" s="149"/>
      <c r="C661" s="149"/>
      <c r="D661" s="157"/>
      <c r="E661" s="149"/>
      <c r="F661" s="149"/>
      <c r="G661" s="149"/>
      <c r="H661" s="149"/>
    </row>
    <row r="662" spans="1:8" x14ac:dyDescent="0.15">
      <c r="A662" s="149"/>
      <c r="B662" s="149"/>
      <c r="C662" s="149"/>
      <c r="D662" s="157"/>
      <c r="E662" s="149"/>
      <c r="F662" s="149"/>
      <c r="G662" s="149"/>
      <c r="H662" s="149"/>
    </row>
    <row r="663" spans="1:8" x14ac:dyDescent="0.15">
      <c r="A663" s="149"/>
      <c r="B663" s="149"/>
      <c r="C663" s="149"/>
      <c r="D663" s="157"/>
      <c r="E663" s="149"/>
      <c r="F663" s="149"/>
      <c r="G663" s="149"/>
      <c r="H663" s="149"/>
    </row>
    <row r="664" spans="1:8" x14ac:dyDescent="0.15">
      <c r="A664" s="149"/>
      <c r="B664" s="149"/>
      <c r="C664" s="149"/>
      <c r="D664" s="157"/>
      <c r="E664" s="149"/>
      <c r="F664" s="149"/>
      <c r="G664" s="149"/>
      <c r="H664" s="149"/>
    </row>
    <row r="665" spans="1:8" x14ac:dyDescent="0.15">
      <c r="A665" s="149"/>
      <c r="B665" s="149"/>
      <c r="C665" s="149"/>
      <c r="D665" s="157"/>
      <c r="E665" s="149"/>
      <c r="F665" s="149"/>
      <c r="G665" s="149"/>
      <c r="H665" s="149"/>
    </row>
    <row r="666" spans="1:8" x14ac:dyDescent="0.15">
      <c r="A666" s="149"/>
      <c r="B666" s="149"/>
      <c r="C666" s="149"/>
      <c r="D666" s="157"/>
      <c r="E666" s="149"/>
      <c r="F666" s="149"/>
      <c r="G666" s="149"/>
      <c r="H666" s="149"/>
    </row>
    <row r="667" spans="1:8" x14ac:dyDescent="0.15">
      <c r="A667" s="149"/>
      <c r="B667" s="149"/>
      <c r="C667" s="149"/>
      <c r="D667" s="157"/>
      <c r="E667" s="149"/>
      <c r="F667" s="149"/>
      <c r="G667" s="149"/>
      <c r="H667" s="149"/>
    </row>
    <row r="668" spans="1:8" x14ac:dyDescent="0.15">
      <c r="A668" s="149"/>
      <c r="B668" s="149"/>
      <c r="C668" s="149"/>
      <c r="D668" s="157"/>
      <c r="E668" s="149"/>
      <c r="F668" s="149"/>
      <c r="G668" s="149"/>
      <c r="H668" s="149"/>
    </row>
    <row r="669" spans="1:8" x14ac:dyDescent="0.15">
      <c r="A669" s="149"/>
      <c r="B669" s="149"/>
      <c r="C669" s="149"/>
      <c r="D669" s="157"/>
      <c r="E669" s="149"/>
      <c r="F669" s="149"/>
      <c r="G669" s="149"/>
      <c r="H669" s="149"/>
    </row>
    <row r="670" spans="1:8" x14ac:dyDescent="0.15">
      <c r="A670" s="149"/>
      <c r="B670" s="149"/>
      <c r="C670" s="149"/>
      <c r="D670" s="157"/>
      <c r="E670" s="149"/>
      <c r="F670" s="149"/>
      <c r="G670" s="149"/>
      <c r="H670" s="149"/>
    </row>
    <row r="671" spans="1:8" x14ac:dyDescent="0.15">
      <c r="A671" s="149"/>
      <c r="B671" s="149"/>
      <c r="C671" s="149"/>
      <c r="D671" s="157"/>
      <c r="E671" s="149"/>
      <c r="F671" s="149"/>
      <c r="G671" s="149"/>
      <c r="H671" s="149"/>
    </row>
    <row r="672" spans="1:8" x14ac:dyDescent="0.15">
      <c r="A672" s="149"/>
      <c r="B672" s="149"/>
      <c r="C672" s="149"/>
      <c r="D672" s="157"/>
      <c r="E672" s="149"/>
      <c r="F672" s="149"/>
      <c r="G672" s="149"/>
      <c r="H672" s="149"/>
    </row>
    <row r="673" spans="1:8" x14ac:dyDescent="0.15">
      <c r="A673" s="149"/>
      <c r="B673" s="149"/>
      <c r="C673" s="149"/>
      <c r="D673" s="157"/>
      <c r="E673" s="149"/>
      <c r="F673" s="149"/>
      <c r="G673" s="149"/>
      <c r="H673" s="149"/>
    </row>
    <row r="674" spans="1:8" x14ac:dyDescent="0.15">
      <c r="A674" s="149"/>
      <c r="B674" s="149"/>
      <c r="C674" s="149"/>
      <c r="D674" s="157"/>
      <c r="E674" s="149"/>
      <c r="F674" s="149"/>
      <c r="G674" s="149"/>
      <c r="H674" s="149"/>
    </row>
    <row r="675" spans="1:8" x14ac:dyDescent="0.15">
      <c r="A675" s="149"/>
      <c r="B675" s="149"/>
      <c r="C675" s="149"/>
      <c r="D675" s="157"/>
      <c r="E675" s="149"/>
      <c r="F675" s="149"/>
      <c r="G675" s="149"/>
      <c r="H675" s="149"/>
    </row>
    <row r="676" spans="1:8" x14ac:dyDescent="0.15">
      <c r="A676" s="149"/>
      <c r="B676" s="149"/>
      <c r="C676" s="149"/>
      <c r="D676" s="157"/>
      <c r="E676" s="149"/>
      <c r="F676" s="149"/>
      <c r="G676" s="149"/>
      <c r="H676" s="149"/>
    </row>
    <row r="677" spans="1:8" x14ac:dyDescent="0.15">
      <c r="A677" s="149"/>
      <c r="B677" s="149"/>
      <c r="C677" s="149"/>
      <c r="D677" s="157"/>
      <c r="E677" s="149"/>
      <c r="F677" s="149"/>
      <c r="G677" s="149"/>
      <c r="H677" s="149"/>
    </row>
    <row r="678" spans="1:8" x14ac:dyDescent="0.15">
      <c r="A678" s="149"/>
      <c r="B678" s="149"/>
      <c r="C678" s="149"/>
      <c r="D678" s="157"/>
      <c r="E678" s="149"/>
      <c r="F678" s="149"/>
      <c r="G678" s="149"/>
      <c r="H678" s="149"/>
    </row>
    <row r="679" spans="1:8" x14ac:dyDescent="0.15">
      <c r="A679" s="149"/>
      <c r="B679" s="149"/>
      <c r="C679" s="149"/>
      <c r="D679" s="157"/>
      <c r="E679" s="149"/>
      <c r="F679" s="149"/>
      <c r="G679" s="149"/>
      <c r="H679" s="149"/>
    </row>
    <row r="680" spans="1:8" x14ac:dyDescent="0.15">
      <c r="A680" s="149"/>
      <c r="B680" s="149"/>
      <c r="C680" s="149"/>
      <c r="D680" s="157"/>
      <c r="E680" s="149"/>
      <c r="F680" s="149"/>
      <c r="G680" s="149"/>
      <c r="H680" s="149"/>
    </row>
    <row r="681" spans="1:8" x14ac:dyDescent="0.15">
      <c r="A681" s="149"/>
      <c r="B681" s="149"/>
      <c r="C681" s="149"/>
      <c r="D681" s="157"/>
      <c r="E681" s="149"/>
      <c r="F681" s="149"/>
      <c r="G681" s="149"/>
      <c r="H681" s="149"/>
    </row>
    <row r="682" spans="1:8" x14ac:dyDescent="0.15">
      <c r="A682" s="149"/>
      <c r="B682" s="149"/>
      <c r="C682" s="149"/>
      <c r="D682" s="157"/>
      <c r="E682" s="149"/>
      <c r="F682" s="149"/>
      <c r="G682" s="149"/>
      <c r="H682" s="149"/>
    </row>
    <row r="683" spans="1:8" x14ac:dyDescent="0.15">
      <c r="A683" s="149"/>
      <c r="B683" s="149"/>
      <c r="C683" s="149"/>
      <c r="D683" s="157"/>
      <c r="E683" s="149"/>
      <c r="F683" s="149"/>
      <c r="G683" s="149"/>
      <c r="H683" s="149"/>
    </row>
    <row r="684" spans="1:8" x14ac:dyDescent="0.15">
      <c r="A684" s="149"/>
      <c r="B684" s="149"/>
      <c r="C684" s="149"/>
      <c r="D684" s="157"/>
      <c r="E684" s="149"/>
      <c r="F684" s="149"/>
      <c r="G684" s="149"/>
      <c r="H684" s="149"/>
    </row>
    <row r="685" spans="1:8" x14ac:dyDescent="0.15">
      <c r="A685" s="149"/>
      <c r="B685" s="149"/>
      <c r="C685" s="149"/>
      <c r="D685" s="157"/>
      <c r="E685" s="149"/>
      <c r="F685" s="149"/>
      <c r="G685" s="149"/>
      <c r="H685" s="149"/>
    </row>
    <row r="686" spans="1:8" x14ac:dyDescent="0.15">
      <c r="A686" s="149"/>
      <c r="B686" s="149"/>
      <c r="C686" s="149"/>
      <c r="D686" s="157"/>
      <c r="E686" s="149"/>
      <c r="F686" s="149"/>
      <c r="G686" s="149"/>
      <c r="H686" s="149"/>
    </row>
  </sheetData>
  <autoFilter ref="A1:BA269" xr:uid="{00000000-0009-0000-0000-000004000000}"/>
  <phoneticPr fontId="3"/>
  <dataValidations count="21">
    <dataValidation type="list" allowBlank="1" showInputMessage="1" showErrorMessage="1" sqref="F2:F686" xr:uid="{90D0F539-ABA0-419B-B7FA-F384AD12E99A}">
      <formula1>$AH$2:$AH$11</formula1>
    </dataValidation>
    <dataValidation type="list" allowBlank="1" showInputMessage="1" showErrorMessage="1" sqref="K65538:K65616 K131074:K131152 K196610:K196688 K262146:K262224 K327682:K327760 K393218:K393296 K458754:K458832 K524290:K524368 K589826:K589904 K655362:K655440 K720898:K720976 K786434:K786512 K851970:K852048 K917506:K917584 K983042:K983120" xr:uid="{14D48F88-20AD-46EE-A22C-7E4EAC631802}">
      <formula1>$AR$2:$AR$30</formula1>
    </dataValidation>
    <dataValidation type="list" allowBlank="1" showInputMessage="1" showErrorMessage="1" sqref="J2:J1003" xr:uid="{8740A9BA-C177-472F-B2B4-E9897E7900BA}">
      <formula1>$AP$2:$AP$29</formula1>
    </dataValidation>
    <dataValidation type="list" allowBlank="1" showInputMessage="1" showErrorMessage="1" sqref="K2:K1003" xr:uid="{BB5824A6-457D-4506-BECA-67D33508D0DA}">
      <formula1>$AR$2:$AR$29</formula1>
    </dataValidation>
    <dataValidation type="list" allowBlank="1" showInputMessage="1" showErrorMessage="1" sqref="H2:H1432" xr:uid="{B74B544D-039E-45ED-9E5C-44CDA1A6CF12}">
      <formula1>$AL$2:$AL$9</formula1>
    </dataValidation>
    <dataValidation type="list" allowBlank="1" showInputMessage="1" showErrorMessage="1" sqref="I64409:I64414 WVQ981892:WVQ981897 WLU981892:WLU981897 WBY981892:WBY981897 VSC981892:VSC981897 VIG981892:VIG981897 UYK981892:UYK981897 UOO981892:UOO981897 UES981892:UES981897 TUW981892:TUW981897 TLA981892:TLA981897 TBE981892:TBE981897 SRI981892:SRI981897 SHM981892:SHM981897 RXQ981892:RXQ981897 RNU981892:RNU981897 RDY981892:RDY981897 QUC981892:QUC981897 QKG981892:QKG981897 QAK981892:QAK981897 PQO981892:PQO981897 PGS981892:PGS981897 OWW981892:OWW981897 ONA981892:ONA981897 ODE981892:ODE981897 NTI981892:NTI981897 NJM981892:NJM981897 MZQ981892:MZQ981897 MPU981892:MPU981897 MFY981892:MFY981897 LWC981892:LWC981897 LMG981892:LMG981897 LCK981892:LCK981897 KSO981892:KSO981897 KIS981892:KIS981897 JYW981892:JYW981897 JPA981892:JPA981897 JFE981892:JFE981897 IVI981892:IVI981897 ILM981892:ILM981897 IBQ981892:IBQ981897 HRU981892:HRU981897 HHY981892:HHY981897 GYC981892:GYC981897 GOG981892:GOG981897 GEK981892:GEK981897 FUO981892:FUO981897 FKS981892:FKS981897 FAW981892:FAW981897 ERA981892:ERA981897 EHE981892:EHE981897 DXI981892:DXI981897 DNM981892:DNM981897 DDQ981892:DDQ981897 CTU981892:CTU981897 CJY981892:CJY981897 CAC981892:CAC981897 BQG981892:BQG981897 BGK981892:BGK981897 AWO981892:AWO981897 AMS981892:AMS981897 ACW981892:ACW981897 TA981892:TA981897 JE981892:JE981897 I981913:I981918 WVQ916356:WVQ916361 WLU916356:WLU916361 WBY916356:WBY916361 VSC916356:VSC916361 VIG916356:VIG916361 UYK916356:UYK916361 UOO916356:UOO916361 UES916356:UES916361 TUW916356:TUW916361 TLA916356:TLA916361 TBE916356:TBE916361 SRI916356:SRI916361 SHM916356:SHM916361 RXQ916356:RXQ916361 RNU916356:RNU916361 RDY916356:RDY916361 QUC916356:QUC916361 QKG916356:QKG916361 QAK916356:QAK916361 PQO916356:PQO916361 PGS916356:PGS916361 OWW916356:OWW916361 ONA916356:ONA916361 ODE916356:ODE916361 NTI916356:NTI916361 NJM916356:NJM916361 MZQ916356:MZQ916361 MPU916356:MPU916361 MFY916356:MFY916361 LWC916356:LWC916361 LMG916356:LMG916361 LCK916356:LCK916361 KSO916356:KSO916361 KIS916356:KIS916361 JYW916356:JYW916361 JPA916356:JPA916361 JFE916356:JFE916361 IVI916356:IVI916361 ILM916356:ILM916361 IBQ916356:IBQ916361 HRU916356:HRU916361 HHY916356:HHY916361 GYC916356:GYC916361 GOG916356:GOG916361 GEK916356:GEK916361 FUO916356:FUO916361 FKS916356:FKS916361 FAW916356:FAW916361 ERA916356:ERA916361 EHE916356:EHE916361 DXI916356:DXI916361 DNM916356:DNM916361 DDQ916356:DDQ916361 CTU916356:CTU916361 CJY916356:CJY916361 CAC916356:CAC916361 BQG916356:BQG916361 BGK916356:BGK916361 AWO916356:AWO916361 AMS916356:AMS916361 ACW916356:ACW916361 TA916356:TA916361 JE916356:JE916361 I916377:I916382 WVQ850820:WVQ850825 WLU850820:WLU850825 WBY850820:WBY850825 VSC850820:VSC850825 VIG850820:VIG850825 UYK850820:UYK850825 UOO850820:UOO850825 UES850820:UES850825 TUW850820:TUW850825 TLA850820:TLA850825 TBE850820:TBE850825 SRI850820:SRI850825 SHM850820:SHM850825 RXQ850820:RXQ850825 RNU850820:RNU850825 RDY850820:RDY850825 QUC850820:QUC850825 QKG850820:QKG850825 QAK850820:QAK850825 PQO850820:PQO850825 PGS850820:PGS850825 OWW850820:OWW850825 ONA850820:ONA850825 ODE850820:ODE850825 NTI850820:NTI850825 NJM850820:NJM850825 MZQ850820:MZQ850825 MPU850820:MPU850825 MFY850820:MFY850825 LWC850820:LWC850825 LMG850820:LMG850825 LCK850820:LCK850825 KSO850820:KSO850825 KIS850820:KIS850825 JYW850820:JYW850825 JPA850820:JPA850825 JFE850820:JFE850825 IVI850820:IVI850825 ILM850820:ILM850825 IBQ850820:IBQ850825 HRU850820:HRU850825 HHY850820:HHY850825 GYC850820:GYC850825 GOG850820:GOG850825 GEK850820:GEK850825 FUO850820:FUO850825 FKS850820:FKS850825 FAW850820:FAW850825 ERA850820:ERA850825 EHE850820:EHE850825 DXI850820:DXI850825 DNM850820:DNM850825 DDQ850820:DDQ850825 CTU850820:CTU850825 CJY850820:CJY850825 CAC850820:CAC850825 BQG850820:BQG850825 BGK850820:BGK850825 AWO850820:AWO850825 AMS850820:AMS850825 ACW850820:ACW850825 TA850820:TA850825 JE850820:JE850825 I850841:I850846 WVQ785284:WVQ785289 WLU785284:WLU785289 WBY785284:WBY785289 VSC785284:VSC785289 VIG785284:VIG785289 UYK785284:UYK785289 UOO785284:UOO785289 UES785284:UES785289 TUW785284:TUW785289 TLA785284:TLA785289 TBE785284:TBE785289 SRI785284:SRI785289 SHM785284:SHM785289 RXQ785284:RXQ785289 RNU785284:RNU785289 RDY785284:RDY785289 QUC785284:QUC785289 QKG785284:QKG785289 QAK785284:QAK785289 PQO785284:PQO785289 PGS785284:PGS785289 OWW785284:OWW785289 ONA785284:ONA785289 ODE785284:ODE785289 NTI785284:NTI785289 NJM785284:NJM785289 MZQ785284:MZQ785289 MPU785284:MPU785289 MFY785284:MFY785289 LWC785284:LWC785289 LMG785284:LMG785289 LCK785284:LCK785289 KSO785284:KSO785289 KIS785284:KIS785289 JYW785284:JYW785289 JPA785284:JPA785289 JFE785284:JFE785289 IVI785284:IVI785289 ILM785284:ILM785289 IBQ785284:IBQ785289 HRU785284:HRU785289 HHY785284:HHY785289 GYC785284:GYC785289 GOG785284:GOG785289 GEK785284:GEK785289 FUO785284:FUO785289 FKS785284:FKS785289 FAW785284:FAW785289 ERA785284:ERA785289 EHE785284:EHE785289 DXI785284:DXI785289 DNM785284:DNM785289 DDQ785284:DDQ785289 CTU785284:CTU785289 CJY785284:CJY785289 CAC785284:CAC785289 BQG785284:BQG785289 BGK785284:BGK785289 AWO785284:AWO785289 AMS785284:AMS785289 ACW785284:ACW785289 TA785284:TA785289 JE785284:JE785289 I785305:I785310 WVQ719748:WVQ719753 WLU719748:WLU719753 WBY719748:WBY719753 VSC719748:VSC719753 VIG719748:VIG719753 UYK719748:UYK719753 UOO719748:UOO719753 UES719748:UES719753 TUW719748:TUW719753 TLA719748:TLA719753 TBE719748:TBE719753 SRI719748:SRI719753 SHM719748:SHM719753 RXQ719748:RXQ719753 RNU719748:RNU719753 RDY719748:RDY719753 QUC719748:QUC719753 QKG719748:QKG719753 QAK719748:QAK719753 PQO719748:PQO719753 PGS719748:PGS719753 OWW719748:OWW719753 ONA719748:ONA719753 ODE719748:ODE719753 NTI719748:NTI719753 NJM719748:NJM719753 MZQ719748:MZQ719753 MPU719748:MPU719753 MFY719748:MFY719753 LWC719748:LWC719753 LMG719748:LMG719753 LCK719748:LCK719753 KSO719748:KSO719753 KIS719748:KIS719753 JYW719748:JYW719753 JPA719748:JPA719753 JFE719748:JFE719753 IVI719748:IVI719753 ILM719748:ILM719753 IBQ719748:IBQ719753 HRU719748:HRU719753 HHY719748:HHY719753 GYC719748:GYC719753 GOG719748:GOG719753 GEK719748:GEK719753 FUO719748:FUO719753 FKS719748:FKS719753 FAW719748:FAW719753 ERA719748:ERA719753 EHE719748:EHE719753 DXI719748:DXI719753 DNM719748:DNM719753 DDQ719748:DDQ719753 CTU719748:CTU719753 CJY719748:CJY719753 CAC719748:CAC719753 BQG719748:BQG719753 BGK719748:BGK719753 AWO719748:AWO719753 AMS719748:AMS719753 ACW719748:ACW719753 TA719748:TA719753 JE719748:JE719753 I719769:I719774 WVQ654212:WVQ654217 WLU654212:WLU654217 WBY654212:WBY654217 VSC654212:VSC654217 VIG654212:VIG654217 UYK654212:UYK654217 UOO654212:UOO654217 UES654212:UES654217 TUW654212:TUW654217 TLA654212:TLA654217 TBE654212:TBE654217 SRI654212:SRI654217 SHM654212:SHM654217 RXQ654212:RXQ654217 RNU654212:RNU654217 RDY654212:RDY654217 QUC654212:QUC654217 QKG654212:QKG654217 QAK654212:QAK654217 PQO654212:PQO654217 PGS654212:PGS654217 OWW654212:OWW654217 ONA654212:ONA654217 ODE654212:ODE654217 NTI654212:NTI654217 NJM654212:NJM654217 MZQ654212:MZQ654217 MPU654212:MPU654217 MFY654212:MFY654217 LWC654212:LWC654217 LMG654212:LMG654217 LCK654212:LCK654217 KSO654212:KSO654217 KIS654212:KIS654217 JYW654212:JYW654217 JPA654212:JPA654217 JFE654212:JFE654217 IVI654212:IVI654217 ILM654212:ILM654217 IBQ654212:IBQ654217 HRU654212:HRU654217 HHY654212:HHY654217 GYC654212:GYC654217 GOG654212:GOG654217 GEK654212:GEK654217 FUO654212:FUO654217 FKS654212:FKS654217 FAW654212:FAW654217 ERA654212:ERA654217 EHE654212:EHE654217 DXI654212:DXI654217 DNM654212:DNM654217 DDQ654212:DDQ654217 CTU654212:CTU654217 CJY654212:CJY654217 CAC654212:CAC654217 BQG654212:BQG654217 BGK654212:BGK654217 AWO654212:AWO654217 AMS654212:AMS654217 ACW654212:ACW654217 TA654212:TA654217 JE654212:JE654217 I654233:I654238 WVQ588676:WVQ588681 WLU588676:WLU588681 WBY588676:WBY588681 VSC588676:VSC588681 VIG588676:VIG588681 UYK588676:UYK588681 UOO588676:UOO588681 UES588676:UES588681 TUW588676:TUW588681 TLA588676:TLA588681 TBE588676:TBE588681 SRI588676:SRI588681 SHM588676:SHM588681 RXQ588676:RXQ588681 RNU588676:RNU588681 RDY588676:RDY588681 QUC588676:QUC588681 QKG588676:QKG588681 QAK588676:QAK588681 PQO588676:PQO588681 PGS588676:PGS588681 OWW588676:OWW588681 ONA588676:ONA588681 ODE588676:ODE588681 NTI588676:NTI588681 NJM588676:NJM588681 MZQ588676:MZQ588681 MPU588676:MPU588681 MFY588676:MFY588681 LWC588676:LWC588681 LMG588676:LMG588681 LCK588676:LCK588681 KSO588676:KSO588681 KIS588676:KIS588681 JYW588676:JYW588681 JPA588676:JPA588681 JFE588676:JFE588681 IVI588676:IVI588681 ILM588676:ILM588681 IBQ588676:IBQ588681 HRU588676:HRU588681 HHY588676:HHY588681 GYC588676:GYC588681 GOG588676:GOG588681 GEK588676:GEK588681 FUO588676:FUO588681 FKS588676:FKS588681 FAW588676:FAW588681 ERA588676:ERA588681 EHE588676:EHE588681 DXI588676:DXI588681 DNM588676:DNM588681 DDQ588676:DDQ588681 CTU588676:CTU588681 CJY588676:CJY588681 CAC588676:CAC588681 BQG588676:BQG588681 BGK588676:BGK588681 AWO588676:AWO588681 AMS588676:AMS588681 ACW588676:ACW588681 TA588676:TA588681 JE588676:JE588681 I588697:I588702 WVQ523140:WVQ523145 WLU523140:WLU523145 WBY523140:WBY523145 VSC523140:VSC523145 VIG523140:VIG523145 UYK523140:UYK523145 UOO523140:UOO523145 UES523140:UES523145 TUW523140:TUW523145 TLA523140:TLA523145 TBE523140:TBE523145 SRI523140:SRI523145 SHM523140:SHM523145 RXQ523140:RXQ523145 RNU523140:RNU523145 RDY523140:RDY523145 QUC523140:QUC523145 QKG523140:QKG523145 QAK523140:QAK523145 PQO523140:PQO523145 PGS523140:PGS523145 OWW523140:OWW523145 ONA523140:ONA523145 ODE523140:ODE523145 NTI523140:NTI523145 NJM523140:NJM523145 MZQ523140:MZQ523145 MPU523140:MPU523145 MFY523140:MFY523145 LWC523140:LWC523145 LMG523140:LMG523145 LCK523140:LCK523145 KSO523140:KSO523145 KIS523140:KIS523145 JYW523140:JYW523145 JPA523140:JPA523145 JFE523140:JFE523145 IVI523140:IVI523145 ILM523140:ILM523145 IBQ523140:IBQ523145 HRU523140:HRU523145 HHY523140:HHY523145 GYC523140:GYC523145 GOG523140:GOG523145 GEK523140:GEK523145 FUO523140:FUO523145 FKS523140:FKS523145 FAW523140:FAW523145 ERA523140:ERA523145 EHE523140:EHE523145 DXI523140:DXI523145 DNM523140:DNM523145 DDQ523140:DDQ523145 CTU523140:CTU523145 CJY523140:CJY523145 CAC523140:CAC523145 BQG523140:BQG523145 BGK523140:BGK523145 AWO523140:AWO523145 AMS523140:AMS523145 ACW523140:ACW523145 TA523140:TA523145 JE523140:JE523145 I523161:I523166 WVQ457604:WVQ457609 WLU457604:WLU457609 WBY457604:WBY457609 VSC457604:VSC457609 VIG457604:VIG457609 UYK457604:UYK457609 UOO457604:UOO457609 UES457604:UES457609 TUW457604:TUW457609 TLA457604:TLA457609 TBE457604:TBE457609 SRI457604:SRI457609 SHM457604:SHM457609 RXQ457604:RXQ457609 RNU457604:RNU457609 RDY457604:RDY457609 QUC457604:QUC457609 QKG457604:QKG457609 QAK457604:QAK457609 PQO457604:PQO457609 PGS457604:PGS457609 OWW457604:OWW457609 ONA457604:ONA457609 ODE457604:ODE457609 NTI457604:NTI457609 NJM457604:NJM457609 MZQ457604:MZQ457609 MPU457604:MPU457609 MFY457604:MFY457609 LWC457604:LWC457609 LMG457604:LMG457609 LCK457604:LCK457609 KSO457604:KSO457609 KIS457604:KIS457609 JYW457604:JYW457609 JPA457604:JPA457609 JFE457604:JFE457609 IVI457604:IVI457609 ILM457604:ILM457609 IBQ457604:IBQ457609 HRU457604:HRU457609 HHY457604:HHY457609 GYC457604:GYC457609 GOG457604:GOG457609 GEK457604:GEK457609 FUO457604:FUO457609 FKS457604:FKS457609 FAW457604:FAW457609 ERA457604:ERA457609 EHE457604:EHE457609 DXI457604:DXI457609 DNM457604:DNM457609 DDQ457604:DDQ457609 CTU457604:CTU457609 CJY457604:CJY457609 CAC457604:CAC457609 BQG457604:BQG457609 BGK457604:BGK457609 AWO457604:AWO457609 AMS457604:AMS457609 ACW457604:ACW457609 TA457604:TA457609 JE457604:JE457609 I457625:I457630 WVQ392068:WVQ392073 WLU392068:WLU392073 WBY392068:WBY392073 VSC392068:VSC392073 VIG392068:VIG392073 UYK392068:UYK392073 UOO392068:UOO392073 UES392068:UES392073 TUW392068:TUW392073 TLA392068:TLA392073 TBE392068:TBE392073 SRI392068:SRI392073 SHM392068:SHM392073 RXQ392068:RXQ392073 RNU392068:RNU392073 RDY392068:RDY392073 QUC392068:QUC392073 QKG392068:QKG392073 QAK392068:QAK392073 PQO392068:PQO392073 PGS392068:PGS392073 OWW392068:OWW392073 ONA392068:ONA392073 ODE392068:ODE392073 NTI392068:NTI392073 NJM392068:NJM392073 MZQ392068:MZQ392073 MPU392068:MPU392073 MFY392068:MFY392073 LWC392068:LWC392073 LMG392068:LMG392073 LCK392068:LCK392073 KSO392068:KSO392073 KIS392068:KIS392073 JYW392068:JYW392073 JPA392068:JPA392073 JFE392068:JFE392073 IVI392068:IVI392073 ILM392068:ILM392073 IBQ392068:IBQ392073 HRU392068:HRU392073 HHY392068:HHY392073 GYC392068:GYC392073 GOG392068:GOG392073 GEK392068:GEK392073 FUO392068:FUO392073 FKS392068:FKS392073 FAW392068:FAW392073 ERA392068:ERA392073 EHE392068:EHE392073 DXI392068:DXI392073 DNM392068:DNM392073 DDQ392068:DDQ392073 CTU392068:CTU392073 CJY392068:CJY392073 CAC392068:CAC392073 BQG392068:BQG392073 BGK392068:BGK392073 AWO392068:AWO392073 AMS392068:AMS392073 ACW392068:ACW392073 TA392068:TA392073 JE392068:JE392073 I392089:I392094 WVQ326532:WVQ326537 WLU326532:WLU326537 WBY326532:WBY326537 VSC326532:VSC326537 VIG326532:VIG326537 UYK326532:UYK326537 UOO326532:UOO326537 UES326532:UES326537 TUW326532:TUW326537 TLA326532:TLA326537 TBE326532:TBE326537 SRI326532:SRI326537 SHM326532:SHM326537 RXQ326532:RXQ326537 RNU326532:RNU326537 RDY326532:RDY326537 QUC326532:QUC326537 QKG326532:QKG326537 QAK326532:QAK326537 PQO326532:PQO326537 PGS326532:PGS326537 OWW326532:OWW326537 ONA326532:ONA326537 ODE326532:ODE326537 NTI326532:NTI326537 NJM326532:NJM326537 MZQ326532:MZQ326537 MPU326532:MPU326537 MFY326532:MFY326537 LWC326532:LWC326537 LMG326532:LMG326537 LCK326532:LCK326537 KSO326532:KSO326537 KIS326532:KIS326537 JYW326532:JYW326537 JPA326532:JPA326537 JFE326532:JFE326537 IVI326532:IVI326537 ILM326532:ILM326537 IBQ326532:IBQ326537 HRU326532:HRU326537 HHY326532:HHY326537 GYC326532:GYC326537 GOG326532:GOG326537 GEK326532:GEK326537 FUO326532:FUO326537 FKS326532:FKS326537 FAW326532:FAW326537 ERA326532:ERA326537 EHE326532:EHE326537 DXI326532:DXI326537 DNM326532:DNM326537 DDQ326532:DDQ326537 CTU326532:CTU326537 CJY326532:CJY326537 CAC326532:CAC326537 BQG326532:BQG326537 BGK326532:BGK326537 AWO326532:AWO326537 AMS326532:AMS326537 ACW326532:ACW326537 TA326532:TA326537 JE326532:JE326537 I326553:I326558 WVQ260996:WVQ261001 WLU260996:WLU261001 WBY260996:WBY261001 VSC260996:VSC261001 VIG260996:VIG261001 UYK260996:UYK261001 UOO260996:UOO261001 UES260996:UES261001 TUW260996:TUW261001 TLA260996:TLA261001 TBE260996:TBE261001 SRI260996:SRI261001 SHM260996:SHM261001 RXQ260996:RXQ261001 RNU260996:RNU261001 RDY260996:RDY261001 QUC260996:QUC261001 QKG260996:QKG261001 QAK260996:QAK261001 PQO260996:PQO261001 PGS260996:PGS261001 OWW260996:OWW261001 ONA260996:ONA261001 ODE260996:ODE261001 NTI260996:NTI261001 NJM260996:NJM261001 MZQ260996:MZQ261001 MPU260996:MPU261001 MFY260996:MFY261001 LWC260996:LWC261001 LMG260996:LMG261001 LCK260996:LCK261001 KSO260996:KSO261001 KIS260996:KIS261001 JYW260996:JYW261001 JPA260996:JPA261001 JFE260996:JFE261001 IVI260996:IVI261001 ILM260996:ILM261001 IBQ260996:IBQ261001 HRU260996:HRU261001 HHY260996:HHY261001 GYC260996:GYC261001 GOG260996:GOG261001 GEK260996:GEK261001 FUO260996:FUO261001 FKS260996:FKS261001 FAW260996:FAW261001 ERA260996:ERA261001 EHE260996:EHE261001 DXI260996:DXI261001 DNM260996:DNM261001 DDQ260996:DDQ261001 CTU260996:CTU261001 CJY260996:CJY261001 CAC260996:CAC261001 BQG260996:BQG261001 BGK260996:BGK261001 AWO260996:AWO261001 AMS260996:AMS261001 ACW260996:ACW261001 TA260996:TA261001 JE260996:JE261001 I261017:I261022 WVQ195460:WVQ195465 WLU195460:WLU195465 WBY195460:WBY195465 VSC195460:VSC195465 VIG195460:VIG195465 UYK195460:UYK195465 UOO195460:UOO195465 UES195460:UES195465 TUW195460:TUW195465 TLA195460:TLA195465 TBE195460:TBE195465 SRI195460:SRI195465 SHM195460:SHM195465 RXQ195460:RXQ195465 RNU195460:RNU195465 RDY195460:RDY195465 QUC195460:QUC195465 QKG195460:QKG195465 QAK195460:QAK195465 PQO195460:PQO195465 PGS195460:PGS195465 OWW195460:OWW195465 ONA195460:ONA195465 ODE195460:ODE195465 NTI195460:NTI195465 NJM195460:NJM195465 MZQ195460:MZQ195465 MPU195460:MPU195465 MFY195460:MFY195465 LWC195460:LWC195465 LMG195460:LMG195465 LCK195460:LCK195465 KSO195460:KSO195465 KIS195460:KIS195465 JYW195460:JYW195465 JPA195460:JPA195465 JFE195460:JFE195465 IVI195460:IVI195465 ILM195460:ILM195465 IBQ195460:IBQ195465 HRU195460:HRU195465 HHY195460:HHY195465 GYC195460:GYC195465 GOG195460:GOG195465 GEK195460:GEK195465 FUO195460:FUO195465 FKS195460:FKS195465 FAW195460:FAW195465 ERA195460:ERA195465 EHE195460:EHE195465 DXI195460:DXI195465 DNM195460:DNM195465 DDQ195460:DDQ195465 CTU195460:CTU195465 CJY195460:CJY195465 CAC195460:CAC195465 BQG195460:BQG195465 BGK195460:BGK195465 AWO195460:AWO195465 AMS195460:AMS195465 ACW195460:ACW195465 TA195460:TA195465 JE195460:JE195465 I195481:I195486 WVQ129924:WVQ129929 WLU129924:WLU129929 WBY129924:WBY129929 VSC129924:VSC129929 VIG129924:VIG129929 UYK129924:UYK129929 UOO129924:UOO129929 UES129924:UES129929 TUW129924:TUW129929 TLA129924:TLA129929 TBE129924:TBE129929 SRI129924:SRI129929 SHM129924:SHM129929 RXQ129924:RXQ129929 RNU129924:RNU129929 RDY129924:RDY129929 QUC129924:QUC129929 QKG129924:QKG129929 QAK129924:QAK129929 PQO129924:PQO129929 PGS129924:PGS129929 OWW129924:OWW129929 ONA129924:ONA129929 ODE129924:ODE129929 NTI129924:NTI129929 NJM129924:NJM129929 MZQ129924:MZQ129929 MPU129924:MPU129929 MFY129924:MFY129929 LWC129924:LWC129929 LMG129924:LMG129929 LCK129924:LCK129929 KSO129924:KSO129929 KIS129924:KIS129929 JYW129924:JYW129929 JPA129924:JPA129929 JFE129924:JFE129929 IVI129924:IVI129929 ILM129924:ILM129929 IBQ129924:IBQ129929 HRU129924:HRU129929 HHY129924:HHY129929 GYC129924:GYC129929 GOG129924:GOG129929 GEK129924:GEK129929 FUO129924:FUO129929 FKS129924:FKS129929 FAW129924:FAW129929 ERA129924:ERA129929 EHE129924:EHE129929 DXI129924:DXI129929 DNM129924:DNM129929 DDQ129924:DDQ129929 CTU129924:CTU129929 CJY129924:CJY129929 CAC129924:CAC129929 BQG129924:BQG129929 BGK129924:BGK129929 AWO129924:AWO129929 AMS129924:AMS129929 ACW129924:ACW129929 TA129924:TA129929 JE129924:JE129929 I129945:I129950 WVQ64388:WVQ64393 WLU64388:WLU64393 WBY64388:WBY64393 VSC64388:VSC64393 VIG64388:VIG64393 UYK64388:UYK64393 UOO64388:UOO64393 UES64388:UES64393 TUW64388:TUW64393 TLA64388:TLA64393 TBE64388:TBE64393 SRI64388:SRI64393 SHM64388:SHM64393 RXQ64388:RXQ64393 RNU64388:RNU64393 RDY64388:RDY64393 QUC64388:QUC64393 QKG64388:QKG64393 QAK64388:QAK64393 PQO64388:PQO64393 PGS64388:PGS64393 OWW64388:OWW64393 ONA64388:ONA64393 ODE64388:ODE64393 NTI64388:NTI64393 NJM64388:NJM64393 MZQ64388:MZQ64393 MPU64388:MPU64393 MFY64388:MFY64393 LWC64388:LWC64393 LMG64388:LMG64393 LCK64388:LCK64393 KSO64388:KSO64393 KIS64388:KIS64393 JYW64388:JYW64393 JPA64388:JPA64393 JFE64388:JFE64393 IVI64388:IVI64393 ILM64388:ILM64393 IBQ64388:IBQ64393 HRU64388:HRU64393 HHY64388:HHY64393 GYC64388:GYC64393 GOG64388:GOG64393 GEK64388:GEK64393 FUO64388:FUO64393 FKS64388:FKS64393 FAW64388:FAW64393 ERA64388:ERA64393 EHE64388:EHE64393 DXI64388:DXI64393 DNM64388:DNM64393 DDQ64388:DDQ64393 CTU64388:CTU64393 CJY64388:CJY64393 CAC64388:CAC64393 BQG64388:BQG64393 BGK64388:BGK64393 AWO64388:AWO64393 AMS64388:AMS64393 ACW64388:ACW64393 TA64388:TA64393 JE64388:JE64393" xr:uid="{BBF14D68-2350-4241-81E5-88F8914043ED}">
      <formula1>$AN$8:$AN$9</formula1>
    </dataValidation>
    <dataValidation type="list" allowBlank="1" showInputMessage="1" showErrorMessage="1" sqref="WVS981808:WVS981897 WLW981808:WLW981897 WCA981808:WCA981897 VSE981808:VSE981897 VII981808:VII981897 UYM981808:UYM981897 UOQ981808:UOQ981897 UEU981808:UEU981897 TUY981808:TUY981897 TLC981808:TLC981897 TBG981808:TBG981897 SRK981808:SRK981897 SHO981808:SHO981897 RXS981808:RXS981897 RNW981808:RNW981897 REA981808:REA981897 QUE981808:QUE981897 QKI981808:QKI981897 QAM981808:QAM981897 PQQ981808:PQQ981897 PGU981808:PGU981897 OWY981808:OWY981897 ONC981808:ONC981897 ODG981808:ODG981897 NTK981808:NTK981897 NJO981808:NJO981897 MZS981808:MZS981897 MPW981808:MPW981897 MGA981808:MGA981897 LWE981808:LWE981897 LMI981808:LMI981897 LCM981808:LCM981897 KSQ981808:KSQ981897 KIU981808:KIU981897 JYY981808:JYY981897 JPC981808:JPC981897 JFG981808:JFG981897 IVK981808:IVK981897 ILO981808:ILO981897 IBS981808:IBS981897 HRW981808:HRW981897 HIA981808:HIA981897 GYE981808:GYE981897 GOI981808:GOI981897 GEM981808:GEM981897 FUQ981808:FUQ981897 FKU981808:FKU981897 FAY981808:FAY981897 ERC981808:ERC981897 EHG981808:EHG981897 DXK981808:DXK981897 DNO981808:DNO981897 DDS981808:DDS981897 CTW981808:CTW981897 CKA981808:CKA981897 CAE981808:CAE981897 BQI981808:BQI981897 BGM981808:BGM981897 AWQ981808:AWQ981897 AMU981808:AMU981897 ACY981808:ACY981897 TC981808:TC981897 JG981808:JG981897 RNW2:RNW76 WVS916272:WVS916361 WLW916272:WLW916361 WCA916272:WCA916361 VSE916272:VSE916361 VII916272:VII916361 UYM916272:UYM916361 UOQ916272:UOQ916361 UEU916272:UEU916361 TUY916272:TUY916361 TLC916272:TLC916361 TBG916272:TBG916361 SRK916272:SRK916361 SHO916272:SHO916361 RXS916272:RXS916361 RNW916272:RNW916361 REA916272:REA916361 QUE916272:QUE916361 QKI916272:QKI916361 QAM916272:QAM916361 PQQ916272:PQQ916361 PGU916272:PGU916361 OWY916272:OWY916361 ONC916272:ONC916361 ODG916272:ODG916361 NTK916272:NTK916361 NJO916272:NJO916361 MZS916272:MZS916361 MPW916272:MPW916361 MGA916272:MGA916361 LWE916272:LWE916361 LMI916272:LMI916361 LCM916272:LCM916361 KSQ916272:KSQ916361 KIU916272:KIU916361 JYY916272:JYY916361 JPC916272:JPC916361 JFG916272:JFG916361 IVK916272:IVK916361 ILO916272:ILO916361 IBS916272:IBS916361 HRW916272:HRW916361 HIA916272:HIA916361 GYE916272:GYE916361 GOI916272:GOI916361 GEM916272:GEM916361 FUQ916272:FUQ916361 FKU916272:FKU916361 FAY916272:FAY916361 ERC916272:ERC916361 EHG916272:EHG916361 DXK916272:DXK916361 DNO916272:DNO916361 DDS916272:DDS916361 CTW916272:CTW916361 CKA916272:CKA916361 CAE916272:CAE916361 BQI916272:BQI916361 BGM916272:BGM916361 AWQ916272:AWQ916361 AMU916272:AMU916361 ACY916272:ACY916361 TC916272:TC916361 JG916272:JG916361 RXS2:RXS76 WVS850736:WVS850825 WLW850736:WLW850825 WCA850736:WCA850825 VSE850736:VSE850825 VII850736:VII850825 UYM850736:UYM850825 UOQ850736:UOQ850825 UEU850736:UEU850825 TUY850736:TUY850825 TLC850736:TLC850825 TBG850736:TBG850825 SRK850736:SRK850825 SHO850736:SHO850825 RXS850736:RXS850825 RNW850736:RNW850825 REA850736:REA850825 QUE850736:QUE850825 QKI850736:QKI850825 QAM850736:QAM850825 PQQ850736:PQQ850825 PGU850736:PGU850825 OWY850736:OWY850825 ONC850736:ONC850825 ODG850736:ODG850825 NTK850736:NTK850825 NJO850736:NJO850825 MZS850736:MZS850825 MPW850736:MPW850825 MGA850736:MGA850825 LWE850736:LWE850825 LMI850736:LMI850825 LCM850736:LCM850825 KSQ850736:KSQ850825 KIU850736:KIU850825 JYY850736:JYY850825 JPC850736:JPC850825 JFG850736:JFG850825 IVK850736:IVK850825 ILO850736:ILO850825 IBS850736:IBS850825 HRW850736:HRW850825 HIA850736:HIA850825 GYE850736:GYE850825 GOI850736:GOI850825 GEM850736:GEM850825 FUQ850736:FUQ850825 FKU850736:FKU850825 FAY850736:FAY850825 ERC850736:ERC850825 EHG850736:EHG850825 DXK850736:DXK850825 DNO850736:DNO850825 DDS850736:DDS850825 CTW850736:CTW850825 CKA850736:CKA850825 CAE850736:CAE850825 BQI850736:BQI850825 BGM850736:BGM850825 AWQ850736:AWQ850825 AMU850736:AMU850825 ACY850736:ACY850825 TC850736:TC850825 JG850736:JG850825 SHO2:SHO76 WVS785200:WVS785289 WLW785200:WLW785289 WCA785200:WCA785289 VSE785200:VSE785289 VII785200:VII785289 UYM785200:UYM785289 UOQ785200:UOQ785289 UEU785200:UEU785289 TUY785200:TUY785289 TLC785200:TLC785289 TBG785200:TBG785289 SRK785200:SRK785289 SHO785200:SHO785289 RXS785200:RXS785289 RNW785200:RNW785289 REA785200:REA785289 QUE785200:QUE785289 QKI785200:QKI785289 QAM785200:QAM785289 PQQ785200:PQQ785289 PGU785200:PGU785289 OWY785200:OWY785289 ONC785200:ONC785289 ODG785200:ODG785289 NTK785200:NTK785289 NJO785200:NJO785289 MZS785200:MZS785289 MPW785200:MPW785289 MGA785200:MGA785289 LWE785200:LWE785289 LMI785200:LMI785289 LCM785200:LCM785289 KSQ785200:KSQ785289 KIU785200:KIU785289 JYY785200:JYY785289 JPC785200:JPC785289 JFG785200:JFG785289 IVK785200:IVK785289 ILO785200:ILO785289 IBS785200:IBS785289 HRW785200:HRW785289 HIA785200:HIA785289 GYE785200:GYE785289 GOI785200:GOI785289 GEM785200:GEM785289 FUQ785200:FUQ785289 FKU785200:FKU785289 FAY785200:FAY785289 ERC785200:ERC785289 EHG785200:EHG785289 DXK785200:DXK785289 DNO785200:DNO785289 DDS785200:DDS785289 CTW785200:CTW785289 CKA785200:CKA785289 CAE785200:CAE785289 BQI785200:BQI785289 BGM785200:BGM785289 AWQ785200:AWQ785289 AMU785200:AMU785289 ACY785200:ACY785289 TC785200:TC785289 JG785200:JG785289 SRK2:SRK76 WVS719664:WVS719753 WLW719664:WLW719753 WCA719664:WCA719753 VSE719664:VSE719753 VII719664:VII719753 UYM719664:UYM719753 UOQ719664:UOQ719753 UEU719664:UEU719753 TUY719664:TUY719753 TLC719664:TLC719753 TBG719664:TBG719753 SRK719664:SRK719753 SHO719664:SHO719753 RXS719664:RXS719753 RNW719664:RNW719753 REA719664:REA719753 QUE719664:QUE719753 QKI719664:QKI719753 QAM719664:QAM719753 PQQ719664:PQQ719753 PGU719664:PGU719753 OWY719664:OWY719753 ONC719664:ONC719753 ODG719664:ODG719753 NTK719664:NTK719753 NJO719664:NJO719753 MZS719664:MZS719753 MPW719664:MPW719753 MGA719664:MGA719753 LWE719664:LWE719753 LMI719664:LMI719753 LCM719664:LCM719753 KSQ719664:KSQ719753 KIU719664:KIU719753 JYY719664:JYY719753 JPC719664:JPC719753 JFG719664:JFG719753 IVK719664:IVK719753 ILO719664:ILO719753 IBS719664:IBS719753 HRW719664:HRW719753 HIA719664:HIA719753 GYE719664:GYE719753 GOI719664:GOI719753 GEM719664:GEM719753 FUQ719664:FUQ719753 FKU719664:FKU719753 FAY719664:FAY719753 ERC719664:ERC719753 EHG719664:EHG719753 DXK719664:DXK719753 DNO719664:DNO719753 DDS719664:DDS719753 CTW719664:CTW719753 CKA719664:CKA719753 CAE719664:CAE719753 BQI719664:BQI719753 BGM719664:BGM719753 AWQ719664:AWQ719753 AMU719664:AMU719753 ACY719664:ACY719753 TC719664:TC719753 JG719664:JG719753 TBG2:TBG76 WVS654128:WVS654217 WLW654128:WLW654217 WCA654128:WCA654217 VSE654128:VSE654217 VII654128:VII654217 UYM654128:UYM654217 UOQ654128:UOQ654217 UEU654128:UEU654217 TUY654128:TUY654217 TLC654128:TLC654217 TBG654128:TBG654217 SRK654128:SRK654217 SHO654128:SHO654217 RXS654128:RXS654217 RNW654128:RNW654217 REA654128:REA654217 QUE654128:QUE654217 QKI654128:QKI654217 QAM654128:QAM654217 PQQ654128:PQQ654217 PGU654128:PGU654217 OWY654128:OWY654217 ONC654128:ONC654217 ODG654128:ODG654217 NTK654128:NTK654217 NJO654128:NJO654217 MZS654128:MZS654217 MPW654128:MPW654217 MGA654128:MGA654217 LWE654128:LWE654217 LMI654128:LMI654217 LCM654128:LCM654217 KSQ654128:KSQ654217 KIU654128:KIU654217 JYY654128:JYY654217 JPC654128:JPC654217 JFG654128:JFG654217 IVK654128:IVK654217 ILO654128:ILO654217 IBS654128:IBS654217 HRW654128:HRW654217 HIA654128:HIA654217 GYE654128:GYE654217 GOI654128:GOI654217 GEM654128:GEM654217 FUQ654128:FUQ654217 FKU654128:FKU654217 FAY654128:FAY654217 ERC654128:ERC654217 EHG654128:EHG654217 DXK654128:DXK654217 DNO654128:DNO654217 DDS654128:DDS654217 CTW654128:CTW654217 CKA654128:CKA654217 CAE654128:CAE654217 BQI654128:BQI654217 BGM654128:BGM654217 AWQ654128:AWQ654217 AMU654128:AMU654217 ACY654128:ACY654217 TC654128:TC654217 JG654128:JG654217 TLC2:TLC76 WVS588592:WVS588681 WLW588592:WLW588681 WCA588592:WCA588681 VSE588592:VSE588681 VII588592:VII588681 UYM588592:UYM588681 UOQ588592:UOQ588681 UEU588592:UEU588681 TUY588592:TUY588681 TLC588592:TLC588681 TBG588592:TBG588681 SRK588592:SRK588681 SHO588592:SHO588681 RXS588592:RXS588681 RNW588592:RNW588681 REA588592:REA588681 QUE588592:QUE588681 QKI588592:QKI588681 QAM588592:QAM588681 PQQ588592:PQQ588681 PGU588592:PGU588681 OWY588592:OWY588681 ONC588592:ONC588681 ODG588592:ODG588681 NTK588592:NTK588681 NJO588592:NJO588681 MZS588592:MZS588681 MPW588592:MPW588681 MGA588592:MGA588681 LWE588592:LWE588681 LMI588592:LMI588681 LCM588592:LCM588681 KSQ588592:KSQ588681 KIU588592:KIU588681 JYY588592:JYY588681 JPC588592:JPC588681 JFG588592:JFG588681 IVK588592:IVK588681 ILO588592:ILO588681 IBS588592:IBS588681 HRW588592:HRW588681 HIA588592:HIA588681 GYE588592:GYE588681 GOI588592:GOI588681 GEM588592:GEM588681 FUQ588592:FUQ588681 FKU588592:FKU588681 FAY588592:FAY588681 ERC588592:ERC588681 EHG588592:EHG588681 DXK588592:DXK588681 DNO588592:DNO588681 DDS588592:DDS588681 CTW588592:CTW588681 CKA588592:CKA588681 CAE588592:CAE588681 BQI588592:BQI588681 BGM588592:BGM588681 AWQ588592:AWQ588681 AMU588592:AMU588681 ACY588592:ACY588681 TC588592:TC588681 JG588592:JG588681 TUY2:TUY76 WVS523056:WVS523145 WLW523056:WLW523145 WCA523056:WCA523145 VSE523056:VSE523145 VII523056:VII523145 UYM523056:UYM523145 UOQ523056:UOQ523145 UEU523056:UEU523145 TUY523056:TUY523145 TLC523056:TLC523145 TBG523056:TBG523145 SRK523056:SRK523145 SHO523056:SHO523145 RXS523056:RXS523145 RNW523056:RNW523145 REA523056:REA523145 QUE523056:QUE523145 QKI523056:QKI523145 QAM523056:QAM523145 PQQ523056:PQQ523145 PGU523056:PGU523145 OWY523056:OWY523145 ONC523056:ONC523145 ODG523056:ODG523145 NTK523056:NTK523145 NJO523056:NJO523145 MZS523056:MZS523145 MPW523056:MPW523145 MGA523056:MGA523145 LWE523056:LWE523145 LMI523056:LMI523145 LCM523056:LCM523145 KSQ523056:KSQ523145 KIU523056:KIU523145 JYY523056:JYY523145 JPC523056:JPC523145 JFG523056:JFG523145 IVK523056:IVK523145 ILO523056:ILO523145 IBS523056:IBS523145 HRW523056:HRW523145 HIA523056:HIA523145 GYE523056:GYE523145 GOI523056:GOI523145 GEM523056:GEM523145 FUQ523056:FUQ523145 FKU523056:FKU523145 FAY523056:FAY523145 ERC523056:ERC523145 EHG523056:EHG523145 DXK523056:DXK523145 DNO523056:DNO523145 DDS523056:DDS523145 CTW523056:CTW523145 CKA523056:CKA523145 CAE523056:CAE523145 BQI523056:BQI523145 BGM523056:BGM523145 AWQ523056:AWQ523145 AMU523056:AMU523145 ACY523056:ACY523145 TC523056:TC523145 JG523056:JG523145 UEU2:UEU76 WVS457520:WVS457609 WLW457520:WLW457609 WCA457520:WCA457609 VSE457520:VSE457609 VII457520:VII457609 UYM457520:UYM457609 UOQ457520:UOQ457609 UEU457520:UEU457609 TUY457520:TUY457609 TLC457520:TLC457609 TBG457520:TBG457609 SRK457520:SRK457609 SHO457520:SHO457609 RXS457520:RXS457609 RNW457520:RNW457609 REA457520:REA457609 QUE457520:QUE457609 QKI457520:QKI457609 QAM457520:QAM457609 PQQ457520:PQQ457609 PGU457520:PGU457609 OWY457520:OWY457609 ONC457520:ONC457609 ODG457520:ODG457609 NTK457520:NTK457609 NJO457520:NJO457609 MZS457520:MZS457609 MPW457520:MPW457609 MGA457520:MGA457609 LWE457520:LWE457609 LMI457520:LMI457609 LCM457520:LCM457609 KSQ457520:KSQ457609 KIU457520:KIU457609 JYY457520:JYY457609 JPC457520:JPC457609 JFG457520:JFG457609 IVK457520:IVK457609 ILO457520:ILO457609 IBS457520:IBS457609 HRW457520:HRW457609 HIA457520:HIA457609 GYE457520:GYE457609 GOI457520:GOI457609 GEM457520:GEM457609 FUQ457520:FUQ457609 FKU457520:FKU457609 FAY457520:FAY457609 ERC457520:ERC457609 EHG457520:EHG457609 DXK457520:DXK457609 DNO457520:DNO457609 DDS457520:DDS457609 CTW457520:CTW457609 CKA457520:CKA457609 CAE457520:CAE457609 BQI457520:BQI457609 BGM457520:BGM457609 AWQ457520:AWQ457609 AMU457520:AMU457609 ACY457520:ACY457609 TC457520:TC457609 JG457520:JG457609 UOQ2:UOQ76 WVS391984:WVS392073 WLW391984:WLW392073 WCA391984:WCA392073 VSE391984:VSE392073 VII391984:VII392073 UYM391984:UYM392073 UOQ391984:UOQ392073 UEU391984:UEU392073 TUY391984:TUY392073 TLC391984:TLC392073 TBG391984:TBG392073 SRK391984:SRK392073 SHO391984:SHO392073 RXS391984:RXS392073 RNW391984:RNW392073 REA391984:REA392073 QUE391984:QUE392073 QKI391984:QKI392073 QAM391984:QAM392073 PQQ391984:PQQ392073 PGU391984:PGU392073 OWY391984:OWY392073 ONC391984:ONC392073 ODG391984:ODG392073 NTK391984:NTK392073 NJO391984:NJO392073 MZS391984:MZS392073 MPW391984:MPW392073 MGA391984:MGA392073 LWE391984:LWE392073 LMI391984:LMI392073 LCM391984:LCM392073 KSQ391984:KSQ392073 KIU391984:KIU392073 JYY391984:JYY392073 JPC391984:JPC392073 JFG391984:JFG392073 IVK391984:IVK392073 ILO391984:ILO392073 IBS391984:IBS392073 HRW391984:HRW392073 HIA391984:HIA392073 GYE391984:GYE392073 GOI391984:GOI392073 GEM391984:GEM392073 FUQ391984:FUQ392073 FKU391984:FKU392073 FAY391984:FAY392073 ERC391984:ERC392073 EHG391984:EHG392073 DXK391984:DXK392073 DNO391984:DNO392073 DDS391984:DDS392073 CTW391984:CTW392073 CKA391984:CKA392073 CAE391984:CAE392073 BQI391984:BQI392073 BGM391984:BGM392073 AWQ391984:AWQ392073 AMU391984:AMU392073 ACY391984:ACY392073 TC391984:TC392073 JG391984:JG392073 UYM2:UYM76 WVS326448:WVS326537 WLW326448:WLW326537 WCA326448:WCA326537 VSE326448:VSE326537 VII326448:VII326537 UYM326448:UYM326537 UOQ326448:UOQ326537 UEU326448:UEU326537 TUY326448:TUY326537 TLC326448:TLC326537 TBG326448:TBG326537 SRK326448:SRK326537 SHO326448:SHO326537 RXS326448:RXS326537 RNW326448:RNW326537 REA326448:REA326537 QUE326448:QUE326537 QKI326448:QKI326537 QAM326448:QAM326537 PQQ326448:PQQ326537 PGU326448:PGU326537 OWY326448:OWY326537 ONC326448:ONC326537 ODG326448:ODG326537 NTK326448:NTK326537 NJO326448:NJO326537 MZS326448:MZS326537 MPW326448:MPW326537 MGA326448:MGA326537 LWE326448:LWE326537 LMI326448:LMI326537 LCM326448:LCM326537 KSQ326448:KSQ326537 KIU326448:KIU326537 JYY326448:JYY326537 JPC326448:JPC326537 JFG326448:JFG326537 IVK326448:IVK326537 ILO326448:ILO326537 IBS326448:IBS326537 HRW326448:HRW326537 HIA326448:HIA326537 GYE326448:GYE326537 GOI326448:GOI326537 GEM326448:GEM326537 FUQ326448:FUQ326537 FKU326448:FKU326537 FAY326448:FAY326537 ERC326448:ERC326537 EHG326448:EHG326537 DXK326448:DXK326537 DNO326448:DNO326537 DDS326448:DDS326537 CTW326448:CTW326537 CKA326448:CKA326537 CAE326448:CAE326537 BQI326448:BQI326537 BGM326448:BGM326537 AWQ326448:AWQ326537 AMU326448:AMU326537 ACY326448:ACY326537 TC326448:TC326537 JG326448:JG326537 VII2:VII76 WVS260912:WVS261001 WLW260912:WLW261001 WCA260912:WCA261001 VSE260912:VSE261001 VII260912:VII261001 UYM260912:UYM261001 UOQ260912:UOQ261001 UEU260912:UEU261001 TUY260912:TUY261001 TLC260912:TLC261001 TBG260912:TBG261001 SRK260912:SRK261001 SHO260912:SHO261001 RXS260912:RXS261001 RNW260912:RNW261001 REA260912:REA261001 QUE260912:QUE261001 QKI260912:QKI261001 QAM260912:QAM261001 PQQ260912:PQQ261001 PGU260912:PGU261001 OWY260912:OWY261001 ONC260912:ONC261001 ODG260912:ODG261001 NTK260912:NTK261001 NJO260912:NJO261001 MZS260912:MZS261001 MPW260912:MPW261001 MGA260912:MGA261001 LWE260912:LWE261001 LMI260912:LMI261001 LCM260912:LCM261001 KSQ260912:KSQ261001 KIU260912:KIU261001 JYY260912:JYY261001 JPC260912:JPC261001 JFG260912:JFG261001 IVK260912:IVK261001 ILO260912:ILO261001 IBS260912:IBS261001 HRW260912:HRW261001 HIA260912:HIA261001 GYE260912:GYE261001 GOI260912:GOI261001 GEM260912:GEM261001 FUQ260912:FUQ261001 FKU260912:FKU261001 FAY260912:FAY261001 ERC260912:ERC261001 EHG260912:EHG261001 DXK260912:DXK261001 DNO260912:DNO261001 DDS260912:DDS261001 CTW260912:CTW261001 CKA260912:CKA261001 CAE260912:CAE261001 BQI260912:BQI261001 BGM260912:BGM261001 AWQ260912:AWQ261001 AMU260912:AMU261001 ACY260912:ACY261001 TC260912:TC261001 JG260912:JG261001 VSE2:VSE76 WVS195376:WVS195465 WLW195376:WLW195465 WCA195376:WCA195465 VSE195376:VSE195465 VII195376:VII195465 UYM195376:UYM195465 UOQ195376:UOQ195465 UEU195376:UEU195465 TUY195376:TUY195465 TLC195376:TLC195465 TBG195376:TBG195465 SRK195376:SRK195465 SHO195376:SHO195465 RXS195376:RXS195465 RNW195376:RNW195465 REA195376:REA195465 QUE195376:QUE195465 QKI195376:QKI195465 QAM195376:QAM195465 PQQ195376:PQQ195465 PGU195376:PGU195465 OWY195376:OWY195465 ONC195376:ONC195465 ODG195376:ODG195465 NTK195376:NTK195465 NJO195376:NJO195465 MZS195376:MZS195465 MPW195376:MPW195465 MGA195376:MGA195465 LWE195376:LWE195465 LMI195376:LMI195465 LCM195376:LCM195465 KSQ195376:KSQ195465 KIU195376:KIU195465 JYY195376:JYY195465 JPC195376:JPC195465 JFG195376:JFG195465 IVK195376:IVK195465 ILO195376:ILO195465 IBS195376:IBS195465 HRW195376:HRW195465 HIA195376:HIA195465 GYE195376:GYE195465 GOI195376:GOI195465 GEM195376:GEM195465 FUQ195376:FUQ195465 FKU195376:FKU195465 FAY195376:FAY195465 ERC195376:ERC195465 EHG195376:EHG195465 DXK195376:DXK195465 DNO195376:DNO195465 DDS195376:DDS195465 CTW195376:CTW195465 CKA195376:CKA195465 CAE195376:CAE195465 BQI195376:BQI195465 BGM195376:BGM195465 AWQ195376:AWQ195465 AMU195376:AMU195465 ACY195376:ACY195465 TC195376:TC195465 JG195376:JG195465 WCA2:WCA76 WVS129840:WVS129929 WLW129840:WLW129929 WCA129840:WCA129929 VSE129840:VSE129929 VII129840:VII129929 UYM129840:UYM129929 UOQ129840:UOQ129929 UEU129840:UEU129929 TUY129840:TUY129929 TLC129840:TLC129929 TBG129840:TBG129929 SRK129840:SRK129929 SHO129840:SHO129929 RXS129840:RXS129929 RNW129840:RNW129929 REA129840:REA129929 QUE129840:QUE129929 QKI129840:QKI129929 QAM129840:QAM129929 PQQ129840:PQQ129929 PGU129840:PGU129929 OWY129840:OWY129929 ONC129840:ONC129929 ODG129840:ODG129929 NTK129840:NTK129929 NJO129840:NJO129929 MZS129840:MZS129929 MPW129840:MPW129929 MGA129840:MGA129929 LWE129840:LWE129929 LMI129840:LMI129929 LCM129840:LCM129929 KSQ129840:KSQ129929 KIU129840:KIU129929 JYY129840:JYY129929 JPC129840:JPC129929 JFG129840:JFG129929 IVK129840:IVK129929 ILO129840:ILO129929 IBS129840:IBS129929 HRW129840:HRW129929 HIA129840:HIA129929 GYE129840:GYE129929 GOI129840:GOI129929 GEM129840:GEM129929 FUQ129840:FUQ129929 FKU129840:FKU129929 FAY129840:FAY129929 ERC129840:ERC129929 EHG129840:EHG129929 DXK129840:DXK129929 DNO129840:DNO129929 DDS129840:DDS129929 CTW129840:CTW129929 CKA129840:CKA129929 CAE129840:CAE129929 BQI129840:BQI129929 BGM129840:BGM129929 AWQ129840:AWQ129929 AMU129840:AMU129929 ACY129840:ACY129929 TC129840:TC129929 JG129840:JG129929 WLW2:WLW76 WVS64304:WVS64393 WLW64304:WLW64393 WCA64304:WCA64393 VSE64304:VSE64393 VII64304:VII64393 UYM64304:UYM64393 UOQ64304:UOQ64393 UEU64304:UEU64393 TUY64304:TUY64393 TLC64304:TLC64393 TBG64304:TBG64393 SRK64304:SRK64393 SHO64304:SHO64393 RXS64304:RXS64393 RNW64304:RNW64393 REA64304:REA64393 QUE64304:QUE64393 QKI64304:QKI64393 QAM64304:QAM64393 PQQ64304:PQQ64393 PGU64304:PGU64393 OWY64304:OWY64393 ONC64304:ONC64393 ODG64304:ODG64393 NTK64304:NTK64393 NJO64304:NJO64393 MZS64304:MZS64393 MPW64304:MPW64393 MGA64304:MGA64393 LWE64304:LWE64393 LMI64304:LMI64393 LCM64304:LCM64393 KSQ64304:KSQ64393 KIU64304:KIU64393 JYY64304:JYY64393 JPC64304:JPC64393 JFG64304:JFG64393 IVK64304:IVK64393 ILO64304:ILO64393 IBS64304:IBS64393 HRW64304:HRW64393 HIA64304:HIA64393 GYE64304:GYE64393 GOI64304:GOI64393 GEM64304:GEM64393 FUQ64304:FUQ64393 FKU64304:FKU64393 FAY64304:FAY64393 ERC64304:ERC64393 EHG64304:EHG64393 DXK64304:DXK64393 DNO64304:DNO64393 DDS64304:DDS64393 CTW64304:CTW64393 CKA64304:CKA64393 CAE64304:CAE64393 BQI64304:BQI64393 BGM64304:BGM64393 AWQ64304:AWQ64393 AMU64304:AMU64393 ACY64304:ACY64393 TC64304:TC64393 JG64304:JG64393 WVS2:WVS76 JG2:JG76 TC2:TC76 ACY2:ACY76 AMU2:AMU76 AWQ2:AWQ76 BGM2:BGM76 BQI2:BQI76 CAE2:CAE76 CKA2:CKA76 CTW2:CTW76 DDS2:DDS76 DNO2:DNO76 DXK2:DXK76 EHG2:EHG76 ERC2:ERC76 FAY2:FAY76 FKU2:FKU76 FUQ2:FUQ76 GEM2:GEM76 GOI2:GOI76 GYE2:GYE76 HIA2:HIA76 HRW2:HRW76 IBS2:IBS76 ILO2:ILO76 IVK2:IVK76 JFG2:JFG76 JPC2:JPC76 JYY2:JYY76 KIU2:KIU76 KSQ2:KSQ76 LCM2:LCM76 LMI2:LMI76 LWE2:LWE76 MGA2:MGA76 MPW2:MPW76 MZS2:MZS76 NJO2:NJO76 NTK2:NTK76 ODG2:ODG76 ONC2:ONC76 OWY2:OWY76 PGU2:PGU76 PQQ2:PQQ76 QAM2:QAM76 QKI2:QKI76 QUE2:QUE76 REA2:REA76" xr:uid="{14BC445B-0DE8-46C0-9907-3F32FAF3D78D}">
      <formula1>$AR$2:$AR$24</formula1>
    </dataValidation>
    <dataValidation type="list" allowBlank="1" showInputMessage="1" showErrorMessage="1" sqref="WVR981808:WVR981897 WLV981808:WLV981897 WBZ981808:WBZ981897 VSD981808:VSD981897 VIH981808:VIH981897 UYL981808:UYL981897 UOP981808:UOP981897 UET981808:UET981897 TUX981808:TUX981897 TLB981808:TLB981897 TBF981808:TBF981897 SRJ981808:SRJ981897 SHN981808:SHN981897 RXR981808:RXR981897 RNV981808:RNV981897 RDZ981808:RDZ981897 QUD981808:QUD981897 QKH981808:QKH981897 QAL981808:QAL981897 PQP981808:PQP981897 PGT981808:PGT981897 OWX981808:OWX981897 ONB981808:ONB981897 ODF981808:ODF981897 NTJ981808:NTJ981897 NJN981808:NJN981897 MZR981808:MZR981897 MPV981808:MPV981897 MFZ981808:MFZ981897 LWD981808:LWD981897 LMH981808:LMH981897 LCL981808:LCL981897 KSP981808:KSP981897 KIT981808:KIT981897 JYX981808:JYX981897 JPB981808:JPB981897 JFF981808:JFF981897 IVJ981808:IVJ981897 ILN981808:ILN981897 IBR981808:IBR981897 HRV981808:HRV981897 HHZ981808:HHZ981897 GYD981808:GYD981897 GOH981808:GOH981897 GEL981808:GEL981897 FUP981808:FUP981897 FKT981808:FKT981897 FAX981808:FAX981897 ERB981808:ERB981897 EHF981808:EHF981897 DXJ981808:DXJ981897 DNN981808:DNN981897 DDR981808:DDR981897 CTV981808:CTV981897 CJZ981808:CJZ981897 CAD981808:CAD981897 BQH981808:BQH981897 BGL981808:BGL981897 AWP981808:AWP981897 AMT981808:AMT981897 ACX981808:ACX981897 TB981808:TB981897 JF981808:JF981897 RNV2:RNV76 WVR916272:WVR916361 WLV916272:WLV916361 WBZ916272:WBZ916361 VSD916272:VSD916361 VIH916272:VIH916361 UYL916272:UYL916361 UOP916272:UOP916361 UET916272:UET916361 TUX916272:TUX916361 TLB916272:TLB916361 TBF916272:TBF916361 SRJ916272:SRJ916361 SHN916272:SHN916361 RXR916272:RXR916361 RNV916272:RNV916361 RDZ916272:RDZ916361 QUD916272:QUD916361 QKH916272:QKH916361 QAL916272:QAL916361 PQP916272:PQP916361 PGT916272:PGT916361 OWX916272:OWX916361 ONB916272:ONB916361 ODF916272:ODF916361 NTJ916272:NTJ916361 NJN916272:NJN916361 MZR916272:MZR916361 MPV916272:MPV916361 MFZ916272:MFZ916361 LWD916272:LWD916361 LMH916272:LMH916361 LCL916272:LCL916361 KSP916272:KSP916361 KIT916272:KIT916361 JYX916272:JYX916361 JPB916272:JPB916361 JFF916272:JFF916361 IVJ916272:IVJ916361 ILN916272:ILN916361 IBR916272:IBR916361 HRV916272:HRV916361 HHZ916272:HHZ916361 GYD916272:GYD916361 GOH916272:GOH916361 GEL916272:GEL916361 FUP916272:FUP916361 FKT916272:FKT916361 FAX916272:FAX916361 ERB916272:ERB916361 EHF916272:EHF916361 DXJ916272:DXJ916361 DNN916272:DNN916361 DDR916272:DDR916361 CTV916272:CTV916361 CJZ916272:CJZ916361 CAD916272:CAD916361 BQH916272:BQH916361 BGL916272:BGL916361 AWP916272:AWP916361 AMT916272:AMT916361 ACX916272:ACX916361 TB916272:TB916361 JF916272:JF916361 RXR2:RXR76 WVR850736:WVR850825 WLV850736:WLV850825 WBZ850736:WBZ850825 VSD850736:VSD850825 VIH850736:VIH850825 UYL850736:UYL850825 UOP850736:UOP850825 UET850736:UET850825 TUX850736:TUX850825 TLB850736:TLB850825 TBF850736:TBF850825 SRJ850736:SRJ850825 SHN850736:SHN850825 RXR850736:RXR850825 RNV850736:RNV850825 RDZ850736:RDZ850825 QUD850736:QUD850825 QKH850736:QKH850825 QAL850736:QAL850825 PQP850736:PQP850825 PGT850736:PGT850825 OWX850736:OWX850825 ONB850736:ONB850825 ODF850736:ODF850825 NTJ850736:NTJ850825 NJN850736:NJN850825 MZR850736:MZR850825 MPV850736:MPV850825 MFZ850736:MFZ850825 LWD850736:LWD850825 LMH850736:LMH850825 LCL850736:LCL850825 KSP850736:KSP850825 KIT850736:KIT850825 JYX850736:JYX850825 JPB850736:JPB850825 JFF850736:JFF850825 IVJ850736:IVJ850825 ILN850736:ILN850825 IBR850736:IBR850825 HRV850736:HRV850825 HHZ850736:HHZ850825 GYD850736:GYD850825 GOH850736:GOH850825 GEL850736:GEL850825 FUP850736:FUP850825 FKT850736:FKT850825 FAX850736:FAX850825 ERB850736:ERB850825 EHF850736:EHF850825 DXJ850736:DXJ850825 DNN850736:DNN850825 DDR850736:DDR850825 CTV850736:CTV850825 CJZ850736:CJZ850825 CAD850736:CAD850825 BQH850736:BQH850825 BGL850736:BGL850825 AWP850736:AWP850825 AMT850736:AMT850825 ACX850736:ACX850825 TB850736:TB850825 JF850736:JF850825 SHN2:SHN76 WVR785200:WVR785289 WLV785200:WLV785289 WBZ785200:WBZ785289 VSD785200:VSD785289 VIH785200:VIH785289 UYL785200:UYL785289 UOP785200:UOP785289 UET785200:UET785289 TUX785200:TUX785289 TLB785200:TLB785289 TBF785200:TBF785289 SRJ785200:SRJ785289 SHN785200:SHN785289 RXR785200:RXR785289 RNV785200:RNV785289 RDZ785200:RDZ785289 QUD785200:QUD785289 QKH785200:QKH785289 QAL785200:QAL785289 PQP785200:PQP785289 PGT785200:PGT785289 OWX785200:OWX785289 ONB785200:ONB785289 ODF785200:ODF785289 NTJ785200:NTJ785289 NJN785200:NJN785289 MZR785200:MZR785289 MPV785200:MPV785289 MFZ785200:MFZ785289 LWD785200:LWD785289 LMH785200:LMH785289 LCL785200:LCL785289 KSP785200:KSP785289 KIT785200:KIT785289 JYX785200:JYX785289 JPB785200:JPB785289 JFF785200:JFF785289 IVJ785200:IVJ785289 ILN785200:ILN785289 IBR785200:IBR785289 HRV785200:HRV785289 HHZ785200:HHZ785289 GYD785200:GYD785289 GOH785200:GOH785289 GEL785200:GEL785289 FUP785200:FUP785289 FKT785200:FKT785289 FAX785200:FAX785289 ERB785200:ERB785289 EHF785200:EHF785289 DXJ785200:DXJ785289 DNN785200:DNN785289 DDR785200:DDR785289 CTV785200:CTV785289 CJZ785200:CJZ785289 CAD785200:CAD785289 BQH785200:BQH785289 BGL785200:BGL785289 AWP785200:AWP785289 AMT785200:AMT785289 ACX785200:ACX785289 TB785200:TB785289 JF785200:JF785289 SRJ2:SRJ76 WVR719664:WVR719753 WLV719664:WLV719753 WBZ719664:WBZ719753 VSD719664:VSD719753 VIH719664:VIH719753 UYL719664:UYL719753 UOP719664:UOP719753 UET719664:UET719753 TUX719664:TUX719753 TLB719664:TLB719753 TBF719664:TBF719753 SRJ719664:SRJ719753 SHN719664:SHN719753 RXR719664:RXR719753 RNV719664:RNV719753 RDZ719664:RDZ719753 QUD719664:QUD719753 QKH719664:QKH719753 QAL719664:QAL719753 PQP719664:PQP719753 PGT719664:PGT719753 OWX719664:OWX719753 ONB719664:ONB719753 ODF719664:ODF719753 NTJ719664:NTJ719753 NJN719664:NJN719753 MZR719664:MZR719753 MPV719664:MPV719753 MFZ719664:MFZ719753 LWD719664:LWD719753 LMH719664:LMH719753 LCL719664:LCL719753 KSP719664:KSP719753 KIT719664:KIT719753 JYX719664:JYX719753 JPB719664:JPB719753 JFF719664:JFF719753 IVJ719664:IVJ719753 ILN719664:ILN719753 IBR719664:IBR719753 HRV719664:HRV719753 HHZ719664:HHZ719753 GYD719664:GYD719753 GOH719664:GOH719753 GEL719664:GEL719753 FUP719664:FUP719753 FKT719664:FKT719753 FAX719664:FAX719753 ERB719664:ERB719753 EHF719664:EHF719753 DXJ719664:DXJ719753 DNN719664:DNN719753 DDR719664:DDR719753 CTV719664:CTV719753 CJZ719664:CJZ719753 CAD719664:CAD719753 BQH719664:BQH719753 BGL719664:BGL719753 AWP719664:AWP719753 AMT719664:AMT719753 ACX719664:ACX719753 TB719664:TB719753 JF719664:JF719753 TBF2:TBF76 WVR654128:WVR654217 WLV654128:WLV654217 WBZ654128:WBZ654217 VSD654128:VSD654217 VIH654128:VIH654217 UYL654128:UYL654217 UOP654128:UOP654217 UET654128:UET654217 TUX654128:TUX654217 TLB654128:TLB654217 TBF654128:TBF654217 SRJ654128:SRJ654217 SHN654128:SHN654217 RXR654128:RXR654217 RNV654128:RNV654217 RDZ654128:RDZ654217 QUD654128:QUD654217 QKH654128:QKH654217 QAL654128:QAL654217 PQP654128:PQP654217 PGT654128:PGT654217 OWX654128:OWX654217 ONB654128:ONB654217 ODF654128:ODF654217 NTJ654128:NTJ654217 NJN654128:NJN654217 MZR654128:MZR654217 MPV654128:MPV654217 MFZ654128:MFZ654217 LWD654128:LWD654217 LMH654128:LMH654217 LCL654128:LCL654217 KSP654128:KSP654217 KIT654128:KIT654217 JYX654128:JYX654217 JPB654128:JPB654217 JFF654128:JFF654217 IVJ654128:IVJ654217 ILN654128:ILN654217 IBR654128:IBR654217 HRV654128:HRV654217 HHZ654128:HHZ654217 GYD654128:GYD654217 GOH654128:GOH654217 GEL654128:GEL654217 FUP654128:FUP654217 FKT654128:FKT654217 FAX654128:FAX654217 ERB654128:ERB654217 EHF654128:EHF654217 DXJ654128:DXJ654217 DNN654128:DNN654217 DDR654128:DDR654217 CTV654128:CTV654217 CJZ654128:CJZ654217 CAD654128:CAD654217 BQH654128:BQH654217 BGL654128:BGL654217 AWP654128:AWP654217 AMT654128:AMT654217 ACX654128:ACX654217 TB654128:TB654217 JF654128:JF654217 TLB2:TLB76 WVR588592:WVR588681 WLV588592:WLV588681 WBZ588592:WBZ588681 VSD588592:VSD588681 VIH588592:VIH588681 UYL588592:UYL588681 UOP588592:UOP588681 UET588592:UET588681 TUX588592:TUX588681 TLB588592:TLB588681 TBF588592:TBF588681 SRJ588592:SRJ588681 SHN588592:SHN588681 RXR588592:RXR588681 RNV588592:RNV588681 RDZ588592:RDZ588681 QUD588592:QUD588681 QKH588592:QKH588681 QAL588592:QAL588681 PQP588592:PQP588681 PGT588592:PGT588681 OWX588592:OWX588681 ONB588592:ONB588681 ODF588592:ODF588681 NTJ588592:NTJ588681 NJN588592:NJN588681 MZR588592:MZR588681 MPV588592:MPV588681 MFZ588592:MFZ588681 LWD588592:LWD588681 LMH588592:LMH588681 LCL588592:LCL588681 KSP588592:KSP588681 KIT588592:KIT588681 JYX588592:JYX588681 JPB588592:JPB588681 JFF588592:JFF588681 IVJ588592:IVJ588681 ILN588592:ILN588681 IBR588592:IBR588681 HRV588592:HRV588681 HHZ588592:HHZ588681 GYD588592:GYD588681 GOH588592:GOH588681 GEL588592:GEL588681 FUP588592:FUP588681 FKT588592:FKT588681 FAX588592:FAX588681 ERB588592:ERB588681 EHF588592:EHF588681 DXJ588592:DXJ588681 DNN588592:DNN588681 DDR588592:DDR588681 CTV588592:CTV588681 CJZ588592:CJZ588681 CAD588592:CAD588681 BQH588592:BQH588681 BGL588592:BGL588681 AWP588592:AWP588681 AMT588592:AMT588681 ACX588592:ACX588681 TB588592:TB588681 JF588592:JF588681 TUX2:TUX76 WVR523056:WVR523145 WLV523056:WLV523145 WBZ523056:WBZ523145 VSD523056:VSD523145 VIH523056:VIH523145 UYL523056:UYL523145 UOP523056:UOP523145 UET523056:UET523145 TUX523056:TUX523145 TLB523056:TLB523145 TBF523056:TBF523145 SRJ523056:SRJ523145 SHN523056:SHN523145 RXR523056:RXR523145 RNV523056:RNV523145 RDZ523056:RDZ523145 QUD523056:QUD523145 QKH523056:QKH523145 QAL523056:QAL523145 PQP523056:PQP523145 PGT523056:PGT523145 OWX523056:OWX523145 ONB523056:ONB523145 ODF523056:ODF523145 NTJ523056:NTJ523145 NJN523056:NJN523145 MZR523056:MZR523145 MPV523056:MPV523145 MFZ523056:MFZ523145 LWD523056:LWD523145 LMH523056:LMH523145 LCL523056:LCL523145 KSP523056:KSP523145 KIT523056:KIT523145 JYX523056:JYX523145 JPB523056:JPB523145 JFF523056:JFF523145 IVJ523056:IVJ523145 ILN523056:ILN523145 IBR523056:IBR523145 HRV523056:HRV523145 HHZ523056:HHZ523145 GYD523056:GYD523145 GOH523056:GOH523145 GEL523056:GEL523145 FUP523056:FUP523145 FKT523056:FKT523145 FAX523056:FAX523145 ERB523056:ERB523145 EHF523056:EHF523145 DXJ523056:DXJ523145 DNN523056:DNN523145 DDR523056:DDR523145 CTV523056:CTV523145 CJZ523056:CJZ523145 CAD523056:CAD523145 BQH523056:BQH523145 BGL523056:BGL523145 AWP523056:AWP523145 AMT523056:AMT523145 ACX523056:ACX523145 TB523056:TB523145 JF523056:JF523145 UET2:UET76 WVR457520:WVR457609 WLV457520:WLV457609 WBZ457520:WBZ457609 VSD457520:VSD457609 VIH457520:VIH457609 UYL457520:UYL457609 UOP457520:UOP457609 UET457520:UET457609 TUX457520:TUX457609 TLB457520:TLB457609 TBF457520:TBF457609 SRJ457520:SRJ457609 SHN457520:SHN457609 RXR457520:RXR457609 RNV457520:RNV457609 RDZ457520:RDZ457609 QUD457520:QUD457609 QKH457520:QKH457609 QAL457520:QAL457609 PQP457520:PQP457609 PGT457520:PGT457609 OWX457520:OWX457609 ONB457520:ONB457609 ODF457520:ODF457609 NTJ457520:NTJ457609 NJN457520:NJN457609 MZR457520:MZR457609 MPV457520:MPV457609 MFZ457520:MFZ457609 LWD457520:LWD457609 LMH457520:LMH457609 LCL457520:LCL457609 KSP457520:KSP457609 KIT457520:KIT457609 JYX457520:JYX457609 JPB457520:JPB457609 JFF457520:JFF457609 IVJ457520:IVJ457609 ILN457520:ILN457609 IBR457520:IBR457609 HRV457520:HRV457609 HHZ457520:HHZ457609 GYD457520:GYD457609 GOH457520:GOH457609 GEL457520:GEL457609 FUP457520:FUP457609 FKT457520:FKT457609 FAX457520:FAX457609 ERB457520:ERB457609 EHF457520:EHF457609 DXJ457520:DXJ457609 DNN457520:DNN457609 DDR457520:DDR457609 CTV457520:CTV457609 CJZ457520:CJZ457609 CAD457520:CAD457609 BQH457520:BQH457609 BGL457520:BGL457609 AWP457520:AWP457609 AMT457520:AMT457609 ACX457520:ACX457609 TB457520:TB457609 JF457520:JF457609 UOP2:UOP76 WVR391984:WVR392073 WLV391984:WLV392073 WBZ391984:WBZ392073 VSD391984:VSD392073 VIH391984:VIH392073 UYL391984:UYL392073 UOP391984:UOP392073 UET391984:UET392073 TUX391984:TUX392073 TLB391984:TLB392073 TBF391984:TBF392073 SRJ391984:SRJ392073 SHN391984:SHN392073 RXR391984:RXR392073 RNV391984:RNV392073 RDZ391984:RDZ392073 QUD391984:QUD392073 QKH391984:QKH392073 QAL391984:QAL392073 PQP391984:PQP392073 PGT391984:PGT392073 OWX391984:OWX392073 ONB391984:ONB392073 ODF391984:ODF392073 NTJ391984:NTJ392073 NJN391984:NJN392073 MZR391984:MZR392073 MPV391984:MPV392073 MFZ391984:MFZ392073 LWD391984:LWD392073 LMH391984:LMH392073 LCL391984:LCL392073 KSP391984:KSP392073 KIT391984:KIT392073 JYX391984:JYX392073 JPB391984:JPB392073 JFF391984:JFF392073 IVJ391984:IVJ392073 ILN391984:ILN392073 IBR391984:IBR392073 HRV391984:HRV392073 HHZ391984:HHZ392073 GYD391984:GYD392073 GOH391984:GOH392073 GEL391984:GEL392073 FUP391984:FUP392073 FKT391984:FKT392073 FAX391984:FAX392073 ERB391984:ERB392073 EHF391984:EHF392073 DXJ391984:DXJ392073 DNN391984:DNN392073 DDR391984:DDR392073 CTV391984:CTV392073 CJZ391984:CJZ392073 CAD391984:CAD392073 BQH391984:BQH392073 BGL391984:BGL392073 AWP391984:AWP392073 AMT391984:AMT392073 ACX391984:ACX392073 TB391984:TB392073 JF391984:JF392073 UYL2:UYL76 WVR326448:WVR326537 WLV326448:WLV326537 WBZ326448:WBZ326537 VSD326448:VSD326537 VIH326448:VIH326537 UYL326448:UYL326537 UOP326448:UOP326537 UET326448:UET326537 TUX326448:TUX326537 TLB326448:TLB326537 TBF326448:TBF326537 SRJ326448:SRJ326537 SHN326448:SHN326537 RXR326448:RXR326537 RNV326448:RNV326537 RDZ326448:RDZ326537 QUD326448:QUD326537 QKH326448:QKH326537 QAL326448:QAL326537 PQP326448:PQP326537 PGT326448:PGT326537 OWX326448:OWX326537 ONB326448:ONB326537 ODF326448:ODF326537 NTJ326448:NTJ326537 NJN326448:NJN326537 MZR326448:MZR326537 MPV326448:MPV326537 MFZ326448:MFZ326537 LWD326448:LWD326537 LMH326448:LMH326537 LCL326448:LCL326537 KSP326448:KSP326537 KIT326448:KIT326537 JYX326448:JYX326537 JPB326448:JPB326537 JFF326448:JFF326537 IVJ326448:IVJ326537 ILN326448:ILN326537 IBR326448:IBR326537 HRV326448:HRV326537 HHZ326448:HHZ326537 GYD326448:GYD326537 GOH326448:GOH326537 GEL326448:GEL326537 FUP326448:FUP326537 FKT326448:FKT326537 FAX326448:FAX326537 ERB326448:ERB326537 EHF326448:EHF326537 DXJ326448:DXJ326537 DNN326448:DNN326537 DDR326448:DDR326537 CTV326448:CTV326537 CJZ326448:CJZ326537 CAD326448:CAD326537 BQH326448:BQH326537 BGL326448:BGL326537 AWP326448:AWP326537 AMT326448:AMT326537 ACX326448:ACX326537 TB326448:TB326537 JF326448:JF326537 VIH2:VIH76 WVR260912:WVR261001 WLV260912:WLV261001 WBZ260912:WBZ261001 VSD260912:VSD261001 VIH260912:VIH261001 UYL260912:UYL261001 UOP260912:UOP261001 UET260912:UET261001 TUX260912:TUX261001 TLB260912:TLB261001 TBF260912:TBF261001 SRJ260912:SRJ261001 SHN260912:SHN261001 RXR260912:RXR261001 RNV260912:RNV261001 RDZ260912:RDZ261001 QUD260912:QUD261001 QKH260912:QKH261001 QAL260912:QAL261001 PQP260912:PQP261001 PGT260912:PGT261001 OWX260912:OWX261001 ONB260912:ONB261001 ODF260912:ODF261001 NTJ260912:NTJ261001 NJN260912:NJN261001 MZR260912:MZR261001 MPV260912:MPV261001 MFZ260912:MFZ261001 LWD260912:LWD261001 LMH260912:LMH261001 LCL260912:LCL261001 KSP260912:KSP261001 KIT260912:KIT261001 JYX260912:JYX261001 JPB260912:JPB261001 JFF260912:JFF261001 IVJ260912:IVJ261001 ILN260912:ILN261001 IBR260912:IBR261001 HRV260912:HRV261001 HHZ260912:HHZ261001 GYD260912:GYD261001 GOH260912:GOH261001 GEL260912:GEL261001 FUP260912:FUP261001 FKT260912:FKT261001 FAX260912:FAX261001 ERB260912:ERB261001 EHF260912:EHF261001 DXJ260912:DXJ261001 DNN260912:DNN261001 DDR260912:DDR261001 CTV260912:CTV261001 CJZ260912:CJZ261001 CAD260912:CAD261001 BQH260912:BQH261001 BGL260912:BGL261001 AWP260912:AWP261001 AMT260912:AMT261001 ACX260912:ACX261001 TB260912:TB261001 JF260912:JF261001 VSD2:VSD76 WVR195376:WVR195465 WLV195376:WLV195465 WBZ195376:WBZ195465 VSD195376:VSD195465 VIH195376:VIH195465 UYL195376:UYL195465 UOP195376:UOP195465 UET195376:UET195465 TUX195376:TUX195465 TLB195376:TLB195465 TBF195376:TBF195465 SRJ195376:SRJ195465 SHN195376:SHN195465 RXR195376:RXR195465 RNV195376:RNV195465 RDZ195376:RDZ195465 QUD195376:QUD195465 QKH195376:QKH195465 QAL195376:QAL195465 PQP195376:PQP195465 PGT195376:PGT195465 OWX195376:OWX195465 ONB195376:ONB195465 ODF195376:ODF195465 NTJ195376:NTJ195465 NJN195376:NJN195465 MZR195376:MZR195465 MPV195376:MPV195465 MFZ195376:MFZ195465 LWD195376:LWD195465 LMH195376:LMH195465 LCL195376:LCL195465 KSP195376:KSP195465 KIT195376:KIT195465 JYX195376:JYX195465 JPB195376:JPB195465 JFF195376:JFF195465 IVJ195376:IVJ195465 ILN195376:ILN195465 IBR195376:IBR195465 HRV195376:HRV195465 HHZ195376:HHZ195465 GYD195376:GYD195465 GOH195376:GOH195465 GEL195376:GEL195465 FUP195376:FUP195465 FKT195376:FKT195465 FAX195376:FAX195465 ERB195376:ERB195465 EHF195376:EHF195465 DXJ195376:DXJ195465 DNN195376:DNN195465 DDR195376:DDR195465 CTV195376:CTV195465 CJZ195376:CJZ195465 CAD195376:CAD195465 BQH195376:BQH195465 BGL195376:BGL195465 AWP195376:AWP195465 AMT195376:AMT195465 ACX195376:ACX195465 TB195376:TB195465 JF195376:JF195465 WBZ2:WBZ76 WVR129840:WVR129929 WLV129840:WLV129929 WBZ129840:WBZ129929 VSD129840:VSD129929 VIH129840:VIH129929 UYL129840:UYL129929 UOP129840:UOP129929 UET129840:UET129929 TUX129840:TUX129929 TLB129840:TLB129929 TBF129840:TBF129929 SRJ129840:SRJ129929 SHN129840:SHN129929 RXR129840:RXR129929 RNV129840:RNV129929 RDZ129840:RDZ129929 QUD129840:QUD129929 QKH129840:QKH129929 QAL129840:QAL129929 PQP129840:PQP129929 PGT129840:PGT129929 OWX129840:OWX129929 ONB129840:ONB129929 ODF129840:ODF129929 NTJ129840:NTJ129929 NJN129840:NJN129929 MZR129840:MZR129929 MPV129840:MPV129929 MFZ129840:MFZ129929 LWD129840:LWD129929 LMH129840:LMH129929 LCL129840:LCL129929 KSP129840:KSP129929 KIT129840:KIT129929 JYX129840:JYX129929 JPB129840:JPB129929 JFF129840:JFF129929 IVJ129840:IVJ129929 ILN129840:ILN129929 IBR129840:IBR129929 HRV129840:HRV129929 HHZ129840:HHZ129929 GYD129840:GYD129929 GOH129840:GOH129929 GEL129840:GEL129929 FUP129840:FUP129929 FKT129840:FKT129929 FAX129840:FAX129929 ERB129840:ERB129929 EHF129840:EHF129929 DXJ129840:DXJ129929 DNN129840:DNN129929 DDR129840:DDR129929 CTV129840:CTV129929 CJZ129840:CJZ129929 CAD129840:CAD129929 BQH129840:BQH129929 BGL129840:BGL129929 AWP129840:AWP129929 AMT129840:AMT129929 ACX129840:ACX129929 TB129840:TB129929 JF129840:JF129929 WLV2:WLV76 WVR64304:WVR64393 WLV64304:WLV64393 WBZ64304:WBZ64393 VSD64304:VSD64393 VIH64304:VIH64393 UYL64304:UYL64393 UOP64304:UOP64393 UET64304:UET64393 TUX64304:TUX64393 TLB64304:TLB64393 TBF64304:TBF64393 SRJ64304:SRJ64393 SHN64304:SHN64393 RXR64304:RXR64393 RNV64304:RNV64393 RDZ64304:RDZ64393 QUD64304:QUD64393 QKH64304:QKH64393 QAL64304:QAL64393 PQP64304:PQP64393 PGT64304:PGT64393 OWX64304:OWX64393 ONB64304:ONB64393 ODF64304:ODF64393 NTJ64304:NTJ64393 NJN64304:NJN64393 MZR64304:MZR64393 MPV64304:MPV64393 MFZ64304:MFZ64393 LWD64304:LWD64393 LMH64304:LMH64393 LCL64304:LCL64393 KSP64304:KSP64393 KIT64304:KIT64393 JYX64304:JYX64393 JPB64304:JPB64393 JFF64304:JFF64393 IVJ64304:IVJ64393 ILN64304:ILN64393 IBR64304:IBR64393 HRV64304:HRV64393 HHZ64304:HHZ64393 GYD64304:GYD64393 GOH64304:GOH64393 GEL64304:GEL64393 FUP64304:FUP64393 FKT64304:FKT64393 FAX64304:FAX64393 ERB64304:ERB64393 EHF64304:EHF64393 DXJ64304:DXJ64393 DNN64304:DNN64393 DDR64304:DDR64393 CTV64304:CTV64393 CJZ64304:CJZ64393 CAD64304:CAD64393 BQH64304:BQH64393 BGL64304:BGL64393 AWP64304:AWP64393 AMT64304:AMT64393 ACX64304:ACX64393 TB64304:TB64393 JF64304:JF64393 WVR2:WVR76 JF2:JF76 TB2:TB76 ACX2:ACX76 AMT2:AMT76 AWP2:AWP76 BGL2:BGL76 BQH2:BQH76 CAD2:CAD76 CJZ2:CJZ76 CTV2:CTV76 DDR2:DDR76 DNN2:DNN76 DXJ2:DXJ76 EHF2:EHF76 ERB2:ERB76 FAX2:FAX76 FKT2:FKT76 FUP2:FUP76 GEL2:GEL76 GOH2:GOH76 GYD2:GYD76 HHZ2:HHZ76 HRV2:HRV76 IBR2:IBR76 ILN2:ILN76 IVJ2:IVJ76 JFF2:JFF76 JPB2:JPB76 JYX2:JYX76 KIT2:KIT76 KSP2:KSP76 LCL2:LCL76 LMH2:LMH76 LWD2:LWD76 MFZ2:MFZ76 MPV2:MPV76 MZR2:MZR76 NJN2:NJN76 NTJ2:NTJ76 ODF2:ODF76 ONB2:ONB76 OWX2:OWX76 PGT2:PGT76 PQP2:PQP76 QAL2:QAL76 QKH2:QKH76 QUD2:QUD76 RDZ2:RDZ76 J65538:J65616 J131074:J131152 J196610:J196688 J262146:J262224 J327682:J327760 J393218:J393296 J458754:J458832 J524290:J524368 J589826:J589904 J655362:J655440 J720898:J720976 J786434:J786512 J851970:J852048 J917506:J917584 J983042:J983120" xr:uid="{16291E49-0DC3-427C-B759-1ED24ACD3C4B}">
      <formula1>$AP$2:$AP$15</formula1>
    </dataValidation>
    <dataValidation type="list" allowBlank="1" showInputMessage="1" showErrorMessage="1" sqref="WVN981808:WVN981897 WLR981808:WLR981897 WBV981808:WBV981897 VRZ981808:VRZ981897 VID981808:VID981897 UYH981808:UYH981897 UOL981808:UOL981897 UEP981808:UEP981897 TUT981808:TUT981897 TKX981808:TKX981897 TBB981808:TBB981897 SRF981808:SRF981897 SHJ981808:SHJ981897 RXN981808:RXN981897 RNR981808:RNR981897 RDV981808:RDV981897 QTZ981808:QTZ981897 QKD981808:QKD981897 QAH981808:QAH981897 PQL981808:PQL981897 PGP981808:PGP981897 OWT981808:OWT981897 OMX981808:OMX981897 ODB981808:ODB981897 NTF981808:NTF981897 NJJ981808:NJJ981897 MZN981808:MZN981897 MPR981808:MPR981897 MFV981808:MFV981897 LVZ981808:LVZ981897 LMD981808:LMD981897 LCH981808:LCH981897 KSL981808:KSL981897 KIP981808:KIP981897 JYT981808:JYT981897 JOX981808:JOX981897 JFB981808:JFB981897 IVF981808:IVF981897 ILJ981808:ILJ981897 IBN981808:IBN981897 HRR981808:HRR981897 HHV981808:HHV981897 GXZ981808:GXZ981897 GOD981808:GOD981897 GEH981808:GEH981897 FUL981808:FUL981897 FKP981808:FKP981897 FAT981808:FAT981897 EQX981808:EQX981897 EHB981808:EHB981897 DXF981808:DXF981897 DNJ981808:DNJ981897 DDN981808:DDN981897 CTR981808:CTR981897 CJV981808:CJV981897 BZZ981808:BZZ981897 BQD981808:BQD981897 BGH981808:BGH981897 AWL981808:AWL981897 AMP981808:AMP981897 ACT981808:ACT981897 SX981808:SX981897 JB981808:JB981897 F981817:F981906 WVN916272:WVN916361 WLR916272:WLR916361 WBV916272:WBV916361 VRZ916272:VRZ916361 VID916272:VID916361 UYH916272:UYH916361 UOL916272:UOL916361 UEP916272:UEP916361 TUT916272:TUT916361 TKX916272:TKX916361 TBB916272:TBB916361 SRF916272:SRF916361 SHJ916272:SHJ916361 RXN916272:RXN916361 RNR916272:RNR916361 RDV916272:RDV916361 QTZ916272:QTZ916361 QKD916272:QKD916361 QAH916272:QAH916361 PQL916272:PQL916361 PGP916272:PGP916361 OWT916272:OWT916361 OMX916272:OMX916361 ODB916272:ODB916361 NTF916272:NTF916361 NJJ916272:NJJ916361 MZN916272:MZN916361 MPR916272:MPR916361 MFV916272:MFV916361 LVZ916272:LVZ916361 LMD916272:LMD916361 LCH916272:LCH916361 KSL916272:KSL916361 KIP916272:KIP916361 JYT916272:JYT916361 JOX916272:JOX916361 JFB916272:JFB916361 IVF916272:IVF916361 ILJ916272:ILJ916361 IBN916272:IBN916361 HRR916272:HRR916361 HHV916272:HHV916361 GXZ916272:GXZ916361 GOD916272:GOD916361 GEH916272:GEH916361 FUL916272:FUL916361 FKP916272:FKP916361 FAT916272:FAT916361 EQX916272:EQX916361 EHB916272:EHB916361 DXF916272:DXF916361 DNJ916272:DNJ916361 DDN916272:DDN916361 CTR916272:CTR916361 CJV916272:CJV916361 BZZ916272:BZZ916361 BQD916272:BQD916361 BGH916272:BGH916361 AWL916272:AWL916361 AMP916272:AMP916361 ACT916272:ACT916361 SX916272:SX916361 JB916272:JB916361 F916281:F916370 WVN850736:WVN850825 WLR850736:WLR850825 WBV850736:WBV850825 VRZ850736:VRZ850825 VID850736:VID850825 UYH850736:UYH850825 UOL850736:UOL850825 UEP850736:UEP850825 TUT850736:TUT850825 TKX850736:TKX850825 TBB850736:TBB850825 SRF850736:SRF850825 SHJ850736:SHJ850825 RXN850736:RXN850825 RNR850736:RNR850825 RDV850736:RDV850825 QTZ850736:QTZ850825 QKD850736:QKD850825 QAH850736:QAH850825 PQL850736:PQL850825 PGP850736:PGP850825 OWT850736:OWT850825 OMX850736:OMX850825 ODB850736:ODB850825 NTF850736:NTF850825 NJJ850736:NJJ850825 MZN850736:MZN850825 MPR850736:MPR850825 MFV850736:MFV850825 LVZ850736:LVZ850825 LMD850736:LMD850825 LCH850736:LCH850825 KSL850736:KSL850825 KIP850736:KIP850825 JYT850736:JYT850825 JOX850736:JOX850825 JFB850736:JFB850825 IVF850736:IVF850825 ILJ850736:ILJ850825 IBN850736:IBN850825 HRR850736:HRR850825 HHV850736:HHV850825 GXZ850736:GXZ850825 GOD850736:GOD850825 GEH850736:GEH850825 FUL850736:FUL850825 FKP850736:FKP850825 FAT850736:FAT850825 EQX850736:EQX850825 EHB850736:EHB850825 DXF850736:DXF850825 DNJ850736:DNJ850825 DDN850736:DDN850825 CTR850736:CTR850825 CJV850736:CJV850825 BZZ850736:BZZ850825 BQD850736:BQD850825 BGH850736:BGH850825 AWL850736:AWL850825 AMP850736:AMP850825 ACT850736:ACT850825 SX850736:SX850825 JB850736:JB850825 F850745:F850834 WVN785200:WVN785289 WLR785200:WLR785289 WBV785200:WBV785289 VRZ785200:VRZ785289 VID785200:VID785289 UYH785200:UYH785289 UOL785200:UOL785289 UEP785200:UEP785289 TUT785200:TUT785289 TKX785200:TKX785289 TBB785200:TBB785289 SRF785200:SRF785289 SHJ785200:SHJ785289 RXN785200:RXN785289 RNR785200:RNR785289 RDV785200:RDV785289 QTZ785200:QTZ785289 QKD785200:QKD785289 QAH785200:QAH785289 PQL785200:PQL785289 PGP785200:PGP785289 OWT785200:OWT785289 OMX785200:OMX785289 ODB785200:ODB785289 NTF785200:NTF785289 NJJ785200:NJJ785289 MZN785200:MZN785289 MPR785200:MPR785289 MFV785200:MFV785289 LVZ785200:LVZ785289 LMD785200:LMD785289 LCH785200:LCH785289 KSL785200:KSL785289 KIP785200:KIP785289 JYT785200:JYT785289 JOX785200:JOX785289 JFB785200:JFB785289 IVF785200:IVF785289 ILJ785200:ILJ785289 IBN785200:IBN785289 HRR785200:HRR785289 HHV785200:HHV785289 GXZ785200:GXZ785289 GOD785200:GOD785289 GEH785200:GEH785289 FUL785200:FUL785289 FKP785200:FKP785289 FAT785200:FAT785289 EQX785200:EQX785289 EHB785200:EHB785289 DXF785200:DXF785289 DNJ785200:DNJ785289 DDN785200:DDN785289 CTR785200:CTR785289 CJV785200:CJV785289 BZZ785200:BZZ785289 BQD785200:BQD785289 BGH785200:BGH785289 AWL785200:AWL785289 AMP785200:AMP785289 ACT785200:ACT785289 SX785200:SX785289 JB785200:JB785289 F785209:F785298 WVN719664:WVN719753 WLR719664:WLR719753 WBV719664:WBV719753 VRZ719664:VRZ719753 VID719664:VID719753 UYH719664:UYH719753 UOL719664:UOL719753 UEP719664:UEP719753 TUT719664:TUT719753 TKX719664:TKX719753 TBB719664:TBB719753 SRF719664:SRF719753 SHJ719664:SHJ719753 RXN719664:RXN719753 RNR719664:RNR719753 RDV719664:RDV719753 QTZ719664:QTZ719753 QKD719664:QKD719753 QAH719664:QAH719753 PQL719664:PQL719753 PGP719664:PGP719753 OWT719664:OWT719753 OMX719664:OMX719753 ODB719664:ODB719753 NTF719664:NTF719753 NJJ719664:NJJ719753 MZN719664:MZN719753 MPR719664:MPR719753 MFV719664:MFV719753 LVZ719664:LVZ719753 LMD719664:LMD719753 LCH719664:LCH719753 KSL719664:KSL719753 KIP719664:KIP719753 JYT719664:JYT719753 JOX719664:JOX719753 JFB719664:JFB719753 IVF719664:IVF719753 ILJ719664:ILJ719753 IBN719664:IBN719753 HRR719664:HRR719753 HHV719664:HHV719753 GXZ719664:GXZ719753 GOD719664:GOD719753 GEH719664:GEH719753 FUL719664:FUL719753 FKP719664:FKP719753 FAT719664:FAT719753 EQX719664:EQX719753 EHB719664:EHB719753 DXF719664:DXF719753 DNJ719664:DNJ719753 DDN719664:DDN719753 CTR719664:CTR719753 CJV719664:CJV719753 BZZ719664:BZZ719753 BQD719664:BQD719753 BGH719664:BGH719753 AWL719664:AWL719753 AMP719664:AMP719753 ACT719664:ACT719753 SX719664:SX719753 JB719664:JB719753 F719673:F719762 WVN654128:WVN654217 WLR654128:WLR654217 WBV654128:WBV654217 VRZ654128:VRZ654217 VID654128:VID654217 UYH654128:UYH654217 UOL654128:UOL654217 UEP654128:UEP654217 TUT654128:TUT654217 TKX654128:TKX654217 TBB654128:TBB654217 SRF654128:SRF654217 SHJ654128:SHJ654217 RXN654128:RXN654217 RNR654128:RNR654217 RDV654128:RDV654217 QTZ654128:QTZ654217 QKD654128:QKD654217 QAH654128:QAH654217 PQL654128:PQL654217 PGP654128:PGP654217 OWT654128:OWT654217 OMX654128:OMX654217 ODB654128:ODB654217 NTF654128:NTF654217 NJJ654128:NJJ654217 MZN654128:MZN654217 MPR654128:MPR654217 MFV654128:MFV654217 LVZ654128:LVZ654217 LMD654128:LMD654217 LCH654128:LCH654217 KSL654128:KSL654217 KIP654128:KIP654217 JYT654128:JYT654217 JOX654128:JOX654217 JFB654128:JFB654217 IVF654128:IVF654217 ILJ654128:ILJ654217 IBN654128:IBN654217 HRR654128:HRR654217 HHV654128:HHV654217 GXZ654128:GXZ654217 GOD654128:GOD654217 GEH654128:GEH654217 FUL654128:FUL654217 FKP654128:FKP654217 FAT654128:FAT654217 EQX654128:EQX654217 EHB654128:EHB654217 DXF654128:DXF654217 DNJ654128:DNJ654217 DDN654128:DDN654217 CTR654128:CTR654217 CJV654128:CJV654217 BZZ654128:BZZ654217 BQD654128:BQD654217 BGH654128:BGH654217 AWL654128:AWL654217 AMP654128:AMP654217 ACT654128:ACT654217 SX654128:SX654217 JB654128:JB654217 F654137:F654226 WVN588592:WVN588681 WLR588592:WLR588681 WBV588592:WBV588681 VRZ588592:VRZ588681 VID588592:VID588681 UYH588592:UYH588681 UOL588592:UOL588681 UEP588592:UEP588681 TUT588592:TUT588681 TKX588592:TKX588681 TBB588592:TBB588681 SRF588592:SRF588681 SHJ588592:SHJ588681 RXN588592:RXN588681 RNR588592:RNR588681 RDV588592:RDV588681 QTZ588592:QTZ588681 QKD588592:QKD588681 QAH588592:QAH588681 PQL588592:PQL588681 PGP588592:PGP588681 OWT588592:OWT588681 OMX588592:OMX588681 ODB588592:ODB588681 NTF588592:NTF588681 NJJ588592:NJJ588681 MZN588592:MZN588681 MPR588592:MPR588681 MFV588592:MFV588681 LVZ588592:LVZ588681 LMD588592:LMD588681 LCH588592:LCH588681 KSL588592:KSL588681 KIP588592:KIP588681 JYT588592:JYT588681 JOX588592:JOX588681 JFB588592:JFB588681 IVF588592:IVF588681 ILJ588592:ILJ588681 IBN588592:IBN588681 HRR588592:HRR588681 HHV588592:HHV588681 GXZ588592:GXZ588681 GOD588592:GOD588681 GEH588592:GEH588681 FUL588592:FUL588681 FKP588592:FKP588681 FAT588592:FAT588681 EQX588592:EQX588681 EHB588592:EHB588681 DXF588592:DXF588681 DNJ588592:DNJ588681 DDN588592:DDN588681 CTR588592:CTR588681 CJV588592:CJV588681 BZZ588592:BZZ588681 BQD588592:BQD588681 BGH588592:BGH588681 AWL588592:AWL588681 AMP588592:AMP588681 ACT588592:ACT588681 SX588592:SX588681 JB588592:JB588681 F588601:F588690 WVN523056:WVN523145 WLR523056:WLR523145 WBV523056:WBV523145 VRZ523056:VRZ523145 VID523056:VID523145 UYH523056:UYH523145 UOL523056:UOL523145 UEP523056:UEP523145 TUT523056:TUT523145 TKX523056:TKX523145 TBB523056:TBB523145 SRF523056:SRF523145 SHJ523056:SHJ523145 RXN523056:RXN523145 RNR523056:RNR523145 RDV523056:RDV523145 QTZ523056:QTZ523145 QKD523056:QKD523145 QAH523056:QAH523145 PQL523056:PQL523145 PGP523056:PGP523145 OWT523056:OWT523145 OMX523056:OMX523145 ODB523056:ODB523145 NTF523056:NTF523145 NJJ523056:NJJ523145 MZN523056:MZN523145 MPR523056:MPR523145 MFV523056:MFV523145 LVZ523056:LVZ523145 LMD523056:LMD523145 LCH523056:LCH523145 KSL523056:KSL523145 KIP523056:KIP523145 JYT523056:JYT523145 JOX523056:JOX523145 JFB523056:JFB523145 IVF523056:IVF523145 ILJ523056:ILJ523145 IBN523056:IBN523145 HRR523056:HRR523145 HHV523056:HHV523145 GXZ523056:GXZ523145 GOD523056:GOD523145 GEH523056:GEH523145 FUL523056:FUL523145 FKP523056:FKP523145 FAT523056:FAT523145 EQX523056:EQX523145 EHB523056:EHB523145 DXF523056:DXF523145 DNJ523056:DNJ523145 DDN523056:DDN523145 CTR523056:CTR523145 CJV523056:CJV523145 BZZ523056:BZZ523145 BQD523056:BQD523145 BGH523056:BGH523145 AWL523056:AWL523145 AMP523056:AMP523145 ACT523056:ACT523145 SX523056:SX523145 JB523056:JB523145 F523065:F523154 WVN457520:WVN457609 WLR457520:WLR457609 WBV457520:WBV457609 VRZ457520:VRZ457609 VID457520:VID457609 UYH457520:UYH457609 UOL457520:UOL457609 UEP457520:UEP457609 TUT457520:TUT457609 TKX457520:TKX457609 TBB457520:TBB457609 SRF457520:SRF457609 SHJ457520:SHJ457609 RXN457520:RXN457609 RNR457520:RNR457609 RDV457520:RDV457609 QTZ457520:QTZ457609 QKD457520:QKD457609 QAH457520:QAH457609 PQL457520:PQL457609 PGP457520:PGP457609 OWT457520:OWT457609 OMX457520:OMX457609 ODB457520:ODB457609 NTF457520:NTF457609 NJJ457520:NJJ457609 MZN457520:MZN457609 MPR457520:MPR457609 MFV457520:MFV457609 LVZ457520:LVZ457609 LMD457520:LMD457609 LCH457520:LCH457609 KSL457520:KSL457609 KIP457520:KIP457609 JYT457520:JYT457609 JOX457520:JOX457609 JFB457520:JFB457609 IVF457520:IVF457609 ILJ457520:ILJ457609 IBN457520:IBN457609 HRR457520:HRR457609 HHV457520:HHV457609 GXZ457520:GXZ457609 GOD457520:GOD457609 GEH457520:GEH457609 FUL457520:FUL457609 FKP457520:FKP457609 FAT457520:FAT457609 EQX457520:EQX457609 EHB457520:EHB457609 DXF457520:DXF457609 DNJ457520:DNJ457609 DDN457520:DDN457609 CTR457520:CTR457609 CJV457520:CJV457609 BZZ457520:BZZ457609 BQD457520:BQD457609 BGH457520:BGH457609 AWL457520:AWL457609 AMP457520:AMP457609 ACT457520:ACT457609 SX457520:SX457609 JB457520:JB457609 F457529:F457618 WVN391984:WVN392073 WLR391984:WLR392073 WBV391984:WBV392073 VRZ391984:VRZ392073 VID391984:VID392073 UYH391984:UYH392073 UOL391984:UOL392073 UEP391984:UEP392073 TUT391984:TUT392073 TKX391984:TKX392073 TBB391984:TBB392073 SRF391984:SRF392073 SHJ391984:SHJ392073 RXN391984:RXN392073 RNR391984:RNR392073 RDV391984:RDV392073 QTZ391984:QTZ392073 QKD391984:QKD392073 QAH391984:QAH392073 PQL391984:PQL392073 PGP391984:PGP392073 OWT391984:OWT392073 OMX391984:OMX392073 ODB391984:ODB392073 NTF391984:NTF392073 NJJ391984:NJJ392073 MZN391984:MZN392073 MPR391984:MPR392073 MFV391984:MFV392073 LVZ391984:LVZ392073 LMD391984:LMD392073 LCH391984:LCH392073 KSL391984:KSL392073 KIP391984:KIP392073 JYT391984:JYT392073 JOX391984:JOX392073 JFB391984:JFB392073 IVF391984:IVF392073 ILJ391984:ILJ392073 IBN391984:IBN392073 HRR391984:HRR392073 HHV391984:HHV392073 GXZ391984:GXZ392073 GOD391984:GOD392073 GEH391984:GEH392073 FUL391984:FUL392073 FKP391984:FKP392073 FAT391984:FAT392073 EQX391984:EQX392073 EHB391984:EHB392073 DXF391984:DXF392073 DNJ391984:DNJ392073 DDN391984:DDN392073 CTR391984:CTR392073 CJV391984:CJV392073 BZZ391984:BZZ392073 BQD391984:BQD392073 BGH391984:BGH392073 AWL391984:AWL392073 AMP391984:AMP392073 ACT391984:ACT392073 SX391984:SX392073 JB391984:JB392073 F391993:F392082 WVN326448:WVN326537 WLR326448:WLR326537 WBV326448:WBV326537 VRZ326448:VRZ326537 VID326448:VID326537 UYH326448:UYH326537 UOL326448:UOL326537 UEP326448:UEP326537 TUT326448:TUT326537 TKX326448:TKX326537 TBB326448:TBB326537 SRF326448:SRF326537 SHJ326448:SHJ326537 RXN326448:RXN326537 RNR326448:RNR326537 RDV326448:RDV326537 QTZ326448:QTZ326537 QKD326448:QKD326537 QAH326448:QAH326537 PQL326448:PQL326537 PGP326448:PGP326537 OWT326448:OWT326537 OMX326448:OMX326537 ODB326448:ODB326537 NTF326448:NTF326537 NJJ326448:NJJ326537 MZN326448:MZN326537 MPR326448:MPR326537 MFV326448:MFV326537 LVZ326448:LVZ326537 LMD326448:LMD326537 LCH326448:LCH326537 KSL326448:KSL326537 KIP326448:KIP326537 JYT326448:JYT326537 JOX326448:JOX326537 JFB326448:JFB326537 IVF326448:IVF326537 ILJ326448:ILJ326537 IBN326448:IBN326537 HRR326448:HRR326537 HHV326448:HHV326537 GXZ326448:GXZ326537 GOD326448:GOD326537 GEH326448:GEH326537 FUL326448:FUL326537 FKP326448:FKP326537 FAT326448:FAT326537 EQX326448:EQX326537 EHB326448:EHB326537 DXF326448:DXF326537 DNJ326448:DNJ326537 DDN326448:DDN326537 CTR326448:CTR326537 CJV326448:CJV326537 BZZ326448:BZZ326537 BQD326448:BQD326537 BGH326448:BGH326537 AWL326448:AWL326537 AMP326448:AMP326537 ACT326448:ACT326537 SX326448:SX326537 JB326448:JB326537 F326457:F326546 WVN260912:WVN261001 WLR260912:WLR261001 WBV260912:WBV261001 VRZ260912:VRZ261001 VID260912:VID261001 UYH260912:UYH261001 UOL260912:UOL261001 UEP260912:UEP261001 TUT260912:TUT261001 TKX260912:TKX261001 TBB260912:TBB261001 SRF260912:SRF261001 SHJ260912:SHJ261001 RXN260912:RXN261001 RNR260912:RNR261001 RDV260912:RDV261001 QTZ260912:QTZ261001 QKD260912:QKD261001 QAH260912:QAH261001 PQL260912:PQL261001 PGP260912:PGP261001 OWT260912:OWT261001 OMX260912:OMX261001 ODB260912:ODB261001 NTF260912:NTF261001 NJJ260912:NJJ261001 MZN260912:MZN261001 MPR260912:MPR261001 MFV260912:MFV261001 LVZ260912:LVZ261001 LMD260912:LMD261001 LCH260912:LCH261001 KSL260912:KSL261001 KIP260912:KIP261001 JYT260912:JYT261001 JOX260912:JOX261001 JFB260912:JFB261001 IVF260912:IVF261001 ILJ260912:ILJ261001 IBN260912:IBN261001 HRR260912:HRR261001 HHV260912:HHV261001 GXZ260912:GXZ261001 GOD260912:GOD261001 GEH260912:GEH261001 FUL260912:FUL261001 FKP260912:FKP261001 FAT260912:FAT261001 EQX260912:EQX261001 EHB260912:EHB261001 DXF260912:DXF261001 DNJ260912:DNJ261001 DDN260912:DDN261001 CTR260912:CTR261001 CJV260912:CJV261001 BZZ260912:BZZ261001 BQD260912:BQD261001 BGH260912:BGH261001 AWL260912:AWL261001 AMP260912:AMP261001 ACT260912:ACT261001 SX260912:SX261001 JB260912:JB261001 F260921:F261010 WVN195376:WVN195465 WLR195376:WLR195465 WBV195376:WBV195465 VRZ195376:VRZ195465 VID195376:VID195465 UYH195376:UYH195465 UOL195376:UOL195465 UEP195376:UEP195465 TUT195376:TUT195465 TKX195376:TKX195465 TBB195376:TBB195465 SRF195376:SRF195465 SHJ195376:SHJ195465 RXN195376:RXN195465 RNR195376:RNR195465 RDV195376:RDV195465 QTZ195376:QTZ195465 QKD195376:QKD195465 QAH195376:QAH195465 PQL195376:PQL195465 PGP195376:PGP195465 OWT195376:OWT195465 OMX195376:OMX195465 ODB195376:ODB195465 NTF195376:NTF195465 NJJ195376:NJJ195465 MZN195376:MZN195465 MPR195376:MPR195465 MFV195376:MFV195465 LVZ195376:LVZ195465 LMD195376:LMD195465 LCH195376:LCH195465 KSL195376:KSL195465 KIP195376:KIP195465 JYT195376:JYT195465 JOX195376:JOX195465 JFB195376:JFB195465 IVF195376:IVF195465 ILJ195376:ILJ195465 IBN195376:IBN195465 HRR195376:HRR195465 HHV195376:HHV195465 GXZ195376:GXZ195465 GOD195376:GOD195465 GEH195376:GEH195465 FUL195376:FUL195465 FKP195376:FKP195465 FAT195376:FAT195465 EQX195376:EQX195465 EHB195376:EHB195465 DXF195376:DXF195465 DNJ195376:DNJ195465 DDN195376:DDN195465 CTR195376:CTR195465 CJV195376:CJV195465 BZZ195376:BZZ195465 BQD195376:BQD195465 BGH195376:BGH195465 AWL195376:AWL195465 AMP195376:AMP195465 ACT195376:ACT195465 SX195376:SX195465 JB195376:JB195465 F195385:F195474 WVN129840:WVN129929 WLR129840:WLR129929 WBV129840:WBV129929 VRZ129840:VRZ129929 VID129840:VID129929 UYH129840:UYH129929 UOL129840:UOL129929 UEP129840:UEP129929 TUT129840:TUT129929 TKX129840:TKX129929 TBB129840:TBB129929 SRF129840:SRF129929 SHJ129840:SHJ129929 RXN129840:RXN129929 RNR129840:RNR129929 RDV129840:RDV129929 QTZ129840:QTZ129929 QKD129840:QKD129929 QAH129840:QAH129929 PQL129840:PQL129929 PGP129840:PGP129929 OWT129840:OWT129929 OMX129840:OMX129929 ODB129840:ODB129929 NTF129840:NTF129929 NJJ129840:NJJ129929 MZN129840:MZN129929 MPR129840:MPR129929 MFV129840:MFV129929 LVZ129840:LVZ129929 LMD129840:LMD129929 LCH129840:LCH129929 KSL129840:KSL129929 KIP129840:KIP129929 JYT129840:JYT129929 JOX129840:JOX129929 JFB129840:JFB129929 IVF129840:IVF129929 ILJ129840:ILJ129929 IBN129840:IBN129929 HRR129840:HRR129929 HHV129840:HHV129929 GXZ129840:GXZ129929 GOD129840:GOD129929 GEH129840:GEH129929 FUL129840:FUL129929 FKP129840:FKP129929 FAT129840:FAT129929 EQX129840:EQX129929 EHB129840:EHB129929 DXF129840:DXF129929 DNJ129840:DNJ129929 DDN129840:DDN129929 CTR129840:CTR129929 CJV129840:CJV129929 BZZ129840:BZZ129929 BQD129840:BQD129929 BGH129840:BGH129929 AWL129840:AWL129929 AMP129840:AMP129929 ACT129840:ACT129929 SX129840:SX129929 JB129840:JB129929 F129849:F129938 WVN64304:WVN64393 WLR64304:WLR64393 WBV64304:WBV64393 VRZ64304:VRZ64393 VID64304:VID64393 UYH64304:UYH64393 UOL64304:UOL64393 UEP64304:UEP64393 TUT64304:TUT64393 TKX64304:TKX64393 TBB64304:TBB64393 SRF64304:SRF64393 SHJ64304:SHJ64393 RXN64304:RXN64393 RNR64304:RNR64393 RDV64304:RDV64393 QTZ64304:QTZ64393 QKD64304:QKD64393 QAH64304:QAH64393 PQL64304:PQL64393 PGP64304:PGP64393 OWT64304:OWT64393 OMX64304:OMX64393 ODB64304:ODB64393 NTF64304:NTF64393 NJJ64304:NJJ64393 MZN64304:MZN64393 MPR64304:MPR64393 MFV64304:MFV64393 LVZ64304:LVZ64393 LMD64304:LMD64393 LCH64304:LCH64393 KSL64304:KSL64393 KIP64304:KIP64393 JYT64304:JYT64393 JOX64304:JOX64393 JFB64304:JFB64393 IVF64304:IVF64393 ILJ64304:ILJ64393 IBN64304:IBN64393 HRR64304:HRR64393 HHV64304:HHV64393 GXZ64304:GXZ64393 GOD64304:GOD64393 GEH64304:GEH64393 FUL64304:FUL64393 FKP64304:FKP64393 FAT64304:FAT64393 EQX64304:EQX64393 EHB64304:EHB64393 DXF64304:DXF64393 DNJ64304:DNJ64393 DDN64304:DDN64393 CTR64304:CTR64393 CJV64304:CJV64393 BZZ64304:BZZ64393 BQD64304:BQD64393 BGH64304:BGH64393 AWL64304:AWL64393 AMP64304:AMP64393 ACT64304:ACT64393 SX64304:SX64393 JB64304:JB64393 F64313:F64402 JB2:JB76 SX2:SX76 ACT2:ACT76 AMP2:AMP76 AWL2:AWL76 BGH2:BGH76 BQD2:BQD76 BZZ2:BZZ76 CJV2:CJV76 CTR2:CTR76 DDN2:DDN76 DNJ2:DNJ76 DXF2:DXF76 EHB2:EHB76 EQX2:EQX76 FAT2:FAT76 FKP2:FKP76 FUL2:FUL76 GEH2:GEH76 GOD2:GOD76 GXZ2:GXZ76 HHV2:HHV76 HRR2:HRR76 IBN2:IBN76 ILJ2:ILJ76 IVF2:IVF76 JFB2:JFB76 JOX2:JOX76 JYT2:JYT76 KIP2:KIP76 KSL2:KSL76 LCH2:LCH76 LMD2:LMD76 LVZ2:LVZ76 MFV2:MFV76 MPR2:MPR76 MZN2:MZN76 NJJ2:NJJ76 NTF2:NTF76 ODB2:ODB76 OMX2:OMX76 OWT2:OWT76 PGP2:PGP76 PQL2:PQL76 QAH2:QAH76 QKD2:QKD76 QTZ2:QTZ76 RDV2:RDV76 RNR2:RNR76 RXN2:RXN76 SHJ2:SHJ76 SRF2:SRF76 TBB2:TBB76 TKX2:TKX76 TUT2:TUT76 UEP2:UEP76 UOL2:UOL76 UYH2:UYH76 VID2:VID76 VRZ2:VRZ76 WBV2:WBV76 WLR2:WLR76 WVN2:WVN76" xr:uid="{0EFEDDC6-9481-4675-AC04-1B2113475362}">
      <formula1>$AH$2:$AH$13</formula1>
    </dataValidation>
    <dataValidation type="list" allowBlank="1" showInputMessage="1" showErrorMessage="1" sqref="WVM981808:WVM981897 WLQ981808:WLQ981897 WBU981808:WBU981897 VRY981808:VRY981897 VIC981808:VIC981897 UYG981808:UYG981897 UOK981808:UOK981897 UEO981808:UEO981897 TUS981808:TUS981897 TKW981808:TKW981897 TBA981808:TBA981897 SRE981808:SRE981897 SHI981808:SHI981897 RXM981808:RXM981897 RNQ981808:RNQ981897 RDU981808:RDU981897 QTY981808:QTY981897 QKC981808:QKC981897 QAG981808:QAG981897 PQK981808:PQK981897 PGO981808:PGO981897 OWS981808:OWS981897 OMW981808:OMW981897 ODA981808:ODA981897 NTE981808:NTE981897 NJI981808:NJI981897 MZM981808:MZM981897 MPQ981808:MPQ981897 MFU981808:MFU981897 LVY981808:LVY981897 LMC981808:LMC981897 LCG981808:LCG981897 KSK981808:KSK981897 KIO981808:KIO981897 JYS981808:JYS981897 JOW981808:JOW981897 JFA981808:JFA981897 IVE981808:IVE981897 ILI981808:ILI981897 IBM981808:IBM981897 HRQ981808:HRQ981897 HHU981808:HHU981897 GXY981808:GXY981897 GOC981808:GOC981897 GEG981808:GEG981897 FUK981808:FUK981897 FKO981808:FKO981897 FAS981808:FAS981897 EQW981808:EQW981897 EHA981808:EHA981897 DXE981808:DXE981897 DNI981808:DNI981897 DDM981808:DDM981897 CTQ981808:CTQ981897 CJU981808:CJU981897 BZY981808:BZY981897 BQC981808:BQC981897 BGG981808:BGG981897 AWK981808:AWK981897 AMO981808:AMO981897 ACS981808:ACS981897 SW981808:SW981897 JA981808:JA981897 E981817:E981906 WVM916272:WVM916361 WLQ916272:WLQ916361 WBU916272:WBU916361 VRY916272:VRY916361 VIC916272:VIC916361 UYG916272:UYG916361 UOK916272:UOK916361 UEO916272:UEO916361 TUS916272:TUS916361 TKW916272:TKW916361 TBA916272:TBA916361 SRE916272:SRE916361 SHI916272:SHI916361 RXM916272:RXM916361 RNQ916272:RNQ916361 RDU916272:RDU916361 QTY916272:QTY916361 QKC916272:QKC916361 QAG916272:QAG916361 PQK916272:PQK916361 PGO916272:PGO916361 OWS916272:OWS916361 OMW916272:OMW916361 ODA916272:ODA916361 NTE916272:NTE916361 NJI916272:NJI916361 MZM916272:MZM916361 MPQ916272:MPQ916361 MFU916272:MFU916361 LVY916272:LVY916361 LMC916272:LMC916361 LCG916272:LCG916361 KSK916272:KSK916361 KIO916272:KIO916361 JYS916272:JYS916361 JOW916272:JOW916361 JFA916272:JFA916361 IVE916272:IVE916361 ILI916272:ILI916361 IBM916272:IBM916361 HRQ916272:HRQ916361 HHU916272:HHU916361 GXY916272:GXY916361 GOC916272:GOC916361 GEG916272:GEG916361 FUK916272:FUK916361 FKO916272:FKO916361 FAS916272:FAS916361 EQW916272:EQW916361 EHA916272:EHA916361 DXE916272:DXE916361 DNI916272:DNI916361 DDM916272:DDM916361 CTQ916272:CTQ916361 CJU916272:CJU916361 BZY916272:BZY916361 BQC916272:BQC916361 BGG916272:BGG916361 AWK916272:AWK916361 AMO916272:AMO916361 ACS916272:ACS916361 SW916272:SW916361 JA916272:JA916361 E916281:E916370 WVM850736:WVM850825 WLQ850736:WLQ850825 WBU850736:WBU850825 VRY850736:VRY850825 VIC850736:VIC850825 UYG850736:UYG850825 UOK850736:UOK850825 UEO850736:UEO850825 TUS850736:TUS850825 TKW850736:TKW850825 TBA850736:TBA850825 SRE850736:SRE850825 SHI850736:SHI850825 RXM850736:RXM850825 RNQ850736:RNQ850825 RDU850736:RDU850825 QTY850736:QTY850825 QKC850736:QKC850825 QAG850736:QAG850825 PQK850736:PQK850825 PGO850736:PGO850825 OWS850736:OWS850825 OMW850736:OMW850825 ODA850736:ODA850825 NTE850736:NTE850825 NJI850736:NJI850825 MZM850736:MZM850825 MPQ850736:MPQ850825 MFU850736:MFU850825 LVY850736:LVY850825 LMC850736:LMC850825 LCG850736:LCG850825 KSK850736:KSK850825 KIO850736:KIO850825 JYS850736:JYS850825 JOW850736:JOW850825 JFA850736:JFA850825 IVE850736:IVE850825 ILI850736:ILI850825 IBM850736:IBM850825 HRQ850736:HRQ850825 HHU850736:HHU850825 GXY850736:GXY850825 GOC850736:GOC850825 GEG850736:GEG850825 FUK850736:FUK850825 FKO850736:FKO850825 FAS850736:FAS850825 EQW850736:EQW850825 EHA850736:EHA850825 DXE850736:DXE850825 DNI850736:DNI850825 DDM850736:DDM850825 CTQ850736:CTQ850825 CJU850736:CJU850825 BZY850736:BZY850825 BQC850736:BQC850825 BGG850736:BGG850825 AWK850736:AWK850825 AMO850736:AMO850825 ACS850736:ACS850825 SW850736:SW850825 JA850736:JA850825 E850745:E850834 WVM785200:WVM785289 WLQ785200:WLQ785289 WBU785200:WBU785289 VRY785200:VRY785289 VIC785200:VIC785289 UYG785200:UYG785289 UOK785200:UOK785289 UEO785200:UEO785289 TUS785200:TUS785289 TKW785200:TKW785289 TBA785200:TBA785289 SRE785200:SRE785289 SHI785200:SHI785289 RXM785200:RXM785289 RNQ785200:RNQ785289 RDU785200:RDU785289 QTY785200:QTY785289 QKC785200:QKC785289 QAG785200:QAG785289 PQK785200:PQK785289 PGO785200:PGO785289 OWS785200:OWS785289 OMW785200:OMW785289 ODA785200:ODA785289 NTE785200:NTE785289 NJI785200:NJI785289 MZM785200:MZM785289 MPQ785200:MPQ785289 MFU785200:MFU785289 LVY785200:LVY785289 LMC785200:LMC785289 LCG785200:LCG785289 KSK785200:KSK785289 KIO785200:KIO785289 JYS785200:JYS785289 JOW785200:JOW785289 JFA785200:JFA785289 IVE785200:IVE785289 ILI785200:ILI785289 IBM785200:IBM785289 HRQ785200:HRQ785289 HHU785200:HHU785289 GXY785200:GXY785289 GOC785200:GOC785289 GEG785200:GEG785289 FUK785200:FUK785289 FKO785200:FKO785289 FAS785200:FAS785289 EQW785200:EQW785289 EHA785200:EHA785289 DXE785200:DXE785289 DNI785200:DNI785289 DDM785200:DDM785289 CTQ785200:CTQ785289 CJU785200:CJU785289 BZY785200:BZY785289 BQC785200:BQC785289 BGG785200:BGG785289 AWK785200:AWK785289 AMO785200:AMO785289 ACS785200:ACS785289 SW785200:SW785289 JA785200:JA785289 E785209:E785298 WVM719664:WVM719753 WLQ719664:WLQ719753 WBU719664:WBU719753 VRY719664:VRY719753 VIC719664:VIC719753 UYG719664:UYG719753 UOK719664:UOK719753 UEO719664:UEO719753 TUS719664:TUS719753 TKW719664:TKW719753 TBA719664:TBA719753 SRE719664:SRE719753 SHI719664:SHI719753 RXM719664:RXM719753 RNQ719664:RNQ719753 RDU719664:RDU719753 QTY719664:QTY719753 QKC719664:QKC719753 QAG719664:QAG719753 PQK719664:PQK719753 PGO719664:PGO719753 OWS719664:OWS719753 OMW719664:OMW719753 ODA719664:ODA719753 NTE719664:NTE719753 NJI719664:NJI719753 MZM719664:MZM719753 MPQ719664:MPQ719753 MFU719664:MFU719753 LVY719664:LVY719753 LMC719664:LMC719753 LCG719664:LCG719753 KSK719664:KSK719753 KIO719664:KIO719753 JYS719664:JYS719753 JOW719664:JOW719753 JFA719664:JFA719753 IVE719664:IVE719753 ILI719664:ILI719753 IBM719664:IBM719753 HRQ719664:HRQ719753 HHU719664:HHU719753 GXY719664:GXY719753 GOC719664:GOC719753 GEG719664:GEG719753 FUK719664:FUK719753 FKO719664:FKO719753 FAS719664:FAS719753 EQW719664:EQW719753 EHA719664:EHA719753 DXE719664:DXE719753 DNI719664:DNI719753 DDM719664:DDM719753 CTQ719664:CTQ719753 CJU719664:CJU719753 BZY719664:BZY719753 BQC719664:BQC719753 BGG719664:BGG719753 AWK719664:AWK719753 AMO719664:AMO719753 ACS719664:ACS719753 SW719664:SW719753 JA719664:JA719753 E719673:E719762 WVM654128:WVM654217 WLQ654128:WLQ654217 WBU654128:WBU654217 VRY654128:VRY654217 VIC654128:VIC654217 UYG654128:UYG654217 UOK654128:UOK654217 UEO654128:UEO654217 TUS654128:TUS654217 TKW654128:TKW654217 TBA654128:TBA654217 SRE654128:SRE654217 SHI654128:SHI654217 RXM654128:RXM654217 RNQ654128:RNQ654217 RDU654128:RDU654217 QTY654128:QTY654217 QKC654128:QKC654217 QAG654128:QAG654217 PQK654128:PQK654217 PGO654128:PGO654217 OWS654128:OWS654217 OMW654128:OMW654217 ODA654128:ODA654217 NTE654128:NTE654217 NJI654128:NJI654217 MZM654128:MZM654217 MPQ654128:MPQ654217 MFU654128:MFU654217 LVY654128:LVY654217 LMC654128:LMC654217 LCG654128:LCG654217 KSK654128:KSK654217 KIO654128:KIO654217 JYS654128:JYS654217 JOW654128:JOW654217 JFA654128:JFA654217 IVE654128:IVE654217 ILI654128:ILI654217 IBM654128:IBM654217 HRQ654128:HRQ654217 HHU654128:HHU654217 GXY654128:GXY654217 GOC654128:GOC654217 GEG654128:GEG654217 FUK654128:FUK654217 FKO654128:FKO654217 FAS654128:FAS654217 EQW654128:EQW654217 EHA654128:EHA654217 DXE654128:DXE654217 DNI654128:DNI654217 DDM654128:DDM654217 CTQ654128:CTQ654217 CJU654128:CJU654217 BZY654128:BZY654217 BQC654128:BQC654217 BGG654128:BGG654217 AWK654128:AWK654217 AMO654128:AMO654217 ACS654128:ACS654217 SW654128:SW654217 JA654128:JA654217 E654137:E654226 WVM588592:WVM588681 WLQ588592:WLQ588681 WBU588592:WBU588681 VRY588592:VRY588681 VIC588592:VIC588681 UYG588592:UYG588681 UOK588592:UOK588681 UEO588592:UEO588681 TUS588592:TUS588681 TKW588592:TKW588681 TBA588592:TBA588681 SRE588592:SRE588681 SHI588592:SHI588681 RXM588592:RXM588681 RNQ588592:RNQ588681 RDU588592:RDU588681 QTY588592:QTY588681 QKC588592:QKC588681 QAG588592:QAG588681 PQK588592:PQK588681 PGO588592:PGO588681 OWS588592:OWS588681 OMW588592:OMW588681 ODA588592:ODA588681 NTE588592:NTE588681 NJI588592:NJI588681 MZM588592:MZM588681 MPQ588592:MPQ588681 MFU588592:MFU588681 LVY588592:LVY588681 LMC588592:LMC588681 LCG588592:LCG588681 KSK588592:KSK588681 KIO588592:KIO588681 JYS588592:JYS588681 JOW588592:JOW588681 JFA588592:JFA588681 IVE588592:IVE588681 ILI588592:ILI588681 IBM588592:IBM588681 HRQ588592:HRQ588681 HHU588592:HHU588681 GXY588592:GXY588681 GOC588592:GOC588681 GEG588592:GEG588681 FUK588592:FUK588681 FKO588592:FKO588681 FAS588592:FAS588681 EQW588592:EQW588681 EHA588592:EHA588681 DXE588592:DXE588681 DNI588592:DNI588681 DDM588592:DDM588681 CTQ588592:CTQ588681 CJU588592:CJU588681 BZY588592:BZY588681 BQC588592:BQC588681 BGG588592:BGG588681 AWK588592:AWK588681 AMO588592:AMO588681 ACS588592:ACS588681 SW588592:SW588681 JA588592:JA588681 E588601:E588690 WVM523056:WVM523145 WLQ523056:WLQ523145 WBU523056:WBU523145 VRY523056:VRY523145 VIC523056:VIC523145 UYG523056:UYG523145 UOK523056:UOK523145 UEO523056:UEO523145 TUS523056:TUS523145 TKW523056:TKW523145 TBA523056:TBA523145 SRE523056:SRE523145 SHI523056:SHI523145 RXM523056:RXM523145 RNQ523056:RNQ523145 RDU523056:RDU523145 QTY523056:QTY523145 QKC523056:QKC523145 QAG523056:QAG523145 PQK523056:PQK523145 PGO523056:PGO523145 OWS523056:OWS523145 OMW523056:OMW523145 ODA523056:ODA523145 NTE523056:NTE523145 NJI523056:NJI523145 MZM523056:MZM523145 MPQ523056:MPQ523145 MFU523056:MFU523145 LVY523056:LVY523145 LMC523056:LMC523145 LCG523056:LCG523145 KSK523056:KSK523145 KIO523056:KIO523145 JYS523056:JYS523145 JOW523056:JOW523145 JFA523056:JFA523145 IVE523056:IVE523145 ILI523056:ILI523145 IBM523056:IBM523145 HRQ523056:HRQ523145 HHU523056:HHU523145 GXY523056:GXY523145 GOC523056:GOC523145 GEG523056:GEG523145 FUK523056:FUK523145 FKO523056:FKO523145 FAS523056:FAS523145 EQW523056:EQW523145 EHA523056:EHA523145 DXE523056:DXE523145 DNI523056:DNI523145 DDM523056:DDM523145 CTQ523056:CTQ523145 CJU523056:CJU523145 BZY523056:BZY523145 BQC523056:BQC523145 BGG523056:BGG523145 AWK523056:AWK523145 AMO523056:AMO523145 ACS523056:ACS523145 SW523056:SW523145 JA523056:JA523145 E523065:E523154 WVM457520:WVM457609 WLQ457520:WLQ457609 WBU457520:WBU457609 VRY457520:VRY457609 VIC457520:VIC457609 UYG457520:UYG457609 UOK457520:UOK457609 UEO457520:UEO457609 TUS457520:TUS457609 TKW457520:TKW457609 TBA457520:TBA457609 SRE457520:SRE457609 SHI457520:SHI457609 RXM457520:RXM457609 RNQ457520:RNQ457609 RDU457520:RDU457609 QTY457520:QTY457609 QKC457520:QKC457609 QAG457520:QAG457609 PQK457520:PQK457609 PGO457520:PGO457609 OWS457520:OWS457609 OMW457520:OMW457609 ODA457520:ODA457609 NTE457520:NTE457609 NJI457520:NJI457609 MZM457520:MZM457609 MPQ457520:MPQ457609 MFU457520:MFU457609 LVY457520:LVY457609 LMC457520:LMC457609 LCG457520:LCG457609 KSK457520:KSK457609 KIO457520:KIO457609 JYS457520:JYS457609 JOW457520:JOW457609 JFA457520:JFA457609 IVE457520:IVE457609 ILI457520:ILI457609 IBM457520:IBM457609 HRQ457520:HRQ457609 HHU457520:HHU457609 GXY457520:GXY457609 GOC457520:GOC457609 GEG457520:GEG457609 FUK457520:FUK457609 FKO457520:FKO457609 FAS457520:FAS457609 EQW457520:EQW457609 EHA457520:EHA457609 DXE457520:DXE457609 DNI457520:DNI457609 DDM457520:DDM457609 CTQ457520:CTQ457609 CJU457520:CJU457609 BZY457520:BZY457609 BQC457520:BQC457609 BGG457520:BGG457609 AWK457520:AWK457609 AMO457520:AMO457609 ACS457520:ACS457609 SW457520:SW457609 JA457520:JA457609 E457529:E457618 WVM391984:WVM392073 WLQ391984:WLQ392073 WBU391984:WBU392073 VRY391984:VRY392073 VIC391984:VIC392073 UYG391984:UYG392073 UOK391984:UOK392073 UEO391984:UEO392073 TUS391984:TUS392073 TKW391984:TKW392073 TBA391984:TBA392073 SRE391984:SRE392073 SHI391984:SHI392073 RXM391984:RXM392073 RNQ391984:RNQ392073 RDU391984:RDU392073 QTY391984:QTY392073 QKC391984:QKC392073 QAG391984:QAG392073 PQK391984:PQK392073 PGO391984:PGO392073 OWS391984:OWS392073 OMW391984:OMW392073 ODA391984:ODA392073 NTE391984:NTE392073 NJI391984:NJI392073 MZM391984:MZM392073 MPQ391984:MPQ392073 MFU391984:MFU392073 LVY391984:LVY392073 LMC391984:LMC392073 LCG391984:LCG392073 KSK391984:KSK392073 KIO391984:KIO392073 JYS391984:JYS392073 JOW391984:JOW392073 JFA391984:JFA392073 IVE391984:IVE392073 ILI391984:ILI392073 IBM391984:IBM392073 HRQ391984:HRQ392073 HHU391984:HHU392073 GXY391984:GXY392073 GOC391984:GOC392073 GEG391984:GEG392073 FUK391984:FUK392073 FKO391984:FKO392073 FAS391984:FAS392073 EQW391984:EQW392073 EHA391984:EHA392073 DXE391984:DXE392073 DNI391984:DNI392073 DDM391984:DDM392073 CTQ391984:CTQ392073 CJU391984:CJU392073 BZY391984:BZY392073 BQC391984:BQC392073 BGG391984:BGG392073 AWK391984:AWK392073 AMO391984:AMO392073 ACS391984:ACS392073 SW391984:SW392073 JA391984:JA392073 E391993:E392082 WVM326448:WVM326537 WLQ326448:WLQ326537 WBU326448:WBU326537 VRY326448:VRY326537 VIC326448:VIC326537 UYG326448:UYG326537 UOK326448:UOK326537 UEO326448:UEO326537 TUS326448:TUS326537 TKW326448:TKW326537 TBA326448:TBA326537 SRE326448:SRE326537 SHI326448:SHI326537 RXM326448:RXM326537 RNQ326448:RNQ326537 RDU326448:RDU326537 QTY326448:QTY326537 QKC326448:QKC326537 QAG326448:QAG326537 PQK326448:PQK326537 PGO326448:PGO326537 OWS326448:OWS326537 OMW326448:OMW326537 ODA326448:ODA326537 NTE326448:NTE326537 NJI326448:NJI326537 MZM326448:MZM326537 MPQ326448:MPQ326537 MFU326448:MFU326537 LVY326448:LVY326537 LMC326448:LMC326537 LCG326448:LCG326537 KSK326448:KSK326537 KIO326448:KIO326537 JYS326448:JYS326537 JOW326448:JOW326537 JFA326448:JFA326537 IVE326448:IVE326537 ILI326448:ILI326537 IBM326448:IBM326537 HRQ326448:HRQ326537 HHU326448:HHU326537 GXY326448:GXY326537 GOC326448:GOC326537 GEG326448:GEG326537 FUK326448:FUK326537 FKO326448:FKO326537 FAS326448:FAS326537 EQW326448:EQW326537 EHA326448:EHA326537 DXE326448:DXE326537 DNI326448:DNI326537 DDM326448:DDM326537 CTQ326448:CTQ326537 CJU326448:CJU326537 BZY326448:BZY326537 BQC326448:BQC326537 BGG326448:BGG326537 AWK326448:AWK326537 AMO326448:AMO326537 ACS326448:ACS326537 SW326448:SW326537 JA326448:JA326537 E326457:E326546 WVM260912:WVM261001 WLQ260912:WLQ261001 WBU260912:WBU261001 VRY260912:VRY261001 VIC260912:VIC261001 UYG260912:UYG261001 UOK260912:UOK261001 UEO260912:UEO261001 TUS260912:TUS261001 TKW260912:TKW261001 TBA260912:TBA261001 SRE260912:SRE261001 SHI260912:SHI261001 RXM260912:RXM261001 RNQ260912:RNQ261001 RDU260912:RDU261001 QTY260912:QTY261001 QKC260912:QKC261001 QAG260912:QAG261001 PQK260912:PQK261001 PGO260912:PGO261001 OWS260912:OWS261001 OMW260912:OMW261001 ODA260912:ODA261001 NTE260912:NTE261001 NJI260912:NJI261001 MZM260912:MZM261001 MPQ260912:MPQ261001 MFU260912:MFU261001 LVY260912:LVY261001 LMC260912:LMC261001 LCG260912:LCG261001 KSK260912:KSK261001 KIO260912:KIO261001 JYS260912:JYS261001 JOW260912:JOW261001 JFA260912:JFA261001 IVE260912:IVE261001 ILI260912:ILI261001 IBM260912:IBM261001 HRQ260912:HRQ261001 HHU260912:HHU261001 GXY260912:GXY261001 GOC260912:GOC261001 GEG260912:GEG261001 FUK260912:FUK261001 FKO260912:FKO261001 FAS260912:FAS261001 EQW260912:EQW261001 EHA260912:EHA261001 DXE260912:DXE261001 DNI260912:DNI261001 DDM260912:DDM261001 CTQ260912:CTQ261001 CJU260912:CJU261001 BZY260912:BZY261001 BQC260912:BQC261001 BGG260912:BGG261001 AWK260912:AWK261001 AMO260912:AMO261001 ACS260912:ACS261001 SW260912:SW261001 JA260912:JA261001 E260921:E261010 WVM195376:WVM195465 WLQ195376:WLQ195465 WBU195376:WBU195465 VRY195376:VRY195465 VIC195376:VIC195465 UYG195376:UYG195465 UOK195376:UOK195465 UEO195376:UEO195465 TUS195376:TUS195465 TKW195376:TKW195465 TBA195376:TBA195465 SRE195376:SRE195465 SHI195376:SHI195465 RXM195376:RXM195465 RNQ195376:RNQ195465 RDU195376:RDU195465 QTY195376:QTY195465 QKC195376:QKC195465 QAG195376:QAG195465 PQK195376:PQK195465 PGO195376:PGO195465 OWS195376:OWS195465 OMW195376:OMW195465 ODA195376:ODA195465 NTE195376:NTE195465 NJI195376:NJI195465 MZM195376:MZM195465 MPQ195376:MPQ195465 MFU195376:MFU195465 LVY195376:LVY195465 LMC195376:LMC195465 LCG195376:LCG195465 KSK195376:KSK195465 KIO195376:KIO195465 JYS195376:JYS195465 JOW195376:JOW195465 JFA195376:JFA195465 IVE195376:IVE195465 ILI195376:ILI195465 IBM195376:IBM195465 HRQ195376:HRQ195465 HHU195376:HHU195465 GXY195376:GXY195465 GOC195376:GOC195465 GEG195376:GEG195465 FUK195376:FUK195465 FKO195376:FKO195465 FAS195376:FAS195465 EQW195376:EQW195465 EHA195376:EHA195465 DXE195376:DXE195465 DNI195376:DNI195465 DDM195376:DDM195465 CTQ195376:CTQ195465 CJU195376:CJU195465 BZY195376:BZY195465 BQC195376:BQC195465 BGG195376:BGG195465 AWK195376:AWK195465 AMO195376:AMO195465 ACS195376:ACS195465 SW195376:SW195465 JA195376:JA195465 E195385:E195474 WVM129840:WVM129929 WLQ129840:WLQ129929 WBU129840:WBU129929 VRY129840:VRY129929 VIC129840:VIC129929 UYG129840:UYG129929 UOK129840:UOK129929 UEO129840:UEO129929 TUS129840:TUS129929 TKW129840:TKW129929 TBA129840:TBA129929 SRE129840:SRE129929 SHI129840:SHI129929 RXM129840:RXM129929 RNQ129840:RNQ129929 RDU129840:RDU129929 QTY129840:QTY129929 QKC129840:QKC129929 QAG129840:QAG129929 PQK129840:PQK129929 PGO129840:PGO129929 OWS129840:OWS129929 OMW129840:OMW129929 ODA129840:ODA129929 NTE129840:NTE129929 NJI129840:NJI129929 MZM129840:MZM129929 MPQ129840:MPQ129929 MFU129840:MFU129929 LVY129840:LVY129929 LMC129840:LMC129929 LCG129840:LCG129929 KSK129840:KSK129929 KIO129840:KIO129929 JYS129840:JYS129929 JOW129840:JOW129929 JFA129840:JFA129929 IVE129840:IVE129929 ILI129840:ILI129929 IBM129840:IBM129929 HRQ129840:HRQ129929 HHU129840:HHU129929 GXY129840:GXY129929 GOC129840:GOC129929 GEG129840:GEG129929 FUK129840:FUK129929 FKO129840:FKO129929 FAS129840:FAS129929 EQW129840:EQW129929 EHA129840:EHA129929 DXE129840:DXE129929 DNI129840:DNI129929 DDM129840:DDM129929 CTQ129840:CTQ129929 CJU129840:CJU129929 BZY129840:BZY129929 BQC129840:BQC129929 BGG129840:BGG129929 AWK129840:AWK129929 AMO129840:AMO129929 ACS129840:ACS129929 SW129840:SW129929 JA129840:JA129929 E129849:E129938 WVM64304:WVM64393 WLQ64304:WLQ64393 WBU64304:WBU64393 VRY64304:VRY64393 VIC64304:VIC64393 UYG64304:UYG64393 UOK64304:UOK64393 UEO64304:UEO64393 TUS64304:TUS64393 TKW64304:TKW64393 TBA64304:TBA64393 SRE64304:SRE64393 SHI64304:SHI64393 RXM64304:RXM64393 RNQ64304:RNQ64393 RDU64304:RDU64393 QTY64304:QTY64393 QKC64304:QKC64393 QAG64304:QAG64393 PQK64304:PQK64393 PGO64304:PGO64393 OWS64304:OWS64393 OMW64304:OMW64393 ODA64304:ODA64393 NTE64304:NTE64393 NJI64304:NJI64393 MZM64304:MZM64393 MPQ64304:MPQ64393 MFU64304:MFU64393 LVY64304:LVY64393 LMC64304:LMC64393 LCG64304:LCG64393 KSK64304:KSK64393 KIO64304:KIO64393 JYS64304:JYS64393 JOW64304:JOW64393 JFA64304:JFA64393 IVE64304:IVE64393 ILI64304:ILI64393 IBM64304:IBM64393 HRQ64304:HRQ64393 HHU64304:HHU64393 GXY64304:GXY64393 GOC64304:GOC64393 GEG64304:GEG64393 FUK64304:FUK64393 FKO64304:FKO64393 FAS64304:FAS64393 EQW64304:EQW64393 EHA64304:EHA64393 DXE64304:DXE64393 DNI64304:DNI64393 DDM64304:DDM64393 CTQ64304:CTQ64393 CJU64304:CJU64393 BZY64304:BZY64393 BQC64304:BQC64393 BGG64304:BGG64393 AWK64304:AWK64393 AMO64304:AMO64393 ACS64304:ACS64393 SW64304:SW64393 JA64304:JA64393 E64313:E64402 JA2:JA76 SW2:SW76 ACS2:ACS76 AMO2:AMO76 AWK2:AWK76 BGG2:BGG76 BQC2:BQC76 BZY2:BZY76 CJU2:CJU76 CTQ2:CTQ76 DDM2:DDM76 DNI2:DNI76 DXE2:DXE76 EHA2:EHA76 EQW2:EQW76 FAS2:FAS76 FKO2:FKO76 FUK2:FUK76 GEG2:GEG76 GOC2:GOC76 GXY2:GXY76 HHU2:HHU76 HRQ2:HRQ76 IBM2:IBM76 ILI2:ILI76 IVE2:IVE76 JFA2:JFA76 JOW2:JOW76 JYS2:JYS76 KIO2:KIO76 KSK2:KSK76 LCG2:LCG76 LMC2:LMC76 LVY2:LVY76 MFU2:MFU76 MPQ2:MPQ76 MZM2:MZM76 NJI2:NJI76 NTE2:NTE76 ODA2:ODA76 OMW2:OMW76 OWS2:OWS76 PGO2:PGO76 PQK2:PQK76 QAG2:QAG76 QKC2:QKC76 QTY2:QTY76 RDU2:RDU76 RNQ2:RNQ76 RXM2:RXM76 SHI2:SHI76 SRE2:SRE76 TBA2:TBA76 TKW2:TKW76 TUS2:TUS76 UEO2:UEO76 UOK2:UOK76 UYG2:UYG76 VIC2:VIC76 VRY2:VRY76 WBU2:WBU76 WLQ2:WLQ76 WVM2:WVM76" xr:uid="{5EA373CC-3BE2-4598-991A-D3D813B43FD7}">
      <formula1>$AG$2:$AG$13</formula1>
    </dataValidation>
    <dataValidation type="list" allowBlank="1" showInputMessage="1" showErrorMessage="1" sqref="WWF981808:WWF981891 WMJ981808:WMJ981891 WCN981808:WCN981891 VSR981808:VSR981891 VIV981808:VIV981891 UYZ981808:UYZ981891 UPD981808:UPD981891 UFH981808:UFH981891 TVL981808:TVL981891 TLP981808:TLP981891 TBT981808:TBT981891 SRX981808:SRX981891 SIB981808:SIB981891 RYF981808:RYF981891 ROJ981808:ROJ981891 REN981808:REN981891 QUR981808:QUR981891 QKV981808:QKV981891 QAZ981808:QAZ981891 PRD981808:PRD981891 PHH981808:PHH981891 OXL981808:OXL981891 ONP981808:ONP981891 ODT981808:ODT981891 NTX981808:NTX981891 NKB981808:NKB981891 NAF981808:NAF981891 MQJ981808:MQJ981891 MGN981808:MGN981891 LWR981808:LWR981891 LMV981808:LMV981891 LCZ981808:LCZ981891 KTD981808:KTD981891 KJH981808:KJH981891 JZL981808:JZL981891 JPP981808:JPP981891 JFT981808:JFT981891 IVX981808:IVX981891 IMB981808:IMB981891 ICF981808:ICF981891 HSJ981808:HSJ981891 HIN981808:HIN981891 GYR981808:GYR981891 GOV981808:GOV981891 GEZ981808:GEZ981891 FVD981808:FVD981891 FLH981808:FLH981891 FBL981808:FBL981891 ERP981808:ERP981891 EHT981808:EHT981891 DXX981808:DXX981891 DOB981808:DOB981891 DEF981808:DEF981891 CUJ981808:CUJ981891 CKN981808:CKN981891 CAR981808:CAR981891 BQV981808:BQV981891 BGZ981808:BGZ981891 AXD981808:AXD981891 ANH981808:ANH981891 ADL981808:ADL981891 TP981808:TP981891 JT981808:JT981891 X981808:X981891 WWF916272:WWF916355 WMJ916272:WMJ916355 WCN916272:WCN916355 VSR916272:VSR916355 VIV916272:VIV916355 UYZ916272:UYZ916355 UPD916272:UPD916355 UFH916272:UFH916355 TVL916272:TVL916355 TLP916272:TLP916355 TBT916272:TBT916355 SRX916272:SRX916355 SIB916272:SIB916355 RYF916272:RYF916355 ROJ916272:ROJ916355 REN916272:REN916355 QUR916272:QUR916355 QKV916272:QKV916355 QAZ916272:QAZ916355 PRD916272:PRD916355 PHH916272:PHH916355 OXL916272:OXL916355 ONP916272:ONP916355 ODT916272:ODT916355 NTX916272:NTX916355 NKB916272:NKB916355 NAF916272:NAF916355 MQJ916272:MQJ916355 MGN916272:MGN916355 LWR916272:LWR916355 LMV916272:LMV916355 LCZ916272:LCZ916355 KTD916272:KTD916355 KJH916272:KJH916355 JZL916272:JZL916355 JPP916272:JPP916355 JFT916272:JFT916355 IVX916272:IVX916355 IMB916272:IMB916355 ICF916272:ICF916355 HSJ916272:HSJ916355 HIN916272:HIN916355 GYR916272:GYR916355 GOV916272:GOV916355 GEZ916272:GEZ916355 FVD916272:FVD916355 FLH916272:FLH916355 FBL916272:FBL916355 ERP916272:ERP916355 EHT916272:EHT916355 DXX916272:DXX916355 DOB916272:DOB916355 DEF916272:DEF916355 CUJ916272:CUJ916355 CKN916272:CKN916355 CAR916272:CAR916355 BQV916272:BQV916355 BGZ916272:BGZ916355 AXD916272:AXD916355 ANH916272:ANH916355 ADL916272:ADL916355 TP916272:TP916355 JT916272:JT916355 X916272:X916355 WWF850736:WWF850819 WMJ850736:WMJ850819 WCN850736:WCN850819 VSR850736:VSR850819 VIV850736:VIV850819 UYZ850736:UYZ850819 UPD850736:UPD850819 UFH850736:UFH850819 TVL850736:TVL850819 TLP850736:TLP850819 TBT850736:TBT850819 SRX850736:SRX850819 SIB850736:SIB850819 RYF850736:RYF850819 ROJ850736:ROJ850819 REN850736:REN850819 QUR850736:QUR850819 QKV850736:QKV850819 QAZ850736:QAZ850819 PRD850736:PRD850819 PHH850736:PHH850819 OXL850736:OXL850819 ONP850736:ONP850819 ODT850736:ODT850819 NTX850736:NTX850819 NKB850736:NKB850819 NAF850736:NAF850819 MQJ850736:MQJ850819 MGN850736:MGN850819 LWR850736:LWR850819 LMV850736:LMV850819 LCZ850736:LCZ850819 KTD850736:KTD850819 KJH850736:KJH850819 JZL850736:JZL850819 JPP850736:JPP850819 JFT850736:JFT850819 IVX850736:IVX850819 IMB850736:IMB850819 ICF850736:ICF850819 HSJ850736:HSJ850819 HIN850736:HIN850819 GYR850736:GYR850819 GOV850736:GOV850819 GEZ850736:GEZ850819 FVD850736:FVD850819 FLH850736:FLH850819 FBL850736:FBL850819 ERP850736:ERP850819 EHT850736:EHT850819 DXX850736:DXX850819 DOB850736:DOB850819 DEF850736:DEF850819 CUJ850736:CUJ850819 CKN850736:CKN850819 CAR850736:CAR850819 BQV850736:BQV850819 BGZ850736:BGZ850819 AXD850736:AXD850819 ANH850736:ANH850819 ADL850736:ADL850819 TP850736:TP850819 JT850736:JT850819 X850736:X850819 WWF785200:WWF785283 WMJ785200:WMJ785283 WCN785200:WCN785283 VSR785200:VSR785283 VIV785200:VIV785283 UYZ785200:UYZ785283 UPD785200:UPD785283 UFH785200:UFH785283 TVL785200:TVL785283 TLP785200:TLP785283 TBT785200:TBT785283 SRX785200:SRX785283 SIB785200:SIB785283 RYF785200:RYF785283 ROJ785200:ROJ785283 REN785200:REN785283 QUR785200:QUR785283 QKV785200:QKV785283 QAZ785200:QAZ785283 PRD785200:PRD785283 PHH785200:PHH785283 OXL785200:OXL785283 ONP785200:ONP785283 ODT785200:ODT785283 NTX785200:NTX785283 NKB785200:NKB785283 NAF785200:NAF785283 MQJ785200:MQJ785283 MGN785200:MGN785283 LWR785200:LWR785283 LMV785200:LMV785283 LCZ785200:LCZ785283 KTD785200:KTD785283 KJH785200:KJH785283 JZL785200:JZL785283 JPP785200:JPP785283 JFT785200:JFT785283 IVX785200:IVX785283 IMB785200:IMB785283 ICF785200:ICF785283 HSJ785200:HSJ785283 HIN785200:HIN785283 GYR785200:GYR785283 GOV785200:GOV785283 GEZ785200:GEZ785283 FVD785200:FVD785283 FLH785200:FLH785283 FBL785200:FBL785283 ERP785200:ERP785283 EHT785200:EHT785283 DXX785200:DXX785283 DOB785200:DOB785283 DEF785200:DEF785283 CUJ785200:CUJ785283 CKN785200:CKN785283 CAR785200:CAR785283 BQV785200:BQV785283 BGZ785200:BGZ785283 AXD785200:AXD785283 ANH785200:ANH785283 ADL785200:ADL785283 TP785200:TP785283 JT785200:JT785283 X785200:X785283 WWF719664:WWF719747 WMJ719664:WMJ719747 WCN719664:WCN719747 VSR719664:VSR719747 VIV719664:VIV719747 UYZ719664:UYZ719747 UPD719664:UPD719747 UFH719664:UFH719747 TVL719664:TVL719747 TLP719664:TLP719747 TBT719664:TBT719747 SRX719664:SRX719747 SIB719664:SIB719747 RYF719664:RYF719747 ROJ719664:ROJ719747 REN719664:REN719747 QUR719664:QUR719747 QKV719664:QKV719747 QAZ719664:QAZ719747 PRD719664:PRD719747 PHH719664:PHH719747 OXL719664:OXL719747 ONP719664:ONP719747 ODT719664:ODT719747 NTX719664:NTX719747 NKB719664:NKB719747 NAF719664:NAF719747 MQJ719664:MQJ719747 MGN719664:MGN719747 LWR719664:LWR719747 LMV719664:LMV719747 LCZ719664:LCZ719747 KTD719664:KTD719747 KJH719664:KJH719747 JZL719664:JZL719747 JPP719664:JPP719747 JFT719664:JFT719747 IVX719664:IVX719747 IMB719664:IMB719747 ICF719664:ICF719747 HSJ719664:HSJ719747 HIN719664:HIN719747 GYR719664:GYR719747 GOV719664:GOV719747 GEZ719664:GEZ719747 FVD719664:FVD719747 FLH719664:FLH719747 FBL719664:FBL719747 ERP719664:ERP719747 EHT719664:EHT719747 DXX719664:DXX719747 DOB719664:DOB719747 DEF719664:DEF719747 CUJ719664:CUJ719747 CKN719664:CKN719747 CAR719664:CAR719747 BQV719664:BQV719747 BGZ719664:BGZ719747 AXD719664:AXD719747 ANH719664:ANH719747 ADL719664:ADL719747 TP719664:TP719747 JT719664:JT719747 X719664:X719747 WWF654128:WWF654211 WMJ654128:WMJ654211 WCN654128:WCN654211 VSR654128:VSR654211 VIV654128:VIV654211 UYZ654128:UYZ654211 UPD654128:UPD654211 UFH654128:UFH654211 TVL654128:TVL654211 TLP654128:TLP654211 TBT654128:TBT654211 SRX654128:SRX654211 SIB654128:SIB654211 RYF654128:RYF654211 ROJ654128:ROJ654211 REN654128:REN654211 QUR654128:QUR654211 QKV654128:QKV654211 QAZ654128:QAZ654211 PRD654128:PRD654211 PHH654128:PHH654211 OXL654128:OXL654211 ONP654128:ONP654211 ODT654128:ODT654211 NTX654128:NTX654211 NKB654128:NKB654211 NAF654128:NAF654211 MQJ654128:MQJ654211 MGN654128:MGN654211 LWR654128:LWR654211 LMV654128:LMV654211 LCZ654128:LCZ654211 KTD654128:KTD654211 KJH654128:KJH654211 JZL654128:JZL654211 JPP654128:JPP654211 JFT654128:JFT654211 IVX654128:IVX654211 IMB654128:IMB654211 ICF654128:ICF654211 HSJ654128:HSJ654211 HIN654128:HIN654211 GYR654128:GYR654211 GOV654128:GOV654211 GEZ654128:GEZ654211 FVD654128:FVD654211 FLH654128:FLH654211 FBL654128:FBL654211 ERP654128:ERP654211 EHT654128:EHT654211 DXX654128:DXX654211 DOB654128:DOB654211 DEF654128:DEF654211 CUJ654128:CUJ654211 CKN654128:CKN654211 CAR654128:CAR654211 BQV654128:BQV654211 BGZ654128:BGZ654211 AXD654128:AXD654211 ANH654128:ANH654211 ADL654128:ADL654211 TP654128:TP654211 JT654128:JT654211 X654128:X654211 WWF588592:WWF588675 WMJ588592:WMJ588675 WCN588592:WCN588675 VSR588592:VSR588675 VIV588592:VIV588675 UYZ588592:UYZ588675 UPD588592:UPD588675 UFH588592:UFH588675 TVL588592:TVL588675 TLP588592:TLP588675 TBT588592:TBT588675 SRX588592:SRX588675 SIB588592:SIB588675 RYF588592:RYF588675 ROJ588592:ROJ588675 REN588592:REN588675 QUR588592:QUR588675 QKV588592:QKV588675 QAZ588592:QAZ588675 PRD588592:PRD588675 PHH588592:PHH588675 OXL588592:OXL588675 ONP588592:ONP588675 ODT588592:ODT588675 NTX588592:NTX588675 NKB588592:NKB588675 NAF588592:NAF588675 MQJ588592:MQJ588675 MGN588592:MGN588675 LWR588592:LWR588675 LMV588592:LMV588675 LCZ588592:LCZ588675 KTD588592:KTD588675 KJH588592:KJH588675 JZL588592:JZL588675 JPP588592:JPP588675 JFT588592:JFT588675 IVX588592:IVX588675 IMB588592:IMB588675 ICF588592:ICF588675 HSJ588592:HSJ588675 HIN588592:HIN588675 GYR588592:GYR588675 GOV588592:GOV588675 GEZ588592:GEZ588675 FVD588592:FVD588675 FLH588592:FLH588675 FBL588592:FBL588675 ERP588592:ERP588675 EHT588592:EHT588675 DXX588592:DXX588675 DOB588592:DOB588675 DEF588592:DEF588675 CUJ588592:CUJ588675 CKN588592:CKN588675 CAR588592:CAR588675 BQV588592:BQV588675 BGZ588592:BGZ588675 AXD588592:AXD588675 ANH588592:ANH588675 ADL588592:ADL588675 TP588592:TP588675 JT588592:JT588675 X588592:X588675 WWF523056:WWF523139 WMJ523056:WMJ523139 WCN523056:WCN523139 VSR523056:VSR523139 VIV523056:VIV523139 UYZ523056:UYZ523139 UPD523056:UPD523139 UFH523056:UFH523139 TVL523056:TVL523139 TLP523056:TLP523139 TBT523056:TBT523139 SRX523056:SRX523139 SIB523056:SIB523139 RYF523056:RYF523139 ROJ523056:ROJ523139 REN523056:REN523139 QUR523056:QUR523139 QKV523056:QKV523139 QAZ523056:QAZ523139 PRD523056:PRD523139 PHH523056:PHH523139 OXL523056:OXL523139 ONP523056:ONP523139 ODT523056:ODT523139 NTX523056:NTX523139 NKB523056:NKB523139 NAF523056:NAF523139 MQJ523056:MQJ523139 MGN523056:MGN523139 LWR523056:LWR523139 LMV523056:LMV523139 LCZ523056:LCZ523139 KTD523056:KTD523139 KJH523056:KJH523139 JZL523056:JZL523139 JPP523056:JPP523139 JFT523056:JFT523139 IVX523056:IVX523139 IMB523056:IMB523139 ICF523056:ICF523139 HSJ523056:HSJ523139 HIN523056:HIN523139 GYR523056:GYR523139 GOV523056:GOV523139 GEZ523056:GEZ523139 FVD523056:FVD523139 FLH523056:FLH523139 FBL523056:FBL523139 ERP523056:ERP523139 EHT523056:EHT523139 DXX523056:DXX523139 DOB523056:DOB523139 DEF523056:DEF523139 CUJ523056:CUJ523139 CKN523056:CKN523139 CAR523056:CAR523139 BQV523056:BQV523139 BGZ523056:BGZ523139 AXD523056:AXD523139 ANH523056:ANH523139 ADL523056:ADL523139 TP523056:TP523139 JT523056:JT523139 X523056:X523139 WWF457520:WWF457603 WMJ457520:WMJ457603 WCN457520:WCN457603 VSR457520:VSR457603 VIV457520:VIV457603 UYZ457520:UYZ457603 UPD457520:UPD457603 UFH457520:UFH457603 TVL457520:TVL457603 TLP457520:TLP457603 TBT457520:TBT457603 SRX457520:SRX457603 SIB457520:SIB457603 RYF457520:RYF457603 ROJ457520:ROJ457603 REN457520:REN457603 QUR457520:QUR457603 QKV457520:QKV457603 QAZ457520:QAZ457603 PRD457520:PRD457603 PHH457520:PHH457603 OXL457520:OXL457603 ONP457520:ONP457603 ODT457520:ODT457603 NTX457520:NTX457603 NKB457520:NKB457603 NAF457520:NAF457603 MQJ457520:MQJ457603 MGN457520:MGN457603 LWR457520:LWR457603 LMV457520:LMV457603 LCZ457520:LCZ457603 KTD457520:KTD457603 KJH457520:KJH457603 JZL457520:JZL457603 JPP457520:JPP457603 JFT457520:JFT457603 IVX457520:IVX457603 IMB457520:IMB457603 ICF457520:ICF457603 HSJ457520:HSJ457603 HIN457520:HIN457603 GYR457520:GYR457603 GOV457520:GOV457603 GEZ457520:GEZ457603 FVD457520:FVD457603 FLH457520:FLH457603 FBL457520:FBL457603 ERP457520:ERP457603 EHT457520:EHT457603 DXX457520:DXX457603 DOB457520:DOB457603 DEF457520:DEF457603 CUJ457520:CUJ457603 CKN457520:CKN457603 CAR457520:CAR457603 BQV457520:BQV457603 BGZ457520:BGZ457603 AXD457520:AXD457603 ANH457520:ANH457603 ADL457520:ADL457603 TP457520:TP457603 JT457520:JT457603 X457520:X457603 WWF391984:WWF392067 WMJ391984:WMJ392067 WCN391984:WCN392067 VSR391984:VSR392067 VIV391984:VIV392067 UYZ391984:UYZ392067 UPD391984:UPD392067 UFH391984:UFH392067 TVL391984:TVL392067 TLP391984:TLP392067 TBT391984:TBT392067 SRX391984:SRX392067 SIB391984:SIB392067 RYF391984:RYF392067 ROJ391984:ROJ392067 REN391984:REN392067 QUR391984:QUR392067 QKV391984:QKV392067 QAZ391984:QAZ392067 PRD391984:PRD392067 PHH391984:PHH392067 OXL391984:OXL392067 ONP391984:ONP392067 ODT391984:ODT392067 NTX391984:NTX392067 NKB391984:NKB392067 NAF391984:NAF392067 MQJ391984:MQJ392067 MGN391984:MGN392067 LWR391984:LWR392067 LMV391984:LMV392067 LCZ391984:LCZ392067 KTD391984:KTD392067 KJH391984:KJH392067 JZL391984:JZL392067 JPP391984:JPP392067 JFT391984:JFT392067 IVX391984:IVX392067 IMB391984:IMB392067 ICF391984:ICF392067 HSJ391984:HSJ392067 HIN391984:HIN392067 GYR391984:GYR392067 GOV391984:GOV392067 GEZ391984:GEZ392067 FVD391984:FVD392067 FLH391984:FLH392067 FBL391984:FBL392067 ERP391984:ERP392067 EHT391984:EHT392067 DXX391984:DXX392067 DOB391984:DOB392067 DEF391984:DEF392067 CUJ391984:CUJ392067 CKN391984:CKN392067 CAR391984:CAR392067 BQV391984:BQV392067 BGZ391984:BGZ392067 AXD391984:AXD392067 ANH391984:ANH392067 ADL391984:ADL392067 TP391984:TP392067 JT391984:JT392067 X391984:X392067 WWF326448:WWF326531 WMJ326448:WMJ326531 WCN326448:WCN326531 VSR326448:VSR326531 VIV326448:VIV326531 UYZ326448:UYZ326531 UPD326448:UPD326531 UFH326448:UFH326531 TVL326448:TVL326531 TLP326448:TLP326531 TBT326448:TBT326531 SRX326448:SRX326531 SIB326448:SIB326531 RYF326448:RYF326531 ROJ326448:ROJ326531 REN326448:REN326531 QUR326448:QUR326531 QKV326448:QKV326531 QAZ326448:QAZ326531 PRD326448:PRD326531 PHH326448:PHH326531 OXL326448:OXL326531 ONP326448:ONP326531 ODT326448:ODT326531 NTX326448:NTX326531 NKB326448:NKB326531 NAF326448:NAF326531 MQJ326448:MQJ326531 MGN326448:MGN326531 LWR326448:LWR326531 LMV326448:LMV326531 LCZ326448:LCZ326531 KTD326448:KTD326531 KJH326448:KJH326531 JZL326448:JZL326531 JPP326448:JPP326531 JFT326448:JFT326531 IVX326448:IVX326531 IMB326448:IMB326531 ICF326448:ICF326531 HSJ326448:HSJ326531 HIN326448:HIN326531 GYR326448:GYR326531 GOV326448:GOV326531 GEZ326448:GEZ326531 FVD326448:FVD326531 FLH326448:FLH326531 FBL326448:FBL326531 ERP326448:ERP326531 EHT326448:EHT326531 DXX326448:DXX326531 DOB326448:DOB326531 DEF326448:DEF326531 CUJ326448:CUJ326531 CKN326448:CKN326531 CAR326448:CAR326531 BQV326448:BQV326531 BGZ326448:BGZ326531 AXD326448:AXD326531 ANH326448:ANH326531 ADL326448:ADL326531 TP326448:TP326531 JT326448:JT326531 X326448:X326531 WWF260912:WWF260995 WMJ260912:WMJ260995 WCN260912:WCN260995 VSR260912:VSR260995 VIV260912:VIV260995 UYZ260912:UYZ260995 UPD260912:UPD260995 UFH260912:UFH260995 TVL260912:TVL260995 TLP260912:TLP260995 TBT260912:TBT260995 SRX260912:SRX260995 SIB260912:SIB260995 RYF260912:RYF260995 ROJ260912:ROJ260995 REN260912:REN260995 QUR260912:QUR260995 QKV260912:QKV260995 QAZ260912:QAZ260995 PRD260912:PRD260995 PHH260912:PHH260995 OXL260912:OXL260995 ONP260912:ONP260995 ODT260912:ODT260995 NTX260912:NTX260995 NKB260912:NKB260995 NAF260912:NAF260995 MQJ260912:MQJ260995 MGN260912:MGN260995 LWR260912:LWR260995 LMV260912:LMV260995 LCZ260912:LCZ260995 KTD260912:KTD260995 KJH260912:KJH260995 JZL260912:JZL260995 JPP260912:JPP260995 JFT260912:JFT260995 IVX260912:IVX260995 IMB260912:IMB260995 ICF260912:ICF260995 HSJ260912:HSJ260995 HIN260912:HIN260995 GYR260912:GYR260995 GOV260912:GOV260995 GEZ260912:GEZ260995 FVD260912:FVD260995 FLH260912:FLH260995 FBL260912:FBL260995 ERP260912:ERP260995 EHT260912:EHT260995 DXX260912:DXX260995 DOB260912:DOB260995 DEF260912:DEF260995 CUJ260912:CUJ260995 CKN260912:CKN260995 CAR260912:CAR260995 BQV260912:BQV260995 BGZ260912:BGZ260995 AXD260912:AXD260995 ANH260912:ANH260995 ADL260912:ADL260995 TP260912:TP260995 JT260912:JT260995 X260912:X260995 WWF195376:WWF195459 WMJ195376:WMJ195459 WCN195376:WCN195459 VSR195376:VSR195459 VIV195376:VIV195459 UYZ195376:UYZ195459 UPD195376:UPD195459 UFH195376:UFH195459 TVL195376:TVL195459 TLP195376:TLP195459 TBT195376:TBT195459 SRX195376:SRX195459 SIB195376:SIB195459 RYF195376:RYF195459 ROJ195376:ROJ195459 REN195376:REN195459 QUR195376:QUR195459 QKV195376:QKV195459 QAZ195376:QAZ195459 PRD195376:PRD195459 PHH195376:PHH195459 OXL195376:OXL195459 ONP195376:ONP195459 ODT195376:ODT195459 NTX195376:NTX195459 NKB195376:NKB195459 NAF195376:NAF195459 MQJ195376:MQJ195459 MGN195376:MGN195459 LWR195376:LWR195459 LMV195376:LMV195459 LCZ195376:LCZ195459 KTD195376:KTD195459 KJH195376:KJH195459 JZL195376:JZL195459 JPP195376:JPP195459 JFT195376:JFT195459 IVX195376:IVX195459 IMB195376:IMB195459 ICF195376:ICF195459 HSJ195376:HSJ195459 HIN195376:HIN195459 GYR195376:GYR195459 GOV195376:GOV195459 GEZ195376:GEZ195459 FVD195376:FVD195459 FLH195376:FLH195459 FBL195376:FBL195459 ERP195376:ERP195459 EHT195376:EHT195459 DXX195376:DXX195459 DOB195376:DOB195459 DEF195376:DEF195459 CUJ195376:CUJ195459 CKN195376:CKN195459 CAR195376:CAR195459 BQV195376:BQV195459 BGZ195376:BGZ195459 AXD195376:AXD195459 ANH195376:ANH195459 ADL195376:ADL195459 TP195376:TP195459 JT195376:JT195459 X195376:X195459 WWF129840:WWF129923 WMJ129840:WMJ129923 WCN129840:WCN129923 VSR129840:VSR129923 VIV129840:VIV129923 UYZ129840:UYZ129923 UPD129840:UPD129923 UFH129840:UFH129923 TVL129840:TVL129923 TLP129840:TLP129923 TBT129840:TBT129923 SRX129840:SRX129923 SIB129840:SIB129923 RYF129840:RYF129923 ROJ129840:ROJ129923 REN129840:REN129923 QUR129840:QUR129923 QKV129840:QKV129923 QAZ129840:QAZ129923 PRD129840:PRD129923 PHH129840:PHH129923 OXL129840:OXL129923 ONP129840:ONP129923 ODT129840:ODT129923 NTX129840:NTX129923 NKB129840:NKB129923 NAF129840:NAF129923 MQJ129840:MQJ129923 MGN129840:MGN129923 LWR129840:LWR129923 LMV129840:LMV129923 LCZ129840:LCZ129923 KTD129840:KTD129923 KJH129840:KJH129923 JZL129840:JZL129923 JPP129840:JPP129923 JFT129840:JFT129923 IVX129840:IVX129923 IMB129840:IMB129923 ICF129840:ICF129923 HSJ129840:HSJ129923 HIN129840:HIN129923 GYR129840:GYR129923 GOV129840:GOV129923 GEZ129840:GEZ129923 FVD129840:FVD129923 FLH129840:FLH129923 FBL129840:FBL129923 ERP129840:ERP129923 EHT129840:EHT129923 DXX129840:DXX129923 DOB129840:DOB129923 DEF129840:DEF129923 CUJ129840:CUJ129923 CKN129840:CKN129923 CAR129840:CAR129923 BQV129840:BQV129923 BGZ129840:BGZ129923 AXD129840:AXD129923 ANH129840:ANH129923 ADL129840:ADL129923 TP129840:TP129923 JT129840:JT129923 X129840:X129923 WWF64304:WWF64387 WMJ64304:WMJ64387 WCN64304:WCN64387 VSR64304:VSR64387 VIV64304:VIV64387 UYZ64304:UYZ64387 UPD64304:UPD64387 UFH64304:UFH64387 TVL64304:TVL64387 TLP64304:TLP64387 TBT64304:TBT64387 SRX64304:SRX64387 SIB64304:SIB64387 RYF64304:RYF64387 ROJ64304:ROJ64387 REN64304:REN64387 QUR64304:QUR64387 QKV64304:QKV64387 QAZ64304:QAZ64387 PRD64304:PRD64387 PHH64304:PHH64387 OXL64304:OXL64387 ONP64304:ONP64387 ODT64304:ODT64387 NTX64304:NTX64387 NKB64304:NKB64387 NAF64304:NAF64387 MQJ64304:MQJ64387 MGN64304:MGN64387 LWR64304:LWR64387 LMV64304:LMV64387 LCZ64304:LCZ64387 KTD64304:KTD64387 KJH64304:KJH64387 JZL64304:JZL64387 JPP64304:JPP64387 JFT64304:JFT64387 IVX64304:IVX64387 IMB64304:IMB64387 ICF64304:ICF64387 HSJ64304:HSJ64387 HIN64304:HIN64387 GYR64304:GYR64387 GOV64304:GOV64387 GEZ64304:GEZ64387 FVD64304:FVD64387 FLH64304:FLH64387 FBL64304:FBL64387 ERP64304:ERP64387 EHT64304:EHT64387 DXX64304:DXX64387 DOB64304:DOB64387 DEF64304:DEF64387 CUJ64304:CUJ64387 CKN64304:CKN64387 CAR64304:CAR64387 BQV64304:BQV64387 BGZ64304:BGZ64387 AXD64304:AXD64387 ANH64304:ANH64387 ADL64304:ADL64387 TP64304:TP64387 JT64304:JT64387 X64304:X64387 JT2:JT76 TP2:TP76 ADL2:ADL76 ANH2:ANH76 AXD2:AXD76 BGZ2:BGZ76 BQV2:BQV76 CAR2:CAR76 CKN2:CKN76 CUJ2:CUJ76 DEF2:DEF76 DOB2:DOB76 DXX2:DXX76 EHT2:EHT76 ERP2:ERP76 FBL2:FBL76 FLH2:FLH76 FVD2:FVD76 GEZ2:GEZ76 GOV2:GOV76 GYR2:GYR76 HIN2:HIN76 HSJ2:HSJ76 ICF2:ICF76 IMB2:IMB76 IVX2:IVX76 JFT2:JFT76 JPP2:JPP76 JZL2:JZL76 KJH2:KJH76 KTD2:KTD76 LCZ2:LCZ76 LMV2:LMV76 LWR2:LWR76 MGN2:MGN76 MQJ2:MQJ76 NAF2:NAF76 NKB2:NKB76 NTX2:NTX76 ODT2:ODT76 ONP2:ONP76 OXL2:OXL76 PHH2:PHH76 PRD2:PRD76 QAZ2:QAZ76 QKV2:QKV76 QUR2:QUR76 REN2:REN76 ROJ2:ROJ76 RYF2:RYF76 SIB2:SIB76 SRX2:SRX76 TBT2:TBT76 TLP2:TLP76 TVL2:TVL76 UFH2:UFH76 UPD2:UPD76 UYZ2:UYZ76 VIV2:VIV76 VSR2:VSR76 WCN2:WCN76 WMJ2:WMJ76 WWF2:WWF76 X2:X503" xr:uid="{5F2C582E-9200-42EF-A883-774A22F8B1F8}">
      <formula1>$AT$2:$AT$3</formula1>
    </dataValidation>
    <dataValidation operator="equal" allowBlank="1" showInputMessage="1" showErrorMessage="1" sqref="WVJ981808:WVJ981897 WLN981808:WLN981897 WBR981808:WBR981897 VRV981808:VRV981897 VHZ981808:VHZ981897 UYD981808:UYD981897 UOH981808:UOH981897 UEL981808:UEL981897 TUP981808:TUP981897 TKT981808:TKT981897 TAX981808:TAX981897 SRB981808:SRB981897 SHF981808:SHF981897 RXJ981808:RXJ981897 RNN981808:RNN981897 RDR981808:RDR981897 QTV981808:QTV981897 QJZ981808:QJZ981897 QAD981808:QAD981897 PQH981808:PQH981897 PGL981808:PGL981897 OWP981808:OWP981897 OMT981808:OMT981897 OCX981808:OCX981897 NTB981808:NTB981897 NJF981808:NJF981897 MZJ981808:MZJ981897 MPN981808:MPN981897 MFR981808:MFR981897 LVV981808:LVV981897 LLZ981808:LLZ981897 LCD981808:LCD981897 KSH981808:KSH981897 KIL981808:KIL981897 JYP981808:JYP981897 JOT981808:JOT981897 JEX981808:JEX981897 IVB981808:IVB981897 ILF981808:ILF981897 IBJ981808:IBJ981897 HRN981808:HRN981897 HHR981808:HHR981897 GXV981808:GXV981897 GNZ981808:GNZ981897 GED981808:GED981897 FUH981808:FUH981897 FKL981808:FKL981897 FAP981808:FAP981897 EQT981808:EQT981897 EGX981808:EGX981897 DXB981808:DXB981897 DNF981808:DNF981897 DDJ981808:DDJ981897 CTN981808:CTN981897 CJR981808:CJR981897 BZV981808:BZV981897 BPZ981808:BPZ981897 BGD981808:BGD981897 AWH981808:AWH981897 AML981808:AML981897 ACP981808:ACP981897 ST981808:ST981897 IX981808:IX981897 B981814:B981903 WVJ916272:WVJ916361 WLN916272:WLN916361 WBR916272:WBR916361 VRV916272:VRV916361 VHZ916272:VHZ916361 UYD916272:UYD916361 UOH916272:UOH916361 UEL916272:UEL916361 TUP916272:TUP916361 TKT916272:TKT916361 TAX916272:TAX916361 SRB916272:SRB916361 SHF916272:SHF916361 RXJ916272:RXJ916361 RNN916272:RNN916361 RDR916272:RDR916361 QTV916272:QTV916361 QJZ916272:QJZ916361 QAD916272:QAD916361 PQH916272:PQH916361 PGL916272:PGL916361 OWP916272:OWP916361 OMT916272:OMT916361 OCX916272:OCX916361 NTB916272:NTB916361 NJF916272:NJF916361 MZJ916272:MZJ916361 MPN916272:MPN916361 MFR916272:MFR916361 LVV916272:LVV916361 LLZ916272:LLZ916361 LCD916272:LCD916361 KSH916272:KSH916361 KIL916272:KIL916361 JYP916272:JYP916361 JOT916272:JOT916361 JEX916272:JEX916361 IVB916272:IVB916361 ILF916272:ILF916361 IBJ916272:IBJ916361 HRN916272:HRN916361 HHR916272:HHR916361 GXV916272:GXV916361 GNZ916272:GNZ916361 GED916272:GED916361 FUH916272:FUH916361 FKL916272:FKL916361 FAP916272:FAP916361 EQT916272:EQT916361 EGX916272:EGX916361 DXB916272:DXB916361 DNF916272:DNF916361 DDJ916272:DDJ916361 CTN916272:CTN916361 CJR916272:CJR916361 BZV916272:BZV916361 BPZ916272:BPZ916361 BGD916272:BGD916361 AWH916272:AWH916361 AML916272:AML916361 ACP916272:ACP916361 ST916272:ST916361 IX916272:IX916361 B916278:B916367 WVJ850736:WVJ850825 WLN850736:WLN850825 WBR850736:WBR850825 VRV850736:VRV850825 VHZ850736:VHZ850825 UYD850736:UYD850825 UOH850736:UOH850825 UEL850736:UEL850825 TUP850736:TUP850825 TKT850736:TKT850825 TAX850736:TAX850825 SRB850736:SRB850825 SHF850736:SHF850825 RXJ850736:RXJ850825 RNN850736:RNN850825 RDR850736:RDR850825 QTV850736:QTV850825 QJZ850736:QJZ850825 QAD850736:QAD850825 PQH850736:PQH850825 PGL850736:PGL850825 OWP850736:OWP850825 OMT850736:OMT850825 OCX850736:OCX850825 NTB850736:NTB850825 NJF850736:NJF850825 MZJ850736:MZJ850825 MPN850736:MPN850825 MFR850736:MFR850825 LVV850736:LVV850825 LLZ850736:LLZ850825 LCD850736:LCD850825 KSH850736:KSH850825 KIL850736:KIL850825 JYP850736:JYP850825 JOT850736:JOT850825 JEX850736:JEX850825 IVB850736:IVB850825 ILF850736:ILF850825 IBJ850736:IBJ850825 HRN850736:HRN850825 HHR850736:HHR850825 GXV850736:GXV850825 GNZ850736:GNZ850825 GED850736:GED850825 FUH850736:FUH850825 FKL850736:FKL850825 FAP850736:FAP850825 EQT850736:EQT850825 EGX850736:EGX850825 DXB850736:DXB850825 DNF850736:DNF850825 DDJ850736:DDJ850825 CTN850736:CTN850825 CJR850736:CJR850825 BZV850736:BZV850825 BPZ850736:BPZ850825 BGD850736:BGD850825 AWH850736:AWH850825 AML850736:AML850825 ACP850736:ACP850825 ST850736:ST850825 IX850736:IX850825 B850742:B850831 WVJ785200:WVJ785289 WLN785200:WLN785289 WBR785200:WBR785289 VRV785200:VRV785289 VHZ785200:VHZ785289 UYD785200:UYD785289 UOH785200:UOH785289 UEL785200:UEL785289 TUP785200:TUP785289 TKT785200:TKT785289 TAX785200:TAX785289 SRB785200:SRB785289 SHF785200:SHF785289 RXJ785200:RXJ785289 RNN785200:RNN785289 RDR785200:RDR785289 QTV785200:QTV785289 QJZ785200:QJZ785289 QAD785200:QAD785289 PQH785200:PQH785289 PGL785200:PGL785289 OWP785200:OWP785289 OMT785200:OMT785289 OCX785200:OCX785289 NTB785200:NTB785289 NJF785200:NJF785289 MZJ785200:MZJ785289 MPN785200:MPN785289 MFR785200:MFR785289 LVV785200:LVV785289 LLZ785200:LLZ785289 LCD785200:LCD785289 KSH785200:KSH785289 KIL785200:KIL785289 JYP785200:JYP785289 JOT785200:JOT785289 JEX785200:JEX785289 IVB785200:IVB785289 ILF785200:ILF785289 IBJ785200:IBJ785289 HRN785200:HRN785289 HHR785200:HHR785289 GXV785200:GXV785289 GNZ785200:GNZ785289 GED785200:GED785289 FUH785200:FUH785289 FKL785200:FKL785289 FAP785200:FAP785289 EQT785200:EQT785289 EGX785200:EGX785289 DXB785200:DXB785289 DNF785200:DNF785289 DDJ785200:DDJ785289 CTN785200:CTN785289 CJR785200:CJR785289 BZV785200:BZV785289 BPZ785200:BPZ785289 BGD785200:BGD785289 AWH785200:AWH785289 AML785200:AML785289 ACP785200:ACP785289 ST785200:ST785289 IX785200:IX785289 B785206:B785295 WVJ719664:WVJ719753 WLN719664:WLN719753 WBR719664:WBR719753 VRV719664:VRV719753 VHZ719664:VHZ719753 UYD719664:UYD719753 UOH719664:UOH719753 UEL719664:UEL719753 TUP719664:TUP719753 TKT719664:TKT719753 TAX719664:TAX719753 SRB719664:SRB719753 SHF719664:SHF719753 RXJ719664:RXJ719753 RNN719664:RNN719753 RDR719664:RDR719753 QTV719664:QTV719753 QJZ719664:QJZ719753 QAD719664:QAD719753 PQH719664:PQH719753 PGL719664:PGL719753 OWP719664:OWP719753 OMT719664:OMT719753 OCX719664:OCX719753 NTB719664:NTB719753 NJF719664:NJF719753 MZJ719664:MZJ719753 MPN719664:MPN719753 MFR719664:MFR719753 LVV719664:LVV719753 LLZ719664:LLZ719753 LCD719664:LCD719753 KSH719664:KSH719753 KIL719664:KIL719753 JYP719664:JYP719753 JOT719664:JOT719753 JEX719664:JEX719753 IVB719664:IVB719753 ILF719664:ILF719753 IBJ719664:IBJ719753 HRN719664:HRN719753 HHR719664:HHR719753 GXV719664:GXV719753 GNZ719664:GNZ719753 GED719664:GED719753 FUH719664:FUH719753 FKL719664:FKL719753 FAP719664:FAP719753 EQT719664:EQT719753 EGX719664:EGX719753 DXB719664:DXB719753 DNF719664:DNF719753 DDJ719664:DDJ719753 CTN719664:CTN719753 CJR719664:CJR719753 BZV719664:BZV719753 BPZ719664:BPZ719753 BGD719664:BGD719753 AWH719664:AWH719753 AML719664:AML719753 ACP719664:ACP719753 ST719664:ST719753 IX719664:IX719753 B719670:B719759 WVJ654128:WVJ654217 WLN654128:WLN654217 WBR654128:WBR654217 VRV654128:VRV654217 VHZ654128:VHZ654217 UYD654128:UYD654217 UOH654128:UOH654217 UEL654128:UEL654217 TUP654128:TUP654217 TKT654128:TKT654217 TAX654128:TAX654217 SRB654128:SRB654217 SHF654128:SHF654217 RXJ654128:RXJ654217 RNN654128:RNN654217 RDR654128:RDR654217 QTV654128:QTV654217 QJZ654128:QJZ654217 QAD654128:QAD654217 PQH654128:PQH654217 PGL654128:PGL654217 OWP654128:OWP654217 OMT654128:OMT654217 OCX654128:OCX654217 NTB654128:NTB654217 NJF654128:NJF654217 MZJ654128:MZJ654217 MPN654128:MPN654217 MFR654128:MFR654217 LVV654128:LVV654217 LLZ654128:LLZ654217 LCD654128:LCD654217 KSH654128:KSH654217 KIL654128:KIL654217 JYP654128:JYP654217 JOT654128:JOT654217 JEX654128:JEX654217 IVB654128:IVB654217 ILF654128:ILF654217 IBJ654128:IBJ654217 HRN654128:HRN654217 HHR654128:HHR654217 GXV654128:GXV654217 GNZ654128:GNZ654217 GED654128:GED654217 FUH654128:FUH654217 FKL654128:FKL654217 FAP654128:FAP654217 EQT654128:EQT654217 EGX654128:EGX654217 DXB654128:DXB654217 DNF654128:DNF654217 DDJ654128:DDJ654217 CTN654128:CTN654217 CJR654128:CJR654217 BZV654128:BZV654217 BPZ654128:BPZ654217 BGD654128:BGD654217 AWH654128:AWH654217 AML654128:AML654217 ACP654128:ACP654217 ST654128:ST654217 IX654128:IX654217 B654134:B654223 WVJ588592:WVJ588681 WLN588592:WLN588681 WBR588592:WBR588681 VRV588592:VRV588681 VHZ588592:VHZ588681 UYD588592:UYD588681 UOH588592:UOH588681 UEL588592:UEL588681 TUP588592:TUP588681 TKT588592:TKT588681 TAX588592:TAX588681 SRB588592:SRB588681 SHF588592:SHF588681 RXJ588592:RXJ588681 RNN588592:RNN588681 RDR588592:RDR588681 QTV588592:QTV588681 QJZ588592:QJZ588681 QAD588592:QAD588681 PQH588592:PQH588681 PGL588592:PGL588681 OWP588592:OWP588681 OMT588592:OMT588681 OCX588592:OCX588681 NTB588592:NTB588681 NJF588592:NJF588681 MZJ588592:MZJ588681 MPN588592:MPN588681 MFR588592:MFR588681 LVV588592:LVV588681 LLZ588592:LLZ588681 LCD588592:LCD588681 KSH588592:KSH588681 KIL588592:KIL588681 JYP588592:JYP588681 JOT588592:JOT588681 JEX588592:JEX588681 IVB588592:IVB588681 ILF588592:ILF588681 IBJ588592:IBJ588681 HRN588592:HRN588681 HHR588592:HHR588681 GXV588592:GXV588681 GNZ588592:GNZ588681 GED588592:GED588681 FUH588592:FUH588681 FKL588592:FKL588681 FAP588592:FAP588681 EQT588592:EQT588681 EGX588592:EGX588681 DXB588592:DXB588681 DNF588592:DNF588681 DDJ588592:DDJ588681 CTN588592:CTN588681 CJR588592:CJR588681 BZV588592:BZV588681 BPZ588592:BPZ588681 BGD588592:BGD588681 AWH588592:AWH588681 AML588592:AML588681 ACP588592:ACP588681 ST588592:ST588681 IX588592:IX588681 B588598:B588687 WVJ523056:WVJ523145 WLN523056:WLN523145 WBR523056:WBR523145 VRV523056:VRV523145 VHZ523056:VHZ523145 UYD523056:UYD523145 UOH523056:UOH523145 UEL523056:UEL523145 TUP523056:TUP523145 TKT523056:TKT523145 TAX523056:TAX523145 SRB523056:SRB523145 SHF523056:SHF523145 RXJ523056:RXJ523145 RNN523056:RNN523145 RDR523056:RDR523145 QTV523056:QTV523145 QJZ523056:QJZ523145 QAD523056:QAD523145 PQH523056:PQH523145 PGL523056:PGL523145 OWP523056:OWP523145 OMT523056:OMT523145 OCX523056:OCX523145 NTB523056:NTB523145 NJF523056:NJF523145 MZJ523056:MZJ523145 MPN523056:MPN523145 MFR523056:MFR523145 LVV523056:LVV523145 LLZ523056:LLZ523145 LCD523056:LCD523145 KSH523056:KSH523145 KIL523056:KIL523145 JYP523056:JYP523145 JOT523056:JOT523145 JEX523056:JEX523145 IVB523056:IVB523145 ILF523056:ILF523145 IBJ523056:IBJ523145 HRN523056:HRN523145 HHR523056:HHR523145 GXV523056:GXV523145 GNZ523056:GNZ523145 GED523056:GED523145 FUH523056:FUH523145 FKL523056:FKL523145 FAP523056:FAP523145 EQT523056:EQT523145 EGX523056:EGX523145 DXB523056:DXB523145 DNF523056:DNF523145 DDJ523056:DDJ523145 CTN523056:CTN523145 CJR523056:CJR523145 BZV523056:BZV523145 BPZ523056:BPZ523145 BGD523056:BGD523145 AWH523056:AWH523145 AML523056:AML523145 ACP523056:ACP523145 ST523056:ST523145 IX523056:IX523145 B523062:B523151 WVJ457520:WVJ457609 WLN457520:WLN457609 WBR457520:WBR457609 VRV457520:VRV457609 VHZ457520:VHZ457609 UYD457520:UYD457609 UOH457520:UOH457609 UEL457520:UEL457609 TUP457520:TUP457609 TKT457520:TKT457609 TAX457520:TAX457609 SRB457520:SRB457609 SHF457520:SHF457609 RXJ457520:RXJ457609 RNN457520:RNN457609 RDR457520:RDR457609 QTV457520:QTV457609 QJZ457520:QJZ457609 QAD457520:QAD457609 PQH457520:PQH457609 PGL457520:PGL457609 OWP457520:OWP457609 OMT457520:OMT457609 OCX457520:OCX457609 NTB457520:NTB457609 NJF457520:NJF457609 MZJ457520:MZJ457609 MPN457520:MPN457609 MFR457520:MFR457609 LVV457520:LVV457609 LLZ457520:LLZ457609 LCD457520:LCD457609 KSH457520:KSH457609 KIL457520:KIL457609 JYP457520:JYP457609 JOT457520:JOT457609 JEX457520:JEX457609 IVB457520:IVB457609 ILF457520:ILF457609 IBJ457520:IBJ457609 HRN457520:HRN457609 HHR457520:HHR457609 GXV457520:GXV457609 GNZ457520:GNZ457609 GED457520:GED457609 FUH457520:FUH457609 FKL457520:FKL457609 FAP457520:FAP457609 EQT457520:EQT457609 EGX457520:EGX457609 DXB457520:DXB457609 DNF457520:DNF457609 DDJ457520:DDJ457609 CTN457520:CTN457609 CJR457520:CJR457609 BZV457520:BZV457609 BPZ457520:BPZ457609 BGD457520:BGD457609 AWH457520:AWH457609 AML457520:AML457609 ACP457520:ACP457609 ST457520:ST457609 IX457520:IX457609 B457526:B457615 WVJ391984:WVJ392073 WLN391984:WLN392073 WBR391984:WBR392073 VRV391984:VRV392073 VHZ391984:VHZ392073 UYD391984:UYD392073 UOH391984:UOH392073 UEL391984:UEL392073 TUP391984:TUP392073 TKT391984:TKT392073 TAX391984:TAX392073 SRB391984:SRB392073 SHF391984:SHF392073 RXJ391984:RXJ392073 RNN391984:RNN392073 RDR391984:RDR392073 QTV391984:QTV392073 QJZ391984:QJZ392073 QAD391984:QAD392073 PQH391984:PQH392073 PGL391984:PGL392073 OWP391984:OWP392073 OMT391984:OMT392073 OCX391984:OCX392073 NTB391984:NTB392073 NJF391984:NJF392073 MZJ391984:MZJ392073 MPN391984:MPN392073 MFR391984:MFR392073 LVV391984:LVV392073 LLZ391984:LLZ392073 LCD391984:LCD392073 KSH391984:KSH392073 KIL391984:KIL392073 JYP391984:JYP392073 JOT391984:JOT392073 JEX391984:JEX392073 IVB391984:IVB392073 ILF391984:ILF392073 IBJ391984:IBJ392073 HRN391984:HRN392073 HHR391984:HHR392073 GXV391984:GXV392073 GNZ391984:GNZ392073 GED391984:GED392073 FUH391984:FUH392073 FKL391984:FKL392073 FAP391984:FAP392073 EQT391984:EQT392073 EGX391984:EGX392073 DXB391984:DXB392073 DNF391984:DNF392073 DDJ391984:DDJ392073 CTN391984:CTN392073 CJR391984:CJR392073 BZV391984:BZV392073 BPZ391984:BPZ392073 BGD391984:BGD392073 AWH391984:AWH392073 AML391984:AML392073 ACP391984:ACP392073 ST391984:ST392073 IX391984:IX392073 B391990:B392079 WVJ326448:WVJ326537 WLN326448:WLN326537 WBR326448:WBR326537 VRV326448:VRV326537 VHZ326448:VHZ326537 UYD326448:UYD326537 UOH326448:UOH326537 UEL326448:UEL326537 TUP326448:TUP326537 TKT326448:TKT326537 TAX326448:TAX326537 SRB326448:SRB326537 SHF326448:SHF326537 RXJ326448:RXJ326537 RNN326448:RNN326537 RDR326448:RDR326537 QTV326448:QTV326537 QJZ326448:QJZ326537 QAD326448:QAD326537 PQH326448:PQH326537 PGL326448:PGL326537 OWP326448:OWP326537 OMT326448:OMT326537 OCX326448:OCX326537 NTB326448:NTB326537 NJF326448:NJF326537 MZJ326448:MZJ326537 MPN326448:MPN326537 MFR326448:MFR326537 LVV326448:LVV326537 LLZ326448:LLZ326537 LCD326448:LCD326537 KSH326448:KSH326537 KIL326448:KIL326537 JYP326448:JYP326537 JOT326448:JOT326537 JEX326448:JEX326537 IVB326448:IVB326537 ILF326448:ILF326537 IBJ326448:IBJ326537 HRN326448:HRN326537 HHR326448:HHR326537 GXV326448:GXV326537 GNZ326448:GNZ326537 GED326448:GED326537 FUH326448:FUH326537 FKL326448:FKL326537 FAP326448:FAP326537 EQT326448:EQT326537 EGX326448:EGX326537 DXB326448:DXB326537 DNF326448:DNF326537 DDJ326448:DDJ326537 CTN326448:CTN326537 CJR326448:CJR326537 BZV326448:BZV326537 BPZ326448:BPZ326537 BGD326448:BGD326537 AWH326448:AWH326537 AML326448:AML326537 ACP326448:ACP326537 ST326448:ST326537 IX326448:IX326537 B326454:B326543 WVJ260912:WVJ261001 WLN260912:WLN261001 WBR260912:WBR261001 VRV260912:VRV261001 VHZ260912:VHZ261001 UYD260912:UYD261001 UOH260912:UOH261001 UEL260912:UEL261001 TUP260912:TUP261001 TKT260912:TKT261001 TAX260912:TAX261001 SRB260912:SRB261001 SHF260912:SHF261001 RXJ260912:RXJ261001 RNN260912:RNN261001 RDR260912:RDR261001 QTV260912:QTV261001 QJZ260912:QJZ261001 QAD260912:QAD261001 PQH260912:PQH261001 PGL260912:PGL261001 OWP260912:OWP261001 OMT260912:OMT261001 OCX260912:OCX261001 NTB260912:NTB261001 NJF260912:NJF261001 MZJ260912:MZJ261001 MPN260912:MPN261001 MFR260912:MFR261001 LVV260912:LVV261001 LLZ260912:LLZ261001 LCD260912:LCD261001 KSH260912:KSH261001 KIL260912:KIL261001 JYP260912:JYP261001 JOT260912:JOT261001 JEX260912:JEX261001 IVB260912:IVB261001 ILF260912:ILF261001 IBJ260912:IBJ261001 HRN260912:HRN261001 HHR260912:HHR261001 GXV260912:GXV261001 GNZ260912:GNZ261001 GED260912:GED261001 FUH260912:FUH261001 FKL260912:FKL261001 FAP260912:FAP261001 EQT260912:EQT261001 EGX260912:EGX261001 DXB260912:DXB261001 DNF260912:DNF261001 DDJ260912:DDJ261001 CTN260912:CTN261001 CJR260912:CJR261001 BZV260912:BZV261001 BPZ260912:BPZ261001 BGD260912:BGD261001 AWH260912:AWH261001 AML260912:AML261001 ACP260912:ACP261001 ST260912:ST261001 IX260912:IX261001 B260918:B261007 WVJ195376:WVJ195465 WLN195376:WLN195465 WBR195376:WBR195465 VRV195376:VRV195465 VHZ195376:VHZ195465 UYD195376:UYD195465 UOH195376:UOH195465 UEL195376:UEL195465 TUP195376:TUP195465 TKT195376:TKT195465 TAX195376:TAX195465 SRB195376:SRB195465 SHF195376:SHF195465 RXJ195376:RXJ195465 RNN195376:RNN195465 RDR195376:RDR195465 QTV195376:QTV195465 QJZ195376:QJZ195465 QAD195376:QAD195465 PQH195376:PQH195465 PGL195376:PGL195465 OWP195376:OWP195465 OMT195376:OMT195465 OCX195376:OCX195465 NTB195376:NTB195465 NJF195376:NJF195465 MZJ195376:MZJ195465 MPN195376:MPN195465 MFR195376:MFR195465 LVV195376:LVV195465 LLZ195376:LLZ195465 LCD195376:LCD195465 KSH195376:KSH195465 KIL195376:KIL195465 JYP195376:JYP195465 JOT195376:JOT195465 JEX195376:JEX195465 IVB195376:IVB195465 ILF195376:ILF195465 IBJ195376:IBJ195465 HRN195376:HRN195465 HHR195376:HHR195465 GXV195376:GXV195465 GNZ195376:GNZ195465 GED195376:GED195465 FUH195376:FUH195465 FKL195376:FKL195465 FAP195376:FAP195465 EQT195376:EQT195465 EGX195376:EGX195465 DXB195376:DXB195465 DNF195376:DNF195465 DDJ195376:DDJ195465 CTN195376:CTN195465 CJR195376:CJR195465 BZV195376:BZV195465 BPZ195376:BPZ195465 BGD195376:BGD195465 AWH195376:AWH195465 AML195376:AML195465 ACP195376:ACP195465 ST195376:ST195465 IX195376:IX195465 B195382:B195471 WVJ129840:WVJ129929 WLN129840:WLN129929 WBR129840:WBR129929 VRV129840:VRV129929 VHZ129840:VHZ129929 UYD129840:UYD129929 UOH129840:UOH129929 UEL129840:UEL129929 TUP129840:TUP129929 TKT129840:TKT129929 TAX129840:TAX129929 SRB129840:SRB129929 SHF129840:SHF129929 RXJ129840:RXJ129929 RNN129840:RNN129929 RDR129840:RDR129929 QTV129840:QTV129929 QJZ129840:QJZ129929 QAD129840:QAD129929 PQH129840:PQH129929 PGL129840:PGL129929 OWP129840:OWP129929 OMT129840:OMT129929 OCX129840:OCX129929 NTB129840:NTB129929 NJF129840:NJF129929 MZJ129840:MZJ129929 MPN129840:MPN129929 MFR129840:MFR129929 LVV129840:LVV129929 LLZ129840:LLZ129929 LCD129840:LCD129929 KSH129840:KSH129929 KIL129840:KIL129929 JYP129840:JYP129929 JOT129840:JOT129929 JEX129840:JEX129929 IVB129840:IVB129929 ILF129840:ILF129929 IBJ129840:IBJ129929 HRN129840:HRN129929 HHR129840:HHR129929 GXV129840:GXV129929 GNZ129840:GNZ129929 GED129840:GED129929 FUH129840:FUH129929 FKL129840:FKL129929 FAP129840:FAP129929 EQT129840:EQT129929 EGX129840:EGX129929 DXB129840:DXB129929 DNF129840:DNF129929 DDJ129840:DDJ129929 CTN129840:CTN129929 CJR129840:CJR129929 BZV129840:BZV129929 BPZ129840:BPZ129929 BGD129840:BGD129929 AWH129840:AWH129929 AML129840:AML129929 ACP129840:ACP129929 ST129840:ST129929 IX129840:IX129929 B129846:B129935 WVJ64304:WVJ64393 WLN64304:WLN64393 WBR64304:WBR64393 VRV64304:VRV64393 VHZ64304:VHZ64393 UYD64304:UYD64393 UOH64304:UOH64393 UEL64304:UEL64393 TUP64304:TUP64393 TKT64304:TKT64393 TAX64304:TAX64393 SRB64304:SRB64393 SHF64304:SHF64393 RXJ64304:RXJ64393 RNN64304:RNN64393 RDR64304:RDR64393 QTV64304:QTV64393 QJZ64304:QJZ64393 QAD64304:QAD64393 PQH64304:PQH64393 PGL64304:PGL64393 OWP64304:OWP64393 OMT64304:OMT64393 OCX64304:OCX64393 NTB64304:NTB64393 NJF64304:NJF64393 MZJ64304:MZJ64393 MPN64304:MPN64393 MFR64304:MFR64393 LVV64304:LVV64393 LLZ64304:LLZ64393 LCD64304:LCD64393 KSH64304:KSH64393 KIL64304:KIL64393 JYP64304:JYP64393 JOT64304:JOT64393 JEX64304:JEX64393 IVB64304:IVB64393 ILF64304:ILF64393 IBJ64304:IBJ64393 HRN64304:HRN64393 HHR64304:HHR64393 GXV64304:GXV64393 GNZ64304:GNZ64393 GED64304:GED64393 FUH64304:FUH64393 FKL64304:FKL64393 FAP64304:FAP64393 EQT64304:EQT64393 EGX64304:EGX64393 DXB64304:DXB64393 DNF64304:DNF64393 DDJ64304:DDJ64393 CTN64304:CTN64393 CJR64304:CJR64393 BZV64304:BZV64393 BPZ64304:BPZ64393 BGD64304:BGD64393 AWH64304:AWH64393 AML64304:AML64393 ACP64304:ACP64393 ST64304:ST64393 IX64304:IX64393 B64310:B64399 IX2:IX76 ST2:ST76 ACP2:ACP76 AML2:AML76 AWH2:AWH76 BGD2:BGD76 BPZ2:BPZ76 BZV2:BZV76 CJR2:CJR76 CTN2:CTN76 DDJ2:DDJ76 DNF2:DNF76 DXB2:DXB76 EGX2:EGX76 EQT2:EQT76 FAP2:FAP76 FKL2:FKL76 FUH2:FUH76 GED2:GED76 GNZ2:GNZ76 GXV2:GXV76 HHR2:HHR76 HRN2:HRN76 IBJ2:IBJ76 ILF2:ILF76 IVB2:IVB76 JEX2:JEX76 JOT2:JOT76 JYP2:JYP76 KIL2:KIL76 KSH2:KSH76 LCD2:LCD76 LLZ2:LLZ76 LVV2:LVV76 MFR2:MFR76 MPN2:MPN76 MZJ2:MZJ76 NJF2:NJF76 NTB2:NTB76 OCX2:OCX76 OMT2:OMT76 OWP2:OWP76 PGL2:PGL76 PQH2:PQH76 QAD2:QAD76 QJZ2:QJZ76 QTV2:QTV76 RDR2:RDR76 RNN2:RNN76 RXJ2:RXJ76 SHF2:SHF76 SRB2:SRB76 TAX2:TAX76 TKT2:TKT76 TUP2:TUP76 UEL2:UEL76 UOH2:UOH76 UYD2:UYD76 VHZ2:VHZ76 VRV2:VRV76 WBR2:WBR76 WLN2:WLN76 WVJ2:WVJ76" xr:uid="{3DBAB9E8-016D-469E-88AD-E09D816A1591}"/>
    <dataValidation type="list" allowBlank="1" showInputMessage="1" showErrorMessage="1" sqref="WVI981808:WVI981897 WLM981808:WLM981897 WBQ981808:WBQ981897 VRU981808:VRU981897 VHY981808:VHY981897 UYC981808:UYC981897 UOG981808:UOG981897 UEK981808:UEK981897 TUO981808:TUO981897 TKS981808:TKS981897 TAW981808:TAW981897 SRA981808:SRA981897 SHE981808:SHE981897 RXI981808:RXI981897 RNM981808:RNM981897 RDQ981808:RDQ981897 QTU981808:QTU981897 QJY981808:QJY981897 QAC981808:QAC981897 PQG981808:PQG981897 PGK981808:PGK981897 OWO981808:OWO981897 OMS981808:OMS981897 OCW981808:OCW981897 NTA981808:NTA981897 NJE981808:NJE981897 MZI981808:MZI981897 MPM981808:MPM981897 MFQ981808:MFQ981897 LVU981808:LVU981897 LLY981808:LLY981897 LCC981808:LCC981897 KSG981808:KSG981897 KIK981808:KIK981897 JYO981808:JYO981897 JOS981808:JOS981897 JEW981808:JEW981897 IVA981808:IVA981897 ILE981808:ILE981897 IBI981808:IBI981897 HRM981808:HRM981897 HHQ981808:HHQ981897 GXU981808:GXU981897 GNY981808:GNY981897 GEC981808:GEC981897 FUG981808:FUG981897 FKK981808:FKK981897 FAO981808:FAO981897 EQS981808:EQS981897 EGW981808:EGW981897 DXA981808:DXA981897 DNE981808:DNE981897 DDI981808:DDI981897 CTM981808:CTM981897 CJQ981808:CJQ981897 BZU981808:BZU981897 BPY981808:BPY981897 BGC981808:BGC981897 AWG981808:AWG981897 AMK981808:AMK981897 ACO981808:ACO981897 SS981808:SS981897 IW981808:IW981897 A981814:A981903 WVI916272:WVI916361 WLM916272:WLM916361 WBQ916272:WBQ916361 VRU916272:VRU916361 VHY916272:VHY916361 UYC916272:UYC916361 UOG916272:UOG916361 UEK916272:UEK916361 TUO916272:TUO916361 TKS916272:TKS916361 TAW916272:TAW916361 SRA916272:SRA916361 SHE916272:SHE916361 RXI916272:RXI916361 RNM916272:RNM916361 RDQ916272:RDQ916361 QTU916272:QTU916361 QJY916272:QJY916361 QAC916272:QAC916361 PQG916272:PQG916361 PGK916272:PGK916361 OWO916272:OWO916361 OMS916272:OMS916361 OCW916272:OCW916361 NTA916272:NTA916361 NJE916272:NJE916361 MZI916272:MZI916361 MPM916272:MPM916361 MFQ916272:MFQ916361 LVU916272:LVU916361 LLY916272:LLY916361 LCC916272:LCC916361 KSG916272:KSG916361 KIK916272:KIK916361 JYO916272:JYO916361 JOS916272:JOS916361 JEW916272:JEW916361 IVA916272:IVA916361 ILE916272:ILE916361 IBI916272:IBI916361 HRM916272:HRM916361 HHQ916272:HHQ916361 GXU916272:GXU916361 GNY916272:GNY916361 GEC916272:GEC916361 FUG916272:FUG916361 FKK916272:FKK916361 FAO916272:FAO916361 EQS916272:EQS916361 EGW916272:EGW916361 DXA916272:DXA916361 DNE916272:DNE916361 DDI916272:DDI916361 CTM916272:CTM916361 CJQ916272:CJQ916361 BZU916272:BZU916361 BPY916272:BPY916361 BGC916272:BGC916361 AWG916272:AWG916361 AMK916272:AMK916361 ACO916272:ACO916361 SS916272:SS916361 IW916272:IW916361 A916278:A916367 WVI850736:WVI850825 WLM850736:WLM850825 WBQ850736:WBQ850825 VRU850736:VRU850825 VHY850736:VHY850825 UYC850736:UYC850825 UOG850736:UOG850825 UEK850736:UEK850825 TUO850736:TUO850825 TKS850736:TKS850825 TAW850736:TAW850825 SRA850736:SRA850825 SHE850736:SHE850825 RXI850736:RXI850825 RNM850736:RNM850825 RDQ850736:RDQ850825 QTU850736:QTU850825 QJY850736:QJY850825 QAC850736:QAC850825 PQG850736:PQG850825 PGK850736:PGK850825 OWO850736:OWO850825 OMS850736:OMS850825 OCW850736:OCW850825 NTA850736:NTA850825 NJE850736:NJE850825 MZI850736:MZI850825 MPM850736:MPM850825 MFQ850736:MFQ850825 LVU850736:LVU850825 LLY850736:LLY850825 LCC850736:LCC850825 KSG850736:KSG850825 KIK850736:KIK850825 JYO850736:JYO850825 JOS850736:JOS850825 JEW850736:JEW850825 IVA850736:IVA850825 ILE850736:ILE850825 IBI850736:IBI850825 HRM850736:HRM850825 HHQ850736:HHQ850825 GXU850736:GXU850825 GNY850736:GNY850825 GEC850736:GEC850825 FUG850736:FUG850825 FKK850736:FKK850825 FAO850736:FAO850825 EQS850736:EQS850825 EGW850736:EGW850825 DXA850736:DXA850825 DNE850736:DNE850825 DDI850736:DDI850825 CTM850736:CTM850825 CJQ850736:CJQ850825 BZU850736:BZU850825 BPY850736:BPY850825 BGC850736:BGC850825 AWG850736:AWG850825 AMK850736:AMK850825 ACO850736:ACO850825 SS850736:SS850825 IW850736:IW850825 A850742:A850831 WVI785200:WVI785289 WLM785200:WLM785289 WBQ785200:WBQ785289 VRU785200:VRU785289 VHY785200:VHY785289 UYC785200:UYC785289 UOG785200:UOG785289 UEK785200:UEK785289 TUO785200:TUO785289 TKS785200:TKS785289 TAW785200:TAW785289 SRA785200:SRA785289 SHE785200:SHE785289 RXI785200:RXI785289 RNM785200:RNM785289 RDQ785200:RDQ785289 QTU785200:QTU785289 QJY785200:QJY785289 QAC785200:QAC785289 PQG785200:PQG785289 PGK785200:PGK785289 OWO785200:OWO785289 OMS785200:OMS785289 OCW785200:OCW785289 NTA785200:NTA785289 NJE785200:NJE785289 MZI785200:MZI785289 MPM785200:MPM785289 MFQ785200:MFQ785289 LVU785200:LVU785289 LLY785200:LLY785289 LCC785200:LCC785289 KSG785200:KSG785289 KIK785200:KIK785289 JYO785200:JYO785289 JOS785200:JOS785289 JEW785200:JEW785289 IVA785200:IVA785289 ILE785200:ILE785289 IBI785200:IBI785289 HRM785200:HRM785289 HHQ785200:HHQ785289 GXU785200:GXU785289 GNY785200:GNY785289 GEC785200:GEC785289 FUG785200:FUG785289 FKK785200:FKK785289 FAO785200:FAO785289 EQS785200:EQS785289 EGW785200:EGW785289 DXA785200:DXA785289 DNE785200:DNE785289 DDI785200:DDI785289 CTM785200:CTM785289 CJQ785200:CJQ785289 BZU785200:BZU785289 BPY785200:BPY785289 BGC785200:BGC785289 AWG785200:AWG785289 AMK785200:AMK785289 ACO785200:ACO785289 SS785200:SS785289 IW785200:IW785289 A785206:A785295 WVI719664:WVI719753 WLM719664:WLM719753 WBQ719664:WBQ719753 VRU719664:VRU719753 VHY719664:VHY719753 UYC719664:UYC719753 UOG719664:UOG719753 UEK719664:UEK719753 TUO719664:TUO719753 TKS719664:TKS719753 TAW719664:TAW719753 SRA719664:SRA719753 SHE719664:SHE719753 RXI719664:RXI719753 RNM719664:RNM719753 RDQ719664:RDQ719753 QTU719664:QTU719753 QJY719664:QJY719753 QAC719664:QAC719753 PQG719664:PQG719753 PGK719664:PGK719753 OWO719664:OWO719753 OMS719664:OMS719753 OCW719664:OCW719753 NTA719664:NTA719753 NJE719664:NJE719753 MZI719664:MZI719753 MPM719664:MPM719753 MFQ719664:MFQ719753 LVU719664:LVU719753 LLY719664:LLY719753 LCC719664:LCC719753 KSG719664:KSG719753 KIK719664:KIK719753 JYO719664:JYO719753 JOS719664:JOS719753 JEW719664:JEW719753 IVA719664:IVA719753 ILE719664:ILE719753 IBI719664:IBI719753 HRM719664:HRM719753 HHQ719664:HHQ719753 GXU719664:GXU719753 GNY719664:GNY719753 GEC719664:GEC719753 FUG719664:FUG719753 FKK719664:FKK719753 FAO719664:FAO719753 EQS719664:EQS719753 EGW719664:EGW719753 DXA719664:DXA719753 DNE719664:DNE719753 DDI719664:DDI719753 CTM719664:CTM719753 CJQ719664:CJQ719753 BZU719664:BZU719753 BPY719664:BPY719753 BGC719664:BGC719753 AWG719664:AWG719753 AMK719664:AMK719753 ACO719664:ACO719753 SS719664:SS719753 IW719664:IW719753 A719670:A719759 WVI654128:WVI654217 WLM654128:WLM654217 WBQ654128:WBQ654217 VRU654128:VRU654217 VHY654128:VHY654217 UYC654128:UYC654217 UOG654128:UOG654217 UEK654128:UEK654217 TUO654128:TUO654217 TKS654128:TKS654217 TAW654128:TAW654217 SRA654128:SRA654217 SHE654128:SHE654217 RXI654128:RXI654217 RNM654128:RNM654217 RDQ654128:RDQ654217 QTU654128:QTU654217 QJY654128:QJY654217 QAC654128:QAC654217 PQG654128:PQG654217 PGK654128:PGK654217 OWO654128:OWO654217 OMS654128:OMS654217 OCW654128:OCW654217 NTA654128:NTA654217 NJE654128:NJE654217 MZI654128:MZI654217 MPM654128:MPM654217 MFQ654128:MFQ654217 LVU654128:LVU654217 LLY654128:LLY654217 LCC654128:LCC654217 KSG654128:KSG654217 KIK654128:KIK654217 JYO654128:JYO654217 JOS654128:JOS654217 JEW654128:JEW654217 IVA654128:IVA654217 ILE654128:ILE654217 IBI654128:IBI654217 HRM654128:HRM654217 HHQ654128:HHQ654217 GXU654128:GXU654217 GNY654128:GNY654217 GEC654128:GEC654217 FUG654128:FUG654217 FKK654128:FKK654217 FAO654128:FAO654217 EQS654128:EQS654217 EGW654128:EGW654217 DXA654128:DXA654217 DNE654128:DNE654217 DDI654128:DDI654217 CTM654128:CTM654217 CJQ654128:CJQ654217 BZU654128:BZU654217 BPY654128:BPY654217 BGC654128:BGC654217 AWG654128:AWG654217 AMK654128:AMK654217 ACO654128:ACO654217 SS654128:SS654217 IW654128:IW654217 A654134:A654223 WVI588592:WVI588681 WLM588592:WLM588681 WBQ588592:WBQ588681 VRU588592:VRU588681 VHY588592:VHY588681 UYC588592:UYC588681 UOG588592:UOG588681 UEK588592:UEK588681 TUO588592:TUO588681 TKS588592:TKS588681 TAW588592:TAW588681 SRA588592:SRA588681 SHE588592:SHE588681 RXI588592:RXI588681 RNM588592:RNM588681 RDQ588592:RDQ588681 QTU588592:QTU588681 QJY588592:QJY588681 QAC588592:QAC588681 PQG588592:PQG588681 PGK588592:PGK588681 OWO588592:OWO588681 OMS588592:OMS588681 OCW588592:OCW588681 NTA588592:NTA588681 NJE588592:NJE588681 MZI588592:MZI588681 MPM588592:MPM588681 MFQ588592:MFQ588681 LVU588592:LVU588681 LLY588592:LLY588681 LCC588592:LCC588681 KSG588592:KSG588681 KIK588592:KIK588681 JYO588592:JYO588681 JOS588592:JOS588681 JEW588592:JEW588681 IVA588592:IVA588681 ILE588592:ILE588681 IBI588592:IBI588681 HRM588592:HRM588681 HHQ588592:HHQ588681 GXU588592:GXU588681 GNY588592:GNY588681 GEC588592:GEC588681 FUG588592:FUG588681 FKK588592:FKK588681 FAO588592:FAO588681 EQS588592:EQS588681 EGW588592:EGW588681 DXA588592:DXA588681 DNE588592:DNE588681 DDI588592:DDI588681 CTM588592:CTM588681 CJQ588592:CJQ588681 BZU588592:BZU588681 BPY588592:BPY588681 BGC588592:BGC588681 AWG588592:AWG588681 AMK588592:AMK588681 ACO588592:ACO588681 SS588592:SS588681 IW588592:IW588681 A588598:A588687 WVI523056:WVI523145 WLM523056:WLM523145 WBQ523056:WBQ523145 VRU523056:VRU523145 VHY523056:VHY523145 UYC523056:UYC523145 UOG523056:UOG523145 UEK523056:UEK523145 TUO523056:TUO523145 TKS523056:TKS523145 TAW523056:TAW523145 SRA523056:SRA523145 SHE523056:SHE523145 RXI523056:RXI523145 RNM523056:RNM523145 RDQ523056:RDQ523145 QTU523056:QTU523145 QJY523056:QJY523145 QAC523056:QAC523145 PQG523056:PQG523145 PGK523056:PGK523145 OWO523056:OWO523145 OMS523056:OMS523145 OCW523056:OCW523145 NTA523056:NTA523145 NJE523056:NJE523145 MZI523056:MZI523145 MPM523056:MPM523145 MFQ523056:MFQ523145 LVU523056:LVU523145 LLY523056:LLY523145 LCC523056:LCC523145 KSG523056:KSG523145 KIK523056:KIK523145 JYO523056:JYO523145 JOS523056:JOS523145 JEW523056:JEW523145 IVA523056:IVA523145 ILE523056:ILE523145 IBI523056:IBI523145 HRM523056:HRM523145 HHQ523056:HHQ523145 GXU523056:GXU523145 GNY523056:GNY523145 GEC523056:GEC523145 FUG523056:FUG523145 FKK523056:FKK523145 FAO523056:FAO523145 EQS523056:EQS523145 EGW523056:EGW523145 DXA523056:DXA523145 DNE523056:DNE523145 DDI523056:DDI523145 CTM523056:CTM523145 CJQ523056:CJQ523145 BZU523056:BZU523145 BPY523056:BPY523145 BGC523056:BGC523145 AWG523056:AWG523145 AMK523056:AMK523145 ACO523056:ACO523145 SS523056:SS523145 IW523056:IW523145 A523062:A523151 WVI457520:WVI457609 WLM457520:WLM457609 WBQ457520:WBQ457609 VRU457520:VRU457609 VHY457520:VHY457609 UYC457520:UYC457609 UOG457520:UOG457609 UEK457520:UEK457609 TUO457520:TUO457609 TKS457520:TKS457609 TAW457520:TAW457609 SRA457520:SRA457609 SHE457520:SHE457609 RXI457520:RXI457609 RNM457520:RNM457609 RDQ457520:RDQ457609 QTU457520:QTU457609 QJY457520:QJY457609 QAC457520:QAC457609 PQG457520:PQG457609 PGK457520:PGK457609 OWO457520:OWO457609 OMS457520:OMS457609 OCW457520:OCW457609 NTA457520:NTA457609 NJE457520:NJE457609 MZI457520:MZI457609 MPM457520:MPM457609 MFQ457520:MFQ457609 LVU457520:LVU457609 LLY457520:LLY457609 LCC457520:LCC457609 KSG457520:KSG457609 KIK457520:KIK457609 JYO457520:JYO457609 JOS457520:JOS457609 JEW457520:JEW457609 IVA457520:IVA457609 ILE457520:ILE457609 IBI457520:IBI457609 HRM457520:HRM457609 HHQ457520:HHQ457609 GXU457520:GXU457609 GNY457520:GNY457609 GEC457520:GEC457609 FUG457520:FUG457609 FKK457520:FKK457609 FAO457520:FAO457609 EQS457520:EQS457609 EGW457520:EGW457609 DXA457520:DXA457609 DNE457520:DNE457609 DDI457520:DDI457609 CTM457520:CTM457609 CJQ457520:CJQ457609 BZU457520:BZU457609 BPY457520:BPY457609 BGC457520:BGC457609 AWG457520:AWG457609 AMK457520:AMK457609 ACO457520:ACO457609 SS457520:SS457609 IW457520:IW457609 A457526:A457615 WVI391984:WVI392073 WLM391984:WLM392073 WBQ391984:WBQ392073 VRU391984:VRU392073 VHY391984:VHY392073 UYC391984:UYC392073 UOG391984:UOG392073 UEK391984:UEK392073 TUO391984:TUO392073 TKS391984:TKS392073 TAW391984:TAW392073 SRA391984:SRA392073 SHE391984:SHE392073 RXI391984:RXI392073 RNM391984:RNM392073 RDQ391984:RDQ392073 QTU391984:QTU392073 QJY391984:QJY392073 QAC391984:QAC392073 PQG391984:PQG392073 PGK391984:PGK392073 OWO391984:OWO392073 OMS391984:OMS392073 OCW391984:OCW392073 NTA391984:NTA392073 NJE391984:NJE392073 MZI391984:MZI392073 MPM391984:MPM392073 MFQ391984:MFQ392073 LVU391984:LVU392073 LLY391984:LLY392073 LCC391984:LCC392073 KSG391984:KSG392073 KIK391984:KIK392073 JYO391984:JYO392073 JOS391984:JOS392073 JEW391984:JEW392073 IVA391984:IVA392073 ILE391984:ILE392073 IBI391984:IBI392073 HRM391984:HRM392073 HHQ391984:HHQ392073 GXU391984:GXU392073 GNY391984:GNY392073 GEC391984:GEC392073 FUG391984:FUG392073 FKK391984:FKK392073 FAO391984:FAO392073 EQS391984:EQS392073 EGW391984:EGW392073 DXA391984:DXA392073 DNE391984:DNE392073 DDI391984:DDI392073 CTM391984:CTM392073 CJQ391984:CJQ392073 BZU391984:BZU392073 BPY391984:BPY392073 BGC391984:BGC392073 AWG391984:AWG392073 AMK391984:AMK392073 ACO391984:ACO392073 SS391984:SS392073 IW391984:IW392073 A391990:A392079 WVI326448:WVI326537 WLM326448:WLM326537 WBQ326448:WBQ326537 VRU326448:VRU326537 VHY326448:VHY326537 UYC326448:UYC326537 UOG326448:UOG326537 UEK326448:UEK326537 TUO326448:TUO326537 TKS326448:TKS326537 TAW326448:TAW326537 SRA326448:SRA326537 SHE326448:SHE326537 RXI326448:RXI326537 RNM326448:RNM326537 RDQ326448:RDQ326537 QTU326448:QTU326537 QJY326448:QJY326537 QAC326448:QAC326537 PQG326448:PQG326537 PGK326448:PGK326537 OWO326448:OWO326537 OMS326448:OMS326537 OCW326448:OCW326537 NTA326448:NTA326537 NJE326448:NJE326537 MZI326448:MZI326537 MPM326448:MPM326537 MFQ326448:MFQ326537 LVU326448:LVU326537 LLY326448:LLY326537 LCC326448:LCC326537 KSG326448:KSG326537 KIK326448:KIK326537 JYO326448:JYO326537 JOS326448:JOS326537 JEW326448:JEW326537 IVA326448:IVA326537 ILE326448:ILE326537 IBI326448:IBI326537 HRM326448:HRM326537 HHQ326448:HHQ326537 GXU326448:GXU326537 GNY326448:GNY326537 GEC326448:GEC326537 FUG326448:FUG326537 FKK326448:FKK326537 FAO326448:FAO326537 EQS326448:EQS326537 EGW326448:EGW326537 DXA326448:DXA326537 DNE326448:DNE326537 DDI326448:DDI326537 CTM326448:CTM326537 CJQ326448:CJQ326537 BZU326448:BZU326537 BPY326448:BPY326537 BGC326448:BGC326537 AWG326448:AWG326537 AMK326448:AMK326537 ACO326448:ACO326537 SS326448:SS326537 IW326448:IW326537 A326454:A326543 WVI260912:WVI261001 WLM260912:WLM261001 WBQ260912:WBQ261001 VRU260912:VRU261001 VHY260912:VHY261001 UYC260912:UYC261001 UOG260912:UOG261001 UEK260912:UEK261001 TUO260912:TUO261001 TKS260912:TKS261001 TAW260912:TAW261001 SRA260912:SRA261001 SHE260912:SHE261001 RXI260912:RXI261001 RNM260912:RNM261001 RDQ260912:RDQ261001 QTU260912:QTU261001 QJY260912:QJY261001 QAC260912:QAC261001 PQG260912:PQG261001 PGK260912:PGK261001 OWO260912:OWO261001 OMS260912:OMS261001 OCW260912:OCW261001 NTA260912:NTA261001 NJE260912:NJE261001 MZI260912:MZI261001 MPM260912:MPM261001 MFQ260912:MFQ261001 LVU260912:LVU261001 LLY260912:LLY261001 LCC260912:LCC261001 KSG260912:KSG261001 KIK260912:KIK261001 JYO260912:JYO261001 JOS260912:JOS261001 JEW260912:JEW261001 IVA260912:IVA261001 ILE260912:ILE261001 IBI260912:IBI261001 HRM260912:HRM261001 HHQ260912:HHQ261001 GXU260912:GXU261001 GNY260912:GNY261001 GEC260912:GEC261001 FUG260912:FUG261001 FKK260912:FKK261001 FAO260912:FAO261001 EQS260912:EQS261001 EGW260912:EGW261001 DXA260912:DXA261001 DNE260912:DNE261001 DDI260912:DDI261001 CTM260912:CTM261001 CJQ260912:CJQ261001 BZU260912:BZU261001 BPY260912:BPY261001 BGC260912:BGC261001 AWG260912:AWG261001 AMK260912:AMK261001 ACO260912:ACO261001 SS260912:SS261001 IW260912:IW261001 A260918:A261007 WVI195376:WVI195465 WLM195376:WLM195465 WBQ195376:WBQ195465 VRU195376:VRU195465 VHY195376:VHY195465 UYC195376:UYC195465 UOG195376:UOG195465 UEK195376:UEK195465 TUO195376:TUO195465 TKS195376:TKS195465 TAW195376:TAW195465 SRA195376:SRA195465 SHE195376:SHE195465 RXI195376:RXI195465 RNM195376:RNM195465 RDQ195376:RDQ195465 QTU195376:QTU195465 QJY195376:QJY195465 QAC195376:QAC195465 PQG195376:PQG195465 PGK195376:PGK195465 OWO195376:OWO195465 OMS195376:OMS195465 OCW195376:OCW195465 NTA195376:NTA195465 NJE195376:NJE195465 MZI195376:MZI195465 MPM195376:MPM195465 MFQ195376:MFQ195465 LVU195376:LVU195465 LLY195376:LLY195465 LCC195376:LCC195465 KSG195376:KSG195465 KIK195376:KIK195465 JYO195376:JYO195465 JOS195376:JOS195465 JEW195376:JEW195465 IVA195376:IVA195465 ILE195376:ILE195465 IBI195376:IBI195465 HRM195376:HRM195465 HHQ195376:HHQ195465 GXU195376:GXU195465 GNY195376:GNY195465 GEC195376:GEC195465 FUG195376:FUG195465 FKK195376:FKK195465 FAO195376:FAO195465 EQS195376:EQS195465 EGW195376:EGW195465 DXA195376:DXA195465 DNE195376:DNE195465 DDI195376:DDI195465 CTM195376:CTM195465 CJQ195376:CJQ195465 BZU195376:BZU195465 BPY195376:BPY195465 BGC195376:BGC195465 AWG195376:AWG195465 AMK195376:AMK195465 ACO195376:ACO195465 SS195376:SS195465 IW195376:IW195465 A195382:A195471 WVI129840:WVI129929 WLM129840:WLM129929 WBQ129840:WBQ129929 VRU129840:VRU129929 VHY129840:VHY129929 UYC129840:UYC129929 UOG129840:UOG129929 UEK129840:UEK129929 TUO129840:TUO129929 TKS129840:TKS129929 TAW129840:TAW129929 SRA129840:SRA129929 SHE129840:SHE129929 RXI129840:RXI129929 RNM129840:RNM129929 RDQ129840:RDQ129929 QTU129840:QTU129929 QJY129840:QJY129929 QAC129840:QAC129929 PQG129840:PQG129929 PGK129840:PGK129929 OWO129840:OWO129929 OMS129840:OMS129929 OCW129840:OCW129929 NTA129840:NTA129929 NJE129840:NJE129929 MZI129840:MZI129929 MPM129840:MPM129929 MFQ129840:MFQ129929 LVU129840:LVU129929 LLY129840:LLY129929 LCC129840:LCC129929 KSG129840:KSG129929 KIK129840:KIK129929 JYO129840:JYO129929 JOS129840:JOS129929 JEW129840:JEW129929 IVA129840:IVA129929 ILE129840:ILE129929 IBI129840:IBI129929 HRM129840:HRM129929 HHQ129840:HHQ129929 GXU129840:GXU129929 GNY129840:GNY129929 GEC129840:GEC129929 FUG129840:FUG129929 FKK129840:FKK129929 FAO129840:FAO129929 EQS129840:EQS129929 EGW129840:EGW129929 DXA129840:DXA129929 DNE129840:DNE129929 DDI129840:DDI129929 CTM129840:CTM129929 CJQ129840:CJQ129929 BZU129840:BZU129929 BPY129840:BPY129929 BGC129840:BGC129929 AWG129840:AWG129929 AMK129840:AMK129929 ACO129840:ACO129929 SS129840:SS129929 IW129840:IW129929 A129846:A129935 WVI64304:WVI64393 WLM64304:WLM64393 WBQ64304:WBQ64393 VRU64304:VRU64393 VHY64304:VHY64393 UYC64304:UYC64393 UOG64304:UOG64393 UEK64304:UEK64393 TUO64304:TUO64393 TKS64304:TKS64393 TAW64304:TAW64393 SRA64304:SRA64393 SHE64304:SHE64393 RXI64304:RXI64393 RNM64304:RNM64393 RDQ64304:RDQ64393 QTU64304:QTU64393 QJY64304:QJY64393 QAC64304:QAC64393 PQG64304:PQG64393 PGK64304:PGK64393 OWO64304:OWO64393 OMS64304:OMS64393 OCW64304:OCW64393 NTA64304:NTA64393 NJE64304:NJE64393 MZI64304:MZI64393 MPM64304:MPM64393 MFQ64304:MFQ64393 LVU64304:LVU64393 LLY64304:LLY64393 LCC64304:LCC64393 KSG64304:KSG64393 KIK64304:KIK64393 JYO64304:JYO64393 JOS64304:JOS64393 JEW64304:JEW64393 IVA64304:IVA64393 ILE64304:ILE64393 IBI64304:IBI64393 HRM64304:HRM64393 HHQ64304:HHQ64393 GXU64304:GXU64393 GNY64304:GNY64393 GEC64304:GEC64393 FUG64304:FUG64393 FKK64304:FKK64393 FAO64304:FAO64393 EQS64304:EQS64393 EGW64304:EGW64393 DXA64304:DXA64393 DNE64304:DNE64393 DDI64304:DDI64393 CTM64304:CTM64393 CJQ64304:CJQ64393 BZU64304:BZU64393 BPY64304:BPY64393 BGC64304:BGC64393 AWG64304:AWG64393 AMK64304:AMK64393 ACO64304:ACO64393 SS64304:SS64393 IW64304:IW64393 A64310:A64399 IW2:IW76 SS2:SS76 ACO2:ACO76 AMK2:AMK76 AWG2:AWG76 BGC2:BGC76 BPY2:BPY76 BZU2:BZU76 CJQ2:CJQ76 CTM2:CTM76 DDI2:DDI76 DNE2:DNE76 DXA2:DXA76 EGW2:EGW76 EQS2:EQS76 FAO2:FAO76 FKK2:FKK76 FUG2:FUG76 GEC2:GEC76 GNY2:GNY76 GXU2:GXU76 HHQ2:HHQ76 HRM2:HRM76 IBI2:IBI76 ILE2:ILE76 IVA2:IVA76 JEW2:JEW76 JOS2:JOS76 JYO2:JYO76 KIK2:KIK76 KSG2:KSG76 LCC2:LCC76 LLY2:LLY76 LVU2:LVU76 MFQ2:MFQ76 MPM2:MPM76 MZI2:MZI76 NJE2:NJE76 NTA2:NTA76 OCW2:OCW76 OMS2:OMS76 OWO2:OWO76 PGK2:PGK76 PQG2:PQG76 QAC2:QAC76 QJY2:QJY76 QTU2:QTU76 RDQ2:RDQ76 RNM2:RNM76 RXI2:RXI76 SHE2:SHE76 SRA2:SRA76 TAW2:TAW76 TKS2:TKS76 TUO2:TUO76 UEK2:UEK76 UOG2:UOG76 UYC2:UYC76 VHY2:VHY76 VRU2:VRU76 WBQ2:WBQ76 WLM2:WLM76 WVI2:WVI76" xr:uid="{9D9FE5FE-7036-4943-A97F-9F3F5E5F01D6}">
      <formula1>$AE$2:$AE$22</formula1>
    </dataValidation>
    <dataValidation type="list" allowBlank="1" showInputMessage="1" showErrorMessage="1" sqref="WVO981808:WVO981897 WLS981808:WLS981897 WBW981808:WBW981897 VSA981808:VSA981897 VIE981808:VIE981897 UYI981808:UYI981897 UOM981808:UOM981897 UEQ981808:UEQ981897 TUU981808:TUU981897 TKY981808:TKY981897 TBC981808:TBC981897 SRG981808:SRG981897 SHK981808:SHK981897 RXO981808:RXO981897 RNS981808:RNS981897 RDW981808:RDW981897 QUA981808:QUA981897 QKE981808:QKE981897 QAI981808:QAI981897 PQM981808:PQM981897 PGQ981808:PGQ981897 OWU981808:OWU981897 OMY981808:OMY981897 ODC981808:ODC981897 NTG981808:NTG981897 NJK981808:NJK981897 MZO981808:MZO981897 MPS981808:MPS981897 MFW981808:MFW981897 LWA981808:LWA981897 LME981808:LME981897 LCI981808:LCI981897 KSM981808:KSM981897 KIQ981808:KIQ981897 JYU981808:JYU981897 JOY981808:JOY981897 JFC981808:JFC981897 IVG981808:IVG981897 ILK981808:ILK981897 IBO981808:IBO981897 HRS981808:HRS981897 HHW981808:HHW981897 GYA981808:GYA981897 GOE981808:GOE981897 GEI981808:GEI981897 FUM981808:FUM981897 FKQ981808:FKQ981897 FAU981808:FAU981897 EQY981808:EQY981897 EHC981808:EHC981897 DXG981808:DXG981897 DNK981808:DNK981897 DDO981808:DDO981897 CTS981808:CTS981897 CJW981808:CJW981897 CAA981808:CAA981897 BQE981808:BQE981897 BGI981808:BGI981897 AWM981808:AWM981897 AMQ981808:AMQ981897 ACU981808:ACU981897 SY981808:SY981897 JC981808:JC981897 G981817:G981906 WVO916272:WVO916361 WLS916272:WLS916361 WBW916272:WBW916361 VSA916272:VSA916361 VIE916272:VIE916361 UYI916272:UYI916361 UOM916272:UOM916361 UEQ916272:UEQ916361 TUU916272:TUU916361 TKY916272:TKY916361 TBC916272:TBC916361 SRG916272:SRG916361 SHK916272:SHK916361 RXO916272:RXO916361 RNS916272:RNS916361 RDW916272:RDW916361 QUA916272:QUA916361 QKE916272:QKE916361 QAI916272:QAI916361 PQM916272:PQM916361 PGQ916272:PGQ916361 OWU916272:OWU916361 OMY916272:OMY916361 ODC916272:ODC916361 NTG916272:NTG916361 NJK916272:NJK916361 MZO916272:MZO916361 MPS916272:MPS916361 MFW916272:MFW916361 LWA916272:LWA916361 LME916272:LME916361 LCI916272:LCI916361 KSM916272:KSM916361 KIQ916272:KIQ916361 JYU916272:JYU916361 JOY916272:JOY916361 JFC916272:JFC916361 IVG916272:IVG916361 ILK916272:ILK916361 IBO916272:IBO916361 HRS916272:HRS916361 HHW916272:HHW916361 GYA916272:GYA916361 GOE916272:GOE916361 GEI916272:GEI916361 FUM916272:FUM916361 FKQ916272:FKQ916361 FAU916272:FAU916361 EQY916272:EQY916361 EHC916272:EHC916361 DXG916272:DXG916361 DNK916272:DNK916361 DDO916272:DDO916361 CTS916272:CTS916361 CJW916272:CJW916361 CAA916272:CAA916361 BQE916272:BQE916361 BGI916272:BGI916361 AWM916272:AWM916361 AMQ916272:AMQ916361 ACU916272:ACU916361 SY916272:SY916361 JC916272:JC916361 G916281:G916370 WVO850736:WVO850825 WLS850736:WLS850825 WBW850736:WBW850825 VSA850736:VSA850825 VIE850736:VIE850825 UYI850736:UYI850825 UOM850736:UOM850825 UEQ850736:UEQ850825 TUU850736:TUU850825 TKY850736:TKY850825 TBC850736:TBC850825 SRG850736:SRG850825 SHK850736:SHK850825 RXO850736:RXO850825 RNS850736:RNS850825 RDW850736:RDW850825 QUA850736:QUA850825 QKE850736:QKE850825 QAI850736:QAI850825 PQM850736:PQM850825 PGQ850736:PGQ850825 OWU850736:OWU850825 OMY850736:OMY850825 ODC850736:ODC850825 NTG850736:NTG850825 NJK850736:NJK850825 MZO850736:MZO850825 MPS850736:MPS850825 MFW850736:MFW850825 LWA850736:LWA850825 LME850736:LME850825 LCI850736:LCI850825 KSM850736:KSM850825 KIQ850736:KIQ850825 JYU850736:JYU850825 JOY850736:JOY850825 JFC850736:JFC850825 IVG850736:IVG850825 ILK850736:ILK850825 IBO850736:IBO850825 HRS850736:HRS850825 HHW850736:HHW850825 GYA850736:GYA850825 GOE850736:GOE850825 GEI850736:GEI850825 FUM850736:FUM850825 FKQ850736:FKQ850825 FAU850736:FAU850825 EQY850736:EQY850825 EHC850736:EHC850825 DXG850736:DXG850825 DNK850736:DNK850825 DDO850736:DDO850825 CTS850736:CTS850825 CJW850736:CJW850825 CAA850736:CAA850825 BQE850736:BQE850825 BGI850736:BGI850825 AWM850736:AWM850825 AMQ850736:AMQ850825 ACU850736:ACU850825 SY850736:SY850825 JC850736:JC850825 G850745:G850834 WVO785200:WVO785289 WLS785200:WLS785289 WBW785200:WBW785289 VSA785200:VSA785289 VIE785200:VIE785289 UYI785200:UYI785289 UOM785200:UOM785289 UEQ785200:UEQ785289 TUU785200:TUU785289 TKY785200:TKY785289 TBC785200:TBC785289 SRG785200:SRG785289 SHK785200:SHK785289 RXO785200:RXO785289 RNS785200:RNS785289 RDW785200:RDW785289 QUA785200:QUA785289 QKE785200:QKE785289 QAI785200:QAI785289 PQM785200:PQM785289 PGQ785200:PGQ785289 OWU785200:OWU785289 OMY785200:OMY785289 ODC785200:ODC785289 NTG785200:NTG785289 NJK785200:NJK785289 MZO785200:MZO785289 MPS785200:MPS785289 MFW785200:MFW785289 LWA785200:LWA785289 LME785200:LME785289 LCI785200:LCI785289 KSM785200:KSM785289 KIQ785200:KIQ785289 JYU785200:JYU785289 JOY785200:JOY785289 JFC785200:JFC785289 IVG785200:IVG785289 ILK785200:ILK785289 IBO785200:IBO785289 HRS785200:HRS785289 HHW785200:HHW785289 GYA785200:GYA785289 GOE785200:GOE785289 GEI785200:GEI785289 FUM785200:FUM785289 FKQ785200:FKQ785289 FAU785200:FAU785289 EQY785200:EQY785289 EHC785200:EHC785289 DXG785200:DXG785289 DNK785200:DNK785289 DDO785200:DDO785289 CTS785200:CTS785289 CJW785200:CJW785289 CAA785200:CAA785289 BQE785200:BQE785289 BGI785200:BGI785289 AWM785200:AWM785289 AMQ785200:AMQ785289 ACU785200:ACU785289 SY785200:SY785289 JC785200:JC785289 G785209:G785298 WVO719664:WVO719753 WLS719664:WLS719753 WBW719664:WBW719753 VSA719664:VSA719753 VIE719664:VIE719753 UYI719664:UYI719753 UOM719664:UOM719753 UEQ719664:UEQ719753 TUU719664:TUU719753 TKY719664:TKY719753 TBC719664:TBC719753 SRG719664:SRG719753 SHK719664:SHK719753 RXO719664:RXO719753 RNS719664:RNS719753 RDW719664:RDW719753 QUA719664:QUA719753 QKE719664:QKE719753 QAI719664:QAI719753 PQM719664:PQM719753 PGQ719664:PGQ719753 OWU719664:OWU719753 OMY719664:OMY719753 ODC719664:ODC719753 NTG719664:NTG719753 NJK719664:NJK719753 MZO719664:MZO719753 MPS719664:MPS719753 MFW719664:MFW719753 LWA719664:LWA719753 LME719664:LME719753 LCI719664:LCI719753 KSM719664:KSM719753 KIQ719664:KIQ719753 JYU719664:JYU719753 JOY719664:JOY719753 JFC719664:JFC719753 IVG719664:IVG719753 ILK719664:ILK719753 IBO719664:IBO719753 HRS719664:HRS719753 HHW719664:HHW719753 GYA719664:GYA719753 GOE719664:GOE719753 GEI719664:GEI719753 FUM719664:FUM719753 FKQ719664:FKQ719753 FAU719664:FAU719753 EQY719664:EQY719753 EHC719664:EHC719753 DXG719664:DXG719753 DNK719664:DNK719753 DDO719664:DDO719753 CTS719664:CTS719753 CJW719664:CJW719753 CAA719664:CAA719753 BQE719664:BQE719753 BGI719664:BGI719753 AWM719664:AWM719753 AMQ719664:AMQ719753 ACU719664:ACU719753 SY719664:SY719753 JC719664:JC719753 G719673:G719762 WVO654128:WVO654217 WLS654128:WLS654217 WBW654128:WBW654217 VSA654128:VSA654217 VIE654128:VIE654217 UYI654128:UYI654217 UOM654128:UOM654217 UEQ654128:UEQ654217 TUU654128:TUU654217 TKY654128:TKY654217 TBC654128:TBC654217 SRG654128:SRG654217 SHK654128:SHK654217 RXO654128:RXO654217 RNS654128:RNS654217 RDW654128:RDW654217 QUA654128:QUA654217 QKE654128:QKE654217 QAI654128:QAI654217 PQM654128:PQM654217 PGQ654128:PGQ654217 OWU654128:OWU654217 OMY654128:OMY654217 ODC654128:ODC654217 NTG654128:NTG654217 NJK654128:NJK654217 MZO654128:MZO654217 MPS654128:MPS654217 MFW654128:MFW654217 LWA654128:LWA654217 LME654128:LME654217 LCI654128:LCI654217 KSM654128:KSM654217 KIQ654128:KIQ654217 JYU654128:JYU654217 JOY654128:JOY654217 JFC654128:JFC654217 IVG654128:IVG654217 ILK654128:ILK654217 IBO654128:IBO654217 HRS654128:HRS654217 HHW654128:HHW654217 GYA654128:GYA654217 GOE654128:GOE654217 GEI654128:GEI654217 FUM654128:FUM654217 FKQ654128:FKQ654217 FAU654128:FAU654217 EQY654128:EQY654217 EHC654128:EHC654217 DXG654128:DXG654217 DNK654128:DNK654217 DDO654128:DDO654217 CTS654128:CTS654217 CJW654128:CJW654217 CAA654128:CAA654217 BQE654128:BQE654217 BGI654128:BGI654217 AWM654128:AWM654217 AMQ654128:AMQ654217 ACU654128:ACU654217 SY654128:SY654217 JC654128:JC654217 G654137:G654226 WVO588592:WVO588681 WLS588592:WLS588681 WBW588592:WBW588681 VSA588592:VSA588681 VIE588592:VIE588681 UYI588592:UYI588681 UOM588592:UOM588681 UEQ588592:UEQ588681 TUU588592:TUU588681 TKY588592:TKY588681 TBC588592:TBC588681 SRG588592:SRG588681 SHK588592:SHK588681 RXO588592:RXO588681 RNS588592:RNS588681 RDW588592:RDW588681 QUA588592:QUA588681 QKE588592:QKE588681 QAI588592:QAI588681 PQM588592:PQM588681 PGQ588592:PGQ588681 OWU588592:OWU588681 OMY588592:OMY588681 ODC588592:ODC588681 NTG588592:NTG588681 NJK588592:NJK588681 MZO588592:MZO588681 MPS588592:MPS588681 MFW588592:MFW588681 LWA588592:LWA588681 LME588592:LME588681 LCI588592:LCI588681 KSM588592:KSM588681 KIQ588592:KIQ588681 JYU588592:JYU588681 JOY588592:JOY588681 JFC588592:JFC588681 IVG588592:IVG588681 ILK588592:ILK588681 IBO588592:IBO588681 HRS588592:HRS588681 HHW588592:HHW588681 GYA588592:GYA588681 GOE588592:GOE588681 GEI588592:GEI588681 FUM588592:FUM588681 FKQ588592:FKQ588681 FAU588592:FAU588681 EQY588592:EQY588681 EHC588592:EHC588681 DXG588592:DXG588681 DNK588592:DNK588681 DDO588592:DDO588681 CTS588592:CTS588681 CJW588592:CJW588681 CAA588592:CAA588681 BQE588592:BQE588681 BGI588592:BGI588681 AWM588592:AWM588681 AMQ588592:AMQ588681 ACU588592:ACU588681 SY588592:SY588681 JC588592:JC588681 G588601:G588690 WVO523056:WVO523145 WLS523056:WLS523145 WBW523056:WBW523145 VSA523056:VSA523145 VIE523056:VIE523145 UYI523056:UYI523145 UOM523056:UOM523145 UEQ523056:UEQ523145 TUU523056:TUU523145 TKY523056:TKY523145 TBC523056:TBC523145 SRG523056:SRG523145 SHK523056:SHK523145 RXO523056:RXO523145 RNS523056:RNS523145 RDW523056:RDW523145 QUA523056:QUA523145 QKE523056:QKE523145 QAI523056:QAI523145 PQM523056:PQM523145 PGQ523056:PGQ523145 OWU523056:OWU523145 OMY523056:OMY523145 ODC523056:ODC523145 NTG523056:NTG523145 NJK523056:NJK523145 MZO523056:MZO523145 MPS523056:MPS523145 MFW523056:MFW523145 LWA523056:LWA523145 LME523056:LME523145 LCI523056:LCI523145 KSM523056:KSM523145 KIQ523056:KIQ523145 JYU523056:JYU523145 JOY523056:JOY523145 JFC523056:JFC523145 IVG523056:IVG523145 ILK523056:ILK523145 IBO523056:IBO523145 HRS523056:HRS523145 HHW523056:HHW523145 GYA523056:GYA523145 GOE523056:GOE523145 GEI523056:GEI523145 FUM523056:FUM523145 FKQ523056:FKQ523145 FAU523056:FAU523145 EQY523056:EQY523145 EHC523056:EHC523145 DXG523056:DXG523145 DNK523056:DNK523145 DDO523056:DDO523145 CTS523056:CTS523145 CJW523056:CJW523145 CAA523056:CAA523145 BQE523056:BQE523145 BGI523056:BGI523145 AWM523056:AWM523145 AMQ523056:AMQ523145 ACU523056:ACU523145 SY523056:SY523145 JC523056:JC523145 G523065:G523154 WVO457520:WVO457609 WLS457520:WLS457609 WBW457520:WBW457609 VSA457520:VSA457609 VIE457520:VIE457609 UYI457520:UYI457609 UOM457520:UOM457609 UEQ457520:UEQ457609 TUU457520:TUU457609 TKY457520:TKY457609 TBC457520:TBC457609 SRG457520:SRG457609 SHK457520:SHK457609 RXO457520:RXO457609 RNS457520:RNS457609 RDW457520:RDW457609 QUA457520:QUA457609 QKE457520:QKE457609 QAI457520:QAI457609 PQM457520:PQM457609 PGQ457520:PGQ457609 OWU457520:OWU457609 OMY457520:OMY457609 ODC457520:ODC457609 NTG457520:NTG457609 NJK457520:NJK457609 MZO457520:MZO457609 MPS457520:MPS457609 MFW457520:MFW457609 LWA457520:LWA457609 LME457520:LME457609 LCI457520:LCI457609 KSM457520:KSM457609 KIQ457520:KIQ457609 JYU457520:JYU457609 JOY457520:JOY457609 JFC457520:JFC457609 IVG457520:IVG457609 ILK457520:ILK457609 IBO457520:IBO457609 HRS457520:HRS457609 HHW457520:HHW457609 GYA457520:GYA457609 GOE457520:GOE457609 GEI457520:GEI457609 FUM457520:FUM457609 FKQ457520:FKQ457609 FAU457520:FAU457609 EQY457520:EQY457609 EHC457520:EHC457609 DXG457520:DXG457609 DNK457520:DNK457609 DDO457520:DDO457609 CTS457520:CTS457609 CJW457520:CJW457609 CAA457520:CAA457609 BQE457520:BQE457609 BGI457520:BGI457609 AWM457520:AWM457609 AMQ457520:AMQ457609 ACU457520:ACU457609 SY457520:SY457609 JC457520:JC457609 G457529:G457618 WVO391984:WVO392073 WLS391984:WLS392073 WBW391984:WBW392073 VSA391984:VSA392073 VIE391984:VIE392073 UYI391984:UYI392073 UOM391984:UOM392073 UEQ391984:UEQ392073 TUU391984:TUU392073 TKY391984:TKY392073 TBC391984:TBC392073 SRG391984:SRG392073 SHK391984:SHK392073 RXO391984:RXO392073 RNS391984:RNS392073 RDW391984:RDW392073 QUA391984:QUA392073 QKE391984:QKE392073 QAI391984:QAI392073 PQM391984:PQM392073 PGQ391984:PGQ392073 OWU391984:OWU392073 OMY391984:OMY392073 ODC391984:ODC392073 NTG391984:NTG392073 NJK391984:NJK392073 MZO391984:MZO392073 MPS391984:MPS392073 MFW391984:MFW392073 LWA391984:LWA392073 LME391984:LME392073 LCI391984:LCI392073 KSM391984:KSM392073 KIQ391984:KIQ392073 JYU391984:JYU392073 JOY391984:JOY392073 JFC391984:JFC392073 IVG391984:IVG392073 ILK391984:ILK392073 IBO391984:IBO392073 HRS391984:HRS392073 HHW391984:HHW392073 GYA391984:GYA392073 GOE391984:GOE392073 GEI391984:GEI392073 FUM391984:FUM392073 FKQ391984:FKQ392073 FAU391984:FAU392073 EQY391984:EQY392073 EHC391984:EHC392073 DXG391984:DXG392073 DNK391984:DNK392073 DDO391984:DDO392073 CTS391984:CTS392073 CJW391984:CJW392073 CAA391984:CAA392073 BQE391984:BQE392073 BGI391984:BGI392073 AWM391984:AWM392073 AMQ391984:AMQ392073 ACU391984:ACU392073 SY391984:SY392073 JC391984:JC392073 G391993:G392082 WVO326448:WVO326537 WLS326448:WLS326537 WBW326448:WBW326537 VSA326448:VSA326537 VIE326448:VIE326537 UYI326448:UYI326537 UOM326448:UOM326537 UEQ326448:UEQ326537 TUU326448:TUU326537 TKY326448:TKY326537 TBC326448:TBC326537 SRG326448:SRG326537 SHK326448:SHK326537 RXO326448:RXO326537 RNS326448:RNS326537 RDW326448:RDW326537 QUA326448:QUA326537 QKE326448:QKE326537 QAI326448:QAI326537 PQM326448:PQM326537 PGQ326448:PGQ326537 OWU326448:OWU326537 OMY326448:OMY326537 ODC326448:ODC326537 NTG326448:NTG326537 NJK326448:NJK326537 MZO326448:MZO326537 MPS326448:MPS326537 MFW326448:MFW326537 LWA326448:LWA326537 LME326448:LME326537 LCI326448:LCI326537 KSM326448:KSM326537 KIQ326448:KIQ326537 JYU326448:JYU326537 JOY326448:JOY326537 JFC326448:JFC326537 IVG326448:IVG326537 ILK326448:ILK326537 IBO326448:IBO326537 HRS326448:HRS326537 HHW326448:HHW326537 GYA326448:GYA326537 GOE326448:GOE326537 GEI326448:GEI326537 FUM326448:FUM326537 FKQ326448:FKQ326537 FAU326448:FAU326537 EQY326448:EQY326537 EHC326448:EHC326537 DXG326448:DXG326537 DNK326448:DNK326537 DDO326448:DDO326537 CTS326448:CTS326537 CJW326448:CJW326537 CAA326448:CAA326537 BQE326448:BQE326537 BGI326448:BGI326537 AWM326448:AWM326537 AMQ326448:AMQ326537 ACU326448:ACU326537 SY326448:SY326537 JC326448:JC326537 G326457:G326546 WVO260912:WVO261001 WLS260912:WLS261001 WBW260912:WBW261001 VSA260912:VSA261001 VIE260912:VIE261001 UYI260912:UYI261001 UOM260912:UOM261001 UEQ260912:UEQ261001 TUU260912:TUU261001 TKY260912:TKY261001 TBC260912:TBC261001 SRG260912:SRG261001 SHK260912:SHK261001 RXO260912:RXO261001 RNS260912:RNS261001 RDW260912:RDW261001 QUA260912:QUA261001 QKE260912:QKE261001 QAI260912:QAI261001 PQM260912:PQM261001 PGQ260912:PGQ261001 OWU260912:OWU261001 OMY260912:OMY261001 ODC260912:ODC261001 NTG260912:NTG261001 NJK260912:NJK261001 MZO260912:MZO261001 MPS260912:MPS261001 MFW260912:MFW261001 LWA260912:LWA261001 LME260912:LME261001 LCI260912:LCI261001 KSM260912:KSM261001 KIQ260912:KIQ261001 JYU260912:JYU261001 JOY260912:JOY261001 JFC260912:JFC261001 IVG260912:IVG261001 ILK260912:ILK261001 IBO260912:IBO261001 HRS260912:HRS261001 HHW260912:HHW261001 GYA260912:GYA261001 GOE260912:GOE261001 GEI260912:GEI261001 FUM260912:FUM261001 FKQ260912:FKQ261001 FAU260912:FAU261001 EQY260912:EQY261001 EHC260912:EHC261001 DXG260912:DXG261001 DNK260912:DNK261001 DDO260912:DDO261001 CTS260912:CTS261001 CJW260912:CJW261001 CAA260912:CAA261001 BQE260912:BQE261001 BGI260912:BGI261001 AWM260912:AWM261001 AMQ260912:AMQ261001 ACU260912:ACU261001 SY260912:SY261001 JC260912:JC261001 G260921:G261010 WVO195376:WVO195465 WLS195376:WLS195465 WBW195376:WBW195465 VSA195376:VSA195465 VIE195376:VIE195465 UYI195376:UYI195465 UOM195376:UOM195465 UEQ195376:UEQ195465 TUU195376:TUU195465 TKY195376:TKY195465 TBC195376:TBC195465 SRG195376:SRG195465 SHK195376:SHK195465 RXO195376:RXO195465 RNS195376:RNS195465 RDW195376:RDW195465 QUA195376:QUA195465 QKE195376:QKE195465 QAI195376:QAI195465 PQM195376:PQM195465 PGQ195376:PGQ195465 OWU195376:OWU195465 OMY195376:OMY195465 ODC195376:ODC195465 NTG195376:NTG195465 NJK195376:NJK195465 MZO195376:MZO195465 MPS195376:MPS195465 MFW195376:MFW195465 LWA195376:LWA195465 LME195376:LME195465 LCI195376:LCI195465 KSM195376:KSM195465 KIQ195376:KIQ195465 JYU195376:JYU195465 JOY195376:JOY195465 JFC195376:JFC195465 IVG195376:IVG195465 ILK195376:ILK195465 IBO195376:IBO195465 HRS195376:HRS195465 HHW195376:HHW195465 GYA195376:GYA195465 GOE195376:GOE195465 GEI195376:GEI195465 FUM195376:FUM195465 FKQ195376:FKQ195465 FAU195376:FAU195465 EQY195376:EQY195465 EHC195376:EHC195465 DXG195376:DXG195465 DNK195376:DNK195465 DDO195376:DDO195465 CTS195376:CTS195465 CJW195376:CJW195465 CAA195376:CAA195465 BQE195376:BQE195465 BGI195376:BGI195465 AWM195376:AWM195465 AMQ195376:AMQ195465 ACU195376:ACU195465 SY195376:SY195465 JC195376:JC195465 G195385:G195474 WVO129840:WVO129929 WLS129840:WLS129929 WBW129840:WBW129929 VSA129840:VSA129929 VIE129840:VIE129929 UYI129840:UYI129929 UOM129840:UOM129929 UEQ129840:UEQ129929 TUU129840:TUU129929 TKY129840:TKY129929 TBC129840:TBC129929 SRG129840:SRG129929 SHK129840:SHK129929 RXO129840:RXO129929 RNS129840:RNS129929 RDW129840:RDW129929 QUA129840:QUA129929 QKE129840:QKE129929 QAI129840:QAI129929 PQM129840:PQM129929 PGQ129840:PGQ129929 OWU129840:OWU129929 OMY129840:OMY129929 ODC129840:ODC129929 NTG129840:NTG129929 NJK129840:NJK129929 MZO129840:MZO129929 MPS129840:MPS129929 MFW129840:MFW129929 LWA129840:LWA129929 LME129840:LME129929 LCI129840:LCI129929 KSM129840:KSM129929 KIQ129840:KIQ129929 JYU129840:JYU129929 JOY129840:JOY129929 JFC129840:JFC129929 IVG129840:IVG129929 ILK129840:ILK129929 IBO129840:IBO129929 HRS129840:HRS129929 HHW129840:HHW129929 GYA129840:GYA129929 GOE129840:GOE129929 GEI129840:GEI129929 FUM129840:FUM129929 FKQ129840:FKQ129929 FAU129840:FAU129929 EQY129840:EQY129929 EHC129840:EHC129929 DXG129840:DXG129929 DNK129840:DNK129929 DDO129840:DDO129929 CTS129840:CTS129929 CJW129840:CJW129929 CAA129840:CAA129929 BQE129840:BQE129929 BGI129840:BGI129929 AWM129840:AWM129929 AMQ129840:AMQ129929 ACU129840:ACU129929 SY129840:SY129929 JC129840:JC129929 G129849:G129938 WVO64304:WVO64393 WLS64304:WLS64393 WBW64304:WBW64393 VSA64304:VSA64393 VIE64304:VIE64393 UYI64304:UYI64393 UOM64304:UOM64393 UEQ64304:UEQ64393 TUU64304:TUU64393 TKY64304:TKY64393 TBC64304:TBC64393 SRG64304:SRG64393 SHK64304:SHK64393 RXO64304:RXO64393 RNS64304:RNS64393 RDW64304:RDW64393 QUA64304:QUA64393 QKE64304:QKE64393 QAI64304:QAI64393 PQM64304:PQM64393 PGQ64304:PGQ64393 OWU64304:OWU64393 OMY64304:OMY64393 ODC64304:ODC64393 NTG64304:NTG64393 NJK64304:NJK64393 MZO64304:MZO64393 MPS64304:MPS64393 MFW64304:MFW64393 LWA64304:LWA64393 LME64304:LME64393 LCI64304:LCI64393 KSM64304:KSM64393 KIQ64304:KIQ64393 JYU64304:JYU64393 JOY64304:JOY64393 JFC64304:JFC64393 IVG64304:IVG64393 ILK64304:ILK64393 IBO64304:IBO64393 HRS64304:HRS64393 HHW64304:HHW64393 GYA64304:GYA64393 GOE64304:GOE64393 GEI64304:GEI64393 FUM64304:FUM64393 FKQ64304:FKQ64393 FAU64304:FAU64393 EQY64304:EQY64393 EHC64304:EHC64393 DXG64304:DXG64393 DNK64304:DNK64393 DDO64304:DDO64393 CTS64304:CTS64393 CJW64304:CJW64393 CAA64304:CAA64393 BQE64304:BQE64393 BGI64304:BGI64393 AWM64304:AWM64393 AMQ64304:AMQ64393 ACU64304:ACU64393 SY64304:SY64393 JC64304:JC64393 G64313:G64402 JC2:JC76 SY2:SY76 ACU2:ACU76 AMQ2:AMQ76 AWM2:AWM76 BGI2:BGI76 BQE2:BQE76 CAA2:CAA76 CJW2:CJW76 CTS2:CTS76 DDO2:DDO76 DNK2:DNK76 DXG2:DXG76 EHC2:EHC76 EQY2:EQY76 FAU2:FAU76 FKQ2:FKQ76 FUM2:FUM76 GEI2:GEI76 GOE2:GOE76 GYA2:GYA76 HHW2:HHW76 HRS2:HRS76 IBO2:IBO76 ILK2:ILK76 IVG2:IVG76 JFC2:JFC76 JOY2:JOY76 JYU2:JYU76 KIQ2:KIQ76 KSM2:KSM76 LCI2:LCI76 LME2:LME76 LWA2:LWA76 MFW2:MFW76 MPS2:MPS76 MZO2:MZO76 NJK2:NJK76 NTG2:NTG76 ODC2:ODC76 OMY2:OMY76 OWU2:OWU76 PGQ2:PGQ76 PQM2:PQM76 QAI2:QAI76 QKE2:QKE76 QUA2:QUA76 RDW2:RDW76 RNS2:RNS76 RXO2:RXO76 SHK2:SHK76 SRG2:SRG76 TBC2:TBC76 TKY2:TKY76 TUU2:TUU76 UEQ2:UEQ76 UOM2:UOM76 UYI2:UYI76 VIE2:VIE76 VSA2:VSA76 WBW2:WBW76 WLS2:WLS76 WVO2:WVO76 G2:G686" xr:uid="{3E9380E4-8E55-43D0-8289-572DDBD3D324}">
      <formula1>$AJ$2:$AJ$4</formula1>
    </dataValidation>
    <dataValidation type="list" allowBlank="1" showInputMessage="1" showErrorMessage="1" sqref="WVP981808:WVP981897 WLT981808:WLT981897 WBX981808:WBX981897 VSB981808:VSB981897 VIF981808:VIF981897 UYJ981808:UYJ981897 UON981808:UON981897 UER981808:UER981897 TUV981808:TUV981897 TKZ981808:TKZ981897 TBD981808:TBD981897 SRH981808:SRH981897 SHL981808:SHL981897 RXP981808:RXP981897 RNT981808:RNT981897 RDX981808:RDX981897 QUB981808:QUB981897 QKF981808:QKF981897 QAJ981808:QAJ981897 PQN981808:PQN981897 PGR981808:PGR981897 OWV981808:OWV981897 OMZ981808:OMZ981897 ODD981808:ODD981897 NTH981808:NTH981897 NJL981808:NJL981897 MZP981808:MZP981897 MPT981808:MPT981897 MFX981808:MFX981897 LWB981808:LWB981897 LMF981808:LMF981897 LCJ981808:LCJ981897 KSN981808:KSN981897 KIR981808:KIR981897 JYV981808:JYV981897 JOZ981808:JOZ981897 JFD981808:JFD981897 IVH981808:IVH981897 ILL981808:ILL981897 IBP981808:IBP981897 HRT981808:HRT981897 HHX981808:HHX981897 GYB981808:GYB981897 GOF981808:GOF981897 GEJ981808:GEJ981897 FUN981808:FUN981897 FKR981808:FKR981897 FAV981808:FAV981897 EQZ981808:EQZ981897 EHD981808:EHD981897 DXH981808:DXH981897 DNL981808:DNL981897 DDP981808:DDP981897 CTT981808:CTT981897 CJX981808:CJX981897 CAB981808:CAB981897 BQF981808:BQF981897 BGJ981808:BGJ981897 AWN981808:AWN981897 AMR981808:AMR981897 ACV981808:ACV981897 SZ981808:SZ981897 JD981808:JD981897 H981829:H981918 WVP916272:WVP916361 WLT916272:WLT916361 WBX916272:WBX916361 VSB916272:VSB916361 VIF916272:VIF916361 UYJ916272:UYJ916361 UON916272:UON916361 UER916272:UER916361 TUV916272:TUV916361 TKZ916272:TKZ916361 TBD916272:TBD916361 SRH916272:SRH916361 SHL916272:SHL916361 RXP916272:RXP916361 RNT916272:RNT916361 RDX916272:RDX916361 QUB916272:QUB916361 QKF916272:QKF916361 QAJ916272:QAJ916361 PQN916272:PQN916361 PGR916272:PGR916361 OWV916272:OWV916361 OMZ916272:OMZ916361 ODD916272:ODD916361 NTH916272:NTH916361 NJL916272:NJL916361 MZP916272:MZP916361 MPT916272:MPT916361 MFX916272:MFX916361 LWB916272:LWB916361 LMF916272:LMF916361 LCJ916272:LCJ916361 KSN916272:KSN916361 KIR916272:KIR916361 JYV916272:JYV916361 JOZ916272:JOZ916361 JFD916272:JFD916361 IVH916272:IVH916361 ILL916272:ILL916361 IBP916272:IBP916361 HRT916272:HRT916361 HHX916272:HHX916361 GYB916272:GYB916361 GOF916272:GOF916361 GEJ916272:GEJ916361 FUN916272:FUN916361 FKR916272:FKR916361 FAV916272:FAV916361 EQZ916272:EQZ916361 EHD916272:EHD916361 DXH916272:DXH916361 DNL916272:DNL916361 DDP916272:DDP916361 CTT916272:CTT916361 CJX916272:CJX916361 CAB916272:CAB916361 BQF916272:BQF916361 BGJ916272:BGJ916361 AWN916272:AWN916361 AMR916272:AMR916361 ACV916272:ACV916361 SZ916272:SZ916361 JD916272:JD916361 H916293:H916382 WVP850736:WVP850825 WLT850736:WLT850825 WBX850736:WBX850825 VSB850736:VSB850825 VIF850736:VIF850825 UYJ850736:UYJ850825 UON850736:UON850825 UER850736:UER850825 TUV850736:TUV850825 TKZ850736:TKZ850825 TBD850736:TBD850825 SRH850736:SRH850825 SHL850736:SHL850825 RXP850736:RXP850825 RNT850736:RNT850825 RDX850736:RDX850825 QUB850736:QUB850825 QKF850736:QKF850825 QAJ850736:QAJ850825 PQN850736:PQN850825 PGR850736:PGR850825 OWV850736:OWV850825 OMZ850736:OMZ850825 ODD850736:ODD850825 NTH850736:NTH850825 NJL850736:NJL850825 MZP850736:MZP850825 MPT850736:MPT850825 MFX850736:MFX850825 LWB850736:LWB850825 LMF850736:LMF850825 LCJ850736:LCJ850825 KSN850736:KSN850825 KIR850736:KIR850825 JYV850736:JYV850825 JOZ850736:JOZ850825 JFD850736:JFD850825 IVH850736:IVH850825 ILL850736:ILL850825 IBP850736:IBP850825 HRT850736:HRT850825 HHX850736:HHX850825 GYB850736:GYB850825 GOF850736:GOF850825 GEJ850736:GEJ850825 FUN850736:FUN850825 FKR850736:FKR850825 FAV850736:FAV850825 EQZ850736:EQZ850825 EHD850736:EHD850825 DXH850736:DXH850825 DNL850736:DNL850825 DDP850736:DDP850825 CTT850736:CTT850825 CJX850736:CJX850825 CAB850736:CAB850825 BQF850736:BQF850825 BGJ850736:BGJ850825 AWN850736:AWN850825 AMR850736:AMR850825 ACV850736:ACV850825 SZ850736:SZ850825 JD850736:JD850825 H850757:H850846 WVP785200:WVP785289 WLT785200:WLT785289 WBX785200:WBX785289 VSB785200:VSB785289 VIF785200:VIF785289 UYJ785200:UYJ785289 UON785200:UON785289 UER785200:UER785289 TUV785200:TUV785289 TKZ785200:TKZ785289 TBD785200:TBD785289 SRH785200:SRH785289 SHL785200:SHL785289 RXP785200:RXP785289 RNT785200:RNT785289 RDX785200:RDX785289 QUB785200:QUB785289 QKF785200:QKF785289 QAJ785200:QAJ785289 PQN785200:PQN785289 PGR785200:PGR785289 OWV785200:OWV785289 OMZ785200:OMZ785289 ODD785200:ODD785289 NTH785200:NTH785289 NJL785200:NJL785289 MZP785200:MZP785289 MPT785200:MPT785289 MFX785200:MFX785289 LWB785200:LWB785289 LMF785200:LMF785289 LCJ785200:LCJ785289 KSN785200:KSN785289 KIR785200:KIR785289 JYV785200:JYV785289 JOZ785200:JOZ785289 JFD785200:JFD785289 IVH785200:IVH785289 ILL785200:ILL785289 IBP785200:IBP785289 HRT785200:HRT785289 HHX785200:HHX785289 GYB785200:GYB785289 GOF785200:GOF785289 GEJ785200:GEJ785289 FUN785200:FUN785289 FKR785200:FKR785289 FAV785200:FAV785289 EQZ785200:EQZ785289 EHD785200:EHD785289 DXH785200:DXH785289 DNL785200:DNL785289 DDP785200:DDP785289 CTT785200:CTT785289 CJX785200:CJX785289 CAB785200:CAB785289 BQF785200:BQF785289 BGJ785200:BGJ785289 AWN785200:AWN785289 AMR785200:AMR785289 ACV785200:ACV785289 SZ785200:SZ785289 JD785200:JD785289 H785221:H785310 WVP719664:WVP719753 WLT719664:WLT719753 WBX719664:WBX719753 VSB719664:VSB719753 VIF719664:VIF719753 UYJ719664:UYJ719753 UON719664:UON719753 UER719664:UER719753 TUV719664:TUV719753 TKZ719664:TKZ719753 TBD719664:TBD719753 SRH719664:SRH719753 SHL719664:SHL719753 RXP719664:RXP719753 RNT719664:RNT719753 RDX719664:RDX719753 QUB719664:QUB719753 QKF719664:QKF719753 QAJ719664:QAJ719753 PQN719664:PQN719753 PGR719664:PGR719753 OWV719664:OWV719753 OMZ719664:OMZ719753 ODD719664:ODD719753 NTH719664:NTH719753 NJL719664:NJL719753 MZP719664:MZP719753 MPT719664:MPT719753 MFX719664:MFX719753 LWB719664:LWB719753 LMF719664:LMF719753 LCJ719664:LCJ719753 KSN719664:KSN719753 KIR719664:KIR719753 JYV719664:JYV719753 JOZ719664:JOZ719753 JFD719664:JFD719753 IVH719664:IVH719753 ILL719664:ILL719753 IBP719664:IBP719753 HRT719664:HRT719753 HHX719664:HHX719753 GYB719664:GYB719753 GOF719664:GOF719753 GEJ719664:GEJ719753 FUN719664:FUN719753 FKR719664:FKR719753 FAV719664:FAV719753 EQZ719664:EQZ719753 EHD719664:EHD719753 DXH719664:DXH719753 DNL719664:DNL719753 DDP719664:DDP719753 CTT719664:CTT719753 CJX719664:CJX719753 CAB719664:CAB719753 BQF719664:BQF719753 BGJ719664:BGJ719753 AWN719664:AWN719753 AMR719664:AMR719753 ACV719664:ACV719753 SZ719664:SZ719753 JD719664:JD719753 H719685:H719774 WVP654128:WVP654217 WLT654128:WLT654217 WBX654128:WBX654217 VSB654128:VSB654217 VIF654128:VIF654217 UYJ654128:UYJ654217 UON654128:UON654217 UER654128:UER654217 TUV654128:TUV654217 TKZ654128:TKZ654217 TBD654128:TBD654217 SRH654128:SRH654217 SHL654128:SHL654217 RXP654128:RXP654217 RNT654128:RNT654217 RDX654128:RDX654217 QUB654128:QUB654217 QKF654128:QKF654217 QAJ654128:QAJ654217 PQN654128:PQN654217 PGR654128:PGR654217 OWV654128:OWV654217 OMZ654128:OMZ654217 ODD654128:ODD654217 NTH654128:NTH654217 NJL654128:NJL654217 MZP654128:MZP654217 MPT654128:MPT654217 MFX654128:MFX654217 LWB654128:LWB654217 LMF654128:LMF654217 LCJ654128:LCJ654217 KSN654128:KSN654217 KIR654128:KIR654217 JYV654128:JYV654217 JOZ654128:JOZ654217 JFD654128:JFD654217 IVH654128:IVH654217 ILL654128:ILL654217 IBP654128:IBP654217 HRT654128:HRT654217 HHX654128:HHX654217 GYB654128:GYB654217 GOF654128:GOF654217 GEJ654128:GEJ654217 FUN654128:FUN654217 FKR654128:FKR654217 FAV654128:FAV654217 EQZ654128:EQZ654217 EHD654128:EHD654217 DXH654128:DXH654217 DNL654128:DNL654217 DDP654128:DDP654217 CTT654128:CTT654217 CJX654128:CJX654217 CAB654128:CAB654217 BQF654128:BQF654217 BGJ654128:BGJ654217 AWN654128:AWN654217 AMR654128:AMR654217 ACV654128:ACV654217 SZ654128:SZ654217 JD654128:JD654217 H654149:H654238 WVP588592:WVP588681 WLT588592:WLT588681 WBX588592:WBX588681 VSB588592:VSB588681 VIF588592:VIF588681 UYJ588592:UYJ588681 UON588592:UON588681 UER588592:UER588681 TUV588592:TUV588681 TKZ588592:TKZ588681 TBD588592:TBD588681 SRH588592:SRH588681 SHL588592:SHL588681 RXP588592:RXP588681 RNT588592:RNT588681 RDX588592:RDX588681 QUB588592:QUB588681 QKF588592:QKF588681 QAJ588592:QAJ588681 PQN588592:PQN588681 PGR588592:PGR588681 OWV588592:OWV588681 OMZ588592:OMZ588681 ODD588592:ODD588681 NTH588592:NTH588681 NJL588592:NJL588681 MZP588592:MZP588681 MPT588592:MPT588681 MFX588592:MFX588681 LWB588592:LWB588681 LMF588592:LMF588681 LCJ588592:LCJ588681 KSN588592:KSN588681 KIR588592:KIR588681 JYV588592:JYV588681 JOZ588592:JOZ588681 JFD588592:JFD588681 IVH588592:IVH588681 ILL588592:ILL588681 IBP588592:IBP588681 HRT588592:HRT588681 HHX588592:HHX588681 GYB588592:GYB588681 GOF588592:GOF588681 GEJ588592:GEJ588681 FUN588592:FUN588681 FKR588592:FKR588681 FAV588592:FAV588681 EQZ588592:EQZ588681 EHD588592:EHD588681 DXH588592:DXH588681 DNL588592:DNL588681 DDP588592:DDP588681 CTT588592:CTT588681 CJX588592:CJX588681 CAB588592:CAB588681 BQF588592:BQF588681 BGJ588592:BGJ588681 AWN588592:AWN588681 AMR588592:AMR588681 ACV588592:ACV588681 SZ588592:SZ588681 JD588592:JD588681 H588613:H588702 WVP523056:WVP523145 WLT523056:WLT523145 WBX523056:WBX523145 VSB523056:VSB523145 VIF523056:VIF523145 UYJ523056:UYJ523145 UON523056:UON523145 UER523056:UER523145 TUV523056:TUV523145 TKZ523056:TKZ523145 TBD523056:TBD523145 SRH523056:SRH523145 SHL523056:SHL523145 RXP523056:RXP523145 RNT523056:RNT523145 RDX523056:RDX523145 QUB523056:QUB523145 QKF523056:QKF523145 QAJ523056:QAJ523145 PQN523056:PQN523145 PGR523056:PGR523145 OWV523056:OWV523145 OMZ523056:OMZ523145 ODD523056:ODD523145 NTH523056:NTH523145 NJL523056:NJL523145 MZP523056:MZP523145 MPT523056:MPT523145 MFX523056:MFX523145 LWB523056:LWB523145 LMF523056:LMF523145 LCJ523056:LCJ523145 KSN523056:KSN523145 KIR523056:KIR523145 JYV523056:JYV523145 JOZ523056:JOZ523145 JFD523056:JFD523145 IVH523056:IVH523145 ILL523056:ILL523145 IBP523056:IBP523145 HRT523056:HRT523145 HHX523056:HHX523145 GYB523056:GYB523145 GOF523056:GOF523145 GEJ523056:GEJ523145 FUN523056:FUN523145 FKR523056:FKR523145 FAV523056:FAV523145 EQZ523056:EQZ523145 EHD523056:EHD523145 DXH523056:DXH523145 DNL523056:DNL523145 DDP523056:DDP523145 CTT523056:CTT523145 CJX523056:CJX523145 CAB523056:CAB523145 BQF523056:BQF523145 BGJ523056:BGJ523145 AWN523056:AWN523145 AMR523056:AMR523145 ACV523056:ACV523145 SZ523056:SZ523145 JD523056:JD523145 H523077:H523166 WVP457520:WVP457609 WLT457520:WLT457609 WBX457520:WBX457609 VSB457520:VSB457609 VIF457520:VIF457609 UYJ457520:UYJ457609 UON457520:UON457609 UER457520:UER457609 TUV457520:TUV457609 TKZ457520:TKZ457609 TBD457520:TBD457609 SRH457520:SRH457609 SHL457520:SHL457609 RXP457520:RXP457609 RNT457520:RNT457609 RDX457520:RDX457609 QUB457520:QUB457609 QKF457520:QKF457609 QAJ457520:QAJ457609 PQN457520:PQN457609 PGR457520:PGR457609 OWV457520:OWV457609 OMZ457520:OMZ457609 ODD457520:ODD457609 NTH457520:NTH457609 NJL457520:NJL457609 MZP457520:MZP457609 MPT457520:MPT457609 MFX457520:MFX457609 LWB457520:LWB457609 LMF457520:LMF457609 LCJ457520:LCJ457609 KSN457520:KSN457609 KIR457520:KIR457609 JYV457520:JYV457609 JOZ457520:JOZ457609 JFD457520:JFD457609 IVH457520:IVH457609 ILL457520:ILL457609 IBP457520:IBP457609 HRT457520:HRT457609 HHX457520:HHX457609 GYB457520:GYB457609 GOF457520:GOF457609 GEJ457520:GEJ457609 FUN457520:FUN457609 FKR457520:FKR457609 FAV457520:FAV457609 EQZ457520:EQZ457609 EHD457520:EHD457609 DXH457520:DXH457609 DNL457520:DNL457609 DDP457520:DDP457609 CTT457520:CTT457609 CJX457520:CJX457609 CAB457520:CAB457609 BQF457520:BQF457609 BGJ457520:BGJ457609 AWN457520:AWN457609 AMR457520:AMR457609 ACV457520:ACV457609 SZ457520:SZ457609 JD457520:JD457609 H457541:H457630 WVP391984:WVP392073 WLT391984:WLT392073 WBX391984:WBX392073 VSB391984:VSB392073 VIF391984:VIF392073 UYJ391984:UYJ392073 UON391984:UON392073 UER391984:UER392073 TUV391984:TUV392073 TKZ391984:TKZ392073 TBD391984:TBD392073 SRH391984:SRH392073 SHL391984:SHL392073 RXP391984:RXP392073 RNT391984:RNT392073 RDX391984:RDX392073 QUB391984:QUB392073 QKF391984:QKF392073 QAJ391984:QAJ392073 PQN391984:PQN392073 PGR391984:PGR392073 OWV391984:OWV392073 OMZ391984:OMZ392073 ODD391984:ODD392073 NTH391984:NTH392073 NJL391984:NJL392073 MZP391984:MZP392073 MPT391984:MPT392073 MFX391984:MFX392073 LWB391984:LWB392073 LMF391984:LMF392073 LCJ391984:LCJ392073 KSN391984:KSN392073 KIR391984:KIR392073 JYV391984:JYV392073 JOZ391984:JOZ392073 JFD391984:JFD392073 IVH391984:IVH392073 ILL391984:ILL392073 IBP391984:IBP392073 HRT391984:HRT392073 HHX391984:HHX392073 GYB391984:GYB392073 GOF391984:GOF392073 GEJ391984:GEJ392073 FUN391984:FUN392073 FKR391984:FKR392073 FAV391984:FAV392073 EQZ391984:EQZ392073 EHD391984:EHD392073 DXH391984:DXH392073 DNL391984:DNL392073 DDP391984:DDP392073 CTT391984:CTT392073 CJX391984:CJX392073 CAB391984:CAB392073 BQF391984:BQF392073 BGJ391984:BGJ392073 AWN391984:AWN392073 AMR391984:AMR392073 ACV391984:ACV392073 SZ391984:SZ392073 JD391984:JD392073 H392005:H392094 WVP326448:WVP326537 WLT326448:WLT326537 WBX326448:WBX326537 VSB326448:VSB326537 VIF326448:VIF326537 UYJ326448:UYJ326537 UON326448:UON326537 UER326448:UER326537 TUV326448:TUV326537 TKZ326448:TKZ326537 TBD326448:TBD326537 SRH326448:SRH326537 SHL326448:SHL326537 RXP326448:RXP326537 RNT326448:RNT326537 RDX326448:RDX326537 QUB326448:QUB326537 QKF326448:QKF326537 QAJ326448:QAJ326537 PQN326448:PQN326537 PGR326448:PGR326537 OWV326448:OWV326537 OMZ326448:OMZ326537 ODD326448:ODD326537 NTH326448:NTH326537 NJL326448:NJL326537 MZP326448:MZP326537 MPT326448:MPT326537 MFX326448:MFX326537 LWB326448:LWB326537 LMF326448:LMF326537 LCJ326448:LCJ326537 KSN326448:KSN326537 KIR326448:KIR326537 JYV326448:JYV326537 JOZ326448:JOZ326537 JFD326448:JFD326537 IVH326448:IVH326537 ILL326448:ILL326537 IBP326448:IBP326537 HRT326448:HRT326537 HHX326448:HHX326537 GYB326448:GYB326537 GOF326448:GOF326537 GEJ326448:GEJ326537 FUN326448:FUN326537 FKR326448:FKR326537 FAV326448:FAV326537 EQZ326448:EQZ326537 EHD326448:EHD326537 DXH326448:DXH326537 DNL326448:DNL326537 DDP326448:DDP326537 CTT326448:CTT326537 CJX326448:CJX326537 CAB326448:CAB326537 BQF326448:BQF326537 BGJ326448:BGJ326537 AWN326448:AWN326537 AMR326448:AMR326537 ACV326448:ACV326537 SZ326448:SZ326537 JD326448:JD326537 H326469:H326558 WVP260912:WVP261001 WLT260912:WLT261001 WBX260912:WBX261001 VSB260912:VSB261001 VIF260912:VIF261001 UYJ260912:UYJ261001 UON260912:UON261001 UER260912:UER261001 TUV260912:TUV261001 TKZ260912:TKZ261001 TBD260912:TBD261001 SRH260912:SRH261001 SHL260912:SHL261001 RXP260912:RXP261001 RNT260912:RNT261001 RDX260912:RDX261001 QUB260912:QUB261001 QKF260912:QKF261001 QAJ260912:QAJ261001 PQN260912:PQN261001 PGR260912:PGR261001 OWV260912:OWV261001 OMZ260912:OMZ261001 ODD260912:ODD261001 NTH260912:NTH261001 NJL260912:NJL261001 MZP260912:MZP261001 MPT260912:MPT261001 MFX260912:MFX261001 LWB260912:LWB261001 LMF260912:LMF261001 LCJ260912:LCJ261001 KSN260912:KSN261001 KIR260912:KIR261001 JYV260912:JYV261001 JOZ260912:JOZ261001 JFD260912:JFD261001 IVH260912:IVH261001 ILL260912:ILL261001 IBP260912:IBP261001 HRT260912:HRT261001 HHX260912:HHX261001 GYB260912:GYB261001 GOF260912:GOF261001 GEJ260912:GEJ261001 FUN260912:FUN261001 FKR260912:FKR261001 FAV260912:FAV261001 EQZ260912:EQZ261001 EHD260912:EHD261001 DXH260912:DXH261001 DNL260912:DNL261001 DDP260912:DDP261001 CTT260912:CTT261001 CJX260912:CJX261001 CAB260912:CAB261001 BQF260912:BQF261001 BGJ260912:BGJ261001 AWN260912:AWN261001 AMR260912:AMR261001 ACV260912:ACV261001 SZ260912:SZ261001 JD260912:JD261001 H260933:H261022 WVP195376:WVP195465 WLT195376:WLT195465 WBX195376:WBX195465 VSB195376:VSB195465 VIF195376:VIF195465 UYJ195376:UYJ195465 UON195376:UON195465 UER195376:UER195465 TUV195376:TUV195465 TKZ195376:TKZ195465 TBD195376:TBD195465 SRH195376:SRH195465 SHL195376:SHL195465 RXP195376:RXP195465 RNT195376:RNT195465 RDX195376:RDX195465 QUB195376:QUB195465 QKF195376:QKF195465 QAJ195376:QAJ195465 PQN195376:PQN195465 PGR195376:PGR195465 OWV195376:OWV195465 OMZ195376:OMZ195465 ODD195376:ODD195465 NTH195376:NTH195465 NJL195376:NJL195465 MZP195376:MZP195465 MPT195376:MPT195465 MFX195376:MFX195465 LWB195376:LWB195465 LMF195376:LMF195465 LCJ195376:LCJ195465 KSN195376:KSN195465 KIR195376:KIR195465 JYV195376:JYV195465 JOZ195376:JOZ195465 JFD195376:JFD195465 IVH195376:IVH195465 ILL195376:ILL195465 IBP195376:IBP195465 HRT195376:HRT195465 HHX195376:HHX195465 GYB195376:GYB195465 GOF195376:GOF195465 GEJ195376:GEJ195465 FUN195376:FUN195465 FKR195376:FKR195465 FAV195376:FAV195465 EQZ195376:EQZ195465 EHD195376:EHD195465 DXH195376:DXH195465 DNL195376:DNL195465 DDP195376:DDP195465 CTT195376:CTT195465 CJX195376:CJX195465 CAB195376:CAB195465 BQF195376:BQF195465 BGJ195376:BGJ195465 AWN195376:AWN195465 AMR195376:AMR195465 ACV195376:ACV195465 SZ195376:SZ195465 JD195376:JD195465 H195397:H195486 WVP129840:WVP129929 WLT129840:WLT129929 WBX129840:WBX129929 VSB129840:VSB129929 VIF129840:VIF129929 UYJ129840:UYJ129929 UON129840:UON129929 UER129840:UER129929 TUV129840:TUV129929 TKZ129840:TKZ129929 TBD129840:TBD129929 SRH129840:SRH129929 SHL129840:SHL129929 RXP129840:RXP129929 RNT129840:RNT129929 RDX129840:RDX129929 QUB129840:QUB129929 QKF129840:QKF129929 QAJ129840:QAJ129929 PQN129840:PQN129929 PGR129840:PGR129929 OWV129840:OWV129929 OMZ129840:OMZ129929 ODD129840:ODD129929 NTH129840:NTH129929 NJL129840:NJL129929 MZP129840:MZP129929 MPT129840:MPT129929 MFX129840:MFX129929 LWB129840:LWB129929 LMF129840:LMF129929 LCJ129840:LCJ129929 KSN129840:KSN129929 KIR129840:KIR129929 JYV129840:JYV129929 JOZ129840:JOZ129929 JFD129840:JFD129929 IVH129840:IVH129929 ILL129840:ILL129929 IBP129840:IBP129929 HRT129840:HRT129929 HHX129840:HHX129929 GYB129840:GYB129929 GOF129840:GOF129929 GEJ129840:GEJ129929 FUN129840:FUN129929 FKR129840:FKR129929 FAV129840:FAV129929 EQZ129840:EQZ129929 EHD129840:EHD129929 DXH129840:DXH129929 DNL129840:DNL129929 DDP129840:DDP129929 CTT129840:CTT129929 CJX129840:CJX129929 CAB129840:CAB129929 BQF129840:BQF129929 BGJ129840:BGJ129929 AWN129840:AWN129929 AMR129840:AMR129929 ACV129840:ACV129929 SZ129840:SZ129929 JD129840:JD129929 H129861:H129950 WVP64304:WVP64393 WLT64304:WLT64393 WBX64304:WBX64393 VSB64304:VSB64393 VIF64304:VIF64393 UYJ64304:UYJ64393 UON64304:UON64393 UER64304:UER64393 TUV64304:TUV64393 TKZ64304:TKZ64393 TBD64304:TBD64393 SRH64304:SRH64393 SHL64304:SHL64393 RXP64304:RXP64393 RNT64304:RNT64393 RDX64304:RDX64393 QUB64304:QUB64393 QKF64304:QKF64393 QAJ64304:QAJ64393 PQN64304:PQN64393 PGR64304:PGR64393 OWV64304:OWV64393 OMZ64304:OMZ64393 ODD64304:ODD64393 NTH64304:NTH64393 NJL64304:NJL64393 MZP64304:MZP64393 MPT64304:MPT64393 MFX64304:MFX64393 LWB64304:LWB64393 LMF64304:LMF64393 LCJ64304:LCJ64393 KSN64304:KSN64393 KIR64304:KIR64393 JYV64304:JYV64393 JOZ64304:JOZ64393 JFD64304:JFD64393 IVH64304:IVH64393 ILL64304:ILL64393 IBP64304:IBP64393 HRT64304:HRT64393 HHX64304:HHX64393 GYB64304:GYB64393 GOF64304:GOF64393 GEJ64304:GEJ64393 FUN64304:FUN64393 FKR64304:FKR64393 FAV64304:FAV64393 EQZ64304:EQZ64393 EHD64304:EHD64393 DXH64304:DXH64393 DNL64304:DNL64393 DDP64304:DDP64393 CTT64304:CTT64393 CJX64304:CJX64393 CAB64304:CAB64393 BQF64304:BQF64393 BGJ64304:BGJ64393 AWN64304:AWN64393 AMR64304:AMR64393 ACV64304:ACV64393 SZ64304:SZ64393 JD64304:JD64393 H64325:H64414 JD2:JD76 SZ2:SZ76 ACV2:ACV76 AMR2:AMR76 AWN2:AWN76 BGJ2:BGJ76 BQF2:BQF76 CAB2:CAB76 CJX2:CJX76 CTT2:CTT76 DDP2:DDP76 DNL2:DNL76 DXH2:DXH76 EHD2:EHD76 EQZ2:EQZ76 FAV2:FAV76 FKR2:FKR76 FUN2:FUN76 GEJ2:GEJ76 GOF2:GOF76 GYB2:GYB76 HHX2:HHX76 HRT2:HRT76 IBP2:IBP76 ILL2:ILL76 IVH2:IVH76 JFD2:JFD76 JOZ2:JOZ76 JYV2:JYV76 KIR2:KIR76 KSN2:KSN76 LCJ2:LCJ76 LMF2:LMF76 LWB2:LWB76 MFX2:MFX76 MPT2:MPT76 MZP2:MZP76 NJL2:NJL76 NTH2:NTH76 ODD2:ODD76 OMZ2:OMZ76 OWV2:OWV76 PGR2:PGR76 PQN2:PQN76 QAJ2:QAJ76 QKF2:QKF76 QUB2:QUB76 RDX2:RDX76 RNT2:RNT76 RXP2:RXP76 SHL2:SHL76 SRH2:SRH76 TBD2:TBD76 TKZ2:TKZ76 TUV2:TUV76 UER2:UER76 UON2:UON76 UYJ2:UYJ76 VIF2:VIF76 VSB2:VSB76 WBX2:WBX76 WLT2:WLT76 WVP2:WVP76" xr:uid="{8CA95D79-0169-4F3E-930E-6D7184ECD58A}">
      <formula1>$AL$8:$AL$13</formula1>
    </dataValidation>
    <dataValidation type="list" allowBlank="1" showInputMessage="1" showErrorMessage="1" sqref="WVQ981808:WVQ981891 WLU981808:WLU981891 WBY981808:WBY981891 VSC981808:VSC981891 VIG981808:VIG981891 UYK981808:UYK981891 UOO981808:UOO981891 UES981808:UES981891 TUW981808:TUW981891 TLA981808:TLA981891 TBE981808:TBE981891 SRI981808:SRI981891 SHM981808:SHM981891 RXQ981808:RXQ981891 RNU981808:RNU981891 RDY981808:RDY981891 QUC981808:QUC981891 QKG981808:QKG981891 QAK981808:QAK981891 PQO981808:PQO981891 PGS981808:PGS981891 OWW981808:OWW981891 ONA981808:ONA981891 ODE981808:ODE981891 NTI981808:NTI981891 NJM981808:NJM981891 MZQ981808:MZQ981891 MPU981808:MPU981891 MFY981808:MFY981891 LWC981808:LWC981891 LMG981808:LMG981891 LCK981808:LCK981891 KSO981808:KSO981891 KIS981808:KIS981891 JYW981808:JYW981891 JPA981808:JPA981891 JFE981808:JFE981891 IVI981808:IVI981891 ILM981808:ILM981891 IBQ981808:IBQ981891 HRU981808:HRU981891 HHY981808:HHY981891 GYC981808:GYC981891 GOG981808:GOG981891 GEK981808:GEK981891 FUO981808:FUO981891 FKS981808:FKS981891 FAW981808:FAW981891 ERA981808:ERA981891 EHE981808:EHE981891 DXI981808:DXI981891 DNM981808:DNM981891 DDQ981808:DDQ981891 CTU981808:CTU981891 CJY981808:CJY981891 CAC981808:CAC981891 BQG981808:BQG981891 BGK981808:BGK981891 AWO981808:AWO981891 AMS981808:AMS981891 ACW981808:ACW981891 TA981808:TA981891 JE981808:JE981891 I981829:I981912 WVQ916272:WVQ916355 WLU916272:WLU916355 WBY916272:WBY916355 VSC916272:VSC916355 VIG916272:VIG916355 UYK916272:UYK916355 UOO916272:UOO916355 UES916272:UES916355 TUW916272:TUW916355 TLA916272:TLA916355 TBE916272:TBE916355 SRI916272:SRI916355 SHM916272:SHM916355 RXQ916272:RXQ916355 RNU916272:RNU916355 RDY916272:RDY916355 QUC916272:QUC916355 QKG916272:QKG916355 QAK916272:QAK916355 PQO916272:PQO916355 PGS916272:PGS916355 OWW916272:OWW916355 ONA916272:ONA916355 ODE916272:ODE916355 NTI916272:NTI916355 NJM916272:NJM916355 MZQ916272:MZQ916355 MPU916272:MPU916355 MFY916272:MFY916355 LWC916272:LWC916355 LMG916272:LMG916355 LCK916272:LCK916355 KSO916272:KSO916355 KIS916272:KIS916355 JYW916272:JYW916355 JPA916272:JPA916355 JFE916272:JFE916355 IVI916272:IVI916355 ILM916272:ILM916355 IBQ916272:IBQ916355 HRU916272:HRU916355 HHY916272:HHY916355 GYC916272:GYC916355 GOG916272:GOG916355 GEK916272:GEK916355 FUO916272:FUO916355 FKS916272:FKS916355 FAW916272:FAW916355 ERA916272:ERA916355 EHE916272:EHE916355 DXI916272:DXI916355 DNM916272:DNM916355 DDQ916272:DDQ916355 CTU916272:CTU916355 CJY916272:CJY916355 CAC916272:CAC916355 BQG916272:BQG916355 BGK916272:BGK916355 AWO916272:AWO916355 AMS916272:AMS916355 ACW916272:ACW916355 TA916272:TA916355 JE916272:JE916355 I916293:I916376 WVQ850736:WVQ850819 WLU850736:WLU850819 WBY850736:WBY850819 VSC850736:VSC850819 VIG850736:VIG850819 UYK850736:UYK850819 UOO850736:UOO850819 UES850736:UES850819 TUW850736:TUW850819 TLA850736:TLA850819 TBE850736:TBE850819 SRI850736:SRI850819 SHM850736:SHM850819 RXQ850736:RXQ850819 RNU850736:RNU850819 RDY850736:RDY850819 QUC850736:QUC850819 QKG850736:QKG850819 QAK850736:QAK850819 PQO850736:PQO850819 PGS850736:PGS850819 OWW850736:OWW850819 ONA850736:ONA850819 ODE850736:ODE850819 NTI850736:NTI850819 NJM850736:NJM850819 MZQ850736:MZQ850819 MPU850736:MPU850819 MFY850736:MFY850819 LWC850736:LWC850819 LMG850736:LMG850819 LCK850736:LCK850819 KSO850736:KSO850819 KIS850736:KIS850819 JYW850736:JYW850819 JPA850736:JPA850819 JFE850736:JFE850819 IVI850736:IVI850819 ILM850736:ILM850819 IBQ850736:IBQ850819 HRU850736:HRU850819 HHY850736:HHY850819 GYC850736:GYC850819 GOG850736:GOG850819 GEK850736:GEK850819 FUO850736:FUO850819 FKS850736:FKS850819 FAW850736:FAW850819 ERA850736:ERA850819 EHE850736:EHE850819 DXI850736:DXI850819 DNM850736:DNM850819 DDQ850736:DDQ850819 CTU850736:CTU850819 CJY850736:CJY850819 CAC850736:CAC850819 BQG850736:BQG850819 BGK850736:BGK850819 AWO850736:AWO850819 AMS850736:AMS850819 ACW850736:ACW850819 TA850736:TA850819 JE850736:JE850819 I850757:I850840 WVQ785200:WVQ785283 WLU785200:WLU785283 WBY785200:WBY785283 VSC785200:VSC785283 VIG785200:VIG785283 UYK785200:UYK785283 UOO785200:UOO785283 UES785200:UES785283 TUW785200:TUW785283 TLA785200:TLA785283 TBE785200:TBE785283 SRI785200:SRI785283 SHM785200:SHM785283 RXQ785200:RXQ785283 RNU785200:RNU785283 RDY785200:RDY785283 QUC785200:QUC785283 QKG785200:QKG785283 QAK785200:QAK785283 PQO785200:PQO785283 PGS785200:PGS785283 OWW785200:OWW785283 ONA785200:ONA785283 ODE785200:ODE785283 NTI785200:NTI785283 NJM785200:NJM785283 MZQ785200:MZQ785283 MPU785200:MPU785283 MFY785200:MFY785283 LWC785200:LWC785283 LMG785200:LMG785283 LCK785200:LCK785283 KSO785200:KSO785283 KIS785200:KIS785283 JYW785200:JYW785283 JPA785200:JPA785283 JFE785200:JFE785283 IVI785200:IVI785283 ILM785200:ILM785283 IBQ785200:IBQ785283 HRU785200:HRU785283 HHY785200:HHY785283 GYC785200:GYC785283 GOG785200:GOG785283 GEK785200:GEK785283 FUO785200:FUO785283 FKS785200:FKS785283 FAW785200:FAW785283 ERA785200:ERA785283 EHE785200:EHE785283 DXI785200:DXI785283 DNM785200:DNM785283 DDQ785200:DDQ785283 CTU785200:CTU785283 CJY785200:CJY785283 CAC785200:CAC785283 BQG785200:BQG785283 BGK785200:BGK785283 AWO785200:AWO785283 AMS785200:AMS785283 ACW785200:ACW785283 TA785200:TA785283 JE785200:JE785283 I785221:I785304 WVQ719664:WVQ719747 WLU719664:WLU719747 WBY719664:WBY719747 VSC719664:VSC719747 VIG719664:VIG719747 UYK719664:UYK719747 UOO719664:UOO719747 UES719664:UES719747 TUW719664:TUW719747 TLA719664:TLA719747 TBE719664:TBE719747 SRI719664:SRI719747 SHM719664:SHM719747 RXQ719664:RXQ719747 RNU719664:RNU719747 RDY719664:RDY719747 QUC719664:QUC719747 QKG719664:QKG719747 QAK719664:QAK719747 PQO719664:PQO719747 PGS719664:PGS719747 OWW719664:OWW719747 ONA719664:ONA719747 ODE719664:ODE719747 NTI719664:NTI719747 NJM719664:NJM719747 MZQ719664:MZQ719747 MPU719664:MPU719747 MFY719664:MFY719747 LWC719664:LWC719747 LMG719664:LMG719747 LCK719664:LCK719747 KSO719664:KSO719747 KIS719664:KIS719747 JYW719664:JYW719747 JPA719664:JPA719747 JFE719664:JFE719747 IVI719664:IVI719747 ILM719664:ILM719747 IBQ719664:IBQ719747 HRU719664:HRU719747 HHY719664:HHY719747 GYC719664:GYC719747 GOG719664:GOG719747 GEK719664:GEK719747 FUO719664:FUO719747 FKS719664:FKS719747 FAW719664:FAW719747 ERA719664:ERA719747 EHE719664:EHE719747 DXI719664:DXI719747 DNM719664:DNM719747 DDQ719664:DDQ719747 CTU719664:CTU719747 CJY719664:CJY719747 CAC719664:CAC719747 BQG719664:BQG719747 BGK719664:BGK719747 AWO719664:AWO719747 AMS719664:AMS719747 ACW719664:ACW719747 TA719664:TA719747 JE719664:JE719747 I719685:I719768 WVQ654128:WVQ654211 WLU654128:WLU654211 WBY654128:WBY654211 VSC654128:VSC654211 VIG654128:VIG654211 UYK654128:UYK654211 UOO654128:UOO654211 UES654128:UES654211 TUW654128:TUW654211 TLA654128:TLA654211 TBE654128:TBE654211 SRI654128:SRI654211 SHM654128:SHM654211 RXQ654128:RXQ654211 RNU654128:RNU654211 RDY654128:RDY654211 QUC654128:QUC654211 QKG654128:QKG654211 QAK654128:QAK654211 PQO654128:PQO654211 PGS654128:PGS654211 OWW654128:OWW654211 ONA654128:ONA654211 ODE654128:ODE654211 NTI654128:NTI654211 NJM654128:NJM654211 MZQ654128:MZQ654211 MPU654128:MPU654211 MFY654128:MFY654211 LWC654128:LWC654211 LMG654128:LMG654211 LCK654128:LCK654211 KSO654128:KSO654211 KIS654128:KIS654211 JYW654128:JYW654211 JPA654128:JPA654211 JFE654128:JFE654211 IVI654128:IVI654211 ILM654128:ILM654211 IBQ654128:IBQ654211 HRU654128:HRU654211 HHY654128:HHY654211 GYC654128:GYC654211 GOG654128:GOG654211 GEK654128:GEK654211 FUO654128:FUO654211 FKS654128:FKS654211 FAW654128:FAW654211 ERA654128:ERA654211 EHE654128:EHE654211 DXI654128:DXI654211 DNM654128:DNM654211 DDQ654128:DDQ654211 CTU654128:CTU654211 CJY654128:CJY654211 CAC654128:CAC654211 BQG654128:BQG654211 BGK654128:BGK654211 AWO654128:AWO654211 AMS654128:AMS654211 ACW654128:ACW654211 TA654128:TA654211 JE654128:JE654211 I654149:I654232 WVQ588592:WVQ588675 WLU588592:WLU588675 WBY588592:WBY588675 VSC588592:VSC588675 VIG588592:VIG588675 UYK588592:UYK588675 UOO588592:UOO588675 UES588592:UES588675 TUW588592:TUW588675 TLA588592:TLA588675 TBE588592:TBE588675 SRI588592:SRI588675 SHM588592:SHM588675 RXQ588592:RXQ588675 RNU588592:RNU588675 RDY588592:RDY588675 QUC588592:QUC588675 QKG588592:QKG588675 QAK588592:QAK588675 PQO588592:PQO588675 PGS588592:PGS588675 OWW588592:OWW588675 ONA588592:ONA588675 ODE588592:ODE588675 NTI588592:NTI588675 NJM588592:NJM588675 MZQ588592:MZQ588675 MPU588592:MPU588675 MFY588592:MFY588675 LWC588592:LWC588675 LMG588592:LMG588675 LCK588592:LCK588675 KSO588592:KSO588675 KIS588592:KIS588675 JYW588592:JYW588675 JPA588592:JPA588675 JFE588592:JFE588675 IVI588592:IVI588675 ILM588592:ILM588675 IBQ588592:IBQ588675 HRU588592:HRU588675 HHY588592:HHY588675 GYC588592:GYC588675 GOG588592:GOG588675 GEK588592:GEK588675 FUO588592:FUO588675 FKS588592:FKS588675 FAW588592:FAW588675 ERA588592:ERA588675 EHE588592:EHE588675 DXI588592:DXI588675 DNM588592:DNM588675 DDQ588592:DDQ588675 CTU588592:CTU588675 CJY588592:CJY588675 CAC588592:CAC588675 BQG588592:BQG588675 BGK588592:BGK588675 AWO588592:AWO588675 AMS588592:AMS588675 ACW588592:ACW588675 TA588592:TA588675 JE588592:JE588675 I588613:I588696 WVQ523056:WVQ523139 WLU523056:WLU523139 WBY523056:WBY523139 VSC523056:VSC523139 VIG523056:VIG523139 UYK523056:UYK523139 UOO523056:UOO523139 UES523056:UES523139 TUW523056:TUW523139 TLA523056:TLA523139 TBE523056:TBE523139 SRI523056:SRI523139 SHM523056:SHM523139 RXQ523056:RXQ523139 RNU523056:RNU523139 RDY523056:RDY523139 QUC523056:QUC523139 QKG523056:QKG523139 QAK523056:QAK523139 PQO523056:PQO523139 PGS523056:PGS523139 OWW523056:OWW523139 ONA523056:ONA523139 ODE523056:ODE523139 NTI523056:NTI523139 NJM523056:NJM523139 MZQ523056:MZQ523139 MPU523056:MPU523139 MFY523056:MFY523139 LWC523056:LWC523139 LMG523056:LMG523139 LCK523056:LCK523139 KSO523056:KSO523139 KIS523056:KIS523139 JYW523056:JYW523139 JPA523056:JPA523139 JFE523056:JFE523139 IVI523056:IVI523139 ILM523056:ILM523139 IBQ523056:IBQ523139 HRU523056:HRU523139 HHY523056:HHY523139 GYC523056:GYC523139 GOG523056:GOG523139 GEK523056:GEK523139 FUO523056:FUO523139 FKS523056:FKS523139 FAW523056:FAW523139 ERA523056:ERA523139 EHE523056:EHE523139 DXI523056:DXI523139 DNM523056:DNM523139 DDQ523056:DDQ523139 CTU523056:CTU523139 CJY523056:CJY523139 CAC523056:CAC523139 BQG523056:BQG523139 BGK523056:BGK523139 AWO523056:AWO523139 AMS523056:AMS523139 ACW523056:ACW523139 TA523056:TA523139 JE523056:JE523139 I523077:I523160 WVQ457520:WVQ457603 WLU457520:WLU457603 WBY457520:WBY457603 VSC457520:VSC457603 VIG457520:VIG457603 UYK457520:UYK457603 UOO457520:UOO457603 UES457520:UES457603 TUW457520:TUW457603 TLA457520:TLA457603 TBE457520:TBE457603 SRI457520:SRI457603 SHM457520:SHM457603 RXQ457520:RXQ457603 RNU457520:RNU457603 RDY457520:RDY457603 QUC457520:QUC457603 QKG457520:QKG457603 QAK457520:QAK457603 PQO457520:PQO457603 PGS457520:PGS457603 OWW457520:OWW457603 ONA457520:ONA457603 ODE457520:ODE457603 NTI457520:NTI457603 NJM457520:NJM457603 MZQ457520:MZQ457603 MPU457520:MPU457603 MFY457520:MFY457603 LWC457520:LWC457603 LMG457520:LMG457603 LCK457520:LCK457603 KSO457520:KSO457603 KIS457520:KIS457603 JYW457520:JYW457603 JPA457520:JPA457603 JFE457520:JFE457603 IVI457520:IVI457603 ILM457520:ILM457603 IBQ457520:IBQ457603 HRU457520:HRU457603 HHY457520:HHY457603 GYC457520:GYC457603 GOG457520:GOG457603 GEK457520:GEK457603 FUO457520:FUO457603 FKS457520:FKS457603 FAW457520:FAW457603 ERA457520:ERA457603 EHE457520:EHE457603 DXI457520:DXI457603 DNM457520:DNM457603 DDQ457520:DDQ457603 CTU457520:CTU457603 CJY457520:CJY457603 CAC457520:CAC457603 BQG457520:BQG457603 BGK457520:BGK457603 AWO457520:AWO457603 AMS457520:AMS457603 ACW457520:ACW457603 TA457520:TA457603 JE457520:JE457603 I457541:I457624 WVQ391984:WVQ392067 WLU391984:WLU392067 WBY391984:WBY392067 VSC391984:VSC392067 VIG391984:VIG392067 UYK391984:UYK392067 UOO391984:UOO392067 UES391984:UES392067 TUW391984:TUW392067 TLA391984:TLA392067 TBE391984:TBE392067 SRI391984:SRI392067 SHM391984:SHM392067 RXQ391984:RXQ392067 RNU391984:RNU392067 RDY391984:RDY392067 QUC391984:QUC392067 QKG391984:QKG392067 QAK391984:QAK392067 PQO391984:PQO392067 PGS391984:PGS392067 OWW391984:OWW392067 ONA391984:ONA392067 ODE391984:ODE392067 NTI391984:NTI392067 NJM391984:NJM392067 MZQ391984:MZQ392067 MPU391984:MPU392067 MFY391984:MFY392067 LWC391984:LWC392067 LMG391984:LMG392067 LCK391984:LCK392067 KSO391984:KSO392067 KIS391984:KIS392067 JYW391984:JYW392067 JPA391984:JPA392067 JFE391984:JFE392067 IVI391984:IVI392067 ILM391984:ILM392067 IBQ391984:IBQ392067 HRU391984:HRU392067 HHY391984:HHY392067 GYC391984:GYC392067 GOG391984:GOG392067 GEK391984:GEK392067 FUO391984:FUO392067 FKS391984:FKS392067 FAW391984:FAW392067 ERA391984:ERA392067 EHE391984:EHE392067 DXI391984:DXI392067 DNM391984:DNM392067 DDQ391984:DDQ392067 CTU391984:CTU392067 CJY391984:CJY392067 CAC391984:CAC392067 BQG391984:BQG392067 BGK391984:BGK392067 AWO391984:AWO392067 AMS391984:AMS392067 ACW391984:ACW392067 TA391984:TA392067 JE391984:JE392067 I392005:I392088 WVQ326448:WVQ326531 WLU326448:WLU326531 WBY326448:WBY326531 VSC326448:VSC326531 VIG326448:VIG326531 UYK326448:UYK326531 UOO326448:UOO326531 UES326448:UES326531 TUW326448:TUW326531 TLA326448:TLA326531 TBE326448:TBE326531 SRI326448:SRI326531 SHM326448:SHM326531 RXQ326448:RXQ326531 RNU326448:RNU326531 RDY326448:RDY326531 QUC326448:QUC326531 QKG326448:QKG326531 QAK326448:QAK326531 PQO326448:PQO326531 PGS326448:PGS326531 OWW326448:OWW326531 ONA326448:ONA326531 ODE326448:ODE326531 NTI326448:NTI326531 NJM326448:NJM326531 MZQ326448:MZQ326531 MPU326448:MPU326531 MFY326448:MFY326531 LWC326448:LWC326531 LMG326448:LMG326531 LCK326448:LCK326531 KSO326448:KSO326531 KIS326448:KIS326531 JYW326448:JYW326531 JPA326448:JPA326531 JFE326448:JFE326531 IVI326448:IVI326531 ILM326448:ILM326531 IBQ326448:IBQ326531 HRU326448:HRU326531 HHY326448:HHY326531 GYC326448:GYC326531 GOG326448:GOG326531 GEK326448:GEK326531 FUO326448:FUO326531 FKS326448:FKS326531 FAW326448:FAW326531 ERA326448:ERA326531 EHE326448:EHE326531 DXI326448:DXI326531 DNM326448:DNM326531 DDQ326448:DDQ326531 CTU326448:CTU326531 CJY326448:CJY326531 CAC326448:CAC326531 BQG326448:BQG326531 BGK326448:BGK326531 AWO326448:AWO326531 AMS326448:AMS326531 ACW326448:ACW326531 TA326448:TA326531 JE326448:JE326531 I326469:I326552 WVQ260912:WVQ260995 WLU260912:WLU260995 WBY260912:WBY260995 VSC260912:VSC260995 VIG260912:VIG260995 UYK260912:UYK260995 UOO260912:UOO260995 UES260912:UES260995 TUW260912:TUW260995 TLA260912:TLA260995 TBE260912:TBE260995 SRI260912:SRI260995 SHM260912:SHM260995 RXQ260912:RXQ260995 RNU260912:RNU260995 RDY260912:RDY260995 QUC260912:QUC260995 QKG260912:QKG260995 QAK260912:QAK260995 PQO260912:PQO260995 PGS260912:PGS260995 OWW260912:OWW260995 ONA260912:ONA260995 ODE260912:ODE260995 NTI260912:NTI260995 NJM260912:NJM260995 MZQ260912:MZQ260995 MPU260912:MPU260995 MFY260912:MFY260995 LWC260912:LWC260995 LMG260912:LMG260995 LCK260912:LCK260995 KSO260912:KSO260995 KIS260912:KIS260995 JYW260912:JYW260995 JPA260912:JPA260995 JFE260912:JFE260995 IVI260912:IVI260995 ILM260912:ILM260995 IBQ260912:IBQ260995 HRU260912:HRU260995 HHY260912:HHY260995 GYC260912:GYC260995 GOG260912:GOG260995 GEK260912:GEK260995 FUO260912:FUO260995 FKS260912:FKS260995 FAW260912:FAW260995 ERA260912:ERA260995 EHE260912:EHE260995 DXI260912:DXI260995 DNM260912:DNM260995 DDQ260912:DDQ260995 CTU260912:CTU260995 CJY260912:CJY260995 CAC260912:CAC260995 BQG260912:BQG260995 BGK260912:BGK260995 AWO260912:AWO260995 AMS260912:AMS260995 ACW260912:ACW260995 TA260912:TA260995 JE260912:JE260995 I260933:I261016 WVQ195376:WVQ195459 WLU195376:WLU195459 WBY195376:WBY195459 VSC195376:VSC195459 VIG195376:VIG195459 UYK195376:UYK195459 UOO195376:UOO195459 UES195376:UES195459 TUW195376:TUW195459 TLA195376:TLA195459 TBE195376:TBE195459 SRI195376:SRI195459 SHM195376:SHM195459 RXQ195376:RXQ195459 RNU195376:RNU195459 RDY195376:RDY195459 QUC195376:QUC195459 QKG195376:QKG195459 QAK195376:QAK195459 PQO195376:PQO195459 PGS195376:PGS195459 OWW195376:OWW195459 ONA195376:ONA195459 ODE195376:ODE195459 NTI195376:NTI195459 NJM195376:NJM195459 MZQ195376:MZQ195459 MPU195376:MPU195459 MFY195376:MFY195459 LWC195376:LWC195459 LMG195376:LMG195459 LCK195376:LCK195459 KSO195376:KSO195459 KIS195376:KIS195459 JYW195376:JYW195459 JPA195376:JPA195459 JFE195376:JFE195459 IVI195376:IVI195459 ILM195376:ILM195459 IBQ195376:IBQ195459 HRU195376:HRU195459 HHY195376:HHY195459 GYC195376:GYC195459 GOG195376:GOG195459 GEK195376:GEK195459 FUO195376:FUO195459 FKS195376:FKS195459 FAW195376:FAW195459 ERA195376:ERA195459 EHE195376:EHE195459 DXI195376:DXI195459 DNM195376:DNM195459 DDQ195376:DDQ195459 CTU195376:CTU195459 CJY195376:CJY195459 CAC195376:CAC195459 BQG195376:BQG195459 BGK195376:BGK195459 AWO195376:AWO195459 AMS195376:AMS195459 ACW195376:ACW195459 TA195376:TA195459 JE195376:JE195459 I195397:I195480 WVQ129840:WVQ129923 WLU129840:WLU129923 WBY129840:WBY129923 VSC129840:VSC129923 VIG129840:VIG129923 UYK129840:UYK129923 UOO129840:UOO129923 UES129840:UES129923 TUW129840:TUW129923 TLA129840:TLA129923 TBE129840:TBE129923 SRI129840:SRI129923 SHM129840:SHM129923 RXQ129840:RXQ129923 RNU129840:RNU129923 RDY129840:RDY129923 QUC129840:QUC129923 QKG129840:QKG129923 QAK129840:QAK129923 PQO129840:PQO129923 PGS129840:PGS129923 OWW129840:OWW129923 ONA129840:ONA129923 ODE129840:ODE129923 NTI129840:NTI129923 NJM129840:NJM129923 MZQ129840:MZQ129923 MPU129840:MPU129923 MFY129840:MFY129923 LWC129840:LWC129923 LMG129840:LMG129923 LCK129840:LCK129923 KSO129840:KSO129923 KIS129840:KIS129923 JYW129840:JYW129923 JPA129840:JPA129923 JFE129840:JFE129923 IVI129840:IVI129923 ILM129840:ILM129923 IBQ129840:IBQ129923 HRU129840:HRU129923 HHY129840:HHY129923 GYC129840:GYC129923 GOG129840:GOG129923 GEK129840:GEK129923 FUO129840:FUO129923 FKS129840:FKS129923 FAW129840:FAW129923 ERA129840:ERA129923 EHE129840:EHE129923 DXI129840:DXI129923 DNM129840:DNM129923 DDQ129840:DDQ129923 CTU129840:CTU129923 CJY129840:CJY129923 CAC129840:CAC129923 BQG129840:BQG129923 BGK129840:BGK129923 AWO129840:AWO129923 AMS129840:AMS129923 ACW129840:ACW129923 TA129840:TA129923 JE129840:JE129923 I129861:I129944 WVQ64304:WVQ64387 WLU64304:WLU64387 WBY64304:WBY64387 VSC64304:VSC64387 VIG64304:VIG64387 UYK64304:UYK64387 UOO64304:UOO64387 UES64304:UES64387 TUW64304:TUW64387 TLA64304:TLA64387 TBE64304:TBE64387 SRI64304:SRI64387 SHM64304:SHM64387 RXQ64304:RXQ64387 RNU64304:RNU64387 RDY64304:RDY64387 QUC64304:QUC64387 QKG64304:QKG64387 QAK64304:QAK64387 PQO64304:PQO64387 PGS64304:PGS64387 OWW64304:OWW64387 ONA64304:ONA64387 ODE64304:ODE64387 NTI64304:NTI64387 NJM64304:NJM64387 MZQ64304:MZQ64387 MPU64304:MPU64387 MFY64304:MFY64387 LWC64304:LWC64387 LMG64304:LMG64387 LCK64304:LCK64387 KSO64304:KSO64387 KIS64304:KIS64387 JYW64304:JYW64387 JPA64304:JPA64387 JFE64304:JFE64387 IVI64304:IVI64387 ILM64304:ILM64387 IBQ64304:IBQ64387 HRU64304:HRU64387 HHY64304:HHY64387 GYC64304:GYC64387 GOG64304:GOG64387 GEK64304:GEK64387 FUO64304:FUO64387 FKS64304:FKS64387 FAW64304:FAW64387 ERA64304:ERA64387 EHE64304:EHE64387 DXI64304:DXI64387 DNM64304:DNM64387 DDQ64304:DDQ64387 CTU64304:CTU64387 CJY64304:CJY64387 CAC64304:CAC64387 BQG64304:BQG64387 BGK64304:BGK64387 AWO64304:AWO64387 AMS64304:AMS64387 ACW64304:ACW64387 TA64304:TA64387 JE64304:JE64387 I64325:I64408 JE2:JE76 TA2:TA76 ACW2:ACW76 AMS2:AMS76 AWO2:AWO76 BGK2:BGK76 BQG2:BQG76 CAC2:CAC76 CJY2:CJY76 CTU2:CTU76 DDQ2:DDQ76 DNM2:DNM76 DXI2:DXI76 EHE2:EHE76 ERA2:ERA76 FAW2:FAW76 FKS2:FKS76 FUO2:FUO76 GEK2:GEK76 GOG2:GOG76 GYC2:GYC76 HHY2:HHY76 HRU2:HRU76 IBQ2:IBQ76 ILM2:ILM76 IVI2:IVI76 JFE2:JFE76 JPA2:JPA76 JYW2:JYW76 KIS2:KIS76 KSO2:KSO76 LCK2:LCK76 LMG2:LMG76 LWC2:LWC76 MFY2:MFY76 MPU2:MPU76 MZQ2:MZQ76 NJM2:NJM76 NTI2:NTI76 ODE2:ODE76 ONA2:ONA76 OWW2:OWW76 PGS2:PGS76 PQO2:PQO76 QAK2:QAK76 QKG2:QKG76 QUC2:QUC76 RDY2:RDY76 RNU2:RNU76 RXQ2:RXQ76 SHM2:SHM76 SRI2:SRI76 TBE2:TBE76 TLA2:TLA76 TUW2:TUW76 UES2:UES76 UOO2:UOO76 UYK2:UYK76 VIG2:VIG76 VSC2:VSC76 WBY2:WBY76 WLU2:WLU76 WVQ2:WVQ76 I2:I503" xr:uid="{0E6376DD-5A0D-41B8-A86C-95AF76414D28}">
      <formula1>$AN$5:$AN$6</formula1>
    </dataValidation>
    <dataValidation type="list" allowBlank="1" showInputMessage="1" showErrorMessage="1" sqref="WWG981808:WWI981891 WMK981808:WMM981891 WWG2:WWI76 WMK2:WMM76 WCO2:WCQ76 VSS2:VSU76 VIW2:VIY76 UZA2:UZC76 UPE2:UPG76 UFI2:UFK76 TVM2:TVO76 TLQ2:TLS76 TBU2:TBW76 SRY2:SSA76 SIC2:SIE76 RYG2:RYI76 ROK2:ROM76 REO2:REQ76 QUS2:QUU76 QKW2:QKY76 QBA2:QBC76 PRE2:PRG76 PHI2:PHK76 OXM2:OXO76 ONQ2:ONS76 ODU2:ODW76 NTY2:NUA76 NKC2:NKE76 NAG2:NAI76 MQK2:MQM76 MGO2:MGQ76 LWS2:LWU76 LMW2:LMY76 LDA2:LDC76 KTE2:KTG76 KJI2:KJK76 JZM2:JZO76 JPQ2:JPS76 JFU2:JFW76 IVY2:IWA76 IMC2:IME76 ICG2:ICI76 HSK2:HSM76 HIO2:HIQ76 GYS2:GYU76 GOW2:GOY76 GFA2:GFC76 FVE2:FVG76 FLI2:FLK76 FBM2:FBO76 ERQ2:ERS76 EHU2:EHW76 DXY2:DYA76 DOC2:DOE76 DEG2:DEI76 CUK2:CUM76 CKO2:CKQ76 CAS2:CAU76 BQW2:BQY76 BHA2:BHC76 AXE2:AXG76 ANI2:ANK76 ADM2:ADO76 TQ2:TS76 JU2:JW76 Y64304:AA64387 JU64304:JW64387 TQ64304:TS64387 ADM64304:ADO64387 ANI64304:ANK64387 AXE64304:AXG64387 BHA64304:BHC64387 BQW64304:BQY64387 CAS64304:CAU64387 CKO64304:CKQ64387 CUK64304:CUM64387 DEG64304:DEI64387 DOC64304:DOE64387 DXY64304:DYA64387 EHU64304:EHW64387 ERQ64304:ERS64387 FBM64304:FBO64387 FLI64304:FLK64387 FVE64304:FVG64387 GFA64304:GFC64387 GOW64304:GOY64387 GYS64304:GYU64387 HIO64304:HIQ64387 HSK64304:HSM64387 ICG64304:ICI64387 IMC64304:IME64387 IVY64304:IWA64387 JFU64304:JFW64387 JPQ64304:JPS64387 JZM64304:JZO64387 KJI64304:KJK64387 KTE64304:KTG64387 LDA64304:LDC64387 LMW64304:LMY64387 LWS64304:LWU64387 MGO64304:MGQ64387 MQK64304:MQM64387 NAG64304:NAI64387 NKC64304:NKE64387 NTY64304:NUA64387 ODU64304:ODW64387 ONQ64304:ONS64387 OXM64304:OXO64387 PHI64304:PHK64387 PRE64304:PRG64387 QBA64304:QBC64387 QKW64304:QKY64387 QUS64304:QUU64387 REO64304:REQ64387 ROK64304:ROM64387 RYG64304:RYI64387 SIC64304:SIE64387 SRY64304:SSA64387 TBU64304:TBW64387 TLQ64304:TLS64387 TVM64304:TVO64387 UFI64304:UFK64387 UPE64304:UPG64387 UZA64304:UZC64387 VIW64304:VIY64387 VSS64304:VSU64387 WCO64304:WCQ64387 WMK64304:WMM64387 WWG64304:WWI64387 Y129840:AA129923 JU129840:JW129923 TQ129840:TS129923 ADM129840:ADO129923 ANI129840:ANK129923 AXE129840:AXG129923 BHA129840:BHC129923 BQW129840:BQY129923 CAS129840:CAU129923 CKO129840:CKQ129923 CUK129840:CUM129923 DEG129840:DEI129923 DOC129840:DOE129923 DXY129840:DYA129923 EHU129840:EHW129923 ERQ129840:ERS129923 FBM129840:FBO129923 FLI129840:FLK129923 FVE129840:FVG129923 GFA129840:GFC129923 GOW129840:GOY129923 GYS129840:GYU129923 HIO129840:HIQ129923 HSK129840:HSM129923 ICG129840:ICI129923 IMC129840:IME129923 IVY129840:IWA129923 JFU129840:JFW129923 JPQ129840:JPS129923 JZM129840:JZO129923 KJI129840:KJK129923 KTE129840:KTG129923 LDA129840:LDC129923 LMW129840:LMY129923 LWS129840:LWU129923 MGO129840:MGQ129923 MQK129840:MQM129923 NAG129840:NAI129923 NKC129840:NKE129923 NTY129840:NUA129923 ODU129840:ODW129923 ONQ129840:ONS129923 OXM129840:OXO129923 PHI129840:PHK129923 PRE129840:PRG129923 QBA129840:QBC129923 QKW129840:QKY129923 QUS129840:QUU129923 REO129840:REQ129923 ROK129840:ROM129923 RYG129840:RYI129923 SIC129840:SIE129923 SRY129840:SSA129923 TBU129840:TBW129923 TLQ129840:TLS129923 TVM129840:TVO129923 UFI129840:UFK129923 UPE129840:UPG129923 UZA129840:UZC129923 VIW129840:VIY129923 VSS129840:VSU129923 WCO129840:WCQ129923 WMK129840:WMM129923 WWG129840:WWI129923 Y195376:AA195459 JU195376:JW195459 TQ195376:TS195459 ADM195376:ADO195459 ANI195376:ANK195459 AXE195376:AXG195459 BHA195376:BHC195459 BQW195376:BQY195459 CAS195376:CAU195459 CKO195376:CKQ195459 CUK195376:CUM195459 DEG195376:DEI195459 DOC195376:DOE195459 DXY195376:DYA195459 EHU195376:EHW195459 ERQ195376:ERS195459 FBM195376:FBO195459 FLI195376:FLK195459 FVE195376:FVG195459 GFA195376:GFC195459 GOW195376:GOY195459 GYS195376:GYU195459 HIO195376:HIQ195459 HSK195376:HSM195459 ICG195376:ICI195459 IMC195376:IME195459 IVY195376:IWA195459 JFU195376:JFW195459 JPQ195376:JPS195459 JZM195376:JZO195459 KJI195376:KJK195459 KTE195376:KTG195459 LDA195376:LDC195459 LMW195376:LMY195459 LWS195376:LWU195459 MGO195376:MGQ195459 MQK195376:MQM195459 NAG195376:NAI195459 NKC195376:NKE195459 NTY195376:NUA195459 ODU195376:ODW195459 ONQ195376:ONS195459 OXM195376:OXO195459 PHI195376:PHK195459 PRE195376:PRG195459 QBA195376:QBC195459 QKW195376:QKY195459 QUS195376:QUU195459 REO195376:REQ195459 ROK195376:ROM195459 RYG195376:RYI195459 SIC195376:SIE195459 SRY195376:SSA195459 TBU195376:TBW195459 TLQ195376:TLS195459 TVM195376:TVO195459 UFI195376:UFK195459 UPE195376:UPG195459 UZA195376:UZC195459 VIW195376:VIY195459 VSS195376:VSU195459 WCO195376:WCQ195459 WMK195376:WMM195459 WWG195376:WWI195459 Y260912:AA260995 JU260912:JW260995 TQ260912:TS260995 ADM260912:ADO260995 ANI260912:ANK260995 AXE260912:AXG260995 BHA260912:BHC260995 BQW260912:BQY260995 CAS260912:CAU260995 CKO260912:CKQ260995 CUK260912:CUM260995 DEG260912:DEI260995 DOC260912:DOE260995 DXY260912:DYA260995 EHU260912:EHW260995 ERQ260912:ERS260995 FBM260912:FBO260995 FLI260912:FLK260995 FVE260912:FVG260995 GFA260912:GFC260995 GOW260912:GOY260995 GYS260912:GYU260995 HIO260912:HIQ260995 HSK260912:HSM260995 ICG260912:ICI260995 IMC260912:IME260995 IVY260912:IWA260995 JFU260912:JFW260995 JPQ260912:JPS260995 JZM260912:JZO260995 KJI260912:KJK260995 KTE260912:KTG260995 LDA260912:LDC260995 LMW260912:LMY260995 LWS260912:LWU260995 MGO260912:MGQ260995 MQK260912:MQM260995 NAG260912:NAI260995 NKC260912:NKE260995 NTY260912:NUA260995 ODU260912:ODW260995 ONQ260912:ONS260995 OXM260912:OXO260995 PHI260912:PHK260995 PRE260912:PRG260995 QBA260912:QBC260995 QKW260912:QKY260995 QUS260912:QUU260995 REO260912:REQ260995 ROK260912:ROM260995 RYG260912:RYI260995 SIC260912:SIE260995 SRY260912:SSA260995 TBU260912:TBW260995 TLQ260912:TLS260995 TVM260912:TVO260995 UFI260912:UFK260995 UPE260912:UPG260995 UZA260912:UZC260995 VIW260912:VIY260995 VSS260912:VSU260995 WCO260912:WCQ260995 WMK260912:WMM260995 WWG260912:WWI260995 Y326448:AA326531 JU326448:JW326531 TQ326448:TS326531 ADM326448:ADO326531 ANI326448:ANK326531 AXE326448:AXG326531 BHA326448:BHC326531 BQW326448:BQY326531 CAS326448:CAU326531 CKO326448:CKQ326531 CUK326448:CUM326531 DEG326448:DEI326531 DOC326448:DOE326531 DXY326448:DYA326531 EHU326448:EHW326531 ERQ326448:ERS326531 FBM326448:FBO326531 FLI326448:FLK326531 FVE326448:FVG326531 GFA326448:GFC326531 GOW326448:GOY326531 GYS326448:GYU326531 HIO326448:HIQ326531 HSK326448:HSM326531 ICG326448:ICI326531 IMC326448:IME326531 IVY326448:IWA326531 JFU326448:JFW326531 JPQ326448:JPS326531 JZM326448:JZO326531 KJI326448:KJK326531 KTE326448:KTG326531 LDA326448:LDC326531 LMW326448:LMY326531 LWS326448:LWU326531 MGO326448:MGQ326531 MQK326448:MQM326531 NAG326448:NAI326531 NKC326448:NKE326531 NTY326448:NUA326531 ODU326448:ODW326531 ONQ326448:ONS326531 OXM326448:OXO326531 PHI326448:PHK326531 PRE326448:PRG326531 QBA326448:QBC326531 QKW326448:QKY326531 QUS326448:QUU326531 REO326448:REQ326531 ROK326448:ROM326531 RYG326448:RYI326531 SIC326448:SIE326531 SRY326448:SSA326531 TBU326448:TBW326531 TLQ326448:TLS326531 TVM326448:TVO326531 UFI326448:UFK326531 UPE326448:UPG326531 UZA326448:UZC326531 VIW326448:VIY326531 VSS326448:VSU326531 WCO326448:WCQ326531 WMK326448:WMM326531 WWG326448:WWI326531 Y391984:AA392067 JU391984:JW392067 TQ391984:TS392067 ADM391984:ADO392067 ANI391984:ANK392067 AXE391984:AXG392067 BHA391984:BHC392067 BQW391984:BQY392067 CAS391984:CAU392067 CKO391984:CKQ392067 CUK391984:CUM392067 DEG391984:DEI392067 DOC391984:DOE392067 DXY391984:DYA392067 EHU391984:EHW392067 ERQ391984:ERS392067 FBM391984:FBO392067 FLI391984:FLK392067 FVE391984:FVG392067 GFA391984:GFC392067 GOW391984:GOY392067 GYS391984:GYU392067 HIO391984:HIQ392067 HSK391984:HSM392067 ICG391984:ICI392067 IMC391984:IME392067 IVY391984:IWA392067 JFU391984:JFW392067 JPQ391984:JPS392067 JZM391984:JZO392067 KJI391984:KJK392067 KTE391984:KTG392067 LDA391984:LDC392067 LMW391984:LMY392067 LWS391984:LWU392067 MGO391984:MGQ392067 MQK391984:MQM392067 NAG391984:NAI392067 NKC391984:NKE392067 NTY391984:NUA392067 ODU391984:ODW392067 ONQ391984:ONS392067 OXM391984:OXO392067 PHI391984:PHK392067 PRE391984:PRG392067 QBA391984:QBC392067 QKW391984:QKY392067 QUS391984:QUU392067 REO391984:REQ392067 ROK391984:ROM392067 RYG391984:RYI392067 SIC391984:SIE392067 SRY391984:SSA392067 TBU391984:TBW392067 TLQ391984:TLS392067 TVM391984:TVO392067 UFI391984:UFK392067 UPE391984:UPG392067 UZA391984:UZC392067 VIW391984:VIY392067 VSS391984:VSU392067 WCO391984:WCQ392067 WMK391984:WMM392067 WWG391984:WWI392067 Y457520:AA457603 JU457520:JW457603 TQ457520:TS457603 ADM457520:ADO457603 ANI457520:ANK457603 AXE457520:AXG457603 BHA457520:BHC457603 BQW457520:BQY457603 CAS457520:CAU457603 CKO457520:CKQ457603 CUK457520:CUM457603 DEG457520:DEI457603 DOC457520:DOE457603 DXY457520:DYA457603 EHU457520:EHW457603 ERQ457520:ERS457603 FBM457520:FBO457603 FLI457520:FLK457603 FVE457520:FVG457603 GFA457520:GFC457603 GOW457520:GOY457603 GYS457520:GYU457603 HIO457520:HIQ457603 HSK457520:HSM457603 ICG457520:ICI457603 IMC457520:IME457603 IVY457520:IWA457603 JFU457520:JFW457603 JPQ457520:JPS457603 JZM457520:JZO457603 KJI457520:KJK457603 KTE457520:KTG457603 LDA457520:LDC457603 LMW457520:LMY457603 LWS457520:LWU457603 MGO457520:MGQ457603 MQK457520:MQM457603 NAG457520:NAI457603 NKC457520:NKE457603 NTY457520:NUA457603 ODU457520:ODW457603 ONQ457520:ONS457603 OXM457520:OXO457603 PHI457520:PHK457603 PRE457520:PRG457603 QBA457520:QBC457603 QKW457520:QKY457603 QUS457520:QUU457603 REO457520:REQ457603 ROK457520:ROM457603 RYG457520:RYI457603 SIC457520:SIE457603 SRY457520:SSA457603 TBU457520:TBW457603 TLQ457520:TLS457603 TVM457520:TVO457603 UFI457520:UFK457603 UPE457520:UPG457603 UZA457520:UZC457603 VIW457520:VIY457603 VSS457520:VSU457603 WCO457520:WCQ457603 WMK457520:WMM457603 WWG457520:WWI457603 Y523056:AA523139 JU523056:JW523139 TQ523056:TS523139 ADM523056:ADO523139 ANI523056:ANK523139 AXE523056:AXG523139 BHA523056:BHC523139 BQW523056:BQY523139 CAS523056:CAU523139 CKO523056:CKQ523139 CUK523056:CUM523139 DEG523056:DEI523139 DOC523056:DOE523139 DXY523056:DYA523139 EHU523056:EHW523139 ERQ523056:ERS523139 FBM523056:FBO523139 FLI523056:FLK523139 FVE523056:FVG523139 GFA523056:GFC523139 GOW523056:GOY523139 GYS523056:GYU523139 HIO523056:HIQ523139 HSK523056:HSM523139 ICG523056:ICI523139 IMC523056:IME523139 IVY523056:IWA523139 JFU523056:JFW523139 JPQ523056:JPS523139 JZM523056:JZO523139 KJI523056:KJK523139 KTE523056:KTG523139 LDA523056:LDC523139 LMW523056:LMY523139 LWS523056:LWU523139 MGO523056:MGQ523139 MQK523056:MQM523139 NAG523056:NAI523139 NKC523056:NKE523139 NTY523056:NUA523139 ODU523056:ODW523139 ONQ523056:ONS523139 OXM523056:OXO523139 PHI523056:PHK523139 PRE523056:PRG523139 QBA523056:QBC523139 QKW523056:QKY523139 QUS523056:QUU523139 REO523056:REQ523139 ROK523056:ROM523139 RYG523056:RYI523139 SIC523056:SIE523139 SRY523056:SSA523139 TBU523056:TBW523139 TLQ523056:TLS523139 TVM523056:TVO523139 UFI523056:UFK523139 UPE523056:UPG523139 UZA523056:UZC523139 VIW523056:VIY523139 VSS523056:VSU523139 WCO523056:WCQ523139 WMK523056:WMM523139 WWG523056:WWI523139 Y588592:AA588675 JU588592:JW588675 TQ588592:TS588675 ADM588592:ADO588675 ANI588592:ANK588675 AXE588592:AXG588675 BHA588592:BHC588675 BQW588592:BQY588675 CAS588592:CAU588675 CKO588592:CKQ588675 CUK588592:CUM588675 DEG588592:DEI588675 DOC588592:DOE588675 DXY588592:DYA588675 EHU588592:EHW588675 ERQ588592:ERS588675 FBM588592:FBO588675 FLI588592:FLK588675 FVE588592:FVG588675 GFA588592:GFC588675 GOW588592:GOY588675 GYS588592:GYU588675 HIO588592:HIQ588675 HSK588592:HSM588675 ICG588592:ICI588675 IMC588592:IME588675 IVY588592:IWA588675 JFU588592:JFW588675 JPQ588592:JPS588675 JZM588592:JZO588675 KJI588592:KJK588675 KTE588592:KTG588675 LDA588592:LDC588675 LMW588592:LMY588675 LWS588592:LWU588675 MGO588592:MGQ588675 MQK588592:MQM588675 NAG588592:NAI588675 NKC588592:NKE588675 NTY588592:NUA588675 ODU588592:ODW588675 ONQ588592:ONS588675 OXM588592:OXO588675 PHI588592:PHK588675 PRE588592:PRG588675 QBA588592:QBC588675 QKW588592:QKY588675 QUS588592:QUU588675 REO588592:REQ588675 ROK588592:ROM588675 RYG588592:RYI588675 SIC588592:SIE588675 SRY588592:SSA588675 TBU588592:TBW588675 TLQ588592:TLS588675 TVM588592:TVO588675 UFI588592:UFK588675 UPE588592:UPG588675 UZA588592:UZC588675 VIW588592:VIY588675 VSS588592:VSU588675 WCO588592:WCQ588675 WMK588592:WMM588675 WWG588592:WWI588675 Y654128:AA654211 JU654128:JW654211 TQ654128:TS654211 ADM654128:ADO654211 ANI654128:ANK654211 AXE654128:AXG654211 BHA654128:BHC654211 BQW654128:BQY654211 CAS654128:CAU654211 CKO654128:CKQ654211 CUK654128:CUM654211 DEG654128:DEI654211 DOC654128:DOE654211 DXY654128:DYA654211 EHU654128:EHW654211 ERQ654128:ERS654211 FBM654128:FBO654211 FLI654128:FLK654211 FVE654128:FVG654211 GFA654128:GFC654211 GOW654128:GOY654211 GYS654128:GYU654211 HIO654128:HIQ654211 HSK654128:HSM654211 ICG654128:ICI654211 IMC654128:IME654211 IVY654128:IWA654211 JFU654128:JFW654211 JPQ654128:JPS654211 JZM654128:JZO654211 KJI654128:KJK654211 KTE654128:KTG654211 LDA654128:LDC654211 LMW654128:LMY654211 LWS654128:LWU654211 MGO654128:MGQ654211 MQK654128:MQM654211 NAG654128:NAI654211 NKC654128:NKE654211 NTY654128:NUA654211 ODU654128:ODW654211 ONQ654128:ONS654211 OXM654128:OXO654211 PHI654128:PHK654211 PRE654128:PRG654211 QBA654128:QBC654211 QKW654128:QKY654211 QUS654128:QUU654211 REO654128:REQ654211 ROK654128:ROM654211 RYG654128:RYI654211 SIC654128:SIE654211 SRY654128:SSA654211 TBU654128:TBW654211 TLQ654128:TLS654211 TVM654128:TVO654211 UFI654128:UFK654211 UPE654128:UPG654211 UZA654128:UZC654211 VIW654128:VIY654211 VSS654128:VSU654211 WCO654128:WCQ654211 WMK654128:WMM654211 WWG654128:WWI654211 Y719664:AA719747 JU719664:JW719747 TQ719664:TS719747 ADM719664:ADO719747 ANI719664:ANK719747 AXE719664:AXG719747 BHA719664:BHC719747 BQW719664:BQY719747 CAS719664:CAU719747 CKO719664:CKQ719747 CUK719664:CUM719747 DEG719664:DEI719747 DOC719664:DOE719747 DXY719664:DYA719747 EHU719664:EHW719747 ERQ719664:ERS719747 FBM719664:FBO719747 FLI719664:FLK719747 FVE719664:FVG719747 GFA719664:GFC719747 GOW719664:GOY719747 GYS719664:GYU719747 HIO719664:HIQ719747 HSK719664:HSM719747 ICG719664:ICI719747 IMC719664:IME719747 IVY719664:IWA719747 JFU719664:JFW719747 JPQ719664:JPS719747 JZM719664:JZO719747 KJI719664:KJK719747 KTE719664:KTG719747 LDA719664:LDC719747 LMW719664:LMY719747 LWS719664:LWU719747 MGO719664:MGQ719747 MQK719664:MQM719747 NAG719664:NAI719747 NKC719664:NKE719747 NTY719664:NUA719747 ODU719664:ODW719747 ONQ719664:ONS719747 OXM719664:OXO719747 PHI719664:PHK719747 PRE719664:PRG719747 QBA719664:QBC719747 QKW719664:QKY719747 QUS719664:QUU719747 REO719664:REQ719747 ROK719664:ROM719747 RYG719664:RYI719747 SIC719664:SIE719747 SRY719664:SSA719747 TBU719664:TBW719747 TLQ719664:TLS719747 TVM719664:TVO719747 UFI719664:UFK719747 UPE719664:UPG719747 UZA719664:UZC719747 VIW719664:VIY719747 VSS719664:VSU719747 WCO719664:WCQ719747 WMK719664:WMM719747 WWG719664:WWI719747 Y785200:AA785283 JU785200:JW785283 TQ785200:TS785283 ADM785200:ADO785283 ANI785200:ANK785283 AXE785200:AXG785283 BHA785200:BHC785283 BQW785200:BQY785283 CAS785200:CAU785283 CKO785200:CKQ785283 CUK785200:CUM785283 DEG785200:DEI785283 DOC785200:DOE785283 DXY785200:DYA785283 EHU785200:EHW785283 ERQ785200:ERS785283 FBM785200:FBO785283 FLI785200:FLK785283 FVE785200:FVG785283 GFA785200:GFC785283 GOW785200:GOY785283 GYS785200:GYU785283 HIO785200:HIQ785283 HSK785200:HSM785283 ICG785200:ICI785283 IMC785200:IME785283 IVY785200:IWA785283 JFU785200:JFW785283 JPQ785200:JPS785283 JZM785200:JZO785283 KJI785200:KJK785283 KTE785200:KTG785283 LDA785200:LDC785283 LMW785200:LMY785283 LWS785200:LWU785283 MGO785200:MGQ785283 MQK785200:MQM785283 NAG785200:NAI785283 NKC785200:NKE785283 NTY785200:NUA785283 ODU785200:ODW785283 ONQ785200:ONS785283 OXM785200:OXO785283 PHI785200:PHK785283 PRE785200:PRG785283 QBA785200:QBC785283 QKW785200:QKY785283 QUS785200:QUU785283 REO785200:REQ785283 ROK785200:ROM785283 RYG785200:RYI785283 SIC785200:SIE785283 SRY785200:SSA785283 TBU785200:TBW785283 TLQ785200:TLS785283 TVM785200:TVO785283 UFI785200:UFK785283 UPE785200:UPG785283 UZA785200:UZC785283 VIW785200:VIY785283 VSS785200:VSU785283 WCO785200:WCQ785283 WMK785200:WMM785283 WWG785200:WWI785283 Y850736:AA850819 JU850736:JW850819 TQ850736:TS850819 ADM850736:ADO850819 ANI850736:ANK850819 AXE850736:AXG850819 BHA850736:BHC850819 BQW850736:BQY850819 CAS850736:CAU850819 CKO850736:CKQ850819 CUK850736:CUM850819 DEG850736:DEI850819 DOC850736:DOE850819 DXY850736:DYA850819 EHU850736:EHW850819 ERQ850736:ERS850819 FBM850736:FBO850819 FLI850736:FLK850819 FVE850736:FVG850819 GFA850736:GFC850819 GOW850736:GOY850819 GYS850736:GYU850819 HIO850736:HIQ850819 HSK850736:HSM850819 ICG850736:ICI850819 IMC850736:IME850819 IVY850736:IWA850819 JFU850736:JFW850819 JPQ850736:JPS850819 JZM850736:JZO850819 KJI850736:KJK850819 KTE850736:KTG850819 LDA850736:LDC850819 LMW850736:LMY850819 LWS850736:LWU850819 MGO850736:MGQ850819 MQK850736:MQM850819 NAG850736:NAI850819 NKC850736:NKE850819 NTY850736:NUA850819 ODU850736:ODW850819 ONQ850736:ONS850819 OXM850736:OXO850819 PHI850736:PHK850819 PRE850736:PRG850819 QBA850736:QBC850819 QKW850736:QKY850819 QUS850736:QUU850819 REO850736:REQ850819 ROK850736:ROM850819 RYG850736:RYI850819 SIC850736:SIE850819 SRY850736:SSA850819 TBU850736:TBW850819 TLQ850736:TLS850819 TVM850736:TVO850819 UFI850736:UFK850819 UPE850736:UPG850819 UZA850736:UZC850819 VIW850736:VIY850819 VSS850736:VSU850819 WCO850736:WCQ850819 WMK850736:WMM850819 WWG850736:WWI850819 Y916272:AA916355 JU916272:JW916355 TQ916272:TS916355 ADM916272:ADO916355 ANI916272:ANK916355 AXE916272:AXG916355 BHA916272:BHC916355 BQW916272:BQY916355 CAS916272:CAU916355 CKO916272:CKQ916355 CUK916272:CUM916355 DEG916272:DEI916355 DOC916272:DOE916355 DXY916272:DYA916355 EHU916272:EHW916355 ERQ916272:ERS916355 FBM916272:FBO916355 FLI916272:FLK916355 FVE916272:FVG916355 GFA916272:GFC916355 GOW916272:GOY916355 GYS916272:GYU916355 HIO916272:HIQ916355 HSK916272:HSM916355 ICG916272:ICI916355 IMC916272:IME916355 IVY916272:IWA916355 JFU916272:JFW916355 JPQ916272:JPS916355 JZM916272:JZO916355 KJI916272:KJK916355 KTE916272:KTG916355 LDA916272:LDC916355 LMW916272:LMY916355 LWS916272:LWU916355 MGO916272:MGQ916355 MQK916272:MQM916355 NAG916272:NAI916355 NKC916272:NKE916355 NTY916272:NUA916355 ODU916272:ODW916355 ONQ916272:ONS916355 OXM916272:OXO916355 PHI916272:PHK916355 PRE916272:PRG916355 QBA916272:QBC916355 QKW916272:QKY916355 QUS916272:QUU916355 REO916272:REQ916355 ROK916272:ROM916355 RYG916272:RYI916355 SIC916272:SIE916355 SRY916272:SSA916355 TBU916272:TBW916355 TLQ916272:TLS916355 TVM916272:TVO916355 UFI916272:UFK916355 UPE916272:UPG916355 UZA916272:UZC916355 VIW916272:VIY916355 VSS916272:VSU916355 WCO916272:WCQ916355 WMK916272:WMM916355 WWG916272:WWI916355 Y981808:AA981891 JU981808:JW981891 TQ981808:TS981891 ADM981808:ADO981891 ANI981808:ANK981891 AXE981808:AXG981891 BHA981808:BHC981891 BQW981808:BQY981891 CAS981808:CAU981891 CKO981808:CKQ981891 CUK981808:CUM981891 DEG981808:DEI981891 DOC981808:DOE981891 DXY981808:DYA981891 EHU981808:EHW981891 ERQ981808:ERS981891 FBM981808:FBO981891 FLI981808:FLK981891 FVE981808:FVG981891 GFA981808:GFC981891 GOW981808:GOY981891 GYS981808:GYU981891 HIO981808:HIQ981891 HSK981808:HSM981891 ICG981808:ICI981891 IMC981808:IME981891 IVY981808:IWA981891 JFU981808:JFW981891 JPQ981808:JPS981891 JZM981808:JZO981891 KJI981808:KJK981891 KTE981808:KTG981891 LDA981808:LDC981891 LMW981808:LMY981891 LWS981808:LWU981891 MGO981808:MGQ981891 MQK981808:MQM981891 NAG981808:NAI981891 NKC981808:NKE981891 NTY981808:NUA981891 ODU981808:ODW981891 ONQ981808:ONS981891 OXM981808:OXO981891 PHI981808:PHK981891 PRE981808:PRG981891 QBA981808:QBC981891 QKW981808:QKY981891 QUS981808:QUU981891 REO981808:REQ981891 ROK981808:ROM981891 RYG981808:RYI981891 SIC981808:SIE981891 SRY981808:SSA981891 TBU981808:TBW981891 TLQ981808:TLS981891 TVM981808:TVO981891 UFI981808:UFK981891 UPE981808:UPG981891 UZA981808:UZC981891 VIW981808:VIY981891 VSS981808:VSU981891 WCO981808:WCQ981891" xr:uid="{50F7CBAD-159E-4B35-9341-F8EA33A24791}">
      <formula1>$AV$2:$AV$22</formula1>
    </dataValidation>
    <dataValidation type="list" allowBlank="1" showInputMessage="1" showErrorMessage="1" sqref="E2:E686" xr:uid="{2D569B1E-16F8-485D-9279-D3B0F925DE45}">
      <formula1>$AG$2:$AG$11</formula1>
    </dataValidation>
    <dataValidation type="list" allowBlank="1" showInputMessage="1" showErrorMessage="1" sqref="A2:A686" xr:uid="{E48169AB-4F12-43B1-82A0-87FA02C78D2B}">
      <formula1>$AE$2:$AE$19</formula1>
    </dataValidation>
    <dataValidation type="list" allowBlank="1" showInputMessage="1" showErrorMessage="1" sqref="Y2:AA503" xr:uid="{2DEEDC15-98DB-4AB4-90D2-C95EDCE508FF}">
      <formula1>$AV$2:$AV$21</formula1>
    </dataValidation>
    <dataValidation type="decimal" allowBlank="1" showInputMessage="1" showErrorMessage="1" error="硬度を正しく入力して下さい。" sqref="O99:P503 O5:P10 P11:P16 O17:P34 O41:P97 P35:P40" xr:uid="{9E218F02-9FEF-4738-844F-506AE48E2E8D}">
      <formula1>0</formula1>
      <formula2>7</formula2>
    </dataValidation>
  </dataValidations>
  <pageMargins left="0.25" right="0.25" top="0.75" bottom="0.75" header="0.3" footer="0.3"/>
  <pageSetup paperSize="9"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B288F-3133-42FC-A120-EB00E492034D}">
  <dimension ref="A1:BA152"/>
  <sheetViews>
    <sheetView zoomScale="85" zoomScaleNormal="85" workbookViewId="0"/>
  </sheetViews>
  <sheetFormatPr defaultColWidth="8.875" defaultRowHeight="13.5" x14ac:dyDescent="0.15"/>
  <cols>
    <col min="1" max="3" width="8.875" style="77"/>
    <col min="4" max="4" width="13.5" style="77" bestFit="1" customWidth="1"/>
    <col min="5" max="5" width="9.625" style="77" bestFit="1" customWidth="1"/>
    <col min="6" max="16" width="8.875" style="77"/>
    <col min="17" max="17" width="8.875" style="16"/>
    <col min="18" max="19" width="8.875" style="77"/>
    <col min="20" max="20" width="8.875" style="16"/>
    <col min="21" max="21" width="8.875" style="77"/>
    <col min="22" max="22" width="8.875" style="16"/>
    <col min="23" max="32" width="8.875" style="77"/>
    <col min="33" max="33" width="19.625" style="77" bestFit="1" customWidth="1"/>
    <col min="34" max="259" width="8.875" style="77"/>
    <col min="260" max="260" width="10.5" style="77" bestFit="1" customWidth="1"/>
    <col min="261" max="261" width="9.625" style="77" bestFit="1" customWidth="1"/>
    <col min="262" max="515" width="8.875" style="77"/>
    <col min="516" max="516" width="10.5" style="77" bestFit="1" customWidth="1"/>
    <col min="517" max="517" width="9.625" style="77" bestFit="1" customWidth="1"/>
    <col min="518" max="771" width="8.875" style="77"/>
    <col min="772" max="772" width="10.5" style="77" bestFit="1" customWidth="1"/>
    <col min="773" max="773" width="9.625" style="77" bestFit="1" customWidth="1"/>
    <col min="774" max="1027" width="8.875" style="77"/>
    <col min="1028" max="1028" width="10.5" style="77" bestFit="1" customWidth="1"/>
    <col min="1029" max="1029" width="9.625" style="77" bestFit="1" customWidth="1"/>
    <col min="1030" max="1283" width="8.875" style="77"/>
    <col min="1284" max="1284" width="10.5" style="77" bestFit="1" customWidth="1"/>
    <col min="1285" max="1285" width="9.625" style="77" bestFit="1" customWidth="1"/>
    <col min="1286" max="1539" width="8.875" style="77"/>
    <col min="1540" max="1540" width="10.5" style="77" bestFit="1" customWidth="1"/>
    <col min="1541" max="1541" width="9.625" style="77" bestFit="1" customWidth="1"/>
    <col min="1542" max="1795" width="8.875" style="77"/>
    <col min="1796" max="1796" width="10.5" style="77" bestFit="1" customWidth="1"/>
    <col min="1797" max="1797" width="9.625" style="77" bestFit="1" customWidth="1"/>
    <col min="1798" max="2051" width="8.875" style="77"/>
    <col min="2052" max="2052" width="10.5" style="77" bestFit="1" customWidth="1"/>
    <col min="2053" max="2053" width="9.625" style="77" bestFit="1" customWidth="1"/>
    <col min="2054" max="2307" width="8.875" style="77"/>
    <col min="2308" max="2308" width="10.5" style="77" bestFit="1" customWidth="1"/>
    <col min="2309" max="2309" width="9.625" style="77" bestFit="1" customWidth="1"/>
    <col min="2310" max="2563" width="8.875" style="77"/>
    <col min="2564" max="2564" width="10.5" style="77" bestFit="1" customWidth="1"/>
    <col min="2565" max="2565" width="9.625" style="77" bestFit="1" customWidth="1"/>
    <col min="2566" max="2819" width="8.875" style="77"/>
    <col min="2820" max="2820" width="10.5" style="77" bestFit="1" customWidth="1"/>
    <col min="2821" max="2821" width="9.625" style="77" bestFit="1" customWidth="1"/>
    <col min="2822" max="3075" width="8.875" style="77"/>
    <col min="3076" max="3076" width="10.5" style="77" bestFit="1" customWidth="1"/>
    <col min="3077" max="3077" width="9.625" style="77" bestFit="1" customWidth="1"/>
    <col min="3078" max="3331" width="8.875" style="77"/>
    <col min="3332" max="3332" width="10.5" style="77" bestFit="1" customWidth="1"/>
    <col min="3333" max="3333" width="9.625" style="77" bestFit="1" customWidth="1"/>
    <col min="3334" max="3587" width="8.875" style="77"/>
    <col min="3588" max="3588" width="10.5" style="77" bestFit="1" customWidth="1"/>
    <col min="3589" max="3589" width="9.625" style="77" bestFit="1" customWidth="1"/>
    <col min="3590" max="3843" width="8.875" style="77"/>
    <col min="3844" max="3844" width="10.5" style="77" bestFit="1" customWidth="1"/>
    <col min="3845" max="3845" width="9.625" style="77" bestFit="1" customWidth="1"/>
    <col min="3846" max="4099" width="8.875" style="77"/>
    <col min="4100" max="4100" width="10.5" style="77" bestFit="1" customWidth="1"/>
    <col min="4101" max="4101" width="9.625" style="77" bestFit="1" customWidth="1"/>
    <col min="4102" max="4355" width="8.875" style="77"/>
    <col min="4356" max="4356" width="10.5" style="77" bestFit="1" customWidth="1"/>
    <col min="4357" max="4357" width="9.625" style="77" bestFit="1" customWidth="1"/>
    <col min="4358" max="4611" width="8.875" style="77"/>
    <col min="4612" max="4612" width="10.5" style="77" bestFit="1" customWidth="1"/>
    <col min="4613" max="4613" width="9.625" style="77" bestFit="1" customWidth="1"/>
    <col min="4614" max="4867" width="8.875" style="77"/>
    <col min="4868" max="4868" width="10.5" style="77" bestFit="1" customWidth="1"/>
    <col min="4869" max="4869" width="9.625" style="77" bestFit="1" customWidth="1"/>
    <col min="4870" max="5123" width="8.875" style="77"/>
    <col min="5124" max="5124" width="10.5" style="77" bestFit="1" customWidth="1"/>
    <col min="5125" max="5125" width="9.625" style="77" bestFit="1" customWidth="1"/>
    <col min="5126" max="5379" width="8.875" style="77"/>
    <col min="5380" max="5380" width="10.5" style="77" bestFit="1" customWidth="1"/>
    <col min="5381" max="5381" width="9.625" style="77" bestFit="1" customWidth="1"/>
    <col min="5382" max="5635" width="8.875" style="77"/>
    <col min="5636" max="5636" width="10.5" style="77" bestFit="1" customWidth="1"/>
    <col min="5637" max="5637" width="9.625" style="77" bestFit="1" customWidth="1"/>
    <col min="5638" max="5891" width="8.875" style="77"/>
    <col min="5892" max="5892" width="10.5" style="77" bestFit="1" customWidth="1"/>
    <col min="5893" max="5893" width="9.625" style="77" bestFit="1" customWidth="1"/>
    <col min="5894" max="6147" width="8.875" style="77"/>
    <col min="6148" max="6148" width="10.5" style="77" bestFit="1" customWidth="1"/>
    <col min="6149" max="6149" width="9.625" style="77" bestFit="1" customWidth="1"/>
    <col min="6150" max="6403" width="8.875" style="77"/>
    <col min="6404" max="6404" width="10.5" style="77" bestFit="1" customWidth="1"/>
    <col min="6405" max="6405" width="9.625" style="77" bestFit="1" customWidth="1"/>
    <col min="6406" max="6659" width="8.875" style="77"/>
    <col min="6660" max="6660" width="10.5" style="77" bestFit="1" customWidth="1"/>
    <col min="6661" max="6661" width="9.625" style="77" bestFit="1" customWidth="1"/>
    <col min="6662" max="6915" width="8.875" style="77"/>
    <col min="6916" max="6916" width="10.5" style="77" bestFit="1" customWidth="1"/>
    <col min="6917" max="6917" width="9.625" style="77" bestFit="1" customWidth="1"/>
    <col min="6918" max="7171" width="8.875" style="77"/>
    <col min="7172" max="7172" width="10.5" style="77" bestFit="1" customWidth="1"/>
    <col min="7173" max="7173" width="9.625" style="77" bestFit="1" customWidth="1"/>
    <col min="7174" max="7427" width="8.875" style="77"/>
    <col min="7428" max="7428" width="10.5" style="77" bestFit="1" customWidth="1"/>
    <col min="7429" max="7429" width="9.625" style="77" bestFit="1" customWidth="1"/>
    <col min="7430" max="7683" width="8.875" style="77"/>
    <col min="7684" max="7684" width="10.5" style="77" bestFit="1" customWidth="1"/>
    <col min="7685" max="7685" width="9.625" style="77" bestFit="1" customWidth="1"/>
    <col min="7686" max="7939" width="8.875" style="77"/>
    <col min="7940" max="7940" width="10.5" style="77" bestFit="1" customWidth="1"/>
    <col min="7941" max="7941" width="9.625" style="77" bestFit="1" customWidth="1"/>
    <col min="7942" max="8195" width="8.875" style="77"/>
    <col min="8196" max="8196" width="10.5" style="77" bestFit="1" customWidth="1"/>
    <col min="8197" max="8197" width="9.625" style="77" bestFit="1" customWidth="1"/>
    <col min="8198" max="8451" width="8.875" style="77"/>
    <col min="8452" max="8452" width="10.5" style="77" bestFit="1" customWidth="1"/>
    <col min="8453" max="8453" width="9.625" style="77" bestFit="1" customWidth="1"/>
    <col min="8454" max="8707" width="8.875" style="77"/>
    <col min="8708" max="8708" width="10.5" style="77" bestFit="1" customWidth="1"/>
    <col min="8709" max="8709" width="9.625" style="77" bestFit="1" customWidth="1"/>
    <col min="8710" max="8963" width="8.875" style="77"/>
    <col min="8964" max="8964" width="10.5" style="77" bestFit="1" customWidth="1"/>
    <col min="8965" max="8965" width="9.625" style="77" bestFit="1" customWidth="1"/>
    <col min="8966" max="9219" width="8.875" style="77"/>
    <col min="9220" max="9220" width="10.5" style="77" bestFit="1" customWidth="1"/>
    <col min="9221" max="9221" width="9.625" style="77" bestFit="1" customWidth="1"/>
    <col min="9222" max="9475" width="8.875" style="77"/>
    <col min="9476" max="9476" width="10.5" style="77" bestFit="1" customWidth="1"/>
    <col min="9477" max="9477" width="9.625" style="77" bestFit="1" customWidth="1"/>
    <col min="9478" max="9731" width="8.875" style="77"/>
    <col min="9732" max="9732" width="10.5" style="77" bestFit="1" customWidth="1"/>
    <col min="9733" max="9733" width="9.625" style="77" bestFit="1" customWidth="1"/>
    <col min="9734" max="9987" width="8.875" style="77"/>
    <col min="9988" max="9988" width="10.5" style="77" bestFit="1" customWidth="1"/>
    <col min="9989" max="9989" width="9.625" style="77" bestFit="1" customWidth="1"/>
    <col min="9990" max="10243" width="8.875" style="77"/>
    <col min="10244" max="10244" width="10.5" style="77" bestFit="1" customWidth="1"/>
    <col min="10245" max="10245" width="9.625" style="77" bestFit="1" customWidth="1"/>
    <col min="10246" max="10499" width="8.875" style="77"/>
    <col min="10500" max="10500" width="10.5" style="77" bestFit="1" customWidth="1"/>
    <col min="10501" max="10501" width="9.625" style="77" bestFit="1" customWidth="1"/>
    <col min="10502" max="10755" width="8.875" style="77"/>
    <col min="10756" max="10756" width="10.5" style="77" bestFit="1" customWidth="1"/>
    <col min="10757" max="10757" width="9.625" style="77" bestFit="1" customWidth="1"/>
    <col min="10758" max="11011" width="8.875" style="77"/>
    <col min="11012" max="11012" width="10.5" style="77" bestFit="1" customWidth="1"/>
    <col min="11013" max="11013" width="9.625" style="77" bestFit="1" customWidth="1"/>
    <col min="11014" max="11267" width="8.875" style="77"/>
    <col min="11268" max="11268" width="10.5" style="77" bestFit="1" customWidth="1"/>
    <col min="11269" max="11269" width="9.625" style="77" bestFit="1" customWidth="1"/>
    <col min="11270" max="11523" width="8.875" style="77"/>
    <col min="11524" max="11524" width="10.5" style="77" bestFit="1" customWidth="1"/>
    <col min="11525" max="11525" width="9.625" style="77" bestFit="1" customWidth="1"/>
    <col min="11526" max="11779" width="8.875" style="77"/>
    <col min="11780" max="11780" width="10.5" style="77" bestFit="1" customWidth="1"/>
    <col min="11781" max="11781" width="9.625" style="77" bestFit="1" customWidth="1"/>
    <col min="11782" max="12035" width="8.875" style="77"/>
    <col min="12036" max="12036" width="10.5" style="77" bestFit="1" customWidth="1"/>
    <col min="12037" max="12037" width="9.625" style="77" bestFit="1" customWidth="1"/>
    <col min="12038" max="12291" width="8.875" style="77"/>
    <col min="12292" max="12292" width="10.5" style="77" bestFit="1" customWidth="1"/>
    <col min="12293" max="12293" width="9.625" style="77" bestFit="1" customWidth="1"/>
    <col min="12294" max="12547" width="8.875" style="77"/>
    <col min="12548" max="12548" width="10.5" style="77" bestFit="1" customWidth="1"/>
    <col min="12549" max="12549" width="9.625" style="77" bestFit="1" customWidth="1"/>
    <col min="12550" max="12803" width="8.875" style="77"/>
    <col min="12804" max="12804" width="10.5" style="77" bestFit="1" customWidth="1"/>
    <col min="12805" max="12805" width="9.625" style="77" bestFit="1" customWidth="1"/>
    <col min="12806" max="13059" width="8.875" style="77"/>
    <col min="13060" max="13060" width="10.5" style="77" bestFit="1" customWidth="1"/>
    <col min="13061" max="13061" width="9.625" style="77" bestFit="1" customWidth="1"/>
    <col min="13062" max="13315" width="8.875" style="77"/>
    <col min="13316" max="13316" width="10.5" style="77" bestFit="1" customWidth="1"/>
    <col min="13317" max="13317" width="9.625" style="77" bestFit="1" customWidth="1"/>
    <col min="13318" max="13571" width="8.875" style="77"/>
    <col min="13572" max="13572" width="10.5" style="77" bestFit="1" customWidth="1"/>
    <col min="13573" max="13573" width="9.625" style="77" bestFit="1" customWidth="1"/>
    <col min="13574" max="13827" width="8.875" style="77"/>
    <col min="13828" max="13828" width="10.5" style="77" bestFit="1" customWidth="1"/>
    <col min="13829" max="13829" width="9.625" style="77" bestFit="1" customWidth="1"/>
    <col min="13830" max="14083" width="8.875" style="77"/>
    <col min="14084" max="14084" width="10.5" style="77" bestFit="1" customWidth="1"/>
    <col min="14085" max="14085" width="9.625" style="77" bestFit="1" customWidth="1"/>
    <col min="14086" max="14339" width="8.875" style="77"/>
    <col min="14340" max="14340" width="10.5" style="77" bestFit="1" customWidth="1"/>
    <col min="14341" max="14341" width="9.625" style="77" bestFit="1" customWidth="1"/>
    <col min="14342" max="14595" width="8.875" style="77"/>
    <col min="14596" max="14596" width="10.5" style="77" bestFit="1" customWidth="1"/>
    <col min="14597" max="14597" width="9.625" style="77" bestFit="1" customWidth="1"/>
    <col min="14598" max="14851" width="8.875" style="77"/>
    <col min="14852" max="14852" width="10.5" style="77" bestFit="1" customWidth="1"/>
    <col min="14853" max="14853" width="9.625" style="77" bestFit="1" customWidth="1"/>
    <col min="14854" max="15107" width="8.875" style="77"/>
    <col min="15108" max="15108" width="10.5" style="77" bestFit="1" customWidth="1"/>
    <col min="15109" max="15109" width="9.625" style="77" bestFit="1" customWidth="1"/>
    <col min="15110" max="15363" width="8.875" style="77"/>
    <col min="15364" max="15364" width="10.5" style="77" bestFit="1" customWidth="1"/>
    <col min="15365" max="15365" width="9.625" style="77" bestFit="1" customWidth="1"/>
    <col min="15366" max="15619" width="8.875" style="77"/>
    <col min="15620" max="15620" width="10.5" style="77" bestFit="1" customWidth="1"/>
    <col min="15621" max="15621" width="9.625" style="77" bestFit="1" customWidth="1"/>
    <col min="15622" max="15875" width="8.875" style="77"/>
    <col min="15876" max="15876" width="10.5" style="77" bestFit="1" customWidth="1"/>
    <col min="15877" max="15877" width="9.625" style="77" bestFit="1" customWidth="1"/>
    <col min="15878" max="16131" width="8.875" style="77"/>
    <col min="16132" max="16132" width="10.5" style="77" bestFit="1" customWidth="1"/>
    <col min="16133" max="16133" width="9.625" style="77" bestFit="1" customWidth="1"/>
    <col min="16134" max="16384" width="8.875" style="77"/>
  </cols>
  <sheetData>
    <row r="1" spans="1:53" ht="45" x14ac:dyDescent="0.15">
      <c r="A1" s="40" t="s">
        <v>286</v>
      </c>
      <c r="B1" s="92" t="s">
        <v>1</v>
      </c>
      <c r="C1" s="92" t="s">
        <v>118</v>
      </c>
      <c r="D1" s="93" t="s">
        <v>2</v>
      </c>
      <c r="E1" s="83" t="s">
        <v>3</v>
      </c>
      <c r="F1" s="83" t="s">
        <v>4</v>
      </c>
      <c r="G1" s="83" t="s">
        <v>5</v>
      </c>
      <c r="H1" s="83" t="s">
        <v>6</v>
      </c>
      <c r="I1" s="83" t="s">
        <v>7</v>
      </c>
      <c r="J1" s="83" t="s">
        <v>8</v>
      </c>
      <c r="K1" s="83" t="s">
        <v>9</v>
      </c>
      <c r="L1" s="93" t="s">
        <v>119</v>
      </c>
      <c r="M1" s="93" t="s">
        <v>10</v>
      </c>
      <c r="N1" s="93" t="s">
        <v>288</v>
      </c>
      <c r="O1" s="93" t="s">
        <v>120</v>
      </c>
      <c r="P1" s="93" t="s">
        <v>121</v>
      </c>
      <c r="Q1" s="3" t="s">
        <v>12</v>
      </c>
      <c r="R1" s="93" t="s">
        <v>122</v>
      </c>
      <c r="S1" s="93" t="s">
        <v>123</v>
      </c>
      <c r="T1" s="3" t="s">
        <v>13</v>
      </c>
      <c r="U1" s="94" t="s">
        <v>289</v>
      </c>
      <c r="V1" s="5" t="s">
        <v>14</v>
      </c>
      <c r="W1" s="93" t="s">
        <v>15</v>
      </c>
      <c r="X1" s="83" t="s">
        <v>16</v>
      </c>
      <c r="Y1" s="83" t="s">
        <v>17</v>
      </c>
      <c r="Z1" s="83" t="s">
        <v>18</v>
      </c>
      <c r="AA1" s="42" t="s">
        <v>19</v>
      </c>
      <c r="AB1" s="95" t="s">
        <v>124</v>
      </c>
      <c r="AE1" s="96" t="s">
        <v>0</v>
      </c>
      <c r="AF1" s="97"/>
      <c r="AG1" s="96" t="s">
        <v>3</v>
      </c>
      <c r="AH1" s="96" t="s">
        <v>4</v>
      </c>
      <c r="AI1" s="97"/>
      <c r="AJ1" s="96" t="s">
        <v>5</v>
      </c>
      <c r="AK1" s="97"/>
      <c r="AL1" s="10" t="s">
        <v>6</v>
      </c>
      <c r="AM1" s="97"/>
      <c r="AN1" s="10" t="s">
        <v>7</v>
      </c>
      <c r="AO1" s="97"/>
      <c r="AP1" s="10" t="s">
        <v>20</v>
      </c>
      <c r="AQ1" s="97"/>
      <c r="AR1" s="10" t="s">
        <v>9</v>
      </c>
      <c r="AS1" s="97"/>
      <c r="AT1" s="11" t="s">
        <v>21</v>
      </c>
      <c r="AU1" s="97"/>
      <c r="AV1" s="10" t="s">
        <v>22</v>
      </c>
      <c r="AX1" s="12" t="s">
        <v>125</v>
      </c>
      <c r="AY1" s="13" t="s">
        <v>126</v>
      </c>
      <c r="AZ1" s="13" t="s">
        <v>127</v>
      </c>
      <c r="BA1" s="14" t="s">
        <v>128</v>
      </c>
    </row>
    <row r="2" spans="1:53" x14ac:dyDescent="0.15">
      <c r="A2" s="77" t="s">
        <v>46</v>
      </c>
      <c r="B2" s="77" t="s">
        <v>160</v>
      </c>
      <c r="C2" s="185">
        <v>2020</v>
      </c>
      <c r="D2" s="186" t="s">
        <v>328</v>
      </c>
      <c r="E2" s="77" t="s">
        <v>329</v>
      </c>
      <c r="F2" s="77" t="s">
        <v>330</v>
      </c>
      <c r="G2" s="77" t="s">
        <v>25</v>
      </c>
      <c r="H2" s="77" t="s">
        <v>164</v>
      </c>
      <c r="I2" s="77" t="s">
        <v>111</v>
      </c>
      <c r="J2" s="77" t="s">
        <v>27</v>
      </c>
      <c r="K2" s="77" t="s">
        <v>112</v>
      </c>
      <c r="L2" s="77">
        <v>1</v>
      </c>
      <c r="N2" s="77">
        <v>4</v>
      </c>
      <c r="O2" s="77">
        <v>0.48</v>
      </c>
      <c r="P2" s="77">
        <v>0.53</v>
      </c>
      <c r="Q2" s="44">
        <f>IF(OR(O2="",P2=""),"",AVERAGE(O2,P2))</f>
        <v>0.505</v>
      </c>
      <c r="R2" s="77">
        <v>16.600000000000001</v>
      </c>
      <c r="S2" s="77">
        <v>108</v>
      </c>
      <c r="T2" s="16">
        <f t="shared" ref="T2:T57" si="0">IF(H2="","",IF(OR(H2="GREEN",H2="GK"),IF(S2&gt;=$AX$2,VLOOKUP(S2,$AX$2:$AY$12,2,1),""),IF(S2&gt;=$AZ$2,VLOOKUP(S2,$AZ$2:$BA$12,2,1),"")))</f>
        <v>33</v>
      </c>
      <c r="U2" s="77">
        <v>480</v>
      </c>
      <c r="V2" s="16">
        <f t="shared" ref="V2:V65" si="1">IF(J2="","",IF(OR(J2="GREEN",J2="GK"),IF(U2&gt;=$AX$2,VLOOKUP(U2,$AX$2:$AY$12,2,1),""),IF(U2&gt;=$AZ$2,VLOOKUP(U2,$AZ$2:$BA$12,2,1),"")))</f>
        <v>16</v>
      </c>
      <c r="W2" s="77">
        <v>1</v>
      </c>
      <c r="X2" s="77" t="s">
        <v>35</v>
      </c>
      <c r="Y2" s="77" t="s">
        <v>76</v>
      </c>
      <c r="Z2" s="77" t="s">
        <v>72</v>
      </c>
      <c r="AA2" s="77" t="s">
        <v>36</v>
      </c>
      <c r="AB2" s="77" t="s">
        <v>162</v>
      </c>
      <c r="AE2" s="98" t="s">
        <v>24</v>
      </c>
      <c r="AG2" s="187" t="s">
        <v>331</v>
      </c>
      <c r="AH2" s="188" t="s">
        <v>332</v>
      </c>
      <c r="AJ2" s="50" t="s">
        <v>25</v>
      </c>
      <c r="AL2" s="100" t="s">
        <v>107</v>
      </c>
      <c r="AN2" s="50" t="s">
        <v>333</v>
      </c>
      <c r="AP2" s="50" t="s">
        <v>27</v>
      </c>
      <c r="AR2" s="50" t="s">
        <v>129</v>
      </c>
      <c r="AT2" s="50" t="s">
        <v>28</v>
      </c>
      <c r="AV2" s="80" t="s">
        <v>43</v>
      </c>
      <c r="AX2" s="101">
        <v>1</v>
      </c>
      <c r="AY2" s="102">
        <v>50</v>
      </c>
      <c r="AZ2" s="102">
        <v>1</v>
      </c>
      <c r="BA2" s="103">
        <v>50</v>
      </c>
    </row>
    <row r="3" spans="1:53" x14ac:dyDescent="0.15">
      <c r="A3" s="77" t="s">
        <v>46</v>
      </c>
      <c r="B3" s="77" t="s">
        <v>160</v>
      </c>
      <c r="C3" s="185">
        <v>2020</v>
      </c>
      <c r="D3" s="186" t="s">
        <v>328</v>
      </c>
      <c r="E3" s="77" t="s">
        <v>329</v>
      </c>
      <c r="F3" s="77" t="s">
        <v>330</v>
      </c>
      <c r="G3" s="77" t="s">
        <v>25</v>
      </c>
      <c r="H3" s="77" t="s">
        <v>164</v>
      </c>
      <c r="I3" s="77" t="s">
        <v>111</v>
      </c>
      <c r="J3" s="77" t="s">
        <v>27</v>
      </c>
      <c r="K3" s="77" t="s">
        <v>112</v>
      </c>
      <c r="L3" s="77">
        <v>2</v>
      </c>
      <c r="N3" s="77">
        <v>4</v>
      </c>
      <c r="O3" s="77">
        <v>0.55000000000000004</v>
      </c>
      <c r="P3" s="77">
        <v>0.53</v>
      </c>
      <c r="Q3" s="44">
        <f t="shared" ref="Q3:Q66" si="2">IF(OR(O3="",P3=""),"",AVERAGE(O3,P3))</f>
        <v>0.54</v>
      </c>
      <c r="R3" s="77">
        <v>16.3</v>
      </c>
      <c r="S3" s="77">
        <v>111</v>
      </c>
      <c r="T3" s="16">
        <f t="shared" si="0"/>
        <v>33</v>
      </c>
      <c r="U3" s="77">
        <v>480</v>
      </c>
      <c r="V3" s="16">
        <f t="shared" si="1"/>
        <v>16</v>
      </c>
      <c r="W3" s="77">
        <v>1</v>
      </c>
      <c r="X3" s="77" t="s">
        <v>35</v>
      </c>
      <c r="Y3" s="77" t="s">
        <v>76</v>
      </c>
      <c r="Z3" s="77" t="s">
        <v>72</v>
      </c>
      <c r="AA3" s="77" t="s">
        <v>36</v>
      </c>
      <c r="AB3" s="77" t="s">
        <v>162</v>
      </c>
      <c r="AE3" s="22" t="s">
        <v>30</v>
      </c>
      <c r="AG3" s="187" t="s">
        <v>329</v>
      </c>
      <c r="AH3" s="188" t="s">
        <v>330</v>
      </c>
      <c r="AJ3" s="80" t="s">
        <v>31</v>
      </c>
      <c r="AL3" s="80" t="s">
        <v>108</v>
      </c>
      <c r="AN3" s="80" t="s">
        <v>32</v>
      </c>
      <c r="AP3" s="80" t="s">
        <v>33</v>
      </c>
      <c r="AR3" s="80" t="s">
        <v>34</v>
      </c>
      <c r="AT3" s="80" t="s">
        <v>35</v>
      </c>
      <c r="AV3" s="80" t="s">
        <v>334</v>
      </c>
      <c r="AX3" s="24">
        <v>72</v>
      </c>
      <c r="AY3" s="25">
        <v>46</v>
      </c>
      <c r="AZ3" s="25">
        <v>71</v>
      </c>
      <c r="BA3" s="26">
        <v>42</v>
      </c>
    </row>
    <row r="4" spans="1:53" x14ac:dyDescent="0.15">
      <c r="A4" s="77" t="s">
        <v>46</v>
      </c>
      <c r="B4" s="77" t="s">
        <v>160</v>
      </c>
      <c r="C4" s="185">
        <v>2020</v>
      </c>
      <c r="D4" s="186" t="s">
        <v>328</v>
      </c>
      <c r="E4" s="77" t="s">
        <v>329</v>
      </c>
      <c r="F4" s="77" t="s">
        <v>330</v>
      </c>
      <c r="G4" s="77" t="s">
        <v>25</v>
      </c>
      <c r="H4" s="77" t="s">
        <v>164</v>
      </c>
      <c r="I4" s="77" t="s">
        <v>111</v>
      </c>
      <c r="J4" s="77" t="s">
        <v>27</v>
      </c>
      <c r="K4" s="77" t="s">
        <v>112</v>
      </c>
      <c r="L4" s="77">
        <v>3</v>
      </c>
      <c r="N4" s="77">
        <v>4</v>
      </c>
      <c r="O4" s="77">
        <v>0.51</v>
      </c>
      <c r="P4" s="77">
        <v>0.52</v>
      </c>
      <c r="Q4" s="44">
        <f t="shared" si="2"/>
        <v>0.51500000000000001</v>
      </c>
      <c r="R4" s="77">
        <v>15.8</v>
      </c>
      <c r="S4" s="77">
        <v>116</v>
      </c>
      <c r="T4" s="16">
        <f t="shared" si="0"/>
        <v>30</v>
      </c>
      <c r="U4" s="77">
        <v>480</v>
      </c>
      <c r="V4" s="16">
        <f t="shared" si="1"/>
        <v>16</v>
      </c>
      <c r="W4" s="77">
        <v>1</v>
      </c>
      <c r="X4" s="77" t="s">
        <v>35</v>
      </c>
      <c r="Y4" s="77" t="s">
        <v>76</v>
      </c>
      <c r="Z4" s="77" t="s">
        <v>72</v>
      </c>
      <c r="AA4" s="77" t="s">
        <v>36</v>
      </c>
      <c r="AB4" s="77" t="s">
        <v>162</v>
      </c>
      <c r="AE4" s="22" t="s">
        <v>23</v>
      </c>
      <c r="AG4" s="187" t="s">
        <v>335</v>
      </c>
      <c r="AH4" s="188" t="s">
        <v>336</v>
      </c>
      <c r="AJ4" s="27" t="s">
        <v>37</v>
      </c>
      <c r="AL4" s="80" t="s">
        <v>109</v>
      </c>
      <c r="AN4" s="28" t="s">
        <v>38</v>
      </c>
      <c r="AP4" s="80" t="s">
        <v>130</v>
      </c>
      <c r="AR4" s="80" t="s">
        <v>337</v>
      </c>
      <c r="AT4" s="28"/>
      <c r="AV4" s="80" t="s">
        <v>338</v>
      </c>
      <c r="AX4" s="24">
        <v>75</v>
      </c>
      <c r="AY4" s="25">
        <v>42</v>
      </c>
      <c r="AZ4" s="25">
        <v>76</v>
      </c>
      <c r="BA4" s="26">
        <v>39</v>
      </c>
    </row>
    <row r="5" spans="1:53" x14ac:dyDescent="0.15">
      <c r="A5" s="77" t="s">
        <v>46</v>
      </c>
      <c r="B5" s="77" t="s">
        <v>160</v>
      </c>
      <c r="C5" s="185">
        <v>2020</v>
      </c>
      <c r="D5" s="186" t="s">
        <v>328</v>
      </c>
      <c r="E5" s="77" t="s">
        <v>329</v>
      </c>
      <c r="F5" s="77" t="s">
        <v>330</v>
      </c>
      <c r="G5" s="77" t="s">
        <v>25</v>
      </c>
      <c r="H5" s="77" t="s">
        <v>113</v>
      </c>
      <c r="I5" s="77" t="s">
        <v>111</v>
      </c>
      <c r="J5" s="77" t="s">
        <v>27</v>
      </c>
      <c r="K5" s="77" t="s">
        <v>112</v>
      </c>
      <c r="L5" s="77">
        <v>1</v>
      </c>
      <c r="N5" s="77">
        <v>4</v>
      </c>
      <c r="O5" s="77">
        <v>0.52</v>
      </c>
      <c r="P5" s="77">
        <v>0.55000000000000004</v>
      </c>
      <c r="Q5" s="44">
        <f t="shared" si="2"/>
        <v>0.53500000000000003</v>
      </c>
      <c r="R5" s="77">
        <v>12.8</v>
      </c>
      <c r="S5" s="77">
        <v>95</v>
      </c>
      <c r="T5" s="16">
        <f t="shared" si="0"/>
        <v>36</v>
      </c>
      <c r="U5" s="77">
        <v>350</v>
      </c>
      <c r="V5" s="16">
        <f t="shared" si="1"/>
        <v>16</v>
      </c>
      <c r="W5" s="77">
        <v>1</v>
      </c>
      <c r="X5" s="77" t="s">
        <v>28</v>
      </c>
      <c r="Y5" s="77" t="s">
        <v>76</v>
      </c>
      <c r="Z5" s="77" t="s">
        <v>72</v>
      </c>
      <c r="AA5" s="77" t="s">
        <v>36</v>
      </c>
      <c r="AB5" s="77" t="s">
        <v>162</v>
      </c>
      <c r="AE5" s="22" t="s">
        <v>40</v>
      </c>
      <c r="AG5" s="187" t="s">
        <v>339</v>
      </c>
      <c r="AH5" s="188" t="s">
        <v>340</v>
      </c>
      <c r="AJ5" s="28"/>
      <c r="AL5" s="80" t="s">
        <v>132</v>
      </c>
      <c r="AN5" s="104" t="s">
        <v>133</v>
      </c>
      <c r="AP5" s="80" t="s">
        <v>341</v>
      </c>
      <c r="AR5" s="80" t="s">
        <v>42</v>
      </c>
      <c r="AV5" s="80" t="s">
        <v>342</v>
      </c>
      <c r="AX5" s="24">
        <v>84</v>
      </c>
      <c r="AY5" s="25">
        <v>39</v>
      </c>
      <c r="AZ5" s="25">
        <v>84</v>
      </c>
      <c r="BA5" s="26">
        <v>36</v>
      </c>
    </row>
    <row r="6" spans="1:53" x14ac:dyDescent="0.15">
      <c r="A6" s="77" t="s">
        <v>46</v>
      </c>
      <c r="B6" s="77" t="s">
        <v>160</v>
      </c>
      <c r="C6" s="185">
        <v>2020</v>
      </c>
      <c r="D6" s="186" t="s">
        <v>328</v>
      </c>
      <c r="E6" s="77" t="s">
        <v>329</v>
      </c>
      <c r="F6" s="77" t="s">
        <v>330</v>
      </c>
      <c r="G6" s="77" t="s">
        <v>25</v>
      </c>
      <c r="H6" s="77" t="s">
        <v>113</v>
      </c>
      <c r="I6" s="77" t="s">
        <v>111</v>
      </c>
      <c r="J6" s="77" t="s">
        <v>27</v>
      </c>
      <c r="K6" s="77" t="s">
        <v>112</v>
      </c>
      <c r="L6" s="77">
        <v>2</v>
      </c>
      <c r="N6" s="77">
        <v>4</v>
      </c>
      <c r="O6" s="77">
        <v>0.45</v>
      </c>
      <c r="P6" s="77">
        <v>0.51</v>
      </c>
      <c r="Q6" s="44">
        <f t="shared" si="2"/>
        <v>0.48</v>
      </c>
      <c r="R6" s="77">
        <v>14.8</v>
      </c>
      <c r="S6" s="77">
        <v>94</v>
      </c>
      <c r="T6" s="16">
        <f t="shared" si="0"/>
        <v>36</v>
      </c>
      <c r="U6" s="77">
        <v>350</v>
      </c>
      <c r="V6" s="16">
        <f t="shared" si="1"/>
        <v>16</v>
      </c>
      <c r="W6" s="77">
        <v>1</v>
      </c>
      <c r="X6" s="77" t="s">
        <v>28</v>
      </c>
      <c r="Y6" s="77" t="s">
        <v>76</v>
      </c>
      <c r="Z6" s="77" t="s">
        <v>72</v>
      </c>
      <c r="AA6" s="77" t="s">
        <v>36</v>
      </c>
      <c r="AB6" s="77" t="s">
        <v>162</v>
      </c>
      <c r="AE6" s="22" t="s">
        <v>44</v>
      </c>
      <c r="AG6" s="187" t="s">
        <v>343</v>
      </c>
      <c r="AH6" s="188" t="s">
        <v>344</v>
      </c>
      <c r="AL6" s="80" t="s">
        <v>135</v>
      </c>
      <c r="AN6" s="104" t="s">
        <v>136</v>
      </c>
      <c r="AP6" s="80" t="s">
        <v>41</v>
      </c>
      <c r="AR6" s="80" t="s">
        <v>345</v>
      </c>
      <c r="AV6" s="80" t="s">
        <v>47</v>
      </c>
      <c r="AX6" s="24">
        <v>97</v>
      </c>
      <c r="AY6" s="25">
        <v>36</v>
      </c>
      <c r="AZ6" s="25">
        <v>99</v>
      </c>
      <c r="BA6" s="26">
        <v>33</v>
      </c>
    </row>
    <row r="7" spans="1:53" x14ac:dyDescent="0.15">
      <c r="A7" s="77" t="s">
        <v>46</v>
      </c>
      <c r="B7" s="77" t="s">
        <v>160</v>
      </c>
      <c r="C7" s="185">
        <v>2020</v>
      </c>
      <c r="D7" s="186" t="s">
        <v>328</v>
      </c>
      <c r="E7" s="77" t="s">
        <v>329</v>
      </c>
      <c r="F7" s="77" t="s">
        <v>330</v>
      </c>
      <c r="G7" s="77" t="s">
        <v>25</v>
      </c>
      <c r="H7" s="77" t="s">
        <v>113</v>
      </c>
      <c r="I7" s="77" t="s">
        <v>111</v>
      </c>
      <c r="J7" s="77" t="s">
        <v>27</v>
      </c>
      <c r="K7" s="77" t="s">
        <v>112</v>
      </c>
      <c r="L7" s="77">
        <v>3</v>
      </c>
      <c r="N7" s="77">
        <v>4</v>
      </c>
      <c r="O7" s="77">
        <v>0.5</v>
      </c>
      <c r="P7" s="77">
        <v>0.56000000000000005</v>
      </c>
      <c r="Q7" s="44">
        <f t="shared" si="2"/>
        <v>0.53</v>
      </c>
      <c r="R7" s="77">
        <v>14.1</v>
      </c>
      <c r="S7" s="77">
        <v>101</v>
      </c>
      <c r="T7" s="16">
        <f t="shared" si="0"/>
        <v>33</v>
      </c>
      <c r="U7" s="77">
        <v>350</v>
      </c>
      <c r="V7" s="16">
        <f t="shared" si="1"/>
        <v>16</v>
      </c>
      <c r="W7" s="77">
        <v>1</v>
      </c>
      <c r="X7" s="77" t="s">
        <v>28</v>
      </c>
      <c r="Y7" s="77" t="s">
        <v>76</v>
      </c>
      <c r="Z7" s="77" t="s">
        <v>72</v>
      </c>
      <c r="AA7" s="77" t="s">
        <v>36</v>
      </c>
      <c r="AB7" s="77" t="s">
        <v>162</v>
      </c>
      <c r="AE7" s="22" t="s">
        <v>48</v>
      </c>
      <c r="AG7" s="187" t="s">
        <v>346</v>
      </c>
      <c r="AH7" s="188" t="s">
        <v>347</v>
      </c>
      <c r="AL7" s="86" t="s">
        <v>137</v>
      </c>
      <c r="AP7" s="80" t="s">
        <v>45</v>
      </c>
      <c r="AR7" s="80" t="s">
        <v>348</v>
      </c>
      <c r="AV7" s="80" t="s">
        <v>51</v>
      </c>
      <c r="AX7" s="24">
        <v>109</v>
      </c>
      <c r="AY7" s="25">
        <v>33</v>
      </c>
      <c r="AZ7" s="25">
        <v>113</v>
      </c>
      <c r="BA7" s="26">
        <v>30</v>
      </c>
    </row>
    <row r="8" spans="1:53" x14ac:dyDescent="0.15">
      <c r="A8" s="77" t="s">
        <v>46</v>
      </c>
      <c r="B8" s="77" t="s">
        <v>160</v>
      </c>
      <c r="C8" s="185">
        <v>2020</v>
      </c>
      <c r="D8" s="186" t="s">
        <v>328</v>
      </c>
      <c r="E8" s="77" t="s">
        <v>331</v>
      </c>
      <c r="F8" s="77" t="s">
        <v>332</v>
      </c>
      <c r="G8" s="77" t="s">
        <v>25</v>
      </c>
      <c r="H8" s="77" t="s">
        <v>164</v>
      </c>
      <c r="I8" s="77" t="s">
        <v>111</v>
      </c>
      <c r="J8" s="77" t="s">
        <v>27</v>
      </c>
      <c r="K8" s="77" t="s">
        <v>112</v>
      </c>
      <c r="L8" s="77">
        <v>1</v>
      </c>
      <c r="N8" s="77">
        <v>4</v>
      </c>
      <c r="O8" s="77">
        <v>0.56000000000000005</v>
      </c>
      <c r="P8" s="77">
        <v>0.52</v>
      </c>
      <c r="Q8" s="44">
        <f t="shared" si="2"/>
        <v>0.54</v>
      </c>
      <c r="R8" s="77">
        <v>14.3</v>
      </c>
      <c r="S8" s="77">
        <v>90</v>
      </c>
      <c r="T8" s="16">
        <f t="shared" si="0"/>
        <v>36</v>
      </c>
      <c r="U8" s="77">
        <v>297</v>
      </c>
      <c r="V8" s="16">
        <f t="shared" si="1"/>
        <v>16</v>
      </c>
      <c r="W8" s="77">
        <v>2</v>
      </c>
      <c r="X8" s="77" t="s">
        <v>35</v>
      </c>
      <c r="Y8" s="77" t="s">
        <v>29</v>
      </c>
      <c r="Z8" s="77" t="s">
        <v>55</v>
      </c>
      <c r="AA8" s="77" t="s">
        <v>76</v>
      </c>
      <c r="AB8" s="77" t="s">
        <v>162</v>
      </c>
      <c r="AE8" s="22" t="s">
        <v>46</v>
      </c>
      <c r="AG8" s="189" t="s">
        <v>196</v>
      </c>
      <c r="AH8" s="188" t="s">
        <v>349</v>
      </c>
      <c r="AL8" s="86" t="s">
        <v>110</v>
      </c>
      <c r="AP8" s="80" t="s">
        <v>49</v>
      </c>
      <c r="AR8" s="80" t="s">
        <v>67</v>
      </c>
      <c r="AV8" s="80" t="s">
        <v>82</v>
      </c>
      <c r="AX8" s="24">
        <v>119</v>
      </c>
      <c r="AY8" s="25">
        <v>30</v>
      </c>
      <c r="AZ8" s="25">
        <v>121</v>
      </c>
      <c r="BA8" s="26">
        <v>27</v>
      </c>
    </row>
    <row r="9" spans="1:53" x14ac:dyDescent="0.15">
      <c r="A9" s="77" t="s">
        <v>46</v>
      </c>
      <c r="B9" s="77" t="s">
        <v>160</v>
      </c>
      <c r="C9" s="185">
        <v>2020</v>
      </c>
      <c r="D9" s="186" t="s">
        <v>328</v>
      </c>
      <c r="E9" s="77" t="s">
        <v>331</v>
      </c>
      <c r="F9" s="77" t="s">
        <v>332</v>
      </c>
      <c r="G9" s="77" t="s">
        <v>25</v>
      </c>
      <c r="H9" s="77" t="s">
        <v>164</v>
      </c>
      <c r="I9" s="77" t="s">
        <v>111</v>
      </c>
      <c r="J9" s="77" t="s">
        <v>27</v>
      </c>
      <c r="K9" s="77" t="s">
        <v>112</v>
      </c>
      <c r="L9" s="77">
        <v>2</v>
      </c>
      <c r="N9" s="77">
        <v>4</v>
      </c>
      <c r="O9" s="77">
        <v>0.71</v>
      </c>
      <c r="P9" s="77">
        <v>0.69</v>
      </c>
      <c r="Q9" s="44">
        <f t="shared" si="2"/>
        <v>0.7</v>
      </c>
      <c r="R9" s="77">
        <v>13</v>
      </c>
      <c r="S9" s="77">
        <v>89</v>
      </c>
      <c r="T9" s="16">
        <f t="shared" si="0"/>
        <v>36</v>
      </c>
      <c r="U9" s="77">
        <v>297</v>
      </c>
      <c r="V9" s="16">
        <f t="shared" si="1"/>
        <v>16</v>
      </c>
      <c r="W9" s="77">
        <v>2</v>
      </c>
      <c r="X9" s="77" t="s">
        <v>35</v>
      </c>
      <c r="Y9" s="77" t="s">
        <v>29</v>
      </c>
      <c r="Z9" s="77" t="s">
        <v>55</v>
      </c>
      <c r="AA9" s="77" t="s">
        <v>76</v>
      </c>
      <c r="AB9" s="77" t="s">
        <v>162</v>
      </c>
      <c r="AE9" s="22" t="s">
        <v>83</v>
      </c>
      <c r="AG9" s="189" t="s">
        <v>350</v>
      </c>
      <c r="AH9" s="188" t="s">
        <v>349</v>
      </c>
      <c r="AL9" s="80" t="s">
        <v>139</v>
      </c>
      <c r="AP9" s="80" t="s">
        <v>351</v>
      </c>
      <c r="AR9" s="80" t="s">
        <v>75</v>
      </c>
      <c r="AV9" s="80" t="s">
        <v>86</v>
      </c>
      <c r="AX9" s="24">
        <v>128</v>
      </c>
      <c r="AY9" s="25">
        <v>27</v>
      </c>
      <c r="AZ9" s="25">
        <v>129</v>
      </c>
      <c r="BA9" s="26">
        <v>25</v>
      </c>
    </row>
    <row r="10" spans="1:53" x14ac:dyDescent="0.15">
      <c r="A10" s="77" t="s">
        <v>46</v>
      </c>
      <c r="B10" s="77" t="s">
        <v>160</v>
      </c>
      <c r="C10" s="185">
        <v>2020</v>
      </c>
      <c r="D10" s="186" t="s">
        <v>328</v>
      </c>
      <c r="E10" s="77" t="s">
        <v>331</v>
      </c>
      <c r="F10" s="77" t="s">
        <v>332</v>
      </c>
      <c r="G10" s="77" t="s">
        <v>25</v>
      </c>
      <c r="H10" s="77" t="s">
        <v>164</v>
      </c>
      <c r="I10" s="77" t="s">
        <v>111</v>
      </c>
      <c r="J10" s="77" t="s">
        <v>27</v>
      </c>
      <c r="K10" s="77" t="s">
        <v>112</v>
      </c>
      <c r="L10" s="77">
        <v>3</v>
      </c>
      <c r="N10" s="77">
        <v>4</v>
      </c>
      <c r="O10" s="77">
        <v>0.57999999999999996</v>
      </c>
      <c r="P10" s="77">
        <v>0.62</v>
      </c>
      <c r="Q10" s="44">
        <f t="shared" si="2"/>
        <v>0.6</v>
      </c>
      <c r="R10" s="77">
        <v>14.2</v>
      </c>
      <c r="S10" s="77">
        <v>84</v>
      </c>
      <c r="T10" s="16">
        <f t="shared" si="0"/>
        <v>36</v>
      </c>
      <c r="U10" s="77">
        <v>297</v>
      </c>
      <c r="V10" s="16">
        <f t="shared" si="1"/>
        <v>16</v>
      </c>
      <c r="W10" s="77">
        <v>2</v>
      </c>
      <c r="X10" s="77" t="s">
        <v>35</v>
      </c>
      <c r="Y10" s="77" t="s">
        <v>29</v>
      </c>
      <c r="Z10" s="77" t="s">
        <v>55</v>
      </c>
      <c r="AA10" s="77" t="s">
        <v>76</v>
      </c>
      <c r="AB10" s="77" t="s">
        <v>162</v>
      </c>
      <c r="AE10" s="22" t="s">
        <v>87</v>
      </c>
      <c r="AG10" s="187" t="s">
        <v>352</v>
      </c>
      <c r="AH10" s="188" t="s">
        <v>340</v>
      </c>
      <c r="AL10" s="190"/>
      <c r="AP10" s="80" t="s">
        <v>84</v>
      </c>
      <c r="AR10" s="80" t="s">
        <v>103</v>
      </c>
      <c r="AV10" s="80" t="s">
        <v>90</v>
      </c>
      <c r="AX10" s="24">
        <v>138</v>
      </c>
      <c r="AY10" s="25">
        <v>25</v>
      </c>
      <c r="AZ10" s="25">
        <v>138</v>
      </c>
      <c r="BA10" s="26">
        <v>22</v>
      </c>
    </row>
    <row r="11" spans="1:53" x14ac:dyDescent="0.15">
      <c r="A11" s="77" t="s">
        <v>46</v>
      </c>
      <c r="B11" s="77" t="s">
        <v>160</v>
      </c>
      <c r="C11" s="185">
        <v>2020</v>
      </c>
      <c r="D11" s="186" t="s">
        <v>328</v>
      </c>
      <c r="E11" s="77" t="s">
        <v>331</v>
      </c>
      <c r="F11" s="77" t="s">
        <v>332</v>
      </c>
      <c r="G11" s="77" t="s">
        <v>25</v>
      </c>
      <c r="H11" s="77" t="s">
        <v>164</v>
      </c>
      <c r="I11" s="77" t="s">
        <v>111</v>
      </c>
      <c r="J11" s="77" t="s">
        <v>27</v>
      </c>
      <c r="K11" s="77" t="s">
        <v>112</v>
      </c>
      <c r="L11" s="77">
        <v>1</v>
      </c>
      <c r="N11" s="77">
        <v>1</v>
      </c>
      <c r="O11" s="77">
        <v>0.4</v>
      </c>
      <c r="P11" s="77">
        <v>0.45</v>
      </c>
      <c r="Q11" s="44">
        <f t="shared" si="2"/>
        <v>0.42500000000000004</v>
      </c>
      <c r="R11" s="77">
        <v>15.1</v>
      </c>
      <c r="S11" s="77">
        <v>141</v>
      </c>
      <c r="T11" s="16">
        <f>IF(H11="","",IF(OR(H11="GREEN",H11="GK"),IF(S11&gt;=$AX$2,VLOOKUP(S11,$AX$2:$AY$12,2,1),""),IF(S11&gt;=$AZ$2,VLOOKUP(S11,$AZ$2:$BA$12,2,1),"")))</f>
        <v>22</v>
      </c>
      <c r="U11" s="77">
        <v>127</v>
      </c>
      <c r="V11" s="16">
        <f t="shared" si="1"/>
        <v>27</v>
      </c>
      <c r="W11" s="77">
        <v>6</v>
      </c>
      <c r="X11" s="77" t="s">
        <v>35</v>
      </c>
      <c r="Y11" s="77" t="s">
        <v>29</v>
      </c>
      <c r="Z11" s="77" t="s">
        <v>55</v>
      </c>
      <c r="AA11" s="77" t="s">
        <v>76</v>
      </c>
      <c r="AB11" s="77" t="s">
        <v>162</v>
      </c>
      <c r="AE11" s="22" t="s">
        <v>52</v>
      </c>
      <c r="AG11" s="189" t="s">
        <v>353</v>
      </c>
      <c r="AH11" s="188" t="s">
        <v>354</v>
      </c>
      <c r="AL11" s="190"/>
      <c r="AP11" s="80" t="s">
        <v>355</v>
      </c>
      <c r="AR11" s="80" t="s">
        <v>356</v>
      </c>
      <c r="AV11" s="80" t="s">
        <v>357</v>
      </c>
      <c r="AX11" s="24">
        <v>151</v>
      </c>
      <c r="AY11" s="25">
        <v>22</v>
      </c>
      <c r="AZ11" s="25">
        <v>152</v>
      </c>
      <c r="BA11" s="26">
        <v>18</v>
      </c>
    </row>
    <row r="12" spans="1:53" x14ac:dyDescent="0.15">
      <c r="A12" s="77" t="s">
        <v>46</v>
      </c>
      <c r="B12" s="77" t="s">
        <v>160</v>
      </c>
      <c r="C12" s="185">
        <v>2020</v>
      </c>
      <c r="D12" s="186" t="s">
        <v>328</v>
      </c>
      <c r="E12" s="77" t="s">
        <v>331</v>
      </c>
      <c r="F12" s="77" t="s">
        <v>332</v>
      </c>
      <c r="G12" s="77" t="s">
        <v>25</v>
      </c>
      <c r="H12" s="77" t="s">
        <v>164</v>
      </c>
      <c r="I12" s="77" t="s">
        <v>111</v>
      </c>
      <c r="J12" s="77" t="s">
        <v>27</v>
      </c>
      <c r="K12" s="77" t="s">
        <v>112</v>
      </c>
      <c r="L12" s="77">
        <v>2</v>
      </c>
      <c r="N12" s="77">
        <v>1</v>
      </c>
      <c r="O12" s="77">
        <v>0.41</v>
      </c>
      <c r="P12" s="77">
        <v>0.36</v>
      </c>
      <c r="Q12" s="44">
        <f t="shared" si="2"/>
        <v>0.38500000000000001</v>
      </c>
      <c r="R12" s="77">
        <v>14.9</v>
      </c>
      <c r="S12" s="77">
        <v>150</v>
      </c>
      <c r="T12" s="16">
        <f t="shared" si="0"/>
        <v>22</v>
      </c>
      <c r="U12" s="77">
        <v>127</v>
      </c>
      <c r="V12" s="16">
        <f t="shared" si="1"/>
        <v>27</v>
      </c>
      <c r="W12" s="77">
        <v>6</v>
      </c>
      <c r="X12" s="77" t="s">
        <v>35</v>
      </c>
      <c r="Y12" s="77" t="s">
        <v>29</v>
      </c>
      <c r="Z12" s="77" t="s">
        <v>55</v>
      </c>
      <c r="AA12" s="77" t="s">
        <v>76</v>
      </c>
      <c r="AB12" s="77" t="s">
        <v>162</v>
      </c>
      <c r="AE12" s="22" t="s">
        <v>56</v>
      </c>
      <c r="AG12" s="80"/>
      <c r="AH12" s="191"/>
      <c r="AL12" s="190"/>
      <c r="AP12" s="80" t="s">
        <v>53</v>
      </c>
      <c r="AR12" s="80" t="s">
        <v>104</v>
      </c>
      <c r="AV12" s="80" t="s">
        <v>58</v>
      </c>
      <c r="AX12" s="31">
        <v>180</v>
      </c>
      <c r="AY12" s="32">
        <v>18</v>
      </c>
      <c r="AZ12" s="32">
        <v>181</v>
      </c>
      <c r="BA12" s="33">
        <v>16</v>
      </c>
    </row>
    <row r="13" spans="1:53" x14ac:dyDescent="0.15">
      <c r="A13" s="77" t="s">
        <v>46</v>
      </c>
      <c r="B13" s="77" t="s">
        <v>160</v>
      </c>
      <c r="C13" s="185">
        <v>2020</v>
      </c>
      <c r="D13" s="186" t="s">
        <v>328</v>
      </c>
      <c r="E13" s="77" t="s">
        <v>331</v>
      </c>
      <c r="F13" s="77" t="s">
        <v>332</v>
      </c>
      <c r="G13" s="77" t="s">
        <v>25</v>
      </c>
      <c r="H13" s="77" t="s">
        <v>164</v>
      </c>
      <c r="I13" s="77" t="s">
        <v>111</v>
      </c>
      <c r="J13" s="77" t="s">
        <v>27</v>
      </c>
      <c r="K13" s="77" t="s">
        <v>112</v>
      </c>
      <c r="L13" s="77">
        <v>3</v>
      </c>
      <c r="N13" s="77">
        <v>1</v>
      </c>
      <c r="O13" s="77">
        <v>0.47</v>
      </c>
      <c r="P13" s="77">
        <v>0.38</v>
      </c>
      <c r="Q13" s="44">
        <f t="shared" si="2"/>
        <v>0.42499999999999999</v>
      </c>
      <c r="R13" s="77">
        <v>15.5</v>
      </c>
      <c r="S13" s="77">
        <v>144</v>
      </c>
      <c r="T13" s="16">
        <f t="shared" si="0"/>
        <v>22</v>
      </c>
      <c r="U13" s="77">
        <v>127</v>
      </c>
      <c r="V13" s="16">
        <f t="shared" si="1"/>
        <v>27</v>
      </c>
      <c r="W13" s="77">
        <v>6</v>
      </c>
      <c r="X13" s="77" t="s">
        <v>35</v>
      </c>
      <c r="Y13" s="77" t="s">
        <v>29</v>
      </c>
      <c r="Z13" s="77" t="s">
        <v>55</v>
      </c>
      <c r="AA13" s="77" t="s">
        <v>76</v>
      </c>
      <c r="AB13" s="77" t="s">
        <v>162</v>
      </c>
      <c r="AE13" s="22" t="s">
        <v>59</v>
      </c>
      <c r="AG13" s="80"/>
      <c r="AH13" s="80"/>
      <c r="AP13" s="80" t="s">
        <v>57</v>
      </c>
      <c r="AR13" s="80" t="s">
        <v>87</v>
      </c>
      <c r="AV13" s="80" t="s">
        <v>61</v>
      </c>
    </row>
    <row r="14" spans="1:53" x14ac:dyDescent="0.15">
      <c r="A14" s="77" t="s">
        <v>46</v>
      </c>
      <c r="B14" s="77" t="s">
        <v>160</v>
      </c>
      <c r="C14" s="185">
        <v>2020</v>
      </c>
      <c r="D14" s="186" t="s">
        <v>328</v>
      </c>
      <c r="E14" s="77" t="s">
        <v>331</v>
      </c>
      <c r="F14" s="77" t="s">
        <v>332</v>
      </c>
      <c r="G14" s="77" t="s">
        <v>25</v>
      </c>
      <c r="H14" s="77" t="s">
        <v>113</v>
      </c>
      <c r="I14" s="77" t="s">
        <v>111</v>
      </c>
      <c r="J14" s="77" t="s">
        <v>27</v>
      </c>
      <c r="K14" s="77" t="s">
        <v>112</v>
      </c>
      <c r="L14" s="77">
        <v>1</v>
      </c>
      <c r="N14" s="77">
        <v>5</v>
      </c>
      <c r="O14" s="77">
        <v>0.84</v>
      </c>
      <c r="P14" s="77">
        <v>0.83</v>
      </c>
      <c r="Q14" s="44">
        <f t="shared" si="2"/>
        <v>0.83499999999999996</v>
      </c>
      <c r="R14" s="77">
        <v>12.8</v>
      </c>
      <c r="S14" s="77">
        <v>90</v>
      </c>
      <c r="T14" s="16">
        <f t="shared" si="0"/>
        <v>36</v>
      </c>
      <c r="U14" s="77">
        <v>397</v>
      </c>
      <c r="V14" s="16">
        <f t="shared" si="1"/>
        <v>16</v>
      </c>
      <c r="W14" s="77">
        <v>1</v>
      </c>
      <c r="X14" s="77" t="s">
        <v>28</v>
      </c>
      <c r="Y14" s="77" t="s">
        <v>29</v>
      </c>
      <c r="Z14" s="77" t="s">
        <v>55</v>
      </c>
      <c r="AA14" s="77" t="s">
        <v>76</v>
      </c>
      <c r="AB14" s="77" t="s">
        <v>162</v>
      </c>
      <c r="AE14" s="22" t="s">
        <v>62</v>
      </c>
      <c r="AG14" s="80"/>
      <c r="AH14" s="80"/>
      <c r="AP14" s="80" t="s">
        <v>358</v>
      </c>
      <c r="AR14" s="80" t="s">
        <v>105</v>
      </c>
      <c r="AV14" s="80" t="s">
        <v>64</v>
      </c>
    </row>
    <row r="15" spans="1:53" x14ac:dyDescent="0.15">
      <c r="A15" s="77" t="s">
        <v>46</v>
      </c>
      <c r="B15" s="77" t="s">
        <v>160</v>
      </c>
      <c r="C15" s="185">
        <v>2020</v>
      </c>
      <c r="D15" s="186" t="s">
        <v>328</v>
      </c>
      <c r="E15" s="77" t="s">
        <v>331</v>
      </c>
      <c r="F15" s="77" t="s">
        <v>332</v>
      </c>
      <c r="G15" s="77" t="s">
        <v>25</v>
      </c>
      <c r="H15" s="77" t="s">
        <v>113</v>
      </c>
      <c r="I15" s="77" t="s">
        <v>111</v>
      </c>
      <c r="J15" s="77" t="s">
        <v>27</v>
      </c>
      <c r="K15" s="77" t="s">
        <v>112</v>
      </c>
      <c r="L15" s="77">
        <v>2</v>
      </c>
      <c r="N15" s="77">
        <v>5</v>
      </c>
      <c r="O15" s="77">
        <v>0.85</v>
      </c>
      <c r="P15" s="77">
        <v>0.84</v>
      </c>
      <c r="Q15" s="44">
        <f t="shared" si="2"/>
        <v>0.84499999999999997</v>
      </c>
      <c r="R15" s="77">
        <v>12.9</v>
      </c>
      <c r="S15" s="77">
        <v>92</v>
      </c>
      <c r="T15" s="16">
        <f t="shared" si="0"/>
        <v>36</v>
      </c>
      <c r="U15" s="77">
        <v>397</v>
      </c>
      <c r="V15" s="16">
        <f t="shared" si="1"/>
        <v>16</v>
      </c>
      <c r="W15" s="77">
        <v>1</v>
      </c>
      <c r="X15" s="77" t="s">
        <v>28</v>
      </c>
      <c r="Y15" s="77" t="s">
        <v>29</v>
      </c>
      <c r="Z15" s="77" t="s">
        <v>55</v>
      </c>
      <c r="AA15" s="77" t="s">
        <v>76</v>
      </c>
      <c r="AB15" s="77" t="s">
        <v>162</v>
      </c>
      <c r="AE15" s="22" t="s">
        <v>65</v>
      </c>
      <c r="AG15" s="80"/>
      <c r="AH15" s="80"/>
      <c r="AP15" s="80" t="s">
        <v>359</v>
      </c>
      <c r="AR15" s="80" t="s">
        <v>79</v>
      </c>
      <c r="AV15" s="80" t="s">
        <v>91</v>
      </c>
    </row>
    <row r="16" spans="1:53" x14ac:dyDescent="0.15">
      <c r="A16" s="77" t="s">
        <v>46</v>
      </c>
      <c r="B16" s="77" t="s">
        <v>160</v>
      </c>
      <c r="C16" s="185">
        <v>2020</v>
      </c>
      <c r="D16" s="186" t="s">
        <v>328</v>
      </c>
      <c r="E16" s="77" t="s">
        <v>331</v>
      </c>
      <c r="F16" s="77" t="s">
        <v>332</v>
      </c>
      <c r="G16" s="77" t="s">
        <v>25</v>
      </c>
      <c r="H16" s="77" t="s">
        <v>113</v>
      </c>
      <c r="I16" s="77" t="s">
        <v>111</v>
      </c>
      <c r="J16" s="77" t="s">
        <v>27</v>
      </c>
      <c r="K16" s="77" t="s">
        <v>112</v>
      </c>
      <c r="L16" s="77">
        <v>3</v>
      </c>
      <c r="N16" s="77">
        <v>5</v>
      </c>
      <c r="O16" s="77">
        <v>0.81</v>
      </c>
      <c r="P16" s="77">
        <v>0.83</v>
      </c>
      <c r="Q16" s="44">
        <f t="shared" si="2"/>
        <v>0.82000000000000006</v>
      </c>
      <c r="R16" s="77">
        <v>12.2</v>
      </c>
      <c r="S16" s="77">
        <v>84</v>
      </c>
      <c r="T16" s="16">
        <f t="shared" si="0"/>
        <v>36</v>
      </c>
      <c r="U16" s="77">
        <v>397</v>
      </c>
      <c r="V16" s="16">
        <f t="shared" si="1"/>
        <v>16</v>
      </c>
      <c r="W16" s="77">
        <v>1</v>
      </c>
      <c r="X16" s="77" t="s">
        <v>28</v>
      </c>
      <c r="Y16" s="77" t="s">
        <v>29</v>
      </c>
      <c r="Z16" s="77" t="s">
        <v>55</v>
      </c>
      <c r="AA16" s="77" t="s">
        <v>76</v>
      </c>
      <c r="AB16" s="77" t="s">
        <v>162</v>
      </c>
      <c r="AE16" s="22" t="s">
        <v>68</v>
      </c>
      <c r="AG16" s="28"/>
      <c r="AH16" s="28"/>
      <c r="AP16" s="80" t="s">
        <v>66</v>
      </c>
      <c r="AR16" s="80" t="s">
        <v>50</v>
      </c>
      <c r="AV16" s="80" t="s">
        <v>70</v>
      </c>
    </row>
    <row r="17" spans="1:48" x14ac:dyDescent="0.15">
      <c r="A17" s="77" t="s">
        <v>46</v>
      </c>
      <c r="B17" s="77" t="s">
        <v>160</v>
      </c>
      <c r="C17" s="185">
        <v>2020</v>
      </c>
      <c r="D17" s="186" t="s">
        <v>328</v>
      </c>
      <c r="E17" s="77" t="s">
        <v>339</v>
      </c>
      <c r="F17" s="77" t="s">
        <v>340</v>
      </c>
      <c r="G17" s="77" t="s">
        <v>25</v>
      </c>
      <c r="H17" s="77" t="s">
        <v>164</v>
      </c>
      <c r="I17" s="77" t="s">
        <v>111</v>
      </c>
      <c r="J17" s="77" t="s">
        <v>27</v>
      </c>
      <c r="K17" s="77" t="s">
        <v>112</v>
      </c>
      <c r="L17" s="77">
        <v>1</v>
      </c>
      <c r="N17" s="77">
        <v>4</v>
      </c>
      <c r="O17" s="77">
        <v>0.45</v>
      </c>
      <c r="P17" s="77">
        <v>0.4</v>
      </c>
      <c r="Q17" s="44">
        <f t="shared" si="2"/>
        <v>0.42500000000000004</v>
      </c>
      <c r="R17" s="77">
        <v>18.2</v>
      </c>
      <c r="S17" s="77">
        <v>104</v>
      </c>
      <c r="T17" s="16">
        <f t="shared" si="0"/>
        <v>33</v>
      </c>
      <c r="U17" s="77">
        <v>480</v>
      </c>
      <c r="V17" s="16">
        <f t="shared" si="1"/>
        <v>16</v>
      </c>
      <c r="W17" s="77">
        <v>4</v>
      </c>
      <c r="X17" s="77" t="s">
        <v>35</v>
      </c>
      <c r="Y17" s="77" t="s">
        <v>43</v>
      </c>
      <c r="Z17" s="77" t="s">
        <v>76</v>
      </c>
      <c r="AA17" s="77" t="s">
        <v>36</v>
      </c>
      <c r="AB17" s="77" t="s">
        <v>162</v>
      </c>
      <c r="AE17" s="22" t="s">
        <v>71</v>
      </c>
      <c r="AP17" s="27" t="s">
        <v>93</v>
      </c>
      <c r="AR17" s="80" t="s">
        <v>81</v>
      </c>
      <c r="AV17" s="80" t="s">
        <v>72</v>
      </c>
    </row>
    <row r="18" spans="1:48" x14ac:dyDescent="0.15">
      <c r="A18" s="77" t="s">
        <v>46</v>
      </c>
      <c r="B18" s="77" t="s">
        <v>160</v>
      </c>
      <c r="C18" s="185">
        <v>2020</v>
      </c>
      <c r="D18" s="186" t="s">
        <v>328</v>
      </c>
      <c r="E18" s="77" t="s">
        <v>339</v>
      </c>
      <c r="F18" s="77" t="s">
        <v>340</v>
      </c>
      <c r="G18" s="77" t="s">
        <v>25</v>
      </c>
      <c r="H18" s="77" t="s">
        <v>164</v>
      </c>
      <c r="I18" s="77" t="s">
        <v>111</v>
      </c>
      <c r="J18" s="77" t="s">
        <v>27</v>
      </c>
      <c r="K18" s="77" t="s">
        <v>112</v>
      </c>
      <c r="L18" s="77">
        <v>2</v>
      </c>
      <c r="N18" s="77">
        <v>4</v>
      </c>
      <c r="O18" s="77">
        <v>0.43</v>
      </c>
      <c r="P18" s="77">
        <v>0.45</v>
      </c>
      <c r="Q18" s="44">
        <f t="shared" si="2"/>
        <v>0.44</v>
      </c>
      <c r="R18" s="77">
        <v>18.899999999999999</v>
      </c>
      <c r="S18" s="77">
        <v>105</v>
      </c>
      <c r="T18" s="16">
        <f t="shared" si="0"/>
        <v>33</v>
      </c>
      <c r="U18" s="77">
        <v>480</v>
      </c>
      <c r="V18" s="16">
        <f t="shared" si="1"/>
        <v>16</v>
      </c>
      <c r="W18" s="77">
        <v>4</v>
      </c>
      <c r="X18" s="77" t="s">
        <v>35</v>
      </c>
      <c r="Y18" s="77" t="s">
        <v>43</v>
      </c>
      <c r="Z18" s="77" t="s">
        <v>76</v>
      </c>
      <c r="AA18" s="77" t="s">
        <v>36</v>
      </c>
      <c r="AB18" s="77" t="s">
        <v>162</v>
      </c>
      <c r="AE18" s="22" t="s">
        <v>73</v>
      </c>
      <c r="AP18" s="27" t="s">
        <v>360</v>
      </c>
      <c r="AR18" s="80" t="s">
        <v>85</v>
      </c>
      <c r="AV18" s="80" t="s">
        <v>74</v>
      </c>
    </row>
    <row r="19" spans="1:48" x14ac:dyDescent="0.15">
      <c r="A19" s="77" t="s">
        <v>46</v>
      </c>
      <c r="B19" s="77" t="s">
        <v>160</v>
      </c>
      <c r="C19" s="185">
        <v>2020</v>
      </c>
      <c r="D19" s="186" t="s">
        <v>328</v>
      </c>
      <c r="E19" s="77" t="s">
        <v>339</v>
      </c>
      <c r="F19" s="77" t="s">
        <v>340</v>
      </c>
      <c r="G19" s="77" t="s">
        <v>25</v>
      </c>
      <c r="H19" s="77" t="s">
        <v>164</v>
      </c>
      <c r="I19" s="77" t="s">
        <v>111</v>
      </c>
      <c r="J19" s="77" t="s">
        <v>27</v>
      </c>
      <c r="K19" s="77" t="s">
        <v>112</v>
      </c>
      <c r="L19" s="77">
        <v>3</v>
      </c>
      <c r="N19" s="77">
        <v>4</v>
      </c>
      <c r="O19" s="77">
        <v>0.49</v>
      </c>
      <c r="P19" s="77">
        <v>0.48</v>
      </c>
      <c r="Q19" s="44">
        <f t="shared" si="2"/>
        <v>0.48499999999999999</v>
      </c>
      <c r="R19" s="77">
        <v>17.8</v>
      </c>
      <c r="S19" s="77">
        <v>94</v>
      </c>
      <c r="T19" s="16">
        <f t="shared" si="0"/>
        <v>36</v>
      </c>
      <c r="U19" s="77">
        <v>480</v>
      </c>
      <c r="V19" s="16">
        <f t="shared" si="1"/>
        <v>16</v>
      </c>
      <c r="W19" s="77">
        <v>4</v>
      </c>
      <c r="X19" s="77" t="s">
        <v>35</v>
      </c>
      <c r="Y19" s="77" t="s">
        <v>43</v>
      </c>
      <c r="Z19" s="77" t="s">
        <v>76</v>
      </c>
      <c r="AA19" s="77" t="s">
        <v>36</v>
      </c>
      <c r="AB19" s="77" t="s">
        <v>162</v>
      </c>
      <c r="AE19" s="35" t="s">
        <v>75</v>
      </c>
      <c r="AP19" s="27" t="s">
        <v>95</v>
      </c>
      <c r="AR19" s="80" t="s">
        <v>106</v>
      </c>
      <c r="AV19" s="80" t="s">
        <v>361</v>
      </c>
    </row>
    <row r="20" spans="1:48" x14ac:dyDescent="0.15">
      <c r="A20" s="77" t="s">
        <v>46</v>
      </c>
      <c r="B20" s="77" t="s">
        <v>160</v>
      </c>
      <c r="C20" s="185">
        <v>2020</v>
      </c>
      <c r="D20" s="186" t="s">
        <v>328</v>
      </c>
      <c r="E20" s="77" t="s">
        <v>339</v>
      </c>
      <c r="F20" s="77" t="s">
        <v>340</v>
      </c>
      <c r="G20" s="77" t="s">
        <v>25</v>
      </c>
      <c r="H20" s="77" t="s">
        <v>164</v>
      </c>
      <c r="I20" s="77" t="s">
        <v>111</v>
      </c>
      <c r="J20" s="77" t="s">
        <v>27</v>
      </c>
      <c r="K20" s="77" t="s">
        <v>112</v>
      </c>
      <c r="L20" s="77">
        <v>1</v>
      </c>
      <c r="N20" s="77">
        <v>3</v>
      </c>
      <c r="O20" s="77">
        <v>0.56000000000000005</v>
      </c>
      <c r="P20" s="77">
        <v>0.63</v>
      </c>
      <c r="Q20" s="44">
        <f t="shared" si="2"/>
        <v>0.59499999999999997</v>
      </c>
      <c r="R20" s="77">
        <v>13.8</v>
      </c>
      <c r="S20" s="77">
        <v>116</v>
      </c>
      <c r="T20" s="16">
        <f t="shared" si="0"/>
        <v>30</v>
      </c>
      <c r="U20" s="77">
        <v>399</v>
      </c>
      <c r="V20" s="16">
        <f t="shared" si="1"/>
        <v>16</v>
      </c>
      <c r="W20" s="77">
        <v>4</v>
      </c>
      <c r="X20" s="77" t="s">
        <v>35</v>
      </c>
      <c r="Y20" s="77" t="s">
        <v>43</v>
      </c>
      <c r="Z20" s="77" t="s">
        <v>76</v>
      </c>
      <c r="AA20" s="77" t="s">
        <v>36</v>
      </c>
      <c r="AB20" s="77" t="s">
        <v>162</v>
      </c>
      <c r="AE20" s="35"/>
      <c r="AP20" s="27" t="s">
        <v>96</v>
      </c>
      <c r="AR20" s="80" t="s">
        <v>89</v>
      </c>
      <c r="AV20" s="27" t="s">
        <v>114</v>
      </c>
    </row>
    <row r="21" spans="1:48" x14ac:dyDescent="0.15">
      <c r="A21" s="77" t="s">
        <v>46</v>
      </c>
      <c r="B21" s="77" t="s">
        <v>160</v>
      </c>
      <c r="C21" s="185">
        <v>2020</v>
      </c>
      <c r="D21" s="186" t="s">
        <v>328</v>
      </c>
      <c r="E21" s="77" t="s">
        <v>339</v>
      </c>
      <c r="F21" s="77" t="s">
        <v>340</v>
      </c>
      <c r="G21" s="77" t="s">
        <v>25</v>
      </c>
      <c r="H21" s="77" t="s">
        <v>164</v>
      </c>
      <c r="I21" s="77" t="s">
        <v>111</v>
      </c>
      <c r="J21" s="77" t="s">
        <v>27</v>
      </c>
      <c r="K21" s="77" t="s">
        <v>112</v>
      </c>
      <c r="L21" s="77">
        <v>2</v>
      </c>
      <c r="N21" s="77">
        <v>3</v>
      </c>
      <c r="O21" s="77">
        <v>0.45</v>
      </c>
      <c r="P21" s="77">
        <v>0.52</v>
      </c>
      <c r="Q21" s="44">
        <f t="shared" si="2"/>
        <v>0.48499999999999999</v>
      </c>
      <c r="R21" s="77">
        <v>16.2</v>
      </c>
      <c r="S21" s="77">
        <v>116</v>
      </c>
      <c r="T21" s="16">
        <f t="shared" si="0"/>
        <v>30</v>
      </c>
      <c r="U21" s="77">
        <v>399</v>
      </c>
      <c r="V21" s="16">
        <f t="shared" si="1"/>
        <v>16</v>
      </c>
      <c r="W21" s="77">
        <v>4</v>
      </c>
      <c r="X21" s="77" t="s">
        <v>35</v>
      </c>
      <c r="Y21" s="77" t="s">
        <v>43</v>
      </c>
      <c r="Z21" s="77" t="s">
        <v>76</v>
      </c>
      <c r="AA21" s="77" t="s">
        <v>36</v>
      </c>
      <c r="AB21" s="77" t="s">
        <v>162</v>
      </c>
      <c r="AE21" s="28"/>
      <c r="AP21" s="27" t="s">
        <v>362</v>
      </c>
      <c r="AR21" s="80" t="s">
        <v>54</v>
      </c>
      <c r="AV21" s="27" t="s">
        <v>115</v>
      </c>
    </row>
    <row r="22" spans="1:48" x14ac:dyDescent="0.15">
      <c r="A22" s="77" t="s">
        <v>46</v>
      </c>
      <c r="B22" s="77" t="s">
        <v>160</v>
      </c>
      <c r="C22" s="185">
        <v>2020</v>
      </c>
      <c r="D22" s="186" t="s">
        <v>328</v>
      </c>
      <c r="E22" s="77" t="s">
        <v>339</v>
      </c>
      <c r="F22" s="77" t="s">
        <v>340</v>
      </c>
      <c r="G22" s="77" t="s">
        <v>25</v>
      </c>
      <c r="H22" s="77" t="s">
        <v>164</v>
      </c>
      <c r="I22" s="77" t="s">
        <v>111</v>
      </c>
      <c r="J22" s="77" t="s">
        <v>27</v>
      </c>
      <c r="K22" s="77" t="s">
        <v>112</v>
      </c>
      <c r="L22" s="77">
        <v>3</v>
      </c>
      <c r="N22" s="77">
        <v>3</v>
      </c>
      <c r="O22" s="77">
        <v>0.56000000000000005</v>
      </c>
      <c r="P22" s="77">
        <v>0.63</v>
      </c>
      <c r="Q22" s="44">
        <f t="shared" si="2"/>
        <v>0.59499999999999997</v>
      </c>
      <c r="R22" s="77">
        <v>15.5</v>
      </c>
      <c r="S22" s="77">
        <v>122</v>
      </c>
      <c r="T22" s="16">
        <f t="shared" si="0"/>
        <v>27</v>
      </c>
      <c r="U22" s="77">
        <v>399</v>
      </c>
      <c r="V22" s="16">
        <f t="shared" si="1"/>
        <v>16</v>
      </c>
      <c r="W22" s="77">
        <v>4</v>
      </c>
      <c r="X22" s="77" t="s">
        <v>35</v>
      </c>
      <c r="Y22" s="77" t="s">
        <v>43</v>
      </c>
      <c r="Z22" s="77" t="s">
        <v>76</v>
      </c>
      <c r="AA22" s="77" t="s">
        <v>36</v>
      </c>
      <c r="AB22" s="77" t="s">
        <v>162</v>
      </c>
      <c r="AP22" s="27" t="s">
        <v>363</v>
      </c>
      <c r="AR22" s="80" t="s">
        <v>69</v>
      </c>
      <c r="AV22" s="27" t="s">
        <v>364</v>
      </c>
    </row>
    <row r="23" spans="1:48" x14ac:dyDescent="0.15">
      <c r="A23" s="77" t="s">
        <v>46</v>
      </c>
      <c r="B23" s="77" t="s">
        <v>160</v>
      </c>
      <c r="C23" s="185">
        <v>2020</v>
      </c>
      <c r="D23" s="186" t="s">
        <v>328</v>
      </c>
      <c r="E23" s="77" t="s">
        <v>339</v>
      </c>
      <c r="F23" s="77" t="s">
        <v>340</v>
      </c>
      <c r="G23" s="77" t="s">
        <v>25</v>
      </c>
      <c r="H23" s="77" t="s">
        <v>164</v>
      </c>
      <c r="I23" s="77" t="s">
        <v>111</v>
      </c>
      <c r="J23" s="77" t="s">
        <v>27</v>
      </c>
      <c r="K23" s="77" t="s">
        <v>112</v>
      </c>
      <c r="L23" s="77">
        <v>1</v>
      </c>
      <c r="N23" s="77">
        <v>1</v>
      </c>
      <c r="O23" s="77">
        <v>0.45</v>
      </c>
      <c r="P23" s="77">
        <v>0.38</v>
      </c>
      <c r="Q23" s="44">
        <f t="shared" si="2"/>
        <v>0.41500000000000004</v>
      </c>
      <c r="R23" s="77">
        <v>16.5</v>
      </c>
      <c r="S23" s="77">
        <v>132</v>
      </c>
      <c r="T23" s="16">
        <f t="shared" si="0"/>
        <v>25</v>
      </c>
      <c r="U23" s="77">
        <v>139</v>
      </c>
      <c r="V23" s="16">
        <f t="shared" si="1"/>
        <v>22</v>
      </c>
      <c r="W23" s="77">
        <v>6</v>
      </c>
      <c r="X23" s="77" t="s">
        <v>35</v>
      </c>
      <c r="Y23" s="77" t="s">
        <v>43</v>
      </c>
      <c r="Z23" s="77" t="s">
        <v>76</v>
      </c>
      <c r="AA23" s="77" t="s">
        <v>36</v>
      </c>
      <c r="AB23" s="77" t="s">
        <v>162</v>
      </c>
      <c r="AP23" s="27" t="s">
        <v>116</v>
      </c>
      <c r="AR23" s="80" t="s">
        <v>48</v>
      </c>
      <c r="AV23" s="27" t="s">
        <v>365</v>
      </c>
    </row>
    <row r="24" spans="1:48" x14ac:dyDescent="0.15">
      <c r="A24" s="77" t="s">
        <v>46</v>
      </c>
      <c r="B24" s="77" t="s">
        <v>160</v>
      </c>
      <c r="C24" s="185">
        <v>2020</v>
      </c>
      <c r="D24" s="186" t="s">
        <v>328</v>
      </c>
      <c r="E24" s="77" t="s">
        <v>339</v>
      </c>
      <c r="F24" s="77" t="s">
        <v>340</v>
      </c>
      <c r="G24" s="77" t="s">
        <v>25</v>
      </c>
      <c r="H24" s="77" t="s">
        <v>164</v>
      </c>
      <c r="I24" s="77" t="s">
        <v>111</v>
      </c>
      <c r="J24" s="77" t="s">
        <v>27</v>
      </c>
      <c r="K24" s="77" t="s">
        <v>112</v>
      </c>
      <c r="L24" s="77">
        <v>2</v>
      </c>
      <c r="N24" s="77">
        <v>1</v>
      </c>
      <c r="O24" s="77">
        <v>0.4</v>
      </c>
      <c r="P24" s="77">
        <v>0.34</v>
      </c>
      <c r="Q24" s="44">
        <f t="shared" si="2"/>
        <v>0.37</v>
      </c>
      <c r="R24" s="77">
        <v>15.6</v>
      </c>
      <c r="S24" s="77">
        <v>124</v>
      </c>
      <c r="T24" s="16">
        <f t="shared" si="0"/>
        <v>27</v>
      </c>
      <c r="U24" s="77">
        <v>139</v>
      </c>
      <c r="V24" s="16">
        <f t="shared" si="1"/>
        <v>22</v>
      </c>
      <c r="W24" s="77">
        <v>6</v>
      </c>
      <c r="X24" s="77" t="s">
        <v>35</v>
      </c>
      <c r="Y24" s="77" t="s">
        <v>43</v>
      </c>
      <c r="Z24" s="77" t="s">
        <v>76</v>
      </c>
      <c r="AA24" s="77" t="s">
        <v>36</v>
      </c>
      <c r="AB24" s="77" t="s">
        <v>162</v>
      </c>
      <c r="AP24" s="27" t="s">
        <v>117</v>
      </c>
      <c r="AR24" s="80" t="s">
        <v>77</v>
      </c>
      <c r="AV24" s="27" t="s">
        <v>366</v>
      </c>
    </row>
    <row r="25" spans="1:48" x14ac:dyDescent="0.15">
      <c r="A25" s="77" t="s">
        <v>46</v>
      </c>
      <c r="B25" s="77" t="s">
        <v>160</v>
      </c>
      <c r="C25" s="185">
        <v>2020</v>
      </c>
      <c r="D25" s="186" t="s">
        <v>328</v>
      </c>
      <c r="E25" s="77" t="s">
        <v>339</v>
      </c>
      <c r="F25" s="77" t="s">
        <v>340</v>
      </c>
      <c r="G25" s="77" t="s">
        <v>25</v>
      </c>
      <c r="H25" s="77" t="s">
        <v>164</v>
      </c>
      <c r="I25" s="77" t="s">
        <v>111</v>
      </c>
      <c r="J25" s="77" t="s">
        <v>27</v>
      </c>
      <c r="K25" s="77" t="s">
        <v>112</v>
      </c>
      <c r="L25" s="77">
        <v>3</v>
      </c>
      <c r="N25" s="77">
        <v>1</v>
      </c>
      <c r="O25" s="77">
        <v>0.44</v>
      </c>
      <c r="P25" s="77">
        <v>0.48</v>
      </c>
      <c r="Q25" s="44">
        <f t="shared" si="2"/>
        <v>0.45999999999999996</v>
      </c>
      <c r="R25" s="77">
        <v>16.100000000000001</v>
      </c>
      <c r="S25" s="77">
        <v>130</v>
      </c>
      <c r="T25" s="16">
        <f t="shared" si="0"/>
        <v>25</v>
      </c>
      <c r="U25" s="77">
        <v>139</v>
      </c>
      <c r="V25" s="16">
        <f t="shared" si="1"/>
        <v>22</v>
      </c>
      <c r="W25" s="77">
        <v>6</v>
      </c>
      <c r="X25" s="77" t="s">
        <v>35</v>
      </c>
      <c r="Y25" s="77" t="s">
        <v>43</v>
      </c>
      <c r="Z25" s="77" t="s">
        <v>76</v>
      </c>
      <c r="AA25" s="77" t="s">
        <v>36</v>
      </c>
      <c r="AB25" s="77" t="s">
        <v>162</v>
      </c>
      <c r="AP25" s="27" t="s">
        <v>99</v>
      </c>
      <c r="AR25" s="27" t="s">
        <v>78</v>
      </c>
      <c r="AV25" s="27" t="s">
        <v>367</v>
      </c>
    </row>
    <row r="26" spans="1:48" x14ac:dyDescent="0.15">
      <c r="A26" s="77" t="s">
        <v>46</v>
      </c>
      <c r="B26" s="77" t="s">
        <v>160</v>
      </c>
      <c r="C26" s="185">
        <v>2020</v>
      </c>
      <c r="D26" s="186" t="s">
        <v>328</v>
      </c>
      <c r="E26" s="77" t="s">
        <v>339</v>
      </c>
      <c r="F26" s="77" t="s">
        <v>340</v>
      </c>
      <c r="G26" s="77" t="s">
        <v>25</v>
      </c>
      <c r="H26" s="77" t="s">
        <v>113</v>
      </c>
      <c r="I26" s="77" t="s">
        <v>111</v>
      </c>
      <c r="J26" s="77" t="s">
        <v>27</v>
      </c>
      <c r="K26" s="77" t="s">
        <v>112</v>
      </c>
      <c r="L26" s="77">
        <v>1</v>
      </c>
      <c r="N26" s="77">
        <v>4</v>
      </c>
      <c r="O26" s="77">
        <v>0.25</v>
      </c>
      <c r="P26" s="77">
        <v>0.26</v>
      </c>
      <c r="Q26" s="44">
        <f t="shared" si="2"/>
        <v>0.255</v>
      </c>
      <c r="R26" s="77">
        <v>14.3</v>
      </c>
      <c r="S26" s="77">
        <v>100</v>
      </c>
      <c r="T26" s="16">
        <f t="shared" si="0"/>
        <v>33</v>
      </c>
      <c r="U26" s="77">
        <v>380</v>
      </c>
      <c r="V26" s="16">
        <f t="shared" si="1"/>
        <v>16</v>
      </c>
      <c r="W26" s="77">
        <v>1</v>
      </c>
      <c r="X26" s="77" t="s">
        <v>35</v>
      </c>
      <c r="Y26" s="77" t="s">
        <v>43</v>
      </c>
      <c r="Z26" s="77" t="s">
        <v>76</v>
      </c>
      <c r="AA26" s="77" t="s">
        <v>36</v>
      </c>
      <c r="AB26" s="77" t="s">
        <v>162</v>
      </c>
      <c r="AP26" s="27" t="s">
        <v>100</v>
      </c>
      <c r="AR26" s="27" t="s">
        <v>368</v>
      </c>
      <c r="AV26" s="27"/>
    </row>
    <row r="27" spans="1:48" x14ac:dyDescent="0.15">
      <c r="A27" s="77" t="s">
        <v>46</v>
      </c>
      <c r="B27" s="77" t="s">
        <v>160</v>
      </c>
      <c r="C27" s="185">
        <v>2020</v>
      </c>
      <c r="D27" s="186" t="s">
        <v>328</v>
      </c>
      <c r="E27" s="77" t="s">
        <v>339</v>
      </c>
      <c r="F27" s="77" t="s">
        <v>340</v>
      </c>
      <c r="G27" s="77" t="s">
        <v>25</v>
      </c>
      <c r="H27" s="77" t="s">
        <v>113</v>
      </c>
      <c r="I27" s="77" t="s">
        <v>111</v>
      </c>
      <c r="J27" s="77" t="s">
        <v>27</v>
      </c>
      <c r="K27" s="77" t="s">
        <v>112</v>
      </c>
      <c r="L27" s="77">
        <v>2</v>
      </c>
      <c r="N27" s="77">
        <v>4</v>
      </c>
      <c r="O27" s="77">
        <v>0.28999999999999998</v>
      </c>
      <c r="P27" s="77">
        <v>0.33</v>
      </c>
      <c r="Q27" s="44">
        <f t="shared" si="2"/>
        <v>0.31</v>
      </c>
      <c r="R27" s="77">
        <v>13.3</v>
      </c>
      <c r="S27" s="77">
        <v>100</v>
      </c>
      <c r="T27" s="16">
        <f t="shared" si="0"/>
        <v>33</v>
      </c>
      <c r="U27" s="77">
        <v>380</v>
      </c>
      <c r="V27" s="16">
        <f t="shared" si="1"/>
        <v>16</v>
      </c>
      <c r="W27" s="77">
        <v>1</v>
      </c>
      <c r="X27" s="77" t="s">
        <v>35</v>
      </c>
      <c r="Y27" s="77" t="s">
        <v>43</v>
      </c>
      <c r="Z27" s="77" t="s">
        <v>76</v>
      </c>
      <c r="AA27" s="77" t="s">
        <v>36</v>
      </c>
      <c r="AB27" s="77" t="s">
        <v>162</v>
      </c>
      <c r="AP27" s="27" t="s">
        <v>101</v>
      </c>
      <c r="AR27" s="80" t="s">
        <v>138</v>
      </c>
      <c r="AV27" s="27"/>
    </row>
    <row r="28" spans="1:48" x14ac:dyDescent="0.15">
      <c r="A28" s="77" t="s">
        <v>46</v>
      </c>
      <c r="B28" s="77" t="s">
        <v>160</v>
      </c>
      <c r="C28" s="185">
        <v>2020</v>
      </c>
      <c r="D28" s="186" t="s">
        <v>328</v>
      </c>
      <c r="E28" s="77" t="s">
        <v>339</v>
      </c>
      <c r="F28" s="77" t="s">
        <v>340</v>
      </c>
      <c r="G28" s="77" t="s">
        <v>25</v>
      </c>
      <c r="H28" s="77" t="s">
        <v>113</v>
      </c>
      <c r="I28" s="77" t="s">
        <v>111</v>
      </c>
      <c r="J28" s="77" t="s">
        <v>27</v>
      </c>
      <c r="K28" s="77" t="s">
        <v>112</v>
      </c>
      <c r="L28" s="77">
        <v>3</v>
      </c>
      <c r="N28" s="77">
        <v>4</v>
      </c>
      <c r="O28" s="77">
        <v>0.34</v>
      </c>
      <c r="P28" s="77">
        <v>0.34</v>
      </c>
      <c r="Q28" s="44">
        <f t="shared" si="2"/>
        <v>0.34</v>
      </c>
      <c r="R28" s="77">
        <v>14.3</v>
      </c>
      <c r="S28" s="77">
        <v>100</v>
      </c>
      <c r="T28" s="16">
        <f t="shared" si="0"/>
        <v>33</v>
      </c>
      <c r="U28" s="77">
        <v>380</v>
      </c>
      <c r="V28" s="16">
        <f t="shared" si="1"/>
        <v>16</v>
      </c>
      <c r="W28" s="77">
        <v>1</v>
      </c>
      <c r="X28" s="77" t="s">
        <v>35</v>
      </c>
      <c r="Y28" s="77" t="s">
        <v>43</v>
      </c>
      <c r="Z28" s="77" t="s">
        <v>76</v>
      </c>
      <c r="AA28" s="77" t="s">
        <v>36</v>
      </c>
      <c r="AB28" s="77" t="s">
        <v>162</v>
      </c>
      <c r="AP28" s="27" t="s">
        <v>156</v>
      </c>
      <c r="AR28" s="80" t="s">
        <v>159</v>
      </c>
      <c r="AV28" s="27"/>
    </row>
    <row r="29" spans="1:48" x14ac:dyDescent="0.15">
      <c r="A29" s="77" t="s">
        <v>46</v>
      </c>
      <c r="B29" s="77" t="s">
        <v>160</v>
      </c>
      <c r="C29" s="185">
        <v>2020</v>
      </c>
      <c r="D29" s="186" t="s">
        <v>328</v>
      </c>
      <c r="E29" s="77" t="s">
        <v>339</v>
      </c>
      <c r="F29" s="77" t="s">
        <v>340</v>
      </c>
      <c r="G29" s="77" t="s">
        <v>25</v>
      </c>
      <c r="H29" s="77" t="s">
        <v>113</v>
      </c>
      <c r="I29" s="77" t="s">
        <v>111</v>
      </c>
      <c r="J29" s="77" t="s">
        <v>27</v>
      </c>
      <c r="K29" s="77" t="s">
        <v>112</v>
      </c>
      <c r="L29" s="77">
        <v>1</v>
      </c>
      <c r="N29" s="77">
        <v>2</v>
      </c>
      <c r="O29" s="77">
        <v>0.46</v>
      </c>
      <c r="P29" s="77">
        <v>0.55000000000000004</v>
      </c>
      <c r="Q29" s="44">
        <f t="shared" si="2"/>
        <v>0.505</v>
      </c>
      <c r="R29" s="77">
        <v>14.1</v>
      </c>
      <c r="S29" s="77">
        <v>150</v>
      </c>
      <c r="T29" s="16">
        <f t="shared" si="0"/>
        <v>22</v>
      </c>
      <c r="U29" s="77">
        <v>380</v>
      </c>
      <c r="V29" s="16">
        <f t="shared" si="1"/>
        <v>16</v>
      </c>
      <c r="W29" s="77">
        <v>1</v>
      </c>
      <c r="X29" s="77" t="s">
        <v>35</v>
      </c>
      <c r="Y29" s="77" t="s">
        <v>43</v>
      </c>
      <c r="Z29" s="77" t="s">
        <v>76</v>
      </c>
      <c r="AA29" s="77" t="s">
        <v>36</v>
      </c>
      <c r="AB29" s="77" t="s">
        <v>162</v>
      </c>
      <c r="AP29" s="27" t="s">
        <v>157</v>
      </c>
      <c r="AR29" s="80" t="s">
        <v>158</v>
      </c>
      <c r="AV29" s="27"/>
    </row>
    <row r="30" spans="1:48" x14ac:dyDescent="0.15">
      <c r="A30" s="77" t="s">
        <v>46</v>
      </c>
      <c r="B30" s="77" t="s">
        <v>160</v>
      </c>
      <c r="C30" s="185">
        <v>2020</v>
      </c>
      <c r="D30" s="186" t="s">
        <v>328</v>
      </c>
      <c r="E30" s="77" t="s">
        <v>339</v>
      </c>
      <c r="F30" s="77" t="s">
        <v>340</v>
      </c>
      <c r="G30" s="77" t="s">
        <v>25</v>
      </c>
      <c r="H30" s="77" t="s">
        <v>113</v>
      </c>
      <c r="I30" s="77" t="s">
        <v>111</v>
      </c>
      <c r="J30" s="77" t="s">
        <v>27</v>
      </c>
      <c r="K30" s="77" t="s">
        <v>112</v>
      </c>
      <c r="L30" s="77">
        <v>2</v>
      </c>
      <c r="N30" s="77">
        <v>2</v>
      </c>
      <c r="O30" s="77">
        <v>0.52</v>
      </c>
      <c r="P30" s="77">
        <v>0.5</v>
      </c>
      <c r="Q30" s="44">
        <f t="shared" si="2"/>
        <v>0.51</v>
      </c>
      <c r="R30" s="77">
        <v>15</v>
      </c>
      <c r="S30" s="77">
        <v>164</v>
      </c>
      <c r="T30" s="16">
        <f t="shared" si="0"/>
        <v>18</v>
      </c>
      <c r="U30" s="77">
        <v>380</v>
      </c>
      <c r="V30" s="16">
        <f t="shared" si="1"/>
        <v>16</v>
      </c>
      <c r="W30" s="77">
        <v>1</v>
      </c>
      <c r="X30" s="77" t="s">
        <v>35</v>
      </c>
      <c r="Y30" s="77" t="s">
        <v>43</v>
      </c>
      <c r="Z30" s="77" t="s">
        <v>76</v>
      </c>
      <c r="AA30" s="77" t="s">
        <v>36</v>
      </c>
      <c r="AB30" s="77" t="s">
        <v>162</v>
      </c>
      <c r="AR30" s="28"/>
      <c r="AV30" s="27"/>
    </row>
    <row r="31" spans="1:48" x14ac:dyDescent="0.15">
      <c r="A31" s="77" t="s">
        <v>46</v>
      </c>
      <c r="B31" s="77" t="s">
        <v>160</v>
      </c>
      <c r="C31" s="185">
        <v>2020</v>
      </c>
      <c r="D31" s="186" t="s">
        <v>328</v>
      </c>
      <c r="E31" s="77" t="s">
        <v>339</v>
      </c>
      <c r="F31" s="77" t="s">
        <v>340</v>
      </c>
      <c r="G31" s="77" t="s">
        <v>25</v>
      </c>
      <c r="H31" s="77" t="s">
        <v>113</v>
      </c>
      <c r="I31" s="77" t="s">
        <v>111</v>
      </c>
      <c r="J31" s="77" t="s">
        <v>27</v>
      </c>
      <c r="K31" s="77" t="s">
        <v>112</v>
      </c>
      <c r="L31" s="77">
        <v>3</v>
      </c>
      <c r="N31" s="77">
        <v>2</v>
      </c>
      <c r="O31" s="77">
        <v>0.53</v>
      </c>
      <c r="P31" s="77">
        <v>0.56000000000000005</v>
      </c>
      <c r="Q31" s="44">
        <f t="shared" si="2"/>
        <v>0.54500000000000004</v>
      </c>
      <c r="R31" s="77">
        <v>15.2</v>
      </c>
      <c r="S31" s="77">
        <v>158</v>
      </c>
      <c r="T31" s="16">
        <f t="shared" si="0"/>
        <v>18</v>
      </c>
      <c r="U31" s="77">
        <v>380</v>
      </c>
      <c r="V31" s="16">
        <f t="shared" si="1"/>
        <v>16</v>
      </c>
      <c r="W31" s="77">
        <v>1</v>
      </c>
      <c r="X31" s="77" t="s">
        <v>35</v>
      </c>
      <c r="Y31" s="77" t="s">
        <v>43</v>
      </c>
      <c r="Z31" s="77" t="s">
        <v>76</v>
      </c>
      <c r="AA31" s="77" t="s">
        <v>36</v>
      </c>
      <c r="AB31" s="77" t="s">
        <v>162</v>
      </c>
      <c r="AV31" s="27"/>
    </row>
    <row r="32" spans="1:48" x14ac:dyDescent="0.15">
      <c r="A32" s="77" t="s">
        <v>46</v>
      </c>
      <c r="B32" s="77" t="s">
        <v>160</v>
      </c>
      <c r="C32" s="185">
        <v>2020</v>
      </c>
      <c r="D32" s="186" t="s">
        <v>328</v>
      </c>
      <c r="E32" s="77" t="s">
        <v>339</v>
      </c>
      <c r="F32" s="77" t="s">
        <v>340</v>
      </c>
      <c r="G32" s="77" t="s">
        <v>25</v>
      </c>
      <c r="H32" s="77" t="s">
        <v>113</v>
      </c>
      <c r="I32" s="77" t="s">
        <v>111</v>
      </c>
      <c r="J32" s="77" t="s">
        <v>27</v>
      </c>
      <c r="K32" s="77" t="s">
        <v>112</v>
      </c>
      <c r="L32" s="77">
        <v>1</v>
      </c>
      <c r="N32" s="77">
        <v>1</v>
      </c>
      <c r="O32" s="77">
        <v>0.47</v>
      </c>
      <c r="P32" s="77">
        <v>0.55000000000000004</v>
      </c>
      <c r="Q32" s="44">
        <f t="shared" si="2"/>
        <v>0.51</v>
      </c>
      <c r="R32" s="77">
        <v>13.3</v>
      </c>
      <c r="S32" s="77">
        <v>139</v>
      </c>
      <c r="T32" s="16">
        <f t="shared" si="0"/>
        <v>22</v>
      </c>
      <c r="U32" s="77">
        <v>139</v>
      </c>
      <c r="V32" s="16">
        <f t="shared" si="1"/>
        <v>22</v>
      </c>
      <c r="W32" s="77">
        <v>2</v>
      </c>
      <c r="X32" s="77" t="s">
        <v>35</v>
      </c>
      <c r="Y32" s="77" t="s">
        <v>43</v>
      </c>
      <c r="Z32" s="77" t="s">
        <v>76</v>
      </c>
      <c r="AA32" s="77" t="s">
        <v>36</v>
      </c>
      <c r="AB32" s="77" t="s">
        <v>162</v>
      </c>
      <c r="AV32" s="27"/>
    </row>
    <row r="33" spans="1:48" x14ac:dyDescent="0.15">
      <c r="A33" s="77" t="s">
        <v>46</v>
      </c>
      <c r="B33" s="77" t="s">
        <v>160</v>
      </c>
      <c r="C33" s="185">
        <v>2020</v>
      </c>
      <c r="D33" s="186" t="s">
        <v>328</v>
      </c>
      <c r="E33" s="77" t="s">
        <v>339</v>
      </c>
      <c r="F33" s="77" t="s">
        <v>340</v>
      </c>
      <c r="G33" s="77" t="s">
        <v>25</v>
      </c>
      <c r="H33" s="77" t="s">
        <v>113</v>
      </c>
      <c r="I33" s="77" t="s">
        <v>111</v>
      </c>
      <c r="J33" s="77" t="s">
        <v>27</v>
      </c>
      <c r="K33" s="77" t="s">
        <v>112</v>
      </c>
      <c r="L33" s="77">
        <v>2</v>
      </c>
      <c r="N33" s="77">
        <v>1</v>
      </c>
      <c r="O33" s="77">
        <v>0.3</v>
      </c>
      <c r="P33" s="77">
        <v>0.25</v>
      </c>
      <c r="Q33" s="44">
        <f t="shared" si="2"/>
        <v>0.27500000000000002</v>
      </c>
      <c r="R33" s="77">
        <v>14.7</v>
      </c>
      <c r="S33" s="77">
        <v>138</v>
      </c>
      <c r="T33" s="16">
        <f t="shared" si="0"/>
        <v>22</v>
      </c>
      <c r="U33" s="77">
        <v>139</v>
      </c>
      <c r="V33" s="16">
        <f t="shared" si="1"/>
        <v>22</v>
      </c>
      <c r="W33" s="77">
        <v>2</v>
      </c>
      <c r="X33" s="77" t="s">
        <v>35</v>
      </c>
      <c r="Y33" s="77" t="s">
        <v>43</v>
      </c>
      <c r="Z33" s="77" t="s">
        <v>76</v>
      </c>
      <c r="AA33" s="77" t="s">
        <v>36</v>
      </c>
      <c r="AB33" s="77" t="s">
        <v>162</v>
      </c>
      <c r="AV33" s="27"/>
    </row>
    <row r="34" spans="1:48" x14ac:dyDescent="0.15">
      <c r="A34" s="77" t="s">
        <v>46</v>
      </c>
      <c r="B34" s="77" t="s">
        <v>160</v>
      </c>
      <c r="C34" s="185">
        <v>2020</v>
      </c>
      <c r="D34" s="186" t="s">
        <v>328</v>
      </c>
      <c r="E34" s="77" t="s">
        <v>339</v>
      </c>
      <c r="F34" s="77" t="s">
        <v>340</v>
      </c>
      <c r="G34" s="77" t="s">
        <v>25</v>
      </c>
      <c r="H34" s="77" t="s">
        <v>113</v>
      </c>
      <c r="I34" s="77" t="s">
        <v>111</v>
      </c>
      <c r="J34" s="77" t="s">
        <v>27</v>
      </c>
      <c r="K34" s="77" t="s">
        <v>112</v>
      </c>
      <c r="L34" s="77">
        <v>3</v>
      </c>
      <c r="N34" s="77">
        <v>1</v>
      </c>
      <c r="O34" s="77">
        <v>0.44</v>
      </c>
      <c r="P34" s="77">
        <v>0.53</v>
      </c>
      <c r="Q34" s="44">
        <f t="shared" si="2"/>
        <v>0.48499999999999999</v>
      </c>
      <c r="R34" s="77">
        <v>14.6</v>
      </c>
      <c r="S34" s="77">
        <v>142</v>
      </c>
      <c r="T34" s="16">
        <f t="shared" si="0"/>
        <v>22</v>
      </c>
      <c r="U34" s="77">
        <v>139</v>
      </c>
      <c r="V34" s="16">
        <f t="shared" si="1"/>
        <v>22</v>
      </c>
      <c r="W34" s="77">
        <v>2</v>
      </c>
      <c r="X34" s="77" t="s">
        <v>35</v>
      </c>
      <c r="Y34" s="77" t="s">
        <v>43</v>
      </c>
      <c r="Z34" s="77" t="s">
        <v>76</v>
      </c>
      <c r="AA34" s="77" t="s">
        <v>36</v>
      </c>
      <c r="AB34" s="77" t="s">
        <v>162</v>
      </c>
      <c r="AV34" s="27"/>
    </row>
    <row r="35" spans="1:48" x14ac:dyDescent="0.15">
      <c r="A35" s="77" t="s">
        <v>46</v>
      </c>
      <c r="B35" s="77" t="s">
        <v>160</v>
      </c>
      <c r="C35" s="185">
        <v>2020</v>
      </c>
      <c r="D35" s="186" t="s">
        <v>328</v>
      </c>
      <c r="E35" s="77" t="s">
        <v>339</v>
      </c>
      <c r="F35" s="77" t="s">
        <v>340</v>
      </c>
      <c r="G35" s="77" t="s">
        <v>25</v>
      </c>
      <c r="H35" s="77" t="s">
        <v>228</v>
      </c>
      <c r="I35" s="77" t="s">
        <v>111</v>
      </c>
      <c r="J35" s="77" t="s">
        <v>27</v>
      </c>
      <c r="K35" s="77" t="s">
        <v>112</v>
      </c>
      <c r="L35" s="77">
        <v>1</v>
      </c>
      <c r="N35" s="77">
        <v>4</v>
      </c>
      <c r="O35" s="77">
        <v>0.64</v>
      </c>
      <c r="P35" s="77">
        <v>0.75</v>
      </c>
      <c r="Q35" s="44">
        <f t="shared" si="2"/>
        <v>0.69500000000000006</v>
      </c>
      <c r="R35" s="77">
        <v>16.600000000000001</v>
      </c>
      <c r="S35" s="77">
        <v>86</v>
      </c>
      <c r="T35" s="16">
        <f t="shared" si="0"/>
        <v>36</v>
      </c>
      <c r="U35" s="77">
        <v>399</v>
      </c>
      <c r="V35" s="16">
        <f t="shared" si="1"/>
        <v>16</v>
      </c>
      <c r="W35" s="77">
        <v>1</v>
      </c>
      <c r="X35" s="77" t="s">
        <v>35</v>
      </c>
      <c r="Y35" s="77" t="s">
        <v>43</v>
      </c>
      <c r="Z35" s="77" t="s">
        <v>76</v>
      </c>
      <c r="AA35" s="77" t="s">
        <v>36</v>
      </c>
      <c r="AB35" s="77" t="s">
        <v>162</v>
      </c>
      <c r="AV35" s="27"/>
    </row>
    <row r="36" spans="1:48" x14ac:dyDescent="0.15">
      <c r="A36" s="77" t="s">
        <v>46</v>
      </c>
      <c r="B36" s="77" t="s">
        <v>160</v>
      </c>
      <c r="C36" s="185">
        <v>2020</v>
      </c>
      <c r="D36" s="186" t="s">
        <v>328</v>
      </c>
      <c r="E36" s="77" t="s">
        <v>339</v>
      </c>
      <c r="F36" s="77" t="s">
        <v>340</v>
      </c>
      <c r="G36" s="77" t="s">
        <v>25</v>
      </c>
      <c r="H36" s="77" t="s">
        <v>228</v>
      </c>
      <c r="I36" s="77" t="s">
        <v>111</v>
      </c>
      <c r="J36" s="77" t="s">
        <v>27</v>
      </c>
      <c r="K36" s="77" t="s">
        <v>112</v>
      </c>
      <c r="L36" s="77">
        <v>2</v>
      </c>
      <c r="N36" s="77">
        <v>4</v>
      </c>
      <c r="O36" s="77">
        <v>0.57999999999999996</v>
      </c>
      <c r="P36" s="77">
        <v>0.56000000000000005</v>
      </c>
      <c r="Q36" s="44">
        <f t="shared" si="2"/>
        <v>0.57000000000000006</v>
      </c>
      <c r="R36" s="77">
        <v>16</v>
      </c>
      <c r="S36" s="77">
        <v>85</v>
      </c>
      <c r="T36" s="16">
        <f t="shared" si="0"/>
        <v>36</v>
      </c>
      <c r="U36" s="77">
        <v>399</v>
      </c>
      <c r="V36" s="16">
        <f t="shared" si="1"/>
        <v>16</v>
      </c>
      <c r="W36" s="77">
        <v>1</v>
      </c>
      <c r="X36" s="77" t="s">
        <v>35</v>
      </c>
      <c r="Y36" s="77" t="s">
        <v>43</v>
      </c>
      <c r="Z36" s="77" t="s">
        <v>76</v>
      </c>
      <c r="AA36" s="77" t="s">
        <v>36</v>
      </c>
      <c r="AB36" s="77" t="s">
        <v>162</v>
      </c>
      <c r="AV36" s="27"/>
    </row>
    <row r="37" spans="1:48" x14ac:dyDescent="0.15">
      <c r="A37" s="77" t="s">
        <v>46</v>
      </c>
      <c r="B37" s="77" t="s">
        <v>160</v>
      </c>
      <c r="C37" s="185">
        <v>2020</v>
      </c>
      <c r="D37" s="186" t="s">
        <v>328</v>
      </c>
      <c r="E37" s="77" t="s">
        <v>339</v>
      </c>
      <c r="F37" s="77" t="s">
        <v>340</v>
      </c>
      <c r="G37" s="77" t="s">
        <v>25</v>
      </c>
      <c r="H37" s="77" t="s">
        <v>228</v>
      </c>
      <c r="I37" s="77" t="s">
        <v>111</v>
      </c>
      <c r="J37" s="77" t="s">
        <v>27</v>
      </c>
      <c r="K37" s="77" t="s">
        <v>112</v>
      </c>
      <c r="L37" s="77">
        <v>3</v>
      </c>
      <c r="N37" s="77">
        <v>4</v>
      </c>
      <c r="O37" s="77">
        <v>0.67</v>
      </c>
      <c r="P37" s="77">
        <v>0.64</v>
      </c>
      <c r="Q37" s="44">
        <f t="shared" si="2"/>
        <v>0.65500000000000003</v>
      </c>
      <c r="R37" s="77">
        <v>15.9</v>
      </c>
      <c r="S37" s="77">
        <v>87</v>
      </c>
      <c r="T37" s="16">
        <f t="shared" si="0"/>
        <v>36</v>
      </c>
      <c r="U37" s="77">
        <v>399</v>
      </c>
      <c r="V37" s="16">
        <f t="shared" si="1"/>
        <v>16</v>
      </c>
      <c r="W37" s="77">
        <v>1</v>
      </c>
      <c r="X37" s="77" t="s">
        <v>35</v>
      </c>
      <c r="Y37" s="77" t="s">
        <v>43</v>
      </c>
      <c r="Z37" s="77" t="s">
        <v>76</v>
      </c>
      <c r="AA37" s="77" t="s">
        <v>36</v>
      </c>
      <c r="AB37" s="77" t="s">
        <v>162</v>
      </c>
      <c r="AV37" s="27"/>
    </row>
    <row r="38" spans="1:48" x14ac:dyDescent="0.15">
      <c r="A38" s="77" t="s">
        <v>46</v>
      </c>
      <c r="B38" s="77" t="s">
        <v>160</v>
      </c>
      <c r="C38" s="185">
        <v>2020</v>
      </c>
      <c r="D38" s="186" t="s">
        <v>328</v>
      </c>
      <c r="E38" s="77" t="s">
        <v>352</v>
      </c>
      <c r="F38" s="77" t="s">
        <v>340</v>
      </c>
      <c r="G38" s="77" t="s">
        <v>25</v>
      </c>
      <c r="H38" s="77" t="s">
        <v>164</v>
      </c>
      <c r="I38" s="77" t="s">
        <v>111</v>
      </c>
      <c r="J38" s="77" t="s">
        <v>27</v>
      </c>
      <c r="K38" s="77" t="s">
        <v>112</v>
      </c>
      <c r="L38" s="77">
        <v>1</v>
      </c>
      <c r="N38" s="77">
        <v>4</v>
      </c>
      <c r="O38" s="77">
        <v>0.39</v>
      </c>
      <c r="P38" s="77">
        <v>0.4</v>
      </c>
      <c r="Q38" s="44">
        <f t="shared" si="2"/>
        <v>0.39500000000000002</v>
      </c>
      <c r="R38" s="77">
        <v>18.899999999999999</v>
      </c>
      <c r="S38" s="77">
        <v>106</v>
      </c>
      <c r="T38" s="16">
        <f t="shared" si="0"/>
        <v>33</v>
      </c>
      <c r="U38" s="77">
        <v>598</v>
      </c>
      <c r="V38" s="16">
        <f t="shared" si="1"/>
        <v>16</v>
      </c>
      <c r="W38" s="77">
        <v>2</v>
      </c>
      <c r="X38" s="77" t="s">
        <v>35</v>
      </c>
      <c r="Y38" s="77" t="s">
        <v>47</v>
      </c>
      <c r="Z38" s="77" t="s">
        <v>43</v>
      </c>
      <c r="AA38" s="77" t="s">
        <v>76</v>
      </c>
      <c r="AB38" s="77" t="s">
        <v>162</v>
      </c>
      <c r="AV38" s="28"/>
    </row>
    <row r="39" spans="1:48" x14ac:dyDescent="0.15">
      <c r="A39" s="77" t="s">
        <v>46</v>
      </c>
      <c r="B39" s="77" t="s">
        <v>160</v>
      </c>
      <c r="C39" s="185">
        <v>2020</v>
      </c>
      <c r="D39" s="186" t="s">
        <v>328</v>
      </c>
      <c r="E39" s="77" t="s">
        <v>352</v>
      </c>
      <c r="F39" s="77" t="s">
        <v>340</v>
      </c>
      <c r="G39" s="77" t="s">
        <v>25</v>
      </c>
      <c r="H39" s="77" t="s">
        <v>164</v>
      </c>
      <c r="I39" s="77" t="s">
        <v>111</v>
      </c>
      <c r="J39" s="77" t="s">
        <v>27</v>
      </c>
      <c r="K39" s="77" t="s">
        <v>112</v>
      </c>
      <c r="L39" s="77">
        <v>2</v>
      </c>
      <c r="N39" s="77">
        <v>4</v>
      </c>
      <c r="O39" s="77">
        <v>0.38</v>
      </c>
      <c r="P39" s="77">
        <v>0.36</v>
      </c>
      <c r="Q39" s="44">
        <f t="shared" si="2"/>
        <v>0.37</v>
      </c>
      <c r="R39" s="77">
        <v>16.600000000000001</v>
      </c>
      <c r="S39" s="77">
        <v>94</v>
      </c>
      <c r="T39" s="16">
        <f t="shared" si="0"/>
        <v>36</v>
      </c>
      <c r="U39" s="77">
        <v>598</v>
      </c>
      <c r="V39" s="16">
        <f t="shared" si="1"/>
        <v>16</v>
      </c>
      <c r="W39" s="77">
        <v>2</v>
      </c>
      <c r="X39" s="77" t="s">
        <v>35</v>
      </c>
      <c r="Y39" s="77" t="s">
        <v>47</v>
      </c>
      <c r="Z39" s="77" t="s">
        <v>43</v>
      </c>
      <c r="AA39" s="77" t="s">
        <v>76</v>
      </c>
      <c r="AB39" s="77" t="s">
        <v>162</v>
      </c>
    </row>
    <row r="40" spans="1:48" x14ac:dyDescent="0.15">
      <c r="A40" s="77" t="s">
        <v>46</v>
      </c>
      <c r="B40" s="77" t="s">
        <v>160</v>
      </c>
      <c r="C40" s="185">
        <v>2020</v>
      </c>
      <c r="D40" s="186" t="s">
        <v>328</v>
      </c>
      <c r="E40" s="77" t="s">
        <v>352</v>
      </c>
      <c r="F40" s="77" t="s">
        <v>340</v>
      </c>
      <c r="G40" s="77" t="s">
        <v>25</v>
      </c>
      <c r="H40" s="77" t="s">
        <v>164</v>
      </c>
      <c r="I40" s="77" t="s">
        <v>111</v>
      </c>
      <c r="J40" s="77" t="s">
        <v>27</v>
      </c>
      <c r="K40" s="77" t="s">
        <v>112</v>
      </c>
      <c r="L40" s="77">
        <v>3</v>
      </c>
      <c r="N40" s="77">
        <v>4</v>
      </c>
      <c r="O40" s="77">
        <v>0.37</v>
      </c>
      <c r="P40" s="77">
        <v>0.4</v>
      </c>
      <c r="Q40" s="44">
        <f t="shared" si="2"/>
        <v>0.38500000000000001</v>
      </c>
      <c r="R40" s="77">
        <v>16.3</v>
      </c>
      <c r="S40" s="77">
        <v>99</v>
      </c>
      <c r="T40" s="16">
        <f t="shared" si="0"/>
        <v>33</v>
      </c>
      <c r="U40" s="77">
        <v>598</v>
      </c>
      <c r="V40" s="16">
        <f t="shared" si="1"/>
        <v>16</v>
      </c>
      <c r="W40" s="77">
        <v>2</v>
      </c>
      <c r="X40" s="77" t="s">
        <v>35</v>
      </c>
      <c r="Y40" s="77" t="s">
        <v>47</v>
      </c>
      <c r="Z40" s="77" t="s">
        <v>43</v>
      </c>
      <c r="AA40" s="77" t="s">
        <v>76</v>
      </c>
      <c r="AB40" s="77" t="s">
        <v>162</v>
      </c>
    </row>
    <row r="41" spans="1:48" x14ac:dyDescent="0.15">
      <c r="A41" s="77" t="s">
        <v>46</v>
      </c>
      <c r="B41" s="77" t="s">
        <v>160</v>
      </c>
      <c r="C41" s="185">
        <v>2020</v>
      </c>
      <c r="D41" s="186" t="s">
        <v>328</v>
      </c>
      <c r="E41" s="77" t="s">
        <v>352</v>
      </c>
      <c r="F41" s="77" t="s">
        <v>340</v>
      </c>
      <c r="G41" s="77" t="s">
        <v>25</v>
      </c>
      <c r="H41" s="77" t="s">
        <v>164</v>
      </c>
      <c r="I41" s="77" t="s">
        <v>111</v>
      </c>
      <c r="J41" s="77" t="s">
        <v>27</v>
      </c>
      <c r="K41" s="77" t="s">
        <v>112</v>
      </c>
      <c r="L41" s="77">
        <v>1</v>
      </c>
      <c r="N41" s="77">
        <v>1</v>
      </c>
      <c r="O41" s="77">
        <v>0.4</v>
      </c>
      <c r="P41" s="77">
        <v>0.37</v>
      </c>
      <c r="Q41" s="44">
        <f t="shared" si="2"/>
        <v>0.38500000000000001</v>
      </c>
      <c r="R41" s="77">
        <v>16.899999999999999</v>
      </c>
      <c r="S41" s="77">
        <v>150</v>
      </c>
      <c r="T41" s="16">
        <f t="shared" si="0"/>
        <v>22</v>
      </c>
      <c r="U41" s="77">
        <v>198</v>
      </c>
      <c r="V41" s="16">
        <f t="shared" si="1"/>
        <v>16</v>
      </c>
      <c r="W41" s="77">
        <v>1</v>
      </c>
      <c r="X41" s="77" t="s">
        <v>35</v>
      </c>
      <c r="Y41" s="77" t="s">
        <v>47</v>
      </c>
      <c r="Z41" s="77" t="s">
        <v>43</v>
      </c>
      <c r="AA41" s="77" t="s">
        <v>76</v>
      </c>
      <c r="AB41" s="77" t="s">
        <v>162</v>
      </c>
    </row>
    <row r="42" spans="1:48" x14ac:dyDescent="0.15">
      <c r="A42" s="77" t="s">
        <v>46</v>
      </c>
      <c r="B42" s="77" t="s">
        <v>160</v>
      </c>
      <c r="C42" s="185">
        <v>2020</v>
      </c>
      <c r="D42" s="186" t="s">
        <v>328</v>
      </c>
      <c r="E42" s="77" t="s">
        <v>352</v>
      </c>
      <c r="F42" s="77" t="s">
        <v>340</v>
      </c>
      <c r="G42" s="77" t="s">
        <v>25</v>
      </c>
      <c r="H42" s="77" t="s">
        <v>164</v>
      </c>
      <c r="I42" s="77" t="s">
        <v>111</v>
      </c>
      <c r="J42" s="77" t="s">
        <v>27</v>
      </c>
      <c r="K42" s="77" t="s">
        <v>112</v>
      </c>
      <c r="L42" s="77">
        <v>2</v>
      </c>
      <c r="N42" s="77">
        <v>1</v>
      </c>
      <c r="O42" s="77">
        <v>0.48</v>
      </c>
      <c r="P42" s="77">
        <v>0.51</v>
      </c>
      <c r="Q42" s="44">
        <f t="shared" si="2"/>
        <v>0.495</v>
      </c>
      <c r="R42" s="77">
        <v>15.9</v>
      </c>
      <c r="S42" s="77">
        <v>153</v>
      </c>
      <c r="T42" s="16">
        <f t="shared" si="0"/>
        <v>18</v>
      </c>
      <c r="U42" s="77">
        <v>198</v>
      </c>
      <c r="V42" s="16">
        <f t="shared" si="1"/>
        <v>16</v>
      </c>
      <c r="W42" s="77">
        <v>1</v>
      </c>
      <c r="X42" s="77" t="s">
        <v>35</v>
      </c>
      <c r="Y42" s="77" t="s">
        <v>47</v>
      </c>
      <c r="Z42" s="77" t="s">
        <v>43</v>
      </c>
      <c r="AA42" s="77" t="s">
        <v>76</v>
      </c>
      <c r="AB42" s="77" t="s">
        <v>162</v>
      </c>
    </row>
    <row r="43" spans="1:48" x14ac:dyDescent="0.15">
      <c r="A43" s="77" t="s">
        <v>46</v>
      </c>
      <c r="B43" s="77" t="s">
        <v>160</v>
      </c>
      <c r="C43" s="185">
        <v>2020</v>
      </c>
      <c r="D43" s="186" t="s">
        <v>328</v>
      </c>
      <c r="E43" s="77" t="s">
        <v>352</v>
      </c>
      <c r="F43" s="77" t="s">
        <v>340</v>
      </c>
      <c r="G43" s="77" t="s">
        <v>25</v>
      </c>
      <c r="H43" s="77" t="s">
        <v>164</v>
      </c>
      <c r="I43" s="77" t="s">
        <v>111</v>
      </c>
      <c r="J43" s="77" t="s">
        <v>27</v>
      </c>
      <c r="K43" s="77" t="s">
        <v>112</v>
      </c>
      <c r="L43" s="77">
        <v>3</v>
      </c>
      <c r="N43" s="77">
        <v>1</v>
      </c>
      <c r="O43" s="77">
        <v>0.45</v>
      </c>
      <c r="P43" s="77">
        <v>0.48</v>
      </c>
      <c r="Q43" s="44">
        <f t="shared" si="2"/>
        <v>0.46499999999999997</v>
      </c>
      <c r="R43" s="77">
        <v>16.399999999999999</v>
      </c>
      <c r="S43" s="77">
        <v>156</v>
      </c>
      <c r="T43" s="16">
        <f t="shared" si="0"/>
        <v>18</v>
      </c>
      <c r="U43" s="77">
        <v>198</v>
      </c>
      <c r="V43" s="16">
        <f t="shared" si="1"/>
        <v>16</v>
      </c>
      <c r="W43" s="77">
        <v>1</v>
      </c>
      <c r="X43" s="77" t="s">
        <v>35</v>
      </c>
      <c r="Y43" s="77" t="s">
        <v>47</v>
      </c>
      <c r="Z43" s="77" t="s">
        <v>43</v>
      </c>
      <c r="AA43" s="77" t="s">
        <v>76</v>
      </c>
      <c r="AB43" s="77" t="s">
        <v>162</v>
      </c>
    </row>
    <row r="44" spans="1:48" x14ac:dyDescent="0.15">
      <c r="A44" s="77" t="s">
        <v>46</v>
      </c>
      <c r="B44" s="77" t="s">
        <v>160</v>
      </c>
      <c r="C44" s="185">
        <v>2020</v>
      </c>
      <c r="D44" s="186" t="s">
        <v>328</v>
      </c>
      <c r="E44" s="77" t="s">
        <v>352</v>
      </c>
      <c r="F44" s="77" t="s">
        <v>340</v>
      </c>
      <c r="G44" s="77" t="s">
        <v>25</v>
      </c>
      <c r="H44" s="77" t="s">
        <v>113</v>
      </c>
      <c r="I44" s="77" t="s">
        <v>111</v>
      </c>
      <c r="J44" s="77" t="s">
        <v>27</v>
      </c>
      <c r="K44" s="77" t="s">
        <v>112</v>
      </c>
      <c r="L44" s="77">
        <v>1</v>
      </c>
      <c r="N44" s="77">
        <v>8</v>
      </c>
      <c r="O44" s="77">
        <v>0.61</v>
      </c>
      <c r="P44" s="77">
        <v>0.68</v>
      </c>
      <c r="Q44" s="44">
        <f t="shared" si="2"/>
        <v>0.64500000000000002</v>
      </c>
      <c r="R44" s="77">
        <v>13.1</v>
      </c>
      <c r="S44" s="77">
        <v>90</v>
      </c>
      <c r="T44" s="16">
        <f t="shared" si="0"/>
        <v>36</v>
      </c>
      <c r="U44" s="77">
        <v>598</v>
      </c>
      <c r="V44" s="16">
        <f t="shared" si="1"/>
        <v>16</v>
      </c>
      <c r="W44" s="77">
        <v>1</v>
      </c>
      <c r="X44" s="77" t="s">
        <v>35</v>
      </c>
      <c r="Y44" s="77" t="s">
        <v>47</v>
      </c>
      <c r="Z44" s="77" t="s">
        <v>43</v>
      </c>
      <c r="AA44" s="77" t="s">
        <v>76</v>
      </c>
      <c r="AB44" s="77" t="s">
        <v>162</v>
      </c>
    </row>
    <row r="45" spans="1:48" x14ac:dyDescent="0.15">
      <c r="A45" s="77" t="s">
        <v>46</v>
      </c>
      <c r="B45" s="77" t="s">
        <v>160</v>
      </c>
      <c r="C45" s="185">
        <v>2020</v>
      </c>
      <c r="D45" s="186" t="s">
        <v>328</v>
      </c>
      <c r="E45" s="77" t="s">
        <v>352</v>
      </c>
      <c r="F45" s="77" t="s">
        <v>340</v>
      </c>
      <c r="G45" s="77" t="s">
        <v>25</v>
      </c>
      <c r="H45" s="77" t="s">
        <v>113</v>
      </c>
      <c r="I45" s="77" t="s">
        <v>111</v>
      </c>
      <c r="J45" s="77" t="s">
        <v>27</v>
      </c>
      <c r="K45" s="77" t="s">
        <v>112</v>
      </c>
      <c r="L45" s="77">
        <v>2</v>
      </c>
      <c r="N45" s="77">
        <v>8</v>
      </c>
      <c r="O45" s="77">
        <v>0.5</v>
      </c>
      <c r="P45" s="77">
        <v>0.42</v>
      </c>
      <c r="Q45" s="44">
        <f t="shared" si="2"/>
        <v>0.45999999999999996</v>
      </c>
      <c r="R45" s="77">
        <v>15.3</v>
      </c>
      <c r="S45" s="77">
        <v>85</v>
      </c>
      <c r="T45" s="16">
        <f t="shared" si="0"/>
        <v>36</v>
      </c>
      <c r="U45" s="77">
        <v>598</v>
      </c>
      <c r="V45" s="16">
        <f t="shared" si="1"/>
        <v>16</v>
      </c>
      <c r="W45" s="77">
        <v>1</v>
      </c>
      <c r="X45" s="77" t="s">
        <v>35</v>
      </c>
      <c r="Y45" s="77" t="s">
        <v>47</v>
      </c>
      <c r="Z45" s="77" t="s">
        <v>43</v>
      </c>
      <c r="AA45" s="77" t="s">
        <v>76</v>
      </c>
      <c r="AB45" s="77" t="s">
        <v>162</v>
      </c>
    </row>
    <row r="46" spans="1:48" x14ac:dyDescent="0.15">
      <c r="A46" s="77" t="s">
        <v>46</v>
      </c>
      <c r="B46" s="77" t="s">
        <v>160</v>
      </c>
      <c r="C46" s="185">
        <v>2020</v>
      </c>
      <c r="D46" s="186" t="s">
        <v>328</v>
      </c>
      <c r="E46" s="77" t="s">
        <v>352</v>
      </c>
      <c r="F46" s="77" t="s">
        <v>340</v>
      </c>
      <c r="G46" s="77" t="s">
        <v>25</v>
      </c>
      <c r="H46" s="77" t="s">
        <v>113</v>
      </c>
      <c r="I46" s="77" t="s">
        <v>111</v>
      </c>
      <c r="J46" s="77" t="s">
        <v>27</v>
      </c>
      <c r="K46" s="77" t="s">
        <v>112</v>
      </c>
      <c r="L46" s="77">
        <v>3</v>
      </c>
      <c r="N46" s="77">
        <v>8</v>
      </c>
      <c r="O46" s="77">
        <v>0.55000000000000004</v>
      </c>
      <c r="P46" s="77">
        <v>0.62</v>
      </c>
      <c r="Q46" s="44">
        <f t="shared" si="2"/>
        <v>0.58499999999999996</v>
      </c>
      <c r="R46" s="77">
        <v>13.6</v>
      </c>
      <c r="S46" s="77">
        <v>93</v>
      </c>
      <c r="T46" s="16">
        <f t="shared" si="0"/>
        <v>36</v>
      </c>
      <c r="U46" s="77">
        <v>598</v>
      </c>
      <c r="V46" s="16">
        <f t="shared" si="1"/>
        <v>16</v>
      </c>
      <c r="W46" s="77">
        <v>1</v>
      </c>
      <c r="X46" s="77" t="s">
        <v>35</v>
      </c>
      <c r="Y46" s="77" t="s">
        <v>47</v>
      </c>
      <c r="Z46" s="77" t="s">
        <v>43</v>
      </c>
      <c r="AA46" s="77" t="s">
        <v>76</v>
      </c>
      <c r="AB46" s="77" t="s">
        <v>162</v>
      </c>
    </row>
    <row r="47" spans="1:48" x14ac:dyDescent="0.15">
      <c r="A47" s="77" t="s">
        <v>46</v>
      </c>
      <c r="B47" s="77" t="s">
        <v>160</v>
      </c>
      <c r="C47" s="185">
        <v>2020</v>
      </c>
      <c r="D47" s="186" t="s">
        <v>328</v>
      </c>
      <c r="E47" s="77" t="s">
        <v>352</v>
      </c>
      <c r="F47" s="77" t="s">
        <v>340</v>
      </c>
      <c r="G47" s="77" t="s">
        <v>25</v>
      </c>
      <c r="H47" s="77" t="s">
        <v>113</v>
      </c>
      <c r="I47" s="77" t="s">
        <v>111</v>
      </c>
      <c r="J47" s="77" t="s">
        <v>27</v>
      </c>
      <c r="K47" s="77" t="s">
        <v>112</v>
      </c>
      <c r="L47" s="77">
        <v>1</v>
      </c>
      <c r="N47" s="77">
        <v>4</v>
      </c>
      <c r="O47" s="77">
        <v>0.35</v>
      </c>
      <c r="P47" s="77">
        <v>0.32</v>
      </c>
      <c r="Q47" s="44">
        <f t="shared" si="2"/>
        <v>0.33499999999999996</v>
      </c>
      <c r="R47" s="77">
        <v>13.3</v>
      </c>
      <c r="S47" s="77">
        <v>98</v>
      </c>
      <c r="T47" s="16">
        <f t="shared" si="0"/>
        <v>36</v>
      </c>
      <c r="U47" s="77">
        <v>398</v>
      </c>
      <c r="V47" s="16">
        <f t="shared" si="1"/>
        <v>16</v>
      </c>
      <c r="W47" s="77">
        <v>4</v>
      </c>
      <c r="X47" s="77" t="s">
        <v>35</v>
      </c>
      <c r="Y47" s="77" t="s">
        <v>47</v>
      </c>
      <c r="Z47" s="77" t="s">
        <v>43</v>
      </c>
      <c r="AA47" s="77" t="s">
        <v>76</v>
      </c>
      <c r="AB47" s="77" t="s">
        <v>162</v>
      </c>
    </row>
    <row r="48" spans="1:48" x14ac:dyDescent="0.15">
      <c r="A48" s="77" t="s">
        <v>46</v>
      </c>
      <c r="B48" s="77" t="s">
        <v>160</v>
      </c>
      <c r="C48" s="185">
        <v>2020</v>
      </c>
      <c r="D48" s="186" t="s">
        <v>328</v>
      </c>
      <c r="E48" s="77" t="s">
        <v>352</v>
      </c>
      <c r="F48" s="77" t="s">
        <v>340</v>
      </c>
      <c r="G48" s="77" t="s">
        <v>25</v>
      </c>
      <c r="H48" s="77" t="s">
        <v>113</v>
      </c>
      <c r="I48" s="77" t="s">
        <v>111</v>
      </c>
      <c r="J48" s="77" t="s">
        <v>27</v>
      </c>
      <c r="K48" s="77" t="s">
        <v>112</v>
      </c>
      <c r="L48" s="77">
        <v>2</v>
      </c>
      <c r="N48" s="77">
        <v>4</v>
      </c>
      <c r="O48" s="77">
        <v>0.32</v>
      </c>
      <c r="P48" s="77">
        <v>0.31</v>
      </c>
      <c r="Q48" s="44">
        <f t="shared" si="2"/>
        <v>0.315</v>
      </c>
      <c r="R48" s="77">
        <v>15.3</v>
      </c>
      <c r="S48" s="77">
        <v>100</v>
      </c>
      <c r="T48" s="16">
        <f t="shared" si="0"/>
        <v>33</v>
      </c>
      <c r="U48" s="77">
        <v>398</v>
      </c>
      <c r="V48" s="16">
        <f t="shared" si="1"/>
        <v>16</v>
      </c>
      <c r="W48" s="77">
        <v>4</v>
      </c>
      <c r="X48" s="77" t="s">
        <v>35</v>
      </c>
      <c r="Y48" s="77" t="s">
        <v>47</v>
      </c>
      <c r="Z48" s="77" t="s">
        <v>43</v>
      </c>
      <c r="AA48" s="77" t="s">
        <v>76</v>
      </c>
      <c r="AB48" s="77" t="s">
        <v>162</v>
      </c>
    </row>
    <row r="49" spans="1:28" x14ac:dyDescent="0.15">
      <c r="A49" s="77" t="s">
        <v>46</v>
      </c>
      <c r="B49" s="77" t="s">
        <v>160</v>
      </c>
      <c r="C49" s="185">
        <v>2020</v>
      </c>
      <c r="D49" s="186" t="s">
        <v>328</v>
      </c>
      <c r="E49" s="77" t="s">
        <v>352</v>
      </c>
      <c r="F49" s="77" t="s">
        <v>340</v>
      </c>
      <c r="G49" s="77" t="s">
        <v>25</v>
      </c>
      <c r="H49" s="77" t="s">
        <v>113</v>
      </c>
      <c r="I49" s="77" t="s">
        <v>111</v>
      </c>
      <c r="J49" s="77" t="s">
        <v>27</v>
      </c>
      <c r="K49" s="77" t="s">
        <v>112</v>
      </c>
      <c r="L49" s="77">
        <v>3</v>
      </c>
      <c r="N49" s="77">
        <v>4</v>
      </c>
      <c r="O49" s="77">
        <v>0.33</v>
      </c>
      <c r="P49" s="77">
        <v>0.34</v>
      </c>
      <c r="Q49" s="44">
        <f t="shared" si="2"/>
        <v>0.33500000000000002</v>
      </c>
      <c r="R49" s="77">
        <v>15</v>
      </c>
      <c r="S49" s="77">
        <v>102</v>
      </c>
      <c r="T49" s="16">
        <f t="shared" si="0"/>
        <v>33</v>
      </c>
      <c r="U49" s="77">
        <v>398</v>
      </c>
      <c r="V49" s="16">
        <f t="shared" si="1"/>
        <v>16</v>
      </c>
      <c r="W49" s="77">
        <v>4</v>
      </c>
      <c r="X49" s="77" t="s">
        <v>35</v>
      </c>
      <c r="Y49" s="77" t="s">
        <v>47</v>
      </c>
      <c r="Z49" s="77" t="s">
        <v>43</v>
      </c>
      <c r="AA49" s="77" t="s">
        <v>76</v>
      </c>
      <c r="AB49" s="77" t="s">
        <v>162</v>
      </c>
    </row>
    <row r="50" spans="1:28" x14ac:dyDescent="0.15">
      <c r="A50" s="77" t="s">
        <v>46</v>
      </c>
      <c r="B50" s="77" t="s">
        <v>160</v>
      </c>
      <c r="C50" s="185">
        <v>2020</v>
      </c>
      <c r="D50" s="186" t="s">
        <v>328</v>
      </c>
      <c r="E50" s="77" t="s">
        <v>352</v>
      </c>
      <c r="F50" s="77" t="s">
        <v>340</v>
      </c>
      <c r="G50" s="77" t="s">
        <v>25</v>
      </c>
      <c r="H50" s="77" t="s">
        <v>113</v>
      </c>
      <c r="I50" s="77" t="s">
        <v>111</v>
      </c>
      <c r="J50" s="77" t="s">
        <v>27</v>
      </c>
      <c r="K50" s="77" t="s">
        <v>112</v>
      </c>
      <c r="L50" s="77">
        <v>1</v>
      </c>
      <c r="N50" s="77">
        <v>1</v>
      </c>
      <c r="O50" s="77">
        <v>0.39</v>
      </c>
      <c r="P50" s="77">
        <v>0.39</v>
      </c>
      <c r="Q50" s="44">
        <f t="shared" si="2"/>
        <v>0.39</v>
      </c>
      <c r="R50" s="77">
        <v>15.1</v>
      </c>
      <c r="S50" s="77">
        <v>145</v>
      </c>
      <c r="T50" s="16">
        <f t="shared" si="0"/>
        <v>22</v>
      </c>
      <c r="U50" s="77">
        <v>158</v>
      </c>
      <c r="V50" s="16">
        <f t="shared" si="1"/>
        <v>18</v>
      </c>
      <c r="W50" s="77">
        <v>1</v>
      </c>
      <c r="X50" s="77" t="s">
        <v>35</v>
      </c>
      <c r="Y50" s="77" t="s">
        <v>47</v>
      </c>
      <c r="Z50" s="77" t="s">
        <v>43</v>
      </c>
      <c r="AA50" s="77" t="s">
        <v>76</v>
      </c>
      <c r="AB50" s="77" t="s">
        <v>162</v>
      </c>
    </row>
    <row r="51" spans="1:28" x14ac:dyDescent="0.15">
      <c r="A51" s="77" t="s">
        <v>46</v>
      </c>
      <c r="B51" s="77" t="s">
        <v>160</v>
      </c>
      <c r="C51" s="185">
        <v>2020</v>
      </c>
      <c r="D51" s="186" t="s">
        <v>328</v>
      </c>
      <c r="E51" s="77" t="s">
        <v>352</v>
      </c>
      <c r="F51" s="77" t="s">
        <v>340</v>
      </c>
      <c r="G51" s="77" t="s">
        <v>25</v>
      </c>
      <c r="H51" s="77" t="s">
        <v>113</v>
      </c>
      <c r="I51" s="77" t="s">
        <v>111</v>
      </c>
      <c r="J51" s="77" t="s">
        <v>27</v>
      </c>
      <c r="K51" s="77" t="s">
        <v>112</v>
      </c>
      <c r="L51" s="77">
        <v>2</v>
      </c>
      <c r="N51" s="77">
        <v>1</v>
      </c>
      <c r="O51" s="77">
        <v>0.7</v>
      </c>
      <c r="P51" s="77">
        <v>0.66</v>
      </c>
      <c r="Q51" s="44">
        <f t="shared" si="2"/>
        <v>0.67999999999999994</v>
      </c>
      <c r="R51" s="77">
        <v>12.8</v>
      </c>
      <c r="S51" s="77">
        <v>126</v>
      </c>
      <c r="T51" s="16">
        <f t="shared" si="0"/>
        <v>27</v>
      </c>
      <c r="U51" s="77">
        <v>158</v>
      </c>
      <c r="V51" s="16">
        <f t="shared" si="1"/>
        <v>18</v>
      </c>
      <c r="W51" s="77">
        <v>1</v>
      </c>
      <c r="X51" s="77" t="s">
        <v>35</v>
      </c>
      <c r="Y51" s="77" t="s">
        <v>47</v>
      </c>
      <c r="Z51" s="77" t="s">
        <v>43</v>
      </c>
      <c r="AA51" s="77" t="s">
        <v>76</v>
      </c>
      <c r="AB51" s="77" t="s">
        <v>162</v>
      </c>
    </row>
    <row r="52" spans="1:28" x14ac:dyDescent="0.15">
      <c r="A52" s="77" t="s">
        <v>46</v>
      </c>
      <c r="B52" s="77" t="s">
        <v>160</v>
      </c>
      <c r="C52" s="185">
        <v>2020</v>
      </c>
      <c r="D52" s="186" t="s">
        <v>328</v>
      </c>
      <c r="E52" s="77" t="s">
        <v>352</v>
      </c>
      <c r="F52" s="77" t="s">
        <v>340</v>
      </c>
      <c r="G52" s="77" t="s">
        <v>25</v>
      </c>
      <c r="H52" s="77" t="s">
        <v>113</v>
      </c>
      <c r="I52" s="77" t="s">
        <v>111</v>
      </c>
      <c r="J52" s="77" t="s">
        <v>27</v>
      </c>
      <c r="K52" s="77" t="s">
        <v>112</v>
      </c>
      <c r="L52" s="77">
        <v>3</v>
      </c>
      <c r="N52" s="77">
        <v>1</v>
      </c>
      <c r="O52" s="77">
        <v>0.62</v>
      </c>
      <c r="P52" s="77">
        <v>0.66</v>
      </c>
      <c r="Q52" s="44">
        <f t="shared" si="2"/>
        <v>0.64</v>
      </c>
      <c r="R52" s="77">
        <v>13.2</v>
      </c>
      <c r="S52" s="77">
        <v>129</v>
      </c>
      <c r="T52" s="16">
        <f t="shared" si="0"/>
        <v>25</v>
      </c>
      <c r="U52" s="77">
        <v>158</v>
      </c>
      <c r="V52" s="16">
        <f t="shared" si="1"/>
        <v>18</v>
      </c>
      <c r="W52" s="77">
        <v>1</v>
      </c>
      <c r="X52" s="77" t="s">
        <v>35</v>
      </c>
      <c r="Y52" s="77" t="s">
        <v>47</v>
      </c>
      <c r="Z52" s="77" t="s">
        <v>43</v>
      </c>
      <c r="AA52" s="77" t="s">
        <v>76</v>
      </c>
      <c r="AB52" s="77" t="s">
        <v>162</v>
      </c>
    </row>
    <row r="53" spans="1:28" x14ac:dyDescent="0.15">
      <c r="A53" s="77" t="s">
        <v>46</v>
      </c>
      <c r="B53" s="77" t="s">
        <v>160</v>
      </c>
      <c r="C53" s="185">
        <v>2020</v>
      </c>
      <c r="D53" s="186" t="s">
        <v>328</v>
      </c>
      <c r="E53" s="77" t="s">
        <v>352</v>
      </c>
      <c r="F53" s="77" t="s">
        <v>340</v>
      </c>
      <c r="G53" s="77" t="s">
        <v>25</v>
      </c>
      <c r="H53" s="77" t="s">
        <v>228</v>
      </c>
      <c r="I53" s="77" t="s">
        <v>111</v>
      </c>
      <c r="J53" s="77" t="s">
        <v>27</v>
      </c>
      <c r="K53" s="77" t="s">
        <v>112</v>
      </c>
      <c r="L53" s="77">
        <v>1</v>
      </c>
      <c r="N53" s="77">
        <v>5</v>
      </c>
      <c r="O53" s="77">
        <v>0.49</v>
      </c>
      <c r="P53" s="77">
        <v>0.55000000000000004</v>
      </c>
      <c r="Q53" s="44">
        <f t="shared" si="2"/>
        <v>0.52</v>
      </c>
      <c r="R53" s="77">
        <v>16.2</v>
      </c>
      <c r="S53" s="77">
        <v>89</v>
      </c>
      <c r="T53" s="16">
        <f t="shared" si="0"/>
        <v>36</v>
      </c>
      <c r="U53" s="77">
        <v>398</v>
      </c>
      <c r="V53" s="16">
        <f t="shared" si="1"/>
        <v>16</v>
      </c>
      <c r="W53" s="77">
        <v>2</v>
      </c>
      <c r="X53" s="77" t="s">
        <v>35</v>
      </c>
      <c r="Y53" s="77" t="s">
        <v>47</v>
      </c>
      <c r="Z53" s="77" t="s">
        <v>43</v>
      </c>
      <c r="AA53" s="77" t="s">
        <v>76</v>
      </c>
      <c r="AB53" s="77" t="s">
        <v>162</v>
      </c>
    </row>
    <row r="54" spans="1:28" x14ac:dyDescent="0.15">
      <c r="A54" s="77" t="s">
        <v>46</v>
      </c>
      <c r="B54" s="77" t="s">
        <v>160</v>
      </c>
      <c r="C54" s="185">
        <v>2020</v>
      </c>
      <c r="D54" s="186" t="s">
        <v>328</v>
      </c>
      <c r="E54" s="77" t="s">
        <v>352</v>
      </c>
      <c r="F54" s="77" t="s">
        <v>340</v>
      </c>
      <c r="G54" s="77" t="s">
        <v>25</v>
      </c>
      <c r="H54" s="77" t="s">
        <v>228</v>
      </c>
      <c r="I54" s="77" t="s">
        <v>111</v>
      </c>
      <c r="J54" s="77" t="s">
        <v>27</v>
      </c>
      <c r="K54" s="77" t="s">
        <v>112</v>
      </c>
      <c r="L54" s="77">
        <v>2</v>
      </c>
      <c r="N54" s="77">
        <v>5</v>
      </c>
      <c r="O54" s="77">
        <v>0.46</v>
      </c>
      <c r="P54" s="77">
        <v>0.51</v>
      </c>
      <c r="Q54" s="44">
        <f t="shared" si="2"/>
        <v>0.48499999999999999</v>
      </c>
      <c r="R54" s="77">
        <v>17.399999999999999</v>
      </c>
      <c r="S54" s="77">
        <v>100</v>
      </c>
      <c r="T54" s="16">
        <f t="shared" si="0"/>
        <v>33</v>
      </c>
      <c r="U54" s="77">
        <v>398</v>
      </c>
      <c r="V54" s="16">
        <f t="shared" si="1"/>
        <v>16</v>
      </c>
      <c r="W54" s="77">
        <v>2</v>
      </c>
      <c r="X54" s="77" t="s">
        <v>35</v>
      </c>
      <c r="Y54" s="77" t="s">
        <v>47</v>
      </c>
      <c r="Z54" s="77" t="s">
        <v>43</v>
      </c>
      <c r="AA54" s="77" t="s">
        <v>76</v>
      </c>
      <c r="AB54" s="77" t="s">
        <v>162</v>
      </c>
    </row>
    <row r="55" spans="1:28" x14ac:dyDescent="0.15">
      <c r="A55" s="77" t="s">
        <v>46</v>
      </c>
      <c r="B55" s="77" t="s">
        <v>160</v>
      </c>
      <c r="C55" s="185">
        <v>2020</v>
      </c>
      <c r="D55" s="186" t="s">
        <v>328</v>
      </c>
      <c r="E55" s="77" t="s">
        <v>352</v>
      </c>
      <c r="F55" s="77" t="s">
        <v>340</v>
      </c>
      <c r="G55" s="77" t="s">
        <v>25</v>
      </c>
      <c r="H55" s="77" t="s">
        <v>228</v>
      </c>
      <c r="I55" s="77" t="s">
        <v>111</v>
      </c>
      <c r="J55" s="77" t="s">
        <v>27</v>
      </c>
      <c r="K55" s="77" t="s">
        <v>112</v>
      </c>
      <c r="L55" s="77">
        <v>3</v>
      </c>
      <c r="N55" s="77">
        <v>5</v>
      </c>
      <c r="O55" s="77">
        <v>0.45</v>
      </c>
      <c r="P55" s="77">
        <v>0.53</v>
      </c>
      <c r="Q55" s="44">
        <f t="shared" si="2"/>
        <v>0.49</v>
      </c>
      <c r="R55" s="77">
        <v>16.2</v>
      </c>
      <c r="S55" s="77">
        <v>84</v>
      </c>
      <c r="T55" s="16">
        <f t="shared" si="0"/>
        <v>36</v>
      </c>
      <c r="U55" s="77">
        <v>398</v>
      </c>
      <c r="V55" s="16">
        <f t="shared" si="1"/>
        <v>16</v>
      </c>
      <c r="W55" s="77">
        <v>2</v>
      </c>
      <c r="X55" s="77" t="s">
        <v>35</v>
      </c>
      <c r="Y55" s="77" t="s">
        <v>47</v>
      </c>
      <c r="Z55" s="77" t="s">
        <v>43</v>
      </c>
      <c r="AA55" s="77" t="s">
        <v>76</v>
      </c>
      <c r="AB55" s="77" t="s">
        <v>162</v>
      </c>
    </row>
    <row r="56" spans="1:28" x14ac:dyDescent="0.15">
      <c r="A56" s="77" t="s">
        <v>46</v>
      </c>
      <c r="B56" s="77" t="s">
        <v>160</v>
      </c>
      <c r="C56" s="185">
        <v>2020</v>
      </c>
      <c r="D56" s="186" t="s">
        <v>328</v>
      </c>
      <c r="E56" s="77" t="s">
        <v>350</v>
      </c>
      <c r="F56" s="77" t="s">
        <v>349</v>
      </c>
      <c r="G56" s="77" t="s">
        <v>31</v>
      </c>
      <c r="H56" s="77" t="s">
        <v>164</v>
      </c>
      <c r="I56" s="77" t="s">
        <v>111</v>
      </c>
      <c r="J56" s="77" t="s">
        <v>27</v>
      </c>
      <c r="K56" s="77" t="s">
        <v>112</v>
      </c>
      <c r="L56" s="77">
        <v>1</v>
      </c>
      <c r="N56" s="77">
        <v>1</v>
      </c>
      <c r="O56" s="77">
        <v>0.35</v>
      </c>
      <c r="P56" s="77">
        <v>0.36</v>
      </c>
      <c r="Q56" s="44">
        <f t="shared" si="2"/>
        <v>0.35499999999999998</v>
      </c>
      <c r="R56" s="77">
        <v>16.7</v>
      </c>
      <c r="S56" s="77">
        <v>139</v>
      </c>
      <c r="T56" s="16">
        <f t="shared" si="0"/>
        <v>22</v>
      </c>
      <c r="U56" s="77">
        <v>138</v>
      </c>
      <c r="V56" s="16">
        <f t="shared" si="1"/>
        <v>22</v>
      </c>
      <c r="W56" s="77">
        <v>2</v>
      </c>
      <c r="X56" s="77" t="s">
        <v>28</v>
      </c>
      <c r="Y56" s="77" t="s">
        <v>72</v>
      </c>
      <c r="Z56" s="77" t="s">
        <v>29</v>
      </c>
      <c r="AA56" s="77" t="s">
        <v>76</v>
      </c>
      <c r="AB56" s="77" t="s">
        <v>162</v>
      </c>
    </row>
    <row r="57" spans="1:28" x14ac:dyDescent="0.15">
      <c r="A57" s="77" t="s">
        <v>46</v>
      </c>
      <c r="B57" s="77" t="s">
        <v>160</v>
      </c>
      <c r="C57" s="185">
        <v>2020</v>
      </c>
      <c r="D57" s="186" t="s">
        <v>328</v>
      </c>
      <c r="E57" s="77" t="s">
        <v>350</v>
      </c>
      <c r="F57" s="77" t="s">
        <v>349</v>
      </c>
      <c r="G57" s="77" t="s">
        <v>31</v>
      </c>
      <c r="H57" s="77" t="s">
        <v>164</v>
      </c>
      <c r="I57" s="77" t="s">
        <v>111</v>
      </c>
      <c r="J57" s="77" t="s">
        <v>27</v>
      </c>
      <c r="K57" s="77" t="s">
        <v>112</v>
      </c>
      <c r="L57" s="77">
        <v>2</v>
      </c>
      <c r="N57" s="77">
        <v>1</v>
      </c>
      <c r="O57" s="77">
        <v>0.47</v>
      </c>
      <c r="P57" s="77">
        <v>0.55000000000000004</v>
      </c>
      <c r="Q57" s="44">
        <f t="shared" si="2"/>
        <v>0.51</v>
      </c>
      <c r="R57" s="77">
        <v>15.5</v>
      </c>
      <c r="S57" s="77">
        <v>140</v>
      </c>
      <c r="T57" s="16">
        <f t="shared" si="0"/>
        <v>22</v>
      </c>
      <c r="U57" s="77">
        <v>138</v>
      </c>
      <c r="V57" s="16">
        <f t="shared" si="1"/>
        <v>22</v>
      </c>
      <c r="W57" s="77">
        <v>2</v>
      </c>
      <c r="X57" s="77" t="s">
        <v>28</v>
      </c>
      <c r="Y57" s="77" t="s">
        <v>72</v>
      </c>
      <c r="Z57" s="77" t="s">
        <v>29</v>
      </c>
      <c r="AA57" s="77" t="s">
        <v>76</v>
      </c>
      <c r="AB57" s="77" t="s">
        <v>162</v>
      </c>
    </row>
    <row r="58" spans="1:28" x14ac:dyDescent="0.15">
      <c r="A58" s="77" t="s">
        <v>46</v>
      </c>
      <c r="B58" s="77" t="s">
        <v>160</v>
      </c>
      <c r="C58" s="185">
        <v>2020</v>
      </c>
      <c r="D58" s="186" t="s">
        <v>328</v>
      </c>
      <c r="E58" s="77" t="s">
        <v>350</v>
      </c>
      <c r="F58" s="77" t="s">
        <v>349</v>
      </c>
      <c r="G58" s="77" t="s">
        <v>31</v>
      </c>
      <c r="H58" s="77" t="s">
        <v>164</v>
      </c>
      <c r="I58" s="77" t="s">
        <v>111</v>
      </c>
      <c r="J58" s="77" t="s">
        <v>27</v>
      </c>
      <c r="K58" s="77" t="s">
        <v>112</v>
      </c>
      <c r="L58" s="77">
        <v>3</v>
      </c>
      <c r="N58" s="77">
        <v>1</v>
      </c>
      <c r="O58" s="77">
        <v>0.38</v>
      </c>
      <c r="P58" s="77">
        <v>0.41</v>
      </c>
      <c r="Q58" s="44">
        <f t="shared" si="2"/>
        <v>0.39500000000000002</v>
      </c>
      <c r="R58" s="77">
        <v>16</v>
      </c>
      <c r="S58" s="77">
        <v>139</v>
      </c>
      <c r="T58" s="16">
        <f>IF(H58="","",IF(OR(H58="GREEN",H58="GK"),IF(S58&gt;=$AX$2,VLOOKUP(S58,$AX$2:$AY$12,2,1),""),IF(S58&gt;=$AZ$2,VLOOKUP(S58,$AZ$2:$BA$12,2,1),"")))</f>
        <v>22</v>
      </c>
      <c r="U58" s="77">
        <v>138</v>
      </c>
      <c r="V58" s="16">
        <f t="shared" si="1"/>
        <v>22</v>
      </c>
      <c r="W58" s="77">
        <v>2</v>
      </c>
      <c r="X58" s="77" t="s">
        <v>28</v>
      </c>
      <c r="Y58" s="77" t="s">
        <v>72</v>
      </c>
      <c r="Z58" s="77" t="s">
        <v>29</v>
      </c>
      <c r="AA58" s="77" t="s">
        <v>76</v>
      </c>
      <c r="AB58" s="77" t="s">
        <v>162</v>
      </c>
    </row>
    <row r="59" spans="1:28" x14ac:dyDescent="0.15">
      <c r="A59" s="77" t="s">
        <v>46</v>
      </c>
      <c r="B59" s="77" t="s">
        <v>160</v>
      </c>
      <c r="C59" s="185">
        <v>2020</v>
      </c>
      <c r="D59" s="186" t="s">
        <v>328</v>
      </c>
      <c r="E59" s="77" t="s">
        <v>350</v>
      </c>
      <c r="F59" s="77" t="s">
        <v>349</v>
      </c>
      <c r="G59" s="77" t="s">
        <v>31</v>
      </c>
      <c r="H59" s="77" t="s">
        <v>107</v>
      </c>
      <c r="I59" s="77" t="s">
        <v>111</v>
      </c>
      <c r="J59" s="77" t="s">
        <v>279</v>
      </c>
      <c r="K59" s="77" t="s">
        <v>337</v>
      </c>
      <c r="L59" s="77">
        <v>1</v>
      </c>
      <c r="N59" s="77">
        <v>5</v>
      </c>
      <c r="O59" s="77">
        <v>0.92</v>
      </c>
      <c r="P59" s="77">
        <v>0.89</v>
      </c>
      <c r="Q59" s="44">
        <f t="shared" si="2"/>
        <v>0.90500000000000003</v>
      </c>
      <c r="R59" s="77">
        <v>13.1</v>
      </c>
      <c r="S59" s="77">
        <v>116</v>
      </c>
      <c r="T59" s="16">
        <f>IF(H59="","",IF(OR(H59="GREEN",H59="GK"),IF(S59&gt;=$AX$2,VLOOKUP(S59,$AX$2:$AY$12,2,1),""),IF(S59&gt;=$AZ$2,VLOOKUP(S59,$AZ$2:$BA$12,2,1),"")))</f>
        <v>30</v>
      </c>
      <c r="U59" s="77">
        <v>398</v>
      </c>
      <c r="V59" s="16">
        <f t="shared" si="1"/>
        <v>16</v>
      </c>
      <c r="W59" s="77">
        <v>1</v>
      </c>
      <c r="X59" s="77" t="s">
        <v>28</v>
      </c>
      <c r="Y59" s="77" t="s">
        <v>72</v>
      </c>
      <c r="Z59" s="77" t="s">
        <v>29</v>
      </c>
      <c r="AA59" s="77" t="s">
        <v>76</v>
      </c>
      <c r="AB59" s="77" t="s">
        <v>162</v>
      </c>
    </row>
    <row r="60" spans="1:28" x14ac:dyDescent="0.15">
      <c r="A60" s="77" t="s">
        <v>46</v>
      </c>
      <c r="B60" s="77" t="s">
        <v>160</v>
      </c>
      <c r="C60" s="185">
        <v>2020</v>
      </c>
      <c r="D60" s="186" t="s">
        <v>328</v>
      </c>
      <c r="E60" s="77" t="s">
        <v>350</v>
      </c>
      <c r="F60" s="77" t="s">
        <v>349</v>
      </c>
      <c r="G60" s="77" t="s">
        <v>31</v>
      </c>
      <c r="H60" s="77" t="s">
        <v>107</v>
      </c>
      <c r="I60" s="77" t="s">
        <v>111</v>
      </c>
      <c r="J60" s="77" t="s">
        <v>279</v>
      </c>
      <c r="K60" s="77" t="s">
        <v>337</v>
      </c>
      <c r="L60" s="77">
        <v>2</v>
      </c>
      <c r="N60" s="77">
        <v>5</v>
      </c>
      <c r="O60" s="77">
        <v>0.73</v>
      </c>
      <c r="P60" s="77">
        <v>0.68</v>
      </c>
      <c r="Q60" s="44">
        <f t="shared" si="2"/>
        <v>0.70500000000000007</v>
      </c>
      <c r="R60" s="77">
        <v>12.8</v>
      </c>
      <c r="S60" s="77">
        <v>100</v>
      </c>
      <c r="T60" s="16">
        <f>IF(H60="","",IF(OR(H60="GREEN",H60="GK"),IF(S60&gt;=$AX$2,VLOOKUP(S60,$AX$2:$AY$12,2,1),""),IF(S60&gt;=$AZ$2,VLOOKUP(S60,$AZ$2:$BA$12,2,1),"")))</f>
        <v>33</v>
      </c>
      <c r="U60" s="77">
        <v>398</v>
      </c>
      <c r="V60" s="16">
        <f t="shared" si="1"/>
        <v>16</v>
      </c>
      <c r="W60" s="77">
        <v>1</v>
      </c>
      <c r="X60" s="77" t="s">
        <v>28</v>
      </c>
      <c r="Y60" s="77" t="s">
        <v>72</v>
      </c>
      <c r="Z60" s="77" t="s">
        <v>29</v>
      </c>
      <c r="AA60" s="77" t="s">
        <v>76</v>
      </c>
      <c r="AB60" s="77" t="s">
        <v>162</v>
      </c>
    </row>
    <row r="61" spans="1:28" x14ac:dyDescent="0.15">
      <c r="A61" s="77" t="s">
        <v>46</v>
      </c>
      <c r="B61" s="77" t="s">
        <v>160</v>
      </c>
      <c r="C61" s="185">
        <v>2020</v>
      </c>
      <c r="D61" s="186" t="s">
        <v>328</v>
      </c>
      <c r="E61" s="77" t="s">
        <v>350</v>
      </c>
      <c r="F61" s="77" t="s">
        <v>349</v>
      </c>
      <c r="G61" s="77" t="s">
        <v>31</v>
      </c>
      <c r="H61" s="77" t="s">
        <v>107</v>
      </c>
      <c r="I61" s="77" t="s">
        <v>111</v>
      </c>
      <c r="J61" s="77" t="s">
        <v>279</v>
      </c>
      <c r="K61" s="77" t="s">
        <v>337</v>
      </c>
      <c r="L61" s="77">
        <v>3</v>
      </c>
      <c r="N61" s="77">
        <v>5</v>
      </c>
      <c r="O61" s="77">
        <v>0.82</v>
      </c>
      <c r="P61" s="77">
        <v>0.82</v>
      </c>
      <c r="Q61" s="44">
        <f t="shared" si="2"/>
        <v>0.82</v>
      </c>
      <c r="R61" s="77">
        <v>12.4</v>
      </c>
      <c r="S61" s="77">
        <v>115</v>
      </c>
      <c r="T61" s="16">
        <f>IF(H61="","",IF(OR(H61="GREEN",H61="GK"),IF(S61&gt;=$AX$2,VLOOKUP(S61,$AX$2:$AY$12,2,1),""),IF(S61&gt;=$AZ$2,VLOOKUP(S61,$AZ$2:$BA$12,2,1),"")))</f>
        <v>30</v>
      </c>
      <c r="U61" s="77">
        <v>398</v>
      </c>
      <c r="V61" s="16">
        <f t="shared" si="1"/>
        <v>16</v>
      </c>
      <c r="W61" s="77">
        <v>1</v>
      </c>
      <c r="X61" s="77" t="s">
        <v>28</v>
      </c>
      <c r="Y61" s="77" t="s">
        <v>72</v>
      </c>
      <c r="Z61" s="77" t="s">
        <v>29</v>
      </c>
      <c r="AA61" s="77" t="s">
        <v>76</v>
      </c>
      <c r="AB61" s="77" t="s">
        <v>162</v>
      </c>
    </row>
    <row r="62" spans="1:28" x14ac:dyDescent="0.15">
      <c r="A62" s="77" t="s">
        <v>46</v>
      </c>
      <c r="B62" s="77" t="s">
        <v>160</v>
      </c>
      <c r="C62" s="185">
        <v>2020</v>
      </c>
      <c r="D62" s="186" t="s">
        <v>328</v>
      </c>
      <c r="E62" s="77" t="s">
        <v>196</v>
      </c>
      <c r="F62" s="77" t="s">
        <v>349</v>
      </c>
      <c r="G62" s="77" t="s">
        <v>25</v>
      </c>
      <c r="H62" s="77" t="s">
        <v>164</v>
      </c>
      <c r="I62" s="77" t="s">
        <v>111</v>
      </c>
      <c r="J62" s="77" t="s">
        <v>27</v>
      </c>
      <c r="K62" s="77" t="s">
        <v>112</v>
      </c>
      <c r="L62" s="77">
        <v>1</v>
      </c>
      <c r="N62" s="77">
        <v>1</v>
      </c>
      <c r="O62" s="77">
        <v>0.67</v>
      </c>
      <c r="P62" s="77">
        <v>0.75</v>
      </c>
      <c r="Q62" s="44">
        <f t="shared" si="2"/>
        <v>0.71</v>
      </c>
      <c r="R62" s="77">
        <v>16.399999999999999</v>
      </c>
      <c r="S62" s="77">
        <v>165</v>
      </c>
      <c r="T62" s="16">
        <f>IF(H62="","",IF(OR(H62="GREEN",H62="GK"),IF(S62&gt;=$AX$2,VLOOKUP(S62,$AX$2:$AY$12,2,1),""),IF(S62&gt;=$AZ$2,VLOOKUP(S62,$AZ$2:$BA$12,2,1),"")))</f>
        <v>18</v>
      </c>
      <c r="U62" s="77">
        <v>98</v>
      </c>
      <c r="V62" s="16">
        <f t="shared" si="1"/>
        <v>36</v>
      </c>
      <c r="W62" s="77">
        <v>3</v>
      </c>
      <c r="X62" s="77" t="s">
        <v>35</v>
      </c>
      <c r="Y62" s="77" t="s">
        <v>72</v>
      </c>
      <c r="Z62" s="77" t="s">
        <v>55</v>
      </c>
      <c r="AA62" s="77" t="s">
        <v>29</v>
      </c>
      <c r="AB62" s="77" t="s">
        <v>162</v>
      </c>
    </row>
    <row r="63" spans="1:28" x14ac:dyDescent="0.15">
      <c r="A63" s="77" t="s">
        <v>46</v>
      </c>
      <c r="B63" s="77" t="s">
        <v>160</v>
      </c>
      <c r="C63" s="185">
        <v>2020</v>
      </c>
      <c r="D63" s="186" t="s">
        <v>328</v>
      </c>
      <c r="E63" s="77" t="s">
        <v>196</v>
      </c>
      <c r="F63" s="77" t="s">
        <v>349</v>
      </c>
      <c r="G63" s="77" t="s">
        <v>25</v>
      </c>
      <c r="H63" s="77" t="s">
        <v>164</v>
      </c>
      <c r="I63" s="77" t="s">
        <v>111</v>
      </c>
      <c r="J63" s="77" t="s">
        <v>27</v>
      </c>
      <c r="K63" s="77" t="s">
        <v>112</v>
      </c>
      <c r="L63" s="77">
        <v>2</v>
      </c>
      <c r="N63" s="77">
        <v>1</v>
      </c>
      <c r="O63" s="77">
        <v>0.72</v>
      </c>
      <c r="P63" s="77">
        <v>0.77</v>
      </c>
      <c r="Q63" s="44">
        <f t="shared" si="2"/>
        <v>0.745</v>
      </c>
      <c r="R63" s="77">
        <v>15.5</v>
      </c>
      <c r="S63" s="77">
        <v>166</v>
      </c>
      <c r="T63" s="16">
        <f t="shared" ref="T63:T137" si="3">IF(H63="","",IF(OR(H63="GREEN",H63="GK"),IF(S63&gt;=$AX$2,VLOOKUP(S63,$AX$2:$AY$12,2,1),""),IF(S63&gt;=$AZ$2,VLOOKUP(S63,$AZ$2:$BA$12,2,1),"")))</f>
        <v>18</v>
      </c>
      <c r="U63" s="77">
        <v>98</v>
      </c>
      <c r="V63" s="16">
        <f t="shared" si="1"/>
        <v>36</v>
      </c>
      <c r="W63" s="77">
        <v>3</v>
      </c>
      <c r="X63" s="77" t="s">
        <v>35</v>
      </c>
      <c r="Y63" s="77" t="s">
        <v>72</v>
      </c>
      <c r="Z63" s="77" t="s">
        <v>55</v>
      </c>
      <c r="AA63" s="77" t="s">
        <v>29</v>
      </c>
      <c r="AB63" s="77" t="s">
        <v>162</v>
      </c>
    </row>
    <row r="64" spans="1:28" x14ac:dyDescent="0.15">
      <c r="A64" s="77" t="s">
        <v>46</v>
      </c>
      <c r="B64" s="77" t="s">
        <v>160</v>
      </c>
      <c r="C64" s="185">
        <v>2020</v>
      </c>
      <c r="D64" s="186" t="s">
        <v>328</v>
      </c>
      <c r="E64" s="77" t="s">
        <v>196</v>
      </c>
      <c r="F64" s="77" t="s">
        <v>349</v>
      </c>
      <c r="G64" s="77" t="s">
        <v>25</v>
      </c>
      <c r="H64" s="77" t="s">
        <v>164</v>
      </c>
      <c r="I64" s="77" t="s">
        <v>111</v>
      </c>
      <c r="J64" s="77" t="s">
        <v>27</v>
      </c>
      <c r="K64" s="77" t="s">
        <v>112</v>
      </c>
      <c r="L64" s="77">
        <v>3</v>
      </c>
      <c r="N64" s="77">
        <v>1</v>
      </c>
      <c r="O64" s="77">
        <v>0.65</v>
      </c>
      <c r="P64" s="77">
        <v>0.73</v>
      </c>
      <c r="Q64" s="44">
        <f t="shared" si="2"/>
        <v>0.69</v>
      </c>
      <c r="R64" s="77">
        <v>16.600000000000001</v>
      </c>
      <c r="S64" s="77">
        <v>166</v>
      </c>
      <c r="T64" s="16">
        <f t="shared" si="3"/>
        <v>18</v>
      </c>
      <c r="U64" s="77">
        <v>98</v>
      </c>
      <c r="V64" s="16">
        <f t="shared" si="1"/>
        <v>36</v>
      </c>
      <c r="W64" s="77">
        <v>3</v>
      </c>
      <c r="X64" s="77" t="s">
        <v>35</v>
      </c>
      <c r="Y64" s="77" t="s">
        <v>72</v>
      </c>
      <c r="Z64" s="77" t="s">
        <v>55</v>
      </c>
      <c r="AA64" s="77" t="s">
        <v>29</v>
      </c>
      <c r="AB64" s="77" t="s">
        <v>162</v>
      </c>
    </row>
    <row r="65" spans="1:28" x14ac:dyDescent="0.15">
      <c r="A65" s="77" t="s">
        <v>46</v>
      </c>
      <c r="B65" s="77" t="s">
        <v>160</v>
      </c>
      <c r="C65" s="185">
        <v>2020</v>
      </c>
      <c r="D65" s="186" t="s">
        <v>328</v>
      </c>
      <c r="E65" s="77" t="s">
        <v>196</v>
      </c>
      <c r="F65" s="77" t="s">
        <v>349</v>
      </c>
      <c r="G65" s="77" t="s">
        <v>25</v>
      </c>
      <c r="H65" s="77" t="s">
        <v>113</v>
      </c>
      <c r="I65" s="77" t="s">
        <v>111</v>
      </c>
      <c r="J65" s="77" t="s">
        <v>27</v>
      </c>
      <c r="K65" s="77" t="s">
        <v>112</v>
      </c>
      <c r="L65" s="77">
        <v>1</v>
      </c>
      <c r="N65" s="77">
        <v>1</v>
      </c>
      <c r="O65" s="77">
        <v>0.32</v>
      </c>
      <c r="P65" s="77">
        <v>0.4</v>
      </c>
      <c r="Q65" s="44">
        <f t="shared" si="2"/>
        <v>0.36</v>
      </c>
      <c r="R65" s="77">
        <v>15.8</v>
      </c>
      <c r="S65" s="77">
        <v>126</v>
      </c>
      <c r="T65" s="16">
        <f t="shared" si="3"/>
        <v>27</v>
      </c>
      <c r="U65" s="77">
        <v>98</v>
      </c>
      <c r="V65" s="16">
        <f t="shared" si="1"/>
        <v>36</v>
      </c>
      <c r="W65" s="77">
        <v>1</v>
      </c>
      <c r="X65" s="77" t="s">
        <v>35</v>
      </c>
      <c r="Y65" s="77" t="s">
        <v>72</v>
      </c>
      <c r="Z65" s="77" t="s">
        <v>55</v>
      </c>
      <c r="AA65" s="77" t="s">
        <v>29</v>
      </c>
      <c r="AB65" s="77" t="s">
        <v>162</v>
      </c>
    </row>
    <row r="66" spans="1:28" x14ac:dyDescent="0.15">
      <c r="A66" s="77" t="s">
        <v>46</v>
      </c>
      <c r="B66" s="77" t="s">
        <v>160</v>
      </c>
      <c r="C66" s="185">
        <v>2020</v>
      </c>
      <c r="D66" s="186" t="s">
        <v>328</v>
      </c>
      <c r="E66" s="77" t="s">
        <v>196</v>
      </c>
      <c r="F66" s="77" t="s">
        <v>349</v>
      </c>
      <c r="G66" s="77" t="s">
        <v>25</v>
      </c>
      <c r="H66" s="77" t="s">
        <v>113</v>
      </c>
      <c r="I66" s="77" t="s">
        <v>111</v>
      </c>
      <c r="J66" s="77" t="s">
        <v>27</v>
      </c>
      <c r="K66" s="77" t="s">
        <v>112</v>
      </c>
      <c r="L66" s="77">
        <v>2</v>
      </c>
      <c r="N66" s="77">
        <v>1</v>
      </c>
      <c r="O66" s="77">
        <v>0.46</v>
      </c>
      <c r="P66" s="77">
        <v>0.39</v>
      </c>
      <c r="Q66" s="44">
        <f t="shared" si="2"/>
        <v>0.42500000000000004</v>
      </c>
      <c r="R66" s="77">
        <v>14.1</v>
      </c>
      <c r="S66" s="77">
        <v>130</v>
      </c>
      <c r="T66" s="16">
        <f t="shared" si="3"/>
        <v>25</v>
      </c>
      <c r="U66" s="77">
        <v>98</v>
      </c>
      <c r="V66" s="16">
        <f t="shared" ref="V66:V152" si="4">IF(J66="","",IF(OR(J66="GREEN",J66="GK"),IF(U66&gt;=$AX$2,VLOOKUP(U66,$AX$2:$AY$12,2,1),""),IF(U66&gt;=$AZ$2,VLOOKUP(U66,$AZ$2:$BA$12,2,1),"")))</f>
        <v>36</v>
      </c>
      <c r="W66" s="77">
        <v>1</v>
      </c>
      <c r="X66" s="77" t="s">
        <v>35</v>
      </c>
      <c r="Y66" s="77" t="s">
        <v>72</v>
      </c>
      <c r="Z66" s="77" t="s">
        <v>55</v>
      </c>
      <c r="AA66" s="77" t="s">
        <v>29</v>
      </c>
      <c r="AB66" s="77" t="s">
        <v>162</v>
      </c>
    </row>
    <row r="67" spans="1:28" x14ac:dyDescent="0.15">
      <c r="A67" s="77" t="s">
        <v>46</v>
      </c>
      <c r="B67" s="77" t="s">
        <v>160</v>
      </c>
      <c r="C67" s="185">
        <v>2020</v>
      </c>
      <c r="D67" s="186" t="s">
        <v>328</v>
      </c>
      <c r="E67" s="77" t="s">
        <v>196</v>
      </c>
      <c r="F67" s="77" t="s">
        <v>349</v>
      </c>
      <c r="G67" s="77" t="s">
        <v>25</v>
      </c>
      <c r="H67" s="77" t="s">
        <v>113</v>
      </c>
      <c r="I67" s="77" t="s">
        <v>111</v>
      </c>
      <c r="J67" s="77" t="s">
        <v>27</v>
      </c>
      <c r="K67" s="77" t="s">
        <v>112</v>
      </c>
      <c r="L67" s="77">
        <v>3</v>
      </c>
      <c r="N67" s="77">
        <v>1</v>
      </c>
      <c r="O67" s="77">
        <v>0.5</v>
      </c>
      <c r="P67" s="77">
        <v>0.46</v>
      </c>
      <c r="Q67" s="44">
        <f t="shared" ref="Q67:Q150" si="5">IF(OR(O67="",P67=""),"",AVERAGE(O67,P67))</f>
        <v>0.48</v>
      </c>
      <c r="R67" s="77">
        <v>15.2</v>
      </c>
      <c r="S67" s="77">
        <v>128</v>
      </c>
      <c r="T67" s="16">
        <f t="shared" si="3"/>
        <v>27</v>
      </c>
      <c r="U67" s="77">
        <v>98</v>
      </c>
      <c r="V67" s="16">
        <f t="shared" si="4"/>
        <v>36</v>
      </c>
      <c r="W67" s="77">
        <v>1</v>
      </c>
      <c r="X67" s="77" t="s">
        <v>35</v>
      </c>
      <c r="Y67" s="77" t="s">
        <v>72</v>
      </c>
      <c r="Z67" s="77" t="s">
        <v>55</v>
      </c>
      <c r="AA67" s="77" t="s">
        <v>29</v>
      </c>
      <c r="AB67" s="77" t="s">
        <v>162</v>
      </c>
    </row>
    <row r="68" spans="1:28" x14ac:dyDescent="0.15">
      <c r="A68" s="77" t="s">
        <v>46</v>
      </c>
      <c r="B68" s="77" t="s">
        <v>160</v>
      </c>
      <c r="C68" s="185">
        <v>2020</v>
      </c>
      <c r="D68" s="186" t="s">
        <v>328</v>
      </c>
      <c r="E68" s="77" t="s">
        <v>346</v>
      </c>
      <c r="F68" s="77" t="s">
        <v>347</v>
      </c>
      <c r="G68" s="77" t="s">
        <v>25</v>
      </c>
      <c r="H68" s="77" t="s">
        <v>164</v>
      </c>
      <c r="I68" s="77" t="s">
        <v>111</v>
      </c>
      <c r="J68" s="77" t="s">
        <v>27</v>
      </c>
      <c r="K68" s="77" t="s">
        <v>112</v>
      </c>
      <c r="L68" s="77">
        <v>1</v>
      </c>
      <c r="N68" s="77">
        <v>4</v>
      </c>
      <c r="O68" s="77">
        <v>0.38</v>
      </c>
      <c r="P68" s="77">
        <v>0.4</v>
      </c>
      <c r="Q68" s="44">
        <f t="shared" si="5"/>
        <v>0.39</v>
      </c>
      <c r="R68" s="77">
        <v>16.100000000000001</v>
      </c>
      <c r="S68" s="77">
        <v>105</v>
      </c>
      <c r="T68" s="16">
        <f t="shared" si="3"/>
        <v>33</v>
      </c>
      <c r="U68" s="77">
        <v>499</v>
      </c>
      <c r="V68" s="16">
        <f t="shared" si="4"/>
        <v>16</v>
      </c>
      <c r="W68" s="77">
        <v>4</v>
      </c>
      <c r="X68" s="77" t="s">
        <v>35</v>
      </c>
      <c r="Y68" s="77" t="s">
        <v>55</v>
      </c>
      <c r="Z68" s="77" t="s">
        <v>364</v>
      </c>
      <c r="AA68" s="77" t="s">
        <v>76</v>
      </c>
      <c r="AB68" s="77" t="s">
        <v>162</v>
      </c>
    </row>
    <row r="69" spans="1:28" x14ac:dyDescent="0.15">
      <c r="A69" s="77" t="s">
        <v>46</v>
      </c>
      <c r="B69" s="77" t="s">
        <v>160</v>
      </c>
      <c r="C69" s="185">
        <v>2020</v>
      </c>
      <c r="D69" s="186" t="s">
        <v>328</v>
      </c>
      <c r="E69" s="77" t="s">
        <v>346</v>
      </c>
      <c r="F69" s="77" t="s">
        <v>347</v>
      </c>
      <c r="G69" s="77" t="s">
        <v>25</v>
      </c>
      <c r="H69" s="77" t="s">
        <v>164</v>
      </c>
      <c r="I69" s="77" t="s">
        <v>111</v>
      </c>
      <c r="J69" s="77" t="s">
        <v>27</v>
      </c>
      <c r="K69" s="77" t="s">
        <v>112</v>
      </c>
      <c r="L69" s="77">
        <v>2</v>
      </c>
      <c r="N69" s="77">
        <v>4</v>
      </c>
      <c r="O69" s="77">
        <v>0.82</v>
      </c>
      <c r="P69" s="77">
        <v>0.85</v>
      </c>
      <c r="Q69" s="44">
        <f t="shared" si="5"/>
        <v>0.83499999999999996</v>
      </c>
      <c r="R69" s="77">
        <v>14.2</v>
      </c>
      <c r="S69" s="77">
        <v>115</v>
      </c>
      <c r="T69" s="16">
        <f t="shared" si="3"/>
        <v>30</v>
      </c>
      <c r="U69" s="77">
        <v>499</v>
      </c>
      <c r="V69" s="16">
        <f t="shared" si="4"/>
        <v>16</v>
      </c>
      <c r="W69" s="77">
        <v>4</v>
      </c>
      <c r="X69" s="77" t="s">
        <v>35</v>
      </c>
      <c r="Y69" s="77" t="s">
        <v>55</v>
      </c>
      <c r="Z69" s="77" t="s">
        <v>364</v>
      </c>
      <c r="AA69" s="77" t="s">
        <v>76</v>
      </c>
      <c r="AB69" s="77" t="s">
        <v>162</v>
      </c>
    </row>
    <row r="70" spans="1:28" x14ac:dyDescent="0.15">
      <c r="A70" s="77" t="s">
        <v>46</v>
      </c>
      <c r="B70" s="77" t="s">
        <v>160</v>
      </c>
      <c r="C70" s="185">
        <v>2020</v>
      </c>
      <c r="D70" s="186" t="s">
        <v>328</v>
      </c>
      <c r="E70" s="77" t="s">
        <v>346</v>
      </c>
      <c r="F70" s="77" t="s">
        <v>347</v>
      </c>
      <c r="G70" s="77" t="s">
        <v>25</v>
      </c>
      <c r="H70" s="77" t="s">
        <v>164</v>
      </c>
      <c r="I70" s="77" t="s">
        <v>111</v>
      </c>
      <c r="J70" s="77" t="s">
        <v>27</v>
      </c>
      <c r="K70" s="77" t="s">
        <v>112</v>
      </c>
      <c r="L70" s="77">
        <v>3</v>
      </c>
      <c r="N70" s="77">
        <v>4</v>
      </c>
      <c r="O70" s="77">
        <v>0.42</v>
      </c>
      <c r="P70" s="77">
        <v>0.39</v>
      </c>
      <c r="Q70" s="44">
        <f t="shared" si="5"/>
        <v>0.40500000000000003</v>
      </c>
      <c r="R70" s="77">
        <v>16.3</v>
      </c>
      <c r="S70" s="77">
        <v>111</v>
      </c>
      <c r="T70" s="16">
        <f t="shared" si="3"/>
        <v>33</v>
      </c>
      <c r="U70" s="77">
        <v>499</v>
      </c>
      <c r="V70" s="16">
        <f t="shared" si="4"/>
        <v>16</v>
      </c>
      <c r="W70" s="77">
        <v>4</v>
      </c>
      <c r="X70" s="77" t="s">
        <v>35</v>
      </c>
      <c r="Y70" s="77" t="s">
        <v>55</v>
      </c>
      <c r="Z70" s="77" t="s">
        <v>364</v>
      </c>
      <c r="AA70" s="77" t="s">
        <v>76</v>
      </c>
      <c r="AB70" s="77" t="s">
        <v>162</v>
      </c>
    </row>
    <row r="71" spans="1:28" x14ac:dyDescent="0.15">
      <c r="A71" s="77" t="s">
        <v>46</v>
      </c>
      <c r="B71" s="77" t="s">
        <v>160</v>
      </c>
      <c r="C71" s="185">
        <v>2020</v>
      </c>
      <c r="D71" s="186" t="s">
        <v>328</v>
      </c>
      <c r="E71" s="77" t="s">
        <v>346</v>
      </c>
      <c r="F71" s="77" t="s">
        <v>347</v>
      </c>
      <c r="G71" s="77" t="s">
        <v>25</v>
      </c>
      <c r="H71" s="77" t="s">
        <v>164</v>
      </c>
      <c r="I71" s="77" t="s">
        <v>111</v>
      </c>
      <c r="J71" s="77" t="s">
        <v>27</v>
      </c>
      <c r="K71" s="77" t="s">
        <v>112</v>
      </c>
      <c r="L71" s="77">
        <v>1</v>
      </c>
      <c r="N71" s="77">
        <v>3</v>
      </c>
      <c r="O71" s="77">
        <v>0.44</v>
      </c>
      <c r="P71" s="77">
        <v>0.45</v>
      </c>
      <c r="Q71" s="44">
        <f t="shared" si="5"/>
        <v>0.44500000000000001</v>
      </c>
      <c r="R71" s="77">
        <v>16.7</v>
      </c>
      <c r="S71" s="77">
        <v>136</v>
      </c>
      <c r="T71" s="16">
        <f t="shared" si="3"/>
        <v>25</v>
      </c>
      <c r="U71" s="77">
        <v>299</v>
      </c>
      <c r="V71" s="16">
        <f t="shared" si="4"/>
        <v>16</v>
      </c>
      <c r="W71" s="77">
        <v>3</v>
      </c>
      <c r="X71" s="77" t="s">
        <v>35</v>
      </c>
      <c r="Y71" s="77" t="s">
        <v>55</v>
      </c>
      <c r="Z71" s="77" t="s">
        <v>364</v>
      </c>
      <c r="AA71" s="77" t="s">
        <v>76</v>
      </c>
      <c r="AB71" s="77" t="s">
        <v>162</v>
      </c>
    </row>
    <row r="72" spans="1:28" x14ac:dyDescent="0.15">
      <c r="A72" s="77" t="s">
        <v>46</v>
      </c>
      <c r="B72" s="77" t="s">
        <v>160</v>
      </c>
      <c r="C72" s="185">
        <v>2020</v>
      </c>
      <c r="D72" s="186" t="s">
        <v>328</v>
      </c>
      <c r="E72" s="77" t="s">
        <v>346</v>
      </c>
      <c r="F72" s="77" t="s">
        <v>347</v>
      </c>
      <c r="G72" s="77" t="s">
        <v>25</v>
      </c>
      <c r="H72" s="77" t="s">
        <v>164</v>
      </c>
      <c r="I72" s="77" t="s">
        <v>111</v>
      </c>
      <c r="J72" s="77" t="s">
        <v>27</v>
      </c>
      <c r="K72" s="77" t="s">
        <v>112</v>
      </c>
      <c r="L72" s="77">
        <v>2</v>
      </c>
      <c r="N72" s="77">
        <v>3</v>
      </c>
      <c r="O72" s="77">
        <v>0.52</v>
      </c>
      <c r="P72" s="77">
        <v>0.63</v>
      </c>
      <c r="Q72" s="44">
        <f t="shared" si="5"/>
        <v>0.57499999999999996</v>
      </c>
      <c r="R72" s="77">
        <v>15.9</v>
      </c>
      <c r="S72" s="77">
        <v>132</v>
      </c>
      <c r="T72" s="16">
        <f t="shared" si="3"/>
        <v>25</v>
      </c>
      <c r="U72" s="77">
        <v>299</v>
      </c>
      <c r="V72" s="16">
        <f t="shared" si="4"/>
        <v>16</v>
      </c>
      <c r="W72" s="77">
        <v>3</v>
      </c>
      <c r="X72" s="77" t="s">
        <v>35</v>
      </c>
      <c r="Y72" s="77" t="s">
        <v>55</v>
      </c>
      <c r="Z72" s="77" t="s">
        <v>364</v>
      </c>
      <c r="AA72" s="77" t="s">
        <v>76</v>
      </c>
      <c r="AB72" s="77" t="s">
        <v>162</v>
      </c>
    </row>
    <row r="73" spans="1:28" x14ac:dyDescent="0.15">
      <c r="A73" s="77" t="s">
        <v>46</v>
      </c>
      <c r="B73" s="77" t="s">
        <v>160</v>
      </c>
      <c r="C73" s="185">
        <v>2020</v>
      </c>
      <c r="D73" s="186" t="s">
        <v>328</v>
      </c>
      <c r="E73" s="77" t="s">
        <v>346</v>
      </c>
      <c r="F73" s="77" t="s">
        <v>347</v>
      </c>
      <c r="G73" s="77" t="s">
        <v>25</v>
      </c>
      <c r="H73" s="77" t="s">
        <v>164</v>
      </c>
      <c r="I73" s="77" t="s">
        <v>111</v>
      </c>
      <c r="J73" s="77" t="s">
        <v>27</v>
      </c>
      <c r="K73" s="77" t="s">
        <v>112</v>
      </c>
      <c r="L73" s="77">
        <v>3</v>
      </c>
      <c r="N73" s="77">
        <v>3</v>
      </c>
      <c r="O73" s="77">
        <v>0.51</v>
      </c>
      <c r="P73" s="77">
        <v>0.57999999999999996</v>
      </c>
      <c r="Q73" s="44">
        <f t="shared" si="5"/>
        <v>0.54499999999999993</v>
      </c>
      <c r="R73" s="77">
        <v>16.399999999999999</v>
      </c>
      <c r="S73" s="77">
        <v>138</v>
      </c>
      <c r="T73" s="16">
        <f t="shared" si="3"/>
        <v>22</v>
      </c>
      <c r="U73" s="77">
        <v>299</v>
      </c>
      <c r="V73" s="16">
        <f t="shared" si="4"/>
        <v>16</v>
      </c>
      <c r="W73" s="77">
        <v>3</v>
      </c>
      <c r="X73" s="77" t="s">
        <v>35</v>
      </c>
      <c r="Y73" s="77" t="s">
        <v>55</v>
      </c>
      <c r="Z73" s="77" t="s">
        <v>364</v>
      </c>
      <c r="AA73" s="77" t="s">
        <v>76</v>
      </c>
      <c r="AB73" s="77" t="s">
        <v>162</v>
      </c>
    </row>
    <row r="74" spans="1:28" x14ac:dyDescent="0.15">
      <c r="A74" s="77" t="s">
        <v>46</v>
      </c>
      <c r="B74" s="77" t="s">
        <v>160</v>
      </c>
      <c r="C74" s="185">
        <v>2020</v>
      </c>
      <c r="D74" s="186" t="s">
        <v>328</v>
      </c>
      <c r="E74" s="77" t="s">
        <v>346</v>
      </c>
      <c r="F74" s="77" t="s">
        <v>347</v>
      </c>
      <c r="G74" s="77" t="s">
        <v>25</v>
      </c>
      <c r="H74" s="77" t="s">
        <v>164</v>
      </c>
      <c r="I74" s="77" t="s">
        <v>111</v>
      </c>
      <c r="J74" s="77" t="s">
        <v>27</v>
      </c>
      <c r="K74" s="77" t="s">
        <v>112</v>
      </c>
      <c r="L74" s="77">
        <v>1</v>
      </c>
      <c r="N74" s="77">
        <v>1</v>
      </c>
      <c r="O74" s="77">
        <v>0.48</v>
      </c>
      <c r="P74" s="77">
        <v>0.5</v>
      </c>
      <c r="Q74" s="44">
        <f t="shared" si="5"/>
        <v>0.49</v>
      </c>
      <c r="R74" s="77">
        <v>15.3</v>
      </c>
      <c r="S74" s="77">
        <v>149</v>
      </c>
      <c r="T74" s="16">
        <f t="shared" si="3"/>
        <v>22</v>
      </c>
      <c r="U74" s="77">
        <v>149</v>
      </c>
      <c r="V74" s="16">
        <f t="shared" si="4"/>
        <v>22</v>
      </c>
      <c r="W74" s="77">
        <v>3</v>
      </c>
      <c r="X74" s="77" t="s">
        <v>35</v>
      </c>
      <c r="Y74" s="77" t="s">
        <v>55</v>
      </c>
      <c r="Z74" s="77" t="s">
        <v>364</v>
      </c>
      <c r="AA74" s="77" t="s">
        <v>76</v>
      </c>
      <c r="AB74" s="77" t="s">
        <v>162</v>
      </c>
    </row>
    <row r="75" spans="1:28" x14ac:dyDescent="0.15">
      <c r="A75" s="77" t="s">
        <v>46</v>
      </c>
      <c r="B75" s="77" t="s">
        <v>160</v>
      </c>
      <c r="C75" s="185">
        <v>2020</v>
      </c>
      <c r="D75" s="186" t="s">
        <v>328</v>
      </c>
      <c r="E75" s="77" t="s">
        <v>346</v>
      </c>
      <c r="F75" s="77" t="s">
        <v>347</v>
      </c>
      <c r="G75" s="77" t="s">
        <v>25</v>
      </c>
      <c r="H75" s="77" t="s">
        <v>164</v>
      </c>
      <c r="I75" s="77" t="s">
        <v>111</v>
      </c>
      <c r="J75" s="77" t="s">
        <v>27</v>
      </c>
      <c r="K75" s="77" t="s">
        <v>112</v>
      </c>
      <c r="L75" s="77">
        <v>2</v>
      </c>
      <c r="N75" s="77">
        <v>1</v>
      </c>
      <c r="O75" s="77">
        <v>0.4</v>
      </c>
      <c r="P75" s="77">
        <v>0.44</v>
      </c>
      <c r="Q75" s="44">
        <f t="shared" si="5"/>
        <v>0.42000000000000004</v>
      </c>
      <c r="R75" s="77">
        <v>16.2</v>
      </c>
      <c r="S75" s="77">
        <v>147</v>
      </c>
      <c r="T75" s="16">
        <f t="shared" si="3"/>
        <v>22</v>
      </c>
      <c r="U75" s="77">
        <v>149</v>
      </c>
      <c r="V75" s="16">
        <f t="shared" si="4"/>
        <v>22</v>
      </c>
      <c r="W75" s="77">
        <v>3</v>
      </c>
      <c r="X75" s="77" t="s">
        <v>35</v>
      </c>
      <c r="Y75" s="77" t="s">
        <v>55</v>
      </c>
      <c r="Z75" s="77" t="s">
        <v>364</v>
      </c>
      <c r="AA75" s="77" t="s">
        <v>76</v>
      </c>
      <c r="AB75" s="77" t="s">
        <v>162</v>
      </c>
    </row>
    <row r="76" spans="1:28" x14ac:dyDescent="0.15">
      <c r="A76" s="77" t="s">
        <v>46</v>
      </c>
      <c r="B76" s="77" t="s">
        <v>160</v>
      </c>
      <c r="C76" s="185">
        <v>2020</v>
      </c>
      <c r="D76" s="186" t="s">
        <v>328</v>
      </c>
      <c r="E76" s="77" t="s">
        <v>346</v>
      </c>
      <c r="F76" s="77" t="s">
        <v>347</v>
      </c>
      <c r="G76" s="77" t="s">
        <v>25</v>
      </c>
      <c r="H76" s="77" t="s">
        <v>164</v>
      </c>
      <c r="I76" s="77" t="s">
        <v>111</v>
      </c>
      <c r="J76" s="77" t="s">
        <v>27</v>
      </c>
      <c r="K76" s="77" t="s">
        <v>112</v>
      </c>
      <c r="L76" s="77">
        <v>3</v>
      </c>
      <c r="N76" s="77">
        <v>1</v>
      </c>
      <c r="O76" s="77">
        <v>0.43</v>
      </c>
      <c r="P76" s="77">
        <v>0.47</v>
      </c>
      <c r="Q76" s="44">
        <f t="shared" si="5"/>
        <v>0.44999999999999996</v>
      </c>
      <c r="R76" s="77">
        <v>15.5</v>
      </c>
      <c r="S76" s="77">
        <v>144</v>
      </c>
      <c r="T76" s="16">
        <f t="shared" si="3"/>
        <v>22</v>
      </c>
      <c r="U76" s="77">
        <v>149</v>
      </c>
      <c r="V76" s="16">
        <f t="shared" si="4"/>
        <v>22</v>
      </c>
      <c r="W76" s="77">
        <v>3</v>
      </c>
      <c r="X76" s="77" t="s">
        <v>35</v>
      </c>
      <c r="Y76" s="77" t="s">
        <v>55</v>
      </c>
      <c r="Z76" s="77" t="s">
        <v>364</v>
      </c>
      <c r="AA76" s="77" t="s">
        <v>76</v>
      </c>
      <c r="AB76" s="77" t="s">
        <v>162</v>
      </c>
    </row>
    <row r="77" spans="1:28" x14ac:dyDescent="0.15">
      <c r="A77" s="77" t="s">
        <v>46</v>
      </c>
      <c r="B77" s="77" t="s">
        <v>160</v>
      </c>
      <c r="C77" s="185">
        <v>2020</v>
      </c>
      <c r="D77" s="186" t="s">
        <v>328</v>
      </c>
      <c r="E77" s="77" t="s">
        <v>346</v>
      </c>
      <c r="F77" s="77" t="s">
        <v>347</v>
      </c>
      <c r="G77" s="77" t="s">
        <v>25</v>
      </c>
      <c r="H77" s="77" t="s">
        <v>113</v>
      </c>
      <c r="I77" s="77" t="s">
        <v>111</v>
      </c>
      <c r="J77" s="77" t="s">
        <v>27</v>
      </c>
      <c r="K77" s="77" t="s">
        <v>112</v>
      </c>
      <c r="L77" s="77">
        <v>1</v>
      </c>
      <c r="N77" s="77">
        <v>6</v>
      </c>
      <c r="O77" s="77">
        <v>0.82</v>
      </c>
      <c r="P77" s="77">
        <v>0.73</v>
      </c>
      <c r="Q77" s="44">
        <f t="shared" si="5"/>
        <v>0.77499999999999991</v>
      </c>
      <c r="R77" s="77">
        <v>12</v>
      </c>
      <c r="S77" s="77">
        <v>85</v>
      </c>
      <c r="T77" s="16">
        <f t="shared" si="3"/>
        <v>36</v>
      </c>
      <c r="U77" s="77">
        <v>499</v>
      </c>
      <c r="V77" s="16">
        <f t="shared" si="4"/>
        <v>16</v>
      </c>
      <c r="W77" s="77">
        <v>1</v>
      </c>
      <c r="X77" s="77" t="s">
        <v>35</v>
      </c>
      <c r="Y77" s="77" t="s">
        <v>55</v>
      </c>
      <c r="Z77" s="77" t="s">
        <v>364</v>
      </c>
      <c r="AA77" s="77" t="s">
        <v>76</v>
      </c>
      <c r="AB77" s="77" t="s">
        <v>162</v>
      </c>
    </row>
    <row r="78" spans="1:28" x14ac:dyDescent="0.15">
      <c r="A78" s="77" t="s">
        <v>46</v>
      </c>
      <c r="B78" s="77" t="s">
        <v>160</v>
      </c>
      <c r="C78" s="185">
        <v>2020</v>
      </c>
      <c r="D78" s="186" t="s">
        <v>328</v>
      </c>
      <c r="E78" s="77" t="s">
        <v>346</v>
      </c>
      <c r="F78" s="77" t="s">
        <v>347</v>
      </c>
      <c r="G78" s="77" t="s">
        <v>25</v>
      </c>
      <c r="H78" s="77" t="s">
        <v>113</v>
      </c>
      <c r="I78" s="77" t="s">
        <v>111</v>
      </c>
      <c r="J78" s="77" t="s">
        <v>27</v>
      </c>
      <c r="K78" s="77" t="s">
        <v>112</v>
      </c>
      <c r="L78" s="77">
        <v>2</v>
      </c>
      <c r="N78" s="77">
        <v>6</v>
      </c>
      <c r="O78" s="77">
        <v>0.74</v>
      </c>
      <c r="P78" s="77">
        <v>0.79</v>
      </c>
      <c r="Q78" s="44">
        <f t="shared" si="5"/>
        <v>0.76500000000000001</v>
      </c>
      <c r="R78" s="77">
        <v>12</v>
      </c>
      <c r="S78" s="77">
        <v>89</v>
      </c>
      <c r="T78" s="16">
        <f t="shared" si="3"/>
        <v>36</v>
      </c>
      <c r="U78" s="77">
        <v>499</v>
      </c>
      <c r="V78" s="16">
        <f t="shared" si="4"/>
        <v>16</v>
      </c>
      <c r="W78" s="77">
        <v>1</v>
      </c>
      <c r="X78" s="77" t="s">
        <v>35</v>
      </c>
      <c r="Y78" s="77" t="s">
        <v>55</v>
      </c>
      <c r="Z78" s="77" t="s">
        <v>364</v>
      </c>
      <c r="AA78" s="77" t="s">
        <v>76</v>
      </c>
      <c r="AB78" s="77" t="s">
        <v>162</v>
      </c>
    </row>
    <row r="79" spans="1:28" x14ac:dyDescent="0.15">
      <c r="A79" s="77" t="s">
        <v>46</v>
      </c>
      <c r="B79" s="77" t="s">
        <v>160</v>
      </c>
      <c r="C79" s="185">
        <v>2020</v>
      </c>
      <c r="D79" s="186" t="s">
        <v>328</v>
      </c>
      <c r="E79" s="77" t="s">
        <v>346</v>
      </c>
      <c r="F79" s="77" t="s">
        <v>347</v>
      </c>
      <c r="G79" s="77" t="s">
        <v>25</v>
      </c>
      <c r="H79" s="77" t="s">
        <v>113</v>
      </c>
      <c r="I79" s="77" t="s">
        <v>111</v>
      </c>
      <c r="J79" s="77" t="s">
        <v>27</v>
      </c>
      <c r="K79" s="77" t="s">
        <v>112</v>
      </c>
      <c r="L79" s="77">
        <v>3</v>
      </c>
      <c r="N79" s="77">
        <v>6</v>
      </c>
      <c r="O79" s="77">
        <v>0.75</v>
      </c>
      <c r="P79" s="77">
        <v>0.77</v>
      </c>
      <c r="Q79" s="44">
        <f t="shared" si="5"/>
        <v>0.76</v>
      </c>
      <c r="R79" s="77">
        <v>12.2</v>
      </c>
      <c r="S79" s="77">
        <v>92</v>
      </c>
      <c r="T79" s="16">
        <f t="shared" si="3"/>
        <v>36</v>
      </c>
      <c r="U79" s="77">
        <v>499</v>
      </c>
      <c r="V79" s="16">
        <f t="shared" si="4"/>
        <v>16</v>
      </c>
      <c r="W79" s="77">
        <v>1</v>
      </c>
      <c r="X79" s="77" t="s">
        <v>35</v>
      </c>
      <c r="Y79" s="77" t="s">
        <v>55</v>
      </c>
      <c r="Z79" s="77" t="s">
        <v>364</v>
      </c>
      <c r="AA79" s="77" t="s">
        <v>76</v>
      </c>
      <c r="AB79" s="77" t="s">
        <v>162</v>
      </c>
    </row>
    <row r="80" spans="1:28" x14ac:dyDescent="0.15">
      <c r="A80" s="77" t="s">
        <v>46</v>
      </c>
      <c r="B80" s="77" t="s">
        <v>160</v>
      </c>
      <c r="C80" s="185">
        <v>2020</v>
      </c>
      <c r="D80" s="186" t="s">
        <v>328</v>
      </c>
      <c r="E80" s="77" t="s">
        <v>346</v>
      </c>
      <c r="F80" s="77" t="s">
        <v>347</v>
      </c>
      <c r="G80" s="77" t="s">
        <v>25</v>
      </c>
      <c r="H80" s="77" t="s">
        <v>113</v>
      </c>
      <c r="I80" s="77" t="s">
        <v>111</v>
      </c>
      <c r="J80" s="77" t="s">
        <v>27</v>
      </c>
      <c r="K80" s="77" t="s">
        <v>112</v>
      </c>
      <c r="L80" s="77">
        <v>1</v>
      </c>
      <c r="N80" s="77">
        <v>3</v>
      </c>
      <c r="O80" s="77">
        <v>0.93</v>
      </c>
      <c r="P80" s="77">
        <v>0.95</v>
      </c>
      <c r="Q80" s="44">
        <f t="shared" si="5"/>
        <v>0.94</v>
      </c>
      <c r="R80" s="77">
        <v>13.9</v>
      </c>
      <c r="S80" s="77">
        <v>130</v>
      </c>
      <c r="T80" s="16">
        <f t="shared" si="3"/>
        <v>25</v>
      </c>
      <c r="U80" s="77">
        <v>399</v>
      </c>
      <c r="V80" s="16">
        <f t="shared" si="4"/>
        <v>16</v>
      </c>
      <c r="W80" s="77">
        <v>1</v>
      </c>
      <c r="X80" s="77" t="s">
        <v>35</v>
      </c>
      <c r="Y80" s="77" t="s">
        <v>55</v>
      </c>
      <c r="Z80" s="77" t="s">
        <v>364</v>
      </c>
      <c r="AA80" s="77" t="s">
        <v>76</v>
      </c>
      <c r="AB80" s="77" t="s">
        <v>162</v>
      </c>
    </row>
    <row r="81" spans="1:28" x14ac:dyDescent="0.15">
      <c r="A81" s="77" t="s">
        <v>46</v>
      </c>
      <c r="B81" s="77" t="s">
        <v>160</v>
      </c>
      <c r="C81" s="185">
        <v>2020</v>
      </c>
      <c r="D81" s="186" t="s">
        <v>328</v>
      </c>
      <c r="E81" s="77" t="s">
        <v>346</v>
      </c>
      <c r="F81" s="77" t="s">
        <v>347</v>
      </c>
      <c r="G81" s="77" t="s">
        <v>25</v>
      </c>
      <c r="H81" s="77" t="s">
        <v>113</v>
      </c>
      <c r="I81" s="77" t="s">
        <v>111</v>
      </c>
      <c r="J81" s="77" t="s">
        <v>27</v>
      </c>
      <c r="K81" s="77" t="s">
        <v>112</v>
      </c>
      <c r="L81" s="77">
        <v>2</v>
      </c>
      <c r="N81" s="77">
        <v>3</v>
      </c>
      <c r="O81" s="77">
        <v>0.87</v>
      </c>
      <c r="P81" s="77">
        <v>0.85</v>
      </c>
      <c r="Q81" s="44">
        <f t="shared" si="5"/>
        <v>0.86</v>
      </c>
      <c r="R81" s="77">
        <v>13.9</v>
      </c>
      <c r="S81" s="77">
        <v>135</v>
      </c>
      <c r="T81" s="16">
        <f t="shared" ref="T81:T94" si="6">IF(H81="","",IF(OR(H81="GREEN",H81="GK"),IF(S87&gt;=$AX$2,VLOOKUP(S87,$AX$2:$AY$12,2,1),""),IF(S87&gt;=$AZ$2,VLOOKUP(S87,$AZ$2:$BA$12,2,1),"")))</f>
        <v>27</v>
      </c>
      <c r="U81" s="77">
        <v>399</v>
      </c>
      <c r="V81" s="16">
        <f t="shared" si="4"/>
        <v>16</v>
      </c>
      <c r="W81" s="77">
        <v>1</v>
      </c>
      <c r="X81" s="77" t="s">
        <v>35</v>
      </c>
      <c r="Y81" s="77" t="s">
        <v>55</v>
      </c>
      <c r="Z81" s="77" t="s">
        <v>364</v>
      </c>
      <c r="AA81" s="77" t="s">
        <v>76</v>
      </c>
      <c r="AB81" s="77" t="s">
        <v>162</v>
      </c>
    </row>
    <row r="82" spans="1:28" x14ac:dyDescent="0.15">
      <c r="A82" s="77" t="s">
        <v>46</v>
      </c>
      <c r="B82" s="77" t="s">
        <v>160</v>
      </c>
      <c r="C82" s="185">
        <v>2020</v>
      </c>
      <c r="D82" s="186" t="s">
        <v>328</v>
      </c>
      <c r="E82" s="77" t="s">
        <v>346</v>
      </c>
      <c r="F82" s="77" t="s">
        <v>347</v>
      </c>
      <c r="G82" s="77" t="s">
        <v>25</v>
      </c>
      <c r="H82" s="77" t="s">
        <v>113</v>
      </c>
      <c r="I82" s="77" t="s">
        <v>111</v>
      </c>
      <c r="J82" s="77" t="s">
        <v>27</v>
      </c>
      <c r="K82" s="77" t="s">
        <v>112</v>
      </c>
      <c r="L82" s="77">
        <v>3</v>
      </c>
      <c r="N82" s="77">
        <v>3</v>
      </c>
      <c r="O82" s="77">
        <v>0.91</v>
      </c>
      <c r="P82" s="77">
        <v>0.88</v>
      </c>
      <c r="Q82" s="44">
        <f t="shared" si="5"/>
        <v>0.89500000000000002</v>
      </c>
      <c r="R82" s="77">
        <v>13.4</v>
      </c>
      <c r="S82" s="77">
        <v>135</v>
      </c>
      <c r="T82" s="16">
        <f t="shared" si="6"/>
        <v>27</v>
      </c>
      <c r="U82" s="77">
        <v>399</v>
      </c>
      <c r="V82" s="16">
        <f t="shared" si="4"/>
        <v>16</v>
      </c>
      <c r="W82" s="77">
        <v>1</v>
      </c>
      <c r="X82" s="77" t="s">
        <v>35</v>
      </c>
      <c r="Y82" s="77" t="s">
        <v>55</v>
      </c>
      <c r="Z82" s="77" t="s">
        <v>364</v>
      </c>
      <c r="AA82" s="77" t="s">
        <v>76</v>
      </c>
      <c r="AB82" s="77" t="s">
        <v>162</v>
      </c>
    </row>
    <row r="83" spans="1:28" x14ac:dyDescent="0.15">
      <c r="A83" s="77" t="s">
        <v>46</v>
      </c>
      <c r="B83" s="77" t="s">
        <v>160</v>
      </c>
      <c r="C83" s="185">
        <v>2020</v>
      </c>
      <c r="D83" s="186" t="s">
        <v>328</v>
      </c>
      <c r="E83" s="77" t="s">
        <v>346</v>
      </c>
      <c r="F83" s="77" t="s">
        <v>347</v>
      </c>
      <c r="G83" s="77" t="s">
        <v>25</v>
      </c>
      <c r="H83" s="77" t="s">
        <v>113</v>
      </c>
      <c r="I83" s="77" t="s">
        <v>111</v>
      </c>
      <c r="J83" s="77" t="s">
        <v>27</v>
      </c>
      <c r="K83" s="77" t="s">
        <v>112</v>
      </c>
      <c r="L83" s="77">
        <v>1</v>
      </c>
      <c r="N83" s="77">
        <v>1</v>
      </c>
      <c r="O83" s="77">
        <v>0.57999999999999996</v>
      </c>
      <c r="P83" s="77">
        <v>0.55000000000000004</v>
      </c>
      <c r="Q83" s="44">
        <f t="shared" si="5"/>
        <v>0.56499999999999995</v>
      </c>
      <c r="R83" s="77">
        <v>14.3</v>
      </c>
      <c r="S83" s="77">
        <v>137</v>
      </c>
      <c r="T83" s="16">
        <f t="shared" si="6"/>
        <v>33</v>
      </c>
      <c r="U83" s="77">
        <v>139</v>
      </c>
      <c r="V83" s="16">
        <f t="shared" si="4"/>
        <v>22</v>
      </c>
      <c r="W83" s="77">
        <v>1</v>
      </c>
      <c r="X83" s="77" t="s">
        <v>35</v>
      </c>
      <c r="Y83" s="77" t="s">
        <v>55</v>
      </c>
      <c r="Z83" s="77" t="s">
        <v>364</v>
      </c>
      <c r="AA83" s="77" t="s">
        <v>76</v>
      </c>
      <c r="AB83" s="77" t="s">
        <v>162</v>
      </c>
    </row>
    <row r="84" spans="1:28" x14ac:dyDescent="0.15">
      <c r="A84" s="77" t="s">
        <v>46</v>
      </c>
      <c r="B84" s="77" t="s">
        <v>160</v>
      </c>
      <c r="C84" s="185">
        <v>2020</v>
      </c>
      <c r="D84" s="186" t="s">
        <v>328</v>
      </c>
      <c r="E84" s="77" t="s">
        <v>346</v>
      </c>
      <c r="F84" s="77" t="s">
        <v>347</v>
      </c>
      <c r="G84" s="77" t="s">
        <v>25</v>
      </c>
      <c r="H84" s="77" t="s">
        <v>113</v>
      </c>
      <c r="I84" s="77" t="s">
        <v>111</v>
      </c>
      <c r="J84" s="77" t="s">
        <v>27</v>
      </c>
      <c r="K84" s="77" t="s">
        <v>112</v>
      </c>
      <c r="L84" s="77">
        <v>2</v>
      </c>
      <c r="N84" s="77">
        <v>1</v>
      </c>
      <c r="O84" s="77">
        <v>0.6</v>
      </c>
      <c r="P84" s="77">
        <v>0.66</v>
      </c>
      <c r="Q84" s="44">
        <f t="shared" si="5"/>
        <v>0.63</v>
      </c>
      <c r="R84" s="77">
        <v>15.7</v>
      </c>
      <c r="S84" s="77">
        <v>137</v>
      </c>
      <c r="T84" s="16">
        <f t="shared" si="6"/>
        <v>33</v>
      </c>
      <c r="U84" s="77">
        <v>139</v>
      </c>
      <c r="V84" s="16">
        <f t="shared" si="4"/>
        <v>22</v>
      </c>
      <c r="W84" s="77">
        <v>1</v>
      </c>
      <c r="X84" s="77" t="s">
        <v>35</v>
      </c>
      <c r="Y84" s="77" t="s">
        <v>55</v>
      </c>
      <c r="Z84" s="77" t="s">
        <v>364</v>
      </c>
      <c r="AA84" s="77" t="s">
        <v>76</v>
      </c>
      <c r="AB84" s="77" t="s">
        <v>162</v>
      </c>
    </row>
    <row r="85" spans="1:28" x14ac:dyDescent="0.15">
      <c r="A85" s="77" t="s">
        <v>46</v>
      </c>
      <c r="B85" s="77" t="s">
        <v>160</v>
      </c>
      <c r="C85" s="185">
        <v>2020</v>
      </c>
      <c r="D85" s="186" t="s">
        <v>328</v>
      </c>
      <c r="E85" s="77" t="s">
        <v>346</v>
      </c>
      <c r="F85" s="77" t="s">
        <v>347</v>
      </c>
      <c r="G85" s="77" t="s">
        <v>25</v>
      </c>
      <c r="H85" s="77" t="s">
        <v>113</v>
      </c>
      <c r="I85" s="77" t="s">
        <v>111</v>
      </c>
      <c r="J85" s="77" t="s">
        <v>27</v>
      </c>
      <c r="K85" s="77" t="s">
        <v>112</v>
      </c>
      <c r="L85" s="77">
        <v>3</v>
      </c>
      <c r="N85" s="77">
        <v>1</v>
      </c>
      <c r="O85" s="77">
        <v>0.62</v>
      </c>
      <c r="P85" s="77">
        <v>0.65</v>
      </c>
      <c r="Q85" s="44">
        <f t="shared" si="5"/>
        <v>0.63500000000000001</v>
      </c>
      <c r="R85" s="77">
        <v>14.4</v>
      </c>
      <c r="S85" s="77">
        <v>150</v>
      </c>
      <c r="T85" s="16">
        <f t="shared" si="6"/>
        <v>33</v>
      </c>
      <c r="U85" s="77">
        <v>139</v>
      </c>
      <c r="V85" s="16">
        <f t="shared" si="4"/>
        <v>22</v>
      </c>
      <c r="W85" s="77">
        <v>1</v>
      </c>
      <c r="X85" s="77" t="s">
        <v>35</v>
      </c>
      <c r="Y85" s="77" t="s">
        <v>55</v>
      </c>
      <c r="Z85" s="77" t="s">
        <v>364</v>
      </c>
      <c r="AA85" s="77" t="s">
        <v>76</v>
      </c>
      <c r="AB85" s="77" t="s">
        <v>162</v>
      </c>
    </row>
    <row r="86" spans="1:28" x14ac:dyDescent="0.15">
      <c r="A86" s="77" t="s">
        <v>46</v>
      </c>
      <c r="B86" s="77" t="s">
        <v>160</v>
      </c>
      <c r="C86" s="185">
        <v>2020</v>
      </c>
      <c r="D86" s="186" t="s">
        <v>328</v>
      </c>
      <c r="E86" s="77" t="s">
        <v>335</v>
      </c>
      <c r="F86" s="77" t="s">
        <v>336</v>
      </c>
      <c r="G86" s="77" t="s">
        <v>31</v>
      </c>
      <c r="H86" s="77" t="s">
        <v>164</v>
      </c>
      <c r="I86" s="77" t="s">
        <v>111</v>
      </c>
      <c r="J86" s="77" t="s">
        <v>27</v>
      </c>
      <c r="K86" s="77" t="s">
        <v>112</v>
      </c>
      <c r="L86" s="77">
        <v>1</v>
      </c>
      <c r="N86" s="77">
        <v>1</v>
      </c>
      <c r="O86" s="77">
        <v>0.25</v>
      </c>
      <c r="P86" s="77">
        <v>0.3</v>
      </c>
      <c r="Q86" s="44">
        <f t="shared" si="5"/>
        <v>0.27500000000000002</v>
      </c>
      <c r="R86" s="77">
        <v>19.7</v>
      </c>
      <c r="S86" s="77">
        <v>120</v>
      </c>
      <c r="T86" s="16">
        <f t="shared" si="6"/>
        <v>22</v>
      </c>
      <c r="U86" s="77">
        <v>128</v>
      </c>
      <c r="V86" s="16">
        <f t="shared" si="4"/>
        <v>27</v>
      </c>
      <c r="W86" s="77">
        <v>1</v>
      </c>
      <c r="X86" s="77" t="s">
        <v>28</v>
      </c>
      <c r="Y86" s="77" t="s">
        <v>55</v>
      </c>
      <c r="Z86" s="77" t="s">
        <v>64</v>
      </c>
      <c r="AA86" s="77" t="s">
        <v>76</v>
      </c>
      <c r="AB86" s="77" t="s">
        <v>162</v>
      </c>
    </row>
    <row r="87" spans="1:28" x14ac:dyDescent="0.15">
      <c r="A87" s="77" t="s">
        <v>46</v>
      </c>
      <c r="B87" s="77" t="s">
        <v>160</v>
      </c>
      <c r="C87" s="185">
        <v>2020</v>
      </c>
      <c r="D87" s="186" t="s">
        <v>328</v>
      </c>
      <c r="E87" s="77" t="s">
        <v>335</v>
      </c>
      <c r="F87" s="77" t="s">
        <v>336</v>
      </c>
      <c r="G87" s="77" t="s">
        <v>31</v>
      </c>
      <c r="H87" s="77" t="s">
        <v>164</v>
      </c>
      <c r="I87" s="77" t="s">
        <v>111</v>
      </c>
      <c r="J87" s="77" t="s">
        <v>27</v>
      </c>
      <c r="K87" s="77" t="s">
        <v>112</v>
      </c>
      <c r="L87" s="77">
        <v>2</v>
      </c>
      <c r="N87" s="77">
        <v>1</v>
      </c>
      <c r="O87" s="77">
        <v>0.48</v>
      </c>
      <c r="P87" s="77">
        <v>0.45</v>
      </c>
      <c r="Q87" s="44">
        <f t="shared" si="5"/>
        <v>0.46499999999999997</v>
      </c>
      <c r="R87" s="77">
        <v>18.399999999999999</v>
      </c>
      <c r="S87" s="77">
        <v>125</v>
      </c>
      <c r="T87" s="16">
        <f t="shared" si="6"/>
        <v>22</v>
      </c>
      <c r="U87" s="77">
        <v>128</v>
      </c>
      <c r="V87" s="16">
        <f t="shared" si="4"/>
        <v>27</v>
      </c>
      <c r="W87" s="77">
        <v>1</v>
      </c>
      <c r="X87" s="77" t="s">
        <v>28</v>
      </c>
      <c r="Y87" s="77" t="s">
        <v>55</v>
      </c>
      <c r="Z87" s="77" t="s">
        <v>64</v>
      </c>
      <c r="AA87" s="77" t="s">
        <v>76</v>
      </c>
      <c r="AB87" s="77" t="s">
        <v>162</v>
      </c>
    </row>
    <row r="88" spans="1:28" x14ac:dyDescent="0.15">
      <c r="A88" s="77" t="s">
        <v>46</v>
      </c>
      <c r="B88" s="77" t="s">
        <v>160</v>
      </c>
      <c r="C88" s="185">
        <v>2020</v>
      </c>
      <c r="D88" s="186" t="s">
        <v>328</v>
      </c>
      <c r="E88" s="77" t="s">
        <v>335</v>
      </c>
      <c r="F88" s="77" t="s">
        <v>336</v>
      </c>
      <c r="G88" s="77" t="s">
        <v>31</v>
      </c>
      <c r="H88" s="77" t="s">
        <v>164</v>
      </c>
      <c r="I88" s="77" t="s">
        <v>111</v>
      </c>
      <c r="J88" s="77" t="s">
        <v>27</v>
      </c>
      <c r="K88" s="77" t="s">
        <v>112</v>
      </c>
      <c r="L88" s="77">
        <v>3</v>
      </c>
      <c r="N88" s="77">
        <v>1</v>
      </c>
      <c r="O88" s="77">
        <v>0.38</v>
      </c>
      <c r="P88" s="77">
        <v>0.3</v>
      </c>
      <c r="Q88" s="44">
        <f t="shared" si="5"/>
        <v>0.33999999999999997</v>
      </c>
      <c r="R88" s="77">
        <v>18.899999999999999</v>
      </c>
      <c r="S88" s="77">
        <v>126</v>
      </c>
      <c r="T88" s="16">
        <f t="shared" si="6"/>
        <v>22</v>
      </c>
      <c r="U88" s="77">
        <v>128</v>
      </c>
      <c r="V88" s="16">
        <f t="shared" si="4"/>
        <v>27</v>
      </c>
      <c r="W88" s="77">
        <v>1</v>
      </c>
      <c r="X88" s="77" t="s">
        <v>28</v>
      </c>
      <c r="Y88" s="77" t="s">
        <v>55</v>
      </c>
      <c r="Z88" s="77" t="s">
        <v>64</v>
      </c>
      <c r="AA88" s="77" t="s">
        <v>76</v>
      </c>
      <c r="AB88" s="77" t="s">
        <v>162</v>
      </c>
    </row>
    <row r="89" spans="1:28" x14ac:dyDescent="0.15">
      <c r="A89" s="77" t="s">
        <v>46</v>
      </c>
      <c r="B89" s="77" t="s">
        <v>160</v>
      </c>
      <c r="C89" s="185">
        <v>2020</v>
      </c>
      <c r="D89" s="186" t="s">
        <v>328</v>
      </c>
      <c r="E89" s="77" t="s">
        <v>353</v>
      </c>
      <c r="F89" s="77" t="s">
        <v>354</v>
      </c>
      <c r="G89" s="77" t="s">
        <v>31</v>
      </c>
      <c r="H89" s="77" t="s">
        <v>164</v>
      </c>
      <c r="I89" s="77" t="s">
        <v>111</v>
      </c>
      <c r="J89" s="77" t="s">
        <v>27</v>
      </c>
      <c r="K89" s="77" t="s">
        <v>112</v>
      </c>
      <c r="L89" s="77">
        <v>1</v>
      </c>
      <c r="N89" s="77">
        <v>4</v>
      </c>
      <c r="O89" s="77">
        <v>0.39</v>
      </c>
      <c r="P89" s="77">
        <v>0.4</v>
      </c>
      <c r="Q89" s="44">
        <f t="shared" si="5"/>
        <v>0.39500000000000002</v>
      </c>
      <c r="R89" s="77">
        <v>17.600000000000001</v>
      </c>
      <c r="S89" s="77">
        <v>100</v>
      </c>
      <c r="T89" s="16">
        <f t="shared" si="6"/>
        <v>33</v>
      </c>
      <c r="U89" s="77">
        <v>480</v>
      </c>
      <c r="V89" s="16">
        <f t="shared" si="4"/>
        <v>16</v>
      </c>
      <c r="W89" s="77">
        <v>4</v>
      </c>
      <c r="X89" s="77" t="s">
        <v>35</v>
      </c>
      <c r="Y89" s="77" t="s">
        <v>43</v>
      </c>
      <c r="Z89" s="77" t="s">
        <v>82</v>
      </c>
      <c r="AA89" s="77" t="s">
        <v>76</v>
      </c>
      <c r="AB89" s="77" t="s">
        <v>162</v>
      </c>
    </row>
    <row r="90" spans="1:28" x14ac:dyDescent="0.15">
      <c r="A90" s="77" t="s">
        <v>46</v>
      </c>
      <c r="B90" s="77" t="s">
        <v>160</v>
      </c>
      <c r="C90" s="185">
        <v>2020</v>
      </c>
      <c r="D90" s="186" t="s">
        <v>328</v>
      </c>
      <c r="E90" s="77" t="s">
        <v>353</v>
      </c>
      <c r="F90" s="77" t="s">
        <v>354</v>
      </c>
      <c r="G90" s="77" t="s">
        <v>31</v>
      </c>
      <c r="H90" s="77" t="s">
        <v>164</v>
      </c>
      <c r="I90" s="77" t="s">
        <v>111</v>
      </c>
      <c r="J90" s="77" t="s">
        <v>27</v>
      </c>
      <c r="K90" s="77" t="s">
        <v>112</v>
      </c>
      <c r="L90" s="77">
        <v>2</v>
      </c>
      <c r="N90" s="77">
        <v>4</v>
      </c>
      <c r="O90" s="77">
        <v>0.38</v>
      </c>
      <c r="P90" s="77">
        <v>0.43</v>
      </c>
      <c r="Q90" s="44">
        <f t="shared" si="5"/>
        <v>0.40500000000000003</v>
      </c>
      <c r="R90" s="77">
        <v>17.5</v>
      </c>
      <c r="S90" s="77">
        <v>103</v>
      </c>
      <c r="T90" s="16">
        <f t="shared" si="6"/>
        <v>33</v>
      </c>
      <c r="U90" s="77">
        <v>480</v>
      </c>
      <c r="V90" s="16">
        <f t="shared" si="4"/>
        <v>16</v>
      </c>
      <c r="W90" s="77">
        <v>4</v>
      </c>
      <c r="X90" s="77" t="s">
        <v>35</v>
      </c>
      <c r="Y90" s="77" t="s">
        <v>43</v>
      </c>
      <c r="Z90" s="77" t="s">
        <v>82</v>
      </c>
      <c r="AA90" s="77" t="s">
        <v>76</v>
      </c>
      <c r="AB90" s="77" t="s">
        <v>162</v>
      </c>
    </row>
    <row r="91" spans="1:28" x14ac:dyDescent="0.15">
      <c r="A91" s="77" t="s">
        <v>46</v>
      </c>
      <c r="B91" s="77" t="s">
        <v>160</v>
      </c>
      <c r="C91" s="185">
        <v>2020</v>
      </c>
      <c r="D91" s="186" t="s">
        <v>328</v>
      </c>
      <c r="E91" s="77" t="s">
        <v>353</v>
      </c>
      <c r="F91" s="77" t="s">
        <v>354</v>
      </c>
      <c r="G91" s="77" t="s">
        <v>31</v>
      </c>
      <c r="H91" s="77" t="s">
        <v>164</v>
      </c>
      <c r="I91" s="77" t="s">
        <v>111</v>
      </c>
      <c r="J91" s="77" t="s">
        <v>27</v>
      </c>
      <c r="K91" s="77" t="s">
        <v>112</v>
      </c>
      <c r="L91" s="77">
        <v>3</v>
      </c>
      <c r="N91" s="77">
        <v>4</v>
      </c>
      <c r="O91" s="77">
        <v>0.39</v>
      </c>
      <c r="P91" s="77">
        <v>0.44</v>
      </c>
      <c r="Q91" s="44">
        <f t="shared" si="5"/>
        <v>0.41500000000000004</v>
      </c>
      <c r="R91" s="77">
        <v>18</v>
      </c>
      <c r="S91" s="77">
        <v>100</v>
      </c>
      <c r="T91" s="16">
        <f t="shared" si="6"/>
        <v>33</v>
      </c>
      <c r="U91" s="77">
        <v>480</v>
      </c>
      <c r="V91" s="16">
        <f t="shared" si="4"/>
        <v>16</v>
      </c>
      <c r="W91" s="77">
        <v>4</v>
      </c>
      <c r="X91" s="77" t="s">
        <v>35</v>
      </c>
      <c r="Y91" s="77" t="s">
        <v>43</v>
      </c>
      <c r="Z91" s="77" t="s">
        <v>82</v>
      </c>
      <c r="AA91" s="77" t="s">
        <v>76</v>
      </c>
      <c r="AB91" s="77" t="s">
        <v>162</v>
      </c>
    </row>
    <row r="92" spans="1:28" x14ac:dyDescent="0.15">
      <c r="A92" s="77" t="s">
        <v>46</v>
      </c>
      <c r="B92" s="77" t="s">
        <v>160</v>
      </c>
      <c r="C92" s="185">
        <v>2020</v>
      </c>
      <c r="D92" s="186" t="s">
        <v>328</v>
      </c>
      <c r="E92" s="77" t="s">
        <v>353</v>
      </c>
      <c r="F92" s="77" t="s">
        <v>354</v>
      </c>
      <c r="G92" s="77" t="s">
        <v>31</v>
      </c>
      <c r="H92" s="77" t="s">
        <v>164</v>
      </c>
      <c r="I92" s="77" t="s">
        <v>111</v>
      </c>
      <c r="J92" s="77" t="s">
        <v>27</v>
      </c>
      <c r="K92" s="77" t="s">
        <v>112</v>
      </c>
      <c r="L92" s="77">
        <v>1</v>
      </c>
      <c r="N92" s="77">
        <v>1</v>
      </c>
      <c r="O92" s="77">
        <v>0.47</v>
      </c>
      <c r="P92" s="77">
        <v>0.48</v>
      </c>
      <c r="Q92" s="44">
        <f t="shared" si="5"/>
        <v>0.47499999999999998</v>
      </c>
      <c r="R92" s="77">
        <v>16.100000000000001</v>
      </c>
      <c r="S92" s="77">
        <v>141</v>
      </c>
      <c r="T92" s="16">
        <f t="shared" si="6"/>
        <v>18</v>
      </c>
      <c r="U92" s="77">
        <v>138</v>
      </c>
      <c r="V92" s="16">
        <f t="shared" si="4"/>
        <v>22</v>
      </c>
      <c r="W92" s="77">
        <v>4</v>
      </c>
      <c r="X92" s="77" t="s">
        <v>35</v>
      </c>
      <c r="Y92" s="77" t="s">
        <v>43</v>
      </c>
      <c r="Z92" s="77" t="s">
        <v>82</v>
      </c>
      <c r="AA92" s="77" t="s">
        <v>76</v>
      </c>
      <c r="AB92" s="77" t="s">
        <v>162</v>
      </c>
    </row>
    <row r="93" spans="1:28" x14ac:dyDescent="0.15">
      <c r="A93" s="77" t="s">
        <v>46</v>
      </c>
      <c r="B93" s="77" t="s">
        <v>160</v>
      </c>
      <c r="C93" s="185">
        <v>2020</v>
      </c>
      <c r="D93" s="186" t="s">
        <v>328</v>
      </c>
      <c r="E93" s="77" t="s">
        <v>353</v>
      </c>
      <c r="F93" s="77" t="s">
        <v>354</v>
      </c>
      <c r="G93" s="77" t="s">
        <v>31</v>
      </c>
      <c r="H93" s="77" t="s">
        <v>164</v>
      </c>
      <c r="I93" s="77" t="s">
        <v>111</v>
      </c>
      <c r="J93" s="77" t="s">
        <v>27</v>
      </c>
      <c r="K93" s="77" t="s">
        <v>112</v>
      </c>
      <c r="L93" s="77">
        <v>2</v>
      </c>
      <c r="N93" s="77">
        <v>1</v>
      </c>
      <c r="O93" s="77">
        <v>0.42</v>
      </c>
      <c r="P93" s="77">
        <v>0.4</v>
      </c>
      <c r="Q93" s="44">
        <f t="shared" si="5"/>
        <v>0.41000000000000003</v>
      </c>
      <c r="R93" s="77">
        <v>14.9</v>
      </c>
      <c r="S93" s="77">
        <v>144</v>
      </c>
      <c r="T93" s="16">
        <f t="shared" si="6"/>
        <v>22</v>
      </c>
      <c r="U93" s="77">
        <v>138</v>
      </c>
      <c r="V93" s="16">
        <f t="shared" si="4"/>
        <v>22</v>
      </c>
      <c r="W93" s="77">
        <v>4</v>
      </c>
      <c r="X93" s="77" t="s">
        <v>35</v>
      </c>
      <c r="Y93" s="77" t="s">
        <v>43</v>
      </c>
      <c r="Z93" s="77" t="s">
        <v>82</v>
      </c>
      <c r="AA93" s="77" t="s">
        <v>76</v>
      </c>
      <c r="AB93" s="77" t="s">
        <v>162</v>
      </c>
    </row>
    <row r="94" spans="1:28" x14ac:dyDescent="0.15">
      <c r="A94" s="77" t="s">
        <v>46</v>
      </c>
      <c r="B94" s="77" t="s">
        <v>160</v>
      </c>
      <c r="C94" s="185">
        <v>2020</v>
      </c>
      <c r="D94" s="186" t="s">
        <v>328</v>
      </c>
      <c r="E94" s="77" t="s">
        <v>353</v>
      </c>
      <c r="F94" s="77" t="s">
        <v>354</v>
      </c>
      <c r="G94" s="77" t="s">
        <v>31</v>
      </c>
      <c r="H94" s="77" t="s">
        <v>164</v>
      </c>
      <c r="I94" s="77" t="s">
        <v>111</v>
      </c>
      <c r="J94" s="77" t="s">
        <v>27</v>
      </c>
      <c r="K94" s="77" t="s">
        <v>112</v>
      </c>
      <c r="L94" s="77">
        <v>3</v>
      </c>
      <c r="N94" s="77">
        <v>1</v>
      </c>
      <c r="O94" s="77">
        <v>0.49</v>
      </c>
      <c r="P94" s="77">
        <v>0.45</v>
      </c>
      <c r="Q94" s="44">
        <f t="shared" si="5"/>
        <v>0.47</v>
      </c>
      <c r="R94" s="77">
        <v>15.2</v>
      </c>
      <c r="S94" s="77">
        <v>148</v>
      </c>
      <c r="T94" s="16">
        <f t="shared" si="6"/>
        <v>18</v>
      </c>
      <c r="U94" s="77">
        <v>138</v>
      </c>
      <c r="V94" s="16">
        <f t="shared" si="4"/>
        <v>22</v>
      </c>
      <c r="W94" s="77">
        <v>4</v>
      </c>
      <c r="X94" s="77" t="s">
        <v>35</v>
      </c>
      <c r="Y94" s="77" t="s">
        <v>43</v>
      </c>
      <c r="Z94" s="77" t="s">
        <v>82</v>
      </c>
      <c r="AA94" s="77" t="s">
        <v>76</v>
      </c>
      <c r="AB94" s="77" t="s">
        <v>162</v>
      </c>
    </row>
    <row r="95" spans="1:28" x14ac:dyDescent="0.15">
      <c r="A95" s="77" t="s">
        <v>46</v>
      </c>
      <c r="B95" s="77" t="s">
        <v>160</v>
      </c>
      <c r="C95" s="185">
        <v>2020</v>
      </c>
      <c r="D95" s="186" t="s">
        <v>328</v>
      </c>
      <c r="E95" s="77" t="s">
        <v>353</v>
      </c>
      <c r="F95" s="77" t="s">
        <v>354</v>
      </c>
      <c r="G95" s="77" t="s">
        <v>31</v>
      </c>
      <c r="H95" s="77" t="s">
        <v>113</v>
      </c>
      <c r="I95" s="77" t="s">
        <v>111</v>
      </c>
      <c r="J95" s="77" t="s">
        <v>27</v>
      </c>
      <c r="K95" s="77" t="s">
        <v>112</v>
      </c>
      <c r="L95" s="77">
        <v>1</v>
      </c>
      <c r="N95" s="77">
        <v>4</v>
      </c>
      <c r="O95" s="77">
        <v>0.71</v>
      </c>
      <c r="P95" s="77">
        <v>0.74</v>
      </c>
      <c r="Q95" s="44">
        <f t="shared" si="5"/>
        <v>0.72499999999999998</v>
      </c>
      <c r="R95" s="77">
        <v>13.1</v>
      </c>
      <c r="S95" s="77">
        <v>99</v>
      </c>
      <c r="T95" s="16">
        <f t="shared" ref="T95:T115" si="7">IF(H95="","",IF(OR(H95="GREEN",H95="GK"),IF(S95&gt;=$AX$2,VLOOKUP(S95,$AX$2:$AY$12,2,1),""),IF(S95&gt;=$AZ$2,VLOOKUP(S95,$AZ$2:$BA$12,2,1),"")))</f>
        <v>33</v>
      </c>
      <c r="U95" s="77">
        <v>398</v>
      </c>
      <c r="V95" s="16">
        <f t="shared" si="4"/>
        <v>16</v>
      </c>
      <c r="W95" s="77">
        <v>1</v>
      </c>
      <c r="X95" s="77" t="s">
        <v>35</v>
      </c>
      <c r="Y95" s="77" t="s">
        <v>43</v>
      </c>
      <c r="Z95" s="77" t="s">
        <v>82</v>
      </c>
      <c r="AA95" s="77" t="s">
        <v>76</v>
      </c>
      <c r="AB95" s="77" t="s">
        <v>162</v>
      </c>
    </row>
    <row r="96" spans="1:28" x14ac:dyDescent="0.15">
      <c r="A96" s="77" t="s">
        <v>46</v>
      </c>
      <c r="B96" s="77" t="s">
        <v>160</v>
      </c>
      <c r="C96" s="185">
        <v>2020</v>
      </c>
      <c r="D96" s="186" t="s">
        <v>328</v>
      </c>
      <c r="E96" s="77" t="s">
        <v>353</v>
      </c>
      <c r="F96" s="77" t="s">
        <v>354</v>
      </c>
      <c r="G96" s="77" t="s">
        <v>31</v>
      </c>
      <c r="H96" s="77" t="s">
        <v>113</v>
      </c>
      <c r="I96" s="77" t="s">
        <v>111</v>
      </c>
      <c r="J96" s="77" t="s">
        <v>27</v>
      </c>
      <c r="K96" s="77" t="s">
        <v>112</v>
      </c>
      <c r="L96" s="77">
        <v>2</v>
      </c>
      <c r="N96" s="77">
        <v>4</v>
      </c>
      <c r="O96" s="77">
        <v>0.53</v>
      </c>
      <c r="P96" s="77">
        <v>0.56999999999999995</v>
      </c>
      <c r="Q96" s="44">
        <f t="shared" si="5"/>
        <v>0.55000000000000004</v>
      </c>
      <c r="R96" s="77">
        <v>15.4</v>
      </c>
      <c r="S96" s="77">
        <v>104</v>
      </c>
      <c r="T96" s="16">
        <f t="shared" si="7"/>
        <v>33</v>
      </c>
      <c r="U96" s="77">
        <v>398</v>
      </c>
      <c r="V96" s="16">
        <f t="shared" si="4"/>
        <v>16</v>
      </c>
      <c r="W96" s="77">
        <v>1</v>
      </c>
      <c r="X96" s="77" t="s">
        <v>35</v>
      </c>
      <c r="Y96" s="77" t="s">
        <v>43</v>
      </c>
      <c r="Z96" s="77" t="s">
        <v>82</v>
      </c>
      <c r="AA96" s="77" t="s">
        <v>76</v>
      </c>
      <c r="AB96" s="77" t="s">
        <v>162</v>
      </c>
    </row>
    <row r="97" spans="1:28" x14ac:dyDescent="0.15">
      <c r="A97" s="77" t="s">
        <v>46</v>
      </c>
      <c r="B97" s="77" t="s">
        <v>160</v>
      </c>
      <c r="C97" s="185">
        <v>2020</v>
      </c>
      <c r="D97" s="186" t="s">
        <v>328</v>
      </c>
      <c r="E97" s="77" t="s">
        <v>353</v>
      </c>
      <c r="F97" s="77" t="s">
        <v>354</v>
      </c>
      <c r="G97" s="77" t="s">
        <v>31</v>
      </c>
      <c r="H97" s="77" t="s">
        <v>113</v>
      </c>
      <c r="I97" s="77" t="s">
        <v>111</v>
      </c>
      <c r="J97" s="77" t="s">
        <v>27</v>
      </c>
      <c r="K97" s="77" t="s">
        <v>112</v>
      </c>
      <c r="L97" s="77">
        <v>3</v>
      </c>
      <c r="N97" s="77">
        <v>4</v>
      </c>
      <c r="O97" s="77">
        <v>0.57999999999999996</v>
      </c>
      <c r="P97" s="77">
        <v>0.59</v>
      </c>
      <c r="Q97" s="16">
        <f t="shared" si="5"/>
        <v>0.58499999999999996</v>
      </c>
      <c r="R97" s="77">
        <v>15.1</v>
      </c>
      <c r="S97" s="77">
        <v>105</v>
      </c>
      <c r="T97" s="16">
        <f t="shared" si="7"/>
        <v>33</v>
      </c>
      <c r="U97" s="77">
        <v>398</v>
      </c>
      <c r="V97" s="16">
        <f t="shared" si="4"/>
        <v>16</v>
      </c>
      <c r="W97" s="77">
        <v>1</v>
      </c>
      <c r="X97" s="77" t="s">
        <v>35</v>
      </c>
      <c r="Y97" s="77" t="s">
        <v>43</v>
      </c>
      <c r="Z97" s="77" t="s">
        <v>82</v>
      </c>
      <c r="AA97" s="77" t="s">
        <v>76</v>
      </c>
      <c r="AB97" s="77" t="s">
        <v>162</v>
      </c>
    </row>
    <row r="98" spans="1:28" x14ac:dyDescent="0.15">
      <c r="A98" s="77" t="s">
        <v>46</v>
      </c>
      <c r="B98" s="77" t="s">
        <v>160</v>
      </c>
      <c r="C98" s="185">
        <v>2020</v>
      </c>
      <c r="D98" s="186" t="s">
        <v>328</v>
      </c>
      <c r="E98" s="77" t="s">
        <v>353</v>
      </c>
      <c r="F98" s="77" t="s">
        <v>354</v>
      </c>
      <c r="G98" s="77" t="s">
        <v>31</v>
      </c>
      <c r="H98" s="77" t="s">
        <v>113</v>
      </c>
      <c r="I98" s="77" t="s">
        <v>111</v>
      </c>
      <c r="J98" s="77" t="s">
        <v>27</v>
      </c>
      <c r="K98" s="77" t="s">
        <v>112</v>
      </c>
      <c r="L98" s="77">
        <v>1</v>
      </c>
      <c r="N98" s="77">
        <v>1</v>
      </c>
      <c r="O98" s="77">
        <v>0.55000000000000004</v>
      </c>
      <c r="P98" s="77">
        <v>0.47</v>
      </c>
      <c r="Q98" s="16">
        <f t="shared" si="5"/>
        <v>0.51</v>
      </c>
      <c r="R98" s="77">
        <v>15.5</v>
      </c>
      <c r="S98" s="77">
        <v>168</v>
      </c>
      <c r="T98" s="16">
        <f t="shared" si="7"/>
        <v>18</v>
      </c>
      <c r="U98" s="77">
        <v>138</v>
      </c>
      <c r="V98" s="16">
        <f t="shared" si="4"/>
        <v>22</v>
      </c>
      <c r="W98" s="77">
        <v>2</v>
      </c>
      <c r="X98" s="77" t="s">
        <v>35</v>
      </c>
      <c r="Y98" s="77" t="s">
        <v>43</v>
      </c>
      <c r="Z98" s="77" t="s">
        <v>82</v>
      </c>
      <c r="AA98" s="77" t="s">
        <v>76</v>
      </c>
      <c r="AB98" s="77" t="s">
        <v>162</v>
      </c>
    </row>
    <row r="99" spans="1:28" x14ac:dyDescent="0.15">
      <c r="A99" s="77" t="s">
        <v>46</v>
      </c>
      <c r="B99" s="77" t="s">
        <v>160</v>
      </c>
      <c r="C99" s="185">
        <v>2020</v>
      </c>
      <c r="D99" s="186" t="s">
        <v>328</v>
      </c>
      <c r="E99" s="77" t="s">
        <v>353</v>
      </c>
      <c r="F99" s="77" t="s">
        <v>354</v>
      </c>
      <c r="G99" s="77" t="s">
        <v>31</v>
      </c>
      <c r="H99" s="77" t="s">
        <v>113</v>
      </c>
      <c r="I99" s="77" t="s">
        <v>111</v>
      </c>
      <c r="J99" s="77" t="s">
        <v>27</v>
      </c>
      <c r="K99" s="77" t="s">
        <v>112</v>
      </c>
      <c r="L99" s="77">
        <v>2</v>
      </c>
      <c r="N99" s="77">
        <v>1</v>
      </c>
      <c r="O99" s="77">
        <v>0.48</v>
      </c>
      <c r="P99" s="77">
        <v>0.56999999999999995</v>
      </c>
      <c r="Q99" s="16">
        <f t="shared" si="5"/>
        <v>0.52499999999999991</v>
      </c>
      <c r="R99" s="77">
        <v>16.2</v>
      </c>
      <c r="S99" s="77">
        <v>150</v>
      </c>
      <c r="T99" s="16">
        <f t="shared" si="7"/>
        <v>22</v>
      </c>
      <c r="U99" s="77">
        <v>138</v>
      </c>
      <c r="V99" s="16">
        <f t="shared" si="4"/>
        <v>22</v>
      </c>
      <c r="W99" s="77">
        <v>2</v>
      </c>
      <c r="X99" s="77" t="s">
        <v>35</v>
      </c>
      <c r="Y99" s="77" t="s">
        <v>43</v>
      </c>
      <c r="Z99" s="77" t="s">
        <v>82</v>
      </c>
      <c r="AA99" s="77" t="s">
        <v>76</v>
      </c>
      <c r="AB99" s="77" t="s">
        <v>162</v>
      </c>
    </row>
    <row r="100" spans="1:28" x14ac:dyDescent="0.15">
      <c r="A100" s="77" t="s">
        <v>46</v>
      </c>
      <c r="B100" s="77" t="s">
        <v>160</v>
      </c>
      <c r="C100" s="185">
        <v>2020</v>
      </c>
      <c r="D100" s="186" t="s">
        <v>328</v>
      </c>
      <c r="E100" s="77" t="s">
        <v>353</v>
      </c>
      <c r="F100" s="77" t="s">
        <v>354</v>
      </c>
      <c r="G100" s="77" t="s">
        <v>31</v>
      </c>
      <c r="H100" s="77" t="s">
        <v>113</v>
      </c>
      <c r="I100" s="77" t="s">
        <v>111</v>
      </c>
      <c r="J100" s="77" t="s">
        <v>27</v>
      </c>
      <c r="K100" s="77" t="s">
        <v>112</v>
      </c>
      <c r="L100" s="77">
        <v>3</v>
      </c>
      <c r="N100" s="77">
        <v>1</v>
      </c>
      <c r="O100" s="77">
        <v>0.51</v>
      </c>
      <c r="P100" s="77">
        <v>0.57999999999999996</v>
      </c>
      <c r="Q100" s="16">
        <f t="shared" si="5"/>
        <v>0.54499999999999993</v>
      </c>
      <c r="R100" s="77">
        <v>15.3</v>
      </c>
      <c r="S100" s="77">
        <v>156</v>
      </c>
      <c r="T100" s="16">
        <f t="shared" si="7"/>
        <v>18</v>
      </c>
      <c r="U100" s="77">
        <v>138</v>
      </c>
      <c r="V100" s="16">
        <f t="shared" si="4"/>
        <v>22</v>
      </c>
      <c r="W100" s="77">
        <v>2</v>
      </c>
      <c r="X100" s="77" t="s">
        <v>35</v>
      </c>
      <c r="Y100" s="77" t="s">
        <v>43</v>
      </c>
      <c r="Z100" s="77" t="s">
        <v>82</v>
      </c>
      <c r="AA100" s="77" t="s">
        <v>76</v>
      </c>
      <c r="AB100" s="77" t="s">
        <v>162</v>
      </c>
    </row>
    <row r="101" spans="1:28" x14ac:dyDescent="0.15">
      <c r="A101" s="77" t="s">
        <v>46</v>
      </c>
      <c r="B101" s="77" t="s">
        <v>160</v>
      </c>
      <c r="C101" s="185">
        <v>2020</v>
      </c>
      <c r="D101" s="186" t="s">
        <v>328</v>
      </c>
      <c r="E101" s="77" t="s">
        <v>343</v>
      </c>
      <c r="F101" s="77" t="s">
        <v>344</v>
      </c>
      <c r="G101" s="77" t="s">
        <v>25</v>
      </c>
      <c r="H101" s="77" t="s">
        <v>164</v>
      </c>
      <c r="I101" s="77" t="s">
        <v>111</v>
      </c>
      <c r="J101" s="77" t="s">
        <v>27</v>
      </c>
      <c r="K101" s="77" t="s">
        <v>112</v>
      </c>
      <c r="L101" s="77">
        <v>1</v>
      </c>
      <c r="N101" s="77">
        <v>8</v>
      </c>
      <c r="O101" s="77">
        <v>0.53</v>
      </c>
      <c r="P101" s="77">
        <v>0.5</v>
      </c>
      <c r="Q101" s="16">
        <f t="shared" si="5"/>
        <v>0.51500000000000001</v>
      </c>
      <c r="R101" s="77">
        <v>17.600000000000001</v>
      </c>
      <c r="S101" s="77">
        <v>84</v>
      </c>
      <c r="T101" s="16">
        <f t="shared" si="7"/>
        <v>36</v>
      </c>
      <c r="U101" s="77">
        <v>880</v>
      </c>
      <c r="V101" s="16">
        <f t="shared" si="4"/>
        <v>16</v>
      </c>
      <c r="W101" s="77">
        <v>3</v>
      </c>
      <c r="X101" s="77" t="s">
        <v>35</v>
      </c>
      <c r="Y101" s="77" t="s">
        <v>76</v>
      </c>
      <c r="Z101" s="77" t="s">
        <v>72</v>
      </c>
      <c r="AA101" s="77" t="s">
        <v>55</v>
      </c>
      <c r="AB101" s="77" t="s">
        <v>162</v>
      </c>
    </row>
    <row r="102" spans="1:28" x14ac:dyDescent="0.15">
      <c r="A102" s="77" t="s">
        <v>46</v>
      </c>
      <c r="B102" s="77" t="s">
        <v>160</v>
      </c>
      <c r="C102" s="185">
        <v>2020</v>
      </c>
      <c r="D102" s="186" t="s">
        <v>328</v>
      </c>
      <c r="E102" s="77" t="s">
        <v>343</v>
      </c>
      <c r="F102" s="77" t="s">
        <v>344</v>
      </c>
      <c r="G102" s="77" t="s">
        <v>25</v>
      </c>
      <c r="H102" s="77" t="s">
        <v>164</v>
      </c>
      <c r="I102" s="77" t="s">
        <v>111</v>
      </c>
      <c r="J102" s="77" t="s">
        <v>27</v>
      </c>
      <c r="K102" s="77" t="s">
        <v>112</v>
      </c>
      <c r="L102" s="77">
        <v>2</v>
      </c>
      <c r="N102" s="77">
        <v>8</v>
      </c>
      <c r="O102" s="77">
        <v>0.53</v>
      </c>
      <c r="P102" s="77">
        <v>0.55000000000000004</v>
      </c>
      <c r="Q102" s="16">
        <f t="shared" si="5"/>
        <v>0.54</v>
      </c>
      <c r="R102" s="77">
        <v>15.5</v>
      </c>
      <c r="S102" s="77">
        <v>85</v>
      </c>
      <c r="T102" s="16">
        <f t="shared" si="7"/>
        <v>36</v>
      </c>
      <c r="U102" s="77">
        <v>880</v>
      </c>
      <c r="V102" s="16">
        <f t="shared" si="4"/>
        <v>16</v>
      </c>
      <c r="W102" s="77">
        <v>3</v>
      </c>
      <c r="X102" s="77" t="s">
        <v>35</v>
      </c>
      <c r="Y102" s="77" t="s">
        <v>76</v>
      </c>
      <c r="Z102" s="77" t="s">
        <v>72</v>
      </c>
      <c r="AA102" s="77" t="s">
        <v>55</v>
      </c>
      <c r="AB102" s="77" t="s">
        <v>162</v>
      </c>
    </row>
    <row r="103" spans="1:28" x14ac:dyDescent="0.15">
      <c r="A103" s="77" t="s">
        <v>46</v>
      </c>
      <c r="B103" s="77" t="s">
        <v>160</v>
      </c>
      <c r="C103" s="185">
        <v>2020</v>
      </c>
      <c r="D103" s="186" t="s">
        <v>328</v>
      </c>
      <c r="E103" s="77" t="s">
        <v>343</v>
      </c>
      <c r="F103" s="77" t="s">
        <v>344</v>
      </c>
      <c r="G103" s="77" t="s">
        <v>25</v>
      </c>
      <c r="H103" s="77" t="s">
        <v>164</v>
      </c>
      <c r="I103" s="77" t="s">
        <v>111</v>
      </c>
      <c r="J103" s="77" t="s">
        <v>27</v>
      </c>
      <c r="K103" s="77" t="s">
        <v>112</v>
      </c>
      <c r="L103" s="77">
        <v>3</v>
      </c>
      <c r="N103" s="77">
        <v>8</v>
      </c>
      <c r="O103" s="77">
        <v>0.51</v>
      </c>
      <c r="P103" s="77">
        <v>0.47</v>
      </c>
      <c r="Q103" s="16">
        <f t="shared" si="5"/>
        <v>0.49</v>
      </c>
      <c r="R103" s="77">
        <v>13.9</v>
      </c>
      <c r="S103" s="77">
        <v>86</v>
      </c>
      <c r="T103" s="16">
        <f t="shared" si="7"/>
        <v>36</v>
      </c>
      <c r="U103" s="77">
        <v>880</v>
      </c>
      <c r="V103" s="16">
        <f t="shared" si="4"/>
        <v>16</v>
      </c>
      <c r="W103" s="77">
        <v>3</v>
      </c>
      <c r="X103" s="77" t="s">
        <v>35</v>
      </c>
      <c r="Y103" s="77" t="s">
        <v>76</v>
      </c>
      <c r="Z103" s="77" t="s">
        <v>72</v>
      </c>
      <c r="AA103" s="77" t="s">
        <v>55</v>
      </c>
      <c r="AB103" s="77" t="s">
        <v>162</v>
      </c>
    </row>
    <row r="104" spans="1:28" x14ac:dyDescent="0.15">
      <c r="A104" s="77" t="s">
        <v>46</v>
      </c>
      <c r="B104" s="77" t="s">
        <v>160</v>
      </c>
      <c r="C104" s="185">
        <v>2020</v>
      </c>
      <c r="D104" s="186" t="s">
        <v>328</v>
      </c>
      <c r="E104" s="77" t="s">
        <v>343</v>
      </c>
      <c r="F104" s="77" t="s">
        <v>344</v>
      </c>
      <c r="G104" s="77" t="s">
        <v>25</v>
      </c>
      <c r="H104" s="77" t="s">
        <v>164</v>
      </c>
      <c r="I104" s="77" t="s">
        <v>111</v>
      </c>
      <c r="J104" s="77" t="s">
        <v>27</v>
      </c>
      <c r="K104" s="77" t="s">
        <v>112</v>
      </c>
      <c r="L104" s="77">
        <v>1</v>
      </c>
      <c r="N104" s="77">
        <v>1</v>
      </c>
      <c r="O104" s="77">
        <v>0.56999999999999995</v>
      </c>
      <c r="P104" s="77">
        <v>0.48</v>
      </c>
      <c r="Q104" s="16">
        <f t="shared" si="5"/>
        <v>0.52499999999999991</v>
      </c>
      <c r="R104" s="77">
        <v>17.5</v>
      </c>
      <c r="S104" s="77">
        <v>160</v>
      </c>
      <c r="T104" s="16">
        <f t="shared" si="7"/>
        <v>18</v>
      </c>
      <c r="U104" s="77">
        <v>98</v>
      </c>
      <c r="V104" s="16">
        <f t="shared" si="4"/>
        <v>36</v>
      </c>
      <c r="W104" s="77">
        <v>1</v>
      </c>
      <c r="X104" s="77" t="s">
        <v>35</v>
      </c>
      <c r="Y104" s="77" t="s">
        <v>76</v>
      </c>
      <c r="Z104" s="77" t="s">
        <v>72</v>
      </c>
      <c r="AA104" s="77" t="s">
        <v>55</v>
      </c>
      <c r="AB104" s="77" t="s">
        <v>162</v>
      </c>
    </row>
    <row r="105" spans="1:28" x14ac:dyDescent="0.15">
      <c r="A105" s="77" t="s">
        <v>46</v>
      </c>
      <c r="B105" s="77" t="s">
        <v>160</v>
      </c>
      <c r="C105" s="185">
        <v>2020</v>
      </c>
      <c r="D105" s="186" t="s">
        <v>328</v>
      </c>
      <c r="E105" s="77" t="s">
        <v>343</v>
      </c>
      <c r="F105" s="77" t="s">
        <v>344</v>
      </c>
      <c r="G105" s="77" t="s">
        <v>25</v>
      </c>
      <c r="H105" s="77" t="s">
        <v>164</v>
      </c>
      <c r="I105" s="77" t="s">
        <v>111</v>
      </c>
      <c r="J105" s="77" t="s">
        <v>27</v>
      </c>
      <c r="K105" s="77" t="s">
        <v>112</v>
      </c>
      <c r="L105" s="77">
        <v>2</v>
      </c>
      <c r="N105" s="77">
        <v>1</v>
      </c>
      <c r="O105" s="77">
        <v>0.51</v>
      </c>
      <c r="P105" s="77">
        <v>0.6</v>
      </c>
      <c r="Q105" s="16">
        <f t="shared" si="5"/>
        <v>0.55499999999999994</v>
      </c>
      <c r="R105" s="77">
        <v>17</v>
      </c>
      <c r="S105" s="77">
        <v>162</v>
      </c>
      <c r="T105" s="16">
        <f t="shared" si="7"/>
        <v>18</v>
      </c>
      <c r="U105" s="77">
        <v>98</v>
      </c>
      <c r="V105" s="16">
        <f t="shared" si="4"/>
        <v>36</v>
      </c>
      <c r="W105" s="77">
        <v>1</v>
      </c>
      <c r="X105" s="77" t="s">
        <v>35</v>
      </c>
      <c r="Y105" s="77" t="s">
        <v>76</v>
      </c>
      <c r="Z105" s="77" t="s">
        <v>72</v>
      </c>
      <c r="AA105" s="77" t="s">
        <v>55</v>
      </c>
      <c r="AB105" s="77" t="s">
        <v>162</v>
      </c>
    </row>
    <row r="106" spans="1:28" x14ac:dyDescent="0.15">
      <c r="A106" s="77" t="s">
        <v>46</v>
      </c>
      <c r="B106" s="77" t="s">
        <v>160</v>
      </c>
      <c r="C106" s="185">
        <v>2020</v>
      </c>
      <c r="D106" s="186" t="s">
        <v>328</v>
      </c>
      <c r="E106" s="77" t="s">
        <v>343</v>
      </c>
      <c r="F106" s="77" t="s">
        <v>344</v>
      </c>
      <c r="G106" s="77" t="s">
        <v>25</v>
      </c>
      <c r="H106" s="77" t="s">
        <v>164</v>
      </c>
      <c r="I106" s="77" t="s">
        <v>111</v>
      </c>
      <c r="J106" s="77" t="s">
        <v>27</v>
      </c>
      <c r="K106" s="77" t="s">
        <v>112</v>
      </c>
      <c r="L106" s="77">
        <v>3</v>
      </c>
      <c r="N106" s="77">
        <v>1</v>
      </c>
      <c r="O106" s="77">
        <v>0.53</v>
      </c>
      <c r="P106" s="77">
        <v>0.61</v>
      </c>
      <c r="Q106" s="16">
        <f t="shared" si="5"/>
        <v>0.57000000000000006</v>
      </c>
      <c r="R106" s="77">
        <v>17.8</v>
      </c>
      <c r="S106" s="77">
        <v>155</v>
      </c>
      <c r="T106" s="16">
        <f t="shared" si="7"/>
        <v>18</v>
      </c>
      <c r="U106" s="77">
        <v>98</v>
      </c>
      <c r="V106" s="16">
        <f t="shared" si="4"/>
        <v>36</v>
      </c>
      <c r="W106" s="77">
        <v>1</v>
      </c>
      <c r="X106" s="77" t="s">
        <v>35</v>
      </c>
      <c r="Y106" s="77" t="s">
        <v>76</v>
      </c>
      <c r="Z106" s="77" t="s">
        <v>72</v>
      </c>
      <c r="AA106" s="77" t="s">
        <v>55</v>
      </c>
      <c r="AB106" s="77" t="s">
        <v>162</v>
      </c>
    </row>
    <row r="107" spans="1:28" x14ac:dyDescent="0.15">
      <c r="A107" s="77" t="s">
        <v>46</v>
      </c>
      <c r="B107" s="77" t="s">
        <v>160</v>
      </c>
      <c r="C107" s="185">
        <v>2020</v>
      </c>
      <c r="D107" s="186" t="s">
        <v>328</v>
      </c>
      <c r="E107" s="77" t="s">
        <v>343</v>
      </c>
      <c r="F107" s="77" t="s">
        <v>344</v>
      </c>
      <c r="G107" s="77" t="s">
        <v>25</v>
      </c>
      <c r="H107" s="77" t="s">
        <v>164</v>
      </c>
      <c r="I107" s="77" t="s">
        <v>111</v>
      </c>
      <c r="J107" s="77" t="s">
        <v>27</v>
      </c>
      <c r="K107" s="77" t="s">
        <v>112</v>
      </c>
      <c r="L107" s="77">
        <v>1</v>
      </c>
      <c r="N107" s="77">
        <v>10</v>
      </c>
      <c r="O107" s="77">
        <v>0.56000000000000005</v>
      </c>
      <c r="P107" s="77">
        <v>0.55000000000000004</v>
      </c>
      <c r="Q107" s="16">
        <f t="shared" si="5"/>
        <v>0.55500000000000005</v>
      </c>
      <c r="R107" s="77">
        <v>13.9</v>
      </c>
      <c r="S107" s="77">
        <v>80</v>
      </c>
      <c r="T107" s="16">
        <f t="shared" si="7"/>
        <v>39</v>
      </c>
      <c r="U107" s="77">
        <v>780</v>
      </c>
      <c r="V107" s="16">
        <f t="shared" si="4"/>
        <v>16</v>
      </c>
      <c r="W107" s="77">
        <v>1</v>
      </c>
      <c r="X107" s="77" t="s">
        <v>35</v>
      </c>
      <c r="Y107" s="77" t="s">
        <v>76</v>
      </c>
      <c r="Z107" s="77" t="s">
        <v>72</v>
      </c>
      <c r="AA107" s="77" t="s">
        <v>55</v>
      </c>
      <c r="AB107" s="77" t="s">
        <v>162</v>
      </c>
    </row>
    <row r="108" spans="1:28" x14ac:dyDescent="0.15">
      <c r="A108" s="77" t="s">
        <v>46</v>
      </c>
      <c r="B108" s="77" t="s">
        <v>160</v>
      </c>
      <c r="C108" s="185">
        <v>2020</v>
      </c>
      <c r="D108" s="186" t="s">
        <v>328</v>
      </c>
      <c r="E108" s="77" t="s">
        <v>343</v>
      </c>
      <c r="F108" s="77" t="s">
        <v>344</v>
      </c>
      <c r="G108" s="77" t="s">
        <v>25</v>
      </c>
      <c r="H108" s="77" t="s">
        <v>164</v>
      </c>
      <c r="I108" s="77" t="s">
        <v>111</v>
      </c>
      <c r="J108" s="77" t="s">
        <v>27</v>
      </c>
      <c r="K108" s="77" t="s">
        <v>112</v>
      </c>
      <c r="L108" s="77">
        <v>2</v>
      </c>
      <c r="N108" s="77">
        <v>10</v>
      </c>
      <c r="O108" s="77">
        <v>0.41</v>
      </c>
      <c r="P108" s="77">
        <v>0.4</v>
      </c>
      <c r="Q108" s="16">
        <f t="shared" si="5"/>
        <v>0.40500000000000003</v>
      </c>
      <c r="R108" s="77">
        <v>13.8</v>
      </c>
      <c r="S108" s="77">
        <v>84</v>
      </c>
      <c r="T108" s="16">
        <f t="shared" si="7"/>
        <v>36</v>
      </c>
      <c r="U108" s="77">
        <v>780</v>
      </c>
      <c r="V108" s="16">
        <f t="shared" si="4"/>
        <v>16</v>
      </c>
      <c r="W108" s="77">
        <v>1</v>
      </c>
      <c r="X108" s="77" t="s">
        <v>35</v>
      </c>
      <c r="Y108" s="77" t="s">
        <v>76</v>
      </c>
      <c r="Z108" s="77" t="s">
        <v>72</v>
      </c>
      <c r="AA108" s="77" t="s">
        <v>55</v>
      </c>
      <c r="AB108" s="77" t="s">
        <v>162</v>
      </c>
    </row>
    <row r="109" spans="1:28" x14ac:dyDescent="0.15">
      <c r="A109" s="77" t="s">
        <v>46</v>
      </c>
      <c r="B109" s="77" t="s">
        <v>160</v>
      </c>
      <c r="C109" s="185">
        <v>2020</v>
      </c>
      <c r="D109" s="186" t="s">
        <v>328</v>
      </c>
      <c r="E109" s="77" t="s">
        <v>343</v>
      </c>
      <c r="F109" s="77" t="s">
        <v>344</v>
      </c>
      <c r="G109" s="77" t="s">
        <v>25</v>
      </c>
      <c r="H109" s="77" t="s">
        <v>164</v>
      </c>
      <c r="I109" s="77" t="s">
        <v>111</v>
      </c>
      <c r="J109" s="77" t="s">
        <v>27</v>
      </c>
      <c r="K109" s="77" t="s">
        <v>112</v>
      </c>
      <c r="L109" s="77">
        <v>3</v>
      </c>
      <c r="N109" s="77">
        <v>10</v>
      </c>
      <c r="O109" s="77">
        <v>0.53</v>
      </c>
      <c r="P109" s="77">
        <v>0.48</v>
      </c>
      <c r="Q109" s="16">
        <f t="shared" si="5"/>
        <v>0.505</v>
      </c>
      <c r="R109" s="77">
        <v>13.9</v>
      </c>
      <c r="S109" s="77">
        <v>83</v>
      </c>
      <c r="T109" s="16">
        <f t="shared" si="7"/>
        <v>39</v>
      </c>
      <c r="U109" s="77">
        <v>780</v>
      </c>
      <c r="V109" s="16">
        <f t="shared" si="4"/>
        <v>16</v>
      </c>
      <c r="W109" s="77">
        <v>1</v>
      </c>
      <c r="X109" s="77" t="s">
        <v>35</v>
      </c>
      <c r="Y109" s="77" t="s">
        <v>76</v>
      </c>
      <c r="Z109" s="77" t="s">
        <v>72</v>
      </c>
      <c r="AA109" s="77" t="s">
        <v>55</v>
      </c>
      <c r="AB109" s="77" t="s">
        <v>162</v>
      </c>
    </row>
    <row r="110" spans="1:28" x14ac:dyDescent="0.15">
      <c r="A110" s="77" t="s">
        <v>46</v>
      </c>
      <c r="B110" s="77" t="s">
        <v>160</v>
      </c>
      <c r="C110" s="185">
        <v>2020</v>
      </c>
      <c r="D110" s="186" t="s">
        <v>328</v>
      </c>
      <c r="E110" s="77" t="s">
        <v>343</v>
      </c>
      <c r="F110" s="77" t="s">
        <v>344</v>
      </c>
      <c r="G110" s="77" t="s">
        <v>25</v>
      </c>
      <c r="H110" s="77" t="s">
        <v>113</v>
      </c>
      <c r="I110" s="77" t="s">
        <v>111</v>
      </c>
      <c r="J110" s="77" t="s">
        <v>27</v>
      </c>
      <c r="K110" s="77" t="s">
        <v>112</v>
      </c>
      <c r="L110" s="77">
        <v>1</v>
      </c>
      <c r="N110" s="77">
        <v>1</v>
      </c>
      <c r="O110" s="77">
        <v>0.45</v>
      </c>
      <c r="P110" s="77">
        <v>0.5</v>
      </c>
      <c r="Q110" s="16">
        <f t="shared" si="5"/>
        <v>0.47499999999999998</v>
      </c>
      <c r="R110" s="77">
        <v>15.1</v>
      </c>
      <c r="S110" s="77">
        <v>130</v>
      </c>
      <c r="T110" s="16">
        <f t="shared" si="7"/>
        <v>25</v>
      </c>
      <c r="U110" s="77">
        <v>98</v>
      </c>
      <c r="V110" s="16">
        <f t="shared" si="4"/>
        <v>36</v>
      </c>
      <c r="W110" s="77">
        <v>1</v>
      </c>
      <c r="X110" s="77" t="s">
        <v>35</v>
      </c>
      <c r="Y110" s="77" t="s">
        <v>76</v>
      </c>
      <c r="Z110" s="77" t="s">
        <v>72</v>
      </c>
      <c r="AA110" s="77" t="s">
        <v>55</v>
      </c>
      <c r="AB110" s="77" t="s">
        <v>162</v>
      </c>
    </row>
    <row r="111" spans="1:28" x14ac:dyDescent="0.15">
      <c r="A111" s="77" t="s">
        <v>46</v>
      </c>
      <c r="B111" s="77" t="s">
        <v>160</v>
      </c>
      <c r="C111" s="185">
        <v>2020</v>
      </c>
      <c r="D111" s="186" t="s">
        <v>328</v>
      </c>
      <c r="E111" s="77" t="s">
        <v>343</v>
      </c>
      <c r="F111" s="77" t="s">
        <v>344</v>
      </c>
      <c r="G111" s="77" t="s">
        <v>25</v>
      </c>
      <c r="H111" s="77" t="s">
        <v>113</v>
      </c>
      <c r="I111" s="77" t="s">
        <v>111</v>
      </c>
      <c r="J111" s="77" t="s">
        <v>27</v>
      </c>
      <c r="K111" s="77" t="s">
        <v>112</v>
      </c>
      <c r="L111" s="77">
        <v>2</v>
      </c>
      <c r="N111" s="77">
        <v>1</v>
      </c>
      <c r="O111" s="77">
        <v>0.4</v>
      </c>
      <c r="P111" s="77">
        <v>0.37</v>
      </c>
      <c r="Q111" s="16">
        <f t="shared" si="5"/>
        <v>0.38500000000000001</v>
      </c>
      <c r="R111" s="77">
        <v>14.8</v>
      </c>
      <c r="S111" s="77">
        <v>120</v>
      </c>
      <c r="T111" s="16">
        <f t="shared" si="7"/>
        <v>30</v>
      </c>
      <c r="U111" s="77">
        <v>98</v>
      </c>
      <c r="V111" s="16">
        <f t="shared" si="4"/>
        <v>36</v>
      </c>
      <c r="W111" s="77">
        <v>1</v>
      </c>
      <c r="X111" s="77" t="s">
        <v>35</v>
      </c>
      <c r="Y111" s="77" t="s">
        <v>76</v>
      </c>
      <c r="Z111" s="77" t="s">
        <v>72</v>
      </c>
      <c r="AA111" s="77" t="s">
        <v>55</v>
      </c>
      <c r="AB111" s="77" t="s">
        <v>162</v>
      </c>
    </row>
    <row r="112" spans="1:28" x14ac:dyDescent="0.15">
      <c r="A112" s="77" t="s">
        <v>46</v>
      </c>
      <c r="B112" s="77" t="s">
        <v>160</v>
      </c>
      <c r="C112" s="185">
        <v>2020</v>
      </c>
      <c r="D112" s="186" t="s">
        <v>328</v>
      </c>
      <c r="E112" s="77" t="s">
        <v>343</v>
      </c>
      <c r="F112" s="77" t="s">
        <v>344</v>
      </c>
      <c r="G112" s="77" t="s">
        <v>25</v>
      </c>
      <c r="H112" s="77" t="s">
        <v>113</v>
      </c>
      <c r="I112" s="77" t="s">
        <v>111</v>
      </c>
      <c r="J112" s="77" t="s">
        <v>27</v>
      </c>
      <c r="K112" s="77" t="s">
        <v>112</v>
      </c>
      <c r="L112" s="77">
        <v>3</v>
      </c>
      <c r="N112" s="77">
        <v>1</v>
      </c>
      <c r="O112" s="77">
        <v>0.48</v>
      </c>
      <c r="P112" s="77">
        <v>0.44</v>
      </c>
      <c r="Q112" s="16">
        <f t="shared" si="5"/>
        <v>0.45999999999999996</v>
      </c>
      <c r="R112" s="77">
        <v>14.7</v>
      </c>
      <c r="S112" s="77">
        <v>127</v>
      </c>
      <c r="T112" s="16">
        <f t="shared" si="7"/>
        <v>27</v>
      </c>
      <c r="U112" s="77">
        <v>98</v>
      </c>
      <c r="V112" s="16">
        <f t="shared" si="4"/>
        <v>36</v>
      </c>
      <c r="W112" s="77">
        <v>1</v>
      </c>
      <c r="X112" s="77" t="s">
        <v>35</v>
      </c>
      <c r="Y112" s="77" t="s">
        <v>76</v>
      </c>
      <c r="Z112" s="77" t="s">
        <v>72</v>
      </c>
      <c r="AA112" s="77" t="s">
        <v>55</v>
      </c>
      <c r="AB112" s="77" t="s">
        <v>162</v>
      </c>
    </row>
    <row r="113" spans="1:28" x14ac:dyDescent="0.15">
      <c r="A113" s="77" t="s">
        <v>46</v>
      </c>
      <c r="B113" s="77" t="s">
        <v>160</v>
      </c>
      <c r="C113" s="185">
        <v>2020</v>
      </c>
      <c r="D113" s="186" t="s">
        <v>328</v>
      </c>
      <c r="E113" s="77" t="s">
        <v>343</v>
      </c>
      <c r="F113" s="77" t="s">
        <v>344</v>
      </c>
      <c r="G113" s="77" t="s">
        <v>25</v>
      </c>
      <c r="H113" s="77" t="s">
        <v>107</v>
      </c>
      <c r="I113" s="77" t="s">
        <v>111</v>
      </c>
      <c r="J113" s="77" t="s">
        <v>66</v>
      </c>
      <c r="K113" s="77" t="s">
        <v>337</v>
      </c>
      <c r="L113" s="77">
        <v>1</v>
      </c>
      <c r="N113" s="77">
        <v>4</v>
      </c>
      <c r="O113" s="77">
        <v>0.65</v>
      </c>
      <c r="P113" s="77">
        <v>0.62</v>
      </c>
      <c r="Q113" s="16">
        <f t="shared" si="5"/>
        <v>0.63500000000000001</v>
      </c>
      <c r="R113" s="77">
        <v>14.1</v>
      </c>
      <c r="S113" s="77">
        <v>88</v>
      </c>
      <c r="T113" s="16">
        <f t="shared" si="7"/>
        <v>36</v>
      </c>
      <c r="U113" s="77">
        <v>298</v>
      </c>
      <c r="V113" s="16">
        <f t="shared" si="4"/>
        <v>16</v>
      </c>
      <c r="W113" s="77">
        <v>1</v>
      </c>
      <c r="X113" s="77" t="s">
        <v>35</v>
      </c>
      <c r="Y113" s="77" t="s">
        <v>76</v>
      </c>
      <c r="Z113" s="77" t="s">
        <v>72</v>
      </c>
      <c r="AA113" s="77" t="s">
        <v>55</v>
      </c>
      <c r="AB113" s="77" t="s">
        <v>162</v>
      </c>
    </row>
    <row r="114" spans="1:28" x14ac:dyDescent="0.15">
      <c r="A114" s="77" t="s">
        <v>46</v>
      </c>
      <c r="B114" s="77" t="s">
        <v>160</v>
      </c>
      <c r="C114" s="185">
        <v>2020</v>
      </c>
      <c r="D114" s="186" t="s">
        <v>328</v>
      </c>
      <c r="E114" s="77" t="s">
        <v>343</v>
      </c>
      <c r="F114" s="77" t="s">
        <v>344</v>
      </c>
      <c r="G114" s="77" t="s">
        <v>25</v>
      </c>
      <c r="H114" s="77" t="s">
        <v>107</v>
      </c>
      <c r="I114" s="77" t="s">
        <v>111</v>
      </c>
      <c r="J114" s="77" t="s">
        <v>66</v>
      </c>
      <c r="K114" s="77" t="s">
        <v>337</v>
      </c>
      <c r="L114" s="77">
        <v>2</v>
      </c>
      <c r="N114" s="77">
        <v>4</v>
      </c>
      <c r="O114" s="77">
        <v>0.81</v>
      </c>
      <c r="P114" s="77">
        <v>0.88</v>
      </c>
      <c r="Q114" s="16">
        <f t="shared" si="5"/>
        <v>0.84499999999999997</v>
      </c>
      <c r="R114" s="77">
        <v>12.8</v>
      </c>
      <c r="S114" s="77">
        <v>87</v>
      </c>
      <c r="T114" s="16">
        <f t="shared" si="7"/>
        <v>36</v>
      </c>
      <c r="U114" s="77">
        <v>298</v>
      </c>
      <c r="V114" s="16">
        <f t="shared" si="4"/>
        <v>16</v>
      </c>
      <c r="W114" s="77">
        <v>1</v>
      </c>
      <c r="X114" s="77" t="s">
        <v>35</v>
      </c>
      <c r="Y114" s="77" t="s">
        <v>76</v>
      </c>
      <c r="Z114" s="77" t="s">
        <v>72</v>
      </c>
      <c r="AA114" s="77" t="s">
        <v>55</v>
      </c>
      <c r="AB114" s="77" t="s">
        <v>162</v>
      </c>
    </row>
    <row r="115" spans="1:28" x14ac:dyDescent="0.15">
      <c r="A115" s="77" t="s">
        <v>46</v>
      </c>
      <c r="B115" s="77" t="s">
        <v>160</v>
      </c>
      <c r="C115" s="185">
        <v>2020</v>
      </c>
      <c r="D115" s="186" t="s">
        <v>328</v>
      </c>
      <c r="E115" s="77" t="s">
        <v>343</v>
      </c>
      <c r="F115" s="77" t="s">
        <v>344</v>
      </c>
      <c r="G115" s="77" t="s">
        <v>25</v>
      </c>
      <c r="H115" s="77" t="s">
        <v>107</v>
      </c>
      <c r="I115" s="77" t="s">
        <v>111</v>
      </c>
      <c r="J115" s="77" t="s">
        <v>66</v>
      </c>
      <c r="K115" s="77" t="s">
        <v>337</v>
      </c>
      <c r="L115" s="77">
        <v>3</v>
      </c>
      <c r="N115" s="77">
        <v>4</v>
      </c>
      <c r="O115" s="77">
        <v>0.82</v>
      </c>
      <c r="P115" s="77">
        <v>0.78</v>
      </c>
      <c r="Q115" s="16">
        <f t="shared" si="5"/>
        <v>0.8</v>
      </c>
      <c r="R115" s="77">
        <v>13.2</v>
      </c>
      <c r="S115" s="77">
        <v>90</v>
      </c>
      <c r="T115" s="16">
        <f t="shared" si="7"/>
        <v>36</v>
      </c>
      <c r="U115" s="77">
        <v>298</v>
      </c>
      <c r="V115" s="16">
        <f t="shared" si="4"/>
        <v>16</v>
      </c>
      <c r="W115" s="77">
        <v>1</v>
      </c>
      <c r="X115" s="77" t="s">
        <v>35</v>
      </c>
      <c r="Y115" s="77" t="s">
        <v>76</v>
      </c>
      <c r="Z115" s="77" t="s">
        <v>72</v>
      </c>
      <c r="AA115" s="77" t="s">
        <v>55</v>
      </c>
      <c r="AB115" s="77" t="s">
        <v>162</v>
      </c>
    </row>
    <row r="116" spans="1:28" x14ac:dyDescent="0.15">
      <c r="C116" s="185"/>
      <c r="D116" s="186"/>
    </row>
    <row r="117" spans="1:28" x14ac:dyDescent="0.15">
      <c r="C117" s="185"/>
      <c r="D117" s="186"/>
    </row>
    <row r="118" spans="1:28" x14ac:dyDescent="0.15">
      <c r="C118" s="185"/>
      <c r="D118" s="186"/>
    </row>
    <row r="119" spans="1:28" x14ac:dyDescent="0.15">
      <c r="Q119" s="16" t="str">
        <f t="shared" si="5"/>
        <v/>
      </c>
      <c r="T119" s="16" t="str">
        <f t="shared" si="3"/>
        <v/>
      </c>
      <c r="V119" s="16" t="str">
        <f t="shared" si="4"/>
        <v/>
      </c>
    </row>
    <row r="120" spans="1:28" x14ac:dyDescent="0.15">
      <c r="Q120" s="16" t="str">
        <f t="shared" si="5"/>
        <v/>
      </c>
      <c r="T120" s="16" t="str">
        <f t="shared" si="3"/>
        <v/>
      </c>
      <c r="V120" s="16" t="str">
        <f t="shared" si="4"/>
        <v/>
      </c>
    </row>
    <row r="121" spans="1:28" x14ac:dyDescent="0.15">
      <c r="Q121" s="16" t="str">
        <f t="shared" si="5"/>
        <v/>
      </c>
      <c r="T121" s="16" t="str">
        <f t="shared" si="3"/>
        <v/>
      </c>
      <c r="V121" s="16" t="str">
        <f t="shared" si="4"/>
        <v/>
      </c>
    </row>
    <row r="122" spans="1:28" x14ac:dyDescent="0.15">
      <c r="Q122" s="16" t="str">
        <f t="shared" si="5"/>
        <v/>
      </c>
      <c r="T122" s="16" t="str">
        <f t="shared" si="3"/>
        <v/>
      </c>
      <c r="V122" s="16" t="str">
        <f t="shared" si="4"/>
        <v/>
      </c>
    </row>
    <row r="123" spans="1:28" x14ac:dyDescent="0.15">
      <c r="Q123" s="16" t="str">
        <f t="shared" si="5"/>
        <v/>
      </c>
      <c r="T123" s="16" t="str">
        <f t="shared" si="3"/>
        <v/>
      </c>
      <c r="V123" s="16" t="str">
        <f t="shared" si="4"/>
        <v/>
      </c>
    </row>
    <row r="124" spans="1:28" x14ac:dyDescent="0.15">
      <c r="Q124" s="16" t="str">
        <f t="shared" si="5"/>
        <v/>
      </c>
      <c r="T124" s="16" t="str">
        <f t="shared" si="3"/>
        <v/>
      </c>
      <c r="V124" s="16" t="str">
        <f t="shared" si="4"/>
        <v/>
      </c>
    </row>
    <row r="125" spans="1:28" x14ac:dyDescent="0.15">
      <c r="Q125" s="16" t="str">
        <f t="shared" si="5"/>
        <v/>
      </c>
      <c r="T125" s="16" t="str">
        <f t="shared" si="3"/>
        <v/>
      </c>
      <c r="V125" s="16" t="str">
        <f t="shared" si="4"/>
        <v/>
      </c>
    </row>
    <row r="126" spans="1:28" x14ac:dyDescent="0.15">
      <c r="Q126" s="16" t="str">
        <f t="shared" si="5"/>
        <v/>
      </c>
      <c r="T126" s="16" t="str">
        <f t="shared" si="3"/>
        <v/>
      </c>
      <c r="V126" s="16" t="str">
        <f t="shared" si="4"/>
        <v/>
      </c>
    </row>
    <row r="127" spans="1:28" x14ac:dyDescent="0.15">
      <c r="Q127" s="16" t="str">
        <f t="shared" si="5"/>
        <v/>
      </c>
      <c r="T127" s="16" t="str">
        <f t="shared" si="3"/>
        <v/>
      </c>
      <c r="V127" s="16" t="str">
        <f t="shared" si="4"/>
        <v/>
      </c>
    </row>
    <row r="128" spans="1:28" x14ac:dyDescent="0.15">
      <c r="Q128" s="16" t="str">
        <f t="shared" si="5"/>
        <v/>
      </c>
      <c r="T128" s="16" t="str">
        <f t="shared" si="3"/>
        <v/>
      </c>
      <c r="V128" s="16" t="str">
        <f t="shared" si="4"/>
        <v/>
      </c>
    </row>
    <row r="129" spans="17:22" x14ac:dyDescent="0.15">
      <c r="Q129" s="16" t="str">
        <f t="shared" si="5"/>
        <v/>
      </c>
      <c r="T129" s="16" t="str">
        <f t="shared" si="3"/>
        <v/>
      </c>
      <c r="V129" s="16" t="str">
        <f t="shared" si="4"/>
        <v/>
      </c>
    </row>
    <row r="130" spans="17:22" x14ac:dyDescent="0.15">
      <c r="Q130" s="16" t="str">
        <f t="shared" si="5"/>
        <v/>
      </c>
      <c r="T130" s="16" t="str">
        <f t="shared" si="3"/>
        <v/>
      </c>
      <c r="V130" s="16" t="str">
        <f t="shared" si="4"/>
        <v/>
      </c>
    </row>
    <row r="131" spans="17:22" x14ac:dyDescent="0.15">
      <c r="Q131" s="16" t="str">
        <f t="shared" si="5"/>
        <v/>
      </c>
      <c r="T131" s="16" t="str">
        <f t="shared" si="3"/>
        <v/>
      </c>
      <c r="V131" s="16" t="str">
        <f t="shared" si="4"/>
        <v/>
      </c>
    </row>
    <row r="132" spans="17:22" x14ac:dyDescent="0.15">
      <c r="Q132" s="16" t="str">
        <f t="shared" si="5"/>
        <v/>
      </c>
      <c r="T132" s="16" t="str">
        <f t="shared" si="3"/>
        <v/>
      </c>
      <c r="V132" s="16" t="str">
        <f t="shared" si="4"/>
        <v/>
      </c>
    </row>
    <row r="133" spans="17:22" x14ac:dyDescent="0.15">
      <c r="Q133" s="16" t="str">
        <f t="shared" si="5"/>
        <v/>
      </c>
      <c r="T133" s="16" t="str">
        <f t="shared" si="3"/>
        <v/>
      </c>
      <c r="V133" s="16" t="str">
        <f t="shared" si="4"/>
        <v/>
      </c>
    </row>
    <row r="134" spans="17:22" x14ac:dyDescent="0.15">
      <c r="Q134" s="16" t="str">
        <f t="shared" si="5"/>
        <v/>
      </c>
      <c r="T134" s="16" t="str">
        <f t="shared" si="3"/>
        <v/>
      </c>
      <c r="V134" s="16" t="str">
        <f t="shared" si="4"/>
        <v/>
      </c>
    </row>
    <row r="135" spans="17:22" x14ac:dyDescent="0.15">
      <c r="Q135" s="16" t="str">
        <f t="shared" si="5"/>
        <v/>
      </c>
      <c r="T135" s="16" t="str">
        <f t="shared" si="3"/>
        <v/>
      </c>
      <c r="V135" s="16" t="str">
        <f t="shared" si="4"/>
        <v/>
      </c>
    </row>
    <row r="136" spans="17:22" x14ac:dyDescent="0.15">
      <c r="Q136" s="16" t="str">
        <f t="shared" si="5"/>
        <v/>
      </c>
      <c r="T136" s="16" t="str">
        <f t="shared" si="3"/>
        <v/>
      </c>
      <c r="V136" s="16" t="str">
        <f t="shared" si="4"/>
        <v/>
      </c>
    </row>
    <row r="137" spans="17:22" x14ac:dyDescent="0.15">
      <c r="Q137" s="16" t="str">
        <f t="shared" si="5"/>
        <v/>
      </c>
      <c r="T137" s="16" t="str">
        <f t="shared" si="3"/>
        <v/>
      </c>
      <c r="V137" s="16" t="str">
        <f t="shared" si="4"/>
        <v/>
      </c>
    </row>
    <row r="138" spans="17:22" x14ac:dyDescent="0.15">
      <c r="Q138" s="16" t="str">
        <f t="shared" si="5"/>
        <v/>
      </c>
      <c r="T138" s="16" t="str">
        <f t="shared" ref="T138:T152" si="8">IF(H138="","",IF(OR(H138="GREEN",H138="GK"),IF(S138&gt;=$AX$2,VLOOKUP(S138,$AX$2:$AY$12,2,1),""),IF(S138&gt;=$AZ$2,VLOOKUP(S138,$AZ$2:$BA$12,2,1),"")))</f>
        <v/>
      </c>
      <c r="V138" s="16" t="str">
        <f t="shared" si="4"/>
        <v/>
      </c>
    </row>
    <row r="139" spans="17:22" x14ac:dyDescent="0.15">
      <c r="Q139" s="16" t="str">
        <f t="shared" si="5"/>
        <v/>
      </c>
      <c r="T139" s="16" t="str">
        <f t="shared" si="8"/>
        <v/>
      </c>
      <c r="V139" s="16" t="str">
        <f t="shared" si="4"/>
        <v/>
      </c>
    </row>
    <row r="140" spans="17:22" x14ac:dyDescent="0.15">
      <c r="Q140" s="16" t="str">
        <f t="shared" si="5"/>
        <v/>
      </c>
      <c r="T140" s="16" t="str">
        <f t="shared" si="8"/>
        <v/>
      </c>
      <c r="V140" s="16" t="str">
        <f t="shared" si="4"/>
        <v/>
      </c>
    </row>
    <row r="141" spans="17:22" x14ac:dyDescent="0.15">
      <c r="Q141" s="16" t="str">
        <f t="shared" si="5"/>
        <v/>
      </c>
      <c r="T141" s="16" t="str">
        <f t="shared" si="8"/>
        <v/>
      </c>
      <c r="V141" s="16" t="str">
        <f t="shared" si="4"/>
        <v/>
      </c>
    </row>
    <row r="142" spans="17:22" x14ac:dyDescent="0.15">
      <c r="Q142" s="16" t="str">
        <f t="shared" si="5"/>
        <v/>
      </c>
      <c r="T142" s="16" t="str">
        <f t="shared" si="8"/>
        <v/>
      </c>
      <c r="V142" s="16" t="str">
        <f t="shared" si="4"/>
        <v/>
      </c>
    </row>
    <row r="143" spans="17:22" x14ac:dyDescent="0.15">
      <c r="Q143" s="16" t="str">
        <f t="shared" si="5"/>
        <v/>
      </c>
      <c r="T143" s="16" t="str">
        <f t="shared" si="8"/>
        <v/>
      </c>
      <c r="V143" s="16" t="str">
        <f t="shared" si="4"/>
        <v/>
      </c>
    </row>
    <row r="144" spans="17:22" x14ac:dyDescent="0.15">
      <c r="Q144" s="16" t="str">
        <f t="shared" si="5"/>
        <v/>
      </c>
      <c r="T144" s="16" t="str">
        <f t="shared" si="8"/>
        <v/>
      </c>
      <c r="V144" s="16" t="str">
        <f t="shared" si="4"/>
        <v/>
      </c>
    </row>
    <row r="145" spans="17:22" x14ac:dyDescent="0.15">
      <c r="Q145" s="16" t="str">
        <f t="shared" si="5"/>
        <v/>
      </c>
      <c r="T145" s="16" t="str">
        <f t="shared" si="8"/>
        <v/>
      </c>
      <c r="V145" s="16" t="str">
        <f t="shared" si="4"/>
        <v/>
      </c>
    </row>
    <row r="146" spans="17:22" x14ac:dyDescent="0.15">
      <c r="Q146" s="16" t="str">
        <f t="shared" si="5"/>
        <v/>
      </c>
      <c r="T146" s="16" t="str">
        <f t="shared" si="8"/>
        <v/>
      </c>
      <c r="V146" s="16" t="str">
        <f t="shared" si="4"/>
        <v/>
      </c>
    </row>
    <row r="147" spans="17:22" x14ac:dyDescent="0.15">
      <c r="Q147" s="16" t="str">
        <f t="shared" si="5"/>
        <v/>
      </c>
      <c r="T147" s="16" t="str">
        <f t="shared" si="8"/>
        <v/>
      </c>
      <c r="V147" s="16" t="str">
        <f t="shared" si="4"/>
        <v/>
      </c>
    </row>
    <row r="148" spans="17:22" x14ac:dyDescent="0.15">
      <c r="Q148" s="16" t="str">
        <f t="shared" si="5"/>
        <v/>
      </c>
      <c r="T148" s="16" t="str">
        <f t="shared" si="8"/>
        <v/>
      </c>
      <c r="V148" s="16" t="str">
        <f t="shared" si="4"/>
        <v/>
      </c>
    </row>
    <row r="149" spans="17:22" x14ac:dyDescent="0.15">
      <c r="Q149" s="16" t="str">
        <f t="shared" si="5"/>
        <v/>
      </c>
      <c r="T149" s="16" t="str">
        <f t="shared" si="8"/>
        <v/>
      </c>
      <c r="V149" s="16" t="str">
        <f t="shared" si="4"/>
        <v/>
      </c>
    </row>
    <row r="150" spans="17:22" x14ac:dyDescent="0.15">
      <c r="Q150" s="16" t="str">
        <f t="shared" si="5"/>
        <v/>
      </c>
      <c r="T150" s="16" t="str">
        <f t="shared" si="8"/>
        <v/>
      </c>
      <c r="V150" s="16" t="str">
        <f t="shared" si="4"/>
        <v/>
      </c>
    </row>
    <row r="151" spans="17:22" x14ac:dyDescent="0.15">
      <c r="Q151" s="16" t="str">
        <f t="shared" ref="Q151:Q152" si="9">IF(OR(O151="",P151=""),"",AVERAGE(O151,P151))</f>
        <v/>
      </c>
      <c r="T151" s="16" t="str">
        <f t="shared" si="8"/>
        <v/>
      </c>
      <c r="V151" s="16" t="str">
        <f t="shared" si="4"/>
        <v/>
      </c>
    </row>
    <row r="152" spans="17:22" x14ac:dyDescent="0.15">
      <c r="Q152" s="16" t="str">
        <f t="shared" si="9"/>
        <v/>
      </c>
      <c r="T152" s="16" t="str">
        <f t="shared" si="8"/>
        <v/>
      </c>
      <c r="V152" s="16" t="str">
        <f t="shared" si="4"/>
        <v/>
      </c>
    </row>
  </sheetData>
  <autoFilter ref="A1:BA152" xr:uid="{00000000-0009-0000-0000-000005000000}"/>
  <phoneticPr fontId="3"/>
  <dataValidations count="20">
    <dataValidation type="list" allowBlank="1" showInputMessage="1" showErrorMessage="1" sqref="K2:K1000" xr:uid="{C976A5A0-32D5-4EF0-929C-F9E6C02903CD}">
      <formula1>$AR$2:$AR$29</formula1>
    </dataValidation>
    <dataValidation type="list" allowBlank="1" showInputMessage="1" showErrorMessage="1" sqref="J2:J1000" xr:uid="{5711DD74-8E17-4DF8-9726-E7B158780B41}">
      <formula1>$AP$2:$AP$29</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696D692C-72D7-49C2-94E6-1F3FA053B45C}">
      <formula1>$AR$2:$AR$30</formula1>
    </dataValidation>
    <dataValidation type="list" allowBlank="1" showInputMessage="1" showErrorMessage="1" sqref="H2:H1307" xr:uid="{D5188852-13AF-4442-B6C0-A7919BF4A12A}">
      <formula1>$AL$2:$AL$9</formula1>
    </dataValidation>
    <dataValidation type="list" allowBlank="1" showInputMessage="1" showErrorMessage="1" sqref="WVS983034:WVS983099 FAY2:FAY59 JG65530:JG65595 TC65530:TC65595 ACY65530:ACY65595 AMU65530:AMU65595 AWQ65530:AWQ65595 BGM65530:BGM65595 BQI65530:BQI65595 CAE65530:CAE65595 CKA65530:CKA65595 CTW65530:CTW65595 DDS65530:DDS65595 DNO65530:DNO65595 DXK65530:DXK65595 EHG65530:EHG65595 ERC65530:ERC65595 FAY65530:FAY65595 FKU65530:FKU65595 FUQ65530:FUQ65595 GEM65530:GEM65595 GOI65530:GOI65595 GYE65530:GYE65595 HIA65530:HIA65595 HRW65530:HRW65595 IBS65530:IBS65595 ILO65530:ILO65595 IVK65530:IVK65595 JFG65530:JFG65595 JPC65530:JPC65595 JYY65530:JYY65595 KIU65530:KIU65595 KSQ65530:KSQ65595 LCM65530:LCM65595 LMI65530:LMI65595 LWE65530:LWE65595 MGA65530:MGA65595 MPW65530:MPW65595 MZS65530:MZS65595 NJO65530:NJO65595 NTK65530:NTK65595 ODG65530:ODG65595 ONC65530:ONC65595 OWY65530:OWY65595 PGU65530:PGU65595 PQQ65530:PQQ65595 QAM65530:QAM65595 QKI65530:QKI65595 QUE65530:QUE65595 REA65530:REA65595 RNW65530:RNW65595 RXS65530:RXS65595 SHO65530:SHO65595 SRK65530:SRK65595 TBG65530:TBG65595 TLC65530:TLC65595 TUY65530:TUY65595 UEU65530:UEU65595 UOQ65530:UOQ65595 UYM65530:UYM65595 VII65530:VII65595 VSE65530:VSE65595 WCA65530:WCA65595 WLW65530:WLW65595 WVS65530:WVS65595 ERC2:ERC59 JG131066:JG131131 TC131066:TC131131 ACY131066:ACY131131 AMU131066:AMU131131 AWQ131066:AWQ131131 BGM131066:BGM131131 BQI131066:BQI131131 CAE131066:CAE131131 CKA131066:CKA131131 CTW131066:CTW131131 DDS131066:DDS131131 DNO131066:DNO131131 DXK131066:DXK131131 EHG131066:EHG131131 ERC131066:ERC131131 FAY131066:FAY131131 FKU131066:FKU131131 FUQ131066:FUQ131131 GEM131066:GEM131131 GOI131066:GOI131131 GYE131066:GYE131131 HIA131066:HIA131131 HRW131066:HRW131131 IBS131066:IBS131131 ILO131066:ILO131131 IVK131066:IVK131131 JFG131066:JFG131131 JPC131066:JPC131131 JYY131066:JYY131131 KIU131066:KIU131131 KSQ131066:KSQ131131 LCM131066:LCM131131 LMI131066:LMI131131 LWE131066:LWE131131 MGA131066:MGA131131 MPW131066:MPW131131 MZS131066:MZS131131 NJO131066:NJO131131 NTK131066:NTK131131 ODG131066:ODG131131 ONC131066:ONC131131 OWY131066:OWY131131 PGU131066:PGU131131 PQQ131066:PQQ131131 QAM131066:QAM131131 QKI131066:QKI131131 QUE131066:QUE131131 REA131066:REA131131 RNW131066:RNW131131 RXS131066:RXS131131 SHO131066:SHO131131 SRK131066:SRK131131 TBG131066:TBG131131 TLC131066:TLC131131 TUY131066:TUY131131 UEU131066:UEU131131 UOQ131066:UOQ131131 UYM131066:UYM131131 VII131066:VII131131 VSE131066:VSE131131 WCA131066:WCA131131 WLW131066:WLW131131 WVS131066:WVS131131 EHG2:EHG59 JG196602:JG196667 TC196602:TC196667 ACY196602:ACY196667 AMU196602:AMU196667 AWQ196602:AWQ196667 BGM196602:BGM196667 BQI196602:BQI196667 CAE196602:CAE196667 CKA196602:CKA196667 CTW196602:CTW196667 DDS196602:DDS196667 DNO196602:DNO196667 DXK196602:DXK196667 EHG196602:EHG196667 ERC196602:ERC196667 FAY196602:FAY196667 FKU196602:FKU196667 FUQ196602:FUQ196667 GEM196602:GEM196667 GOI196602:GOI196667 GYE196602:GYE196667 HIA196602:HIA196667 HRW196602:HRW196667 IBS196602:IBS196667 ILO196602:ILO196667 IVK196602:IVK196667 JFG196602:JFG196667 JPC196602:JPC196667 JYY196602:JYY196667 KIU196602:KIU196667 KSQ196602:KSQ196667 LCM196602:LCM196667 LMI196602:LMI196667 LWE196602:LWE196667 MGA196602:MGA196667 MPW196602:MPW196667 MZS196602:MZS196667 NJO196602:NJO196667 NTK196602:NTK196667 ODG196602:ODG196667 ONC196602:ONC196667 OWY196602:OWY196667 PGU196602:PGU196667 PQQ196602:PQQ196667 QAM196602:QAM196667 QKI196602:QKI196667 QUE196602:QUE196667 REA196602:REA196667 RNW196602:RNW196667 RXS196602:RXS196667 SHO196602:SHO196667 SRK196602:SRK196667 TBG196602:TBG196667 TLC196602:TLC196667 TUY196602:TUY196667 UEU196602:UEU196667 UOQ196602:UOQ196667 UYM196602:UYM196667 VII196602:VII196667 VSE196602:VSE196667 WCA196602:WCA196667 WLW196602:WLW196667 WVS196602:WVS196667 DXK2:DXK59 JG262138:JG262203 TC262138:TC262203 ACY262138:ACY262203 AMU262138:AMU262203 AWQ262138:AWQ262203 BGM262138:BGM262203 BQI262138:BQI262203 CAE262138:CAE262203 CKA262138:CKA262203 CTW262138:CTW262203 DDS262138:DDS262203 DNO262138:DNO262203 DXK262138:DXK262203 EHG262138:EHG262203 ERC262138:ERC262203 FAY262138:FAY262203 FKU262138:FKU262203 FUQ262138:FUQ262203 GEM262138:GEM262203 GOI262138:GOI262203 GYE262138:GYE262203 HIA262138:HIA262203 HRW262138:HRW262203 IBS262138:IBS262203 ILO262138:ILO262203 IVK262138:IVK262203 JFG262138:JFG262203 JPC262138:JPC262203 JYY262138:JYY262203 KIU262138:KIU262203 KSQ262138:KSQ262203 LCM262138:LCM262203 LMI262138:LMI262203 LWE262138:LWE262203 MGA262138:MGA262203 MPW262138:MPW262203 MZS262138:MZS262203 NJO262138:NJO262203 NTK262138:NTK262203 ODG262138:ODG262203 ONC262138:ONC262203 OWY262138:OWY262203 PGU262138:PGU262203 PQQ262138:PQQ262203 QAM262138:QAM262203 QKI262138:QKI262203 QUE262138:QUE262203 REA262138:REA262203 RNW262138:RNW262203 RXS262138:RXS262203 SHO262138:SHO262203 SRK262138:SRK262203 TBG262138:TBG262203 TLC262138:TLC262203 TUY262138:TUY262203 UEU262138:UEU262203 UOQ262138:UOQ262203 UYM262138:UYM262203 VII262138:VII262203 VSE262138:VSE262203 WCA262138:WCA262203 WLW262138:WLW262203 WVS262138:WVS262203 DNO2:DNO59 JG327674:JG327739 TC327674:TC327739 ACY327674:ACY327739 AMU327674:AMU327739 AWQ327674:AWQ327739 BGM327674:BGM327739 BQI327674:BQI327739 CAE327674:CAE327739 CKA327674:CKA327739 CTW327674:CTW327739 DDS327674:DDS327739 DNO327674:DNO327739 DXK327674:DXK327739 EHG327674:EHG327739 ERC327674:ERC327739 FAY327674:FAY327739 FKU327674:FKU327739 FUQ327674:FUQ327739 GEM327674:GEM327739 GOI327674:GOI327739 GYE327674:GYE327739 HIA327674:HIA327739 HRW327674:HRW327739 IBS327674:IBS327739 ILO327674:ILO327739 IVK327674:IVK327739 JFG327674:JFG327739 JPC327674:JPC327739 JYY327674:JYY327739 KIU327674:KIU327739 KSQ327674:KSQ327739 LCM327674:LCM327739 LMI327674:LMI327739 LWE327674:LWE327739 MGA327674:MGA327739 MPW327674:MPW327739 MZS327674:MZS327739 NJO327674:NJO327739 NTK327674:NTK327739 ODG327674:ODG327739 ONC327674:ONC327739 OWY327674:OWY327739 PGU327674:PGU327739 PQQ327674:PQQ327739 QAM327674:QAM327739 QKI327674:QKI327739 QUE327674:QUE327739 REA327674:REA327739 RNW327674:RNW327739 RXS327674:RXS327739 SHO327674:SHO327739 SRK327674:SRK327739 TBG327674:TBG327739 TLC327674:TLC327739 TUY327674:TUY327739 UEU327674:UEU327739 UOQ327674:UOQ327739 UYM327674:UYM327739 VII327674:VII327739 VSE327674:VSE327739 WCA327674:WCA327739 WLW327674:WLW327739 WVS327674:WVS327739 DDS2:DDS59 JG393210:JG393275 TC393210:TC393275 ACY393210:ACY393275 AMU393210:AMU393275 AWQ393210:AWQ393275 BGM393210:BGM393275 BQI393210:BQI393275 CAE393210:CAE393275 CKA393210:CKA393275 CTW393210:CTW393275 DDS393210:DDS393275 DNO393210:DNO393275 DXK393210:DXK393275 EHG393210:EHG393275 ERC393210:ERC393275 FAY393210:FAY393275 FKU393210:FKU393275 FUQ393210:FUQ393275 GEM393210:GEM393275 GOI393210:GOI393275 GYE393210:GYE393275 HIA393210:HIA393275 HRW393210:HRW393275 IBS393210:IBS393275 ILO393210:ILO393275 IVK393210:IVK393275 JFG393210:JFG393275 JPC393210:JPC393275 JYY393210:JYY393275 KIU393210:KIU393275 KSQ393210:KSQ393275 LCM393210:LCM393275 LMI393210:LMI393275 LWE393210:LWE393275 MGA393210:MGA393275 MPW393210:MPW393275 MZS393210:MZS393275 NJO393210:NJO393275 NTK393210:NTK393275 ODG393210:ODG393275 ONC393210:ONC393275 OWY393210:OWY393275 PGU393210:PGU393275 PQQ393210:PQQ393275 QAM393210:QAM393275 QKI393210:QKI393275 QUE393210:QUE393275 REA393210:REA393275 RNW393210:RNW393275 RXS393210:RXS393275 SHO393210:SHO393275 SRK393210:SRK393275 TBG393210:TBG393275 TLC393210:TLC393275 TUY393210:TUY393275 UEU393210:UEU393275 UOQ393210:UOQ393275 UYM393210:UYM393275 VII393210:VII393275 VSE393210:VSE393275 WCA393210:WCA393275 WLW393210:WLW393275 WVS393210:WVS393275 CTW2:CTW59 JG458746:JG458811 TC458746:TC458811 ACY458746:ACY458811 AMU458746:AMU458811 AWQ458746:AWQ458811 BGM458746:BGM458811 BQI458746:BQI458811 CAE458746:CAE458811 CKA458746:CKA458811 CTW458746:CTW458811 DDS458746:DDS458811 DNO458746:DNO458811 DXK458746:DXK458811 EHG458746:EHG458811 ERC458746:ERC458811 FAY458746:FAY458811 FKU458746:FKU458811 FUQ458746:FUQ458811 GEM458746:GEM458811 GOI458746:GOI458811 GYE458746:GYE458811 HIA458746:HIA458811 HRW458746:HRW458811 IBS458746:IBS458811 ILO458746:ILO458811 IVK458746:IVK458811 JFG458746:JFG458811 JPC458746:JPC458811 JYY458746:JYY458811 KIU458746:KIU458811 KSQ458746:KSQ458811 LCM458746:LCM458811 LMI458746:LMI458811 LWE458746:LWE458811 MGA458746:MGA458811 MPW458746:MPW458811 MZS458746:MZS458811 NJO458746:NJO458811 NTK458746:NTK458811 ODG458746:ODG458811 ONC458746:ONC458811 OWY458746:OWY458811 PGU458746:PGU458811 PQQ458746:PQQ458811 QAM458746:QAM458811 QKI458746:QKI458811 QUE458746:QUE458811 REA458746:REA458811 RNW458746:RNW458811 RXS458746:RXS458811 SHO458746:SHO458811 SRK458746:SRK458811 TBG458746:TBG458811 TLC458746:TLC458811 TUY458746:TUY458811 UEU458746:UEU458811 UOQ458746:UOQ458811 UYM458746:UYM458811 VII458746:VII458811 VSE458746:VSE458811 WCA458746:WCA458811 WLW458746:WLW458811 WVS458746:WVS458811 CKA2:CKA59 JG524282:JG524347 TC524282:TC524347 ACY524282:ACY524347 AMU524282:AMU524347 AWQ524282:AWQ524347 BGM524282:BGM524347 BQI524282:BQI524347 CAE524282:CAE524347 CKA524282:CKA524347 CTW524282:CTW524347 DDS524282:DDS524347 DNO524282:DNO524347 DXK524282:DXK524347 EHG524282:EHG524347 ERC524282:ERC524347 FAY524282:FAY524347 FKU524282:FKU524347 FUQ524282:FUQ524347 GEM524282:GEM524347 GOI524282:GOI524347 GYE524282:GYE524347 HIA524282:HIA524347 HRW524282:HRW524347 IBS524282:IBS524347 ILO524282:ILO524347 IVK524282:IVK524347 JFG524282:JFG524347 JPC524282:JPC524347 JYY524282:JYY524347 KIU524282:KIU524347 KSQ524282:KSQ524347 LCM524282:LCM524347 LMI524282:LMI524347 LWE524282:LWE524347 MGA524282:MGA524347 MPW524282:MPW524347 MZS524282:MZS524347 NJO524282:NJO524347 NTK524282:NTK524347 ODG524282:ODG524347 ONC524282:ONC524347 OWY524282:OWY524347 PGU524282:PGU524347 PQQ524282:PQQ524347 QAM524282:QAM524347 QKI524282:QKI524347 QUE524282:QUE524347 REA524282:REA524347 RNW524282:RNW524347 RXS524282:RXS524347 SHO524282:SHO524347 SRK524282:SRK524347 TBG524282:TBG524347 TLC524282:TLC524347 TUY524282:TUY524347 UEU524282:UEU524347 UOQ524282:UOQ524347 UYM524282:UYM524347 VII524282:VII524347 VSE524282:VSE524347 WCA524282:WCA524347 WLW524282:WLW524347 WVS524282:WVS524347 CAE2:CAE59 JG589818:JG589883 TC589818:TC589883 ACY589818:ACY589883 AMU589818:AMU589883 AWQ589818:AWQ589883 BGM589818:BGM589883 BQI589818:BQI589883 CAE589818:CAE589883 CKA589818:CKA589883 CTW589818:CTW589883 DDS589818:DDS589883 DNO589818:DNO589883 DXK589818:DXK589883 EHG589818:EHG589883 ERC589818:ERC589883 FAY589818:FAY589883 FKU589818:FKU589883 FUQ589818:FUQ589883 GEM589818:GEM589883 GOI589818:GOI589883 GYE589818:GYE589883 HIA589818:HIA589883 HRW589818:HRW589883 IBS589818:IBS589883 ILO589818:ILO589883 IVK589818:IVK589883 JFG589818:JFG589883 JPC589818:JPC589883 JYY589818:JYY589883 KIU589818:KIU589883 KSQ589818:KSQ589883 LCM589818:LCM589883 LMI589818:LMI589883 LWE589818:LWE589883 MGA589818:MGA589883 MPW589818:MPW589883 MZS589818:MZS589883 NJO589818:NJO589883 NTK589818:NTK589883 ODG589818:ODG589883 ONC589818:ONC589883 OWY589818:OWY589883 PGU589818:PGU589883 PQQ589818:PQQ589883 QAM589818:QAM589883 QKI589818:QKI589883 QUE589818:QUE589883 REA589818:REA589883 RNW589818:RNW589883 RXS589818:RXS589883 SHO589818:SHO589883 SRK589818:SRK589883 TBG589818:TBG589883 TLC589818:TLC589883 TUY589818:TUY589883 UEU589818:UEU589883 UOQ589818:UOQ589883 UYM589818:UYM589883 VII589818:VII589883 VSE589818:VSE589883 WCA589818:WCA589883 WLW589818:WLW589883 WVS589818:WVS589883 BQI2:BQI59 JG655354:JG655419 TC655354:TC655419 ACY655354:ACY655419 AMU655354:AMU655419 AWQ655354:AWQ655419 BGM655354:BGM655419 BQI655354:BQI655419 CAE655354:CAE655419 CKA655354:CKA655419 CTW655354:CTW655419 DDS655354:DDS655419 DNO655354:DNO655419 DXK655354:DXK655419 EHG655354:EHG655419 ERC655354:ERC655419 FAY655354:FAY655419 FKU655354:FKU655419 FUQ655354:FUQ655419 GEM655354:GEM655419 GOI655354:GOI655419 GYE655354:GYE655419 HIA655354:HIA655419 HRW655354:HRW655419 IBS655354:IBS655419 ILO655354:ILO655419 IVK655354:IVK655419 JFG655354:JFG655419 JPC655354:JPC655419 JYY655354:JYY655419 KIU655354:KIU655419 KSQ655354:KSQ655419 LCM655354:LCM655419 LMI655354:LMI655419 LWE655354:LWE655419 MGA655354:MGA655419 MPW655354:MPW655419 MZS655354:MZS655419 NJO655354:NJO655419 NTK655354:NTK655419 ODG655354:ODG655419 ONC655354:ONC655419 OWY655354:OWY655419 PGU655354:PGU655419 PQQ655354:PQQ655419 QAM655354:QAM655419 QKI655354:QKI655419 QUE655354:QUE655419 REA655354:REA655419 RNW655354:RNW655419 RXS655354:RXS655419 SHO655354:SHO655419 SRK655354:SRK655419 TBG655354:TBG655419 TLC655354:TLC655419 TUY655354:TUY655419 UEU655354:UEU655419 UOQ655354:UOQ655419 UYM655354:UYM655419 VII655354:VII655419 VSE655354:VSE655419 WCA655354:WCA655419 WLW655354:WLW655419 WVS655354:WVS655419 BGM2:BGM59 JG720890:JG720955 TC720890:TC720955 ACY720890:ACY720955 AMU720890:AMU720955 AWQ720890:AWQ720955 BGM720890:BGM720955 BQI720890:BQI720955 CAE720890:CAE720955 CKA720890:CKA720955 CTW720890:CTW720955 DDS720890:DDS720955 DNO720890:DNO720955 DXK720890:DXK720955 EHG720890:EHG720955 ERC720890:ERC720955 FAY720890:FAY720955 FKU720890:FKU720955 FUQ720890:FUQ720955 GEM720890:GEM720955 GOI720890:GOI720955 GYE720890:GYE720955 HIA720890:HIA720955 HRW720890:HRW720955 IBS720890:IBS720955 ILO720890:ILO720955 IVK720890:IVK720955 JFG720890:JFG720955 JPC720890:JPC720955 JYY720890:JYY720955 KIU720890:KIU720955 KSQ720890:KSQ720955 LCM720890:LCM720955 LMI720890:LMI720955 LWE720890:LWE720955 MGA720890:MGA720955 MPW720890:MPW720955 MZS720890:MZS720955 NJO720890:NJO720955 NTK720890:NTK720955 ODG720890:ODG720955 ONC720890:ONC720955 OWY720890:OWY720955 PGU720890:PGU720955 PQQ720890:PQQ720955 QAM720890:QAM720955 QKI720890:QKI720955 QUE720890:QUE720955 REA720890:REA720955 RNW720890:RNW720955 RXS720890:RXS720955 SHO720890:SHO720955 SRK720890:SRK720955 TBG720890:TBG720955 TLC720890:TLC720955 TUY720890:TUY720955 UEU720890:UEU720955 UOQ720890:UOQ720955 UYM720890:UYM720955 VII720890:VII720955 VSE720890:VSE720955 WCA720890:WCA720955 WLW720890:WLW720955 WVS720890:WVS720955 AWQ2:AWQ59 JG786426:JG786491 TC786426:TC786491 ACY786426:ACY786491 AMU786426:AMU786491 AWQ786426:AWQ786491 BGM786426:BGM786491 BQI786426:BQI786491 CAE786426:CAE786491 CKA786426:CKA786491 CTW786426:CTW786491 DDS786426:DDS786491 DNO786426:DNO786491 DXK786426:DXK786491 EHG786426:EHG786491 ERC786426:ERC786491 FAY786426:FAY786491 FKU786426:FKU786491 FUQ786426:FUQ786491 GEM786426:GEM786491 GOI786426:GOI786491 GYE786426:GYE786491 HIA786426:HIA786491 HRW786426:HRW786491 IBS786426:IBS786491 ILO786426:ILO786491 IVK786426:IVK786491 JFG786426:JFG786491 JPC786426:JPC786491 JYY786426:JYY786491 KIU786426:KIU786491 KSQ786426:KSQ786491 LCM786426:LCM786491 LMI786426:LMI786491 LWE786426:LWE786491 MGA786426:MGA786491 MPW786426:MPW786491 MZS786426:MZS786491 NJO786426:NJO786491 NTK786426:NTK786491 ODG786426:ODG786491 ONC786426:ONC786491 OWY786426:OWY786491 PGU786426:PGU786491 PQQ786426:PQQ786491 QAM786426:QAM786491 QKI786426:QKI786491 QUE786426:QUE786491 REA786426:REA786491 RNW786426:RNW786491 RXS786426:RXS786491 SHO786426:SHO786491 SRK786426:SRK786491 TBG786426:TBG786491 TLC786426:TLC786491 TUY786426:TUY786491 UEU786426:UEU786491 UOQ786426:UOQ786491 UYM786426:UYM786491 VII786426:VII786491 VSE786426:VSE786491 WCA786426:WCA786491 WLW786426:WLW786491 WVS786426:WVS786491 AMU2:AMU59 JG851962:JG852027 TC851962:TC852027 ACY851962:ACY852027 AMU851962:AMU852027 AWQ851962:AWQ852027 BGM851962:BGM852027 BQI851962:BQI852027 CAE851962:CAE852027 CKA851962:CKA852027 CTW851962:CTW852027 DDS851962:DDS852027 DNO851962:DNO852027 DXK851962:DXK852027 EHG851962:EHG852027 ERC851962:ERC852027 FAY851962:FAY852027 FKU851962:FKU852027 FUQ851962:FUQ852027 GEM851962:GEM852027 GOI851962:GOI852027 GYE851962:GYE852027 HIA851962:HIA852027 HRW851962:HRW852027 IBS851962:IBS852027 ILO851962:ILO852027 IVK851962:IVK852027 JFG851962:JFG852027 JPC851962:JPC852027 JYY851962:JYY852027 KIU851962:KIU852027 KSQ851962:KSQ852027 LCM851962:LCM852027 LMI851962:LMI852027 LWE851962:LWE852027 MGA851962:MGA852027 MPW851962:MPW852027 MZS851962:MZS852027 NJO851962:NJO852027 NTK851962:NTK852027 ODG851962:ODG852027 ONC851962:ONC852027 OWY851962:OWY852027 PGU851962:PGU852027 PQQ851962:PQQ852027 QAM851962:QAM852027 QKI851962:QKI852027 QUE851962:QUE852027 REA851962:REA852027 RNW851962:RNW852027 RXS851962:RXS852027 SHO851962:SHO852027 SRK851962:SRK852027 TBG851962:TBG852027 TLC851962:TLC852027 TUY851962:TUY852027 UEU851962:UEU852027 UOQ851962:UOQ852027 UYM851962:UYM852027 VII851962:VII852027 VSE851962:VSE852027 WCA851962:WCA852027 WLW851962:WLW852027 WVS851962:WVS852027 ACY2:ACY59 JG917498:JG917563 TC917498:TC917563 ACY917498:ACY917563 AMU917498:AMU917563 AWQ917498:AWQ917563 BGM917498:BGM917563 BQI917498:BQI917563 CAE917498:CAE917563 CKA917498:CKA917563 CTW917498:CTW917563 DDS917498:DDS917563 DNO917498:DNO917563 DXK917498:DXK917563 EHG917498:EHG917563 ERC917498:ERC917563 FAY917498:FAY917563 FKU917498:FKU917563 FUQ917498:FUQ917563 GEM917498:GEM917563 GOI917498:GOI917563 GYE917498:GYE917563 HIA917498:HIA917563 HRW917498:HRW917563 IBS917498:IBS917563 ILO917498:ILO917563 IVK917498:IVK917563 JFG917498:JFG917563 JPC917498:JPC917563 JYY917498:JYY917563 KIU917498:KIU917563 KSQ917498:KSQ917563 LCM917498:LCM917563 LMI917498:LMI917563 LWE917498:LWE917563 MGA917498:MGA917563 MPW917498:MPW917563 MZS917498:MZS917563 NJO917498:NJO917563 NTK917498:NTK917563 ODG917498:ODG917563 ONC917498:ONC917563 OWY917498:OWY917563 PGU917498:PGU917563 PQQ917498:PQQ917563 QAM917498:QAM917563 QKI917498:QKI917563 QUE917498:QUE917563 REA917498:REA917563 RNW917498:RNW917563 RXS917498:RXS917563 SHO917498:SHO917563 SRK917498:SRK917563 TBG917498:TBG917563 TLC917498:TLC917563 TUY917498:TUY917563 UEU917498:UEU917563 UOQ917498:UOQ917563 UYM917498:UYM917563 VII917498:VII917563 VSE917498:VSE917563 WCA917498:WCA917563 WLW917498:WLW917563 WVS917498:WVS917563 TC2:TC59 JG983034:JG983099 TC983034:TC983099 ACY983034:ACY983099 AMU983034:AMU983099 AWQ983034:AWQ983099 BGM983034:BGM983099 BQI983034:BQI983099 CAE983034:CAE983099 CKA983034:CKA983099 CTW983034:CTW983099 DDS983034:DDS983099 DNO983034:DNO983099 DXK983034:DXK983099 EHG983034:EHG983099 ERC983034:ERC983099 FAY983034:FAY983099 FKU983034:FKU983099 FUQ983034:FUQ983099 GEM983034:GEM983099 GOI983034:GOI983099 GYE983034:GYE983099 HIA983034:HIA983099 HRW983034:HRW983099 IBS983034:IBS983099 ILO983034:ILO983099 IVK983034:IVK983099 JFG983034:JFG983099 JPC983034:JPC983099 JYY983034:JYY983099 KIU983034:KIU983099 KSQ983034:KSQ983099 LCM983034:LCM983099 LMI983034:LMI983099 LWE983034:LWE983099 MGA983034:MGA983099 MPW983034:MPW983099 MZS983034:MZS983099 NJO983034:NJO983099 NTK983034:NTK983099 ODG983034:ODG983099 ONC983034:ONC983099 OWY983034:OWY983099 PGU983034:PGU983099 PQQ983034:PQQ983099 QAM983034:QAM983099 QKI983034:QKI983099 QUE983034:QUE983099 REA983034:REA983099 RNW983034:RNW983099 RXS983034:RXS983099 SHO983034:SHO983099 SRK983034:SRK983099 TBG983034:TBG983099 TLC983034:TLC983099 TUY983034:TUY983099 UEU983034:UEU983099 UOQ983034:UOQ983099 UYM983034:UYM983099 VII983034:VII983099 VSE983034:VSE983099 WCA983034:WCA983099 WLW983034:WLW983099 JG2:JG59 WVS2:WVS59 WLW2:WLW59 WCA2:WCA59 VSE2:VSE59 VII2:VII59 UYM2:UYM59 UOQ2:UOQ59 UEU2:UEU59 TUY2:TUY59 TLC2:TLC59 TBG2:TBG59 SRK2:SRK59 SHO2:SHO59 RXS2:RXS59 RNW2:RNW59 REA2:REA59 QUE2:QUE59 QKI2:QKI59 QAM2:QAM59 PQQ2:PQQ59 PGU2:PGU59 OWY2:OWY59 ONC2:ONC59 ODG2:ODG59 NTK2:NTK59 NJO2:NJO59 MZS2:MZS59 MPW2:MPW59 MGA2:MGA59 LWE2:LWE59 LMI2:LMI59 LCM2:LCM59 KSQ2:KSQ59 KIU2:KIU59 JYY2:JYY59 JPC2:JPC59 JFG2:JFG59 IVK2:IVK59 ILO2:ILO59 IBS2:IBS59 HRW2:HRW59 HIA2:HIA59 GYE2:GYE59 GOI2:GOI59 GEM2:GEM59 FUQ2:FUQ59 FKU2:FKU59" xr:uid="{6A14D301-35BA-42FA-9A22-CA2B244C95C5}">
      <formula1>$AR$2:$AR$25</formula1>
    </dataValidation>
    <dataValidation type="list" allowBlank="1" showInputMessage="1" showErrorMessage="1" sqref="WVR983034:WVR983099 ERB2:ERB59 JF65530:JF65595 TB65530:TB65595 ACX65530:ACX65595 AMT65530:AMT65595 AWP65530:AWP65595 BGL65530:BGL65595 BQH65530:BQH65595 CAD65530:CAD65595 CJZ65530:CJZ65595 CTV65530:CTV65595 DDR65530:DDR65595 DNN65530:DNN65595 DXJ65530:DXJ65595 EHF65530:EHF65595 ERB65530:ERB65595 FAX65530:FAX65595 FKT65530:FKT65595 FUP65530:FUP65595 GEL65530:GEL65595 GOH65530:GOH65595 GYD65530:GYD65595 HHZ65530:HHZ65595 HRV65530:HRV65595 IBR65530:IBR65595 ILN65530:ILN65595 IVJ65530:IVJ65595 JFF65530:JFF65595 JPB65530:JPB65595 JYX65530:JYX65595 KIT65530:KIT65595 KSP65530:KSP65595 LCL65530:LCL65595 LMH65530:LMH65595 LWD65530:LWD65595 MFZ65530:MFZ65595 MPV65530:MPV65595 MZR65530:MZR65595 NJN65530:NJN65595 NTJ65530:NTJ65595 ODF65530:ODF65595 ONB65530:ONB65595 OWX65530:OWX65595 PGT65530:PGT65595 PQP65530:PQP65595 QAL65530:QAL65595 QKH65530:QKH65595 QUD65530:QUD65595 RDZ65530:RDZ65595 RNV65530:RNV65595 RXR65530:RXR65595 SHN65530:SHN65595 SRJ65530:SRJ65595 TBF65530:TBF65595 TLB65530:TLB65595 TUX65530:TUX65595 UET65530:UET65595 UOP65530:UOP65595 UYL65530:UYL65595 VIH65530:VIH65595 VSD65530:VSD65595 WBZ65530:WBZ65595 WLV65530:WLV65595 WVR65530:WVR65595 EHF2:EHF59 JF131066:JF131131 TB131066:TB131131 ACX131066:ACX131131 AMT131066:AMT131131 AWP131066:AWP131131 BGL131066:BGL131131 BQH131066:BQH131131 CAD131066:CAD131131 CJZ131066:CJZ131131 CTV131066:CTV131131 DDR131066:DDR131131 DNN131066:DNN131131 DXJ131066:DXJ131131 EHF131066:EHF131131 ERB131066:ERB131131 FAX131066:FAX131131 FKT131066:FKT131131 FUP131066:FUP131131 GEL131066:GEL131131 GOH131066:GOH131131 GYD131066:GYD131131 HHZ131066:HHZ131131 HRV131066:HRV131131 IBR131066:IBR131131 ILN131066:ILN131131 IVJ131066:IVJ131131 JFF131066:JFF131131 JPB131066:JPB131131 JYX131066:JYX131131 KIT131066:KIT131131 KSP131066:KSP131131 LCL131066:LCL131131 LMH131066:LMH131131 LWD131066:LWD131131 MFZ131066:MFZ131131 MPV131066:MPV131131 MZR131066:MZR131131 NJN131066:NJN131131 NTJ131066:NTJ131131 ODF131066:ODF131131 ONB131066:ONB131131 OWX131066:OWX131131 PGT131066:PGT131131 PQP131066:PQP131131 QAL131066:QAL131131 QKH131066:QKH131131 QUD131066:QUD131131 RDZ131066:RDZ131131 RNV131066:RNV131131 RXR131066:RXR131131 SHN131066:SHN131131 SRJ131066:SRJ131131 TBF131066:TBF131131 TLB131066:TLB131131 TUX131066:TUX131131 UET131066:UET131131 UOP131066:UOP131131 UYL131066:UYL131131 VIH131066:VIH131131 VSD131066:VSD131131 WBZ131066:WBZ131131 WLV131066:WLV131131 WVR131066:WVR131131 DXJ2:DXJ59 JF196602:JF196667 TB196602:TB196667 ACX196602:ACX196667 AMT196602:AMT196667 AWP196602:AWP196667 BGL196602:BGL196667 BQH196602:BQH196667 CAD196602:CAD196667 CJZ196602:CJZ196667 CTV196602:CTV196667 DDR196602:DDR196667 DNN196602:DNN196667 DXJ196602:DXJ196667 EHF196602:EHF196667 ERB196602:ERB196667 FAX196602:FAX196667 FKT196602:FKT196667 FUP196602:FUP196667 GEL196602:GEL196667 GOH196602:GOH196667 GYD196602:GYD196667 HHZ196602:HHZ196667 HRV196602:HRV196667 IBR196602:IBR196667 ILN196602:ILN196667 IVJ196602:IVJ196667 JFF196602:JFF196667 JPB196602:JPB196667 JYX196602:JYX196667 KIT196602:KIT196667 KSP196602:KSP196667 LCL196602:LCL196667 LMH196602:LMH196667 LWD196602:LWD196667 MFZ196602:MFZ196667 MPV196602:MPV196667 MZR196602:MZR196667 NJN196602:NJN196667 NTJ196602:NTJ196667 ODF196602:ODF196667 ONB196602:ONB196667 OWX196602:OWX196667 PGT196602:PGT196667 PQP196602:PQP196667 QAL196602:QAL196667 QKH196602:QKH196667 QUD196602:QUD196667 RDZ196602:RDZ196667 RNV196602:RNV196667 RXR196602:RXR196667 SHN196602:SHN196667 SRJ196602:SRJ196667 TBF196602:TBF196667 TLB196602:TLB196667 TUX196602:TUX196667 UET196602:UET196667 UOP196602:UOP196667 UYL196602:UYL196667 VIH196602:VIH196667 VSD196602:VSD196667 WBZ196602:WBZ196667 WLV196602:WLV196667 WVR196602:WVR196667 DNN2:DNN59 JF262138:JF262203 TB262138:TB262203 ACX262138:ACX262203 AMT262138:AMT262203 AWP262138:AWP262203 BGL262138:BGL262203 BQH262138:BQH262203 CAD262138:CAD262203 CJZ262138:CJZ262203 CTV262138:CTV262203 DDR262138:DDR262203 DNN262138:DNN262203 DXJ262138:DXJ262203 EHF262138:EHF262203 ERB262138:ERB262203 FAX262138:FAX262203 FKT262138:FKT262203 FUP262138:FUP262203 GEL262138:GEL262203 GOH262138:GOH262203 GYD262138:GYD262203 HHZ262138:HHZ262203 HRV262138:HRV262203 IBR262138:IBR262203 ILN262138:ILN262203 IVJ262138:IVJ262203 JFF262138:JFF262203 JPB262138:JPB262203 JYX262138:JYX262203 KIT262138:KIT262203 KSP262138:KSP262203 LCL262138:LCL262203 LMH262138:LMH262203 LWD262138:LWD262203 MFZ262138:MFZ262203 MPV262138:MPV262203 MZR262138:MZR262203 NJN262138:NJN262203 NTJ262138:NTJ262203 ODF262138:ODF262203 ONB262138:ONB262203 OWX262138:OWX262203 PGT262138:PGT262203 PQP262138:PQP262203 QAL262138:QAL262203 QKH262138:QKH262203 QUD262138:QUD262203 RDZ262138:RDZ262203 RNV262138:RNV262203 RXR262138:RXR262203 SHN262138:SHN262203 SRJ262138:SRJ262203 TBF262138:TBF262203 TLB262138:TLB262203 TUX262138:TUX262203 UET262138:UET262203 UOP262138:UOP262203 UYL262138:UYL262203 VIH262138:VIH262203 VSD262138:VSD262203 WBZ262138:WBZ262203 WLV262138:WLV262203 WVR262138:WVR262203 DDR2:DDR59 JF327674:JF327739 TB327674:TB327739 ACX327674:ACX327739 AMT327674:AMT327739 AWP327674:AWP327739 BGL327674:BGL327739 BQH327674:BQH327739 CAD327674:CAD327739 CJZ327674:CJZ327739 CTV327674:CTV327739 DDR327674:DDR327739 DNN327674:DNN327739 DXJ327674:DXJ327739 EHF327674:EHF327739 ERB327674:ERB327739 FAX327674:FAX327739 FKT327674:FKT327739 FUP327674:FUP327739 GEL327674:GEL327739 GOH327674:GOH327739 GYD327674:GYD327739 HHZ327674:HHZ327739 HRV327674:HRV327739 IBR327674:IBR327739 ILN327674:ILN327739 IVJ327674:IVJ327739 JFF327674:JFF327739 JPB327674:JPB327739 JYX327674:JYX327739 KIT327674:KIT327739 KSP327674:KSP327739 LCL327674:LCL327739 LMH327674:LMH327739 LWD327674:LWD327739 MFZ327674:MFZ327739 MPV327674:MPV327739 MZR327674:MZR327739 NJN327674:NJN327739 NTJ327674:NTJ327739 ODF327674:ODF327739 ONB327674:ONB327739 OWX327674:OWX327739 PGT327674:PGT327739 PQP327674:PQP327739 QAL327674:QAL327739 QKH327674:QKH327739 QUD327674:QUD327739 RDZ327674:RDZ327739 RNV327674:RNV327739 RXR327674:RXR327739 SHN327674:SHN327739 SRJ327674:SRJ327739 TBF327674:TBF327739 TLB327674:TLB327739 TUX327674:TUX327739 UET327674:UET327739 UOP327674:UOP327739 UYL327674:UYL327739 VIH327674:VIH327739 VSD327674:VSD327739 WBZ327674:WBZ327739 WLV327674:WLV327739 WVR327674:WVR327739 CTV2:CTV59 JF393210:JF393275 TB393210:TB393275 ACX393210:ACX393275 AMT393210:AMT393275 AWP393210:AWP393275 BGL393210:BGL393275 BQH393210:BQH393275 CAD393210:CAD393275 CJZ393210:CJZ393275 CTV393210:CTV393275 DDR393210:DDR393275 DNN393210:DNN393275 DXJ393210:DXJ393275 EHF393210:EHF393275 ERB393210:ERB393275 FAX393210:FAX393275 FKT393210:FKT393275 FUP393210:FUP393275 GEL393210:GEL393275 GOH393210:GOH393275 GYD393210:GYD393275 HHZ393210:HHZ393275 HRV393210:HRV393275 IBR393210:IBR393275 ILN393210:ILN393275 IVJ393210:IVJ393275 JFF393210:JFF393275 JPB393210:JPB393275 JYX393210:JYX393275 KIT393210:KIT393275 KSP393210:KSP393275 LCL393210:LCL393275 LMH393210:LMH393275 LWD393210:LWD393275 MFZ393210:MFZ393275 MPV393210:MPV393275 MZR393210:MZR393275 NJN393210:NJN393275 NTJ393210:NTJ393275 ODF393210:ODF393275 ONB393210:ONB393275 OWX393210:OWX393275 PGT393210:PGT393275 PQP393210:PQP393275 QAL393210:QAL393275 QKH393210:QKH393275 QUD393210:QUD393275 RDZ393210:RDZ393275 RNV393210:RNV393275 RXR393210:RXR393275 SHN393210:SHN393275 SRJ393210:SRJ393275 TBF393210:TBF393275 TLB393210:TLB393275 TUX393210:TUX393275 UET393210:UET393275 UOP393210:UOP393275 UYL393210:UYL393275 VIH393210:VIH393275 VSD393210:VSD393275 WBZ393210:WBZ393275 WLV393210:WLV393275 WVR393210:WVR393275 CJZ2:CJZ59 JF458746:JF458811 TB458746:TB458811 ACX458746:ACX458811 AMT458746:AMT458811 AWP458746:AWP458811 BGL458746:BGL458811 BQH458746:BQH458811 CAD458746:CAD458811 CJZ458746:CJZ458811 CTV458746:CTV458811 DDR458746:DDR458811 DNN458746:DNN458811 DXJ458746:DXJ458811 EHF458746:EHF458811 ERB458746:ERB458811 FAX458746:FAX458811 FKT458746:FKT458811 FUP458746:FUP458811 GEL458746:GEL458811 GOH458746:GOH458811 GYD458746:GYD458811 HHZ458746:HHZ458811 HRV458746:HRV458811 IBR458746:IBR458811 ILN458746:ILN458811 IVJ458746:IVJ458811 JFF458746:JFF458811 JPB458746:JPB458811 JYX458746:JYX458811 KIT458746:KIT458811 KSP458746:KSP458811 LCL458746:LCL458811 LMH458746:LMH458811 LWD458746:LWD458811 MFZ458746:MFZ458811 MPV458746:MPV458811 MZR458746:MZR458811 NJN458746:NJN458811 NTJ458746:NTJ458811 ODF458746:ODF458811 ONB458746:ONB458811 OWX458746:OWX458811 PGT458746:PGT458811 PQP458746:PQP458811 QAL458746:QAL458811 QKH458746:QKH458811 QUD458746:QUD458811 RDZ458746:RDZ458811 RNV458746:RNV458811 RXR458746:RXR458811 SHN458746:SHN458811 SRJ458746:SRJ458811 TBF458746:TBF458811 TLB458746:TLB458811 TUX458746:TUX458811 UET458746:UET458811 UOP458746:UOP458811 UYL458746:UYL458811 VIH458746:VIH458811 VSD458746:VSD458811 WBZ458746:WBZ458811 WLV458746:WLV458811 WVR458746:WVR458811 CAD2:CAD59 JF524282:JF524347 TB524282:TB524347 ACX524282:ACX524347 AMT524282:AMT524347 AWP524282:AWP524347 BGL524282:BGL524347 BQH524282:BQH524347 CAD524282:CAD524347 CJZ524282:CJZ524347 CTV524282:CTV524347 DDR524282:DDR524347 DNN524282:DNN524347 DXJ524282:DXJ524347 EHF524282:EHF524347 ERB524282:ERB524347 FAX524282:FAX524347 FKT524282:FKT524347 FUP524282:FUP524347 GEL524282:GEL524347 GOH524282:GOH524347 GYD524282:GYD524347 HHZ524282:HHZ524347 HRV524282:HRV524347 IBR524282:IBR524347 ILN524282:ILN524347 IVJ524282:IVJ524347 JFF524282:JFF524347 JPB524282:JPB524347 JYX524282:JYX524347 KIT524282:KIT524347 KSP524282:KSP524347 LCL524282:LCL524347 LMH524282:LMH524347 LWD524282:LWD524347 MFZ524282:MFZ524347 MPV524282:MPV524347 MZR524282:MZR524347 NJN524282:NJN524347 NTJ524282:NTJ524347 ODF524282:ODF524347 ONB524282:ONB524347 OWX524282:OWX524347 PGT524282:PGT524347 PQP524282:PQP524347 QAL524282:QAL524347 QKH524282:QKH524347 QUD524282:QUD524347 RDZ524282:RDZ524347 RNV524282:RNV524347 RXR524282:RXR524347 SHN524282:SHN524347 SRJ524282:SRJ524347 TBF524282:TBF524347 TLB524282:TLB524347 TUX524282:TUX524347 UET524282:UET524347 UOP524282:UOP524347 UYL524282:UYL524347 VIH524282:VIH524347 VSD524282:VSD524347 WBZ524282:WBZ524347 WLV524282:WLV524347 WVR524282:WVR524347 BQH2:BQH59 JF589818:JF589883 TB589818:TB589883 ACX589818:ACX589883 AMT589818:AMT589883 AWP589818:AWP589883 BGL589818:BGL589883 BQH589818:BQH589883 CAD589818:CAD589883 CJZ589818:CJZ589883 CTV589818:CTV589883 DDR589818:DDR589883 DNN589818:DNN589883 DXJ589818:DXJ589883 EHF589818:EHF589883 ERB589818:ERB589883 FAX589818:FAX589883 FKT589818:FKT589883 FUP589818:FUP589883 GEL589818:GEL589883 GOH589818:GOH589883 GYD589818:GYD589883 HHZ589818:HHZ589883 HRV589818:HRV589883 IBR589818:IBR589883 ILN589818:ILN589883 IVJ589818:IVJ589883 JFF589818:JFF589883 JPB589818:JPB589883 JYX589818:JYX589883 KIT589818:KIT589883 KSP589818:KSP589883 LCL589818:LCL589883 LMH589818:LMH589883 LWD589818:LWD589883 MFZ589818:MFZ589883 MPV589818:MPV589883 MZR589818:MZR589883 NJN589818:NJN589883 NTJ589818:NTJ589883 ODF589818:ODF589883 ONB589818:ONB589883 OWX589818:OWX589883 PGT589818:PGT589883 PQP589818:PQP589883 QAL589818:QAL589883 QKH589818:QKH589883 QUD589818:QUD589883 RDZ589818:RDZ589883 RNV589818:RNV589883 RXR589818:RXR589883 SHN589818:SHN589883 SRJ589818:SRJ589883 TBF589818:TBF589883 TLB589818:TLB589883 TUX589818:TUX589883 UET589818:UET589883 UOP589818:UOP589883 UYL589818:UYL589883 VIH589818:VIH589883 VSD589818:VSD589883 WBZ589818:WBZ589883 WLV589818:WLV589883 WVR589818:WVR589883 BGL2:BGL59 JF655354:JF655419 TB655354:TB655419 ACX655354:ACX655419 AMT655354:AMT655419 AWP655354:AWP655419 BGL655354:BGL655419 BQH655354:BQH655419 CAD655354:CAD655419 CJZ655354:CJZ655419 CTV655354:CTV655419 DDR655354:DDR655419 DNN655354:DNN655419 DXJ655354:DXJ655419 EHF655354:EHF655419 ERB655354:ERB655419 FAX655354:FAX655419 FKT655354:FKT655419 FUP655354:FUP655419 GEL655354:GEL655419 GOH655354:GOH655419 GYD655354:GYD655419 HHZ655354:HHZ655419 HRV655354:HRV655419 IBR655354:IBR655419 ILN655354:ILN655419 IVJ655354:IVJ655419 JFF655354:JFF655419 JPB655354:JPB655419 JYX655354:JYX655419 KIT655354:KIT655419 KSP655354:KSP655419 LCL655354:LCL655419 LMH655354:LMH655419 LWD655354:LWD655419 MFZ655354:MFZ655419 MPV655354:MPV655419 MZR655354:MZR655419 NJN655354:NJN655419 NTJ655354:NTJ655419 ODF655354:ODF655419 ONB655354:ONB655419 OWX655354:OWX655419 PGT655354:PGT655419 PQP655354:PQP655419 QAL655354:QAL655419 QKH655354:QKH655419 QUD655354:QUD655419 RDZ655354:RDZ655419 RNV655354:RNV655419 RXR655354:RXR655419 SHN655354:SHN655419 SRJ655354:SRJ655419 TBF655354:TBF655419 TLB655354:TLB655419 TUX655354:TUX655419 UET655354:UET655419 UOP655354:UOP655419 UYL655354:UYL655419 VIH655354:VIH655419 VSD655354:VSD655419 WBZ655354:WBZ655419 WLV655354:WLV655419 WVR655354:WVR655419 AWP2:AWP59 JF720890:JF720955 TB720890:TB720955 ACX720890:ACX720955 AMT720890:AMT720955 AWP720890:AWP720955 BGL720890:BGL720955 BQH720890:BQH720955 CAD720890:CAD720955 CJZ720890:CJZ720955 CTV720890:CTV720955 DDR720890:DDR720955 DNN720890:DNN720955 DXJ720890:DXJ720955 EHF720890:EHF720955 ERB720890:ERB720955 FAX720890:FAX720955 FKT720890:FKT720955 FUP720890:FUP720955 GEL720890:GEL720955 GOH720890:GOH720955 GYD720890:GYD720955 HHZ720890:HHZ720955 HRV720890:HRV720955 IBR720890:IBR720955 ILN720890:ILN720955 IVJ720890:IVJ720955 JFF720890:JFF720955 JPB720890:JPB720955 JYX720890:JYX720955 KIT720890:KIT720955 KSP720890:KSP720955 LCL720890:LCL720955 LMH720890:LMH720955 LWD720890:LWD720955 MFZ720890:MFZ720955 MPV720890:MPV720955 MZR720890:MZR720955 NJN720890:NJN720955 NTJ720890:NTJ720955 ODF720890:ODF720955 ONB720890:ONB720955 OWX720890:OWX720955 PGT720890:PGT720955 PQP720890:PQP720955 QAL720890:QAL720955 QKH720890:QKH720955 QUD720890:QUD720955 RDZ720890:RDZ720955 RNV720890:RNV720955 RXR720890:RXR720955 SHN720890:SHN720955 SRJ720890:SRJ720955 TBF720890:TBF720955 TLB720890:TLB720955 TUX720890:TUX720955 UET720890:UET720955 UOP720890:UOP720955 UYL720890:UYL720955 VIH720890:VIH720955 VSD720890:VSD720955 WBZ720890:WBZ720955 WLV720890:WLV720955 WVR720890:WVR720955 AMT2:AMT59 JF786426:JF786491 TB786426:TB786491 ACX786426:ACX786491 AMT786426:AMT786491 AWP786426:AWP786491 BGL786426:BGL786491 BQH786426:BQH786491 CAD786426:CAD786491 CJZ786426:CJZ786491 CTV786426:CTV786491 DDR786426:DDR786491 DNN786426:DNN786491 DXJ786426:DXJ786491 EHF786426:EHF786491 ERB786426:ERB786491 FAX786426:FAX786491 FKT786426:FKT786491 FUP786426:FUP786491 GEL786426:GEL786491 GOH786426:GOH786491 GYD786426:GYD786491 HHZ786426:HHZ786491 HRV786426:HRV786491 IBR786426:IBR786491 ILN786426:ILN786491 IVJ786426:IVJ786491 JFF786426:JFF786491 JPB786426:JPB786491 JYX786426:JYX786491 KIT786426:KIT786491 KSP786426:KSP786491 LCL786426:LCL786491 LMH786426:LMH786491 LWD786426:LWD786491 MFZ786426:MFZ786491 MPV786426:MPV786491 MZR786426:MZR786491 NJN786426:NJN786491 NTJ786426:NTJ786491 ODF786426:ODF786491 ONB786426:ONB786491 OWX786426:OWX786491 PGT786426:PGT786491 PQP786426:PQP786491 QAL786426:QAL786491 QKH786426:QKH786491 QUD786426:QUD786491 RDZ786426:RDZ786491 RNV786426:RNV786491 RXR786426:RXR786491 SHN786426:SHN786491 SRJ786426:SRJ786491 TBF786426:TBF786491 TLB786426:TLB786491 TUX786426:TUX786491 UET786426:UET786491 UOP786426:UOP786491 UYL786426:UYL786491 VIH786426:VIH786491 VSD786426:VSD786491 WBZ786426:WBZ786491 WLV786426:WLV786491 WVR786426:WVR786491 ACX2:ACX59 JF851962:JF852027 TB851962:TB852027 ACX851962:ACX852027 AMT851962:AMT852027 AWP851962:AWP852027 BGL851962:BGL852027 BQH851962:BQH852027 CAD851962:CAD852027 CJZ851962:CJZ852027 CTV851962:CTV852027 DDR851962:DDR852027 DNN851962:DNN852027 DXJ851962:DXJ852027 EHF851962:EHF852027 ERB851962:ERB852027 FAX851962:FAX852027 FKT851962:FKT852027 FUP851962:FUP852027 GEL851962:GEL852027 GOH851962:GOH852027 GYD851962:GYD852027 HHZ851962:HHZ852027 HRV851962:HRV852027 IBR851962:IBR852027 ILN851962:ILN852027 IVJ851962:IVJ852027 JFF851962:JFF852027 JPB851962:JPB852027 JYX851962:JYX852027 KIT851962:KIT852027 KSP851962:KSP852027 LCL851962:LCL852027 LMH851962:LMH852027 LWD851962:LWD852027 MFZ851962:MFZ852027 MPV851962:MPV852027 MZR851962:MZR852027 NJN851962:NJN852027 NTJ851962:NTJ852027 ODF851962:ODF852027 ONB851962:ONB852027 OWX851962:OWX852027 PGT851962:PGT852027 PQP851962:PQP852027 QAL851962:QAL852027 QKH851962:QKH852027 QUD851962:QUD852027 RDZ851962:RDZ852027 RNV851962:RNV852027 RXR851962:RXR852027 SHN851962:SHN852027 SRJ851962:SRJ852027 TBF851962:TBF852027 TLB851962:TLB852027 TUX851962:TUX852027 UET851962:UET852027 UOP851962:UOP852027 UYL851962:UYL852027 VIH851962:VIH852027 VSD851962:VSD852027 WBZ851962:WBZ852027 WLV851962:WLV852027 WVR851962:WVR852027 TB2:TB59 JF917498:JF917563 TB917498:TB917563 ACX917498:ACX917563 AMT917498:AMT917563 AWP917498:AWP917563 BGL917498:BGL917563 BQH917498:BQH917563 CAD917498:CAD917563 CJZ917498:CJZ917563 CTV917498:CTV917563 DDR917498:DDR917563 DNN917498:DNN917563 DXJ917498:DXJ917563 EHF917498:EHF917563 ERB917498:ERB917563 FAX917498:FAX917563 FKT917498:FKT917563 FUP917498:FUP917563 GEL917498:GEL917563 GOH917498:GOH917563 GYD917498:GYD917563 HHZ917498:HHZ917563 HRV917498:HRV917563 IBR917498:IBR917563 ILN917498:ILN917563 IVJ917498:IVJ917563 JFF917498:JFF917563 JPB917498:JPB917563 JYX917498:JYX917563 KIT917498:KIT917563 KSP917498:KSP917563 LCL917498:LCL917563 LMH917498:LMH917563 LWD917498:LWD917563 MFZ917498:MFZ917563 MPV917498:MPV917563 MZR917498:MZR917563 NJN917498:NJN917563 NTJ917498:NTJ917563 ODF917498:ODF917563 ONB917498:ONB917563 OWX917498:OWX917563 PGT917498:PGT917563 PQP917498:PQP917563 QAL917498:QAL917563 QKH917498:QKH917563 QUD917498:QUD917563 RDZ917498:RDZ917563 RNV917498:RNV917563 RXR917498:RXR917563 SHN917498:SHN917563 SRJ917498:SRJ917563 TBF917498:TBF917563 TLB917498:TLB917563 TUX917498:TUX917563 UET917498:UET917563 UOP917498:UOP917563 UYL917498:UYL917563 VIH917498:VIH917563 VSD917498:VSD917563 WBZ917498:WBZ917563 WLV917498:WLV917563 WVR917498:WVR917563 JF2:JF59 JF983034:JF983099 TB983034:TB983099 ACX983034:ACX983099 AMT983034:AMT983099 AWP983034:AWP983099 BGL983034:BGL983099 BQH983034:BQH983099 CAD983034:CAD983099 CJZ983034:CJZ983099 CTV983034:CTV983099 DDR983034:DDR983099 DNN983034:DNN983099 DXJ983034:DXJ983099 EHF983034:EHF983099 ERB983034:ERB983099 FAX983034:FAX983099 FKT983034:FKT983099 FUP983034:FUP983099 GEL983034:GEL983099 GOH983034:GOH983099 GYD983034:GYD983099 HHZ983034:HHZ983099 HRV983034:HRV983099 IBR983034:IBR983099 ILN983034:ILN983099 IVJ983034:IVJ983099 JFF983034:JFF983099 JPB983034:JPB983099 JYX983034:JYX983099 KIT983034:KIT983099 KSP983034:KSP983099 LCL983034:LCL983099 LMH983034:LMH983099 LWD983034:LWD983099 MFZ983034:MFZ983099 MPV983034:MPV983099 MZR983034:MZR983099 NJN983034:NJN983099 NTJ983034:NTJ983099 ODF983034:ODF983099 ONB983034:ONB983099 OWX983034:OWX983099 PGT983034:PGT983099 PQP983034:PQP983099 QAL983034:QAL983099 QKH983034:QKH983099 QUD983034:QUD983099 RDZ983034:RDZ983099 RNV983034:RNV983099 RXR983034:RXR983099 SHN983034:SHN983099 SRJ983034:SRJ983099 TBF983034:TBF983099 TLB983034:TLB983099 TUX983034:TUX983099 UET983034:UET983099 UOP983034:UOP983099 UYL983034:UYL983099 VIH983034:VIH983099 VSD983034:VSD983099 WBZ983034:WBZ983099 WLV983034:WLV983099 WVR2:WVR59 WLV2:WLV59 WBZ2:WBZ59 VSD2:VSD59 VIH2:VIH59 UYL2:UYL59 UOP2:UOP59 UET2:UET59 TUX2:TUX59 TLB2:TLB59 TBF2:TBF59 SRJ2:SRJ59 SHN2:SHN59 RXR2:RXR59 RNV2:RNV59 RDZ2:RDZ59 QUD2:QUD59 QKH2:QKH59 QAL2:QAL59 PQP2:PQP59 PGT2:PGT59 OWX2:OWX59 ONB2:ONB59 ODF2:ODF59 NTJ2:NTJ59 NJN2:NJN59 MZR2:MZR59 MPV2:MPV59 MFZ2:MFZ59 LWD2:LWD59 LMH2:LMH59 LCL2:LCL59 KSP2:KSP59 KIT2:KIT59 JYX2:JYX59 JPB2:JPB59 JFF2:JFF59 IVJ2:IVJ59 ILN2:ILN59 IBR2:IBR59 HRV2:HRV59 HHZ2:HHZ59 GYD2:GYD59 GOH2:GOH59 GEL2:GEL59 FUP2:FUP59 FKT2:FKT59 FAX2:FAX59" xr:uid="{1CFE9F06-754E-4936-927C-5A419044DDC1}">
      <formula1>$AP$2:$AP$27</formula1>
    </dataValidation>
    <dataValidation type="list" allowBlank="1" showInputMessage="1" showErrorMessage="1" sqref="WVP983034:WVP983099 H65530:H65595 JD65530:JD65595 SZ65530:SZ65595 ACV65530:ACV65595 AMR65530:AMR65595 AWN65530:AWN65595 BGJ65530:BGJ65595 BQF65530:BQF65595 CAB65530:CAB65595 CJX65530:CJX65595 CTT65530:CTT65595 DDP65530:DDP65595 DNL65530:DNL65595 DXH65530:DXH65595 EHD65530:EHD65595 EQZ65530:EQZ65595 FAV65530:FAV65595 FKR65530:FKR65595 FUN65530:FUN65595 GEJ65530:GEJ65595 GOF65530:GOF65595 GYB65530:GYB65595 HHX65530:HHX65595 HRT65530:HRT65595 IBP65530:IBP65595 ILL65530:ILL65595 IVH65530:IVH65595 JFD65530:JFD65595 JOZ65530:JOZ65595 JYV65530:JYV65595 KIR65530:KIR65595 KSN65530:KSN65595 LCJ65530:LCJ65595 LMF65530:LMF65595 LWB65530:LWB65595 MFX65530:MFX65595 MPT65530:MPT65595 MZP65530:MZP65595 NJL65530:NJL65595 NTH65530:NTH65595 ODD65530:ODD65595 OMZ65530:OMZ65595 OWV65530:OWV65595 PGR65530:PGR65595 PQN65530:PQN65595 QAJ65530:QAJ65595 QKF65530:QKF65595 QUB65530:QUB65595 RDX65530:RDX65595 RNT65530:RNT65595 RXP65530:RXP65595 SHL65530:SHL65595 SRH65530:SRH65595 TBD65530:TBD65595 TKZ65530:TKZ65595 TUV65530:TUV65595 UER65530:UER65595 UON65530:UON65595 UYJ65530:UYJ65595 VIF65530:VIF65595 VSB65530:VSB65595 WBX65530:WBX65595 WLT65530:WLT65595 WVP65530:WVP65595 H131066:H131131 JD131066:JD131131 SZ131066:SZ131131 ACV131066:ACV131131 AMR131066:AMR131131 AWN131066:AWN131131 BGJ131066:BGJ131131 BQF131066:BQF131131 CAB131066:CAB131131 CJX131066:CJX131131 CTT131066:CTT131131 DDP131066:DDP131131 DNL131066:DNL131131 DXH131066:DXH131131 EHD131066:EHD131131 EQZ131066:EQZ131131 FAV131066:FAV131131 FKR131066:FKR131131 FUN131066:FUN131131 GEJ131066:GEJ131131 GOF131066:GOF131131 GYB131066:GYB131131 HHX131066:HHX131131 HRT131066:HRT131131 IBP131066:IBP131131 ILL131066:ILL131131 IVH131066:IVH131131 JFD131066:JFD131131 JOZ131066:JOZ131131 JYV131066:JYV131131 KIR131066:KIR131131 KSN131066:KSN131131 LCJ131066:LCJ131131 LMF131066:LMF131131 LWB131066:LWB131131 MFX131066:MFX131131 MPT131066:MPT131131 MZP131066:MZP131131 NJL131066:NJL131131 NTH131066:NTH131131 ODD131066:ODD131131 OMZ131066:OMZ131131 OWV131066:OWV131131 PGR131066:PGR131131 PQN131066:PQN131131 QAJ131066:QAJ131131 QKF131066:QKF131131 QUB131066:QUB131131 RDX131066:RDX131131 RNT131066:RNT131131 RXP131066:RXP131131 SHL131066:SHL131131 SRH131066:SRH131131 TBD131066:TBD131131 TKZ131066:TKZ131131 TUV131066:TUV131131 UER131066:UER131131 UON131066:UON131131 UYJ131066:UYJ131131 VIF131066:VIF131131 VSB131066:VSB131131 WBX131066:WBX131131 WLT131066:WLT131131 WVP131066:WVP131131 H196602:H196667 JD196602:JD196667 SZ196602:SZ196667 ACV196602:ACV196667 AMR196602:AMR196667 AWN196602:AWN196667 BGJ196602:BGJ196667 BQF196602:BQF196667 CAB196602:CAB196667 CJX196602:CJX196667 CTT196602:CTT196667 DDP196602:DDP196667 DNL196602:DNL196667 DXH196602:DXH196667 EHD196602:EHD196667 EQZ196602:EQZ196667 FAV196602:FAV196667 FKR196602:FKR196667 FUN196602:FUN196667 GEJ196602:GEJ196667 GOF196602:GOF196667 GYB196602:GYB196667 HHX196602:HHX196667 HRT196602:HRT196667 IBP196602:IBP196667 ILL196602:ILL196667 IVH196602:IVH196667 JFD196602:JFD196667 JOZ196602:JOZ196667 JYV196602:JYV196667 KIR196602:KIR196667 KSN196602:KSN196667 LCJ196602:LCJ196667 LMF196602:LMF196667 LWB196602:LWB196667 MFX196602:MFX196667 MPT196602:MPT196667 MZP196602:MZP196667 NJL196602:NJL196667 NTH196602:NTH196667 ODD196602:ODD196667 OMZ196602:OMZ196667 OWV196602:OWV196667 PGR196602:PGR196667 PQN196602:PQN196667 QAJ196602:QAJ196667 QKF196602:QKF196667 QUB196602:QUB196667 RDX196602:RDX196667 RNT196602:RNT196667 RXP196602:RXP196667 SHL196602:SHL196667 SRH196602:SRH196667 TBD196602:TBD196667 TKZ196602:TKZ196667 TUV196602:TUV196667 UER196602:UER196667 UON196602:UON196667 UYJ196602:UYJ196667 VIF196602:VIF196667 VSB196602:VSB196667 WBX196602:WBX196667 WLT196602:WLT196667 WVP196602:WVP196667 H262138:H262203 JD262138:JD262203 SZ262138:SZ262203 ACV262138:ACV262203 AMR262138:AMR262203 AWN262138:AWN262203 BGJ262138:BGJ262203 BQF262138:BQF262203 CAB262138:CAB262203 CJX262138:CJX262203 CTT262138:CTT262203 DDP262138:DDP262203 DNL262138:DNL262203 DXH262138:DXH262203 EHD262138:EHD262203 EQZ262138:EQZ262203 FAV262138:FAV262203 FKR262138:FKR262203 FUN262138:FUN262203 GEJ262138:GEJ262203 GOF262138:GOF262203 GYB262138:GYB262203 HHX262138:HHX262203 HRT262138:HRT262203 IBP262138:IBP262203 ILL262138:ILL262203 IVH262138:IVH262203 JFD262138:JFD262203 JOZ262138:JOZ262203 JYV262138:JYV262203 KIR262138:KIR262203 KSN262138:KSN262203 LCJ262138:LCJ262203 LMF262138:LMF262203 LWB262138:LWB262203 MFX262138:MFX262203 MPT262138:MPT262203 MZP262138:MZP262203 NJL262138:NJL262203 NTH262138:NTH262203 ODD262138:ODD262203 OMZ262138:OMZ262203 OWV262138:OWV262203 PGR262138:PGR262203 PQN262138:PQN262203 QAJ262138:QAJ262203 QKF262138:QKF262203 QUB262138:QUB262203 RDX262138:RDX262203 RNT262138:RNT262203 RXP262138:RXP262203 SHL262138:SHL262203 SRH262138:SRH262203 TBD262138:TBD262203 TKZ262138:TKZ262203 TUV262138:TUV262203 UER262138:UER262203 UON262138:UON262203 UYJ262138:UYJ262203 VIF262138:VIF262203 VSB262138:VSB262203 WBX262138:WBX262203 WLT262138:WLT262203 WVP262138:WVP262203 H327674:H327739 JD327674:JD327739 SZ327674:SZ327739 ACV327674:ACV327739 AMR327674:AMR327739 AWN327674:AWN327739 BGJ327674:BGJ327739 BQF327674:BQF327739 CAB327674:CAB327739 CJX327674:CJX327739 CTT327674:CTT327739 DDP327674:DDP327739 DNL327674:DNL327739 DXH327674:DXH327739 EHD327674:EHD327739 EQZ327674:EQZ327739 FAV327674:FAV327739 FKR327674:FKR327739 FUN327674:FUN327739 GEJ327674:GEJ327739 GOF327674:GOF327739 GYB327674:GYB327739 HHX327674:HHX327739 HRT327674:HRT327739 IBP327674:IBP327739 ILL327674:ILL327739 IVH327674:IVH327739 JFD327674:JFD327739 JOZ327674:JOZ327739 JYV327674:JYV327739 KIR327674:KIR327739 KSN327674:KSN327739 LCJ327674:LCJ327739 LMF327674:LMF327739 LWB327674:LWB327739 MFX327674:MFX327739 MPT327674:MPT327739 MZP327674:MZP327739 NJL327674:NJL327739 NTH327674:NTH327739 ODD327674:ODD327739 OMZ327674:OMZ327739 OWV327674:OWV327739 PGR327674:PGR327739 PQN327674:PQN327739 QAJ327674:QAJ327739 QKF327674:QKF327739 QUB327674:QUB327739 RDX327674:RDX327739 RNT327674:RNT327739 RXP327674:RXP327739 SHL327674:SHL327739 SRH327674:SRH327739 TBD327674:TBD327739 TKZ327674:TKZ327739 TUV327674:TUV327739 UER327674:UER327739 UON327674:UON327739 UYJ327674:UYJ327739 VIF327674:VIF327739 VSB327674:VSB327739 WBX327674:WBX327739 WLT327674:WLT327739 WVP327674:WVP327739 H393210:H393275 JD393210:JD393275 SZ393210:SZ393275 ACV393210:ACV393275 AMR393210:AMR393275 AWN393210:AWN393275 BGJ393210:BGJ393275 BQF393210:BQF393275 CAB393210:CAB393275 CJX393210:CJX393275 CTT393210:CTT393275 DDP393210:DDP393275 DNL393210:DNL393275 DXH393210:DXH393275 EHD393210:EHD393275 EQZ393210:EQZ393275 FAV393210:FAV393275 FKR393210:FKR393275 FUN393210:FUN393275 GEJ393210:GEJ393275 GOF393210:GOF393275 GYB393210:GYB393275 HHX393210:HHX393275 HRT393210:HRT393275 IBP393210:IBP393275 ILL393210:ILL393275 IVH393210:IVH393275 JFD393210:JFD393275 JOZ393210:JOZ393275 JYV393210:JYV393275 KIR393210:KIR393275 KSN393210:KSN393275 LCJ393210:LCJ393275 LMF393210:LMF393275 LWB393210:LWB393275 MFX393210:MFX393275 MPT393210:MPT393275 MZP393210:MZP393275 NJL393210:NJL393275 NTH393210:NTH393275 ODD393210:ODD393275 OMZ393210:OMZ393275 OWV393210:OWV393275 PGR393210:PGR393275 PQN393210:PQN393275 QAJ393210:QAJ393275 QKF393210:QKF393275 QUB393210:QUB393275 RDX393210:RDX393275 RNT393210:RNT393275 RXP393210:RXP393275 SHL393210:SHL393275 SRH393210:SRH393275 TBD393210:TBD393275 TKZ393210:TKZ393275 TUV393210:TUV393275 UER393210:UER393275 UON393210:UON393275 UYJ393210:UYJ393275 VIF393210:VIF393275 VSB393210:VSB393275 WBX393210:WBX393275 WLT393210:WLT393275 WVP393210:WVP393275 H458746:H458811 JD458746:JD458811 SZ458746:SZ458811 ACV458746:ACV458811 AMR458746:AMR458811 AWN458746:AWN458811 BGJ458746:BGJ458811 BQF458746:BQF458811 CAB458746:CAB458811 CJX458746:CJX458811 CTT458746:CTT458811 DDP458746:DDP458811 DNL458746:DNL458811 DXH458746:DXH458811 EHD458746:EHD458811 EQZ458746:EQZ458811 FAV458746:FAV458811 FKR458746:FKR458811 FUN458746:FUN458811 GEJ458746:GEJ458811 GOF458746:GOF458811 GYB458746:GYB458811 HHX458746:HHX458811 HRT458746:HRT458811 IBP458746:IBP458811 ILL458746:ILL458811 IVH458746:IVH458811 JFD458746:JFD458811 JOZ458746:JOZ458811 JYV458746:JYV458811 KIR458746:KIR458811 KSN458746:KSN458811 LCJ458746:LCJ458811 LMF458746:LMF458811 LWB458746:LWB458811 MFX458746:MFX458811 MPT458746:MPT458811 MZP458746:MZP458811 NJL458746:NJL458811 NTH458746:NTH458811 ODD458746:ODD458811 OMZ458746:OMZ458811 OWV458746:OWV458811 PGR458746:PGR458811 PQN458746:PQN458811 QAJ458746:QAJ458811 QKF458746:QKF458811 QUB458746:QUB458811 RDX458746:RDX458811 RNT458746:RNT458811 RXP458746:RXP458811 SHL458746:SHL458811 SRH458746:SRH458811 TBD458746:TBD458811 TKZ458746:TKZ458811 TUV458746:TUV458811 UER458746:UER458811 UON458746:UON458811 UYJ458746:UYJ458811 VIF458746:VIF458811 VSB458746:VSB458811 WBX458746:WBX458811 WLT458746:WLT458811 WVP458746:WVP458811 H524282:H524347 JD524282:JD524347 SZ524282:SZ524347 ACV524282:ACV524347 AMR524282:AMR524347 AWN524282:AWN524347 BGJ524282:BGJ524347 BQF524282:BQF524347 CAB524282:CAB524347 CJX524282:CJX524347 CTT524282:CTT524347 DDP524282:DDP524347 DNL524282:DNL524347 DXH524282:DXH524347 EHD524282:EHD524347 EQZ524282:EQZ524347 FAV524282:FAV524347 FKR524282:FKR524347 FUN524282:FUN524347 GEJ524282:GEJ524347 GOF524282:GOF524347 GYB524282:GYB524347 HHX524282:HHX524347 HRT524282:HRT524347 IBP524282:IBP524347 ILL524282:ILL524347 IVH524282:IVH524347 JFD524282:JFD524347 JOZ524282:JOZ524347 JYV524282:JYV524347 KIR524282:KIR524347 KSN524282:KSN524347 LCJ524282:LCJ524347 LMF524282:LMF524347 LWB524282:LWB524347 MFX524282:MFX524347 MPT524282:MPT524347 MZP524282:MZP524347 NJL524282:NJL524347 NTH524282:NTH524347 ODD524282:ODD524347 OMZ524282:OMZ524347 OWV524282:OWV524347 PGR524282:PGR524347 PQN524282:PQN524347 QAJ524282:QAJ524347 QKF524282:QKF524347 QUB524282:QUB524347 RDX524282:RDX524347 RNT524282:RNT524347 RXP524282:RXP524347 SHL524282:SHL524347 SRH524282:SRH524347 TBD524282:TBD524347 TKZ524282:TKZ524347 TUV524282:TUV524347 UER524282:UER524347 UON524282:UON524347 UYJ524282:UYJ524347 VIF524282:VIF524347 VSB524282:VSB524347 WBX524282:WBX524347 WLT524282:WLT524347 WVP524282:WVP524347 H589818:H589883 JD589818:JD589883 SZ589818:SZ589883 ACV589818:ACV589883 AMR589818:AMR589883 AWN589818:AWN589883 BGJ589818:BGJ589883 BQF589818:BQF589883 CAB589818:CAB589883 CJX589818:CJX589883 CTT589818:CTT589883 DDP589818:DDP589883 DNL589818:DNL589883 DXH589818:DXH589883 EHD589818:EHD589883 EQZ589818:EQZ589883 FAV589818:FAV589883 FKR589818:FKR589883 FUN589818:FUN589883 GEJ589818:GEJ589883 GOF589818:GOF589883 GYB589818:GYB589883 HHX589818:HHX589883 HRT589818:HRT589883 IBP589818:IBP589883 ILL589818:ILL589883 IVH589818:IVH589883 JFD589818:JFD589883 JOZ589818:JOZ589883 JYV589818:JYV589883 KIR589818:KIR589883 KSN589818:KSN589883 LCJ589818:LCJ589883 LMF589818:LMF589883 LWB589818:LWB589883 MFX589818:MFX589883 MPT589818:MPT589883 MZP589818:MZP589883 NJL589818:NJL589883 NTH589818:NTH589883 ODD589818:ODD589883 OMZ589818:OMZ589883 OWV589818:OWV589883 PGR589818:PGR589883 PQN589818:PQN589883 QAJ589818:QAJ589883 QKF589818:QKF589883 QUB589818:QUB589883 RDX589818:RDX589883 RNT589818:RNT589883 RXP589818:RXP589883 SHL589818:SHL589883 SRH589818:SRH589883 TBD589818:TBD589883 TKZ589818:TKZ589883 TUV589818:TUV589883 UER589818:UER589883 UON589818:UON589883 UYJ589818:UYJ589883 VIF589818:VIF589883 VSB589818:VSB589883 WBX589818:WBX589883 WLT589818:WLT589883 WVP589818:WVP589883 H655354:H655419 JD655354:JD655419 SZ655354:SZ655419 ACV655354:ACV655419 AMR655354:AMR655419 AWN655354:AWN655419 BGJ655354:BGJ655419 BQF655354:BQF655419 CAB655354:CAB655419 CJX655354:CJX655419 CTT655354:CTT655419 DDP655354:DDP655419 DNL655354:DNL655419 DXH655354:DXH655419 EHD655354:EHD655419 EQZ655354:EQZ655419 FAV655354:FAV655419 FKR655354:FKR655419 FUN655354:FUN655419 GEJ655354:GEJ655419 GOF655354:GOF655419 GYB655354:GYB655419 HHX655354:HHX655419 HRT655354:HRT655419 IBP655354:IBP655419 ILL655354:ILL655419 IVH655354:IVH655419 JFD655354:JFD655419 JOZ655354:JOZ655419 JYV655354:JYV655419 KIR655354:KIR655419 KSN655354:KSN655419 LCJ655354:LCJ655419 LMF655354:LMF655419 LWB655354:LWB655419 MFX655354:MFX655419 MPT655354:MPT655419 MZP655354:MZP655419 NJL655354:NJL655419 NTH655354:NTH655419 ODD655354:ODD655419 OMZ655354:OMZ655419 OWV655354:OWV655419 PGR655354:PGR655419 PQN655354:PQN655419 QAJ655354:QAJ655419 QKF655354:QKF655419 QUB655354:QUB655419 RDX655354:RDX655419 RNT655354:RNT655419 RXP655354:RXP655419 SHL655354:SHL655419 SRH655354:SRH655419 TBD655354:TBD655419 TKZ655354:TKZ655419 TUV655354:TUV655419 UER655354:UER655419 UON655354:UON655419 UYJ655354:UYJ655419 VIF655354:VIF655419 VSB655354:VSB655419 WBX655354:WBX655419 WLT655354:WLT655419 WVP655354:WVP655419 H720890:H720955 JD720890:JD720955 SZ720890:SZ720955 ACV720890:ACV720955 AMR720890:AMR720955 AWN720890:AWN720955 BGJ720890:BGJ720955 BQF720890:BQF720955 CAB720890:CAB720955 CJX720890:CJX720955 CTT720890:CTT720955 DDP720890:DDP720955 DNL720890:DNL720955 DXH720890:DXH720955 EHD720890:EHD720955 EQZ720890:EQZ720955 FAV720890:FAV720955 FKR720890:FKR720955 FUN720890:FUN720955 GEJ720890:GEJ720955 GOF720890:GOF720955 GYB720890:GYB720955 HHX720890:HHX720955 HRT720890:HRT720955 IBP720890:IBP720955 ILL720890:ILL720955 IVH720890:IVH720955 JFD720890:JFD720955 JOZ720890:JOZ720955 JYV720890:JYV720955 KIR720890:KIR720955 KSN720890:KSN720955 LCJ720890:LCJ720955 LMF720890:LMF720955 LWB720890:LWB720955 MFX720890:MFX720955 MPT720890:MPT720955 MZP720890:MZP720955 NJL720890:NJL720955 NTH720890:NTH720955 ODD720890:ODD720955 OMZ720890:OMZ720955 OWV720890:OWV720955 PGR720890:PGR720955 PQN720890:PQN720955 QAJ720890:QAJ720955 QKF720890:QKF720955 QUB720890:QUB720955 RDX720890:RDX720955 RNT720890:RNT720955 RXP720890:RXP720955 SHL720890:SHL720955 SRH720890:SRH720955 TBD720890:TBD720955 TKZ720890:TKZ720955 TUV720890:TUV720955 UER720890:UER720955 UON720890:UON720955 UYJ720890:UYJ720955 VIF720890:VIF720955 VSB720890:VSB720955 WBX720890:WBX720955 WLT720890:WLT720955 WVP720890:WVP720955 H786426:H786491 JD786426:JD786491 SZ786426:SZ786491 ACV786426:ACV786491 AMR786426:AMR786491 AWN786426:AWN786491 BGJ786426:BGJ786491 BQF786426:BQF786491 CAB786426:CAB786491 CJX786426:CJX786491 CTT786426:CTT786491 DDP786426:DDP786491 DNL786426:DNL786491 DXH786426:DXH786491 EHD786426:EHD786491 EQZ786426:EQZ786491 FAV786426:FAV786491 FKR786426:FKR786491 FUN786426:FUN786491 GEJ786426:GEJ786491 GOF786426:GOF786491 GYB786426:GYB786491 HHX786426:HHX786491 HRT786426:HRT786491 IBP786426:IBP786491 ILL786426:ILL786491 IVH786426:IVH786491 JFD786426:JFD786491 JOZ786426:JOZ786491 JYV786426:JYV786491 KIR786426:KIR786491 KSN786426:KSN786491 LCJ786426:LCJ786491 LMF786426:LMF786491 LWB786426:LWB786491 MFX786426:MFX786491 MPT786426:MPT786491 MZP786426:MZP786491 NJL786426:NJL786491 NTH786426:NTH786491 ODD786426:ODD786491 OMZ786426:OMZ786491 OWV786426:OWV786491 PGR786426:PGR786491 PQN786426:PQN786491 QAJ786426:QAJ786491 QKF786426:QKF786491 QUB786426:QUB786491 RDX786426:RDX786491 RNT786426:RNT786491 RXP786426:RXP786491 SHL786426:SHL786491 SRH786426:SRH786491 TBD786426:TBD786491 TKZ786426:TKZ786491 TUV786426:TUV786491 UER786426:UER786491 UON786426:UON786491 UYJ786426:UYJ786491 VIF786426:VIF786491 VSB786426:VSB786491 WBX786426:WBX786491 WLT786426:WLT786491 WVP786426:WVP786491 H851962:H852027 JD851962:JD852027 SZ851962:SZ852027 ACV851962:ACV852027 AMR851962:AMR852027 AWN851962:AWN852027 BGJ851962:BGJ852027 BQF851962:BQF852027 CAB851962:CAB852027 CJX851962:CJX852027 CTT851962:CTT852027 DDP851962:DDP852027 DNL851962:DNL852027 DXH851962:DXH852027 EHD851962:EHD852027 EQZ851962:EQZ852027 FAV851962:FAV852027 FKR851962:FKR852027 FUN851962:FUN852027 GEJ851962:GEJ852027 GOF851962:GOF852027 GYB851962:GYB852027 HHX851962:HHX852027 HRT851962:HRT852027 IBP851962:IBP852027 ILL851962:ILL852027 IVH851962:IVH852027 JFD851962:JFD852027 JOZ851962:JOZ852027 JYV851962:JYV852027 KIR851962:KIR852027 KSN851962:KSN852027 LCJ851962:LCJ852027 LMF851962:LMF852027 LWB851962:LWB852027 MFX851962:MFX852027 MPT851962:MPT852027 MZP851962:MZP852027 NJL851962:NJL852027 NTH851962:NTH852027 ODD851962:ODD852027 OMZ851962:OMZ852027 OWV851962:OWV852027 PGR851962:PGR852027 PQN851962:PQN852027 QAJ851962:QAJ852027 QKF851962:QKF852027 QUB851962:QUB852027 RDX851962:RDX852027 RNT851962:RNT852027 RXP851962:RXP852027 SHL851962:SHL852027 SRH851962:SRH852027 TBD851962:TBD852027 TKZ851962:TKZ852027 TUV851962:TUV852027 UER851962:UER852027 UON851962:UON852027 UYJ851962:UYJ852027 VIF851962:VIF852027 VSB851962:VSB852027 WBX851962:WBX852027 WLT851962:WLT852027 WVP851962:WVP852027 H917498:H917563 JD917498:JD917563 SZ917498:SZ917563 ACV917498:ACV917563 AMR917498:AMR917563 AWN917498:AWN917563 BGJ917498:BGJ917563 BQF917498:BQF917563 CAB917498:CAB917563 CJX917498:CJX917563 CTT917498:CTT917563 DDP917498:DDP917563 DNL917498:DNL917563 DXH917498:DXH917563 EHD917498:EHD917563 EQZ917498:EQZ917563 FAV917498:FAV917563 FKR917498:FKR917563 FUN917498:FUN917563 GEJ917498:GEJ917563 GOF917498:GOF917563 GYB917498:GYB917563 HHX917498:HHX917563 HRT917498:HRT917563 IBP917498:IBP917563 ILL917498:ILL917563 IVH917498:IVH917563 JFD917498:JFD917563 JOZ917498:JOZ917563 JYV917498:JYV917563 KIR917498:KIR917563 KSN917498:KSN917563 LCJ917498:LCJ917563 LMF917498:LMF917563 LWB917498:LWB917563 MFX917498:MFX917563 MPT917498:MPT917563 MZP917498:MZP917563 NJL917498:NJL917563 NTH917498:NTH917563 ODD917498:ODD917563 OMZ917498:OMZ917563 OWV917498:OWV917563 PGR917498:PGR917563 PQN917498:PQN917563 QAJ917498:QAJ917563 QKF917498:QKF917563 QUB917498:QUB917563 RDX917498:RDX917563 RNT917498:RNT917563 RXP917498:RXP917563 SHL917498:SHL917563 SRH917498:SRH917563 TBD917498:TBD917563 TKZ917498:TKZ917563 TUV917498:TUV917563 UER917498:UER917563 UON917498:UON917563 UYJ917498:UYJ917563 VIF917498:VIF917563 VSB917498:VSB917563 WBX917498:WBX917563 WLT917498:WLT917563 WVP917498:WVP917563 H983034:H983099 JD983034:JD983099 SZ983034:SZ983099 ACV983034:ACV983099 AMR983034:AMR983099 AWN983034:AWN983099 BGJ983034:BGJ983099 BQF983034:BQF983099 CAB983034:CAB983099 CJX983034:CJX983099 CTT983034:CTT983099 DDP983034:DDP983099 DNL983034:DNL983099 DXH983034:DXH983099 EHD983034:EHD983099 EQZ983034:EQZ983099 FAV983034:FAV983099 FKR983034:FKR983099 FUN983034:FUN983099 GEJ983034:GEJ983099 GOF983034:GOF983099 GYB983034:GYB983099 HHX983034:HHX983099 HRT983034:HRT983099 IBP983034:IBP983099 ILL983034:ILL983099 IVH983034:IVH983099 JFD983034:JFD983099 JOZ983034:JOZ983099 JYV983034:JYV983099 KIR983034:KIR983099 KSN983034:KSN983099 LCJ983034:LCJ983099 LMF983034:LMF983099 LWB983034:LWB983099 MFX983034:MFX983099 MPT983034:MPT983099 MZP983034:MZP983099 NJL983034:NJL983099 NTH983034:NTH983099 ODD983034:ODD983099 OMZ983034:OMZ983099 OWV983034:OWV983099 PGR983034:PGR983099 PQN983034:PQN983099 QAJ983034:QAJ983099 QKF983034:QKF983099 QUB983034:QUB983099 RDX983034:RDX983099 RNT983034:RNT983099 RXP983034:RXP983099 SHL983034:SHL983099 SRH983034:SRH983099 TBD983034:TBD983099 TKZ983034:TKZ983099 TUV983034:TUV983099 UER983034:UER983099 UON983034:UON983099 UYJ983034:UYJ983099 VIF983034:VIF983099 VSB983034:VSB983099 WBX983034:WBX983099 WLT983034:WLT983099 WVP2:WVP59 WLT2:WLT59 WBX2:WBX59 VSB2:VSB59 VIF2:VIF59 UYJ2:UYJ59 UON2:UON59 UER2:UER59 TUV2:TUV59 TKZ2:TKZ59 TBD2:TBD59 SRH2:SRH59 SHL2:SHL59 RXP2:RXP59 RNT2:RNT59 RDX2:RDX59 QUB2:QUB59 QKF2:QKF59 QAJ2:QAJ59 PQN2:PQN59 PGR2:PGR59 OWV2:OWV59 OMZ2:OMZ59 ODD2:ODD59 NTH2:NTH59 NJL2:NJL59 MZP2:MZP59 MPT2:MPT59 MFX2:MFX59 LWB2:LWB59 LMF2:LMF59 LCJ2:LCJ59 KSN2:KSN59 KIR2:KIR59 JYV2:JYV59 JOZ2:JOZ59 JFD2:JFD59 IVH2:IVH59 ILL2:ILL59 IBP2:IBP59 HRT2:HRT59 HHX2:HHX59 GYB2:GYB59 GOF2:GOF59 GEJ2:GEJ59 FUN2:FUN59 FKR2:FKR59 FAV2:FAV59 EQZ2:EQZ59 EHD2:EHD59 DXH2:DXH59 DNL2:DNL59 DDP2:DDP59 CTT2:CTT59 CJX2:CJX59 CAB2:CAB59 BQF2:BQF59 BGJ2:BGJ59 AWN2:AWN59 AMR2:AMR59 ACV2:ACV59 SZ2:SZ59 JD2:JD59" xr:uid="{ECC8AA03-BF40-46DD-AA4D-3F8837E8C309}">
      <formula1>$AL$4:$AL$12</formula1>
    </dataValidation>
    <dataValidation type="list" allowBlank="1" showInputMessage="1" showErrorMessage="1" sqref="A64355:A64420 IW64355:IW64420 SS64355:SS64420 ACO64355:ACO64420 AMK64355:AMK64420 AWG64355:AWG64420 BGC64355:BGC64420 BPY64355:BPY64420 BZU64355:BZU64420 CJQ64355:CJQ64420 CTM64355:CTM64420 DDI64355:DDI64420 DNE64355:DNE64420 DXA64355:DXA64420 EGW64355:EGW64420 EQS64355:EQS64420 FAO64355:FAO64420 FKK64355:FKK64420 FUG64355:FUG64420 GEC64355:GEC64420 GNY64355:GNY64420 GXU64355:GXU64420 HHQ64355:HHQ64420 HRM64355:HRM64420 IBI64355:IBI64420 ILE64355:ILE64420 IVA64355:IVA64420 JEW64355:JEW64420 JOS64355:JOS64420 JYO64355:JYO64420 KIK64355:KIK64420 KSG64355:KSG64420 LCC64355:LCC64420 LLY64355:LLY64420 LVU64355:LVU64420 MFQ64355:MFQ64420 MPM64355:MPM64420 MZI64355:MZI64420 NJE64355:NJE64420 NTA64355:NTA64420 OCW64355:OCW64420 OMS64355:OMS64420 OWO64355:OWO64420 PGK64355:PGK64420 PQG64355:PQG64420 QAC64355:QAC64420 QJY64355:QJY64420 QTU64355:QTU64420 RDQ64355:RDQ64420 RNM64355:RNM64420 RXI64355:RXI64420 SHE64355:SHE64420 SRA64355:SRA64420 TAW64355:TAW64420 TKS64355:TKS64420 TUO64355:TUO64420 UEK64355:UEK64420 UOG64355:UOG64420 UYC64355:UYC64420 VHY64355:VHY64420 VRU64355:VRU64420 WBQ64355:WBQ64420 WLM64355:WLM64420 WVI64355:WVI64420 A129891:A129956 IW129891:IW129956 SS129891:SS129956 ACO129891:ACO129956 AMK129891:AMK129956 AWG129891:AWG129956 BGC129891:BGC129956 BPY129891:BPY129956 BZU129891:BZU129956 CJQ129891:CJQ129956 CTM129891:CTM129956 DDI129891:DDI129956 DNE129891:DNE129956 DXA129891:DXA129956 EGW129891:EGW129956 EQS129891:EQS129956 FAO129891:FAO129956 FKK129891:FKK129956 FUG129891:FUG129956 GEC129891:GEC129956 GNY129891:GNY129956 GXU129891:GXU129956 HHQ129891:HHQ129956 HRM129891:HRM129956 IBI129891:IBI129956 ILE129891:ILE129956 IVA129891:IVA129956 JEW129891:JEW129956 JOS129891:JOS129956 JYO129891:JYO129956 KIK129891:KIK129956 KSG129891:KSG129956 LCC129891:LCC129956 LLY129891:LLY129956 LVU129891:LVU129956 MFQ129891:MFQ129956 MPM129891:MPM129956 MZI129891:MZI129956 NJE129891:NJE129956 NTA129891:NTA129956 OCW129891:OCW129956 OMS129891:OMS129956 OWO129891:OWO129956 PGK129891:PGK129956 PQG129891:PQG129956 QAC129891:QAC129956 QJY129891:QJY129956 QTU129891:QTU129956 RDQ129891:RDQ129956 RNM129891:RNM129956 RXI129891:RXI129956 SHE129891:SHE129956 SRA129891:SRA129956 TAW129891:TAW129956 TKS129891:TKS129956 TUO129891:TUO129956 UEK129891:UEK129956 UOG129891:UOG129956 UYC129891:UYC129956 VHY129891:VHY129956 VRU129891:VRU129956 WBQ129891:WBQ129956 WLM129891:WLM129956 WVI129891:WVI129956 A195427:A195492 IW195427:IW195492 SS195427:SS195492 ACO195427:ACO195492 AMK195427:AMK195492 AWG195427:AWG195492 BGC195427:BGC195492 BPY195427:BPY195492 BZU195427:BZU195492 CJQ195427:CJQ195492 CTM195427:CTM195492 DDI195427:DDI195492 DNE195427:DNE195492 DXA195427:DXA195492 EGW195427:EGW195492 EQS195427:EQS195492 FAO195427:FAO195492 FKK195427:FKK195492 FUG195427:FUG195492 GEC195427:GEC195492 GNY195427:GNY195492 GXU195427:GXU195492 HHQ195427:HHQ195492 HRM195427:HRM195492 IBI195427:IBI195492 ILE195427:ILE195492 IVA195427:IVA195492 JEW195427:JEW195492 JOS195427:JOS195492 JYO195427:JYO195492 KIK195427:KIK195492 KSG195427:KSG195492 LCC195427:LCC195492 LLY195427:LLY195492 LVU195427:LVU195492 MFQ195427:MFQ195492 MPM195427:MPM195492 MZI195427:MZI195492 NJE195427:NJE195492 NTA195427:NTA195492 OCW195427:OCW195492 OMS195427:OMS195492 OWO195427:OWO195492 PGK195427:PGK195492 PQG195427:PQG195492 QAC195427:QAC195492 QJY195427:QJY195492 QTU195427:QTU195492 RDQ195427:RDQ195492 RNM195427:RNM195492 RXI195427:RXI195492 SHE195427:SHE195492 SRA195427:SRA195492 TAW195427:TAW195492 TKS195427:TKS195492 TUO195427:TUO195492 UEK195427:UEK195492 UOG195427:UOG195492 UYC195427:UYC195492 VHY195427:VHY195492 VRU195427:VRU195492 WBQ195427:WBQ195492 WLM195427:WLM195492 WVI195427:WVI195492 A260963:A261028 IW260963:IW261028 SS260963:SS261028 ACO260963:ACO261028 AMK260963:AMK261028 AWG260963:AWG261028 BGC260963:BGC261028 BPY260963:BPY261028 BZU260963:BZU261028 CJQ260963:CJQ261028 CTM260963:CTM261028 DDI260963:DDI261028 DNE260963:DNE261028 DXA260963:DXA261028 EGW260963:EGW261028 EQS260963:EQS261028 FAO260963:FAO261028 FKK260963:FKK261028 FUG260963:FUG261028 GEC260963:GEC261028 GNY260963:GNY261028 GXU260963:GXU261028 HHQ260963:HHQ261028 HRM260963:HRM261028 IBI260963:IBI261028 ILE260963:ILE261028 IVA260963:IVA261028 JEW260963:JEW261028 JOS260963:JOS261028 JYO260963:JYO261028 KIK260963:KIK261028 KSG260963:KSG261028 LCC260963:LCC261028 LLY260963:LLY261028 LVU260963:LVU261028 MFQ260963:MFQ261028 MPM260963:MPM261028 MZI260963:MZI261028 NJE260963:NJE261028 NTA260963:NTA261028 OCW260963:OCW261028 OMS260963:OMS261028 OWO260963:OWO261028 PGK260963:PGK261028 PQG260963:PQG261028 QAC260963:QAC261028 QJY260963:QJY261028 QTU260963:QTU261028 RDQ260963:RDQ261028 RNM260963:RNM261028 RXI260963:RXI261028 SHE260963:SHE261028 SRA260963:SRA261028 TAW260963:TAW261028 TKS260963:TKS261028 TUO260963:TUO261028 UEK260963:UEK261028 UOG260963:UOG261028 UYC260963:UYC261028 VHY260963:VHY261028 VRU260963:VRU261028 WBQ260963:WBQ261028 WLM260963:WLM261028 WVI260963:WVI261028 A326499:A326564 IW326499:IW326564 SS326499:SS326564 ACO326499:ACO326564 AMK326499:AMK326564 AWG326499:AWG326564 BGC326499:BGC326564 BPY326499:BPY326564 BZU326499:BZU326564 CJQ326499:CJQ326564 CTM326499:CTM326564 DDI326499:DDI326564 DNE326499:DNE326564 DXA326499:DXA326564 EGW326499:EGW326564 EQS326499:EQS326564 FAO326499:FAO326564 FKK326499:FKK326564 FUG326499:FUG326564 GEC326499:GEC326564 GNY326499:GNY326564 GXU326499:GXU326564 HHQ326499:HHQ326564 HRM326499:HRM326564 IBI326499:IBI326564 ILE326499:ILE326564 IVA326499:IVA326564 JEW326499:JEW326564 JOS326499:JOS326564 JYO326499:JYO326564 KIK326499:KIK326564 KSG326499:KSG326564 LCC326499:LCC326564 LLY326499:LLY326564 LVU326499:LVU326564 MFQ326499:MFQ326564 MPM326499:MPM326564 MZI326499:MZI326564 NJE326499:NJE326564 NTA326499:NTA326564 OCW326499:OCW326564 OMS326499:OMS326564 OWO326499:OWO326564 PGK326499:PGK326564 PQG326499:PQG326564 QAC326499:QAC326564 QJY326499:QJY326564 QTU326499:QTU326564 RDQ326499:RDQ326564 RNM326499:RNM326564 RXI326499:RXI326564 SHE326499:SHE326564 SRA326499:SRA326564 TAW326499:TAW326564 TKS326499:TKS326564 TUO326499:TUO326564 UEK326499:UEK326564 UOG326499:UOG326564 UYC326499:UYC326564 VHY326499:VHY326564 VRU326499:VRU326564 WBQ326499:WBQ326564 WLM326499:WLM326564 WVI326499:WVI326564 A392035:A392100 IW392035:IW392100 SS392035:SS392100 ACO392035:ACO392100 AMK392035:AMK392100 AWG392035:AWG392100 BGC392035:BGC392100 BPY392035:BPY392100 BZU392035:BZU392100 CJQ392035:CJQ392100 CTM392035:CTM392100 DDI392035:DDI392100 DNE392035:DNE392100 DXA392035:DXA392100 EGW392035:EGW392100 EQS392035:EQS392100 FAO392035:FAO392100 FKK392035:FKK392100 FUG392035:FUG392100 GEC392035:GEC392100 GNY392035:GNY392100 GXU392035:GXU392100 HHQ392035:HHQ392100 HRM392035:HRM392100 IBI392035:IBI392100 ILE392035:ILE392100 IVA392035:IVA392100 JEW392035:JEW392100 JOS392035:JOS392100 JYO392035:JYO392100 KIK392035:KIK392100 KSG392035:KSG392100 LCC392035:LCC392100 LLY392035:LLY392100 LVU392035:LVU392100 MFQ392035:MFQ392100 MPM392035:MPM392100 MZI392035:MZI392100 NJE392035:NJE392100 NTA392035:NTA392100 OCW392035:OCW392100 OMS392035:OMS392100 OWO392035:OWO392100 PGK392035:PGK392100 PQG392035:PQG392100 QAC392035:QAC392100 QJY392035:QJY392100 QTU392035:QTU392100 RDQ392035:RDQ392100 RNM392035:RNM392100 RXI392035:RXI392100 SHE392035:SHE392100 SRA392035:SRA392100 TAW392035:TAW392100 TKS392035:TKS392100 TUO392035:TUO392100 UEK392035:UEK392100 UOG392035:UOG392100 UYC392035:UYC392100 VHY392035:VHY392100 VRU392035:VRU392100 WBQ392035:WBQ392100 WLM392035:WLM392100 WVI392035:WVI392100 A457571:A457636 IW457571:IW457636 SS457571:SS457636 ACO457571:ACO457636 AMK457571:AMK457636 AWG457571:AWG457636 BGC457571:BGC457636 BPY457571:BPY457636 BZU457571:BZU457636 CJQ457571:CJQ457636 CTM457571:CTM457636 DDI457571:DDI457636 DNE457571:DNE457636 DXA457571:DXA457636 EGW457571:EGW457636 EQS457571:EQS457636 FAO457571:FAO457636 FKK457571:FKK457636 FUG457571:FUG457636 GEC457571:GEC457636 GNY457571:GNY457636 GXU457571:GXU457636 HHQ457571:HHQ457636 HRM457571:HRM457636 IBI457571:IBI457636 ILE457571:ILE457636 IVA457571:IVA457636 JEW457571:JEW457636 JOS457571:JOS457636 JYO457571:JYO457636 KIK457571:KIK457636 KSG457571:KSG457636 LCC457571:LCC457636 LLY457571:LLY457636 LVU457571:LVU457636 MFQ457571:MFQ457636 MPM457571:MPM457636 MZI457571:MZI457636 NJE457571:NJE457636 NTA457571:NTA457636 OCW457571:OCW457636 OMS457571:OMS457636 OWO457571:OWO457636 PGK457571:PGK457636 PQG457571:PQG457636 QAC457571:QAC457636 QJY457571:QJY457636 QTU457571:QTU457636 RDQ457571:RDQ457636 RNM457571:RNM457636 RXI457571:RXI457636 SHE457571:SHE457636 SRA457571:SRA457636 TAW457571:TAW457636 TKS457571:TKS457636 TUO457571:TUO457636 UEK457571:UEK457636 UOG457571:UOG457636 UYC457571:UYC457636 VHY457571:VHY457636 VRU457571:VRU457636 WBQ457571:WBQ457636 WLM457571:WLM457636 WVI457571:WVI457636 A523107:A523172 IW523107:IW523172 SS523107:SS523172 ACO523107:ACO523172 AMK523107:AMK523172 AWG523107:AWG523172 BGC523107:BGC523172 BPY523107:BPY523172 BZU523107:BZU523172 CJQ523107:CJQ523172 CTM523107:CTM523172 DDI523107:DDI523172 DNE523107:DNE523172 DXA523107:DXA523172 EGW523107:EGW523172 EQS523107:EQS523172 FAO523107:FAO523172 FKK523107:FKK523172 FUG523107:FUG523172 GEC523107:GEC523172 GNY523107:GNY523172 GXU523107:GXU523172 HHQ523107:HHQ523172 HRM523107:HRM523172 IBI523107:IBI523172 ILE523107:ILE523172 IVA523107:IVA523172 JEW523107:JEW523172 JOS523107:JOS523172 JYO523107:JYO523172 KIK523107:KIK523172 KSG523107:KSG523172 LCC523107:LCC523172 LLY523107:LLY523172 LVU523107:LVU523172 MFQ523107:MFQ523172 MPM523107:MPM523172 MZI523107:MZI523172 NJE523107:NJE523172 NTA523107:NTA523172 OCW523107:OCW523172 OMS523107:OMS523172 OWO523107:OWO523172 PGK523107:PGK523172 PQG523107:PQG523172 QAC523107:QAC523172 QJY523107:QJY523172 QTU523107:QTU523172 RDQ523107:RDQ523172 RNM523107:RNM523172 RXI523107:RXI523172 SHE523107:SHE523172 SRA523107:SRA523172 TAW523107:TAW523172 TKS523107:TKS523172 TUO523107:TUO523172 UEK523107:UEK523172 UOG523107:UOG523172 UYC523107:UYC523172 VHY523107:VHY523172 VRU523107:VRU523172 WBQ523107:WBQ523172 WLM523107:WLM523172 WVI523107:WVI523172 A588643:A588708 IW588643:IW588708 SS588643:SS588708 ACO588643:ACO588708 AMK588643:AMK588708 AWG588643:AWG588708 BGC588643:BGC588708 BPY588643:BPY588708 BZU588643:BZU588708 CJQ588643:CJQ588708 CTM588643:CTM588708 DDI588643:DDI588708 DNE588643:DNE588708 DXA588643:DXA588708 EGW588643:EGW588708 EQS588643:EQS588708 FAO588643:FAO588708 FKK588643:FKK588708 FUG588643:FUG588708 GEC588643:GEC588708 GNY588643:GNY588708 GXU588643:GXU588708 HHQ588643:HHQ588708 HRM588643:HRM588708 IBI588643:IBI588708 ILE588643:ILE588708 IVA588643:IVA588708 JEW588643:JEW588708 JOS588643:JOS588708 JYO588643:JYO588708 KIK588643:KIK588708 KSG588643:KSG588708 LCC588643:LCC588708 LLY588643:LLY588708 LVU588643:LVU588708 MFQ588643:MFQ588708 MPM588643:MPM588708 MZI588643:MZI588708 NJE588643:NJE588708 NTA588643:NTA588708 OCW588643:OCW588708 OMS588643:OMS588708 OWO588643:OWO588708 PGK588643:PGK588708 PQG588643:PQG588708 QAC588643:QAC588708 QJY588643:QJY588708 QTU588643:QTU588708 RDQ588643:RDQ588708 RNM588643:RNM588708 RXI588643:RXI588708 SHE588643:SHE588708 SRA588643:SRA588708 TAW588643:TAW588708 TKS588643:TKS588708 TUO588643:TUO588708 UEK588643:UEK588708 UOG588643:UOG588708 UYC588643:UYC588708 VHY588643:VHY588708 VRU588643:VRU588708 WBQ588643:WBQ588708 WLM588643:WLM588708 WVI588643:WVI588708 A654179:A654244 IW654179:IW654244 SS654179:SS654244 ACO654179:ACO654244 AMK654179:AMK654244 AWG654179:AWG654244 BGC654179:BGC654244 BPY654179:BPY654244 BZU654179:BZU654244 CJQ654179:CJQ654244 CTM654179:CTM654244 DDI654179:DDI654244 DNE654179:DNE654244 DXA654179:DXA654244 EGW654179:EGW654244 EQS654179:EQS654244 FAO654179:FAO654244 FKK654179:FKK654244 FUG654179:FUG654244 GEC654179:GEC654244 GNY654179:GNY654244 GXU654179:GXU654244 HHQ654179:HHQ654244 HRM654179:HRM654244 IBI654179:IBI654244 ILE654179:ILE654244 IVA654179:IVA654244 JEW654179:JEW654244 JOS654179:JOS654244 JYO654179:JYO654244 KIK654179:KIK654244 KSG654179:KSG654244 LCC654179:LCC654244 LLY654179:LLY654244 LVU654179:LVU654244 MFQ654179:MFQ654244 MPM654179:MPM654244 MZI654179:MZI654244 NJE654179:NJE654244 NTA654179:NTA654244 OCW654179:OCW654244 OMS654179:OMS654244 OWO654179:OWO654244 PGK654179:PGK654244 PQG654179:PQG654244 QAC654179:QAC654244 QJY654179:QJY654244 QTU654179:QTU654244 RDQ654179:RDQ654244 RNM654179:RNM654244 RXI654179:RXI654244 SHE654179:SHE654244 SRA654179:SRA654244 TAW654179:TAW654244 TKS654179:TKS654244 TUO654179:TUO654244 UEK654179:UEK654244 UOG654179:UOG654244 UYC654179:UYC654244 VHY654179:VHY654244 VRU654179:VRU654244 WBQ654179:WBQ654244 WLM654179:WLM654244 WVI654179:WVI654244 A719715:A719780 IW719715:IW719780 SS719715:SS719780 ACO719715:ACO719780 AMK719715:AMK719780 AWG719715:AWG719780 BGC719715:BGC719780 BPY719715:BPY719780 BZU719715:BZU719780 CJQ719715:CJQ719780 CTM719715:CTM719780 DDI719715:DDI719780 DNE719715:DNE719780 DXA719715:DXA719780 EGW719715:EGW719780 EQS719715:EQS719780 FAO719715:FAO719780 FKK719715:FKK719780 FUG719715:FUG719780 GEC719715:GEC719780 GNY719715:GNY719780 GXU719715:GXU719780 HHQ719715:HHQ719780 HRM719715:HRM719780 IBI719715:IBI719780 ILE719715:ILE719780 IVA719715:IVA719780 JEW719715:JEW719780 JOS719715:JOS719780 JYO719715:JYO719780 KIK719715:KIK719780 KSG719715:KSG719780 LCC719715:LCC719780 LLY719715:LLY719780 LVU719715:LVU719780 MFQ719715:MFQ719780 MPM719715:MPM719780 MZI719715:MZI719780 NJE719715:NJE719780 NTA719715:NTA719780 OCW719715:OCW719780 OMS719715:OMS719780 OWO719715:OWO719780 PGK719715:PGK719780 PQG719715:PQG719780 QAC719715:QAC719780 QJY719715:QJY719780 QTU719715:QTU719780 RDQ719715:RDQ719780 RNM719715:RNM719780 RXI719715:RXI719780 SHE719715:SHE719780 SRA719715:SRA719780 TAW719715:TAW719780 TKS719715:TKS719780 TUO719715:TUO719780 UEK719715:UEK719780 UOG719715:UOG719780 UYC719715:UYC719780 VHY719715:VHY719780 VRU719715:VRU719780 WBQ719715:WBQ719780 WLM719715:WLM719780 WVI719715:WVI719780 A785251:A785316 IW785251:IW785316 SS785251:SS785316 ACO785251:ACO785316 AMK785251:AMK785316 AWG785251:AWG785316 BGC785251:BGC785316 BPY785251:BPY785316 BZU785251:BZU785316 CJQ785251:CJQ785316 CTM785251:CTM785316 DDI785251:DDI785316 DNE785251:DNE785316 DXA785251:DXA785316 EGW785251:EGW785316 EQS785251:EQS785316 FAO785251:FAO785316 FKK785251:FKK785316 FUG785251:FUG785316 GEC785251:GEC785316 GNY785251:GNY785316 GXU785251:GXU785316 HHQ785251:HHQ785316 HRM785251:HRM785316 IBI785251:IBI785316 ILE785251:ILE785316 IVA785251:IVA785316 JEW785251:JEW785316 JOS785251:JOS785316 JYO785251:JYO785316 KIK785251:KIK785316 KSG785251:KSG785316 LCC785251:LCC785316 LLY785251:LLY785316 LVU785251:LVU785316 MFQ785251:MFQ785316 MPM785251:MPM785316 MZI785251:MZI785316 NJE785251:NJE785316 NTA785251:NTA785316 OCW785251:OCW785316 OMS785251:OMS785316 OWO785251:OWO785316 PGK785251:PGK785316 PQG785251:PQG785316 QAC785251:QAC785316 QJY785251:QJY785316 QTU785251:QTU785316 RDQ785251:RDQ785316 RNM785251:RNM785316 RXI785251:RXI785316 SHE785251:SHE785316 SRA785251:SRA785316 TAW785251:TAW785316 TKS785251:TKS785316 TUO785251:TUO785316 UEK785251:UEK785316 UOG785251:UOG785316 UYC785251:UYC785316 VHY785251:VHY785316 VRU785251:VRU785316 WBQ785251:WBQ785316 WLM785251:WLM785316 WVI785251:WVI785316 A850787:A850852 IW850787:IW850852 SS850787:SS850852 ACO850787:ACO850852 AMK850787:AMK850852 AWG850787:AWG850852 BGC850787:BGC850852 BPY850787:BPY850852 BZU850787:BZU850852 CJQ850787:CJQ850852 CTM850787:CTM850852 DDI850787:DDI850852 DNE850787:DNE850852 DXA850787:DXA850852 EGW850787:EGW850852 EQS850787:EQS850852 FAO850787:FAO850852 FKK850787:FKK850852 FUG850787:FUG850852 GEC850787:GEC850852 GNY850787:GNY850852 GXU850787:GXU850852 HHQ850787:HHQ850852 HRM850787:HRM850852 IBI850787:IBI850852 ILE850787:ILE850852 IVA850787:IVA850852 JEW850787:JEW850852 JOS850787:JOS850852 JYO850787:JYO850852 KIK850787:KIK850852 KSG850787:KSG850852 LCC850787:LCC850852 LLY850787:LLY850852 LVU850787:LVU850852 MFQ850787:MFQ850852 MPM850787:MPM850852 MZI850787:MZI850852 NJE850787:NJE850852 NTA850787:NTA850852 OCW850787:OCW850852 OMS850787:OMS850852 OWO850787:OWO850852 PGK850787:PGK850852 PQG850787:PQG850852 QAC850787:QAC850852 QJY850787:QJY850852 QTU850787:QTU850852 RDQ850787:RDQ850852 RNM850787:RNM850852 RXI850787:RXI850852 SHE850787:SHE850852 SRA850787:SRA850852 TAW850787:TAW850852 TKS850787:TKS850852 TUO850787:TUO850852 UEK850787:UEK850852 UOG850787:UOG850852 UYC850787:UYC850852 VHY850787:VHY850852 VRU850787:VRU850852 WBQ850787:WBQ850852 WLM850787:WLM850852 WVI850787:WVI850852 A916323:A916388 IW916323:IW916388 SS916323:SS916388 ACO916323:ACO916388 AMK916323:AMK916388 AWG916323:AWG916388 BGC916323:BGC916388 BPY916323:BPY916388 BZU916323:BZU916388 CJQ916323:CJQ916388 CTM916323:CTM916388 DDI916323:DDI916388 DNE916323:DNE916388 DXA916323:DXA916388 EGW916323:EGW916388 EQS916323:EQS916388 FAO916323:FAO916388 FKK916323:FKK916388 FUG916323:FUG916388 GEC916323:GEC916388 GNY916323:GNY916388 GXU916323:GXU916388 HHQ916323:HHQ916388 HRM916323:HRM916388 IBI916323:IBI916388 ILE916323:ILE916388 IVA916323:IVA916388 JEW916323:JEW916388 JOS916323:JOS916388 JYO916323:JYO916388 KIK916323:KIK916388 KSG916323:KSG916388 LCC916323:LCC916388 LLY916323:LLY916388 LVU916323:LVU916388 MFQ916323:MFQ916388 MPM916323:MPM916388 MZI916323:MZI916388 NJE916323:NJE916388 NTA916323:NTA916388 OCW916323:OCW916388 OMS916323:OMS916388 OWO916323:OWO916388 PGK916323:PGK916388 PQG916323:PQG916388 QAC916323:QAC916388 QJY916323:QJY916388 QTU916323:QTU916388 RDQ916323:RDQ916388 RNM916323:RNM916388 RXI916323:RXI916388 SHE916323:SHE916388 SRA916323:SRA916388 TAW916323:TAW916388 TKS916323:TKS916388 TUO916323:TUO916388 UEK916323:UEK916388 UOG916323:UOG916388 UYC916323:UYC916388 VHY916323:VHY916388 VRU916323:VRU916388 WBQ916323:WBQ916388 WLM916323:WLM916388 WVI916323:WVI916388 A981859:A981924 IW981859:IW981924 SS981859:SS981924 ACO981859:ACO981924 AMK981859:AMK981924 AWG981859:AWG981924 BGC981859:BGC981924 BPY981859:BPY981924 BZU981859:BZU981924 CJQ981859:CJQ981924 CTM981859:CTM981924 DDI981859:DDI981924 DNE981859:DNE981924 DXA981859:DXA981924 EGW981859:EGW981924 EQS981859:EQS981924 FAO981859:FAO981924 FKK981859:FKK981924 FUG981859:FUG981924 GEC981859:GEC981924 GNY981859:GNY981924 GXU981859:GXU981924 HHQ981859:HHQ981924 HRM981859:HRM981924 IBI981859:IBI981924 ILE981859:ILE981924 IVA981859:IVA981924 JEW981859:JEW981924 JOS981859:JOS981924 JYO981859:JYO981924 KIK981859:KIK981924 KSG981859:KSG981924 LCC981859:LCC981924 LLY981859:LLY981924 LVU981859:LVU981924 MFQ981859:MFQ981924 MPM981859:MPM981924 MZI981859:MZI981924 NJE981859:NJE981924 NTA981859:NTA981924 OCW981859:OCW981924 OMS981859:OMS981924 OWO981859:OWO981924 PGK981859:PGK981924 PQG981859:PQG981924 QAC981859:QAC981924 QJY981859:QJY981924 QTU981859:QTU981924 RDQ981859:RDQ981924 RNM981859:RNM981924 RXI981859:RXI981924 SHE981859:SHE981924 SRA981859:SRA981924 TAW981859:TAW981924 TKS981859:TKS981924 TUO981859:TUO981924 UEK981859:UEK981924 UOG981859:UOG981924 UYC981859:UYC981924 VHY981859:VHY981924 VRU981859:VRU981924 WBQ981859:WBQ981924 WLM981859:WLM981924 WVI981859:WVI981924 A1047395:A1047460 IW1047395:IW1047460 SS1047395:SS1047460 ACO1047395:ACO1047460 AMK1047395:AMK1047460 AWG1047395:AWG1047460 BGC1047395:BGC1047460 BPY1047395:BPY1047460 BZU1047395:BZU1047460 CJQ1047395:CJQ1047460 CTM1047395:CTM1047460 DDI1047395:DDI1047460 DNE1047395:DNE1047460 DXA1047395:DXA1047460 EGW1047395:EGW1047460 EQS1047395:EQS1047460 FAO1047395:FAO1047460 FKK1047395:FKK1047460 FUG1047395:FUG1047460 GEC1047395:GEC1047460 GNY1047395:GNY1047460 GXU1047395:GXU1047460 HHQ1047395:HHQ1047460 HRM1047395:HRM1047460 IBI1047395:IBI1047460 ILE1047395:ILE1047460 IVA1047395:IVA1047460 JEW1047395:JEW1047460 JOS1047395:JOS1047460 JYO1047395:JYO1047460 KIK1047395:KIK1047460 KSG1047395:KSG1047460 LCC1047395:LCC1047460 LLY1047395:LLY1047460 LVU1047395:LVU1047460 MFQ1047395:MFQ1047460 MPM1047395:MPM1047460 MZI1047395:MZI1047460 NJE1047395:NJE1047460 NTA1047395:NTA1047460 OCW1047395:OCW1047460 OMS1047395:OMS1047460 OWO1047395:OWO1047460 PGK1047395:PGK1047460 PQG1047395:PQG1047460 QAC1047395:QAC1047460 QJY1047395:QJY1047460 QTU1047395:QTU1047460 RDQ1047395:RDQ1047460 RNM1047395:RNM1047460 RXI1047395:RXI1047460 SHE1047395:SHE1047460 SRA1047395:SRA1047460 TAW1047395:TAW1047460 TKS1047395:TKS1047460 TUO1047395:TUO1047460 UEK1047395:UEK1047460 UOG1047395:UOG1047460 UYC1047395:UYC1047460 VHY1047395:VHY1047460 VRU1047395:VRU1047460 WBQ1047395:WBQ1047460 WLM1047395:WLM1047460 WVI1047395:WVI1047460 WVI983034:WVI983105 A65530:A65601 IW65530:IW65601 SS65530:SS65601 ACO65530:ACO65601 AMK65530:AMK65601 AWG65530:AWG65601 BGC65530:BGC65601 BPY65530:BPY65601 BZU65530:BZU65601 CJQ65530:CJQ65601 CTM65530:CTM65601 DDI65530:DDI65601 DNE65530:DNE65601 DXA65530:DXA65601 EGW65530:EGW65601 EQS65530:EQS65601 FAO65530:FAO65601 FKK65530:FKK65601 FUG65530:FUG65601 GEC65530:GEC65601 GNY65530:GNY65601 GXU65530:GXU65601 HHQ65530:HHQ65601 HRM65530:HRM65601 IBI65530:IBI65601 ILE65530:ILE65601 IVA65530:IVA65601 JEW65530:JEW65601 JOS65530:JOS65601 JYO65530:JYO65601 KIK65530:KIK65601 KSG65530:KSG65601 LCC65530:LCC65601 LLY65530:LLY65601 LVU65530:LVU65601 MFQ65530:MFQ65601 MPM65530:MPM65601 MZI65530:MZI65601 NJE65530:NJE65601 NTA65530:NTA65601 OCW65530:OCW65601 OMS65530:OMS65601 OWO65530:OWO65601 PGK65530:PGK65601 PQG65530:PQG65601 QAC65530:QAC65601 QJY65530:QJY65601 QTU65530:QTU65601 RDQ65530:RDQ65601 RNM65530:RNM65601 RXI65530:RXI65601 SHE65530:SHE65601 SRA65530:SRA65601 TAW65530:TAW65601 TKS65530:TKS65601 TUO65530:TUO65601 UEK65530:UEK65601 UOG65530:UOG65601 UYC65530:UYC65601 VHY65530:VHY65601 VRU65530:VRU65601 WBQ65530:WBQ65601 WLM65530:WLM65601 WVI65530:WVI65601 A131066:A131137 IW131066:IW131137 SS131066:SS131137 ACO131066:ACO131137 AMK131066:AMK131137 AWG131066:AWG131137 BGC131066:BGC131137 BPY131066:BPY131137 BZU131066:BZU131137 CJQ131066:CJQ131137 CTM131066:CTM131137 DDI131066:DDI131137 DNE131066:DNE131137 DXA131066:DXA131137 EGW131066:EGW131137 EQS131066:EQS131137 FAO131066:FAO131137 FKK131066:FKK131137 FUG131066:FUG131137 GEC131066:GEC131137 GNY131066:GNY131137 GXU131066:GXU131137 HHQ131066:HHQ131137 HRM131066:HRM131137 IBI131066:IBI131137 ILE131066:ILE131137 IVA131066:IVA131137 JEW131066:JEW131137 JOS131066:JOS131137 JYO131066:JYO131137 KIK131066:KIK131137 KSG131066:KSG131137 LCC131066:LCC131137 LLY131066:LLY131137 LVU131066:LVU131137 MFQ131066:MFQ131137 MPM131066:MPM131137 MZI131066:MZI131137 NJE131066:NJE131137 NTA131066:NTA131137 OCW131066:OCW131137 OMS131066:OMS131137 OWO131066:OWO131137 PGK131066:PGK131137 PQG131066:PQG131137 QAC131066:QAC131137 QJY131066:QJY131137 QTU131066:QTU131137 RDQ131066:RDQ131137 RNM131066:RNM131137 RXI131066:RXI131137 SHE131066:SHE131137 SRA131066:SRA131137 TAW131066:TAW131137 TKS131066:TKS131137 TUO131066:TUO131137 UEK131066:UEK131137 UOG131066:UOG131137 UYC131066:UYC131137 VHY131066:VHY131137 VRU131066:VRU131137 WBQ131066:WBQ131137 WLM131066:WLM131137 WVI131066:WVI131137 A196602:A196673 IW196602:IW196673 SS196602:SS196673 ACO196602:ACO196673 AMK196602:AMK196673 AWG196602:AWG196673 BGC196602:BGC196673 BPY196602:BPY196673 BZU196602:BZU196673 CJQ196602:CJQ196673 CTM196602:CTM196673 DDI196602:DDI196673 DNE196602:DNE196673 DXA196602:DXA196673 EGW196602:EGW196673 EQS196602:EQS196673 FAO196602:FAO196673 FKK196602:FKK196673 FUG196602:FUG196673 GEC196602:GEC196673 GNY196602:GNY196673 GXU196602:GXU196673 HHQ196602:HHQ196673 HRM196602:HRM196673 IBI196602:IBI196673 ILE196602:ILE196673 IVA196602:IVA196673 JEW196602:JEW196673 JOS196602:JOS196673 JYO196602:JYO196673 KIK196602:KIK196673 KSG196602:KSG196673 LCC196602:LCC196673 LLY196602:LLY196673 LVU196602:LVU196673 MFQ196602:MFQ196673 MPM196602:MPM196673 MZI196602:MZI196673 NJE196602:NJE196673 NTA196602:NTA196673 OCW196602:OCW196673 OMS196602:OMS196673 OWO196602:OWO196673 PGK196602:PGK196673 PQG196602:PQG196673 QAC196602:QAC196673 QJY196602:QJY196673 QTU196602:QTU196673 RDQ196602:RDQ196673 RNM196602:RNM196673 RXI196602:RXI196673 SHE196602:SHE196673 SRA196602:SRA196673 TAW196602:TAW196673 TKS196602:TKS196673 TUO196602:TUO196673 UEK196602:UEK196673 UOG196602:UOG196673 UYC196602:UYC196673 VHY196602:VHY196673 VRU196602:VRU196673 WBQ196602:WBQ196673 WLM196602:WLM196673 WVI196602:WVI196673 A262138:A262209 IW262138:IW262209 SS262138:SS262209 ACO262138:ACO262209 AMK262138:AMK262209 AWG262138:AWG262209 BGC262138:BGC262209 BPY262138:BPY262209 BZU262138:BZU262209 CJQ262138:CJQ262209 CTM262138:CTM262209 DDI262138:DDI262209 DNE262138:DNE262209 DXA262138:DXA262209 EGW262138:EGW262209 EQS262138:EQS262209 FAO262138:FAO262209 FKK262138:FKK262209 FUG262138:FUG262209 GEC262138:GEC262209 GNY262138:GNY262209 GXU262138:GXU262209 HHQ262138:HHQ262209 HRM262138:HRM262209 IBI262138:IBI262209 ILE262138:ILE262209 IVA262138:IVA262209 JEW262138:JEW262209 JOS262138:JOS262209 JYO262138:JYO262209 KIK262138:KIK262209 KSG262138:KSG262209 LCC262138:LCC262209 LLY262138:LLY262209 LVU262138:LVU262209 MFQ262138:MFQ262209 MPM262138:MPM262209 MZI262138:MZI262209 NJE262138:NJE262209 NTA262138:NTA262209 OCW262138:OCW262209 OMS262138:OMS262209 OWO262138:OWO262209 PGK262138:PGK262209 PQG262138:PQG262209 QAC262138:QAC262209 QJY262138:QJY262209 QTU262138:QTU262209 RDQ262138:RDQ262209 RNM262138:RNM262209 RXI262138:RXI262209 SHE262138:SHE262209 SRA262138:SRA262209 TAW262138:TAW262209 TKS262138:TKS262209 TUO262138:TUO262209 UEK262138:UEK262209 UOG262138:UOG262209 UYC262138:UYC262209 VHY262138:VHY262209 VRU262138:VRU262209 WBQ262138:WBQ262209 WLM262138:WLM262209 WVI262138:WVI262209 A327674:A327745 IW327674:IW327745 SS327674:SS327745 ACO327674:ACO327745 AMK327674:AMK327745 AWG327674:AWG327745 BGC327674:BGC327745 BPY327674:BPY327745 BZU327674:BZU327745 CJQ327674:CJQ327745 CTM327674:CTM327745 DDI327674:DDI327745 DNE327674:DNE327745 DXA327674:DXA327745 EGW327674:EGW327745 EQS327674:EQS327745 FAO327674:FAO327745 FKK327674:FKK327745 FUG327674:FUG327745 GEC327674:GEC327745 GNY327674:GNY327745 GXU327674:GXU327745 HHQ327674:HHQ327745 HRM327674:HRM327745 IBI327674:IBI327745 ILE327674:ILE327745 IVA327674:IVA327745 JEW327674:JEW327745 JOS327674:JOS327745 JYO327674:JYO327745 KIK327674:KIK327745 KSG327674:KSG327745 LCC327674:LCC327745 LLY327674:LLY327745 LVU327674:LVU327745 MFQ327674:MFQ327745 MPM327674:MPM327745 MZI327674:MZI327745 NJE327674:NJE327745 NTA327674:NTA327745 OCW327674:OCW327745 OMS327674:OMS327745 OWO327674:OWO327745 PGK327674:PGK327745 PQG327674:PQG327745 QAC327674:QAC327745 QJY327674:QJY327745 QTU327674:QTU327745 RDQ327674:RDQ327745 RNM327674:RNM327745 RXI327674:RXI327745 SHE327674:SHE327745 SRA327674:SRA327745 TAW327674:TAW327745 TKS327674:TKS327745 TUO327674:TUO327745 UEK327674:UEK327745 UOG327674:UOG327745 UYC327674:UYC327745 VHY327674:VHY327745 VRU327674:VRU327745 WBQ327674:WBQ327745 WLM327674:WLM327745 WVI327674:WVI327745 A393210:A393281 IW393210:IW393281 SS393210:SS393281 ACO393210:ACO393281 AMK393210:AMK393281 AWG393210:AWG393281 BGC393210:BGC393281 BPY393210:BPY393281 BZU393210:BZU393281 CJQ393210:CJQ393281 CTM393210:CTM393281 DDI393210:DDI393281 DNE393210:DNE393281 DXA393210:DXA393281 EGW393210:EGW393281 EQS393210:EQS393281 FAO393210:FAO393281 FKK393210:FKK393281 FUG393210:FUG393281 GEC393210:GEC393281 GNY393210:GNY393281 GXU393210:GXU393281 HHQ393210:HHQ393281 HRM393210:HRM393281 IBI393210:IBI393281 ILE393210:ILE393281 IVA393210:IVA393281 JEW393210:JEW393281 JOS393210:JOS393281 JYO393210:JYO393281 KIK393210:KIK393281 KSG393210:KSG393281 LCC393210:LCC393281 LLY393210:LLY393281 LVU393210:LVU393281 MFQ393210:MFQ393281 MPM393210:MPM393281 MZI393210:MZI393281 NJE393210:NJE393281 NTA393210:NTA393281 OCW393210:OCW393281 OMS393210:OMS393281 OWO393210:OWO393281 PGK393210:PGK393281 PQG393210:PQG393281 QAC393210:QAC393281 QJY393210:QJY393281 QTU393210:QTU393281 RDQ393210:RDQ393281 RNM393210:RNM393281 RXI393210:RXI393281 SHE393210:SHE393281 SRA393210:SRA393281 TAW393210:TAW393281 TKS393210:TKS393281 TUO393210:TUO393281 UEK393210:UEK393281 UOG393210:UOG393281 UYC393210:UYC393281 VHY393210:VHY393281 VRU393210:VRU393281 WBQ393210:WBQ393281 WLM393210:WLM393281 WVI393210:WVI393281 A458746:A458817 IW458746:IW458817 SS458746:SS458817 ACO458746:ACO458817 AMK458746:AMK458817 AWG458746:AWG458817 BGC458746:BGC458817 BPY458746:BPY458817 BZU458746:BZU458817 CJQ458746:CJQ458817 CTM458746:CTM458817 DDI458746:DDI458817 DNE458746:DNE458817 DXA458746:DXA458817 EGW458746:EGW458817 EQS458746:EQS458817 FAO458746:FAO458817 FKK458746:FKK458817 FUG458746:FUG458817 GEC458746:GEC458817 GNY458746:GNY458817 GXU458746:GXU458817 HHQ458746:HHQ458817 HRM458746:HRM458817 IBI458746:IBI458817 ILE458746:ILE458817 IVA458746:IVA458817 JEW458746:JEW458817 JOS458746:JOS458817 JYO458746:JYO458817 KIK458746:KIK458817 KSG458746:KSG458817 LCC458746:LCC458817 LLY458746:LLY458817 LVU458746:LVU458817 MFQ458746:MFQ458817 MPM458746:MPM458817 MZI458746:MZI458817 NJE458746:NJE458817 NTA458746:NTA458817 OCW458746:OCW458817 OMS458746:OMS458817 OWO458746:OWO458817 PGK458746:PGK458817 PQG458746:PQG458817 QAC458746:QAC458817 QJY458746:QJY458817 QTU458746:QTU458817 RDQ458746:RDQ458817 RNM458746:RNM458817 RXI458746:RXI458817 SHE458746:SHE458817 SRA458746:SRA458817 TAW458746:TAW458817 TKS458746:TKS458817 TUO458746:TUO458817 UEK458746:UEK458817 UOG458746:UOG458817 UYC458746:UYC458817 VHY458746:VHY458817 VRU458746:VRU458817 WBQ458746:WBQ458817 WLM458746:WLM458817 WVI458746:WVI458817 A524282:A524353 IW524282:IW524353 SS524282:SS524353 ACO524282:ACO524353 AMK524282:AMK524353 AWG524282:AWG524353 BGC524282:BGC524353 BPY524282:BPY524353 BZU524282:BZU524353 CJQ524282:CJQ524353 CTM524282:CTM524353 DDI524282:DDI524353 DNE524282:DNE524353 DXA524282:DXA524353 EGW524282:EGW524353 EQS524282:EQS524353 FAO524282:FAO524353 FKK524282:FKK524353 FUG524282:FUG524353 GEC524282:GEC524353 GNY524282:GNY524353 GXU524282:GXU524353 HHQ524282:HHQ524353 HRM524282:HRM524353 IBI524282:IBI524353 ILE524282:ILE524353 IVA524282:IVA524353 JEW524282:JEW524353 JOS524282:JOS524353 JYO524282:JYO524353 KIK524282:KIK524353 KSG524282:KSG524353 LCC524282:LCC524353 LLY524282:LLY524353 LVU524282:LVU524353 MFQ524282:MFQ524353 MPM524282:MPM524353 MZI524282:MZI524353 NJE524282:NJE524353 NTA524282:NTA524353 OCW524282:OCW524353 OMS524282:OMS524353 OWO524282:OWO524353 PGK524282:PGK524353 PQG524282:PQG524353 QAC524282:QAC524353 QJY524282:QJY524353 QTU524282:QTU524353 RDQ524282:RDQ524353 RNM524282:RNM524353 RXI524282:RXI524353 SHE524282:SHE524353 SRA524282:SRA524353 TAW524282:TAW524353 TKS524282:TKS524353 TUO524282:TUO524353 UEK524282:UEK524353 UOG524282:UOG524353 UYC524282:UYC524353 VHY524282:VHY524353 VRU524282:VRU524353 WBQ524282:WBQ524353 WLM524282:WLM524353 WVI524282:WVI524353 A589818:A589889 IW589818:IW589889 SS589818:SS589889 ACO589818:ACO589889 AMK589818:AMK589889 AWG589818:AWG589889 BGC589818:BGC589889 BPY589818:BPY589889 BZU589818:BZU589889 CJQ589818:CJQ589889 CTM589818:CTM589889 DDI589818:DDI589889 DNE589818:DNE589889 DXA589818:DXA589889 EGW589818:EGW589889 EQS589818:EQS589889 FAO589818:FAO589889 FKK589818:FKK589889 FUG589818:FUG589889 GEC589818:GEC589889 GNY589818:GNY589889 GXU589818:GXU589889 HHQ589818:HHQ589889 HRM589818:HRM589889 IBI589818:IBI589889 ILE589818:ILE589889 IVA589818:IVA589889 JEW589818:JEW589889 JOS589818:JOS589889 JYO589818:JYO589889 KIK589818:KIK589889 KSG589818:KSG589889 LCC589818:LCC589889 LLY589818:LLY589889 LVU589818:LVU589889 MFQ589818:MFQ589889 MPM589818:MPM589889 MZI589818:MZI589889 NJE589818:NJE589889 NTA589818:NTA589889 OCW589818:OCW589889 OMS589818:OMS589889 OWO589818:OWO589889 PGK589818:PGK589889 PQG589818:PQG589889 QAC589818:QAC589889 QJY589818:QJY589889 QTU589818:QTU589889 RDQ589818:RDQ589889 RNM589818:RNM589889 RXI589818:RXI589889 SHE589818:SHE589889 SRA589818:SRA589889 TAW589818:TAW589889 TKS589818:TKS589889 TUO589818:TUO589889 UEK589818:UEK589889 UOG589818:UOG589889 UYC589818:UYC589889 VHY589818:VHY589889 VRU589818:VRU589889 WBQ589818:WBQ589889 WLM589818:WLM589889 WVI589818:WVI589889 A655354:A655425 IW655354:IW655425 SS655354:SS655425 ACO655354:ACO655425 AMK655354:AMK655425 AWG655354:AWG655425 BGC655354:BGC655425 BPY655354:BPY655425 BZU655354:BZU655425 CJQ655354:CJQ655425 CTM655354:CTM655425 DDI655354:DDI655425 DNE655354:DNE655425 DXA655354:DXA655425 EGW655354:EGW655425 EQS655354:EQS655425 FAO655354:FAO655425 FKK655354:FKK655425 FUG655354:FUG655425 GEC655354:GEC655425 GNY655354:GNY655425 GXU655354:GXU655425 HHQ655354:HHQ655425 HRM655354:HRM655425 IBI655354:IBI655425 ILE655354:ILE655425 IVA655354:IVA655425 JEW655354:JEW655425 JOS655354:JOS655425 JYO655354:JYO655425 KIK655354:KIK655425 KSG655354:KSG655425 LCC655354:LCC655425 LLY655354:LLY655425 LVU655354:LVU655425 MFQ655354:MFQ655425 MPM655354:MPM655425 MZI655354:MZI655425 NJE655354:NJE655425 NTA655354:NTA655425 OCW655354:OCW655425 OMS655354:OMS655425 OWO655354:OWO655425 PGK655354:PGK655425 PQG655354:PQG655425 QAC655354:QAC655425 QJY655354:QJY655425 QTU655354:QTU655425 RDQ655354:RDQ655425 RNM655354:RNM655425 RXI655354:RXI655425 SHE655354:SHE655425 SRA655354:SRA655425 TAW655354:TAW655425 TKS655354:TKS655425 TUO655354:TUO655425 UEK655354:UEK655425 UOG655354:UOG655425 UYC655354:UYC655425 VHY655354:VHY655425 VRU655354:VRU655425 WBQ655354:WBQ655425 WLM655354:WLM655425 WVI655354:WVI655425 A720890:A720961 IW720890:IW720961 SS720890:SS720961 ACO720890:ACO720961 AMK720890:AMK720961 AWG720890:AWG720961 BGC720890:BGC720961 BPY720890:BPY720961 BZU720890:BZU720961 CJQ720890:CJQ720961 CTM720890:CTM720961 DDI720890:DDI720961 DNE720890:DNE720961 DXA720890:DXA720961 EGW720890:EGW720961 EQS720890:EQS720961 FAO720890:FAO720961 FKK720890:FKK720961 FUG720890:FUG720961 GEC720890:GEC720961 GNY720890:GNY720961 GXU720890:GXU720961 HHQ720890:HHQ720961 HRM720890:HRM720961 IBI720890:IBI720961 ILE720890:ILE720961 IVA720890:IVA720961 JEW720890:JEW720961 JOS720890:JOS720961 JYO720890:JYO720961 KIK720890:KIK720961 KSG720890:KSG720961 LCC720890:LCC720961 LLY720890:LLY720961 LVU720890:LVU720961 MFQ720890:MFQ720961 MPM720890:MPM720961 MZI720890:MZI720961 NJE720890:NJE720961 NTA720890:NTA720961 OCW720890:OCW720961 OMS720890:OMS720961 OWO720890:OWO720961 PGK720890:PGK720961 PQG720890:PQG720961 QAC720890:QAC720961 QJY720890:QJY720961 QTU720890:QTU720961 RDQ720890:RDQ720961 RNM720890:RNM720961 RXI720890:RXI720961 SHE720890:SHE720961 SRA720890:SRA720961 TAW720890:TAW720961 TKS720890:TKS720961 TUO720890:TUO720961 UEK720890:UEK720961 UOG720890:UOG720961 UYC720890:UYC720961 VHY720890:VHY720961 VRU720890:VRU720961 WBQ720890:WBQ720961 WLM720890:WLM720961 WVI720890:WVI720961 A786426:A786497 IW786426:IW786497 SS786426:SS786497 ACO786426:ACO786497 AMK786426:AMK786497 AWG786426:AWG786497 BGC786426:BGC786497 BPY786426:BPY786497 BZU786426:BZU786497 CJQ786426:CJQ786497 CTM786426:CTM786497 DDI786426:DDI786497 DNE786426:DNE786497 DXA786426:DXA786497 EGW786426:EGW786497 EQS786426:EQS786497 FAO786426:FAO786497 FKK786426:FKK786497 FUG786426:FUG786497 GEC786426:GEC786497 GNY786426:GNY786497 GXU786426:GXU786497 HHQ786426:HHQ786497 HRM786426:HRM786497 IBI786426:IBI786497 ILE786426:ILE786497 IVA786426:IVA786497 JEW786426:JEW786497 JOS786426:JOS786497 JYO786426:JYO786497 KIK786426:KIK786497 KSG786426:KSG786497 LCC786426:LCC786497 LLY786426:LLY786497 LVU786426:LVU786497 MFQ786426:MFQ786497 MPM786426:MPM786497 MZI786426:MZI786497 NJE786426:NJE786497 NTA786426:NTA786497 OCW786426:OCW786497 OMS786426:OMS786497 OWO786426:OWO786497 PGK786426:PGK786497 PQG786426:PQG786497 QAC786426:QAC786497 QJY786426:QJY786497 QTU786426:QTU786497 RDQ786426:RDQ786497 RNM786426:RNM786497 RXI786426:RXI786497 SHE786426:SHE786497 SRA786426:SRA786497 TAW786426:TAW786497 TKS786426:TKS786497 TUO786426:TUO786497 UEK786426:UEK786497 UOG786426:UOG786497 UYC786426:UYC786497 VHY786426:VHY786497 VRU786426:VRU786497 WBQ786426:WBQ786497 WLM786426:WLM786497 WVI786426:WVI786497 A851962:A852033 IW851962:IW852033 SS851962:SS852033 ACO851962:ACO852033 AMK851962:AMK852033 AWG851962:AWG852033 BGC851962:BGC852033 BPY851962:BPY852033 BZU851962:BZU852033 CJQ851962:CJQ852033 CTM851962:CTM852033 DDI851962:DDI852033 DNE851962:DNE852033 DXA851962:DXA852033 EGW851962:EGW852033 EQS851962:EQS852033 FAO851962:FAO852033 FKK851962:FKK852033 FUG851962:FUG852033 GEC851962:GEC852033 GNY851962:GNY852033 GXU851962:GXU852033 HHQ851962:HHQ852033 HRM851962:HRM852033 IBI851962:IBI852033 ILE851962:ILE852033 IVA851962:IVA852033 JEW851962:JEW852033 JOS851962:JOS852033 JYO851962:JYO852033 KIK851962:KIK852033 KSG851962:KSG852033 LCC851962:LCC852033 LLY851962:LLY852033 LVU851962:LVU852033 MFQ851962:MFQ852033 MPM851962:MPM852033 MZI851962:MZI852033 NJE851962:NJE852033 NTA851962:NTA852033 OCW851962:OCW852033 OMS851962:OMS852033 OWO851962:OWO852033 PGK851962:PGK852033 PQG851962:PQG852033 QAC851962:QAC852033 QJY851962:QJY852033 QTU851962:QTU852033 RDQ851962:RDQ852033 RNM851962:RNM852033 RXI851962:RXI852033 SHE851962:SHE852033 SRA851962:SRA852033 TAW851962:TAW852033 TKS851962:TKS852033 TUO851962:TUO852033 UEK851962:UEK852033 UOG851962:UOG852033 UYC851962:UYC852033 VHY851962:VHY852033 VRU851962:VRU852033 WBQ851962:WBQ852033 WLM851962:WLM852033 WVI851962:WVI852033 A917498:A917569 IW917498:IW917569 SS917498:SS917569 ACO917498:ACO917569 AMK917498:AMK917569 AWG917498:AWG917569 BGC917498:BGC917569 BPY917498:BPY917569 BZU917498:BZU917569 CJQ917498:CJQ917569 CTM917498:CTM917569 DDI917498:DDI917569 DNE917498:DNE917569 DXA917498:DXA917569 EGW917498:EGW917569 EQS917498:EQS917569 FAO917498:FAO917569 FKK917498:FKK917569 FUG917498:FUG917569 GEC917498:GEC917569 GNY917498:GNY917569 GXU917498:GXU917569 HHQ917498:HHQ917569 HRM917498:HRM917569 IBI917498:IBI917569 ILE917498:ILE917569 IVA917498:IVA917569 JEW917498:JEW917569 JOS917498:JOS917569 JYO917498:JYO917569 KIK917498:KIK917569 KSG917498:KSG917569 LCC917498:LCC917569 LLY917498:LLY917569 LVU917498:LVU917569 MFQ917498:MFQ917569 MPM917498:MPM917569 MZI917498:MZI917569 NJE917498:NJE917569 NTA917498:NTA917569 OCW917498:OCW917569 OMS917498:OMS917569 OWO917498:OWO917569 PGK917498:PGK917569 PQG917498:PQG917569 QAC917498:QAC917569 QJY917498:QJY917569 QTU917498:QTU917569 RDQ917498:RDQ917569 RNM917498:RNM917569 RXI917498:RXI917569 SHE917498:SHE917569 SRA917498:SRA917569 TAW917498:TAW917569 TKS917498:TKS917569 TUO917498:TUO917569 UEK917498:UEK917569 UOG917498:UOG917569 UYC917498:UYC917569 VHY917498:VHY917569 VRU917498:VRU917569 WBQ917498:WBQ917569 WLM917498:WLM917569 WVI917498:WVI917569 A983034:A983105 IW983034:IW983105 SS983034:SS983105 ACO983034:ACO983105 AMK983034:AMK983105 AWG983034:AWG983105 BGC983034:BGC983105 BPY983034:BPY983105 BZU983034:BZU983105 CJQ983034:CJQ983105 CTM983034:CTM983105 DDI983034:DDI983105 DNE983034:DNE983105 DXA983034:DXA983105 EGW983034:EGW983105 EQS983034:EQS983105 FAO983034:FAO983105 FKK983034:FKK983105 FUG983034:FUG983105 GEC983034:GEC983105 GNY983034:GNY983105 GXU983034:GXU983105 HHQ983034:HHQ983105 HRM983034:HRM983105 IBI983034:IBI983105 ILE983034:ILE983105 IVA983034:IVA983105 JEW983034:JEW983105 JOS983034:JOS983105 JYO983034:JYO983105 KIK983034:KIK983105 KSG983034:KSG983105 LCC983034:LCC983105 LLY983034:LLY983105 LVU983034:LVU983105 MFQ983034:MFQ983105 MPM983034:MPM983105 MZI983034:MZI983105 NJE983034:NJE983105 NTA983034:NTA983105 OCW983034:OCW983105 OMS983034:OMS983105 OWO983034:OWO983105 PGK983034:PGK983105 PQG983034:PQG983105 QAC983034:QAC983105 QJY983034:QJY983105 QTU983034:QTU983105 RDQ983034:RDQ983105 RNM983034:RNM983105 RXI983034:RXI983105 SHE983034:SHE983105 SRA983034:SRA983105 TAW983034:TAW983105 TKS983034:TKS983105 TUO983034:TUO983105 UEK983034:UEK983105 UOG983034:UOG983105 UYC983034:UYC983105 VHY983034:VHY983105 VRU983034:VRU983105 WBQ983034:WBQ983105 WLM983034:WLM983105 IW2:IW65 WVI2:WVI65 WLM2:WLM65 WBQ2:WBQ65 VRU2:VRU65 VHY2:VHY65 UYC2:UYC65 UOG2:UOG65 UEK2:UEK65 TUO2:TUO65 TKS2:TKS65 TAW2:TAW65 SRA2:SRA65 SHE2:SHE65 RXI2:RXI65 RNM2:RNM65 RDQ2:RDQ65 QTU2:QTU65 QJY2:QJY65 QAC2:QAC65 PQG2:PQG65 PGK2:PGK65 OWO2:OWO65 OMS2:OMS65 OCW2:OCW65 NTA2:NTA65 NJE2:NJE65 MZI2:MZI65 MPM2:MPM65 MFQ2:MFQ65 LVU2:LVU65 LLY2:LLY65 LCC2:LCC65 KSG2:KSG65 KIK2:KIK65 JYO2:JYO65 JOS2:JOS65 JEW2:JEW65 IVA2:IVA65 ILE2:ILE65 IBI2:IBI65 HRM2:HRM65 HHQ2:HHQ65 GXU2:GXU65 GNY2:GNY65 GEC2:GEC65 FUG2:FUG65 FKK2:FKK65 FAO2:FAO65 EQS2:EQS65 EGW2:EGW65 DXA2:DXA65 DNE2:DNE65 DDI2:DDI65 CTM2:CTM65 CJQ2:CJQ65 BZU2:BZU65 BPY2:BPY65 BGC2:BGC65 AWG2:AWG65 AMK2:AMK65 ACO2:ACO65 SS2:SS65 A2:A492" xr:uid="{6FA24612-1C27-488E-AFFF-211CA9355266}">
      <formula1>$AE$2:$AE$19</formula1>
    </dataValidation>
    <dataValidation type="list" allowBlank="1" showInputMessage="1" showErrorMessage="1" sqref="X64355:X64420 JT64355:JT64420 TP64355:TP64420 ADL64355:ADL64420 ANH64355:ANH64420 AXD64355:AXD64420 BGZ64355:BGZ64420 BQV64355:BQV64420 CAR64355:CAR64420 CKN64355:CKN64420 CUJ64355:CUJ64420 DEF64355:DEF64420 DOB64355:DOB64420 DXX64355:DXX64420 EHT64355:EHT64420 ERP64355:ERP64420 FBL64355:FBL64420 FLH64355:FLH64420 FVD64355:FVD64420 GEZ64355:GEZ64420 GOV64355:GOV64420 GYR64355:GYR64420 HIN64355:HIN64420 HSJ64355:HSJ64420 ICF64355:ICF64420 IMB64355:IMB64420 IVX64355:IVX64420 JFT64355:JFT64420 JPP64355:JPP64420 JZL64355:JZL64420 KJH64355:KJH64420 KTD64355:KTD64420 LCZ64355:LCZ64420 LMV64355:LMV64420 LWR64355:LWR64420 MGN64355:MGN64420 MQJ64355:MQJ64420 NAF64355:NAF64420 NKB64355:NKB64420 NTX64355:NTX64420 ODT64355:ODT64420 ONP64355:ONP64420 OXL64355:OXL64420 PHH64355:PHH64420 PRD64355:PRD64420 QAZ64355:QAZ64420 QKV64355:QKV64420 QUR64355:QUR64420 REN64355:REN64420 ROJ64355:ROJ64420 RYF64355:RYF64420 SIB64355:SIB64420 SRX64355:SRX64420 TBT64355:TBT64420 TLP64355:TLP64420 TVL64355:TVL64420 UFH64355:UFH64420 UPD64355:UPD64420 UYZ64355:UYZ64420 VIV64355:VIV64420 VSR64355:VSR64420 WCN64355:WCN64420 WMJ64355:WMJ64420 WWF64355:WWF64420 X129891:X129956 JT129891:JT129956 TP129891:TP129956 ADL129891:ADL129956 ANH129891:ANH129956 AXD129891:AXD129956 BGZ129891:BGZ129956 BQV129891:BQV129956 CAR129891:CAR129956 CKN129891:CKN129956 CUJ129891:CUJ129956 DEF129891:DEF129956 DOB129891:DOB129956 DXX129891:DXX129956 EHT129891:EHT129956 ERP129891:ERP129956 FBL129891:FBL129956 FLH129891:FLH129956 FVD129891:FVD129956 GEZ129891:GEZ129956 GOV129891:GOV129956 GYR129891:GYR129956 HIN129891:HIN129956 HSJ129891:HSJ129956 ICF129891:ICF129956 IMB129891:IMB129956 IVX129891:IVX129956 JFT129891:JFT129956 JPP129891:JPP129956 JZL129891:JZL129956 KJH129891:KJH129956 KTD129891:KTD129956 LCZ129891:LCZ129956 LMV129891:LMV129956 LWR129891:LWR129956 MGN129891:MGN129956 MQJ129891:MQJ129956 NAF129891:NAF129956 NKB129891:NKB129956 NTX129891:NTX129956 ODT129891:ODT129956 ONP129891:ONP129956 OXL129891:OXL129956 PHH129891:PHH129956 PRD129891:PRD129956 QAZ129891:QAZ129956 QKV129891:QKV129956 QUR129891:QUR129956 REN129891:REN129956 ROJ129891:ROJ129956 RYF129891:RYF129956 SIB129891:SIB129956 SRX129891:SRX129956 TBT129891:TBT129956 TLP129891:TLP129956 TVL129891:TVL129956 UFH129891:UFH129956 UPD129891:UPD129956 UYZ129891:UYZ129956 VIV129891:VIV129956 VSR129891:VSR129956 WCN129891:WCN129956 WMJ129891:WMJ129956 WWF129891:WWF129956 X195427:X195492 JT195427:JT195492 TP195427:TP195492 ADL195427:ADL195492 ANH195427:ANH195492 AXD195427:AXD195492 BGZ195427:BGZ195492 BQV195427:BQV195492 CAR195427:CAR195492 CKN195427:CKN195492 CUJ195427:CUJ195492 DEF195427:DEF195492 DOB195427:DOB195492 DXX195427:DXX195492 EHT195427:EHT195492 ERP195427:ERP195492 FBL195427:FBL195492 FLH195427:FLH195492 FVD195427:FVD195492 GEZ195427:GEZ195492 GOV195427:GOV195492 GYR195427:GYR195492 HIN195427:HIN195492 HSJ195427:HSJ195492 ICF195427:ICF195492 IMB195427:IMB195492 IVX195427:IVX195492 JFT195427:JFT195492 JPP195427:JPP195492 JZL195427:JZL195492 KJH195427:KJH195492 KTD195427:KTD195492 LCZ195427:LCZ195492 LMV195427:LMV195492 LWR195427:LWR195492 MGN195427:MGN195492 MQJ195427:MQJ195492 NAF195427:NAF195492 NKB195427:NKB195492 NTX195427:NTX195492 ODT195427:ODT195492 ONP195427:ONP195492 OXL195427:OXL195492 PHH195427:PHH195492 PRD195427:PRD195492 QAZ195427:QAZ195492 QKV195427:QKV195492 QUR195427:QUR195492 REN195427:REN195492 ROJ195427:ROJ195492 RYF195427:RYF195492 SIB195427:SIB195492 SRX195427:SRX195492 TBT195427:TBT195492 TLP195427:TLP195492 TVL195427:TVL195492 UFH195427:UFH195492 UPD195427:UPD195492 UYZ195427:UYZ195492 VIV195427:VIV195492 VSR195427:VSR195492 WCN195427:WCN195492 WMJ195427:WMJ195492 WWF195427:WWF195492 X260963:X261028 JT260963:JT261028 TP260963:TP261028 ADL260963:ADL261028 ANH260963:ANH261028 AXD260963:AXD261028 BGZ260963:BGZ261028 BQV260963:BQV261028 CAR260963:CAR261028 CKN260963:CKN261028 CUJ260963:CUJ261028 DEF260963:DEF261028 DOB260963:DOB261028 DXX260963:DXX261028 EHT260963:EHT261028 ERP260963:ERP261028 FBL260963:FBL261028 FLH260963:FLH261028 FVD260963:FVD261028 GEZ260963:GEZ261028 GOV260963:GOV261028 GYR260963:GYR261028 HIN260963:HIN261028 HSJ260963:HSJ261028 ICF260963:ICF261028 IMB260963:IMB261028 IVX260963:IVX261028 JFT260963:JFT261028 JPP260963:JPP261028 JZL260963:JZL261028 KJH260963:KJH261028 KTD260963:KTD261028 LCZ260963:LCZ261028 LMV260963:LMV261028 LWR260963:LWR261028 MGN260963:MGN261028 MQJ260963:MQJ261028 NAF260963:NAF261028 NKB260963:NKB261028 NTX260963:NTX261028 ODT260963:ODT261028 ONP260963:ONP261028 OXL260963:OXL261028 PHH260963:PHH261028 PRD260963:PRD261028 QAZ260963:QAZ261028 QKV260963:QKV261028 QUR260963:QUR261028 REN260963:REN261028 ROJ260963:ROJ261028 RYF260963:RYF261028 SIB260963:SIB261028 SRX260963:SRX261028 TBT260963:TBT261028 TLP260963:TLP261028 TVL260963:TVL261028 UFH260963:UFH261028 UPD260963:UPD261028 UYZ260963:UYZ261028 VIV260963:VIV261028 VSR260963:VSR261028 WCN260963:WCN261028 WMJ260963:WMJ261028 WWF260963:WWF261028 X326499:X326564 JT326499:JT326564 TP326499:TP326564 ADL326499:ADL326564 ANH326499:ANH326564 AXD326499:AXD326564 BGZ326499:BGZ326564 BQV326499:BQV326564 CAR326499:CAR326564 CKN326499:CKN326564 CUJ326499:CUJ326564 DEF326499:DEF326564 DOB326499:DOB326564 DXX326499:DXX326564 EHT326499:EHT326564 ERP326499:ERP326564 FBL326499:FBL326564 FLH326499:FLH326564 FVD326499:FVD326564 GEZ326499:GEZ326564 GOV326499:GOV326564 GYR326499:GYR326564 HIN326499:HIN326564 HSJ326499:HSJ326564 ICF326499:ICF326564 IMB326499:IMB326564 IVX326499:IVX326564 JFT326499:JFT326564 JPP326499:JPP326564 JZL326499:JZL326564 KJH326499:KJH326564 KTD326499:KTD326564 LCZ326499:LCZ326564 LMV326499:LMV326564 LWR326499:LWR326564 MGN326499:MGN326564 MQJ326499:MQJ326564 NAF326499:NAF326564 NKB326499:NKB326564 NTX326499:NTX326564 ODT326499:ODT326564 ONP326499:ONP326564 OXL326499:OXL326564 PHH326499:PHH326564 PRD326499:PRD326564 QAZ326499:QAZ326564 QKV326499:QKV326564 QUR326499:QUR326564 REN326499:REN326564 ROJ326499:ROJ326564 RYF326499:RYF326564 SIB326499:SIB326564 SRX326499:SRX326564 TBT326499:TBT326564 TLP326499:TLP326564 TVL326499:TVL326564 UFH326499:UFH326564 UPD326499:UPD326564 UYZ326499:UYZ326564 VIV326499:VIV326564 VSR326499:VSR326564 WCN326499:WCN326564 WMJ326499:WMJ326564 WWF326499:WWF326564 X392035:X392100 JT392035:JT392100 TP392035:TP392100 ADL392035:ADL392100 ANH392035:ANH392100 AXD392035:AXD392100 BGZ392035:BGZ392100 BQV392035:BQV392100 CAR392035:CAR392100 CKN392035:CKN392100 CUJ392035:CUJ392100 DEF392035:DEF392100 DOB392035:DOB392100 DXX392035:DXX392100 EHT392035:EHT392100 ERP392035:ERP392100 FBL392035:FBL392100 FLH392035:FLH392100 FVD392035:FVD392100 GEZ392035:GEZ392100 GOV392035:GOV392100 GYR392035:GYR392100 HIN392035:HIN392100 HSJ392035:HSJ392100 ICF392035:ICF392100 IMB392035:IMB392100 IVX392035:IVX392100 JFT392035:JFT392100 JPP392035:JPP392100 JZL392035:JZL392100 KJH392035:KJH392100 KTD392035:KTD392100 LCZ392035:LCZ392100 LMV392035:LMV392100 LWR392035:LWR392100 MGN392035:MGN392100 MQJ392035:MQJ392100 NAF392035:NAF392100 NKB392035:NKB392100 NTX392035:NTX392100 ODT392035:ODT392100 ONP392035:ONP392100 OXL392035:OXL392100 PHH392035:PHH392100 PRD392035:PRD392100 QAZ392035:QAZ392100 QKV392035:QKV392100 QUR392035:QUR392100 REN392035:REN392100 ROJ392035:ROJ392100 RYF392035:RYF392100 SIB392035:SIB392100 SRX392035:SRX392100 TBT392035:TBT392100 TLP392035:TLP392100 TVL392035:TVL392100 UFH392035:UFH392100 UPD392035:UPD392100 UYZ392035:UYZ392100 VIV392035:VIV392100 VSR392035:VSR392100 WCN392035:WCN392100 WMJ392035:WMJ392100 WWF392035:WWF392100 X457571:X457636 JT457571:JT457636 TP457571:TP457636 ADL457571:ADL457636 ANH457571:ANH457636 AXD457571:AXD457636 BGZ457571:BGZ457636 BQV457571:BQV457636 CAR457571:CAR457636 CKN457571:CKN457636 CUJ457571:CUJ457636 DEF457571:DEF457636 DOB457571:DOB457636 DXX457571:DXX457636 EHT457571:EHT457636 ERP457571:ERP457636 FBL457571:FBL457636 FLH457571:FLH457636 FVD457571:FVD457636 GEZ457571:GEZ457636 GOV457571:GOV457636 GYR457571:GYR457636 HIN457571:HIN457636 HSJ457571:HSJ457636 ICF457571:ICF457636 IMB457571:IMB457636 IVX457571:IVX457636 JFT457571:JFT457636 JPP457571:JPP457636 JZL457571:JZL457636 KJH457571:KJH457636 KTD457571:KTD457636 LCZ457571:LCZ457636 LMV457571:LMV457636 LWR457571:LWR457636 MGN457571:MGN457636 MQJ457571:MQJ457636 NAF457571:NAF457636 NKB457571:NKB457636 NTX457571:NTX457636 ODT457571:ODT457636 ONP457571:ONP457636 OXL457571:OXL457636 PHH457571:PHH457636 PRD457571:PRD457636 QAZ457571:QAZ457636 QKV457571:QKV457636 QUR457571:QUR457636 REN457571:REN457636 ROJ457571:ROJ457636 RYF457571:RYF457636 SIB457571:SIB457636 SRX457571:SRX457636 TBT457571:TBT457636 TLP457571:TLP457636 TVL457571:TVL457636 UFH457571:UFH457636 UPD457571:UPD457636 UYZ457571:UYZ457636 VIV457571:VIV457636 VSR457571:VSR457636 WCN457571:WCN457636 WMJ457571:WMJ457636 WWF457571:WWF457636 X523107:X523172 JT523107:JT523172 TP523107:TP523172 ADL523107:ADL523172 ANH523107:ANH523172 AXD523107:AXD523172 BGZ523107:BGZ523172 BQV523107:BQV523172 CAR523107:CAR523172 CKN523107:CKN523172 CUJ523107:CUJ523172 DEF523107:DEF523172 DOB523107:DOB523172 DXX523107:DXX523172 EHT523107:EHT523172 ERP523107:ERP523172 FBL523107:FBL523172 FLH523107:FLH523172 FVD523107:FVD523172 GEZ523107:GEZ523172 GOV523107:GOV523172 GYR523107:GYR523172 HIN523107:HIN523172 HSJ523107:HSJ523172 ICF523107:ICF523172 IMB523107:IMB523172 IVX523107:IVX523172 JFT523107:JFT523172 JPP523107:JPP523172 JZL523107:JZL523172 KJH523107:KJH523172 KTD523107:KTD523172 LCZ523107:LCZ523172 LMV523107:LMV523172 LWR523107:LWR523172 MGN523107:MGN523172 MQJ523107:MQJ523172 NAF523107:NAF523172 NKB523107:NKB523172 NTX523107:NTX523172 ODT523107:ODT523172 ONP523107:ONP523172 OXL523107:OXL523172 PHH523107:PHH523172 PRD523107:PRD523172 QAZ523107:QAZ523172 QKV523107:QKV523172 QUR523107:QUR523172 REN523107:REN523172 ROJ523107:ROJ523172 RYF523107:RYF523172 SIB523107:SIB523172 SRX523107:SRX523172 TBT523107:TBT523172 TLP523107:TLP523172 TVL523107:TVL523172 UFH523107:UFH523172 UPD523107:UPD523172 UYZ523107:UYZ523172 VIV523107:VIV523172 VSR523107:VSR523172 WCN523107:WCN523172 WMJ523107:WMJ523172 WWF523107:WWF523172 X588643:X588708 JT588643:JT588708 TP588643:TP588708 ADL588643:ADL588708 ANH588643:ANH588708 AXD588643:AXD588708 BGZ588643:BGZ588708 BQV588643:BQV588708 CAR588643:CAR588708 CKN588643:CKN588708 CUJ588643:CUJ588708 DEF588643:DEF588708 DOB588643:DOB588708 DXX588643:DXX588708 EHT588643:EHT588708 ERP588643:ERP588708 FBL588643:FBL588708 FLH588643:FLH588708 FVD588643:FVD588708 GEZ588643:GEZ588708 GOV588643:GOV588708 GYR588643:GYR588708 HIN588643:HIN588708 HSJ588643:HSJ588708 ICF588643:ICF588708 IMB588643:IMB588708 IVX588643:IVX588708 JFT588643:JFT588708 JPP588643:JPP588708 JZL588643:JZL588708 KJH588643:KJH588708 KTD588643:KTD588708 LCZ588643:LCZ588708 LMV588643:LMV588708 LWR588643:LWR588708 MGN588643:MGN588708 MQJ588643:MQJ588708 NAF588643:NAF588708 NKB588643:NKB588708 NTX588643:NTX588708 ODT588643:ODT588708 ONP588643:ONP588708 OXL588643:OXL588708 PHH588643:PHH588708 PRD588643:PRD588708 QAZ588643:QAZ588708 QKV588643:QKV588708 QUR588643:QUR588708 REN588643:REN588708 ROJ588643:ROJ588708 RYF588643:RYF588708 SIB588643:SIB588708 SRX588643:SRX588708 TBT588643:TBT588708 TLP588643:TLP588708 TVL588643:TVL588708 UFH588643:UFH588708 UPD588643:UPD588708 UYZ588643:UYZ588708 VIV588643:VIV588708 VSR588643:VSR588708 WCN588643:WCN588708 WMJ588643:WMJ588708 WWF588643:WWF588708 X654179:X654244 JT654179:JT654244 TP654179:TP654244 ADL654179:ADL654244 ANH654179:ANH654244 AXD654179:AXD654244 BGZ654179:BGZ654244 BQV654179:BQV654244 CAR654179:CAR654244 CKN654179:CKN654244 CUJ654179:CUJ654244 DEF654179:DEF654244 DOB654179:DOB654244 DXX654179:DXX654244 EHT654179:EHT654244 ERP654179:ERP654244 FBL654179:FBL654244 FLH654179:FLH654244 FVD654179:FVD654244 GEZ654179:GEZ654244 GOV654179:GOV654244 GYR654179:GYR654244 HIN654179:HIN654244 HSJ654179:HSJ654244 ICF654179:ICF654244 IMB654179:IMB654244 IVX654179:IVX654244 JFT654179:JFT654244 JPP654179:JPP654244 JZL654179:JZL654244 KJH654179:KJH654244 KTD654179:KTD654244 LCZ654179:LCZ654244 LMV654179:LMV654244 LWR654179:LWR654244 MGN654179:MGN654244 MQJ654179:MQJ654244 NAF654179:NAF654244 NKB654179:NKB654244 NTX654179:NTX654244 ODT654179:ODT654244 ONP654179:ONP654244 OXL654179:OXL654244 PHH654179:PHH654244 PRD654179:PRD654244 QAZ654179:QAZ654244 QKV654179:QKV654244 QUR654179:QUR654244 REN654179:REN654244 ROJ654179:ROJ654244 RYF654179:RYF654244 SIB654179:SIB654244 SRX654179:SRX654244 TBT654179:TBT654244 TLP654179:TLP654244 TVL654179:TVL654244 UFH654179:UFH654244 UPD654179:UPD654244 UYZ654179:UYZ654244 VIV654179:VIV654244 VSR654179:VSR654244 WCN654179:WCN654244 WMJ654179:WMJ654244 WWF654179:WWF654244 X719715:X719780 JT719715:JT719780 TP719715:TP719780 ADL719715:ADL719780 ANH719715:ANH719780 AXD719715:AXD719780 BGZ719715:BGZ719780 BQV719715:BQV719780 CAR719715:CAR719780 CKN719715:CKN719780 CUJ719715:CUJ719780 DEF719715:DEF719780 DOB719715:DOB719780 DXX719715:DXX719780 EHT719715:EHT719780 ERP719715:ERP719780 FBL719715:FBL719780 FLH719715:FLH719780 FVD719715:FVD719780 GEZ719715:GEZ719780 GOV719715:GOV719780 GYR719715:GYR719780 HIN719715:HIN719780 HSJ719715:HSJ719780 ICF719715:ICF719780 IMB719715:IMB719780 IVX719715:IVX719780 JFT719715:JFT719780 JPP719715:JPP719780 JZL719715:JZL719780 KJH719715:KJH719780 KTD719715:KTD719780 LCZ719715:LCZ719780 LMV719715:LMV719780 LWR719715:LWR719780 MGN719715:MGN719780 MQJ719715:MQJ719780 NAF719715:NAF719780 NKB719715:NKB719780 NTX719715:NTX719780 ODT719715:ODT719780 ONP719715:ONP719780 OXL719715:OXL719780 PHH719715:PHH719780 PRD719715:PRD719780 QAZ719715:QAZ719780 QKV719715:QKV719780 QUR719715:QUR719780 REN719715:REN719780 ROJ719715:ROJ719780 RYF719715:RYF719780 SIB719715:SIB719780 SRX719715:SRX719780 TBT719715:TBT719780 TLP719715:TLP719780 TVL719715:TVL719780 UFH719715:UFH719780 UPD719715:UPD719780 UYZ719715:UYZ719780 VIV719715:VIV719780 VSR719715:VSR719780 WCN719715:WCN719780 WMJ719715:WMJ719780 WWF719715:WWF719780 X785251:X785316 JT785251:JT785316 TP785251:TP785316 ADL785251:ADL785316 ANH785251:ANH785316 AXD785251:AXD785316 BGZ785251:BGZ785316 BQV785251:BQV785316 CAR785251:CAR785316 CKN785251:CKN785316 CUJ785251:CUJ785316 DEF785251:DEF785316 DOB785251:DOB785316 DXX785251:DXX785316 EHT785251:EHT785316 ERP785251:ERP785316 FBL785251:FBL785316 FLH785251:FLH785316 FVD785251:FVD785316 GEZ785251:GEZ785316 GOV785251:GOV785316 GYR785251:GYR785316 HIN785251:HIN785316 HSJ785251:HSJ785316 ICF785251:ICF785316 IMB785251:IMB785316 IVX785251:IVX785316 JFT785251:JFT785316 JPP785251:JPP785316 JZL785251:JZL785316 KJH785251:KJH785316 KTD785251:KTD785316 LCZ785251:LCZ785316 LMV785251:LMV785316 LWR785251:LWR785316 MGN785251:MGN785316 MQJ785251:MQJ785316 NAF785251:NAF785316 NKB785251:NKB785316 NTX785251:NTX785316 ODT785251:ODT785316 ONP785251:ONP785316 OXL785251:OXL785316 PHH785251:PHH785316 PRD785251:PRD785316 QAZ785251:QAZ785316 QKV785251:QKV785316 QUR785251:QUR785316 REN785251:REN785316 ROJ785251:ROJ785316 RYF785251:RYF785316 SIB785251:SIB785316 SRX785251:SRX785316 TBT785251:TBT785316 TLP785251:TLP785316 TVL785251:TVL785316 UFH785251:UFH785316 UPD785251:UPD785316 UYZ785251:UYZ785316 VIV785251:VIV785316 VSR785251:VSR785316 WCN785251:WCN785316 WMJ785251:WMJ785316 WWF785251:WWF785316 X850787:X850852 JT850787:JT850852 TP850787:TP850852 ADL850787:ADL850852 ANH850787:ANH850852 AXD850787:AXD850852 BGZ850787:BGZ850852 BQV850787:BQV850852 CAR850787:CAR850852 CKN850787:CKN850852 CUJ850787:CUJ850852 DEF850787:DEF850852 DOB850787:DOB850852 DXX850787:DXX850852 EHT850787:EHT850852 ERP850787:ERP850852 FBL850787:FBL850852 FLH850787:FLH850852 FVD850787:FVD850852 GEZ850787:GEZ850852 GOV850787:GOV850852 GYR850787:GYR850852 HIN850787:HIN850852 HSJ850787:HSJ850852 ICF850787:ICF850852 IMB850787:IMB850852 IVX850787:IVX850852 JFT850787:JFT850852 JPP850787:JPP850852 JZL850787:JZL850852 KJH850787:KJH850852 KTD850787:KTD850852 LCZ850787:LCZ850852 LMV850787:LMV850852 LWR850787:LWR850852 MGN850787:MGN850852 MQJ850787:MQJ850852 NAF850787:NAF850852 NKB850787:NKB850852 NTX850787:NTX850852 ODT850787:ODT850852 ONP850787:ONP850852 OXL850787:OXL850852 PHH850787:PHH850852 PRD850787:PRD850852 QAZ850787:QAZ850852 QKV850787:QKV850852 QUR850787:QUR850852 REN850787:REN850852 ROJ850787:ROJ850852 RYF850787:RYF850852 SIB850787:SIB850852 SRX850787:SRX850852 TBT850787:TBT850852 TLP850787:TLP850852 TVL850787:TVL850852 UFH850787:UFH850852 UPD850787:UPD850852 UYZ850787:UYZ850852 VIV850787:VIV850852 VSR850787:VSR850852 WCN850787:WCN850852 WMJ850787:WMJ850852 WWF850787:WWF850852 X916323:X916388 JT916323:JT916388 TP916323:TP916388 ADL916323:ADL916388 ANH916323:ANH916388 AXD916323:AXD916388 BGZ916323:BGZ916388 BQV916323:BQV916388 CAR916323:CAR916388 CKN916323:CKN916388 CUJ916323:CUJ916388 DEF916323:DEF916388 DOB916323:DOB916388 DXX916323:DXX916388 EHT916323:EHT916388 ERP916323:ERP916388 FBL916323:FBL916388 FLH916323:FLH916388 FVD916323:FVD916388 GEZ916323:GEZ916388 GOV916323:GOV916388 GYR916323:GYR916388 HIN916323:HIN916388 HSJ916323:HSJ916388 ICF916323:ICF916388 IMB916323:IMB916388 IVX916323:IVX916388 JFT916323:JFT916388 JPP916323:JPP916388 JZL916323:JZL916388 KJH916323:KJH916388 KTD916323:KTD916388 LCZ916323:LCZ916388 LMV916323:LMV916388 LWR916323:LWR916388 MGN916323:MGN916388 MQJ916323:MQJ916388 NAF916323:NAF916388 NKB916323:NKB916388 NTX916323:NTX916388 ODT916323:ODT916388 ONP916323:ONP916388 OXL916323:OXL916388 PHH916323:PHH916388 PRD916323:PRD916388 QAZ916323:QAZ916388 QKV916323:QKV916388 QUR916323:QUR916388 REN916323:REN916388 ROJ916323:ROJ916388 RYF916323:RYF916388 SIB916323:SIB916388 SRX916323:SRX916388 TBT916323:TBT916388 TLP916323:TLP916388 TVL916323:TVL916388 UFH916323:UFH916388 UPD916323:UPD916388 UYZ916323:UYZ916388 VIV916323:VIV916388 VSR916323:VSR916388 WCN916323:WCN916388 WMJ916323:WMJ916388 WWF916323:WWF916388 X981859:X981924 JT981859:JT981924 TP981859:TP981924 ADL981859:ADL981924 ANH981859:ANH981924 AXD981859:AXD981924 BGZ981859:BGZ981924 BQV981859:BQV981924 CAR981859:CAR981924 CKN981859:CKN981924 CUJ981859:CUJ981924 DEF981859:DEF981924 DOB981859:DOB981924 DXX981859:DXX981924 EHT981859:EHT981924 ERP981859:ERP981924 FBL981859:FBL981924 FLH981859:FLH981924 FVD981859:FVD981924 GEZ981859:GEZ981924 GOV981859:GOV981924 GYR981859:GYR981924 HIN981859:HIN981924 HSJ981859:HSJ981924 ICF981859:ICF981924 IMB981859:IMB981924 IVX981859:IVX981924 JFT981859:JFT981924 JPP981859:JPP981924 JZL981859:JZL981924 KJH981859:KJH981924 KTD981859:KTD981924 LCZ981859:LCZ981924 LMV981859:LMV981924 LWR981859:LWR981924 MGN981859:MGN981924 MQJ981859:MQJ981924 NAF981859:NAF981924 NKB981859:NKB981924 NTX981859:NTX981924 ODT981859:ODT981924 ONP981859:ONP981924 OXL981859:OXL981924 PHH981859:PHH981924 PRD981859:PRD981924 QAZ981859:QAZ981924 QKV981859:QKV981924 QUR981859:QUR981924 REN981859:REN981924 ROJ981859:ROJ981924 RYF981859:RYF981924 SIB981859:SIB981924 SRX981859:SRX981924 TBT981859:TBT981924 TLP981859:TLP981924 TVL981859:TVL981924 UFH981859:UFH981924 UPD981859:UPD981924 UYZ981859:UYZ981924 VIV981859:VIV981924 VSR981859:VSR981924 WCN981859:WCN981924 WMJ981859:WMJ981924 WWF981859:WWF981924 X1047395:X1047460 JT1047395:JT1047460 TP1047395:TP1047460 ADL1047395:ADL1047460 ANH1047395:ANH1047460 AXD1047395:AXD1047460 BGZ1047395:BGZ1047460 BQV1047395:BQV1047460 CAR1047395:CAR1047460 CKN1047395:CKN1047460 CUJ1047395:CUJ1047460 DEF1047395:DEF1047460 DOB1047395:DOB1047460 DXX1047395:DXX1047460 EHT1047395:EHT1047460 ERP1047395:ERP1047460 FBL1047395:FBL1047460 FLH1047395:FLH1047460 FVD1047395:FVD1047460 GEZ1047395:GEZ1047460 GOV1047395:GOV1047460 GYR1047395:GYR1047460 HIN1047395:HIN1047460 HSJ1047395:HSJ1047460 ICF1047395:ICF1047460 IMB1047395:IMB1047460 IVX1047395:IVX1047460 JFT1047395:JFT1047460 JPP1047395:JPP1047460 JZL1047395:JZL1047460 KJH1047395:KJH1047460 KTD1047395:KTD1047460 LCZ1047395:LCZ1047460 LMV1047395:LMV1047460 LWR1047395:LWR1047460 MGN1047395:MGN1047460 MQJ1047395:MQJ1047460 NAF1047395:NAF1047460 NKB1047395:NKB1047460 NTX1047395:NTX1047460 ODT1047395:ODT1047460 ONP1047395:ONP1047460 OXL1047395:OXL1047460 PHH1047395:PHH1047460 PRD1047395:PRD1047460 QAZ1047395:QAZ1047460 QKV1047395:QKV1047460 QUR1047395:QUR1047460 REN1047395:REN1047460 ROJ1047395:ROJ1047460 RYF1047395:RYF1047460 SIB1047395:SIB1047460 SRX1047395:SRX1047460 TBT1047395:TBT1047460 TLP1047395:TLP1047460 TVL1047395:TVL1047460 UFH1047395:UFH1047460 UPD1047395:UPD1047460 UYZ1047395:UYZ1047460 VIV1047395:VIV1047460 VSR1047395:VSR1047460 WCN1047395:WCN1047460 WMJ1047395:WMJ1047460 WWF1047395:WWF1047460 WWF983034:WWF983099 X65530:X65595 JT65530:JT65595 TP65530:TP65595 ADL65530:ADL65595 ANH65530:ANH65595 AXD65530:AXD65595 BGZ65530:BGZ65595 BQV65530:BQV65595 CAR65530:CAR65595 CKN65530:CKN65595 CUJ65530:CUJ65595 DEF65530:DEF65595 DOB65530:DOB65595 DXX65530:DXX65595 EHT65530:EHT65595 ERP65530:ERP65595 FBL65530:FBL65595 FLH65530:FLH65595 FVD65530:FVD65595 GEZ65530:GEZ65595 GOV65530:GOV65595 GYR65530:GYR65595 HIN65530:HIN65595 HSJ65530:HSJ65595 ICF65530:ICF65595 IMB65530:IMB65595 IVX65530:IVX65595 JFT65530:JFT65595 JPP65530:JPP65595 JZL65530:JZL65595 KJH65530:KJH65595 KTD65530:KTD65595 LCZ65530:LCZ65595 LMV65530:LMV65595 LWR65530:LWR65595 MGN65530:MGN65595 MQJ65530:MQJ65595 NAF65530:NAF65595 NKB65530:NKB65595 NTX65530:NTX65595 ODT65530:ODT65595 ONP65530:ONP65595 OXL65530:OXL65595 PHH65530:PHH65595 PRD65530:PRD65595 QAZ65530:QAZ65595 QKV65530:QKV65595 QUR65530:QUR65595 REN65530:REN65595 ROJ65530:ROJ65595 RYF65530:RYF65595 SIB65530:SIB65595 SRX65530:SRX65595 TBT65530:TBT65595 TLP65530:TLP65595 TVL65530:TVL65595 UFH65530:UFH65595 UPD65530:UPD65595 UYZ65530:UYZ65595 VIV65530:VIV65595 VSR65530:VSR65595 WCN65530:WCN65595 WMJ65530:WMJ65595 WWF65530:WWF65595 X131066:X131131 JT131066:JT131131 TP131066:TP131131 ADL131066:ADL131131 ANH131066:ANH131131 AXD131066:AXD131131 BGZ131066:BGZ131131 BQV131066:BQV131131 CAR131066:CAR131131 CKN131066:CKN131131 CUJ131066:CUJ131131 DEF131066:DEF131131 DOB131066:DOB131131 DXX131066:DXX131131 EHT131066:EHT131131 ERP131066:ERP131131 FBL131066:FBL131131 FLH131066:FLH131131 FVD131066:FVD131131 GEZ131066:GEZ131131 GOV131066:GOV131131 GYR131066:GYR131131 HIN131066:HIN131131 HSJ131066:HSJ131131 ICF131066:ICF131131 IMB131066:IMB131131 IVX131066:IVX131131 JFT131066:JFT131131 JPP131066:JPP131131 JZL131066:JZL131131 KJH131066:KJH131131 KTD131066:KTD131131 LCZ131066:LCZ131131 LMV131066:LMV131131 LWR131066:LWR131131 MGN131066:MGN131131 MQJ131066:MQJ131131 NAF131066:NAF131131 NKB131066:NKB131131 NTX131066:NTX131131 ODT131066:ODT131131 ONP131066:ONP131131 OXL131066:OXL131131 PHH131066:PHH131131 PRD131066:PRD131131 QAZ131066:QAZ131131 QKV131066:QKV131131 QUR131066:QUR131131 REN131066:REN131131 ROJ131066:ROJ131131 RYF131066:RYF131131 SIB131066:SIB131131 SRX131066:SRX131131 TBT131066:TBT131131 TLP131066:TLP131131 TVL131066:TVL131131 UFH131066:UFH131131 UPD131066:UPD131131 UYZ131066:UYZ131131 VIV131066:VIV131131 VSR131066:VSR131131 WCN131066:WCN131131 WMJ131066:WMJ131131 WWF131066:WWF131131 X196602:X196667 JT196602:JT196667 TP196602:TP196667 ADL196602:ADL196667 ANH196602:ANH196667 AXD196602:AXD196667 BGZ196602:BGZ196667 BQV196602:BQV196667 CAR196602:CAR196667 CKN196602:CKN196667 CUJ196602:CUJ196667 DEF196602:DEF196667 DOB196602:DOB196667 DXX196602:DXX196667 EHT196602:EHT196667 ERP196602:ERP196667 FBL196602:FBL196667 FLH196602:FLH196667 FVD196602:FVD196667 GEZ196602:GEZ196667 GOV196602:GOV196667 GYR196602:GYR196667 HIN196602:HIN196667 HSJ196602:HSJ196667 ICF196602:ICF196667 IMB196602:IMB196667 IVX196602:IVX196667 JFT196602:JFT196667 JPP196602:JPP196667 JZL196602:JZL196667 KJH196602:KJH196667 KTD196602:KTD196667 LCZ196602:LCZ196667 LMV196602:LMV196667 LWR196602:LWR196667 MGN196602:MGN196667 MQJ196602:MQJ196667 NAF196602:NAF196667 NKB196602:NKB196667 NTX196602:NTX196667 ODT196602:ODT196667 ONP196602:ONP196667 OXL196602:OXL196667 PHH196602:PHH196667 PRD196602:PRD196667 QAZ196602:QAZ196667 QKV196602:QKV196667 QUR196602:QUR196667 REN196602:REN196667 ROJ196602:ROJ196667 RYF196602:RYF196667 SIB196602:SIB196667 SRX196602:SRX196667 TBT196602:TBT196667 TLP196602:TLP196667 TVL196602:TVL196667 UFH196602:UFH196667 UPD196602:UPD196667 UYZ196602:UYZ196667 VIV196602:VIV196667 VSR196602:VSR196667 WCN196602:WCN196667 WMJ196602:WMJ196667 WWF196602:WWF196667 X262138:X262203 JT262138:JT262203 TP262138:TP262203 ADL262138:ADL262203 ANH262138:ANH262203 AXD262138:AXD262203 BGZ262138:BGZ262203 BQV262138:BQV262203 CAR262138:CAR262203 CKN262138:CKN262203 CUJ262138:CUJ262203 DEF262138:DEF262203 DOB262138:DOB262203 DXX262138:DXX262203 EHT262138:EHT262203 ERP262138:ERP262203 FBL262138:FBL262203 FLH262138:FLH262203 FVD262138:FVD262203 GEZ262138:GEZ262203 GOV262138:GOV262203 GYR262138:GYR262203 HIN262138:HIN262203 HSJ262138:HSJ262203 ICF262138:ICF262203 IMB262138:IMB262203 IVX262138:IVX262203 JFT262138:JFT262203 JPP262138:JPP262203 JZL262138:JZL262203 KJH262138:KJH262203 KTD262138:KTD262203 LCZ262138:LCZ262203 LMV262138:LMV262203 LWR262138:LWR262203 MGN262138:MGN262203 MQJ262138:MQJ262203 NAF262138:NAF262203 NKB262138:NKB262203 NTX262138:NTX262203 ODT262138:ODT262203 ONP262138:ONP262203 OXL262138:OXL262203 PHH262138:PHH262203 PRD262138:PRD262203 QAZ262138:QAZ262203 QKV262138:QKV262203 QUR262138:QUR262203 REN262138:REN262203 ROJ262138:ROJ262203 RYF262138:RYF262203 SIB262138:SIB262203 SRX262138:SRX262203 TBT262138:TBT262203 TLP262138:TLP262203 TVL262138:TVL262203 UFH262138:UFH262203 UPD262138:UPD262203 UYZ262138:UYZ262203 VIV262138:VIV262203 VSR262138:VSR262203 WCN262138:WCN262203 WMJ262138:WMJ262203 WWF262138:WWF262203 X327674:X327739 JT327674:JT327739 TP327674:TP327739 ADL327674:ADL327739 ANH327674:ANH327739 AXD327674:AXD327739 BGZ327674:BGZ327739 BQV327674:BQV327739 CAR327674:CAR327739 CKN327674:CKN327739 CUJ327674:CUJ327739 DEF327674:DEF327739 DOB327674:DOB327739 DXX327674:DXX327739 EHT327674:EHT327739 ERP327674:ERP327739 FBL327674:FBL327739 FLH327674:FLH327739 FVD327674:FVD327739 GEZ327674:GEZ327739 GOV327674:GOV327739 GYR327674:GYR327739 HIN327674:HIN327739 HSJ327674:HSJ327739 ICF327674:ICF327739 IMB327674:IMB327739 IVX327674:IVX327739 JFT327674:JFT327739 JPP327674:JPP327739 JZL327674:JZL327739 KJH327674:KJH327739 KTD327674:KTD327739 LCZ327674:LCZ327739 LMV327674:LMV327739 LWR327674:LWR327739 MGN327674:MGN327739 MQJ327674:MQJ327739 NAF327674:NAF327739 NKB327674:NKB327739 NTX327674:NTX327739 ODT327674:ODT327739 ONP327674:ONP327739 OXL327674:OXL327739 PHH327674:PHH327739 PRD327674:PRD327739 QAZ327674:QAZ327739 QKV327674:QKV327739 QUR327674:QUR327739 REN327674:REN327739 ROJ327674:ROJ327739 RYF327674:RYF327739 SIB327674:SIB327739 SRX327674:SRX327739 TBT327674:TBT327739 TLP327674:TLP327739 TVL327674:TVL327739 UFH327674:UFH327739 UPD327674:UPD327739 UYZ327674:UYZ327739 VIV327674:VIV327739 VSR327674:VSR327739 WCN327674:WCN327739 WMJ327674:WMJ327739 WWF327674:WWF327739 X393210:X393275 JT393210:JT393275 TP393210:TP393275 ADL393210:ADL393275 ANH393210:ANH393275 AXD393210:AXD393275 BGZ393210:BGZ393275 BQV393210:BQV393275 CAR393210:CAR393275 CKN393210:CKN393275 CUJ393210:CUJ393275 DEF393210:DEF393275 DOB393210:DOB393275 DXX393210:DXX393275 EHT393210:EHT393275 ERP393210:ERP393275 FBL393210:FBL393275 FLH393210:FLH393275 FVD393210:FVD393275 GEZ393210:GEZ393275 GOV393210:GOV393275 GYR393210:GYR393275 HIN393210:HIN393275 HSJ393210:HSJ393275 ICF393210:ICF393275 IMB393210:IMB393275 IVX393210:IVX393275 JFT393210:JFT393275 JPP393210:JPP393275 JZL393210:JZL393275 KJH393210:KJH393275 KTD393210:KTD393275 LCZ393210:LCZ393275 LMV393210:LMV393275 LWR393210:LWR393275 MGN393210:MGN393275 MQJ393210:MQJ393275 NAF393210:NAF393275 NKB393210:NKB393275 NTX393210:NTX393275 ODT393210:ODT393275 ONP393210:ONP393275 OXL393210:OXL393275 PHH393210:PHH393275 PRD393210:PRD393275 QAZ393210:QAZ393275 QKV393210:QKV393275 QUR393210:QUR393275 REN393210:REN393275 ROJ393210:ROJ393275 RYF393210:RYF393275 SIB393210:SIB393275 SRX393210:SRX393275 TBT393210:TBT393275 TLP393210:TLP393275 TVL393210:TVL393275 UFH393210:UFH393275 UPD393210:UPD393275 UYZ393210:UYZ393275 VIV393210:VIV393275 VSR393210:VSR393275 WCN393210:WCN393275 WMJ393210:WMJ393275 WWF393210:WWF393275 X458746:X458811 JT458746:JT458811 TP458746:TP458811 ADL458746:ADL458811 ANH458746:ANH458811 AXD458746:AXD458811 BGZ458746:BGZ458811 BQV458746:BQV458811 CAR458746:CAR458811 CKN458746:CKN458811 CUJ458746:CUJ458811 DEF458746:DEF458811 DOB458746:DOB458811 DXX458746:DXX458811 EHT458746:EHT458811 ERP458746:ERP458811 FBL458746:FBL458811 FLH458746:FLH458811 FVD458746:FVD458811 GEZ458746:GEZ458811 GOV458746:GOV458811 GYR458746:GYR458811 HIN458746:HIN458811 HSJ458746:HSJ458811 ICF458746:ICF458811 IMB458746:IMB458811 IVX458746:IVX458811 JFT458746:JFT458811 JPP458746:JPP458811 JZL458746:JZL458811 KJH458746:KJH458811 KTD458746:KTD458811 LCZ458746:LCZ458811 LMV458746:LMV458811 LWR458746:LWR458811 MGN458746:MGN458811 MQJ458746:MQJ458811 NAF458746:NAF458811 NKB458746:NKB458811 NTX458746:NTX458811 ODT458746:ODT458811 ONP458746:ONP458811 OXL458746:OXL458811 PHH458746:PHH458811 PRD458746:PRD458811 QAZ458746:QAZ458811 QKV458746:QKV458811 QUR458746:QUR458811 REN458746:REN458811 ROJ458746:ROJ458811 RYF458746:RYF458811 SIB458746:SIB458811 SRX458746:SRX458811 TBT458746:TBT458811 TLP458746:TLP458811 TVL458746:TVL458811 UFH458746:UFH458811 UPD458746:UPD458811 UYZ458746:UYZ458811 VIV458746:VIV458811 VSR458746:VSR458811 WCN458746:WCN458811 WMJ458746:WMJ458811 WWF458746:WWF458811 X524282:X524347 JT524282:JT524347 TP524282:TP524347 ADL524282:ADL524347 ANH524282:ANH524347 AXD524282:AXD524347 BGZ524282:BGZ524347 BQV524282:BQV524347 CAR524282:CAR524347 CKN524282:CKN524347 CUJ524282:CUJ524347 DEF524282:DEF524347 DOB524282:DOB524347 DXX524282:DXX524347 EHT524282:EHT524347 ERP524282:ERP524347 FBL524282:FBL524347 FLH524282:FLH524347 FVD524282:FVD524347 GEZ524282:GEZ524347 GOV524282:GOV524347 GYR524282:GYR524347 HIN524282:HIN524347 HSJ524282:HSJ524347 ICF524282:ICF524347 IMB524282:IMB524347 IVX524282:IVX524347 JFT524282:JFT524347 JPP524282:JPP524347 JZL524282:JZL524347 KJH524282:KJH524347 KTD524282:KTD524347 LCZ524282:LCZ524347 LMV524282:LMV524347 LWR524282:LWR524347 MGN524282:MGN524347 MQJ524282:MQJ524347 NAF524282:NAF524347 NKB524282:NKB524347 NTX524282:NTX524347 ODT524282:ODT524347 ONP524282:ONP524347 OXL524282:OXL524347 PHH524282:PHH524347 PRD524282:PRD524347 QAZ524282:QAZ524347 QKV524282:QKV524347 QUR524282:QUR524347 REN524282:REN524347 ROJ524282:ROJ524347 RYF524282:RYF524347 SIB524282:SIB524347 SRX524282:SRX524347 TBT524282:TBT524347 TLP524282:TLP524347 TVL524282:TVL524347 UFH524282:UFH524347 UPD524282:UPD524347 UYZ524282:UYZ524347 VIV524282:VIV524347 VSR524282:VSR524347 WCN524282:WCN524347 WMJ524282:WMJ524347 WWF524282:WWF524347 X589818:X589883 JT589818:JT589883 TP589818:TP589883 ADL589818:ADL589883 ANH589818:ANH589883 AXD589818:AXD589883 BGZ589818:BGZ589883 BQV589818:BQV589883 CAR589818:CAR589883 CKN589818:CKN589883 CUJ589818:CUJ589883 DEF589818:DEF589883 DOB589818:DOB589883 DXX589818:DXX589883 EHT589818:EHT589883 ERP589818:ERP589883 FBL589818:FBL589883 FLH589818:FLH589883 FVD589818:FVD589883 GEZ589818:GEZ589883 GOV589818:GOV589883 GYR589818:GYR589883 HIN589818:HIN589883 HSJ589818:HSJ589883 ICF589818:ICF589883 IMB589818:IMB589883 IVX589818:IVX589883 JFT589818:JFT589883 JPP589818:JPP589883 JZL589818:JZL589883 KJH589818:KJH589883 KTD589818:KTD589883 LCZ589818:LCZ589883 LMV589818:LMV589883 LWR589818:LWR589883 MGN589818:MGN589883 MQJ589818:MQJ589883 NAF589818:NAF589883 NKB589818:NKB589883 NTX589818:NTX589883 ODT589818:ODT589883 ONP589818:ONP589883 OXL589818:OXL589883 PHH589818:PHH589883 PRD589818:PRD589883 QAZ589818:QAZ589883 QKV589818:QKV589883 QUR589818:QUR589883 REN589818:REN589883 ROJ589818:ROJ589883 RYF589818:RYF589883 SIB589818:SIB589883 SRX589818:SRX589883 TBT589818:TBT589883 TLP589818:TLP589883 TVL589818:TVL589883 UFH589818:UFH589883 UPD589818:UPD589883 UYZ589818:UYZ589883 VIV589818:VIV589883 VSR589818:VSR589883 WCN589818:WCN589883 WMJ589818:WMJ589883 WWF589818:WWF589883 X655354:X655419 JT655354:JT655419 TP655354:TP655419 ADL655354:ADL655419 ANH655354:ANH655419 AXD655354:AXD655419 BGZ655354:BGZ655419 BQV655354:BQV655419 CAR655354:CAR655419 CKN655354:CKN655419 CUJ655354:CUJ655419 DEF655354:DEF655419 DOB655354:DOB655419 DXX655354:DXX655419 EHT655354:EHT655419 ERP655354:ERP655419 FBL655354:FBL655419 FLH655354:FLH655419 FVD655354:FVD655419 GEZ655354:GEZ655419 GOV655354:GOV655419 GYR655354:GYR655419 HIN655354:HIN655419 HSJ655354:HSJ655419 ICF655354:ICF655419 IMB655354:IMB655419 IVX655354:IVX655419 JFT655354:JFT655419 JPP655354:JPP655419 JZL655354:JZL655419 KJH655354:KJH655419 KTD655354:KTD655419 LCZ655354:LCZ655419 LMV655354:LMV655419 LWR655354:LWR655419 MGN655354:MGN655419 MQJ655354:MQJ655419 NAF655354:NAF655419 NKB655354:NKB655419 NTX655354:NTX655419 ODT655354:ODT655419 ONP655354:ONP655419 OXL655354:OXL655419 PHH655354:PHH655419 PRD655354:PRD655419 QAZ655354:QAZ655419 QKV655354:QKV655419 QUR655354:QUR655419 REN655354:REN655419 ROJ655354:ROJ655419 RYF655354:RYF655419 SIB655354:SIB655419 SRX655354:SRX655419 TBT655354:TBT655419 TLP655354:TLP655419 TVL655354:TVL655419 UFH655354:UFH655419 UPD655354:UPD655419 UYZ655354:UYZ655419 VIV655354:VIV655419 VSR655354:VSR655419 WCN655354:WCN655419 WMJ655354:WMJ655419 WWF655354:WWF655419 X720890:X720955 JT720890:JT720955 TP720890:TP720955 ADL720890:ADL720955 ANH720890:ANH720955 AXD720890:AXD720955 BGZ720890:BGZ720955 BQV720890:BQV720955 CAR720890:CAR720955 CKN720890:CKN720955 CUJ720890:CUJ720955 DEF720890:DEF720955 DOB720890:DOB720955 DXX720890:DXX720955 EHT720890:EHT720955 ERP720890:ERP720955 FBL720890:FBL720955 FLH720890:FLH720955 FVD720890:FVD720955 GEZ720890:GEZ720955 GOV720890:GOV720955 GYR720890:GYR720955 HIN720890:HIN720955 HSJ720890:HSJ720955 ICF720890:ICF720955 IMB720890:IMB720955 IVX720890:IVX720955 JFT720890:JFT720955 JPP720890:JPP720955 JZL720890:JZL720955 KJH720890:KJH720955 KTD720890:KTD720955 LCZ720890:LCZ720955 LMV720890:LMV720955 LWR720890:LWR720955 MGN720890:MGN720955 MQJ720890:MQJ720955 NAF720890:NAF720955 NKB720890:NKB720955 NTX720890:NTX720955 ODT720890:ODT720955 ONP720890:ONP720955 OXL720890:OXL720955 PHH720890:PHH720955 PRD720890:PRD720955 QAZ720890:QAZ720955 QKV720890:QKV720955 QUR720890:QUR720955 REN720890:REN720955 ROJ720890:ROJ720955 RYF720890:RYF720955 SIB720890:SIB720955 SRX720890:SRX720955 TBT720890:TBT720955 TLP720890:TLP720955 TVL720890:TVL720955 UFH720890:UFH720955 UPD720890:UPD720955 UYZ720890:UYZ720955 VIV720890:VIV720955 VSR720890:VSR720955 WCN720890:WCN720955 WMJ720890:WMJ720955 WWF720890:WWF720955 X786426:X786491 JT786426:JT786491 TP786426:TP786491 ADL786426:ADL786491 ANH786426:ANH786491 AXD786426:AXD786491 BGZ786426:BGZ786491 BQV786426:BQV786491 CAR786426:CAR786491 CKN786426:CKN786491 CUJ786426:CUJ786491 DEF786426:DEF786491 DOB786426:DOB786491 DXX786426:DXX786491 EHT786426:EHT786491 ERP786426:ERP786491 FBL786426:FBL786491 FLH786426:FLH786491 FVD786426:FVD786491 GEZ786426:GEZ786491 GOV786426:GOV786491 GYR786426:GYR786491 HIN786426:HIN786491 HSJ786426:HSJ786491 ICF786426:ICF786491 IMB786426:IMB786491 IVX786426:IVX786491 JFT786426:JFT786491 JPP786426:JPP786491 JZL786426:JZL786491 KJH786426:KJH786491 KTD786426:KTD786491 LCZ786426:LCZ786491 LMV786426:LMV786491 LWR786426:LWR786491 MGN786426:MGN786491 MQJ786426:MQJ786491 NAF786426:NAF786491 NKB786426:NKB786491 NTX786426:NTX786491 ODT786426:ODT786491 ONP786426:ONP786491 OXL786426:OXL786491 PHH786426:PHH786491 PRD786426:PRD786491 QAZ786426:QAZ786491 QKV786426:QKV786491 QUR786426:QUR786491 REN786426:REN786491 ROJ786426:ROJ786491 RYF786426:RYF786491 SIB786426:SIB786491 SRX786426:SRX786491 TBT786426:TBT786491 TLP786426:TLP786491 TVL786426:TVL786491 UFH786426:UFH786491 UPD786426:UPD786491 UYZ786426:UYZ786491 VIV786426:VIV786491 VSR786426:VSR786491 WCN786426:WCN786491 WMJ786426:WMJ786491 WWF786426:WWF786491 X851962:X852027 JT851962:JT852027 TP851962:TP852027 ADL851962:ADL852027 ANH851962:ANH852027 AXD851962:AXD852027 BGZ851962:BGZ852027 BQV851962:BQV852027 CAR851962:CAR852027 CKN851962:CKN852027 CUJ851962:CUJ852027 DEF851962:DEF852027 DOB851962:DOB852027 DXX851962:DXX852027 EHT851962:EHT852027 ERP851962:ERP852027 FBL851962:FBL852027 FLH851962:FLH852027 FVD851962:FVD852027 GEZ851962:GEZ852027 GOV851962:GOV852027 GYR851962:GYR852027 HIN851962:HIN852027 HSJ851962:HSJ852027 ICF851962:ICF852027 IMB851962:IMB852027 IVX851962:IVX852027 JFT851962:JFT852027 JPP851962:JPP852027 JZL851962:JZL852027 KJH851962:KJH852027 KTD851962:KTD852027 LCZ851962:LCZ852027 LMV851962:LMV852027 LWR851962:LWR852027 MGN851962:MGN852027 MQJ851962:MQJ852027 NAF851962:NAF852027 NKB851962:NKB852027 NTX851962:NTX852027 ODT851962:ODT852027 ONP851962:ONP852027 OXL851962:OXL852027 PHH851962:PHH852027 PRD851962:PRD852027 QAZ851962:QAZ852027 QKV851962:QKV852027 QUR851962:QUR852027 REN851962:REN852027 ROJ851962:ROJ852027 RYF851962:RYF852027 SIB851962:SIB852027 SRX851962:SRX852027 TBT851962:TBT852027 TLP851962:TLP852027 TVL851962:TVL852027 UFH851962:UFH852027 UPD851962:UPD852027 UYZ851962:UYZ852027 VIV851962:VIV852027 VSR851962:VSR852027 WCN851962:WCN852027 WMJ851962:WMJ852027 WWF851962:WWF852027 X917498:X917563 JT917498:JT917563 TP917498:TP917563 ADL917498:ADL917563 ANH917498:ANH917563 AXD917498:AXD917563 BGZ917498:BGZ917563 BQV917498:BQV917563 CAR917498:CAR917563 CKN917498:CKN917563 CUJ917498:CUJ917563 DEF917498:DEF917563 DOB917498:DOB917563 DXX917498:DXX917563 EHT917498:EHT917563 ERP917498:ERP917563 FBL917498:FBL917563 FLH917498:FLH917563 FVD917498:FVD917563 GEZ917498:GEZ917563 GOV917498:GOV917563 GYR917498:GYR917563 HIN917498:HIN917563 HSJ917498:HSJ917563 ICF917498:ICF917563 IMB917498:IMB917563 IVX917498:IVX917563 JFT917498:JFT917563 JPP917498:JPP917563 JZL917498:JZL917563 KJH917498:KJH917563 KTD917498:KTD917563 LCZ917498:LCZ917563 LMV917498:LMV917563 LWR917498:LWR917563 MGN917498:MGN917563 MQJ917498:MQJ917563 NAF917498:NAF917563 NKB917498:NKB917563 NTX917498:NTX917563 ODT917498:ODT917563 ONP917498:ONP917563 OXL917498:OXL917563 PHH917498:PHH917563 PRD917498:PRD917563 QAZ917498:QAZ917563 QKV917498:QKV917563 QUR917498:QUR917563 REN917498:REN917563 ROJ917498:ROJ917563 RYF917498:RYF917563 SIB917498:SIB917563 SRX917498:SRX917563 TBT917498:TBT917563 TLP917498:TLP917563 TVL917498:TVL917563 UFH917498:UFH917563 UPD917498:UPD917563 UYZ917498:UYZ917563 VIV917498:VIV917563 VSR917498:VSR917563 WCN917498:WCN917563 WMJ917498:WMJ917563 WWF917498:WWF917563 X983034:X983099 JT983034:JT983099 TP983034:TP983099 ADL983034:ADL983099 ANH983034:ANH983099 AXD983034:AXD983099 BGZ983034:BGZ983099 BQV983034:BQV983099 CAR983034:CAR983099 CKN983034:CKN983099 CUJ983034:CUJ983099 DEF983034:DEF983099 DOB983034:DOB983099 DXX983034:DXX983099 EHT983034:EHT983099 ERP983034:ERP983099 FBL983034:FBL983099 FLH983034:FLH983099 FVD983034:FVD983099 GEZ983034:GEZ983099 GOV983034:GOV983099 GYR983034:GYR983099 HIN983034:HIN983099 HSJ983034:HSJ983099 ICF983034:ICF983099 IMB983034:IMB983099 IVX983034:IVX983099 JFT983034:JFT983099 JPP983034:JPP983099 JZL983034:JZL983099 KJH983034:KJH983099 KTD983034:KTD983099 LCZ983034:LCZ983099 LMV983034:LMV983099 LWR983034:LWR983099 MGN983034:MGN983099 MQJ983034:MQJ983099 NAF983034:NAF983099 NKB983034:NKB983099 NTX983034:NTX983099 ODT983034:ODT983099 ONP983034:ONP983099 OXL983034:OXL983099 PHH983034:PHH983099 PRD983034:PRD983099 QAZ983034:QAZ983099 QKV983034:QKV983099 QUR983034:QUR983099 REN983034:REN983099 ROJ983034:ROJ983099 RYF983034:RYF983099 SIB983034:SIB983099 SRX983034:SRX983099 TBT983034:TBT983099 TLP983034:TLP983099 TVL983034:TVL983099 UFH983034:UFH983099 UPD983034:UPD983099 UYZ983034:UYZ983099 VIV983034:VIV983099 VSR983034:VSR983099 WCN983034:WCN983099 WMJ983034:WMJ983099 JT2:JT59 WWF2:WWF59 WMJ2:WMJ59 WCN2:WCN59 VSR2:VSR59 VIV2:VIV59 UYZ2:UYZ59 UPD2:UPD59 UFH2:UFH59 TVL2:TVL59 TLP2:TLP59 TBT2:TBT59 SRX2:SRX59 SIB2:SIB59 RYF2:RYF59 ROJ2:ROJ59 REN2:REN59 QUR2:QUR59 QKV2:QKV59 QAZ2:QAZ59 PRD2:PRD59 PHH2:PHH59 OXL2:OXL59 ONP2:ONP59 ODT2:ODT59 NTX2:NTX59 NKB2:NKB59 NAF2:NAF59 MQJ2:MQJ59 MGN2:MGN59 LWR2:LWR59 LMV2:LMV59 LCZ2:LCZ59 KTD2:KTD59 KJH2:KJH59 JZL2:JZL59 JPP2:JPP59 JFT2:JFT59 IVX2:IVX59 IMB2:IMB59 ICF2:ICF59 HSJ2:HSJ59 HIN2:HIN59 GYR2:GYR59 GOV2:GOV59 GEZ2:GEZ59 FVD2:FVD59 FLH2:FLH59 FBL2:FBL59 ERP2:ERP59 EHT2:EHT59 DXX2:DXX59 DOB2:DOB59 DEF2:DEF59 CUJ2:CUJ59 CKN2:CKN59 CAR2:CAR59 BQV2:BQV59 BGZ2:BGZ59 AXD2:AXD59 ANH2:ANH59 ADL2:ADL59 TP2:TP59 X2:X492" xr:uid="{A1328D51-FA01-4100-88B5-3395FCE69BCE}">
      <formula1>$AT$2:$AT$3</formula1>
    </dataValidation>
    <dataValidation type="list" allowBlank="1" showInputMessage="1" showErrorMessage="1" sqref="G64355:G64422 JC64355:JC64422 SY64355:SY64422 ACU64355:ACU64422 AMQ64355:AMQ64422 AWM64355:AWM64422 BGI64355:BGI64422 BQE64355:BQE64422 CAA64355:CAA64422 CJW64355:CJW64422 CTS64355:CTS64422 DDO64355:DDO64422 DNK64355:DNK64422 DXG64355:DXG64422 EHC64355:EHC64422 EQY64355:EQY64422 FAU64355:FAU64422 FKQ64355:FKQ64422 FUM64355:FUM64422 GEI64355:GEI64422 GOE64355:GOE64422 GYA64355:GYA64422 HHW64355:HHW64422 HRS64355:HRS64422 IBO64355:IBO64422 ILK64355:ILK64422 IVG64355:IVG64422 JFC64355:JFC64422 JOY64355:JOY64422 JYU64355:JYU64422 KIQ64355:KIQ64422 KSM64355:KSM64422 LCI64355:LCI64422 LME64355:LME64422 LWA64355:LWA64422 MFW64355:MFW64422 MPS64355:MPS64422 MZO64355:MZO64422 NJK64355:NJK64422 NTG64355:NTG64422 ODC64355:ODC64422 OMY64355:OMY64422 OWU64355:OWU64422 PGQ64355:PGQ64422 PQM64355:PQM64422 QAI64355:QAI64422 QKE64355:QKE64422 QUA64355:QUA64422 RDW64355:RDW64422 RNS64355:RNS64422 RXO64355:RXO64422 SHK64355:SHK64422 SRG64355:SRG64422 TBC64355:TBC64422 TKY64355:TKY64422 TUU64355:TUU64422 UEQ64355:UEQ64422 UOM64355:UOM64422 UYI64355:UYI64422 VIE64355:VIE64422 VSA64355:VSA64422 WBW64355:WBW64422 WLS64355:WLS64422 WVO64355:WVO64422 G129891:G129958 JC129891:JC129958 SY129891:SY129958 ACU129891:ACU129958 AMQ129891:AMQ129958 AWM129891:AWM129958 BGI129891:BGI129958 BQE129891:BQE129958 CAA129891:CAA129958 CJW129891:CJW129958 CTS129891:CTS129958 DDO129891:DDO129958 DNK129891:DNK129958 DXG129891:DXG129958 EHC129891:EHC129958 EQY129891:EQY129958 FAU129891:FAU129958 FKQ129891:FKQ129958 FUM129891:FUM129958 GEI129891:GEI129958 GOE129891:GOE129958 GYA129891:GYA129958 HHW129891:HHW129958 HRS129891:HRS129958 IBO129891:IBO129958 ILK129891:ILK129958 IVG129891:IVG129958 JFC129891:JFC129958 JOY129891:JOY129958 JYU129891:JYU129958 KIQ129891:KIQ129958 KSM129891:KSM129958 LCI129891:LCI129958 LME129891:LME129958 LWA129891:LWA129958 MFW129891:MFW129958 MPS129891:MPS129958 MZO129891:MZO129958 NJK129891:NJK129958 NTG129891:NTG129958 ODC129891:ODC129958 OMY129891:OMY129958 OWU129891:OWU129958 PGQ129891:PGQ129958 PQM129891:PQM129958 QAI129891:QAI129958 QKE129891:QKE129958 QUA129891:QUA129958 RDW129891:RDW129958 RNS129891:RNS129958 RXO129891:RXO129958 SHK129891:SHK129958 SRG129891:SRG129958 TBC129891:TBC129958 TKY129891:TKY129958 TUU129891:TUU129958 UEQ129891:UEQ129958 UOM129891:UOM129958 UYI129891:UYI129958 VIE129891:VIE129958 VSA129891:VSA129958 WBW129891:WBW129958 WLS129891:WLS129958 WVO129891:WVO129958 G195427:G195494 JC195427:JC195494 SY195427:SY195494 ACU195427:ACU195494 AMQ195427:AMQ195494 AWM195427:AWM195494 BGI195427:BGI195494 BQE195427:BQE195494 CAA195427:CAA195494 CJW195427:CJW195494 CTS195427:CTS195494 DDO195427:DDO195494 DNK195427:DNK195494 DXG195427:DXG195494 EHC195427:EHC195494 EQY195427:EQY195494 FAU195427:FAU195494 FKQ195427:FKQ195494 FUM195427:FUM195494 GEI195427:GEI195494 GOE195427:GOE195494 GYA195427:GYA195494 HHW195427:HHW195494 HRS195427:HRS195494 IBO195427:IBO195494 ILK195427:ILK195494 IVG195427:IVG195494 JFC195427:JFC195494 JOY195427:JOY195494 JYU195427:JYU195494 KIQ195427:KIQ195494 KSM195427:KSM195494 LCI195427:LCI195494 LME195427:LME195494 LWA195427:LWA195494 MFW195427:MFW195494 MPS195427:MPS195494 MZO195427:MZO195494 NJK195427:NJK195494 NTG195427:NTG195494 ODC195427:ODC195494 OMY195427:OMY195494 OWU195427:OWU195494 PGQ195427:PGQ195494 PQM195427:PQM195494 QAI195427:QAI195494 QKE195427:QKE195494 QUA195427:QUA195494 RDW195427:RDW195494 RNS195427:RNS195494 RXO195427:RXO195494 SHK195427:SHK195494 SRG195427:SRG195494 TBC195427:TBC195494 TKY195427:TKY195494 TUU195427:TUU195494 UEQ195427:UEQ195494 UOM195427:UOM195494 UYI195427:UYI195494 VIE195427:VIE195494 VSA195427:VSA195494 WBW195427:WBW195494 WLS195427:WLS195494 WVO195427:WVO195494 G260963:G261030 JC260963:JC261030 SY260963:SY261030 ACU260963:ACU261030 AMQ260963:AMQ261030 AWM260963:AWM261030 BGI260963:BGI261030 BQE260963:BQE261030 CAA260963:CAA261030 CJW260963:CJW261030 CTS260963:CTS261030 DDO260963:DDO261030 DNK260963:DNK261030 DXG260963:DXG261030 EHC260963:EHC261030 EQY260963:EQY261030 FAU260963:FAU261030 FKQ260963:FKQ261030 FUM260963:FUM261030 GEI260963:GEI261030 GOE260963:GOE261030 GYA260963:GYA261030 HHW260963:HHW261030 HRS260963:HRS261030 IBO260963:IBO261030 ILK260963:ILK261030 IVG260963:IVG261030 JFC260963:JFC261030 JOY260963:JOY261030 JYU260963:JYU261030 KIQ260963:KIQ261030 KSM260963:KSM261030 LCI260963:LCI261030 LME260963:LME261030 LWA260963:LWA261030 MFW260963:MFW261030 MPS260963:MPS261030 MZO260963:MZO261030 NJK260963:NJK261030 NTG260963:NTG261030 ODC260963:ODC261030 OMY260963:OMY261030 OWU260963:OWU261030 PGQ260963:PGQ261030 PQM260963:PQM261030 QAI260963:QAI261030 QKE260963:QKE261030 QUA260963:QUA261030 RDW260963:RDW261030 RNS260963:RNS261030 RXO260963:RXO261030 SHK260963:SHK261030 SRG260963:SRG261030 TBC260963:TBC261030 TKY260963:TKY261030 TUU260963:TUU261030 UEQ260963:UEQ261030 UOM260963:UOM261030 UYI260963:UYI261030 VIE260963:VIE261030 VSA260963:VSA261030 WBW260963:WBW261030 WLS260963:WLS261030 WVO260963:WVO261030 G326499:G326566 JC326499:JC326566 SY326499:SY326566 ACU326499:ACU326566 AMQ326499:AMQ326566 AWM326499:AWM326566 BGI326499:BGI326566 BQE326499:BQE326566 CAA326499:CAA326566 CJW326499:CJW326566 CTS326499:CTS326566 DDO326499:DDO326566 DNK326499:DNK326566 DXG326499:DXG326566 EHC326499:EHC326566 EQY326499:EQY326566 FAU326499:FAU326566 FKQ326499:FKQ326566 FUM326499:FUM326566 GEI326499:GEI326566 GOE326499:GOE326566 GYA326499:GYA326566 HHW326499:HHW326566 HRS326499:HRS326566 IBO326499:IBO326566 ILK326499:ILK326566 IVG326499:IVG326566 JFC326499:JFC326566 JOY326499:JOY326566 JYU326499:JYU326566 KIQ326499:KIQ326566 KSM326499:KSM326566 LCI326499:LCI326566 LME326499:LME326566 LWA326499:LWA326566 MFW326499:MFW326566 MPS326499:MPS326566 MZO326499:MZO326566 NJK326499:NJK326566 NTG326499:NTG326566 ODC326499:ODC326566 OMY326499:OMY326566 OWU326499:OWU326566 PGQ326499:PGQ326566 PQM326499:PQM326566 QAI326499:QAI326566 QKE326499:QKE326566 QUA326499:QUA326566 RDW326499:RDW326566 RNS326499:RNS326566 RXO326499:RXO326566 SHK326499:SHK326566 SRG326499:SRG326566 TBC326499:TBC326566 TKY326499:TKY326566 TUU326499:TUU326566 UEQ326499:UEQ326566 UOM326499:UOM326566 UYI326499:UYI326566 VIE326499:VIE326566 VSA326499:VSA326566 WBW326499:WBW326566 WLS326499:WLS326566 WVO326499:WVO326566 G392035:G392102 JC392035:JC392102 SY392035:SY392102 ACU392035:ACU392102 AMQ392035:AMQ392102 AWM392035:AWM392102 BGI392035:BGI392102 BQE392035:BQE392102 CAA392035:CAA392102 CJW392035:CJW392102 CTS392035:CTS392102 DDO392035:DDO392102 DNK392035:DNK392102 DXG392035:DXG392102 EHC392035:EHC392102 EQY392035:EQY392102 FAU392035:FAU392102 FKQ392035:FKQ392102 FUM392035:FUM392102 GEI392035:GEI392102 GOE392035:GOE392102 GYA392035:GYA392102 HHW392035:HHW392102 HRS392035:HRS392102 IBO392035:IBO392102 ILK392035:ILK392102 IVG392035:IVG392102 JFC392035:JFC392102 JOY392035:JOY392102 JYU392035:JYU392102 KIQ392035:KIQ392102 KSM392035:KSM392102 LCI392035:LCI392102 LME392035:LME392102 LWA392035:LWA392102 MFW392035:MFW392102 MPS392035:MPS392102 MZO392035:MZO392102 NJK392035:NJK392102 NTG392035:NTG392102 ODC392035:ODC392102 OMY392035:OMY392102 OWU392035:OWU392102 PGQ392035:PGQ392102 PQM392035:PQM392102 QAI392035:QAI392102 QKE392035:QKE392102 QUA392035:QUA392102 RDW392035:RDW392102 RNS392035:RNS392102 RXO392035:RXO392102 SHK392035:SHK392102 SRG392035:SRG392102 TBC392035:TBC392102 TKY392035:TKY392102 TUU392035:TUU392102 UEQ392035:UEQ392102 UOM392035:UOM392102 UYI392035:UYI392102 VIE392035:VIE392102 VSA392035:VSA392102 WBW392035:WBW392102 WLS392035:WLS392102 WVO392035:WVO392102 G457571:G457638 JC457571:JC457638 SY457571:SY457638 ACU457571:ACU457638 AMQ457571:AMQ457638 AWM457571:AWM457638 BGI457571:BGI457638 BQE457571:BQE457638 CAA457571:CAA457638 CJW457571:CJW457638 CTS457571:CTS457638 DDO457571:DDO457638 DNK457571:DNK457638 DXG457571:DXG457638 EHC457571:EHC457638 EQY457571:EQY457638 FAU457571:FAU457638 FKQ457571:FKQ457638 FUM457571:FUM457638 GEI457571:GEI457638 GOE457571:GOE457638 GYA457571:GYA457638 HHW457571:HHW457638 HRS457571:HRS457638 IBO457571:IBO457638 ILK457571:ILK457638 IVG457571:IVG457638 JFC457571:JFC457638 JOY457571:JOY457638 JYU457571:JYU457638 KIQ457571:KIQ457638 KSM457571:KSM457638 LCI457571:LCI457638 LME457571:LME457638 LWA457571:LWA457638 MFW457571:MFW457638 MPS457571:MPS457638 MZO457571:MZO457638 NJK457571:NJK457638 NTG457571:NTG457638 ODC457571:ODC457638 OMY457571:OMY457638 OWU457571:OWU457638 PGQ457571:PGQ457638 PQM457571:PQM457638 QAI457571:QAI457638 QKE457571:QKE457638 QUA457571:QUA457638 RDW457571:RDW457638 RNS457571:RNS457638 RXO457571:RXO457638 SHK457571:SHK457638 SRG457571:SRG457638 TBC457571:TBC457638 TKY457571:TKY457638 TUU457571:TUU457638 UEQ457571:UEQ457638 UOM457571:UOM457638 UYI457571:UYI457638 VIE457571:VIE457638 VSA457571:VSA457638 WBW457571:WBW457638 WLS457571:WLS457638 WVO457571:WVO457638 G523107:G523174 JC523107:JC523174 SY523107:SY523174 ACU523107:ACU523174 AMQ523107:AMQ523174 AWM523107:AWM523174 BGI523107:BGI523174 BQE523107:BQE523174 CAA523107:CAA523174 CJW523107:CJW523174 CTS523107:CTS523174 DDO523107:DDO523174 DNK523107:DNK523174 DXG523107:DXG523174 EHC523107:EHC523174 EQY523107:EQY523174 FAU523107:FAU523174 FKQ523107:FKQ523174 FUM523107:FUM523174 GEI523107:GEI523174 GOE523107:GOE523174 GYA523107:GYA523174 HHW523107:HHW523174 HRS523107:HRS523174 IBO523107:IBO523174 ILK523107:ILK523174 IVG523107:IVG523174 JFC523107:JFC523174 JOY523107:JOY523174 JYU523107:JYU523174 KIQ523107:KIQ523174 KSM523107:KSM523174 LCI523107:LCI523174 LME523107:LME523174 LWA523107:LWA523174 MFW523107:MFW523174 MPS523107:MPS523174 MZO523107:MZO523174 NJK523107:NJK523174 NTG523107:NTG523174 ODC523107:ODC523174 OMY523107:OMY523174 OWU523107:OWU523174 PGQ523107:PGQ523174 PQM523107:PQM523174 QAI523107:QAI523174 QKE523107:QKE523174 QUA523107:QUA523174 RDW523107:RDW523174 RNS523107:RNS523174 RXO523107:RXO523174 SHK523107:SHK523174 SRG523107:SRG523174 TBC523107:TBC523174 TKY523107:TKY523174 TUU523107:TUU523174 UEQ523107:UEQ523174 UOM523107:UOM523174 UYI523107:UYI523174 VIE523107:VIE523174 VSA523107:VSA523174 WBW523107:WBW523174 WLS523107:WLS523174 WVO523107:WVO523174 G588643:G588710 JC588643:JC588710 SY588643:SY588710 ACU588643:ACU588710 AMQ588643:AMQ588710 AWM588643:AWM588710 BGI588643:BGI588710 BQE588643:BQE588710 CAA588643:CAA588710 CJW588643:CJW588710 CTS588643:CTS588710 DDO588643:DDO588710 DNK588643:DNK588710 DXG588643:DXG588710 EHC588643:EHC588710 EQY588643:EQY588710 FAU588643:FAU588710 FKQ588643:FKQ588710 FUM588643:FUM588710 GEI588643:GEI588710 GOE588643:GOE588710 GYA588643:GYA588710 HHW588643:HHW588710 HRS588643:HRS588710 IBO588643:IBO588710 ILK588643:ILK588710 IVG588643:IVG588710 JFC588643:JFC588710 JOY588643:JOY588710 JYU588643:JYU588710 KIQ588643:KIQ588710 KSM588643:KSM588710 LCI588643:LCI588710 LME588643:LME588710 LWA588643:LWA588710 MFW588643:MFW588710 MPS588643:MPS588710 MZO588643:MZO588710 NJK588643:NJK588710 NTG588643:NTG588710 ODC588643:ODC588710 OMY588643:OMY588710 OWU588643:OWU588710 PGQ588643:PGQ588710 PQM588643:PQM588710 QAI588643:QAI588710 QKE588643:QKE588710 QUA588643:QUA588710 RDW588643:RDW588710 RNS588643:RNS588710 RXO588643:RXO588710 SHK588643:SHK588710 SRG588643:SRG588710 TBC588643:TBC588710 TKY588643:TKY588710 TUU588643:TUU588710 UEQ588643:UEQ588710 UOM588643:UOM588710 UYI588643:UYI588710 VIE588643:VIE588710 VSA588643:VSA588710 WBW588643:WBW588710 WLS588643:WLS588710 WVO588643:WVO588710 G654179:G654246 JC654179:JC654246 SY654179:SY654246 ACU654179:ACU654246 AMQ654179:AMQ654246 AWM654179:AWM654246 BGI654179:BGI654246 BQE654179:BQE654246 CAA654179:CAA654246 CJW654179:CJW654246 CTS654179:CTS654246 DDO654179:DDO654246 DNK654179:DNK654246 DXG654179:DXG654246 EHC654179:EHC654246 EQY654179:EQY654246 FAU654179:FAU654246 FKQ654179:FKQ654246 FUM654179:FUM654246 GEI654179:GEI654246 GOE654179:GOE654246 GYA654179:GYA654246 HHW654179:HHW654246 HRS654179:HRS654246 IBO654179:IBO654246 ILK654179:ILK654246 IVG654179:IVG654246 JFC654179:JFC654246 JOY654179:JOY654246 JYU654179:JYU654246 KIQ654179:KIQ654246 KSM654179:KSM654246 LCI654179:LCI654246 LME654179:LME654246 LWA654179:LWA654246 MFW654179:MFW654246 MPS654179:MPS654246 MZO654179:MZO654246 NJK654179:NJK654246 NTG654179:NTG654246 ODC654179:ODC654246 OMY654179:OMY654246 OWU654179:OWU654246 PGQ654179:PGQ654246 PQM654179:PQM654246 QAI654179:QAI654246 QKE654179:QKE654246 QUA654179:QUA654246 RDW654179:RDW654246 RNS654179:RNS654246 RXO654179:RXO654246 SHK654179:SHK654246 SRG654179:SRG654246 TBC654179:TBC654246 TKY654179:TKY654246 TUU654179:TUU654246 UEQ654179:UEQ654246 UOM654179:UOM654246 UYI654179:UYI654246 VIE654179:VIE654246 VSA654179:VSA654246 WBW654179:WBW654246 WLS654179:WLS654246 WVO654179:WVO654246 G719715:G719782 JC719715:JC719782 SY719715:SY719782 ACU719715:ACU719782 AMQ719715:AMQ719782 AWM719715:AWM719782 BGI719715:BGI719782 BQE719715:BQE719782 CAA719715:CAA719782 CJW719715:CJW719782 CTS719715:CTS719782 DDO719715:DDO719782 DNK719715:DNK719782 DXG719715:DXG719782 EHC719715:EHC719782 EQY719715:EQY719782 FAU719715:FAU719782 FKQ719715:FKQ719782 FUM719715:FUM719782 GEI719715:GEI719782 GOE719715:GOE719782 GYA719715:GYA719782 HHW719715:HHW719782 HRS719715:HRS719782 IBO719715:IBO719782 ILK719715:ILK719782 IVG719715:IVG719782 JFC719715:JFC719782 JOY719715:JOY719782 JYU719715:JYU719782 KIQ719715:KIQ719782 KSM719715:KSM719782 LCI719715:LCI719782 LME719715:LME719782 LWA719715:LWA719782 MFW719715:MFW719782 MPS719715:MPS719782 MZO719715:MZO719782 NJK719715:NJK719782 NTG719715:NTG719782 ODC719715:ODC719782 OMY719715:OMY719782 OWU719715:OWU719782 PGQ719715:PGQ719782 PQM719715:PQM719782 QAI719715:QAI719782 QKE719715:QKE719782 QUA719715:QUA719782 RDW719715:RDW719782 RNS719715:RNS719782 RXO719715:RXO719782 SHK719715:SHK719782 SRG719715:SRG719782 TBC719715:TBC719782 TKY719715:TKY719782 TUU719715:TUU719782 UEQ719715:UEQ719782 UOM719715:UOM719782 UYI719715:UYI719782 VIE719715:VIE719782 VSA719715:VSA719782 WBW719715:WBW719782 WLS719715:WLS719782 WVO719715:WVO719782 G785251:G785318 JC785251:JC785318 SY785251:SY785318 ACU785251:ACU785318 AMQ785251:AMQ785318 AWM785251:AWM785318 BGI785251:BGI785318 BQE785251:BQE785318 CAA785251:CAA785318 CJW785251:CJW785318 CTS785251:CTS785318 DDO785251:DDO785318 DNK785251:DNK785318 DXG785251:DXG785318 EHC785251:EHC785318 EQY785251:EQY785318 FAU785251:FAU785318 FKQ785251:FKQ785318 FUM785251:FUM785318 GEI785251:GEI785318 GOE785251:GOE785318 GYA785251:GYA785318 HHW785251:HHW785318 HRS785251:HRS785318 IBO785251:IBO785318 ILK785251:ILK785318 IVG785251:IVG785318 JFC785251:JFC785318 JOY785251:JOY785318 JYU785251:JYU785318 KIQ785251:KIQ785318 KSM785251:KSM785318 LCI785251:LCI785318 LME785251:LME785318 LWA785251:LWA785318 MFW785251:MFW785318 MPS785251:MPS785318 MZO785251:MZO785318 NJK785251:NJK785318 NTG785251:NTG785318 ODC785251:ODC785318 OMY785251:OMY785318 OWU785251:OWU785318 PGQ785251:PGQ785318 PQM785251:PQM785318 QAI785251:QAI785318 QKE785251:QKE785318 QUA785251:QUA785318 RDW785251:RDW785318 RNS785251:RNS785318 RXO785251:RXO785318 SHK785251:SHK785318 SRG785251:SRG785318 TBC785251:TBC785318 TKY785251:TKY785318 TUU785251:TUU785318 UEQ785251:UEQ785318 UOM785251:UOM785318 UYI785251:UYI785318 VIE785251:VIE785318 VSA785251:VSA785318 WBW785251:WBW785318 WLS785251:WLS785318 WVO785251:WVO785318 G850787:G850854 JC850787:JC850854 SY850787:SY850854 ACU850787:ACU850854 AMQ850787:AMQ850854 AWM850787:AWM850854 BGI850787:BGI850854 BQE850787:BQE850854 CAA850787:CAA850854 CJW850787:CJW850854 CTS850787:CTS850854 DDO850787:DDO850854 DNK850787:DNK850854 DXG850787:DXG850854 EHC850787:EHC850854 EQY850787:EQY850854 FAU850787:FAU850854 FKQ850787:FKQ850854 FUM850787:FUM850854 GEI850787:GEI850854 GOE850787:GOE850854 GYA850787:GYA850854 HHW850787:HHW850854 HRS850787:HRS850854 IBO850787:IBO850854 ILK850787:ILK850854 IVG850787:IVG850854 JFC850787:JFC850854 JOY850787:JOY850854 JYU850787:JYU850854 KIQ850787:KIQ850854 KSM850787:KSM850854 LCI850787:LCI850854 LME850787:LME850854 LWA850787:LWA850854 MFW850787:MFW850854 MPS850787:MPS850854 MZO850787:MZO850854 NJK850787:NJK850854 NTG850787:NTG850854 ODC850787:ODC850854 OMY850787:OMY850854 OWU850787:OWU850854 PGQ850787:PGQ850854 PQM850787:PQM850854 QAI850787:QAI850854 QKE850787:QKE850854 QUA850787:QUA850854 RDW850787:RDW850854 RNS850787:RNS850854 RXO850787:RXO850854 SHK850787:SHK850854 SRG850787:SRG850854 TBC850787:TBC850854 TKY850787:TKY850854 TUU850787:TUU850854 UEQ850787:UEQ850854 UOM850787:UOM850854 UYI850787:UYI850854 VIE850787:VIE850854 VSA850787:VSA850854 WBW850787:WBW850854 WLS850787:WLS850854 WVO850787:WVO850854 G916323:G916390 JC916323:JC916390 SY916323:SY916390 ACU916323:ACU916390 AMQ916323:AMQ916390 AWM916323:AWM916390 BGI916323:BGI916390 BQE916323:BQE916390 CAA916323:CAA916390 CJW916323:CJW916390 CTS916323:CTS916390 DDO916323:DDO916390 DNK916323:DNK916390 DXG916323:DXG916390 EHC916323:EHC916390 EQY916323:EQY916390 FAU916323:FAU916390 FKQ916323:FKQ916390 FUM916323:FUM916390 GEI916323:GEI916390 GOE916323:GOE916390 GYA916323:GYA916390 HHW916323:HHW916390 HRS916323:HRS916390 IBO916323:IBO916390 ILK916323:ILK916390 IVG916323:IVG916390 JFC916323:JFC916390 JOY916323:JOY916390 JYU916323:JYU916390 KIQ916323:KIQ916390 KSM916323:KSM916390 LCI916323:LCI916390 LME916323:LME916390 LWA916323:LWA916390 MFW916323:MFW916390 MPS916323:MPS916390 MZO916323:MZO916390 NJK916323:NJK916390 NTG916323:NTG916390 ODC916323:ODC916390 OMY916323:OMY916390 OWU916323:OWU916390 PGQ916323:PGQ916390 PQM916323:PQM916390 QAI916323:QAI916390 QKE916323:QKE916390 QUA916323:QUA916390 RDW916323:RDW916390 RNS916323:RNS916390 RXO916323:RXO916390 SHK916323:SHK916390 SRG916323:SRG916390 TBC916323:TBC916390 TKY916323:TKY916390 TUU916323:TUU916390 UEQ916323:UEQ916390 UOM916323:UOM916390 UYI916323:UYI916390 VIE916323:VIE916390 VSA916323:VSA916390 WBW916323:WBW916390 WLS916323:WLS916390 WVO916323:WVO916390 G981859:G981926 JC981859:JC981926 SY981859:SY981926 ACU981859:ACU981926 AMQ981859:AMQ981926 AWM981859:AWM981926 BGI981859:BGI981926 BQE981859:BQE981926 CAA981859:CAA981926 CJW981859:CJW981926 CTS981859:CTS981926 DDO981859:DDO981926 DNK981859:DNK981926 DXG981859:DXG981926 EHC981859:EHC981926 EQY981859:EQY981926 FAU981859:FAU981926 FKQ981859:FKQ981926 FUM981859:FUM981926 GEI981859:GEI981926 GOE981859:GOE981926 GYA981859:GYA981926 HHW981859:HHW981926 HRS981859:HRS981926 IBO981859:IBO981926 ILK981859:ILK981926 IVG981859:IVG981926 JFC981859:JFC981926 JOY981859:JOY981926 JYU981859:JYU981926 KIQ981859:KIQ981926 KSM981859:KSM981926 LCI981859:LCI981926 LME981859:LME981926 LWA981859:LWA981926 MFW981859:MFW981926 MPS981859:MPS981926 MZO981859:MZO981926 NJK981859:NJK981926 NTG981859:NTG981926 ODC981859:ODC981926 OMY981859:OMY981926 OWU981859:OWU981926 PGQ981859:PGQ981926 PQM981859:PQM981926 QAI981859:QAI981926 QKE981859:QKE981926 QUA981859:QUA981926 RDW981859:RDW981926 RNS981859:RNS981926 RXO981859:RXO981926 SHK981859:SHK981926 SRG981859:SRG981926 TBC981859:TBC981926 TKY981859:TKY981926 TUU981859:TUU981926 UEQ981859:UEQ981926 UOM981859:UOM981926 UYI981859:UYI981926 VIE981859:VIE981926 VSA981859:VSA981926 WBW981859:WBW981926 WLS981859:WLS981926 WVO981859:WVO981926 G1047395:G1047462 JC1047395:JC1047462 SY1047395:SY1047462 ACU1047395:ACU1047462 AMQ1047395:AMQ1047462 AWM1047395:AWM1047462 BGI1047395:BGI1047462 BQE1047395:BQE1047462 CAA1047395:CAA1047462 CJW1047395:CJW1047462 CTS1047395:CTS1047462 DDO1047395:DDO1047462 DNK1047395:DNK1047462 DXG1047395:DXG1047462 EHC1047395:EHC1047462 EQY1047395:EQY1047462 FAU1047395:FAU1047462 FKQ1047395:FKQ1047462 FUM1047395:FUM1047462 GEI1047395:GEI1047462 GOE1047395:GOE1047462 GYA1047395:GYA1047462 HHW1047395:HHW1047462 HRS1047395:HRS1047462 IBO1047395:IBO1047462 ILK1047395:ILK1047462 IVG1047395:IVG1047462 JFC1047395:JFC1047462 JOY1047395:JOY1047462 JYU1047395:JYU1047462 KIQ1047395:KIQ1047462 KSM1047395:KSM1047462 LCI1047395:LCI1047462 LME1047395:LME1047462 LWA1047395:LWA1047462 MFW1047395:MFW1047462 MPS1047395:MPS1047462 MZO1047395:MZO1047462 NJK1047395:NJK1047462 NTG1047395:NTG1047462 ODC1047395:ODC1047462 OMY1047395:OMY1047462 OWU1047395:OWU1047462 PGQ1047395:PGQ1047462 PQM1047395:PQM1047462 QAI1047395:QAI1047462 QKE1047395:QKE1047462 QUA1047395:QUA1047462 RDW1047395:RDW1047462 RNS1047395:RNS1047462 RXO1047395:RXO1047462 SHK1047395:SHK1047462 SRG1047395:SRG1047462 TBC1047395:TBC1047462 TKY1047395:TKY1047462 TUU1047395:TUU1047462 UEQ1047395:UEQ1047462 UOM1047395:UOM1047462 UYI1047395:UYI1047462 VIE1047395:VIE1047462 VSA1047395:VSA1047462 WBW1047395:WBW1047462 WLS1047395:WLS1047462 WVO1047395:WVO1047462 WVO983034:WVO983105 G65530:G65601 JC65530:JC65601 SY65530:SY65601 ACU65530:ACU65601 AMQ65530:AMQ65601 AWM65530:AWM65601 BGI65530:BGI65601 BQE65530:BQE65601 CAA65530:CAA65601 CJW65530:CJW65601 CTS65530:CTS65601 DDO65530:DDO65601 DNK65530:DNK65601 DXG65530:DXG65601 EHC65530:EHC65601 EQY65530:EQY65601 FAU65530:FAU65601 FKQ65530:FKQ65601 FUM65530:FUM65601 GEI65530:GEI65601 GOE65530:GOE65601 GYA65530:GYA65601 HHW65530:HHW65601 HRS65530:HRS65601 IBO65530:IBO65601 ILK65530:ILK65601 IVG65530:IVG65601 JFC65530:JFC65601 JOY65530:JOY65601 JYU65530:JYU65601 KIQ65530:KIQ65601 KSM65530:KSM65601 LCI65530:LCI65601 LME65530:LME65601 LWA65530:LWA65601 MFW65530:MFW65601 MPS65530:MPS65601 MZO65530:MZO65601 NJK65530:NJK65601 NTG65530:NTG65601 ODC65530:ODC65601 OMY65530:OMY65601 OWU65530:OWU65601 PGQ65530:PGQ65601 PQM65530:PQM65601 QAI65530:QAI65601 QKE65530:QKE65601 QUA65530:QUA65601 RDW65530:RDW65601 RNS65530:RNS65601 RXO65530:RXO65601 SHK65530:SHK65601 SRG65530:SRG65601 TBC65530:TBC65601 TKY65530:TKY65601 TUU65530:TUU65601 UEQ65530:UEQ65601 UOM65530:UOM65601 UYI65530:UYI65601 VIE65530:VIE65601 VSA65530:VSA65601 WBW65530:WBW65601 WLS65530:WLS65601 WVO65530:WVO65601 G131066:G131137 JC131066:JC131137 SY131066:SY131137 ACU131066:ACU131137 AMQ131066:AMQ131137 AWM131066:AWM131137 BGI131066:BGI131137 BQE131066:BQE131137 CAA131066:CAA131137 CJW131066:CJW131137 CTS131066:CTS131137 DDO131066:DDO131137 DNK131066:DNK131137 DXG131066:DXG131137 EHC131066:EHC131137 EQY131066:EQY131137 FAU131066:FAU131137 FKQ131066:FKQ131137 FUM131066:FUM131137 GEI131066:GEI131137 GOE131066:GOE131137 GYA131066:GYA131137 HHW131066:HHW131137 HRS131066:HRS131137 IBO131066:IBO131137 ILK131066:ILK131137 IVG131066:IVG131137 JFC131066:JFC131137 JOY131066:JOY131137 JYU131066:JYU131137 KIQ131066:KIQ131137 KSM131066:KSM131137 LCI131066:LCI131137 LME131066:LME131137 LWA131066:LWA131137 MFW131066:MFW131137 MPS131066:MPS131137 MZO131066:MZO131137 NJK131066:NJK131137 NTG131066:NTG131137 ODC131066:ODC131137 OMY131066:OMY131137 OWU131066:OWU131137 PGQ131066:PGQ131137 PQM131066:PQM131137 QAI131066:QAI131137 QKE131066:QKE131137 QUA131066:QUA131137 RDW131066:RDW131137 RNS131066:RNS131137 RXO131066:RXO131137 SHK131066:SHK131137 SRG131066:SRG131137 TBC131066:TBC131137 TKY131066:TKY131137 TUU131066:TUU131137 UEQ131066:UEQ131137 UOM131066:UOM131137 UYI131066:UYI131137 VIE131066:VIE131137 VSA131066:VSA131137 WBW131066:WBW131137 WLS131066:WLS131137 WVO131066:WVO131137 G196602:G196673 JC196602:JC196673 SY196602:SY196673 ACU196602:ACU196673 AMQ196602:AMQ196673 AWM196602:AWM196673 BGI196602:BGI196673 BQE196602:BQE196673 CAA196602:CAA196673 CJW196602:CJW196673 CTS196602:CTS196673 DDO196602:DDO196673 DNK196602:DNK196673 DXG196602:DXG196673 EHC196602:EHC196673 EQY196602:EQY196673 FAU196602:FAU196673 FKQ196602:FKQ196673 FUM196602:FUM196673 GEI196602:GEI196673 GOE196602:GOE196673 GYA196602:GYA196673 HHW196602:HHW196673 HRS196602:HRS196673 IBO196602:IBO196673 ILK196602:ILK196673 IVG196602:IVG196673 JFC196602:JFC196673 JOY196602:JOY196673 JYU196602:JYU196673 KIQ196602:KIQ196673 KSM196602:KSM196673 LCI196602:LCI196673 LME196602:LME196673 LWA196602:LWA196673 MFW196602:MFW196673 MPS196602:MPS196673 MZO196602:MZO196673 NJK196602:NJK196673 NTG196602:NTG196673 ODC196602:ODC196673 OMY196602:OMY196673 OWU196602:OWU196673 PGQ196602:PGQ196673 PQM196602:PQM196673 QAI196602:QAI196673 QKE196602:QKE196673 QUA196602:QUA196673 RDW196602:RDW196673 RNS196602:RNS196673 RXO196602:RXO196673 SHK196602:SHK196673 SRG196602:SRG196673 TBC196602:TBC196673 TKY196602:TKY196673 TUU196602:TUU196673 UEQ196602:UEQ196673 UOM196602:UOM196673 UYI196602:UYI196673 VIE196602:VIE196673 VSA196602:VSA196673 WBW196602:WBW196673 WLS196602:WLS196673 WVO196602:WVO196673 G262138:G262209 JC262138:JC262209 SY262138:SY262209 ACU262138:ACU262209 AMQ262138:AMQ262209 AWM262138:AWM262209 BGI262138:BGI262209 BQE262138:BQE262209 CAA262138:CAA262209 CJW262138:CJW262209 CTS262138:CTS262209 DDO262138:DDO262209 DNK262138:DNK262209 DXG262138:DXG262209 EHC262138:EHC262209 EQY262138:EQY262209 FAU262138:FAU262209 FKQ262138:FKQ262209 FUM262138:FUM262209 GEI262138:GEI262209 GOE262138:GOE262209 GYA262138:GYA262209 HHW262138:HHW262209 HRS262138:HRS262209 IBO262138:IBO262209 ILK262138:ILK262209 IVG262138:IVG262209 JFC262138:JFC262209 JOY262138:JOY262209 JYU262138:JYU262209 KIQ262138:KIQ262209 KSM262138:KSM262209 LCI262138:LCI262209 LME262138:LME262209 LWA262138:LWA262209 MFW262138:MFW262209 MPS262138:MPS262209 MZO262138:MZO262209 NJK262138:NJK262209 NTG262138:NTG262209 ODC262138:ODC262209 OMY262138:OMY262209 OWU262138:OWU262209 PGQ262138:PGQ262209 PQM262138:PQM262209 QAI262138:QAI262209 QKE262138:QKE262209 QUA262138:QUA262209 RDW262138:RDW262209 RNS262138:RNS262209 RXO262138:RXO262209 SHK262138:SHK262209 SRG262138:SRG262209 TBC262138:TBC262209 TKY262138:TKY262209 TUU262138:TUU262209 UEQ262138:UEQ262209 UOM262138:UOM262209 UYI262138:UYI262209 VIE262138:VIE262209 VSA262138:VSA262209 WBW262138:WBW262209 WLS262138:WLS262209 WVO262138:WVO262209 G327674:G327745 JC327674:JC327745 SY327674:SY327745 ACU327674:ACU327745 AMQ327674:AMQ327745 AWM327674:AWM327745 BGI327674:BGI327745 BQE327674:BQE327745 CAA327674:CAA327745 CJW327674:CJW327745 CTS327674:CTS327745 DDO327674:DDO327745 DNK327674:DNK327745 DXG327674:DXG327745 EHC327674:EHC327745 EQY327674:EQY327745 FAU327674:FAU327745 FKQ327674:FKQ327745 FUM327674:FUM327745 GEI327674:GEI327745 GOE327674:GOE327745 GYA327674:GYA327745 HHW327674:HHW327745 HRS327674:HRS327745 IBO327674:IBO327745 ILK327674:ILK327745 IVG327674:IVG327745 JFC327674:JFC327745 JOY327674:JOY327745 JYU327674:JYU327745 KIQ327674:KIQ327745 KSM327674:KSM327745 LCI327674:LCI327745 LME327674:LME327745 LWA327674:LWA327745 MFW327674:MFW327745 MPS327674:MPS327745 MZO327674:MZO327745 NJK327674:NJK327745 NTG327674:NTG327745 ODC327674:ODC327745 OMY327674:OMY327745 OWU327674:OWU327745 PGQ327674:PGQ327745 PQM327674:PQM327745 QAI327674:QAI327745 QKE327674:QKE327745 QUA327674:QUA327745 RDW327674:RDW327745 RNS327674:RNS327745 RXO327674:RXO327745 SHK327674:SHK327745 SRG327674:SRG327745 TBC327674:TBC327745 TKY327674:TKY327745 TUU327674:TUU327745 UEQ327674:UEQ327745 UOM327674:UOM327745 UYI327674:UYI327745 VIE327674:VIE327745 VSA327674:VSA327745 WBW327674:WBW327745 WLS327674:WLS327745 WVO327674:WVO327745 G393210:G393281 JC393210:JC393281 SY393210:SY393281 ACU393210:ACU393281 AMQ393210:AMQ393281 AWM393210:AWM393281 BGI393210:BGI393281 BQE393210:BQE393281 CAA393210:CAA393281 CJW393210:CJW393281 CTS393210:CTS393281 DDO393210:DDO393281 DNK393210:DNK393281 DXG393210:DXG393281 EHC393210:EHC393281 EQY393210:EQY393281 FAU393210:FAU393281 FKQ393210:FKQ393281 FUM393210:FUM393281 GEI393210:GEI393281 GOE393210:GOE393281 GYA393210:GYA393281 HHW393210:HHW393281 HRS393210:HRS393281 IBO393210:IBO393281 ILK393210:ILK393281 IVG393210:IVG393281 JFC393210:JFC393281 JOY393210:JOY393281 JYU393210:JYU393281 KIQ393210:KIQ393281 KSM393210:KSM393281 LCI393210:LCI393281 LME393210:LME393281 LWA393210:LWA393281 MFW393210:MFW393281 MPS393210:MPS393281 MZO393210:MZO393281 NJK393210:NJK393281 NTG393210:NTG393281 ODC393210:ODC393281 OMY393210:OMY393281 OWU393210:OWU393281 PGQ393210:PGQ393281 PQM393210:PQM393281 QAI393210:QAI393281 QKE393210:QKE393281 QUA393210:QUA393281 RDW393210:RDW393281 RNS393210:RNS393281 RXO393210:RXO393281 SHK393210:SHK393281 SRG393210:SRG393281 TBC393210:TBC393281 TKY393210:TKY393281 TUU393210:TUU393281 UEQ393210:UEQ393281 UOM393210:UOM393281 UYI393210:UYI393281 VIE393210:VIE393281 VSA393210:VSA393281 WBW393210:WBW393281 WLS393210:WLS393281 WVO393210:WVO393281 G458746:G458817 JC458746:JC458817 SY458746:SY458817 ACU458746:ACU458817 AMQ458746:AMQ458817 AWM458746:AWM458817 BGI458746:BGI458817 BQE458746:BQE458817 CAA458746:CAA458817 CJW458746:CJW458817 CTS458746:CTS458817 DDO458746:DDO458817 DNK458746:DNK458817 DXG458746:DXG458817 EHC458746:EHC458817 EQY458746:EQY458817 FAU458746:FAU458817 FKQ458746:FKQ458817 FUM458746:FUM458817 GEI458746:GEI458817 GOE458746:GOE458817 GYA458746:GYA458817 HHW458746:HHW458817 HRS458746:HRS458817 IBO458746:IBO458817 ILK458746:ILK458817 IVG458746:IVG458817 JFC458746:JFC458817 JOY458746:JOY458817 JYU458746:JYU458817 KIQ458746:KIQ458817 KSM458746:KSM458817 LCI458746:LCI458817 LME458746:LME458817 LWA458746:LWA458817 MFW458746:MFW458817 MPS458746:MPS458817 MZO458746:MZO458817 NJK458746:NJK458817 NTG458746:NTG458817 ODC458746:ODC458817 OMY458746:OMY458817 OWU458746:OWU458817 PGQ458746:PGQ458817 PQM458746:PQM458817 QAI458746:QAI458817 QKE458746:QKE458817 QUA458746:QUA458817 RDW458746:RDW458817 RNS458746:RNS458817 RXO458746:RXO458817 SHK458746:SHK458817 SRG458746:SRG458817 TBC458746:TBC458817 TKY458746:TKY458817 TUU458746:TUU458817 UEQ458746:UEQ458817 UOM458746:UOM458817 UYI458746:UYI458817 VIE458746:VIE458817 VSA458746:VSA458817 WBW458746:WBW458817 WLS458746:WLS458817 WVO458746:WVO458817 G524282:G524353 JC524282:JC524353 SY524282:SY524353 ACU524282:ACU524353 AMQ524282:AMQ524353 AWM524282:AWM524353 BGI524282:BGI524353 BQE524282:BQE524353 CAA524282:CAA524353 CJW524282:CJW524353 CTS524282:CTS524353 DDO524282:DDO524353 DNK524282:DNK524353 DXG524282:DXG524353 EHC524282:EHC524353 EQY524282:EQY524353 FAU524282:FAU524353 FKQ524282:FKQ524353 FUM524282:FUM524353 GEI524282:GEI524353 GOE524282:GOE524353 GYA524282:GYA524353 HHW524282:HHW524353 HRS524282:HRS524353 IBO524282:IBO524353 ILK524282:ILK524353 IVG524282:IVG524353 JFC524282:JFC524353 JOY524282:JOY524353 JYU524282:JYU524353 KIQ524282:KIQ524353 KSM524282:KSM524353 LCI524282:LCI524353 LME524282:LME524353 LWA524282:LWA524353 MFW524282:MFW524353 MPS524282:MPS524353 MZO524282:MZO524353 NJK524282:NJK524353 NTG524282:NTG524353 ODC524282:ODC524353 OMY524282:OMY524353 OWU524282:OWU524353 PGQ524282:PGQ524353 PQM524282:PQM524353 QAI524282:QAI524353 QKE524282:QKE524353 QUA524282:QUA524353 RDW524282:RDW524353 RNS524282:RNS524353 RXO524282:RXO524353 SHK524282:SHK524353 SRG524282:SRG524353 TBC524282:TBC524353 TKY524282:TKY524353 TUU524282:TUU524353 UEQ524282:UEQ524353 UOM524282:UOM524353 UYI524282:UYI524353 VIE524282:VIE524353 VSA524282:VSA524353 WBW524282:WBW524353 WLS524282:WLS524353 WVO524282:WVO524353 G589818:G589889 JC589818:JC589889 SY589818:SY589889 ACU589818:ACU589889 AMQ589818:AMQ589889 AWM589818:AWM589889 BGI589818:BGI589889 BQE589818:BQE589889 CAA589818:CAA589889 CJW589818:CJW589889 CTS589818:CTS589889 DDO589818:DDO589889 DNK589818:DNK589889 DXG589818:DXG589889 EHC589818:EHC589889 EQY589818:EQY589889 FAU589818:FAU589889 FKQ589818:FKQ589889 FUM589818:FUM589889 GEI589818:GEI589889 GOE589818:GOE589889 GYA589818:GYA589889 HHW589818:HHW589889 HRS589818:HRS589889 IBO589818:IBO589889 ILK589818:ILK589889 IVG589818:IVG589889 JFC589818:JFC589889 JOY589818:JOY589889 JYU589818:JYU589889 KIQ589818:KIQ589889 KSM589818:KSM589889 LCI589818:LCI589889 LME589818:LME589889 LWA589818:LWA589889 MFW589818:MFW589889 MPS589818:MPS589889 MZO589818:MZO589889 NJK589818:NJK589889 NTG589818:NTG589889 ODC589818:ODC589889 OMY589818:OMY589889 OWU589818:OWU589889 PGQ589818:PGQ589889 PQM589818:PQM589889 QAI589818:QAI589889 QKE589818:QKE589889 QUA589818:QUA589889 RDW589818:RDW589889 RNS589818:RNS589889 RXO589818:RXO589889 SHK589818:SHK589889 SRG589818:SRG589889 TBC589818:TBC589889 TKY589818:TKY589889 TUU589818:TUU589889 UEQ589818:UEQ589889 UOM589818:UOM589889 UYI589818:UYI589889 VIE589818:VIE589889 VSA589818:VSA589889 WBW589818:WBW589889 WLS589818:WLS589889 WVO589818:WVO589889 G655354:G655425 JC655354:JC655425 SY655354:SY655425 ACU655354:ACU655425 AMQ655354:AMQ655425 AWM655354:AWM655425 BGI655354:BGI655425 BQE655354:BQE655425 CAA655354:CAA655425 CJW655354:CJW655425 CTS655354:CTS655425 DDO655354:DDO655425 DNK655354:DNK655425 DXG655354:DXG655425 EHC655354:EHC655425 EQY655354:EQY655425 FAU655354:FAU655425 FKQ655354:FKQ655425 FUM655354:FUM655425 GEI655354:GEI655425 GOE655354:GOE655425 GYA655354:GYA655425 HHW655354:HHW655425 HRS655354:HRS655425 IBO655354:IBO655425 ILK655354:ILK655425 IVG655354:IVG655425 JFC655354:JFC655425 JOY655354:JOY655425 JYU655354:JYU655425 KIQ655354:KIQ655425 KSM655354:KSM655425 LCI655354:LCI655425 LME655354:LME655425 LWA655354:LWA655425 MFW655354:MFW655425 MPS655354:MPS655425 MZO655354:MZO655425 NJK655354:NJK655425 NTG655354:NTG655425 ODC655354:ODC655425 OMY655354:OMY655425 OWU655354:OWU655425 PGQ655354:PGQ655425 PQM655354:PQM655425 QAI655354:QAI655425 QKE655354:QKE655425 QUA655354:QUA655425 RDW655354:RDW655425 RNS655354:RNS655425 RXO655354:RXO655425 SHK655354:SHK655425 SRG655354:SRG655425 TBC655354:TBC655425 TKY655354:TKY655425 TUU655354:TUU655425 UEQ655354:UEQ655425 UOM655354:UOM655425 UYI655354:UYI655425 VIE655354:VIE655425 VSA655354:VSA655425 WBW655354:WBW655425 WLS655354:WLS655425 WVO655354:WVO655425 G720890:G720961 JC720890:JC720961 SY720890:SY720961 ACU720890:ACU720961 AMQ720890:AMQ720961 AWM720890:AWM720961 BGI720890:BGI720961 BQE720890:BQE720961 CAA720890:CAA720961 CJW720890:CJW720961 CTS720890:CTS720961 DDO720890:DDO720961 DNK720890:DNK720961 DXG720890:DXG720961 EHC720890:EHC720961 EQY720890:EQY720961 FAU720890:FAU720961 FKQ720890:FKQ720961 FUM720890:FUM720961 GEI720890:GEI720961 GOE720890:GOE720961 GYA720890:GYA720961 HHW720890:HHW720961 HRS720890:HRS720961 IBO720890:IBO720961 ILK720890:ILK720961 IVG720890:IVG720961 JFC720890:JFC720961 JOY720890:JOY720961 JYU720890:JYU720961 KIQ720890:KIQ720961 KSM720890:KSM720961 LCI720890:LCI720961 LME720890:LME720961 LWA720890:LWA720961 MFW720890:MFW720961 MPS720890:MPS720961 MZO720890:MZO720961 NJK720890:NJK720961 NTG720890:NTG720961 ODC720890:ODC720961 OMY720890:OMY720961 OWU720890:OWU720961 PGQ720890:PGQ720961 PQM720890:PQM720961 QAI720890:QAI720961 QKE720890:QKE720961 QUA720890:QUA720961 RDW720890:RDW720961 RNS720890:RNS720961 RXO720890:RXO720961 SHK720890:SHK720961 SRG720890:SRG720961 TBC720890:TBC720961 TKY720890:TKY720961 TUU720890:TUU720961 UEQ720890:UEQ720961 UOM720890:UOM720961 UYI720890:UYI720961 VIE720890:VIE720961 VSA720890:VSA720961 WBW720890:WBW720961 WLS720890:WLS720961 WVO720890:WVO720961 G786426:G786497 JC786426:JC786497 SY786426:SY786497 ACU786426:ACU786497 AMQ786426:AMQ786497 AWM786426:AWM786497 BGI786426:BGI786497 BQE786426:BQE786497 CAA786426:CAA786497 CJW786426:CJW786497 CTS786426:CTS786497 DDO786426:DDO786497 DNK786426:DNK786497 DXG786426:DXG786497 EHC786426:EHC786497 EQY786426:EQY786497 FAU786426:FAU786497 FKQ786426:FKQ786497 FUM786426:FUM786497 GEI786426:GEI786497 GOE786426:GOE786497 GYA786426:GYA786497 HHW786426:HHW786497 HRS786426:HRS786497 IBO786426:IBO786497 ILK786426:ILK786497 IVG786426:IVG786497 JFC786426:JFC786497 JOY786426:JOY786497 JYU786426:JYU786497 KIQ786426:KIQ786497 KSM786426:KSM786497 LCI786426:LCI786497 LME786426:LME786497 LWA786426:LWA786497 MFW786426:MFW786497 MPS786426:MPS786497 MZO786426:MZO786497 NJK786426:NJK786497 NTG786426:NTG786497 ODC786426:ODC786497 OMY786426:OMY786497 OWU786426:OWU786497 PGQ786426:PGQ786497 PQM786426:PQM786497 QAI786426:QAI786497 QKE786426:QKE786497 QUA786426:QUA786497 RDW786426:RDW786497 RNS786426:RNS786497 RXO786426:RXO786497 SHK786426:SHK786497 SRG786426:SRG786497 TBC786426:TBC786497 TKY786426:TKY786497 TUU786426:TUU786497 UEQ786426:UEQ786497 UOM786426:UOM786497 UYI786426:UYI786497 VIE786426:VIE786497 VSA786426:VSA786497 WBW786426:WBW786497 WLS786426:WLS786497 WVO786426:WVO786497 G851962:G852033 JC851962:JC852033 SY851962:SY852033 ACU851962:ACU852033 AMQ851962:AMQ852033 AWM851962:AWM852033 BGI851962:BGI852033 BQE851962:BQE852033 CAA851962:CAA852033 CJW851962:CJW852033 CTS851962:CTS852033 DDO851962:DDO852033 DNK851962:DNK852033 DXG851962:DXG852033 EHC851962:EHC852033 EQY851962:EQY852033 FAU851962:FAU852033 FKQ851962:FKQ852033 FUM851962:FUM852033 GEI851962:GEI852033 GOE851962:GOE852033 GYA851962:GYA852033 HHW851962:HHW852033 HRS851962:HRS852033 IBO851962:IBO852033 ILK851962:ILK852033 IVG851962:IVG852033 JFC851962:JFC852033 JOY851962:JOY852033 JYU851962:JYU852033 KIQ851962:KIQ852033 KSM851962:KSM852033 LCI851962:LCI852033 LME851962:LME852033 LWA851962:LWA852033 MFW851962:MFW852033 MPS851962:MPS852033 MZO851962:MZO852033 NJK851962:NJK852033 NTG851962:NTG852033 ODC851962:ODC852033 OMY851962:OMY852033 OWU851962:OWU852033 PGQ851962:PGQ852033 PQM851962:PQM852033 QAI851962:QAI852033 QKE851962:QKE852033 QUA851962:QUA852033 RDW851962:RDW852033 RNS851962:RNS852033 RXO851962:RXO852033 SHK851962:SHK852033 SRG851962:SRG852033 TBC851962:TBC852033 TKY851962:TKY852033 TUU851962:TUU852033 UEQ851962:UEQ852033 UOM851962:UOM852033 UYI851962:UYI852033 VIE851962:VIE852033 VSA851962:VSA852033 WBW851962:WBW852033 WLS851962:WLS852033 WVO851962:WVO852033 G917498:G917569 JC917498:JC917569 SY917498:SY917569 ACU917498:ACU917569 AMQ917498:AMQ917569 AWM917498:AWM917569 BGI917498:BGI917569 BQE917498:BQE917569 CAA917498:CAA917569 CJW917498:CJW917569 CTS917498:CTS917569 DDO917498:DDO917569 DNK917498:DNK917569 DXG917498:DXG917569 EHC917498:EHC917569 EQY917498:EQY917569 FAU917498:FAU917569 FKQ917498:FKQ917569 FUM917498:FUM917569 GEI917498:GEI917569 GOE917498:GOE917569 GYA917498:GYA917569 HHW917498:HHW917569 HRS917498:HRS917569 IBO917498:IBO917569 ILK917498:ILK917569 IVG917498:IVG917569 JFC917498:JFC917569 JOY917498:JOY917569 JYU917498:JYU917569 KIQ917498:KIQ917569 KSM917498:KSM917569 LCI917498:LCI917569 LME917498:LME917569 LWA917498:LWA917569 MFW917498:MFW917569 MPS917498:MPS917569 MZO917498:MZO917569 NJK917498:NJK917569 NTG917498:NTG917569 ODC917498:ODC917569 OMY917498:OMY917569 OWU917498:OWU917569 PGQ917498:PGQ917569 PQM917498:PQM917569 QAI917498:QAI917569 QKE917498:QKE917569 QUA917498:QUA917569 RDW917498:RDW917569 RNS917498:RNS917569 RXO917498:RXO917569 SHK917498:SHK917569 SRG917498:SRG917569 TBC917498:TBC917569 TKY917498:TKY917569 TUU917498:TUU917569 UEQ917498:UEQ917569 UOM917498:UOM917569 UYI917498:UYI917569 VIE917498:VIE917569 VSA917498:VSA917569 WBW917498:WBW917569 WLS917498:WLS917569 WVO917498:WVO917569 G983034:G983105 JC983034:JC983105 SY983034:SY983105 ACU983034:ACU983105 AMQ983034:AMQ983105 AWM983034:AWM983105 BGI983034:BGI983105 BQE983034:BQE983105 CAA983034:CAA983105 CJW983034:CJW983105 CTS983034:CTS983105 DDO983034:DDO983105 DNK983034:DNK983105 DXG983034:DXG983105 EHC983034:EHC983105 EQY983034:EQY983105 FAU983034:FAU983105 FKQ983034:FKQ983105 FUM983034:FUM983105 GEI983034:GEI983105 GOE983034:GOE983105 GYA983034:GYA983105 HHW983034:HHW983105 HRS983034:HRS983105 IBO983034:IBO983105 ILK983034:ILK983105 IVG983034:IVG983105 JFC983034:JFC983105 JOY983034:JOY983105 JYU983034:JYU983105 KIQ983034:KIQ983105 KSM983034:KSM983105 LCI983034:LCI983105 LME983034:LME983105 LWA983034:LWA983105 MFW983034:MFW983105 MPS983034:MPS983105 MZO983034:MZO983105 NJK983034:NJK983105 NTG983034:NTG983105 ODC983034:ODC983105 OMY983034:OMY983105 OWU983034:OWU983105 PGQ983034:PGQ983105 PQM983034:PQM983105 QAI983034:QAI983105 QKE983034:QKE983105 QUA983034:QUA983105 RDW983034:RDW983105 RNS983034:RNS983105 RXO983034:RXO983105 SHK983034:SHK983105 SRG983034:SRG983105 TBC983034:TBC983105 TKY983034:TKY983105 TUU983034:TUU983105 UEQ983034:UEQ983105 UOM983034:UOM983105 UYI983034:UYI983105 VIE983034:VIE983105 VSA983034:VSA983105 WBW983034:WBW983105 WLS983034:WLS983105 JC2:JC65 WVO2:WVO65 WLS2:WLS65 WBW2:WBW65 VSA2:VSA65 VIE2:VIE65 UYI2:UYI65 UOM2:UOM65 UEQ2:UEQ65 TUU2:TUU65 TKY2:TKY65 TBC2:TBC65 SRG2:SRG65 SHK2:SHK65 RXO2:RXO65 RNS2:RNS65 RDW2:RDW65 QUA2:QUA65 QKE2:QKE65 QAI2:QAI65 PQM2:PQM65 PGQ2:PGQ65 OWU2:OWU65 OMY2:OMY65 ODC2:ODC65 NTG2:NTG65 NJK2:NJK65 MZO2:MZO65 MPS2:MPS65 MFW2:MFW65 LWA2:LWA65 LME2:LME65 LCI2:LCI65 KSM2:KSM65 KIQ2:KIQ65 JYU2:JYU65 JOY2:JOY65 JFC2:JFC65 IVG2:IVG65 ILK2:ILK65 IBO2:IBO65 HRS2:HRS65 HHW2:HHW65 GYA2:GYA65 GOE2:GOE65 GEI2:GEI65 FUM2:FUM65 FKQ2:FKQ65 FAU2:FAU65 EQY2:EQY65 EHC2:EHC65 DXG2:DXG65 DNK2:DNK65 DDO2:DDO65 CTS2:CTS65 CJW2:CJW65 CAA2:CAA65 BQE2:BQE65 BGI2:BGI65 AWM2:AWM65 AMQ2:AMQ65 ACU2:ACU65 SY2:SY65 G2:G492" xr:uid="{6855EE6F-EE9E-4D44-B4DD-2AD401676064}">
      <formula1>$AJ$2:$AJ$4</formula1>
    </dataValidation>
    <dataValidation type="list" allowBlank="1" showInputMessage="1" showErrorMessage="1" sqref="I64355:I64420 JE64355:JE64420 TA64355:TA64420 ACW64355:ACW64420 AMS64355:AMS64420 AWO64355:AWO64420 BGK64355:BGK64420 BQG64355:BQG64420 CAC64355:CAC64420 CJY64355:CJY64420 CTU64355:CTU64420 DDQ64355:DDQ64420 DNM64355:DNM64420 DXI64355:DXI64420 EHE64355:EHE64420 ERA64355:ERA64420 FAW64355:FAW64420 FKS64355:FKS64420 FUO64355:FUO64420 GEK64355:GEK64420 GOG64355:GOG64420 GYC64355:GYC64420 HHY64355:HHY64420 HRU64355:HRU64420 IBQ64355:IBQ64420 ILM64355:ILM64420 IVI64355:IVI64420 JFE64355:JFE64420 JPA64355:JPA64420 JYW64355:JYW64420 KIS64355:KIS64420 KSO64355:KSO64420 LCK64355:LCK64420 LMG64355:LMG64420 LWC64355:LWC64420 MFY64355:MFY64420 MPU64355:MPU64420 MZQ64355:MZQ64420 NJM64355:NJM64420 NTI64355:NTI64420 ODE64355:ODE64420 ONA64355:ONA64420 OWW64355:OWW64420 PGS64355:PGS64420 PQO64355:PQO64420 QAK64355:QAK64420 QKG64355:QKG64420 QUC64355:QUC64420 RDY64355:RDY64420 RNU64355:RNU64420 RXQ64355:RXQ64420 SHM64355:SHM64420 SRI64355:SRI64420 TBE64355:TBE64420 TLA64355:TLA64420 TUW64355:TUW64420 UES64355:UES64420 UOO64355:UOO64420 UYK64355:UYK64420 VIG64355:VIG64420 VSC64355:VSC64420 WBY64355:WBY64420 WLU64355:WLU64420 WVQ64355:WVQ64420 I129891:I129956 JE129891:JE129956 TA129891:TA129956 ACW129891:ACW129956 AMS129891:AMS129956 AWO129891:AWO129956 BGK129891:BGK129956 BQG129891:BQG129956 CAC129891:CAC129956 CJY129891:CJY129956 CTU129891:CTU129956 DDQ129891:DDQ129956 DNM129891:DNM129956 DXI129891:DXI129956 EHE129891:EHE129956 ERA129891:ERA129956 FAW129891:FAW129956 FKS129891:FKS129956 FUO129891:FUO129956 GEK129891:GEK129956 GOG129891:GOG129956 GYC129891:GYC129956 HHY129891:HHY129956 HRU129891:HRU129956 IBQ129891:IBQ129956 ILM129891:ILM129956 IVI129891:IVI129956 JFE129891:JFE129956 JPA129891:JPA129956 JYW129891:JYW129956 KIS129891:KIS129956 KSO129891:KSO129956 LCK129891:LCK129956 LMG129891:LMG129956 LWC129891:LWC129956 MFY129891:MFY129956 MPU129891:MPU129956 MZQ129891:MZQ129956 NJM129891:NJM129956 NTI129891:NTI129956 ODE129891:ODE129956 ONA129891:ONA129956 OWW129891:OWW129956 PGS129891:PGS129956 PQO129891:PQO129956 QAK129891:QAK129956 QKG129891:QKG129956 QUC129891:QUC129956 RDY129891:RDY129956 RNU129891:RNU129956 RXQ129891:RXQ129956 SHM129891:SHM129956 SRI129891:SRI129956 TBE129891:TBE129956 TLA129891:TLA129956 TUW129891:TUW129956 UES129891:UES129956 UOO129891:UOO129956 UYK129891:UYK129956 VIG129891:VIG129956 VSC129891:VSC129956 WBY129891:WBY129956 WLU129891:WLU129956 WVQ129891:WVQ129956 I195427:I195492 JE195427:JE195492 TA195427:TA195492 ACW195427:ACW195492 AMS195427:AMS195492 AWO195427:AWO195492 BGK195427:BGK195492 BQG195427:BQG195492 CAC195427:CAC195492 CJY195427:CJY195492 CTU195427:CTU195492 DDQ195427:DDQ195492 DNM195427:DNM195492 DXI195427:DXI195492 EHE195427:EHE195492 ERA195427:ERA195492 FAW195427:FAW195492 FKS195427:FKS195492 FUO195427:FUO195492 GEK195427:GEK195492 GOG195427:GOG195492 GYC195427:GYC195492 HHY195427:HHY195492 HRU195427:HRU195492 IBQ195427:IBQ195492 ILM195427:ILM195492 IVI195427:IVI195492 JFE195427:JFE195492 JPA195427:JPA195492 JYW195427:JYW195492 KIS195427:KIS195492 KSO195427:KSO195492 LCK195427:LCK195492 LMG195427:LMG195492 LWC195427:LWC195492 MFY195427:MFY195492 MPU195427:MPU195492 MZQ195427:MZQ195492 NJM195427:NJM195492 NTI195427:NTI195492 ODE195427:ODE195492 ONA195427:ONA195492 OWW195427:OWW195492 PGS195427:PGS195492 PQO195427:PQO195492 QAK195427:QAK195492 QKG195427:QKG195492 QUC195427:QUC195492 RDY195427:RDY195492 RNU195427:RNU195492 RXQ195427:RXQ195492 SHM195427:SHM195492 SRI195427:SRI195492 TBE195427:TBE195492 TLA195427:TLA195492 TUW195427:TUW195492 UES195427:UES195492 UOO195427:UOO195492 UYK195427:UYK195492 VIG195427:VIG195492 VSC195427:VSC195492 WBY195427:WBY195492 WLU195427:WLU195492 WVQ195427:WVQ195492 I260963:I261028 JE260963:JE261028 TA260963:TA261028 ACW260963:ACW261028 AMS260963:AMS261028 AWO260963:AWO261028 BGK260963:BGK261028 BQG260963:BQG261028 CAC260963:CAC261028 CJY260963:CJY261028 CTU260963:CTU261028 DDQ260963:DDQ261028 DNM260963:DNM261028 DXI260963:DXI261028 EHE260963:EHE261028 ERA260963:ERA261028 FAW260963:FAW261028 FKS260963:FKS261028 FUO260963:FUO261028 GEK260963:GEK261028 GOG260963:GOG261028 GYC260963:GYC261028 HHY260963:HHY261028 HRU260963:HRU261028 IBQ260963:IBQ261028 ILM260963:ILM261028 IVI260963:IVI261028 JFE260963:JFE261028 JPA260963:JPA261028 JYW260963:JYW261028 KIS260963:KIS261028 KSO260963:KSO261028 LCK260963:LCK261028 LMG260963:LMG261028 LWC260963:LWC261028 MFY260963:MFY261028 MPU260963:MPU261028 MZQ260963:MZQ261028 NJM260963:NJM261028 NTI260963:NTI261028 ODE260963:ODE261028 ONA260963:ONA261028 OWW260963:OWW261028 PGS260963:PGS261028 PQO260963:PQO261028 QAK260963:QAK261028 QKG260963:QKG261028 QUC260963:QUC261028 RDY260963:RDY261028 RNU260963:RNU261028 RXQ260963:RXQ261028 SHM260963:SHM261028 SRI260963:SRI261028 TBE260963:TBE261028 TLA260963:TLA261028 TUW260963:TUW261028 UES260963:UES261028 UOO260963:UOO261028 UYK260963:UYK261028 VIG260963:VIG261028 VSC260963:VSC261028 WBY260963:WBY261028 WLU260963:WLU261028 WVQ260963:WVQ261028 I326499:I326564 JE326499:JE326564 TA326499:TA326564 ACW326499:ACW326564 AMS326499:AMS326564 AWO326499:AWO326564 BGK326499:BGK326564 BQG326499:BQG326564 CAC326499:CAC326564 CJY326499:CJY326564 CTU326499:CTU326564 DDQ326499:DDQ326564 DNM326499:DNM326564 DXI326499:DXI326564 EHE326499:EHE326564 ERA326499:ERA326564 FAW326499:FAW326564 FKS326499:FKS326564 FUO326499:FUO326564 GEK326499:GEK326564 GOG326499:GOG326564 GYC326499:GYC326564 HHY326499:HHY326564 HRU326499:HRU326564 IBQ326499:IBQ326564 ILM326499:ILM326564 IVI326499:IVI326564 JFE326499:JFE326564 JPA326499:JPA326564 JYW326499:JYW326564 KIS326499:KIS326564 KSO326499:KSO326564 LCK326499:LCK326564 LMG326499:LMG326564 LWC326499:LWC326564 MFY326499:MFY326564 MPU326499:MPU326564 MZQ326499:MZQ326564 NJM326499:NJM326564 NTI326499:NTI326564 ODE326499:ODE326564 ONA326499:ONA326564 OWW326499:OWW326564 PGS326499:PGS326564 PQO326499:PQO326564 QAK326499:QAK326564 QKG326499:QKG326564 QUC326499:QUC326564 RDY326499:RDY326564 RNU326499:RNU326564 RXQ326499:RXQ326564 SHM326499:SHM326564 SRI326499:SRI326564 TBE326499:TBE326564 TLA326499:TLA326564 TUW326499:TUW326564 UES326499:UES326564 UOO326499:UOO326564 UYK326499:UYK326564 VIG326499:VIG326564 VSC326499:VSC326564 WBY326499:WBY326564 WLU326499:WLU326564 WVQ326499:WVQ326564 I392035:I392100 JE392035:JE392100 TA392035:TA392100 ACW392035:ACW392100 AMS392035:AMS392100 AWO392035:AWO392100 BGK392035:BGK392100 BQG392035:BQG392100 CAC392035:CAC392100 CJY392035:CJY392100 CTU392035:CTU392100 DDQ392035:DDQ392100 DNM392035:DNM392100 DXI392035:DXI392100 EHE392035:EHE392100 ERA392035:ERA392100 FAW392035:FAW392100 FKS392035:FKS392100 FUO392035:FUO392100 GEK392035:GEK392100 GOG392035:GOG392100 GYC392035:GYC392100 HHY392035:HHY392100 HRU392035:HRU392100 IBQ392035:IBQ392100 ILM392035:ILM392100 IVI392035:IVI392100 JFE392035:JFE392100 JPA392035:JPA392100 JYW392035:JYW392100 KIS392035:KIS392100 KSO392035:KSO392100 LCK392035:LCK392100 LMG392035:LMG392100 LWC392035:LWC392100 MFY392035:MFY392100 MPU392035:MPU392100 MZQ392035:MZQ392100 NJM392035:NJM392100 NTI392035:NTI392100 ODE392035:ODE392100 ONA392035:ONA392100 OWW392035:OWW392100 PGS392035:PGS392100 PQO392035:PQO392100 QAK392035:QAK392100 QKG392035:QKG392100 QUC392035:QUC392100 RDY392035:RDY392100 RNU392035:RNU392100 RXQ392035:RXQ392100 SHM392035:SHM392100 SRI392035:SRI392100 TBE392035:TBE392100 TLA392035:TLA392100 TUW392035:TUW392100 UES392035:UES392100 UOO392035:UOO392100 UYK392035:UYK392100 VIG392035:VIG392100 VSC392035:VSC392100 WBY392035:WBY392100 WLU392035:WLU392100 WVQ392035:WVQ392100 I457571:I457636 JE457571:JE457636 TA457571:TA457636 ACW457571:ACW457636 AMS457571:AMS457636 AWO457571:AWO457636 BGK457571:BGK457636 BQG457571:BQG457636 CAC457571:CAC457636 CJY457571:CJY457636 CTU457571:CTU457636 DDQ457571:DDQ457636 DNM457571:DNM457636 DXI457571:DXI457636 EHE457571:EHE457636 ERA457571:ERA457636 FAW457571:FAW457636 FKS457571:FKS457636 FUO457571:FUO457636 GEK457571:GEK457636 GOG457571:GOG457636 GYC457571:GYC457636 HHY457571:HHY457636 HRU457571:HRU457636 IBQ457571:IBQ457636 ILM457571:ILM457636 IVI457571:IVI457636 JFE457571:JFE457636 JPA457571:JPA457636 JYW457571:JYW457636 KIS457571:KIS457636 KSO457571:KSO457636 LCK457571:LCK457636 LMG457571:LMG457636 LWC457571:LWC457636 MFY457571:MFY457636 MPU457571:MPU457636 MZQ457571:MZQ457636 NJM457571:NJM457636 NTI457571:NTI457636 ODE457571:ODE457636 ONA457571:ONA457636 OWW457571:OWW457636 PGS457571:PGS457636 PQO457571:PQO457636 QAK457571:QAK457636 QKG457571:QKG457636 QUC457571:QUC457636 RDY457571:RDY457636 RNU457571:RNU457636 RXQ457571:RXQ457636 SHM457571:SHM457636 SRI457571:SRI457636 TBE457571:TBE457636 TLA457571:TLA457636 TUW457571:TUW457636 UES457571:UES457636 UOO457571:UOO457636 UYK457571:UYK457636 VIG457571:VIG457636 VSC457571:VSC457636 WBY457571:WBY457636 WLU457571:WLU457636 WVQ457571:WVQ457636 I523107:I523172 JE523107:JE523172 TA523107:TA523172 ACW523107:ACW523172 AMS523107:AMS523172 AWO523107:AWO523172 BGK523107:BGK523172 BQG523107:BQG523172 CAC523107:CAC523172 CJY523107:CJY523172 CTU523107:CTU523172 DDQ523107:DDQ523172 DNM523107:DNM523172 DXI523107:DXI523172 EHE523107:EHE523172 ERA523107:ERA523172 FAW523107:FAW523172 FKS523107:FKS523172 FUO523107:FUO523172 GEK523107:GEK523172 GOG523107:GOG523172 GYC523107:GYC523172 HHY523107:HHY523172 HRU523107:HRU523172 IBQ523107:IBQ523172 ILM523107:ILM523172 IVI523107:IVI523172 JFE523107:JFE523172 JPA523107:JPA523172 JYW523107:JYW523172 KIS523107:KIS523172 KSO523107:KSO523172 LCK523107:LCK523172 LMG523107:LMG523172 LWC523107:LWC523172 MFY523107:MFY523172 MPU523107:MPU523172 MZQ523107:MZQ523172 NJM523107:NJM523172 NTI523107:NTI523172 ODE523107:ODE523172 ONA523107:ONA523172 OWW523107:OWW523172 PGS523107:PGS523172 PQO523107:PQO523172 QAK523107:QAK523172 QKG523107:QKG523172 QUC523107:QUC523172 RDY523107:RDY523172 RNU523107:RNU523172 RXQ523107:RXQ523172 SHM523107:SHM523172 SRI523107:SRI523172 TBE523107:TBE523172 TLA523107:TLA523172 TUW523107:TUW523172 UES523107:UES523172 UOO523107:UOO523172 UYK523107:UYK523172 VIG523107:VIG523172 VSC523107:VSC523172 WBY523107:WBY523172 WLU523107:WLU523172 WVQ523107:WVQ523172 I588643:I588708 JE588643:JE588708 TA588643:TA588708 ACW588643:ACW588708 AMS588643:AMS588708 AWO588643:AWO588708 BGK588643:BGK588708 BQG588643:BQG588708 CAC588643:CAC588708 CJY588643:CJY588708 CTU588643:CTU588708 DDQ588643:DDQ588708 DNM588643:DNM588708 DXI588643:DXI588708 EHE588643:EHE588708 ERA588643:ERA588708 FAW588643:FAW588708 FKS588643:FKS588708 FUO588643:FUO588708 GEK588643:GEK588708 GOG588643:GOG588708 GYC588643:GYC588708 HHY588643:HHY588708 HRU588643:HRU588708 IBQ588643:IBQ588708 ILM588643:ILM588708 IVI588643:IVI588708 JFE588643:JFE588708 JPA588643:JPA588708 JYW588643:JYW588708 KIS588643:KIS588708 KSO588643:KSO588708 LCK588643:LCK588708 LMG588643:LMG588708 LWC588643:LWC588708 MFY588643:MFY588708 MPU588643:MPU588708 MZQ588643:MZQ588708 NJM588643:NJM588708 NTI588643:NTI588708 ODE588643:ODE588708 ONA588643:ONA588708 OWW588643:OWW588708 PGS588643:PGS588708 PQO588643:PQO588708 QAK588643:QAK588708 QKG588643:QKG588708 QUC588643:QUC588708 RDY588643:RDY588708 RNU588643:RNU588708 RXQ588643:RXQ588708 SHM588643:SHM588708 SRI588643:SRI588708 TBE588643:TBE588708 TLA588643:TLA588708 TUW588643:TUW588708 UES588643:UES588708 UOO588643:UOO588708 UYK588643:UYK588708 VIG588643:VIG588708 VSC588643:VSC588708 WBY588643:WBY588708 WLU588643:WLU588708 WVQ588643:WVQ588708 I654179:I654244 JE654179:JE654244 TA654179:TA654244 ACW654179:ACW654244 AMS654179:AMS654244 AWO654179:AWO654244 BGK654179:BGK654244 BQG654179:BQG654244 CAC654179:CAC654244 CJY654179:CJY654244 CTU654179:CTU654244 DDQ654179:DDQ654244 DNM654179:DNM654244 DXI654179:DXI654244 EHE654179:EHE654244 ERA654179:ERA654244 FAW654179:FAW654244 FKS654179:FKS654244 FUO654179:FUO654244 GEK654179:GEK654244 GOG654179:GOG654244 GYC654179:GYC654244 HHY654179:HHY654244 HRU654179:HRU654244 IBQ654179:IBQ654244 ILM654179:ILM654244 IVI654179:IVI654244 JFE654179:JFE654244 JPA654179:JPA654244 JYW654179:JYW654244 KIS654179:KIS654244 KSO654179:KSO654244 LCK654179:LCK654244 LMG654179:LMG654244 LWC654179:LWC654244 MFY654179:MFY654244 MPU654179:MPU654244 MZQ654179:MZQ654244 NJM654179:NJM654244 NTI654179:NTI654244 ODE654179:ODE654244 ONA654179:ONA654244 OWW654179:OWW654244 PGS654179:PGS654244 PQO654179:PQO654244 QAK654179:QAK654244 QKG654179:QKG654244 QUC654179:QUC654244 RDY654179:RDY654244 RNU654179:RNU654244 RXQ654179:RXQ654244 SHM654179:SHM654244 SRI654179:SRI654244 TBE654179:TBE654244 TLA654179:TLA654244 TUW654179:TUW654244 UES654179:UES654244 UOO654179:UOO654244 UYK654179:UYK654244 VIG654179:VIG654244 VSC654179:VSC654244 WBY654179:WBY654244 WLU654179:WLU654244 WVQ654179:WVQ654244 I719715:I719780 JE719715:JE719780 TA719715:TA719780 ACW719715:ACW719780 AMS719715:AMS719780 AWO719715:AWO719780 BGK719715:BGK719780 BQG719715:BQG719780 CAC719715:CAC719780 CJY719715:CJY719780 CTU719715:CTU719780 DDQ719715:DDQ719780 DNM719715:DNM719780 DXI719715:DXI719780 EHE719715:EHE719780 ERA719715:ERA719780 FAW719715:FAW719780 FKS719715:FKS719780 FUO719715:FUO719780 GEK719715:GEK719780 GOG719715:GOG719780 GYC719715:GYC719780 HHY719715:HHY719780 HRU719715:HRU719780 IBQ719715:IBQ719780 ILM719715:ILM719780 IVI719715:IVI719780 JFE719715:JFE719780 JPA719715:JPA719780 JYW719715:JYW719780 KIS719715:KIS719780 KSO719715:KSO719780 LCK719715:LCK719780 LMG719715:LMG719780 LWC719715:LWC719780 MFY719715:MFY719780 MPU719715:MPU719780 MZQ719715:MZQ719780 NJM719715:NJM719780 NTI719715:NTI719780 ODE719715:ODE719780 ONA719715:ONA719780 OWW719715:OWW719780 PGS719715:PGS719780 PQO719715:PQO719780 QAK719715:QAK719780 QKG719715:QKG719780 QUC719715:QUC719780 RDY719715:RDY719780 RNU719715:RNU719780 RXQ719715:RXQ719780 SHM719715:SHM719780 SRI719715:SRI719780 TBE719715:TBE719780 TLA719715:TLA719780 TUW719715:TUW719780 UES719715:UES719780 UOO719715:UOO719780 UYK719715:UYK719780 VIG719715:VIG719780 VSC719715:VSC719780 WBY719715:WBY719780 WLU719715:WLU719780 WVQ719715:WVQ719780 I785251:I785316 JE785251:JE785316 TA785251:TA785316 ACW785251:ACW785316 AMS785251:AMS785316 AWO785251:AWO785316 BGK785251:BGK785316 BQG785251:BQG785316 CAC785251:CAC785316 CJY785251:CJY785316 CTU785251:CTU785316 DDQ785251:DDQ785316 DNM785251:DNM785316 DXI785251:DXI785316 EHE785251:EHE785316 ERA785251:ERA785316 FAW785251:FAW785316 FKS785251:FKS785316 FUO785251:FUO785316 GEK785251:GEK785316 GOG785251:GOG785316 GYC785251:GYC785316 HHY785251:HHY785316 HRU785251:HRU785316 IBQ785251:IBQ785316 ILM785251:ILM785316 IVI785251:IVI785316 JFE785251:JFE785316 JPA785251:JPA785316 JYW785251:JYW785316 KIS785251:KIS785316 KSO785251:KSO785316 LCK785251:LCK785316 LMG785251:LMG785316 LWC785251:LWC785316 MFY785251:MFY785316 MPU785251:MPU785316 MZQ785251:MZQ785316 NJM785251:NJM785316 NTI785251:NTI785316 ODE785251:ODE785316 ONA785251:ONA785316 OWW785251:OWW785316 PGS785251:PGS785316 PQO785251:PQO785316 QAK785251:QAK785316 QKG785251:QKG785316 QUC785251:QUC785316 RDY785251:RDY785316 RNU785251:RNU785316 RXQ785251:RXQ785316 SHM785251:SHM785316 SRI785251:SRI785316 TBE785251:TBE785316 TLA785251:TLA785316 TUW785251:TUW785316 UES785251:UES785316 UOO785251:UOO785316 UYK785251:UYK785316 VIG785251:VIG785316 VSC785251:VSC785316 WBY785251:WBY785316 WLU785251:WLU785316 WVQ785251:WVQ785316 I850787:I850852 JE850787:JE850852 TA850787:TA850852 ACW850787:ACW850852 AMS850787:AMS850852 AWO850787:AWO850852 BGK850787:BGK850852 BQG850787:BQG850852 CAC850787:CAC850852 CJY850787:CJY850852 CTU850787:CTU850852 DDQ850787:DDQ850852 DNM850787:DNM850852 DXI850787:DXI850852 EHE850787:EHE850852 ERA850787:ERA850852 FAW850787:FAW850852 FKS850787:FKS850852 FUO850787:FUO850852 GEK850787:GEK850852 GOG850787:GOG850852 GYC850787:GYC850852 HHY850787:HHY850852 HRU850787:HRU850852 IBQ850787:IBQ850852 ILM850787:ILM850852 IVI850787:IVI850852 JFE850787:JFE850852 JPA850787:JPA850852 JYW850787:JYW850852 KIS850787:KIS850852 KSO850787:KSO850852 LCK850787:LCK850852 LMG850787:LMG850852 LWC850787:LWC850852 MFY850787:MFY850852 MPU850787:MPU850852 MZQ850787:MZQ850852 NJM850787:NJM850852 NTI850787:NTI850852 ODE850787:ODE850852 ONA850787:ONA850852 OWW850787:OWW850852 PGS850787:PGS850852 PQO850787:PQO850852 QAK850787:QAK850852 QKG850787:QKG850852 QUC850787:QUC850852 RDY850787:RDY850852 RNU850787:RNU850852 RXQ850787:RXQ850852 SHM850787:SHM850852 SRI850787:SRI850852 TBE850787:TBE850852 TLA850787:TLA850852 TUW850787:TUW850852 UES850787:UES850852 UOO850787:UOO850852 UYK850787:UYK850852 VIG850787:VIG850852 VSC850787:VSC850852 WBY850787:WBY850852 WLU850787:WLU850852 WVQ850787:WVQ850852 I916323:I916388 JE916323:JE916388 TA916323:TA916388 ACW916323:ACW916388 AMS916323:AMS916388 AWO916323:AWO916388 BGK916323:BGK916388 BQG916323:BQG916388 CAC916323:CAC916388 CJY916323:CJY916388 CTU916323:CTU916388 DDQ916323:DDQ916388 DNM916323:DNM916388 DXI916323:DXI916388 EHE916323:EHE916388 ERA916323:ERA916388 FAW916323:FAW916388 FKS916323:FKS916388 FUO916323:FUO916388 GEK916323:GEK916388 GOG916323:GOG916388 GYC916323:GYC916388 HHY916323:HHY916388 HRU916323:HRU916388 IBQ916323:IBQ916388 ILM916323:ILM916388 IVI916323:IVI916388 JFE916323:JFE916388 JPA916323:JPA916388 JYW916323:JYW916388 KIS916323:KIS916388 KSO916323:KSO916388 LCK916323:LCK916388 LMG916323:LMG916388 LWC916323:LWC916388 MFY916323:MFY916388 MPU916323:MPU916388 MZQ916323:MZQ916388 NJM916323:NJM916388 NTI916323:NTI916388 ODE916323:ODE916388 ONA916323:ONA916388 OWW916323:OWW916388 PGS916323:PGS916388 PQO916323:PQO916388 QAK916323:QAK916388 QKG916323:QKG916388 QUC916323:QUC916388 RDY916323:RDY916388 RNU916323:RNU916388 RXQ916323:RXQ916388 SHM916323:SHM916388 SRI916323:SRI916388 TBE916323:TBE916388 TLA916323:TLA916388 TUW916323:TUW916388 UES916323:UES916388 UOO916323:UOO916388 UYK916323:UYK916388 VIG916323:VIG916388 VSC916323:VSC916388 WBY916323:WBY916388 WLU916323:WLU916388 WVQ916323:WVQ916388 I981859:I981924 JE981859:JE981924 TA981859:TA981924 ACW981859:ACW981924 AMS981859:AMS981924 AWO981859:AWO981924 BGK981859:BGK981924 BQG981859:BQG981924 CAC981859:CAC981924 CJY981859:CJY981924 CTU981859:CTU981924 DDQ981859:DDQ981924 DNM981859:DNM981924 DXI981859:DXI981924 EHE981859:EHE981924 ERA981859:ERA981924 FAW981859:FAW981924 FKS981859:FKS981924 FUO981859:FUO981924 GEK981859:GEK981924 GOG981859:GOG981924 GYC981859:GYC981924 HHY981859:HHY981924 HRU981859:HRU981924 IBQ981859:IBQ981924 ILM981859:ILM981924 IVI981859:IVI981924 JFE981859:JFE981924 JPA981859:JPA981924 JYW981859:JYW981924 KIS981859:KIS981924 KSO981859:KSO981924 LCK981859:LCK981924 LMG981859:LMG981924 LWC981859:LWC981924 MFY981859:MFY981924 MPU981859:MPU981924 MZQ981859:MZQ981924 NJM981859:NJM981924 NTI981859:NTI981924 ODE981859:ODE981924 ONA981859:ONA981924 OWW981859:OWW981924 PGS981859:PGS981924 PQO981859:PQO981924 QAK981859:QAK981924 QKG981859:QKG981924 QUC981859:QUC981924 RDY981859:RDY981924 RNU981859:RNU981924 RXQ981859:RXQ981924 SHM981859:SHM981924 SRI981859:SRI981924 TBE981859:TBE981924 TLA981859:TLA981924 TUW981859:TUW981924 UES981859:UES981924 UOO981859:UOO981924 UYK981859:UYK981924 VIG981859:VIG981924 VSC981859:VSC981924 WBY981859:WBY981924 WLU981859:WLU981924 WVQ981859:WVQ981924 I1047395:I1047460 JE1047395:JE1047460 TA1047395:TA1047460 ACW1047395:ACW1047460 AMS1047395:AMS1047460 AWO1047395:AWO1047460 BGK1047395:BGK1047460 BQG1047395:BQG1047460 CAC1047395:CAC1047460 CJY1047395:CJY1047460 CTU1047395:CTU1047460 DDQ1047395:DDQ1047460 DNM1047395:DNM1047460 DXI1047395:DXI1047460 EHE1047395:EHE1047460 ERA1047395:ERA1047460 FAW1047395:FAW1047460 FKS1047395:FKS1047460 FUO1047395:FUO1047460 GEK1047395:GEK1047460 GOG1047395:GOG1047460 GYC1047395:GYC1047460 HHY1047395:HHY1047460 HRU1047395:HRU1047460 IBQ1047395:IBQ1047460 ILM1047395:ILM1047460 IVI1047395:IVI1047460 JFE1047395:JFE1047460 JPA1047395:JPA1047460 JYW1047395:JYW1047460 KIS1047395:KIS1047460 KSO1047395:KSO1047460 LCK1047395:LCK1047460 LMG1047395:LMG1047460 LWC1047395:LWC1047460 MFY1047395:MFY1047460 MPU1047395:MPU1047460 MZQ1047395:MZQ1047460 NJM1047395:NJM1047460 NTI1047395:NTI1047460 ODE1047395:ODE1047460 ONA1047395:ONA1047460 OWW1047395:OWW1047460 PGS1047395:PGS1047460 PQO1047395:PQO1047460 QAK1047395:QAK1047460 QKG1047395:QKG1047460 QUC1047395:QUC1047460 RDY1047395:RDY1047460 RNU1047395:RNU1047460 RXQ1047395:RXQ1047460 SHM1047395:SHM1047460 SRI1047395:SRI1047460 TBE1047395:TBE1047460 TLA1047395:TLA1047460 TUW1047395:TUW1047460 UES1047395:UES1047460 UOO1047395:UOO1047460 UYK1047395:UYK1047460 VIG1047395:VIG1047460 VSC1047395:VSC1047460 WBY1047395:WBY1047460 WLU1047395:WLU1047460 WVQ1047395:WVQ1047460 WVQ983034:WVQ983099 I65530:I65595 JE65530:JE65595 TA65530:TA65595 ACW65530:ACW65595 AMS65530:AMS65595 AWO65530:AWO65595 BGK65530:BGK65595 BQG65530:BQG65595 CAC65530:CAC65595 CJY65530:CJY65595 CTU65530:CTU65595 DDQ65530:DDQ65595 DNM65530:DNM65595 DXI65530:DXI65595 EHE65530:EHE65595 ERA65530:ERA65595 FAW65530:FAW65595 FKS65530:FKS65595 FUO65530:FUO65595 GEK65530:GEK65595 GOG65530:GOG65595 GYC65530:GYC65595 HHY65530:HHY65595 HRU65530:HRU65595 IBQ65530:IBQ65595 ILM65530:ILM65595 IVI65530:IVI65595 JFE65530:JFE65595 JPA65530:JPA65595 JYW65530:JYW65595 KIS65530:KIS65595 KSO65530:KSO65595 LCK65530:LCK65595 LMG65530:LMG65595 LWC65530:LWC65595 MFY65530:MFY65595 MPU65530:MPU65595 MZQ65530:MZQ65595 NJM65530:NJM65595 NTI65530:NTI65595 ODE65530:ODE65595 ONA65530:ONA65595 OWW65530:OWW65595 PGS65530:PGS65595 PQO65530:PQO65595 QAK65530:QAK65595 QKG65530:QKG65595 QUC65530:QUC65595 RDY65530:RDY65595 RNU65530:RNU65595 RXQ65530:RXQ65595 SHM65530:SHM65595 SRI65530:SRI65595 TBE65530:TBE65595 TLA65530:TLA65595 TUW65530:TUW65595 UES65530:UES65595 UOO65530:UOO65595 UYK65530:UYK65595 VIG65530:VIG65595 VSC65530:VSC65595 WBY65530:WBY65595 WLU65530:WLU65595 WVQ65530:WVQ65595 I131066:I131131 JE131066:JE131131 TA131066:TA131131 ACW131066:ACW131131 AMS131066:AMS131131 AWO131066:AWO131131 BGK131066:BGK131131 BQG131066:BQG131131 CAC131066:CAC131131 CJY131066:CJY131131 CTU131066:CTU131131 DDQ131066:DDQ131131 DNM131066:DNM131131 DXI131066:DXI131131 EHE131066:EHE131131 ERA131066:ERA131131 FAW131066:FAW131131 FKS131066:FKS131131 FUO131066:FUO131131 GEK131066:GEK131131 GOG131066:GOG131131 GYC131066:GYC131131 HHY131066:HHY131131 HRU131066:HRU131131 IBQ131066:IBQ131131 ILM131066:ILM131131 IVI131066:IVI131131 JFE131066:JFE131131 JPA131066:JPA131131 JYW131066:JYW131131 KIS131066:KIS131131 KSO131066:KSO131131 LCK131066:LCK131131 LMG131066:LMG131131 LWC131066:LWC131131 MFY131066:MFY131131 MPU131066:MPU131131 MZQ131066:MZQ131131 NJM131066:NJM131131 NTI131066:NTI131131 ODE131066:ODE131131 ONA131066:ONA131131 OWW131066:OWW131131 PGS131066:PGS131131 PQO131066:PQO131131 QAK131066:QAK131131 QKG131066:QKG131131 QUC131066:QUC131131 RDY131066:RDY131131 RNU131066:RNU131131 RXQ131066:RXQ131131 SHM131066:SHM131131 SRI131066:SRI131131 TBE131066:TBE131131 TLA131066:TLA131131 TUW131066:TUW131131 UES131066:UES131131 UOO131066:UOO131131 UYK131066:UYK131131 VIG131066:VIG131131 VSC131066:VSC131131 WBY131066:WBY131131 WLU131066:WLU131131 WVQ131066:WVQ131131 I196602:I196667 JE196602:JE196667 TA196602:TA196667 ACW196602:ACW196667 AMS196602:AMS196667 AWO196602:AWO196667 BGK196602:BGK196667 BQG196602:BQG196667 CAC196602:CAC196667 CJY196602:CJY196667 CTU196602:CTU196667 DDQ196602:DDQ196667 DNM196602:DNM196667 DXI196602:DXI196667 EHE196602:EHE196667 ERA196602:ERA196667 FAW196602:FAW196667 FKS196602:FKS196667 FUO196602:FUO196667 GEK196602:GEK196667 GOG196602:GOG196667 GYC196602:GYC196667 HHY196602:HHY196667 HRU196602:HRU196667 IBQ196602:IBQ196667 ILM196602:ILM196667 IVI196602:IVI196667 JFE196602:JFE196667 JPA196602:JPA196667 JYW196602:JYW196667 KIS196602:KIS196667 KSO196602:KSO196667 LCK196602:LCK196667 LMG196602:LMG196667 LWC196602:LWC196667 MFY196602:MFY196667 MPU196602:MPU196667 MZQ196602:MZQ196667 NJM196602:NJM196667 NTI196602:NTI196667 ODE196602:ODE196667 ONA196602:ONA196667 OWW196602:OWW196667 PGS196602:PGS196667 PQO196602:PQO196667 QAK196602:QAK196667 QKG196602:QKG196667 QUC196602:QUC196667 RDY196602:RDY196667 RNU196602:RNU196667 RXQ196602:RXQ196667 SHM196602:SHM196667 SRI196602:SRI196667 TBE196602:TBE196667 TLA196602:TLA196667 TUW196602:TUW196667 UES196602:UES196667 UOO196602:UOO196667 UYK196602:UYK196667 VIG196602:VIG196667 VSC196602:VSC196667 WBY196602:WBY196667 WLU196602:WLU196667 WVQ196602:WVQ196667 I262138:I262203 JE262138:JE262203 TA262138:TA262203 ACW262138:ACW262203 AMS262138:AMS262203 AWO262138:AWO262203 BGK262138:BGK262203 BQG262138:BQG262203 CAC262138:CAC262203 CJY262138:CJY262203 CTU262138:CTU262203 DDQ262138:DDQ262203 DNM262138:DNM262203 DXI262138:DXI262203 EHE262138:EHE262203 ERA262138:ERA262203 FAW262138:FAW262203 FKS262138:FKS262203 FUO262138:FUO262203 GEK262138:GEK262203 GOG262138:GOG262203 GYC262138:GYC262203 HHY262138:HHY262203 HRU262138:HRU262203 IBQ262138:IBQ262203 ILM262138:ILM262203 IVI262138:IVI262203 JFE262138:JFE262203 JPA262138:JPA262203 JYW262138:JYW262203 KIS262138:KIS262203 KSO262138:KSO262203 LCK262138:LCK262203 LMG262138:LMG262203 LWC262138:LWC262203 MFY262138:MFY262203 MPU262138:MPU262203 MZQ262138:MZQ262203 NJM262138:NJM262203 NTI262138:NTI262203 ODE262138:ODE262203 ONA262138:ONA262203 OWW262138:OWW262203 PGS262138:PGS262203 PQO262138:PQO262203 QAK262138:QAK262203 QKG262138:QKG262203 QUC262138:QUC262203 RDY262138:RDY262203 RNU262138:RNU262203 RXQ262138:RXQ262203 SHM262138:SHM262203 SRI262138:SRI262203 TBE262138:TBE262203 TLA262138:TLA262203 TUW262138:TUW262203 UES262138:UES262203 UOO262138:UOO262203 UYK262138:UYK262203 VIG262138:VIG262203 VSC262138:VSC262203 WBY262138:WBY262203 WLU262138:WLU262203 WVQ262138:WVQ262203 I327674:I327739 JE327674:JE327739 TA327674:TA327739 ACW327674:ACW327739 AMS327674:AMS327739 AWO327674:AWO327739 BGK327674:BGK327739 BQG327674:BQG327739 CAC327674:CAC327739 CJY327674:CJY327739 CTU327674:CTU327739 DDQ327674:DDQ327739 DNM327674:DNM327739 DXI327674:DXI327739 EHE327674:EHE327739 ERA327674:ERA327739 FAW327674:FAW327739 FKS327674:FKS327739 FUO327674:FUO327739 GEK327674:GEK327739 GOG327674:GOG327739 GYC327674:GYC327739 HHY327674:HHY327739 HRU327674:HRU327739 IBQ327674:IBQ327739 ILM327674:ILM327739 IVI327674:IVI327739 JFE327674:JFE327739 JPA327674:JPA327739 JYW327674:JYW327739 KIS327674:KIS327739 KSO327674:KSO327739 LCK327674:LCK327739 LMG327674:LMG327739 LWC327674:LWC327739 MFY327674:MFY327739 MPU327674:MPU327739 MZQ327674:MZQ327739 NJM327674:NJM327739 NTI327674:NTI327739 ODE327674:ODE327739 ONA327674:ONA327739 OWW327674:OWW327739 PGS327674:PGS327739 PQO327674:PQO327739 QAK327674:QAK327739 QKG327674:QKG327739 QUC327674:QUC327739 RDY327674:RDY327739 RNU327674:RNU327739 RXQ327674:RXQ327739 SHM327674:SHM327739 SRI327674:SRI327739 TBE327674:TBE327739 TLA327674:TLA327739 TUW327674:TUW327739 UES327674:UES327739 UOO327674:UOO327739 UYK327674:UYK327739 VIG327674:VIG327739 VSC327674:VSC327739 WBY327674:WBY327739 WLU327674:WLU327739 WVQ327674:WVQ327739 I393210:I393275 JE393210:JE393275 TA393210:TA393275 ACW393210:ACW393275 AMS393210:AMS393275 AWO393210:AWO393275 BGK393210:BGK393275 BQG393210:BQG393275 CAC393210:CAC393275 CJY393210:CJY393275 CTU393210:CTU393275 DDQ393210:DDQ393275 DNM393210:DNM393275 DXI393210:DXI393275 EHE393210:EHE393275 ERA393210:ERA393275 FAW393210:FAW393275 FKS393210:FKS393275 FUO393210:FUO393275 GEK393210:GEK393275 GOG393210:GOG393275 GYC393210:GYC393275 HHY393210:HHY393275 HRU393210:HRU393275 IBQ393210:IBQ393275 ILM393210:ILM393275 IVI393210:IVI393275 JFE393210:JFE393275 JPA393210:JPA393275 JYW393210:JYW393275 KIS393210:KIS393275 KSO393210:KSO393275 LCK393210:LCK393275 LMG393210:LMG393275 LWC393210:LWC393275 MFY393210:MFY393275 MPU393210:MPU393275 MZQ393210:MZQ393275 NJM393210:NJM393275 NTI393210:NTI393275 ODE393210:ODE393275 ONA393210:ONA393275 OWW393210:OWW393275 PGS393210:PGS393275 PQO393210:PQO393275 QAK393210:QAK393275 QKG393210:QKG393275 QUC393210:QUC393275 RDY393210:RDY393275 RNU393210:RNU393275 RXQ393210:RXQ393275 SHM393210:SHM393275 SRI393210:SRI393275 TBE393210:TBE393275 TLA393210:TLA393275 TUW393210:TUW393275 UES393210:UES393275 UOO393210:UOO393275 UYK393210:UYK393275 VIG393210:VIG393275 VSC393210:VSC393275 WBY393210:WBY393275 WLU393210:WLU393275 WVQ393210:WVQ393275 I458746:I458811 JE458746:JE458811 TA458746:TA458811 ACW458746:ACW458811 AMS458746:AMS458811 AWO458746:AWO458811 BGK458746:BGK458811 BQG458746:BQG458811 CAC458746:CAC458811 CJY458746:CJY458811 CTU458746:CTU458811 DDQ458746:DDQ458811 DNM458746:DNM458811 DXI458746:DXI458811 EHE458746:EHE458811 ERA458746:ERA458811 FAW458746:FAW458811 FKS458746:FKS458811 FUO458746:FUO458811 GEK458746:GEK458811 GOG458746:GOG458811 GYC458746:GYC458811 HHY458746:HHY458811 HRU458746:HRU458811 IBQ458746:IBQ458811 ILM458746:ILM458811 IVI458746:IVI458811 JFE458746:JFE458811 JPA458746:JPA458811 JYW458746:JYW458811 KIS458746:KIS458811 KSO458746:KSO458811 LCK458746:LCK458811 LMG458746:LMG458811 LWC458746:LWC458811 MFY458746:MFY458811 MPU458746:MPU458811 MZQ458746:MZQ458811 NJM458746:NJM458811 NTI458746:NTI458811 ODE458746:ODE458811 ONA458746:ONA458811 OWW458746:OWW458811 PGS458746:PGS458811 PQO458746:PQO458811 QAK458746:QAK458811 QKG458746:QKG458811 QUC458746:QUC458811 RDY458746:RDY458811 RNU458746:RNU458811 RXQ458746:RXQ458811 SHM458746:SHM458811 SRI458746:SRI458811 TBE458746:TBE458811 TLA458746:TLA458811 TUW458746:TUW458811 UES458746:UES458811 UOO458746:UOO458811 UYK458746:UYK458811 VIG458746:VIG458811 VSC458746:VSC458811 WBY458746:WBY458811 WLU458746:WLU458811 WVQ458746:WVQ458811 I524282:I524347 JE524282:JE524347 TA524282:TA524347 ACW524282:ACW524347 AMS524282:AMS524347 AWO524282:AWO524347 BGK524282:BGK524347 BQG524282:BQG524347 CAC524282:CAC524347 CJY524282:CJY524347 CTU524282:CTU524347 DDQ524282:DDQ524347 DNM524282:DNM524347 DXI524282:DXI524347 EHE524282:EHE524347 ERA524282:ERA524347 FAW524282:FAW524347 FKS524282:FKS524347 FUO524282:FUO524347 GEK524282:GEK524347 GOG524282:GOG524347 GYC524282:GYC524347 HHY524282:HHY524347 HRU524282:HRU524347 IBQ524282:IBQ524347 ILM524282:ILM524347 IVI524282:IVI524347 JFE524282:JFE524347 JPA524282:JPA524347 JYW524282:JYW524347 KIS524282:KIS524347 KSO524282:KSO524347 LCK524282:LCK524347 LMG524282:LMG524347 LWC524282:LWC524347 MFY524282:MFY524347 MPU524282:MPU524347 MZQ524282:MZQ524347 NJM524282:NJM524347 NTI524282:NTI524347 ODE524282:ODE524347 ONA524282:ONA524347 OWW524282:OWW524347 PGS524282:PGS524347 PQO524282:PQO524347 QAK524282:QAK524347 QKG524282:QKG524347 QUC524282:QUC524347 RDY524282:RDY524347 RNU524282:RNU524347 RXQ524282:RXQ524347 SHM524282:SHM524347 SRI524282:SRI524347 TBE524282:TBE524347 TLA524282:TLA524347 TUW524282:TUW524347 UES524282:UES524347 UOO524282:UOO524347 UYK524282:UYK524347 VIG524282:VIG524347 VSC524282:VSC524347 WBY524282:WBY524347 WLU524282:WLU524347 WVQ524282:WVQ524347 I589818:I589883 JE589818:JE589883 TA589818:TA589883 ACW589818:ACW589883 AMS589818:AMS589883 AWO589818:AWO589883 BGK589818:BGK589883 BQG589818:BQG589883 CAC589818:CAC589883 CJY589818:CJY589883 CTU589818:CTU589883 DDQ589818:DDQ589883 DNM589818:DNM589883 DXI589818:DXI589883 EHE589818:EHE589883 ERA589818:ERA589883 FAW589818:FAW589883 FKS589818:FKS589883 FUO589818:FUO589883 GEK589818:GEK589883 GOG589818:GOG589883 GYC589818:GYC589883 HHY589818:HHY589883 HRU589818:HRU589883 IBQ589818:IBQ589883 ILM589818:ILM589883 IVI589818:IVI589883 JFE589818:JFE589883 JPA589818:JPA589883 JYW589818:JYW589883 KIS589818:KIS589883 KSO589818:KSO589883 LCK589818:LCK589883 LMG589818:LMG589883 LWC589818:LWC589883 MFY589818:MFY589883 MPU589818:MPU589883 MZQ589818:MZQ589883 NJM589818:NJM589883 NTI589818:NTI589883 ODE589818:ODE589883 ONA589818:ONA589883 OWW589818:OWW589883 PGS589818:PGS589883 PQO589818:PQO589883 QAK589818:QAK589883 QKG589818:QKG589883 QUC589818:QUC589883 RDY589818:RDY589883 RNU589818:RNU589883 RXQ589818:RXQ589883 SHM589818:SHM589883 SRI589818:SRI589883 TBE589818:TBE589883 TLA589818:TLA589883 TUW589818:TUW589883 UES589818:UES589883 UOO589818:UOO589883 UYK589818:UYK589883 VIG589818:VIG589883 VSC589818:VSC589883 WBY589818:WBY589883 WLU589818:WLU589883 WVQ589818:WVQ589883 I655354:I655419 JE655354:JE655419 TA655354:TA655419 ACW655354:ACW655419 AMS655354:AMS655419 AWO655354:AWO655419 BGK655354:BGK655419 BQG655354:BQG655419 CAC655354:CAC655419 CJY655354:CJY655419 CTU655354:CTU655419 DDQ655354:DDQ655419 DNM655354:DNM655419 DXI655354:DXI655419 EHE655354:EHE655419 ERA655354:ERA655419 FAW655354:FAW655419 FKS655354:FKS655419 FUO655354:FUO655419 GEK655354:GEK655419 GOG655354:GOG655419 GYC655354:GYC655419 HHY655354:HHY655419 HRU655354:HRU655419 IBQ655354:IBQ655419 ILM655354:ILM655419 IVI655354:IVI655419 JFE655354:JFE655419 JPA655354:JPA655419 JYW655354:JYW655419 KIS655354:KIS655419 KSO655354:KSO655419 LCK655354:LCK655419 LMG655354:LMG655419 LWC655354:LWC655419 MFY655354:MFY655419 MPU655354:MPU655419 MZQ655354:MZQ655419 NJM655354:NJM655419 NTI655354:NTI655419 ODE655354:ODE655419 ONA655354:ONA655419 OWW655354:OWW655419 PGS655354:PGS655419 PQO655354:PQO655419 QAK655354:QAK655419 QKG655354:QKG655419 QUC655354:QUC655419 RDY655354:RDY655419 RNU655354:RNU655419 RXQ655354:RXQ655419 SHM655354:SHM655419 SRI655354:SRI655419 TBE655354:TBE655419 TLA655354:TLA655419 TUW655354:TUW655419 UES655354:UES655419 UOO655354:UOO655419 UYK655354:UYK655419 VIG655354:VIG655419 VSC655354:VSC655419 WBY655354:WBY655419 WLU655354:WLU655419 WVQ655354:WVQ655419 I720890:I720955 JE720890:JE720955 TA720890:TA720955 ACW720890:ACW720955 AMS720890:AMS720955 AWO720890:AWO720955 BGK720890:BGK720955 BQG720890:BQG720955 CAC720890:CAC720955 CJY720890:CJY720955 CTU720890:CTU720955 DDQ720890:DDQ720955 DNM720890:DNM720955 DXI720890:DXI720955 EHE720890:EHE720955 ERA720890:ERA720955 FAW720890:FAW720955 FKS720890:FKS720955 FUO720890:FUO720955 GEK720890:GEK720955 GOG720890:GOG720955 GYC720890:GYC720955 HHY720890:HHY720955 HRU720890:HRU720955 IBQ720890:IBQ720955 ILM720890:ILM720955 IVI720890:IVI720955 JFE720890:JFE720955 JPA720890:JPA720955 JYW720890:JYW720955 KIS720890:KIS720955 KSO720890:KSO720955 LCK720890:LCK720955 LMG720890:LMG720955 LWC720890:LWC720955 MFY720890:MFY720955 MPU720890:MPU720955 MZQ720890:MZQ720955 NJM720890:NJM720955 NTI720890:NTI720955 ODE720890:ODE720955 ONA720890:ONA720955 OWW720890:OWW720955 PGS720890:PGS720955 PQO720890:PQO720955 QAK720890:QAK720955 QKG720890:QKG720955 QUC720890:QUC720955 RDY720890:RDY720955 RNU720890:RNU720955 RXQ720890:RXQ720955 SHM720890:SHM720955 SRI720890:SRI720955 TBE720890:TBE720955 TLA720890:TLA720955 TUW720890:TUW720955 UES720890:UES720955 UOO720890:UOO720955 UYK720890:UYK720955 VIG720890:VIG720955 VSC720890:VSC720955 WBY720890:WBY720955 WLU720890:WLU720955 WVQ720890:WVQ720955 I786426:I786491 JE786426:JE786491 TA786426:TA786491 ACW786426:ACW786491 AMS786426:AMS786491 AWO786426:AWO786491 BGK786426:BGK786491 BQG786426:BQG786491 CAC786426:CAC786491 CJY786426:CJY786491 CTU786426:CTU786491 DDQ786426:DDQ786491 DNM786426:DNM786491 DXI786426:DXI786491 EHE786426:EHE786491 ERA786426:ERA786491 FAW786426:FAW786491 FKS786426:FKS786491 FUO786426:FUO786491 GEK786426:GEK786491 GOG786426:GOG786491 GYC786426:GYC786491 HHY786426:HHY786491 HRU786426:HRU786491 IBQ786426:IBQ786491 ILM786426:ILM786491 IVI786426:IVI786491 JFE786426:JFE786491 JPA786426:JPA786491 JYW786426:JYW786491 KIS786426:KIS786491 KSO786426:KSO786491 LCK786426:LCK786491 LMG786426:LMG786491 LWC786426:LWC786491 MFY786426:MFY786491 MPU786426:MPU786491 MZQ786426:MZQ786491 NJM786426:NJM786491 NTI786426:NTI786491 ODE786426:ODE786491 ONA786426:ONA786491 OWW786426:OWW786491 PGS786426:PGS786491 PQO786426:PQO786491 QAK786426:QAK786491 QKG786426:QKG786491 QUC786426:QUC786491 RDY786426:RDY786491 RNU786426:RNU786491 RXQ786426:RXQ786491 SHM786426:SHM786491 SRI786426:SRI786491 TBE786426:TBE786491 TLA786426:TLA786491 TUW786426:TUW786491 UES786426:UES786491 UOO786426:UOO786491 UYK786426:UYK786491 VIG786426:VIG786491 VSC786426:VSC786491 WBY786426:WBY786491 WLU786426:WLU786491 WVQ786426:WVQ786491 I851962:I852027 JE851962:JE852027 TA851962:TA852027 ACW851962:ACW852027 AMS851962:AMS852027 AWO851962:AWO852027 BGK851962:BGK852027 BQG851962:BQG852027 CAC851962:CAC852027 CJY851962:CJY852027 CTU851962:CTU852027 DDQ851962:DDQ852027 DNM851962:DNM852027 DXI851962:DXI852027 EHE851962:EHE852027 ERA851962:ERA852027 FAW851962:FAW852027 FKS851962:FKS852027 FUO851962:FUO852027 GEK851962:GEK852027 GOG851962:GOG852027 GYC851962:GYC852027 HHY851962:HHY852027 HRU851962:HRU852027 IBQ851962:IBQ852027 ILM851962:ILM852027 IVI851962:IVI852027 JFE851962:JFE852027 JPA851962:JPA852027 JYW851962:JYW852027 KIS851962:KIS852027 KSO851962:KSO852027 LCK851962:LCK852027 LMG851962:LMG852027 LWC851962:LWC852027 MFY851962:MFY852027 MPU851962:MPU852027 MZQ851962:MZQ852027 NJM851962:NJM852027 NTI851962:NTI852027 ODE851962:ODE852027 ONA851962:ONA852027 OWW851962:OWW852027 PGS851962:PGS852027 PQO851962:PQO852027 QAK851962:QAK852027 QKG851962:QKG852027 QUC851962:QUC852027 RDY851962:RDY852027 RNU851962:RNU852027 RXQ851962:RXQ852027 SHM851962:SHM852027 SRI851962:SRI852027 TBE851962:TBE852027 TLA851962:TLA852027 TUW851962:TUW852027 UES851962:UES852027 UOO851962:UOO852027 UYK851962:UYK852027 VIG851962:VIG852027 VSC851962:VSC852027 WBY851962:WBY852027 WLU851962:WLU852027 WVQ851962:WVQ852027 I917498:I917563 JE917498:JE917563 TA917498:TA917563 ACW917498:ACW917563 AMS917498:AMS917563 AWO917498:AWO917563 BGK917498:BGK917563 BQG917498:BQG917563 CAC917498:CAC917563 CJY917498:CJY917563 CTU917498:CTU917563 DDQ917498:DDQ917563 DNM917498:DNM917563 DXI917498:DXI917563 EHE917498:EHE917563 ERA917498:ERA917563 FAW917498:FAW917563 FKS917498:FKS917563 FUO917498:FUO917563 GEK917498:GEK917563 GOG917498:GOG917563 GYC917498:GYC917563 HHY917498:HHY917563 HRU917498:HRU917563 IBQ917498:IBQ917563 ILM917498:ILM917563 IVI917498:IVI917563 JFE917498:JFE917563 JPA917498:JPA917563 JYW917498:JYW917563 KIS917498:KIS917563 KSO917498:KSO917563 LCK917498:LCK917563 LMG917498:LMG917563 LWC917498:LWC917563 MFY917498:MFY917563 MPU917498:MPU917563 MZQ917498:MZQ917563 NJM917498:NJM917563 NTI917498:NTI917563 ODE917498:ODE917563 ONA917498:ONA917563 OWW917498:OWW917563 PGS917498:PGS917563 PQO917498:PQO917563 QAK917498:QAK917563 QKG917498:QKG917563 QUC917498:QUC917563 RDY917498:RDY917563 RNU917498:RNU917563 RXQ917498:RXQ917563 SHM917498:SHM917563 SRI917498:SRI917563 TBE917498:TBE917563 TLA917498:TLA917563 TUW917498:TUW917563 UES917498:UES917563 UOO917498:UOO917563 UYK917498:UYK917563 VIG917498:VIG917563 VSC917498:VSC917563 WBY917498:WBY917563 WLU917498:WLU917563 WVQ917498:WVQ917563 I983034:I983099 JE983034:JE983099 TA983034:TA983099 ACW983034:ACW983099 AMS983034:AMS983099 AWO983034:AWO983099 BGK983034:BGK983099 BQG983034:BQG983099 CAC983034:CAC983099 CJY983034:CJY983099 CTU983034:CTU983099 DDQ983034:DDQ983099 DNM983034:DNM983099 DXI983034:DXI983099 EHE983034:EHE983099 ERA983034:ERA983099 FAW983034:FAW983099 FKS983034:FKS983099 FUO983034:FUO983099 GEK983034:GEK983099 GOG983034:GOG983099 GYC983034:GYC983099 HHY983034:HHY983099 HRU983034:HRU983099 IBQ983034:IBQ983099 ILM983034:ILM983099 IVI983034:IVI983099 JFE983034:JFE983099 JPA983034:JPA983099 JYW983034:JYW983099 KIS983034:KIS983099 KSO983034:KSO983099 LCK983034:LCK983099 LMG983034:LMG983099 LWC983034:LWC983099 MFY983034:MFY983099 MPU983034:MPU983099 MZQ983034:MZQ983099 NJM983034:NJM983099 NTI983034:NTI983099 ODE983034:ODE983099 ONA983034:ONA983099 OWW983034:OWW983099 PGS983034:PGS983099 PQO983034:PQO983099 QAK983034:QAK983099 QKG983034:QKG983099 QUC983034:QUC983099 RDY983034:RDY983099 RNU983034:RNU983099 RXQ983034:RXQ983099 SHM983034:SHM983099 SRI983034:SRI983099 TBE983034:TBE983099 TLA983034:TLA983099 TUW983034:TUW983099 UES983034:UES983099 UOO983034:UOO983099 UYK983034:UYK983099 VIG983034:VIG983099 VSC983034:VSC983099 WBY983034:WBY983099 WLU983034:WLU983099 JE2:JE59 WVQ2:WVQ59 WLU2:WLU59 WBY2:WBY59 VSC2:VSC59 VIG2:VIG59 UYK2:UYK59 UOO2:UOO59 UES2:UES59 TUW2:TUW59 TLA2:TLA59 TBE2:TBE59 SRI2:SRI59 SHM2:SHM59 RXQ2:RXQ59 RNU2:RNU59 RDY2:RDY59 QUC2:QUC59 QKG2:QKG59 QAK2:QAK59 PQO2:PQO59 PGS2:PGS59 OWW2:OWW59 ONA2:ONA59 ODE2:ODE59 NTI2:NTI59 NJM2:NJM59 MZQ2:MZQ59 MPU2:MPU59 MFY2:MFY59 LWC2:LWC59 LMG2:LMG59 LCK2:LCK59 KSO2:KSO59 KIS2:KIS59 JYW2:JYW59 JPA2:JPA59 JFE2:JFE59 IVI2:IVI59 ILM2:ILM59 IBQ2:IBQ59 HRU2:HRU59 HHY2:HHY59 GYC2:GYC59 GOG2:GOG59 GEK2:GEK59 FUO2:FUO59 FKS2:FKS59 FAW2:FAW59 ERA2:ERA59 EHE2:EHE59 DXI2:DXI59 DNM2:DNM59 DDQ2:DDQ59 CTU2:CTU59 CJY2:CJY59 CAC2:CAC59 BQG2:BQG59 BGK2:BGK59 AWO2:AWO59 AMS2:AMS59 ACW2:ACW59 TA2:TA59 I2:I492" xr:uid="{0000092F-63C0-40D0-A235-0CB047BAFE5C}">
      <formula1>$AN$5:$AN$6</formula1>
    </dataValidation>
    <dataValidation type="list" allowBlank="1" showInputMessage="1" showErrorMessage="1" sqref="RDZ1047395:RDZ1047460 JF64355:JF64420 TB64355:TB64420 ACX64355:ACX64420 AMT64355:AMT64420 AWP64355:AWP64420 BGL64355:BGL64420 BQH64355:BQH64420 CAD64355:CAD64420 CJZ64355:CJZ64420 CTV64355:CTV64420 DDR64355:DDR64420 DNN64355:DNN64420 DXJ64355:DXJ64420 EHF64355:EHF64420 ERB64355:ERB64420 FAX64355:FAX64420 FKT64355:FKT64420 FUP64355:FUP64420 GEL64355:GEL64420 GOH64355:GOH64420 GYD64355:GYD64420 HHZ64355:HHZ64420 HRV64355:HRV64420 IBR64355:IBR64420 ILN64355:ILN64420 IVJ64355:IVJ64420 JFF64355:JFF64420 JPB64355:JPB64420 JYX64355:JYX64420 KIT64355:KIT64420 KSP64355:KSP64420 LCL64355:LCL64420 LMH64355:LMH64420 LWD64355:LWD64420 MFZ64355:MFZ64420 MPV64355:MPV64420 MZR64355:MZR64420 NJN64355:NJN64420 NTJ64355:NTJ64420 ODF64355:ODF64420 ONB64355:ONB64420 OWX64355:OWX64420 PGT64355:PGT64420 PQP64355:PQP64420 QAL64355:QAL64420 QKH64355:QKH64420 QUD64355:QUD64420 RDZ64355:RDZ64420 RNV64355:RNV64420 RXR64355:RXR64420 SHN64355:SHN64420 SRJ64355:SRJ64420 TBF64355:TBF64420 TLB64355:TLB64420 TUX64355:TUX64420 UET64355:UET64420 UOP64355:UOP64420 UYL64355:UYL64420 VIH64355:VIH64420 VSD64355:VSD64420 WBZ64355:WBZ64420 WLV64355:WLV64420 WVR64355:WVR64420 RNV1047395:RNV1047460 JF129891:JF129956 TB129891:TB129956 ACX129891:ACX129956 AMT129891:AMT129956 AWP129891:AWP129956 BGL129891:BGL129956 BQH129891:BQH129956 CAD129891:CAD129956 CJZ129891:CJZ129956 CTV129891:CTV129956 DDR129891:DDR129956 DNN129891:DNN129956 DXJ129891:DXJ129956 EHF129891:EHF129956 ERB129891:ERB129956 FAX129891:FAX129956 FKT129891:FKT129956 FUP129891:FUP129956 GEL129891:GEL129956 GOH129891:GOH129956 GYD129891:GYD129956 HHZ129891:HHZ129956 HRV129891:HRV129956 IBR129891:IBR129956 ILN129891:ILN129956 IVJ129891:IVJ129956 JFF129891:JFF129956 JPB129891:JPB129956 JYX129891:JYX129956 KIT129891:KIT129956 KSP129891:KSP129956 LCL129891:LCL129956 LMH129891:LMH129956 LWD129891:LWD129956 MFZ129891:MFZ129956 MPV129891:MPV129956 MZR129891:MZR129956 NJN129891:NJN129956 NTJ129891:NTJ129956 ODF129891:ODF129956 ONB129891:ONB129956 OWX129891:OWX129956 PGT129891:PGT129956 PQP129891:PQP129956 QAL129891:QAL129956 QKH129891:QKH129956 QUD129891:QUD129956 RDZ129891:RDZ129956 RNV129891:RNV129956 RXR129891:RXR129956 SHN129891:SHN129956 SRJ129891:SRJ129956 TBF129891:TBF129956 TLB129891:TLB129956 TUX129891:TUX129956 UET129891:UET129956 UOP129891:UOP129956 UYL129891:UYL129956 VIH129891:VIH129956 VSD129891:VSD129956 WBZ129891:WBZ129956 WLV129891:WLV129956 WVR129891:WVR129956 RXR1047395:RXR1047460 JF195427:JF195492 TB195427:TB195492 ACX195427:ACX195492 AMT195427:AMT195492 AWP195427:AWP195492 BGL195427:BGL195492 BQH195427:BQH195492 CAD195427:CAD195492 CJZ195427:CJZ195492 CTV195427:CTV195492 DDR195427:DDR195492 DNN195427:DNN195492 DXJ195427:DXJ195492 EHF195427:EHF195492 ERB195427:ERB195492 FAX195427:FAX195492 FKT195427:FKT195492 FUP195427:FUP195492 GEL195427:GEL195492 GOH195427:GOH195492 GYD195427:GYD195492 HHZ195427:HHZ195492 HRV195427:HRV195492 IBR195427:IBR195492 ILN195427:ILN195492 IVJ195427:IVJ195492 JFF195427:JFF195492 JPB195427:JPB195492 JYX195427:JYX195492 KIT195427:KIT195492 KSP195427:KSP195492 LCL195427:LCL195492 LMH195427:LMH195492 LWD195427:LWD195492 MFZ195427:MFZ195492 MPV195427:MPV195492 MZR195427:MZR195492 NJN195427:NJN195492 NTJ195427:NTJ195492 ODF195427:ODF195492 ONB195427:ONB195492 OWX195427:OWX195492 PGT195427:PGT195492 PQP195427:PQP195492 QAL195427:QAL195492 QKH195427:QKH195492 QUD195427:QUD195492 RDZ195427:RDZ195492 RNV195427:RNV195492 RXR195427:RXR195492 SHN195427:SHN195492 SRJ195427:SRJ195492 TBF195427:TBF195492 TLB195427:TLB195492 TUX195427:TUX195492 UET195427:UET195492 UOP195427:UOP195492 UYL195427:UYL195492 VIH195427:VIH195492 VSD195427:VSD195492 WBZ195427:WBZ195492 WLV195427:WLV195492 WVR195427:WVR195492 SHN1047395:SHN1047460 JF260963:JF261028 TB260963:TB261028 ACX260963:ACX261028 AMT260963:AMT261028 AWP260963:AWP261028 BGL260963:BGL261028 BQH260963:BQH261028 CAD260963:CAD261028 CJZ260963:CJZ261028 CTV260963:CTV261028 DDR260963:DDR261028 DNN260963:DNN261028 DXJ260963:DXJ261028 EHF260963:EHF261028 ERB260963:ERB261028 FAX260963:FAX261028 FKT260963:FKT261028 FUP260963:FUP261028 GEL260963:GEL261028 GOH260963:GOH261028 GYD260963:GYD261028 HHZ260963:HHZ261028 HRV260963:HRV261028 IBR260963:IBR261028 ILN260963:ILN261028 IVJ260963:IVJ261028 JFF260963:JFF261028 JPB260963:JPB261028 JYX260963:JYX261028 KIT260963:KIT261028 KSP260963:KSP261028 LCL260963:LCL261028 LMH260963:LMH261028 LWD260963:LWD261028 MFZ260963:MFZ261028 MPV260963:MPV261028 MZR260963:MZR261028 NJN260963:NJN261028 NTJ260963:NTJ261028 ODF260963:ODF261028 ONB260963:ONB261028 OWX260963:OWX261028 PGT260963:PGT261028 PQP260963:PQP261028 QAL260963:QAL261028 QKH260963:QKH261028 QUD260963:QUD261028 RDZ260963:RDZ261028 RNV260963:RNV261028 RXR260963:RXR261028 SHN260963:SHN261028 SRJ260963:SRJ261028 TBF260963:TBF261028 TLB260963:TLB261028 TUX260963:TUX261028 UET260963:UET261028 UOP260963:UOP261028 UYL260963:UYL261028 VIH260963:VIH261028 VSD260963:VSD261028 WBZ260963:WBZ261028 WLV260963:WLV261028 WVR260963:WVR261028 SRJ1047395:SRJ1047460 JF326499:JF326564 TB326499:TB326564 ACX326499:ACX326564 AMT326499:AMT326564 AWP326499:AWP326564 BGL326499:BGL326564 BQH326499:BQH326564 CAD326499:CAD326564 CJZ326499:CJZ326564 CTV326499:CTV326564 DDR326499:DDR326564 DNN326499:DNN326564 DXJ326499:DXJ326564 EHF326499:EHF326564 ERB326499:ERB326564 FAX326499:FAX326564 FKT326499:FKT326564 FUP326499:FUP326564 GEL326499:GEL326564 GOH326499:GOH326564 GYD326499:GYD326564 HHZ326499:HHZ326564 HRV326499:HRV326564 IBR326499:IBR326564 ILN326499:ILN326564 IVJ326499:IVJ326564 JFF326499:JFF326564 JPB326499:JPB326564 JYX326499:JYX326564 KIT326499:KIT326564 KSP326499:KSP326564 LCL326499:LCL326564 LMH326499:LMH326564 LWD326499:LWD326564 MFZ326499:MFZ326564 MPV326499:MPV326564 MZR326499:MZR326564 NJN326499:NJN326564 NTJ326499:NTJ326564 ODF326499:ODF326564 ONB326499:ONB326564 OWX326499:OWX326564 PGT326499:PGT326564 PQP326499:PQP326564 QAL326499:QAL326564 QKH326499:QKH326564 QUD326499:QUD326564 RDZ326499:RDZ326564 RNV326499:RNV326564 RXR326499:RXR326564 SHN326499:SHN326564 SRJ326499:SRJ326564 TBF326499:TBF326564 TLB326499:TLB326564 TUX326499:TUX326564 UET326499:UET326564 UOP326499:UOP326564 UYL326499:UYL326564 VIH326499:VIH326564 VSD326499:VSD326564 WBZ326499:WBZ326564 WLV326499:WLV326564 WVR326499:WVR326564 TBF1047395:TBF1047460 JF392035:JF392100 TB392035:TB392100 ACX392035:ACX392100 AMT392035:AMT392100 AWP392035:AWP392100 BGL392035:BGL392100 BQH392035:BQH392100 CAD392035:CAD392100 CJZ392035:CJZ392100 CTV392035:CTV392100 DDR392035:DDR392100 DNN392035:DNN392100 DXJ392035:DXJ392100 EHF392035:EHF392100 ERB392035:ERB392100 FAX392035:FAX392100 FKT392035:FKT392100 FUP392035:FUP392100 GEL392035:GEL392100 GOH392035:GOH392100 GYD392035:GYD392100 HHZ392035:HHZ392100 HRV392035:HRV392100 IBR392035:IBR392100 ILN392035:ILN392100 IVJ392035:IVJ392100 JFF392035:JFF392100 JPB392035:JPB392100 JYX392035:JYX392100 KIT392035:KIT392100 KSP392035:KSP392100 LCL392035:LCL392100 LMH392035:LMH392100 LWD392035:LWD392100 MFZ392035:MFZ392100 MPV392035:MPV392100 MZR392035:MZR392100 NJN392035:NJN392100 NTJ392035:NTJ392100 ODF392035:ODF392100 ONB392035:ONB392100 OWX392035:OWX392100 PGT392035:PGT392100 PQP392035:PQP392100 QAL392035:QAL392100 QKH392035:QKH392100 QUD392035:QUD392100 RDZ392035:RDZ392100 RNV392035:RNV392100 RXR392035:RXR392100 SHN392035:SHN392100 SRJ392035:SRJ392100 TBF392035:TBF392100 TLB392035:TLB392100 TUX392035:TUX392100 UET392035:UET392100 UOP392035:UOP392100 UYL392035:UYL392100 VIH392035:VIH392100 VSD392035:VSD392100 WBZ392035:WBZ392100 WLV392035:WLV392100 WVR392035:WVR392100 TLB1047395:TLB1047460 JF457571:JF457636 TB457571:TB457636 ACX457571:ACX457636 AMT457571:AMT457636 AWP457571:AWP457636 BGL457571:BGL457636 BQH457571:BQH457636 CAD457571:CAD457636 CJZ457571:CJZ457636 CTV457571:CTV457636 DDR457571:DDR457636 DNN457571:DNN457636 DXJ457571:DXJ457636 EHF457571:EHF457636 ERB457571:ERB457636 FAX457571:FAX457636 FKT457571:FKT457636 FUP457571:FUP457636 GEL457571:GEL457636 GOH457571:GOH457636 GYD457571:GYD457636 HHZ457571:HHZ457636 HRV457571:HRV457636 IBR457571:IBR457636 ILN457571:ILN457636 IVJ457571:IVJ457636 JFF457571:JFF457636 JPB457571:JPB457636 JYX457571:JYX457636 KIT457571:KIT457636 KSP457571:KSP457636 LCL457571:LCL457636 LMH457571:LMH457636 LWD457571:LWD457636 MFZ457571:MFZ457636 MPV457571:MPV457636 MZR457571:MZR457636 NJN457571:NJN457636 NTJ457571:NTJ457636 ODF457571:ODF457636 ONB457571:ONB457636 OWX457571:OWX457636 PGT457571:PGT457636 PQP457571:PQP457636 QAL457571:QAL457636 QKH457571:QKH457636 QUD457571:QUD457636 RDZ457571:RDZ457636 RNV457571:RNV457636 RXR457571:RXR457636 SHN457571:SHN457636 SRJ457571:SRJ457636 TBF457571:TBF457636 TLB457571:TLB457636 TUX457571:TUX457636 UET457571:UET457636 UOP457571:UOP457636 UYL457571:UYL457636 VIH457571:VIH457636 VSD457571:VSD457636 WBZ457571:WBZ457636 WLV457571:WLV457636 WVR457571:WVR457636 TUX1047395:TUX1047460 JF523107:JF523172 TB523107:TB523172 ACX523107:ACX523172 AMT523107:AMT523172 AWP523107:AWP523172 BGL523107:BGL523172 BQH523107:BQH523172 CAD523107:CAD523172 CJZ523107:CJZ523172 CTV523107:CTV523172 DDR523107:DDR523172 DNN523107:DNN523172 DXJ523107:DXJ523172 EHF523107:EHF523172 ERB523107:ERB523172 FAX523107:FAX523172 FKT523107:FKT523172 FUP523107:FUP523172 GEL523107:GEL523172 GOH523107:GOH523172 GYD523107:GYD523172 HHZ523107:HHZ523172 HRV523107:HRV523172 IBR523107:IBR523172 ILN523107:ILN523172 IVJ523107:IVJ523172 JFF523107:JFF523172 JPB523107:JPB523172 JYX523107:JYX523172 KIT523107:KIT523172 KSP523107:KSP523172 LCL523107:LCL523172 LMH523107:LMH523172 LWD523107:LWD523172 MFZ523107:MFZ523172 MPV523107:MPV523172 MZR523107:MZR523172 NJN523107:NJN523172 NTJ523107:NTJ523172 ODF523107:ODF523172 ONB523107:ONB523172 OWX523107:OWX523172 PGT523107:PGT523172 PQP523107:PQP523172 QAL523107:QAL523172 QKH523107:QKH523172 QUD523107:QUD523172 RDZ523107:RDZ523172 RNV523107:RNV523172 RXR523107:RXR523172 SHN523107:SHN523172 SRJ523107:SRJ523172 TBF523107:TBF523172 TLB523107:TLB523172 TUX523107:TUX523172 UET523107:UET523172 UOP523107:UOP523172 UYL523107:UYL523172 VIH523107:VIH523172 VSD523107:VSD523172 WBZ523107:WBZ523172 WLV523107:WLV523172 WVR523107:WVR523172 UET1047395:UET1047460 JF588643:JF588708 TB588643:TB588708 ACX588643:ACX588708 AMT588643:AMT588708 AWP588643:AWP588708 BGL588643:BGL588708 BQH588643:BQH588708 CAD588643:CAD588708 CJZ588643:CJZ588708 CTV588643:CTV588708 DDR588643:DDR588708 DNN588643:DNN588708 DXJ588643:DXJ588708 EHF588643:EHF588708 ERB588643:ERB588708 FAX588643:FAX588708 FKT588643:FKT588708 FUP588643:FUP588708 GEL588643:GEL588708 GOH588643:GOH588708 GYD588643:GYD588708 HHZ588643:HHZ588708 HRV588643:HRV588708 IBR588643:IBR588708 ILN588643:ILN588708 IVJ588643:IVJ588708 JFF588643:JFF588708 JPB588643:JPB588708 JYX588643:JYX588708 KIT588643:KIT588708 KSP588643:KSP588708 LCL588643:LCL588708 LMH588643:LMH588708 LWD588643:LWD588708 MFZ588643:MFZ588708 MPV588643:MPV588708 MZR588643:MZR588708 NJN588643:NJN588708 NTJ588643:NTJ588708 ODF588643:ODF588708 ONB588643:ONB588708 OWX588643:OWX588708 PGT588643:PGT588708 PQP588643:PQP588708 QAL588643:QAL588708 QKH588643:QKH588708 QUD588643:QUD588708 RDZ588643:RDZ588708 RNV588643:RNV588708 RXR588643:RXR588708 SHN588643:SHN588708 SRJ588643:SRJ588708 TBF588643:TBF588708 TLB588643:TLB588708 TUX588643:TUX588708 UET588643:UET588708 UOP588643:UOP588708 UYL588643:UYL588708 VIH588643:VIH588708 VSD588643:VSD588708 WBZ588643:WBZ588708 WLV588643:WLV588708 WVR588643:WVR588708 UOP1047395:UOP1047460 JF654179:JF654244 TB654179:TB654244 ACX654179:ACX654244 AMT654179:AMT654244 AWP654179:AWP654244 BGL654179:BGL654244 BQH654179:BQH654244 CAD654179:CAD654244 CJZ654179:CJZ654244 CTV654179:CTV654244 DDR654179:DDR654244 DNN654179:DNN654244 DXJ654179:DXJ654244 EHF654179:EHF654244 ERB654179:ERB654244 FAX654179:FAX654244 FKT654179:FKT654244 FUP654179:FUP654244 GEL654179:GEL654244 GOH654179:GOH654244 GYD654179:GYD654244 HHZ654179:HHZ654244 HRV654179:HRV654244 IBR654179:IBR654244 ILN654179:ILN654244 IVJ654179:IVJ654244 JFF654179:JFF654244 JPB654179:JPB654244 JYX654179:JYX654244 KIT654179:KIT654244 KSP654179:KSP654244 LCL654179:LCL654244 LMH654179:LMH654244 LWD654179:LWD654244 MFZ654179:MFZ654244 MPV654179:MPV654244 MZR654179:MZR654244 NJN654179:NJN654244 NTJ654179:NTJ654244 ODF654179:ODF654244 ONB654179:ONB654244 OWX654179:OWX654244 PGT654179:PGT654244 PQP654179:PQP654244 QAL654179:QAL654244 QKH654179:QKH654244 QUD654179:QUD654244 RDZ654179:RDZ654244 RNV654179:RNV654244 RXR654179:RXR654244 SHN654179:SHN654244 SRJ654179:SRJ654244 TBF654179:TBF654244 TLB654179:TLB654244 TUX654179:TUX654244 UET654179:UET654244 UOP654179:UOP654244 UYL654179:UYL654244 VIH654179:VIH654244 VSD654179:VSD654244 WBZ654179:WBZ654244 WLV654179:WLV654244 WVR654179:WVR654244 UYL1047395:UYL1047460 JF719715:JF719780 TB719715:TB719780 ACX719715:ACX719780 AMT719715:AMT719780 AWP719715:AWP719780 BGL719715:BGL719780 BQH719715:BQH719780 CAD719715:CAD719780 CJZ719715:CJZ719780 CTV719715:CTV719780 DDR719715:DDR719780 DNN719715:DNN719780 DXJ719715:DXJ719780 EHF719715:EHF719780 ERB719715:ERB719780 FAX719715:FAX719780 FKT719715:FKT719780 FUP719715:FUP719780 GEL719715:GEL719780 GOH719715:GOH719780 GYD719715:GYD719780 HHZ719715:HHZ719780 HRV719715:HRV719780 IBR719715:IBR719780 ILN719715:ILN719780 IVJ719715:IVJ719780 JFF719715:JFF719780 JPB719715:JPB719780 JYX719715:JYX719780 KIT719715:KIT719780 KSP719715:KSP719780 LCL719715:LCL719780 LMH719715:LMH719780 LWD719715:LWD719780 MFZ719715:MFZ719780 MPV719715:MPV719780 MZR719715:MZR719780 NJN719715:NJN719780 NTJ719715:NTJ719780 ODF719715:ODF719780 ONB719715:ONB719780 OWX719715:OWX719780 PGT719715:PGT719780 PQP719715:PQP719780 QAL719715:QAL719780 QKH719715:QKH719780 QUD719715:QUD719780 RDZ719715:RDZ719780 RNV719715:RNV719780 RXR719715:RXR719780 SHN719715:SHN719780 SRJ719715:SRJ719780 TBF719715:TBF719780 TLB719715:TLB719780 TUX719715:TUX719780 UET719715:UET719780 UOP719715:UOP719780 UYL719715:UYL719780 VIH719715:VIH719780 VSD719715:VSD719780 WBZ719715:WBZ719780 WLV719715:WLV719780 WVR719715:WVR719780 VIH1047395:VIH1047460 JF785251:JF785316 TB785251:TB785316 ACX785251:ACX785316 AMT785251:AMT785316 AWP785251:AWP785316 BGL785251:BGL785316 BQH785251:BQH785316 CAD785251:CAD785316 CJZ785251:CJZ785316 CTV785251:CTV785316 DDR785251:DDR785316 DNN785251:DNN785316 DXJ785251:DXJ785316 EHF785251:EHF785316 ERB785251:ERB785316 FAX785251:FAX785316 FKT785251:FKT785316 FUP785251:FUP785316 GEL785251:GEL785316 GOH785251:GOH785316 GYD785251:GYD785316 HHZ785251:HHZ785316 HRV785251:HRV785316 IBR785251:IBR785316 ILN785251:ILN785316 IVJ785251:IVJ785316 JFF785251:JFF785316 JPB785251:JPB785316 JYX785251:JYX785316 KIT785251:KIT785316 KSP785251:KSP785316 LCL785251:LCL785316 LMH785251:LMH785316 LWD785251:LWD785316 MFZ785251:MFZ785316 MPV785251:MPV785316 MZR785251:MZR785316 NJN785251:NJN785316 NTJ785251:NTJ785316 ODF785251:ODF785316 ONB785251:ONB785316 OWX785251:OWX785316 PGT785251:PGT785316 PQP785251:PQP785316 QAL785251:QAL785316 QKH785251:QKH785316 QUD785251:QUD785316 RDZ785251:RDZ785316 RNV785251:RNV785316 RXR785251:RXR785316 SHN785251:SHN785316 SRJ785251:SRJ785316 TBF785251:TBF785316 TLB785251:TLB785316 TUX785251:TUX785316 UET785251:UET785316 UOP785251:UOP785316 UYL785251:UYL785316 VIH785251:VIH785316 VSD785251:VSD785316 WBZ785251:WBZ785316 WLV785251:WLV785316 WVR785251:WVR785316 VSD1047395:VSD1047460 JF850787:JF850852 TB850787:TB850852 ACX850787:ACX850852 AMT850787:AMT850852 AWP850787:AWP850852 BGL850787:BGL850852 BQH850787:BQH850852 CAD850787:CAD850852 CJZ850787:CJZ850852 CTV850787:CTV850852 DDR850787:DDR850852 DNN850787:DNN850852 DXJ850787:DXJ850852 EHF850787:EHF850852 ERB850787:ERB850852 FAX850787:FAX850852 FKT850787:FKT850852 FUP850787:FUP850852 GEL850787:GEL850852 GOH850787:GOH850852 GYD850787:GYD850852 HHZ850787:HHZ850852 HRV850787:HRV850852 IBR850787:IBR850852 ILN850787:ILN850852 IVJ850787:IVJ850852 JFF850787:JFF850852 JPB850787:JPB850852 JYX850787:JYX850852 KIT850787:KIT850852 KSP850787:KSP850852 LCL850787:LCL850852 LMH850787:LMH850852 LWD850787:LWD850852 MFZ850787:MFZ850852 MPV850787:MPV850852 MZR850787:MZR850852 NJN850787:NJN850852 NTJ850787:NTJ850852 ODF850787:ODF850852 ONB850787:ONB850852 OWX850787:OWX850852 PGT850787:PGT850852 PQP850787:PQP850852 QAL850787:QAL850852 QKH850787:QKH850852 QUD850787:QUD850852 RDZ850787:RDZ850852 RNV850787:RNV850852 RXR850787:RXR850852 SHN850787:SHN850852 SRJ850787:SRJ850852 TBF850787:TBF850852 TLB850787:TLB850852 TUX850787:TUX850852 UET850787:UET850852 UOP850787:UOP850852 UYL850787:UYL850852 VIH850787:VIH850852 VSD850787:VSD850852 WBZ850787:WBZ850852 WLV850787:WLV850852 WVR850787:WVR850852 WBZ1047395:WBZ1047460 JF916323:JF916388 TB916323:TB916388 ACX916323:ACX916388 AMT916323:AMT916388 AWP916323:AWP916388 BGL916323:BGL916388 BQH916323:BQH916388 CAD916323:CAD916388 CJZ916323:CJZ916388 CTV916323:CTV916388 DDR916323:DDR916388 DNN916323:DNN916388 DXJ916323:DXJ916388 EHF916323:EHF916388 ERB916323:ERB916388 FAX916323:FAX916388 FKT916323:FKT916388 FUP916323:FUP916388 GEL916323:GEL916388 GOH916323:GOH916388 GYD916323:GYD916388 HHZ916323:HHZ916388 HRV916323:HRV916388 IBR916323:IBR916388 ILN916323:ILN916388 IVJ916323:IVJ916388 JFF916323:JFF916388 JPB916323:JPB916388 JYX916323:JYX916388 KIT916323:KIT916388 KSP916323:KSP916388 LCL916323:LCL916388 LMH916323:LMH916388 LWD916323:LWD916388 MFZ916323:MFZ916388 MPV916323:MPV916388 MZR916323:MZR916388 NJN916323:NJN916388 NTJ916323:NTJ916388 ODF916323:ODF916388 ONB916323:ONB916388 OWX916323:OWX916388 PGT916323:PGT916388 PQP916323:PQP916388 QAL916323:QAL916388 QKH916323:QKH916388 QUD916323:QUD916388 RDZ916323:RDZ916388 RNV916323:RNV916388 RXR916323:RXR916388 SHN916323:SHN916388 SRJ916323:SRJ916388 TBF916323:TBF916388 TLB916323:TLB916388 TUX916323:TUX916388 UET916323:UET916388 UOP916323:UOP916388 UYL916323:UYL916388 VIH916323:VIH916388 VSD916323:VSD916388 WBZ916323:WBZ916388 WLV916323:WLV916388 WVR916323:WVR916388 WLV1047395:WLV1047460 JF981859:JF981924 TB981859:TB981924 ACX981859:ACX981924 AMT981859:AMT981924 AWP981859:AWP981924 BGL981859:BGL981924 BQH981859:BQH981924 CAD981859:CAD981924 CJZ981859:CJZ981924 CTV981859:CTV981924 DDR981859:DDR981924 DNN981859:DNN981924 DXJ981859:DXJ981924 EHF981859:EHF981924 ERB981859:ERB981924 FAX981859:FAX981924 FKT981859:FKT981924 FUP981859:FUP981924 GEL981859:GEL981924 GOH981859:GOH981924 GYD981859:GYD981924 HHZ981859:HHZ981924 HRV981859:HRV981924 IBR981859:IBR981924 ILN981859:ILN981924 IVJ981859:IVJ981924 JFF981859:JFF981924 JPB981859:JPB981924 JYX981859:JYX981924 KIT981859:KIT981924 KSP981859:KSP981924 LCL981859:LCL981924 LMH981859:LMH981924 LWD981859:LWD981924 MFZ981859:MFZ981924 MPV981859:MPV981924 MZR981859:MZR981924 NJN981859:NJN981924 NTJ981859:NTJ981924 ODF981859:ODF981924 ONB981859:ONB981924 OWX981859:OWX981924 PGT981859:PGT981924 PQP981859:PQP981924 QAL981859:QAL981924 QKH981859:QKH981924 QUD981859:QUD981924 RDZ981859:RDZ981924 RNV981859:RNV981924 RXR981859:RXR981924 SHN981859:SHN981924 SRJ981859:SRJ981924 TBF981859:TBF981924 TLB981859:TLB981924 TUX981859:TUX981924 UET981859:UET981924 UOP981859:UOP981924 UYL981859:UYL981924 VIH981859:VIH981924 VSD981859:VSD981924 WBZ981859:WBZ981924 WLV981859:WLV981924 WVR981859:WVR981924 WVR1047395:WVR1047460 JF1047395:JF1047460 TB1047395:TB1047460 ACX1047395:ACX1047460 AMT1047395:AMT1047460 AWP1047395:AWP1047460 BGL1047395:BGL1047460 BQH1047395:BQH1047460 CAD1047395:CAD1047460 CJZ1047395:CJZ1047460 CTV1047395:CTV1047460 DDR1047395:DDR1047460 DNN1047395:DNN1047460 DXJ1047395:DXJ1047460 EHF1047395:EHF1047460 ERB1047395:ERB1047460 FAX1047395:FAX1047460 FKT1047395:FKT1047460 FUP1047395:FUP1047460 GEL1047395:GEL1047460 GOH1047395:GOH1047460 GYD1047395:GYD1047460 HHZ1047395:HHZ1047460 HRV1047395:HRV1047460 IBR1047395:IBR1047460 ILN1047395:ILN1047460 IVJ1047395:IVJ1047460 JFF1047395:JFF1047460 JPB1047395:JPB1047460 JYX1047395:JYX1047460 KIT1047395:KIT1047460 KSP1047395:KSP1047460 LCL1047395:LCL1047460 LMH1047395:LMH1047460 LWD1047395:LWD1047460 MFZ1047395:MFZ1047460 MPV1047395:MPV1047460 MZR1047395:MZR1047460 NJN1047395:NJN1047460 NTJ1047395:NTJ1047460 ODF1047395:ODF1047460 ONB1047395:ONB1047460 OWX1047395:OWX1047460 PGT1047395:PGT1047460 PQP1047395:PQP1047460 QAL1047395:QAL1047460 QKH1047395:QKH1047460 QUD1047395:QUD1047460 J65535:J65613 J131071:J131149 J196607:J196685 J262143:J262221 J327679:J327757 J393215:J393293 J458751:J458829 J524287:J524365 J589823:J589901 J655359:J655437 J720895:J720973 J786431:J786509 J851967:J852045 J917503:J917581 J983039:J983117" xr:uid="{01F35347-C360-4D66-BF6C-6011E879C170}">
      <formula1>$AP$2:$AP$15</formula1>
    </dataValidation>
    <dataValidation type="list" allowBlank="1" showInputMessage="1" showErrorMessage="1" sqref="REA1047395:REA1047460 JG64355:JG64420 TC64355:TC64420 ACY64355:ACY64420 AMU64355:AMU64420 AWQ64355:AWQ64420 BGM64355:BGM64420 BQI64355:BQI64420 CAE64355:CAE64420 CKA64355:CKA64420 CTW64355:CTW64420 DDS64355:DDS64420 DNO64355:DNO64420 DXK64355:DXK64420 EHG64355:EHG64420 ERC64355:ERC64420 FAY64355:FAY64420 FKU64355:FKU64420 FUQ64355:FUQ64420 GEM64355:GEM64420 GOI64355:GOI64420 GYE64355:GYE64420 HIA64355:HIA64420 HRW64355:HRW64420 IBS64355:IBS64420 ILO64355:ILO64420 IVK64355:IVK64420 JFG64355:JFG64420 JPC64355:JPC64420 JYY64355:JYY64420 KIU64355:KIU64420 KSQ64355:KSQ64420 LCM64355:LCM64420 LMI64355:LMI64420 LWE64355:LWE64420 MGA64355:MGA64420 MPW64355:MPW64420 MZS64355:MZS64420 NJO64355:NJO64420 NTK64355:NTK64420 ODG64355:ODG64420 ONC64355:ONC64420 OWY64355:OWY64420 PGU64355:PGU64420 PQQ64355:PQQ64420 QAM64355:QAM64420 QKI64355:QKI64420 QUE64355:QUE64420 REA64355:REA64420 RNW64355:RNW64420 RXS64355:RXS64420 SHO64355:SHO64420 SRK64355:SRK64420 TBG64355:TBG64420 TLC64355:TLC64420 TUY64355:TUY64420 UEU64355:UEU64420 UOQ64355:UOQ64420 UYM64355:UYM64420 VII64355:VII64420 VSE64355:VSE64420 WCA64355:WCA64420 WLW64355:WLW64420 WVS64355:WVS64420 RNW1047395:RNW1047460 JG129891:JG129956 TC129891:TC129956 ACY129891:ACY129956 AMU129891:AMU129956 AWQ129891:AWQ129956 BGM129891:BGM129956 BQI129891:BQI129956 CAE129891:CAE129956 CKA129891:CKA129956 CTW129891:CTW129956 DDS129891:DDS129956 DNO129891:DNO129956 DXK129891:DXK129956 EHG129891:EHG129956 ERC129891:ERC129956 FAY129891:FAY129956 FKU129891:FKU129956 FUQ129891:FUQ129956 GEM129891:GEM129956 GOI129891:GOI129956 GYE129891:GYE129956 HIA129891:HIA129956 HRW129891:HRW129956 IBS129891:IBS129956 ILO129891:ILO129956 IVK129891:IVK129956 JFG129891:JFG129956 JPC129891:JPC129956 JYY129891:JYY129956 KIU129891:KIU129956 KSQ129891:KSQ129956 LCM129891:LCM129956 LMI129891:LMI129956 LWE129891:LWE129956 MGA129891:MGA129956 MPW129891:MPW129956 MZS129891:MZS129956 NJO129891:NJO129956 NTK129891:NTK129956 ODG129891:ODG129956 ONC129891:ONC129956 OWY129891:OWY129956 PGU129891:PGU129956 PQQ129891:PQQ129956 QAM129891:QAM129956 QKI129891:QKI129956 QUE129891:QUE129956 REA129891:REA129956 RNW129891:RNW129956 RXS129891:RXS129956 SHO129891:SHO129956 SRK129891:SRK129956 TBG129891:TBG129956 TLC129891:TLC129956 TUY129891:TUY129956 UEU129891:UEU129956 UOQ129891:UOQ129956 UYM129891:UYM129956 VII129891:VII129956 VSE129891:VSE129956 WCA129891:WCA129956 WLW129891:WLW129956 WVS129891:WVS129956 RXS1047395:RXS1047460 JG195427:JG195492 TC195427:TC195492 ACY195427:ACY195492 AMU195427:AMU195492 AWQ195427:AWQ195492 BGM195427:BGM195492 BQI195427:BQI195492 CAE195427:CAE195492 CKA195427:CKA195492 CTW195427:CTW195492 DDS195427:DDS195492 DNO195427:DNO195492 DXK195427:DXK195492 EHG195427:EHG195492 ERC195427:ERC195492 FAY195427:FAY195492 FKU195427:FKU195492 FUQ195427:FUQ195492 GEM195427:GEM195492 GOI195427:GOI195492 GYE195427:GYE195492 HIA195427:HIA195492 HRW195427:HRW195492 IBS195427:IBS195492 ILO195427:ILO195492 IVK195427:IVK195492 JFG195427:JFG195492 JPC195427:JPC195492 JYY195427:JYY195492 KIU195427:KIU195492 KSQ195427:KSQ195492 LCM195427:LCM195492 LMI195427:LMI195492 LWE195427:LWE195492 MGA195427:MGA195492 MPW195427:MPW195492 MZS195427:MZS195492 NJO195427:NJO195492 NTK195427:NTK195492 ODG195427:ODG195492 ONC195427:ONC195492 OWY195427:OWY195492 PGU195427:PGU195492 PQQ195427:PQQ195492 QAM195427:QAM195492 QKI195427:QKI195492 QUE195427:QUE195492 REA195427:REA195492 RNW195427:RNW195492 RXS195427:RXS195492 SHO195427:SHO195492 SRK195427:SRK195492 TBG195427:TBG195492 TLC195427:TLC195492 TUY195427:TUY195492 UEU195427:UEU195492 UOQ195427:UOQ195492 UYM195427:UYM195492 VII195427:VII195492 VSE195427:VSE195492 WCA195427:WCA195492 WLW195427:WLW195492 WVS195427:WVS195492 SHO1047395:SHO1047460 JG260963:JG261028 TC260963:TC261028 ACY260963:ACY261028 AMU260963:AMU261028 AWQ260963:AWQ261028 BGM260963:BGM261028 BQI260963:BQI261028 CAE260963:CAE261028 CKA260963:CKA261028 CTW260963:CTW261028 DDS260963:DDS261028 DNO260963:DNO261028 DXK260963:DXK261028 EHG260963:EHG261028 ERC260963:ERC261028 FAY260963:FAY261028 FKU260963:FKU261028 FUQ260963:FUQ261028 GEM260963:GEM261028 GOI260963:GOI261028 GYE260963:GYE261028 HIA260963:HIA261028 HRW260963:HRW261028 IBS260963:IBS261028 ILO260963:ILO261028 IVK260963:IVK261028 JFG260963:JFG261028 JPC260963:JPC261028 JYY260963:JYY261028 KIU260963:KIU261028 KSQ260963:KSQ261028 LCM260963:LCM261028 LMI260963:LMI261028 LWE260963:LWE261028 MGA260963:MGA261028 MPW260963:MPW261028 MZS260963:MZS261028 NJO260963:NJO261028 NTK260963:NTK261028 ODG260963:ODG261028 ONC260963:ONC261028 OWY260963:OWY261028 PGU260963:PGU261028 PQQ260963:PQQ261028 QAM260963:QAM261028 QKI260963:QKI261028 QUE260963:QUE261028 REA260963:REA261028 RNW260963:RNW261028 RXS260963:RXS261028 SHO260963:SHO261028 SRK260963:SRK261028 TBG260963:TBG261028 TLC260963:TLC261028 TUY260963:TUY261028 UEU260963:UEU261028 UOQ260963:UOQ261028 UYM260963:UYM261028 VII260963:VII261028 VSE260963:VSE261028 WCA260963:WCA261028 WLW260963:WLW261028 WVS260963:WVS261028 SRK1047395:SRK1047460 JG326499:JG326564 TC326499:TC326564 ACY326499:ACY326564 AMU326499:AMU326564 AWQ326499:AWQ326564 BGM326499:BGM326564 BQI326499:BQI326564 CAE326499:CAE326564 CKA326499:CKA326564 CTW326499:CTW326564 DDS326499:DDS326564 DNO326499:DNO326564 DXK326499:DXK326564 EHG326499:EHG326564 ERC326499:ERC326564 FAY326499:FAY326564 FKU326499:FKU326564 FUQ326499:FUQ326564 GEM326499:GEM326564 GOI326499:GOI326564 GYE326499:GYE326564 HIA326499:HIA326564 HRW326499:HRW326564 IBS326499:IBS326564 ILO326499:ILO326564 IVK326499:IVK326564 JFG326499:JFG326564 JPC326499:JPC326564 JYY326499:JYY326564 KIU326499:KIU326564 KSQ326499:KSQ326564 LCM326499:LCM326564 LMI326499:LMI326564 LWE326499:LWE326564 MGA326499:MGA326564 MPW326499:MPW326564 MZS326499:MZS326564 NJO326499:NJO326564 NTK326499:NTK326564 ODG326499:ODG326564 ONC326499:ONC326564 OWY326499:OWY326564 PGU326499:PGU326564 PQQ326499:PQQ326564 QAM326499:QAM326564 QKI326499:QKI326564 QUE326499:QUE326564 REA326499:REA326564 RNW326499:RNW326564 RXS326499:RXS326564 SHO326499:SHO326564 SRK326499:SRK326564 TBG326499:TBG326564 TLC326499:TLC326564 TUY326499:TUY326564 UEU326499:UEU326564 UOQ326499:UOQ326564 UYM326499:UYM326564 VII326499:VII326564 VSE326499:VSE326564 WCA326499:WCA326564 WLW326499:WLW326564 WVS326499:WVS326564 TBG1047395:TBG1047460 JG392035:JG392100 TC392035:TC392100 ACY392035:ACY392100 AMU392035:AMU392100 AWQ392035:AWQ392100 BGM392035:BGM392100 BQI392035:BQI392100 CAE392035:CAE392100 CKA392035:CKA392100 CTW392035:CTW392100 DDS392035:DDS392100 DNO392035:DNO392100 DXK392035:DXK392100 EHG392035:EHG392100 ERC392035:ERC392100 FAY392035:FAY392100 FKU392035:FKU392100 FUQ392035:FUQ392100 GEM392035:GEM392100 GOI392035:GOI392100 GYE392035:GYE392100 HIA392035:HIA392100 HRW392035:HRW392100 IBS392035:IBS392100 ILO392035:ILO392100 IVK392035:IVK392100 JFG392035:JFG392100 JPC392035:JPC392100 JYY392035:JYY392100 KIU392035:KIU392100 KSQ392035:KSQ392100 LCM392035:LCM392100 LMI392035:LMI392100 LWE392035:LWE392100 MGA392035:MGA392100 MPW392035:MPW392100 MZS392035:MZS392100 NJO392035:NJO392100 NTK392035:NTK392100 ODG392035:ODG392100 ONC392035:ONC392100 OWY392035:OWY392100 PGU392035:PGU392100 PQQ392035:PQQ392100 QAM392035:QAM392100 QKI392035:QKI392100 QUE392035:QUE392100 REA392035:REA392100 RNW392035:RNW392100 RXS392035:RXS392100 SHO392035:SHO392100 SRK392035:SRK392100 TBG392035:TBG392100 TLC392035:TLC392100 TUY392035:TUY392100 UEU392035:UEU392100 UOQ392035:UOQ392100 UYM392035:UYM392100 VII392035:VII392100 VSE392035:VSE392100 WCA392035:WCA392100 WLW392035:WLW392100 WVS392035:WVS392100 TLC1047395:TLC1047460 JG457571:JG457636 TC457571:TC457636 ACY457571:ACY457636 AMU457571:AMU457636 AWQ457571:AWQ457636 BGM457571:BGM457636 BQI457571:BQI457636 CAE457571:CAE457636 CKA457571:CKA457636 CTW457571:CTW457636 DDS457571:DDS457636 DNO457571:DNO457636 DXK457571:DXK457636 EHG457571:EHG457636 ERC457571:ERC457636 FAY457571:FAY457636 FKU457571:FKU457636 FUQ457571:FUQ457636 GEM457571:GEM457636 GOI457571:GOI457636 GYE457571:GYE457636 HIA457571:HIA457636 HRW457571:HRW457636 IBS457571:IBS457636 ILO457571:ILO457636 IVK457571:IVK457636 JFG457571:JFG457636 JPC457571:JPC457636 JYY457571:JYY457636 KIU457571:KIU457636 KSQ457571:KSQ457636 LCM457571:LCM457636 LMI457571:LMI457636 LWE457571:LWE457636 MGA457571:MGA457636 MPW457571:MPW457636 MZS457571:MZS457636 NJO457571:NJO457636 NTK457571:NTK457636 ODG457571:ODG457636 ONC457571:ONC457636 OWY457571:OWY457636 PGU457571:PGU457636 PQQ457571:PQQ457636 QAM457571:QAM457636 QKI457571:QKI457636 QUE457571:QUE457636 REA457571:REA457636 RNW457571:RNW457636 RXS457571:RXS457636 SHO457571:SHO457636 SRK457571:SRK457636 TBG457571:TBG457636 TLC457571:TLC457636 TUY457571:TUY457636 UEU457571:UEU457636 UOQ457571:UOQ457636 UYM457571:UYM457636 VII457571:VII457636 VSE457571:VSE457636 WCA457571:WCA457636 WLW457571:WLW457636 WVS457571:WVS457636 TUY1047395:TUY1047460 JG523107:JG523172 TC523107:TC523172 ACY523107:ACY523172 AMU523107:AMU523172 AWQ523107:AWQ523172 BGM523107:BGM523172 BQI523107:BQI523172 CAE523107:CAE523172 CKA523107:CKA523172 CTW523107:CTW523172 DDS523107:DDS523172 DNO523107:DNO523172 DXK523107:DXK523172 EHG523107:EHG523172 ERC523107:ERC523172 FAY523107:FAY523172 FKU523107:FKU523172 FUQ523107:FUQ523172 GEM523107:GEM523172 GOI523107:GOI523172 GYE523107:GYE523172 HIA523107:HIA523172 HRW523107:HRW523172 IBS523107:IBS523172 ILO523107:ILO523172 IVK523107:IVK523172 JFG523107:JFG523172 JPC523107:JPC523172 JYY523107:JYY523172 KIU523107:KIU523172 KSQ523107:KSQ523172 LCM523107:LCM523172 LMI523107:LMI523172 LWE523107:LWE523172 MGA523107:MGA523172 MPW523107:MPW523172 MZS523107:MZS523172 NJO523107:NJO523172 NTK523107:NTK523172 ODG523107:ODG523172 ONC523107:ONC523172 OWY523107:OWY523172 PGU523107:PGU523172 PQQ523107:PQQ523172 QAM523107:QAM523172 QKI523107:QKI523172 QUE523107:QUE523172 REA523107:REA523172 RNW523107:RNW523172 RXS523107:RXS523172 SHO523107:SHO523172 SRK523107:SRK523172 TBG523107:TBG523172 TLC523107:TLC523172 TUY523107:TUY523172 UEU523107:UEU523172 UOQ523107:UOQ523172 UYM523107:UYM523172 VII523107:VII523172 VSE523107:VSE523172 WCA523107:WCA523172 WLW523107:WLW523172 WVS523107:WVS523172 UEU1047395:UEU1047460 JG588643:JG588708 TC588643:TC588708 ACY588643:ACY588708 AMU588643:AMU588708 AWQ588643:AWQ588708 BGM588643:BGM588708 BQI588643:BQI588708 CAE588643:CAE588708 CKA588643:CKA588708 CTW588643:CTW588708 DDS588643:DDS588708 DNO588643:DNO588708 DXK588643:DXK588708 EHG588643:EHG588708 ERC588643:ERC588708 FAY588643:FAY588708 FKU588643:FKU588708 FUQ588643:FUQ588708 GEM588643:GEM588708 GOI588643:GOI588708 GYE588643:GYE588708 HIA588643:HIA588708 HRW588643:HRW588708 IBS588643:IBS588708 ILO588643:ILO588708 IVK588643:IVK588708 JFG588643:JFG588708 JPC588643:JPC588708 JYY588643:JYY588708 KIU588643:KIU588708 KSQ588643:KSQ588708 LCM588643:LCM588708 LMI588643:LMI588708 LWE588643:LWE588708 MGA588643:MGA588708 MPW588643:MPW588708 MZS588643:MZS588708 NJO588643:NJO588708 NTK588643:NTK588708 ODG588643:ODG588708 ONC588643:ONC588708 OWY588643:OWY588708 PGU588643:PGU588708 PQQ588643:PQQ588708 QAM588643:QAM588708 QKI588643:QKI588708 QUE588643:QUE588708 REA588643:REA588708 RNW588643:RNW588708 RXS588643:RXS588708 SHO588643:SHO588708 SRK588643:SRK588708 TBG588643:TBG588708 TLC588643:TLC588708 TUY588643:TUY588708 UEU588643:UEU588708 UOQ588643:UOQ588708 UYM588643:UYM588708 VII588643:VII588708 VSE588643:VSE588708 WCA588643:WCA588708 WLW588643:WLW588708 WVS588643:WVS588708 UOQ1047395:UOQ1047460 JG654179:JG654244 TC654179:TC654244 ACY654179:ACY654244 AMU654179:AMU654244 AWQ654179:AWQ654244 BGM654179:BGM654244 BQI654179:BQI654244 CAE654179:CAE654244 CKA654179:CKA654244 CTW654179:CTW654244 DDS654179:DDS654244 DNO654179:DNO654244 DXK654179:DXK654244 EHG654179:EHG654244 ERC654179:ERC654244 FAY654179:FAY654244 FKU654179:FKU654244 FUQ654179:FUQ654244 GEM654179:GEM654244 GOI654179:GOI654244 GYE654179:GYE654244 HIA654179:HIA654244 HRW654179:HRW654244 IBS654179:IBS654244 ILO654179:ILO654244 IVK654179:IVK654244 JFG654179:JFG654244 JPC654179:JPC654244 JYY654179:JYY654244 KIU654179:KIU654244 KSQ654179:KSQ654244 LCM654179:LCM654244 LMI654179:LMI654244 LWE654179:LWE654244 MGA654179:MGA654244 MPW654179:MPW654244 MZS654179:MZS654244 NJO654179:NJO654244 NTK654179:NTK654244 ODG654179:ODG654244 ONC654179:ONC654244 OWY654179:OWY654244 PGU654179:PGU654244 PQQ654179:PQQ654244 QAM654179:QAM654244 QKI654179:QKI654244 QUE654179:QUE654244 REA654179:REA654244 RNW654179:RNW654244 RXS654179:RXS654244 SHO654179:SHO654244 SRK654179:SRK654244 TBG654179:TBG654244 TLC654179:TLC654244 TUY654179:TUY654244 UEU654179:UEU654244 UOQ654179:UOQ654244 UYM654179:UYM654244 VII654179:VII654244 VSE654179:VSE654244 WCA654179:WCA654244 WLW654179:WLW654244 WVS654179:WVS654244 UYM1047395:UYM1047460 JG719715:JG719780 TC719715:TC719780 ACY719715:ACY719780 AMU719715:AMU719780 AWQ719715:AWQ719780 BGM719715:BGM719780 BQI719715:BQI719780 CAE719715:CAE719780 CKA719715:CKA719780 CTW719715:CTW719780 DDS719715:DDS719780 DNO719715:DNO719780 DXK719715:DXK719780 EHG719715:EHG719780 ERC719715:ERC719780 FAY719715:FAY719780 FKU719715:FKU719780 FUQ719715:FUQ719780 GEM719715:GEM719780 GOI719715:GOI719780 GYE719715:GYE719780 HIA719715:HIA719780 HRW719715:HRW719780 IBS719715:IBS719780 ILO719715:ILO719780 IVK719715:IVK719780 JFG719715:JFG719780 JPC719715:JPC719780 JYY719715:JYY719780 KIU719715:KIU719780 KSQ719715:KSQ719780 LCM719715:LCM719780 LMI719715:LMI719780 LWE719715:LWE719780 MGA719715:MGA719780 MPW719715:MPW719780 MZS719715:MZS719780 NJO719715:NJO719780 NTK719715:NTK719780 ODG719715:ODG719780 ONC719715:ONC719780 OWY719715:OWY719780 PGU719715:PGU719780 PQQ719715:PQQ719780 QAM719715:QAM719780 QKI719715:QKI719780 QUE719715:QUE719780 REA719715:REA719780 RNW719715:RNW719780 RXS719715:RXS719780 SHO719715:SHO719780 SRK719715:SRK719780 TBG719715:TBG719780 TLC719715:TLC719780 TUY719715:TUY719780 UEU719715:UEU719780 UOQ719715:UOQ719780 UYM719715:UYM719780 VII719715:VII719780 VSE719715:VSE719780 WCA719715:WCA719780 WLW719715:WLW719780 WVS719715:WVS719780 VII1047395:VII1047460 JG785251:JG785316 TC785251:TC785316 ACY785251:ACY785316 AMU785251:AMU785316 AWQ785251:AWQ785316 BGM785251:BGM785316 BQI785251:BQI785316 CAE785251:CAE785316 CKA785251:CKA785316 CTW785251:CTW785316 DDS785251:DDS785316 DNO785251:DNO785316 DXK785251:DXK785316 EHG785251:EHG785316 ERC785251:ERC785316 FAY785251:FAY785316 FKU785251:FKU785316 FUQ785251:FUQ785316 GEM785251:GEM785316 GOI785251:GOI785316 GYE785251:GYE785316 HIA785251:HIA785316 HRW785251:HRW785316 IBS785251:IBS785316 ILO785251:ILO785316 IVK785251:IVK785316 JFG785251:JFG785316 JPC785251:JPC785316 JYY785251:JYY785316 KIU785251:KIU785316 KSQ785251:KSQ785316 LCM785251:LCM785316 LMI785251:LMI785316 LWE785251:LWE785316 MGA785251:MGA785316 MPW785251:MPW785316 MZS785251:MZS785316 NJO785251:NJO785316 NTK785251:NTK785316 ODG785251:ODG785316 ONC785251:ONC785316 OWY785251:OWY785316 PGU785251:PGU785316 PQQ785251:PQQ785316 QAM785251:QAM785316 QKI785251:QKI785316 QUE785251:QUE785316 REA785251:REA785316 RNW785251:RNW785316 RXS785251:RXS785316 SHO785251:SHO785316 SRK785251:SRK785316 TBG785251:TBG785316 TLC785251:TLC785316 TUY785251:TUY785316 UEU785251:UEU785316 UOQ785251:UOQ785316 UYM785251:UYM785316 VII785251:VII785316 VSE785251:VSE785316 WCA785251:WCA785316 WLW785251:WLW785316 WVS785251:WVS785316 VSE1047395:VSE1047460 JG850787:JG850852 TC850787:TC850852 ACY850787:ACY850852 AMU850787:AMU850852 AWQ850787:AWQ850852 BGM850787:BGM850852 BQI850787:BQI850852 CAE850787:CAE850852 CKA850787:CKA850852 CTW850787:CTW850852 DDS850787:DDS850852 DNO850787:DNO850852 DXK850787:DXK850852 EHG850787:EHG850852 ERC850787:ERC850852 FAY850787:FAY850852 FKU850787:FKU850852 FUQ850787:FUQ850852 GEM850787:GEM850852 GOI850787:GOI850852 GYE850787:GYE850852 HIA850787:HIA850852 HRW850787:HRW850852 IBS850787:IBS850852 ILO850787:ILO850852 IVK850787:IVK850852 JFG850787:JFG850852 JPC850787:JPC850852 JYY850787:JYY850852 KIU850787:KIU850852 KSQ850787:KSQ850852 LCM850787:LCM850852 LMI850787:LMI850852 LWE850787:LWE850852 MGA850787:MGA850852 MPW850787:MPW850852 MZS850787:MZS850852 NJO850787:NJO850852 NTK850787:NTK850852 ODG850787:ODG850852 ONC850787:ONC850852 OWY850787:OWY850852 PGU850787:PGU850852 PQQ850787:PQQ850852 QAM850787:QAM850852 QKI850787:QKI850852 QUE850787:QUE850852 REA850787:REA850852 RNW850787:RNW850852 RXS850787:RXS850852 SHO850787:SHO850852 SRK850787:SRK850852 TBG850787:TBG850852 TLC850787:TLC850852 TUY850787:TUY850852 UEU850787:UEU850852 UOQ850787:UOQ850852 UYM850787:UYM850852 VII850787:VII850852 VSE850787:VSE850852 WCA850787:WCA850852 WLW850787:WLW850852 WVS850787:WVS850852 WCA1047395:WCA1047460 JG916323:JG916388 TC916323:TC916388 ACY916323:ACY916388 AMU916323:AMU916388 AWQ916323:AWQ916388 BGM916323:BGM916388 BQI916323:BQI916388 CAE916323:CAE916388 CKA916323:CKA916388 CTW916323:CTW916388 DDS916323:DDS916388 DNO916323:DNO916388 DXK916323:DXK916388 EHG916323:EHG916388 ERC916323:ERC916388 FAY916323:FAY916388 FKU916323:FKU916388 FUQ916323:FUQ916388 GEM916323:GEM916388 GOI916323:GOI916388 GYE916323:GYE916388 HIA916323:HIA916388 HRW916323:HRW916388 IBS916323:IBS916388 ILO916323:ILO916388 IVK916323:IVK916388 JFG916323:JFG916388 JPC916323:JPC916388 JYY916323:JYY916388 KIU916323:KIU916388 KSQ916323:KSQ916388 LCM916323:LCM916388 LMI916323:LMI916388 LWE916323:LWE916388 MGA916323:MGA916388 MPW916323:MPW916388 MZS916323:MZS916388 NJO916323:NJO916388 NTK916323:NTK916388 ODG916323:ODG916388 ONC916323:ONC916388 OWY916323:OWY916388 PGU916323:PGU916388 PQQ916323:PQQ916388 QAM916323:QAM916388 QKI916323:QKI916388 QUE916323:QUE916388 REA916323:REA916388 RNW916323:RNW916388 RXS916323:RXS916388 SHO916323:SHO916388 SRK916323:SRK916388 TBG916323:TBG916388 TLC916323:TLC916388 TUY916323:TUY916388 UEU916323:UEU916388 UOQ916323:UOQ916388 UYM916323:UYM916388 VII916323:VII916388 VSE916323:VSE916388 WCA916323:WCA916388 WLW916323:WLW916388 WVS916323:WVS916388 WLW1047395:WLW1047460 JG981859:JG981924 TC981859:TC981924 ACY981859:ACY981924 AMU981859:AMU981924 AWQ981859:AWQ981924 BGM981859:BGM981924 BQI981859:BQI981924 CAE981859:CAE981924 CKA981859:CKA981924 CTW981859:CTW981924 DDS981859:DDS981924 DNO981859:DNO981924 DXK981859:DXK981924 EHG981859:EHG981924 ERC981859:ERC981924 FAY981859:FAY981924 FKU981859:FKU981924 FUQ981859:FUQ981924 GEM981859:GEM981924 GOI981859:GOI981924 GYE981859:GYE981924 HIA981859:HIA981924 HRW981859:HRW981924 IBS981859:IBS981924 ILO981859:ILO981924 IVK981859:IVK981924 JFG981859:JFG981924 JPC981859:JPC981924 JYY981859:JYY981924 KIU981859:KIU981924 KSQ981859:KSQ981924 LCM981859:LCM981924 LMI981859:LMI981924 LWE981859:LWE981924 MGA981859:MGA981924 MPW981859:MPW981924 MZS981859:MZS981924 NJO981859:NJO981924 NTK981859:NTK981924 ODG981859:ODG981924 ONC981859:ONC981924 OWY981859:OWY981924 PGU981859:PGU981924 PQQ981859:PQQ981924 QAM981859:QAM981924 QKI981859:QKI981924 QUE981859:QUE981924 REA981859:REA981924 RNW981859:RNW981924 RXS981859:RXS981924 SHO981859:SHO981924 SRK981859:SRK981924 TBG981859:TBG981924 TLC981859:TLC981924 TUY981859:TUY981924 UEU981859:UEU981924 UOQ981859:UOQ981924 UYM981859:UYM981924 VII981859:VII981924 VSE981859:VSE981924 WCA981859:WCA981924 WLW981859:WLW981924 WVS981859:WVS981924 WVS1047395:WVS1047460 JG1047395:JG1047460 TC1047395:TC1047460 ACY1047395:ACY1047460 AMU1047395:AMU1047460 AWQ1047395:AWQ1047460 BGM1047395:BGM1047460 BQI1047395:BQI1047460 CAE1047395:CAE1047460 CKA1047395:CKA1047460 CTW1047395:CTW1047460 DDS1047395:DDS1047460 DNO1047395:DNO1047460 DXK1047395:DXK1047460 EHG1047395:EHG1047460 ERC1047395:ERC1047460 FAY1047395:FAY1047460 FKU1047395:FKU1047460 FUQ1047395:FUQ1047460 GEM1047395:GEM1047460 GOI1047395:GOI1047460 GYE1047395:GYE1047460 HIA1047395:HIA1047460 HRW1047395:HRW1047460 IBS1047395:IBS1047460 ILO1047395:ILO1047460 IVK1047395:IVK1047460 JFG1047395:JFG1047460 JPC1047395:JPC1047460 JYY1047395:JYY1047460 KIU1047395:KIU1047460 KSQ1047395:KSQ1047460 LCM1047395:LCM1047460 LMI1047395:LMI1047460 LWE1047395:LWE1047460 MGA1047395:MGA1047460 MPW1047395:MPW1047460 MZS1047395:MZS1047460 NJO1047395:NJO1047460 NTK1047395:NTK1047460 ODG1047395:ODG1047460 ONC1047395:ONC1047460 OWY1047395:OWY1047460 PGU1047395:PGU1047460 PQQ1047395:PQQ1047460 QAM1047395:QAM1047460 QKI1047395:QKI1047460 QUE1047395:QUE1047460" xr:uid="{F95D520C-4533-494A-BF85-203B3036011D}">
      <formula1>$AR$2:$AR$24</formula1>
    </dataValidation>
    <dataValidation type="list" allowBlank="1" showInputMessage="1" showErrorMessage="1" sqref="Y64355:AA64420 JU64355:JW64420 TQ64355:TS64420 ADM64355:ADO64420 ANI64355:ANK64420 AXE64355:AXG64420 BHA64355:BHC64420 BQW64355:BQY64420 CAS64355:CAU64420 CKO64355:CKQ64420 CUK64355:CUM64420 DEG64355:DEI64420 DOC64355:DOE64420 DXY64355:DYA64420 EHU64355:EHW64420 ERQ64355:ERS64420 FBM64355:FBO64420 FLI64355:FLK64420 FVE64355:FVG64420 GFA64355:GFC64420 GOW64355:GOY64420 GYS64355:GYU64420 HIO64355:HIQ64420 HSK64355:HSM64420 ICG64355:ICI64420 IMC64355:IME64420 IVY64355:IWA64420 JFU64355:JFW64420 JPQ64355:JPS64420 JZM64355:JZO64420 KJI64355:KJK64420 KTE64355:KTG64420 LDA64355:LDC64420 LMW64355:LMY64420 LWS64355:LWU64420 MGO64355:MGQ64420 MQK64355:MQM64420 NAG64355:NAI64420 NKC64355:NKE64420 NTY64355:NUA64420 ODU64355:ODW64420 ONQ64355:ONS64420 OXM64355:OXO64420 PHI64355:PHK64420 PRE64355:PRG64420 QBA64355:QBC64420 QKW64355:QKY64420 QUS64355:QUU64420 REO64355:REQ64420 ROK64355:ROM64420 RYG64355:RYI64420 SIC64355:SIE64420 SRY64355:SSA64420 TBU64355:TBW64420 TLQ64355:TLS64420 TVM64355:TVO64420 UFI64355:UFK64420 UPE64355:UPG64420 UZA64355:UZC64420 VIW64355:VIY64420 VSS64355:VSU64420 WCO64355:WCQ64420 WMK64355:WMM64420 WWG64355:WWI64420 Y129891:AA129956 JU129891:JW129956 TQ129891:TS129956 ADM129891:ADO129956 ANI129891:ANK129956 AXE129891:AXG129956 BHA129891:BHC129956 BQW129891:BQY129956 CAS129891:CAU129956 CKO129891:CKQ129956 CUK129891:CUM129956 DEG129891:DEI129956 DOC129891:DOE129956 DXY129891:DYA129956 EHU129891:EHW129956 ERQ129891:ERS129956 FBM129891:FBO129956 FLI129891:FLK129956 FVE129891:FVG129956 GFA129891:GFC129956 GOW129891:GOY129956 GYS129891:GYU129956 HIO129891:HIQ129956 HSK129891:HSM129956 ICG129891:ICI129956 IMC129891:IME129956 IVY129891:IWA129956 JFU129891:JFW129956 JPQ129891:JPS129956 JZM129891:JZO129956 KJI129891:KJK129956 KTE129891:KTG129956 LDA129891:LDC129956 LMW129891:LMY129956 LWS129891:LWU129956 MGO129891:MGQ129956 MQK129891:MQM129956 NAG129891:NAI129956 NKC129891:NKE129956 NTY129891:NUA129956 ODU129891:ODW129956 ONQ129891:ONS129956 OXM129891:OXO129956 PHI129891:PHK129956 PRE129891:PRG129956 QBA129891:QBC129956 QKW129891:QKY129956 QUS129891:QUU129956 REO129891:REQ129956 ROK129891:ROM129956 RYG129891:RYI129956 SIC129891:SIE129956 SRY129891:SSA129956 TBU129891:TBW129956 TLQ129891:TLS129956 TVM129891:TVO129956 UFI129891:UFK129956 UPE129891:UPG129956 UZA129891:UZC129956 VIW129891:VIY129956 VSS129891:VSU129956 WCO129891:WCQ129956 WMK129891:WMM129956 WWG129891:WWI129956 Y195427:AA195492 JU195427:JW195492 TQ195427:TS195492 ADM195427:ADO195492 ANI195427:ANK195492 AXE195427:AXG195492 BHA195427:BHC195492 BQW195427:BQY195492 CAS195427:CAU195492 CKO195427:CKQ195492 CUK195427:CUM195492 DEG195427:DEI195492 DOC195427:DOE195492 DXY195427:DYA195492 EHU195427:EHW195492 ERQ195427:ERS195492 FBM195427:FBO195492 FLI195427:FLK195492 FVE195427:FVG195492 GFA195427:GFC195492 GOW195427:GOY195492 GYS195427:GYU195492 HIO195427:HIQ195492 HSK195427:HSM195492 ICG195427:ICI195492 IMC195427:IME195492 IVY195427:IWA195492 JFU195427:JFW195492 JPQ195427:JPS195492 JZM195427:JZO195492 KJI195427:KJK195492 KTE195427:KTG195492 LDA195427:LDC195492 LMW195427:LMY195492 LWS195427:LWU195492 MGO195427:MGQ195492 MQK195427:MQM195492 NAG195427:NAI195492 NKC195427:NKE195492 NTY195427:NUA195492 ODU195427:ODW195492 ONQ195427:ONS195492 OXM195427:OXO195492 PHI195427:PHK195492 PRE195427:PRG195492 QBA195427:QBC195492 QKW195427:QKY195492 QUS195427:QUU195492 REO195427:REQ195492 ROK195427:ROM195492 RYG195427:RYI195492 SIC195427:SIE195492 SRY195427:SSA195492 TBU195427:TBW195492 TLQ195427:TLS195492 TVM195427:TVO195492 UFI195427:UFK195492 UPE195427:UPG195492 UZA195427:UZC195492 VIW195427:VIY195492 VSS195427:VSU195492 WCO195427:WCQ195492 WMK195427:WMM195492 WWG195427:WWI195492 Y260963:AA261028 JU260963:JW261028 TQ260963:TS261028 ADM260963:ADO261028 ANI260963:ANK261028 AXE260963:AXG261028 BHA260963:BHC261028 BQW260963:BQY261028 CAS260963:CAU261028 CKO260963:CKQ261028 CUK260963:CUM261028 DEG260963:DEI261028 DOC260963:DOE261028 DXY260963:DYA261028 EHU260963:EHW261028 ERQ260963:ERS261028 FBM260963:FBO261028 FLI260963:FLK261028 FVE260963:FVG261028 GFA260963:GFC261028 GOW260963:GOY261028 GYS260963:GYU261028 HIO260963:HIQ261028 HSK260963:HSM261028 ICG260963:ICI261028 IMC260963:IME261028 IVY260963:IWA261028 JFU260963:JFW261028 JPQ260963:JPS261028 JZM260963:JZO261028 KJI260963:KJK261028 KTE260963:KTG261028 LDA260963:LDC261028 LMW260963:LMY261028 LWS260963:LWU261028 MGO260963:MGQ261028 MQK260963:MQM261028 NAG260963:NAI261028 NKC260963:NKE261028 NTY260963:NUA261028 ODU260963:ODW261028 ONQ260963:ONS261028 OXM260963:OXO261028 PHI260963:PHK261028 PRE260963:PRG261028 QBA260963:QBC261028 QKW260963:QKY261028 QUS260963:QUU261028 REO260963:REQ261028 ROK260963:ROM261028 RYG260963:RYI261028 SIC260963:SIE261028 SRY260963:SSA261028 TBU260963:TBW261028 TLQ260963:TLS261028 TVM260963:TVO261028 UFI260963:UFK261028 UPE260963:UPG261028 UZA260963:UZC261028 VIW260963:VIY261028 VSS260963:VSU261028 WCO260963:WCQ261028 WMK260963:WMM261028 WWG260963:WWI261028 Y326499:AA326564 JU326499:JW326564 TQ326499:TS326564 ADM326499:ADO326564 ANI326499:ANK326564 AXE326499:AXG326564 BHA326499:BHC326564 BQW326499:BQY326564 CAS326499:CAU326564 CKO326499:CKQ326564 CUK326499:CUM326564 DEG326499:DEI326564 DOC326499:DOE326564 DXY326499:DYA326564 EHU326499:EHW326564 ERQ326499:ERS326564 FBM326499:FBO326564 FLI326499:FLK326564 FVE326499:FVG326564 GFA326499:GFC326564 GOW326499:GOY326564 GYS326499:GYU326564 HIO326499:HIQ326564 HSK326499:HSM326564 ICG326499:ICI326564 IMC326499:IME326564 IVY326499:IWA326564 JFU326499:JFW326564 JPQ326499:JPS326564 JZM326499:JZO326564 KJI326499:KJK326564 KTE326499:KTG326564 LDA326499:LDC326564 LMW326499:LMY326564 LWS326499:LWU326564 MGO326499:MGQ326564 MQK326499:MQM326564 NAG326499:NAI326564 NKC326499:NKE326564 NTY326499:NUA326564 ODU326499:ODW326564 ONQ326499:ONS326564 OXM326499:OXO326564 PHI326499:PHK326564 PRE326499:PRG326564 QBA326499:QBC326564 QKW326499:QKY326564 QUS326499:QUU326564 REO326499:REQ326564 ROK326499:ROM326564 RYG326499:RYI326564 SIC326499:SIE326564 SRY326499:SSA326564 TBU326499:TBW326564 TLQ326499:TLS326564 TVM326499:TVO326564 UFI326499:UFK326564 UPE326499:UPG326564 UZA326499:UZC326564 VIW326499:VIY326564 VSS326499:VSU326564 WCO326499:WCQ326564 WMK326499:WMM326564 WWG326499:WWI326564 Y392035:AA392100 JU392035:JW392100 TQ392035:TS392100 ADM392035:ADO392100 ANI392035:ANK392100 AXE392035:AXG392100 BHA392035:BHC392100 BQW392035:BQY392100 CAS392035:CAU392100 CKO392035:CKQ392100 CUK392035:CUM392100 DEG392035:DEI392100 DOC392035:DOE392100 DXY392035:DYA392100 EHU392035:EHW392100 ERQ392035:ERS392100 FBM392035:FBO392100 FLI392035:FLK392100 FVE392035:FVG392100 GFA392035:GFC392100 GOW392035:GOY392100 GYS392035:GYU392100 HIO392035:HIQ392100 HSK392035:HSM392100 ICG392035:ICI392100 IMC392035:IME392100 IVY392035:IWA392100 JFU392035:JFW392100 JPQ392035:JPS392100 JZM392035:JZO392100 KJI392035:KJK392100 KTE392035:KTG392100 LDA392035:LDC392100 LMW392035:LMY392100 LWS392035:LWU392100 MGO392035:MGQ392100 MQK392035:MQM392100 NAG392035:NAI392100 NKC392035:NKE392100 NTY392035:NUA392100 ODU392035:ODW392100 ONQ392035:ONS392100 OXM392035:OXO392100 PHI392035:PHK392100 PRE392035:PRG392100 QBA392035:QBC392100 QKW392035:QKY392100 QUS392035:QUU392100 REO392035:REQ392100 ROK392035:ROM392100 RYG392035:RYI392100 SIC392035:SIE392100 SRY392035:SSA392100 TBU392035:TBW392100 TLQ392035:TLS392100 TVM392035:TVO392100 UFI392035:UFK392100 UPE392035:UPG392100 UZA392035:UZC392100 VIW392035:VIY392100 VSS392035:VSU392100 WCO392035:WCQ392100 WMK392035:WMM392100 WWG392035:WWI392100 Y457571:AA457636 JU457571:JW457636 TQ457571:TS457636 ADM457571:ADO457636 ANI457571:ANK457636 AXE457571:AXG457636 BHA457571:BHC457636 BQW457571:BQY457636 CAS457571:CAU457636 CKO457571:CKQ457636 CUK457571:CUM457636 DEG457571:DEI457636 DOC457571:DOE457636 DXY457571:DYA457636 EHU457571:EHW457636 ERQ457571:ERS457636 FBM457571:FBO457636 FLI457571:FLK457636 FVE457571:FVG457636 GFA457571:GFC457636 GOW457571:GOY457636 GYS457571:GYU457636 HIO457571:HIQ457636 HSK457571:HSM457636 ICG457571:ICI457636 IMC457571:IME457636 IVY457571:IWA457636 JFU457571:JFW457636 JPQ457571:JPS457636 JZM457571:JZO457636 KJI457571:KJK457636 KTE457571:KTG457636 LDA457571:LDC457636 LMW457571:LMY457636 LWS457571:LWU457636 MGO457571:MGQ457636 MQK457571:MQM457636 NAG457571:NAI457636 NKC457571:NKE457636 NTY457571:NUA457636 ODU457571:ODW457636 ONQ457571:ONS457636 OXM457571:OXO457636 PHI457571:PHK457636 PRE457571:PRG457636 QBA457571:QBC457636 QKW457571:QKY457636 QUS457571:QUU457636 REO457571:REQ457636 ROK457571:ROM457636 RYG457571:RYI457636 SIC457571:SIE457636 SRY457571:SSA457636 TBU457571:TBW457636 TLQ457571:TLS457636 TVM457571:TVO457636 UFI457571:UFK457636 UPE457571:UPG457636 UZA457571:UZC457636 VIW457571:VIY457636 VSS457571:VSU457636 WCO457571:WCQ457636 WMK457571:WMM457636 WWG457571:WWI457636 Y523107:AA523172 JU523107:JW523172 TQ523107:TS523172 ADM523107:ADO523172 ANI523107:ANK523172 AXE523107:AXG523172 BHA523107:BHC523172 BQW523107:BQY523172 CAS523107:CAU523172 CKO523107:CKQ523172 CUK523107:CUM523172 DEG523107:DEI523172 DOC523107:DOE523172 DXY523107:DYA523172 EHU523107:EHW523172 ERQ523107:ERS523172 FBM523107:FBO523172 FLI523107:FLK523172 FVE523107:FVG523172 GFA523107:GFC523172 GOW523107:GOY523172 GYS523107:GYU523172 HIO523107:HIQ523172 HSK523107:HSM523172 ICG523107:ICI523172 IMC523107:IME523172 IVY523107:IWA523172 JFU523107:JFW523172 JPQ523107:JPS523172 JZM523107:JZO523172 KJI523107:KJK523172 KTE523107:KTG523172 LDA523107:LDC523172 LMW523107:LMY523172 LWS523107:LWU523172 MGO523107:MGQ523172 MQK523107:MQM523172 NAG523107:NAI523172 NKC523107:NKE523172 NTY523107:NUA523172 ODU523107:ODW523172 ONQ523107:ONS523172 OXM523107:OXO523172 PHI523107:PHK523172 PRE523107:PRG523172 QBA523107:QBC523172 QKW523107:QKY523172 QUS523107:QUU523172 REO523107:REQ523172 ROK523107:ROM523172 RYG523107:RYI523172 SIC523107:SIE523172 SRY523107:SSA523172 TBU523107:TBW523172 TLQ523107:TLS523172 TVM523107:TVO523172 UFI523107:UFK523172 UPE523107:UPG523172 UZA523107:UZC523172 VIW523107:VIY523172 VSS523107:VSU523172 WCO523107:WCQ523172 WMK523107:WMM523172 WWG523107:WWI523172 Y588643:AA588708 JU588643:JW588708 TQ588643:TS588708 ADM588643:ADO588708 ANI588643:ANK588708 AXE588643:AXG588708 BHA588643:BHC588708 BQW588643:BQY588708 CAS588643:CAU588708 CKO588643:CKQ588708 CUK588643:CUM588708 DEG588643:DEI588708 DOC588643:DOE588708 DXY588643:DYA588708 EHU588643:EHW588708 ERQ588643:ERS588708 FBM588643:FBO588708 FLI588643:FLK588708 FVE588643:FVG588708 GFA588643:GFC588708 GOW588643:GOY588708 GYS588643:GYU588708 HIO588643:HIQ588708 HSK588643:HSM588708 ICG588643:ICI588708 IMC588643:IME588708 IVY588643:IWA588708 JFU588643:JFW588708 JPQ588643:JPS588708 JZM588643:JZO588708 KJI588643:KJK588708 KTE588643:KTG588708 LDA588643:LDC588708 LMW588643:LMY588708 LWS588643:LWU588708 MGO588643:MGQ588708 MQK588643:MQM588708 NAG588643:NAI588708 NKC588643:NKE588708 NTY588643:NUA588708 ODU588643:ODW588708 ONQ588643:ONS588708 OXM588643:OXO588708 PHI588643:PHK588708 PRE588643:PRG588708 QBA588643:QBC588708 QKW588643:QKY588708 QUS588643:QUU588708 REO588643:REQ588708 ROK588643:ROM588708 RYG588643:RYI588708 SIC588643:SIE588708 SRY588643:SSA588708 TBU588643:TBW588708 TLQ588643:TLS588708 TVM588643:TVO588708 UFI588643:UFK588708 UPE588643:UPG588708 UZA588643:UZC588708 VIW588643:VIY588708 VSS588643:VSU588708 WCO588643:WCQ588708 WMK588643:WMM588708 WWG588643:WWI588708 Y654179:AA654244 JU654179:JW654244 TQ654179:TS654244 ADM654179:ADO654244 ANI654179:ANK654244 AXE654179:AXG654244 BHA654179:BHC654244 BQW654179:BQY654244 CAS654179:CAU654244 CKO654179:CKQ654244 CUK654179:CUM654244 DEG654179:DEI654244 DOC654179:DOE654244 DXY654179:DYA654244 EHU654179:EHW654244 ERQ654179:ERS654244 FBM654179:FBO654244 FLI654179:FLK654244 FVE654179:FVG654244 GFA654179:GFC654244 GOW654179:GOY654244 GYS654179:GYU654244 HIO654179:HIQ654244 HSK654179:HSM654244 ICG654179:ICI654244 IMC654179:IME654244 IVY654179:IWA654244 JFU654179:JFW654244 JPQ654179:JPS654244 JZM654179:JZO654244 KJI654179:KJK654244 KTE654179:KTG654244 LDA654179:LDC654244 LMW654179:LMY654244 LWS654179:LWU654244 MGO654179:MGQ654244 MQK654179:MQM654244 NAG654179:NAI654244 NKC654179:NKE654244 NTY654179:NUA654244 ODU654179:ODW654244 ONQ654179:ONS654244 OXM654179:OXO654244 PHI654179:PHK654244 PRE654179:PRG654244 QBA654179:QBC654244 QKW654179:QKY654244 QUS654179:QUU654244 REO654179:REQ654244 ROK654179:ROM654244 RYG654179:RYI654244 SIC654179:SIE654244 SRY654179:SSA654244 TBU654179:TBW654244 TLQ654179:TLS654244 TVM654179:TVO654244 UFI654179:UFK654244 UPE654179:UPG654244 UZA654179:UZC654244 VIW654179:VIY654244 VSS654179:VSU654244 WCO654179:WCQ654244 WMK654179:WMM654244 WWG654179:WWI654244 Y719715:AA719780 JU719715:JW719780 TQ719715:TS719780 ADM719715:ADO719780 ANI719715:ANK719780 AXE719715:AXG719780 BHA719715:BHC719780 BQW719715:BQY719780 CAS719715:CAU719780 CKO719715:CKQ719780 CUK719715:CUM719780 DEG719715:DEI719780 DOC719715:DOE719780 DXY719715:DYA719780 EHU719715:EHW719780 ERQ719715:ERS719780 FBM719715:FBO719780 FLI719715:FLK719780 FVE719715:FVG719780 GFA719715:GFC719780 GOW719715:GOY719780 GYS719715:GYU719780 HIO719715:HIQ719780 HSK719715:HSM719780 ICG719715:ICI719780 IMC719715:IME719780 IVY719715:IWA719780 JFU719715:JFW719780 JPQ719715:JPS719780 JZM719715:JZO719780 KJI719715:KJK719780 KTE719715:KTG719780 LDA719715:LDC719780 LMW719715:LMY719780 LWS719715:LWU719780 MGO719715:MGQ719780 MQK719715:MQM719780 NAG719715:NAI719780 NKC719715:NKE719780 NTY719715:NUA719780 ODU719715:ODW719780 ONQ719715:ONS719780 OXM719715:OXO719780 PHI719715:PHK719780 PRE719715:PRG719780 QBA719715:QBC719780 QKW719715:QKY719780 QUS719715:QUU719780 REO719715:REQ719780 ROK719715:ROM719780 RYG719715:RYI719780 SIC719715:SIE719780 SRY719715:SSA719780 TBU719715:TBW719780 TLQ719715:TLS719780 TVM719715:TVO719780 UFI719715:UFK719780 UPE719715:UPG719780 UZA719715:UZC719780 VIW719715:VIY719780 VSS719715:VSU719780 WCO719715:WCQ719780 WMK719715:WMM719780 WWG719715:WWI719780 Y785251:AA785316 JU785251:JW785316 TQ785251:TS785316 ADM785251:ADO785316 ANI785251:ANK785316 AXE785251:AXG785316 BHA785251:BHC785316 BQW785251:BQY785316 CAS785251:CAU785316 CKO785251:CKQ785316 CUK785251:CUM785316 DEG785251:DEI785316 DOC785251:DOE785316 DXY785251:DYA785316 EHU785251:EHW785316 ERQ785251:ERS785316 FBM785251:FBO785316 FLI785251:FLK785316 FVE785251:FVG785316 GFA785251:GFC785316 GOW785251:GOY785316 GYS785251:GYU785316 HIO785251:HIQ785316 HSK785251:HSM785316 ICG785251:ICI785316 IMC785251:IME785316 IVY785251:IWA785316 JFU785251:JFW785316 JPQ785251:JPS785316 JZM785251:JZO785316 KJI785251:KJK785316 KTE785251:KTG785316 LDA785251:LDC785316 LMW785251:LMY785316 LWS785251:LWU785316 MGO785251:MGQ785316 MQK785251:MQM785316 NAG785251:NAI785316 NKC785251:NKE785316 NTY785251:NUA785316 ODU785251:ODW785316 ONQ785251:ONS785316 OXM785251:OXO785316 PHI785251:PHK785316 PRE785251:PRG785316 QBA785251:QBC785316 QKW785251:QKY785316 QUS785251:QUU785316 REO785251:REQ785316 ROK785251:ROM785316 RYG785251:RYI785316 SIC785251:SIE785316 SRY785251:SSA785316 TBU785251:TBW785316 TLQ785251:TLS785316 TVM785251:TVO785316 UFI785251:UFK785316 UPE785251:UPG785316 UZA785251:UZC785316 VIW785251:VIY785316 VSS785251:VSU785316 WCO785251:WCQ785316 WMK785251:WMM785316 WWG785251:WWI785316 Y850787:AA850852 JU850787:JW850852 TQ850787:TS850852 ADM850787:ADO850852 ANI850787:ANK850852 AXE850787:AXG850852 BHA850787:BHC850852 BQW850787:BQY850852 CAS850787:CAU850852 CKO850787:CKQ850852 CUK850787:CUM850852 DEG850787:DEI850852 DOC850787:DOE850852 DXY850787:DYA850852 EHU850787:EHW850852 ERQ850787:ERS850852 FBM850787:FBO850852 FLI850787:FLK850852 FVE850787:FVG850852 GFA850787:GFC850852 GOW850787:GOY850852 GYS850787:GYU850852 HIO850787:HIQ850852 HSK850787:HSM850852 ICG850787:ICI850852 IMC850787:IME850852 IVY850787:IWA850852 JFU850787:JFW850852 JPQ850787:JPS850852 JZM850787:JZO850852 KJI850787:KJK850852 KTE850787:KTG850852 LDA850787:LDC850852 LMW850787:LMY850852 LWS850787:LWU850852 MGO850787:MGQ850852 MQK850787:MQM850852 NAG850787:NAI850852 NKC850787:NKE850852 NTY850787:NUA850852 ODU850787:ODW850852 ONQ850787:ONS850852 OXM850787:OXO850852 PHI850787:PHK850852 PRE850787:PRG850852 QBA850787:QBC850852 QKW850787:QKY850852 QUS850787:QUU850852 REO850787:REQ850852 ROK850787:ROM850852 RYG850787:RYI850852 SIC850787:SIE850852 SRY850787:SSA850852 TBU850787:TBW850852 TLQ850787:TLS850852 TVM850787:TVO850852 UFI850787:UFK850852 UPE850787:UPG850852 UZA850787:UZC850852 VIW850787:VIY850852 VSS850787:VSU850852 WCO850787:WCQ850852 WMK850787:WMM850852 WWG850787:WWI850852 Y916323:AA916388 JU916323:JW916388 TQ916323:TS916388 ADM916323:ADO916388 ANI916323:ANK916388 AXE916323:AXG916388 BHA916323:BHC916388 BQW916323:BQY916388 CAS916323:CAU916388 CKO916323:CKQ916388 CUK916323:CUM916388 DEG916323:DEI916388 DOC916323:DOE916388 DXY916323:DYA916388 EHU916323:EHW916388 ERQ916323:ERS916388 FBM916323:FBO916388 FLI916323:FLK916388 FVE916323:FVG916388 GFA916323:GFC916388 GOW916323:GOY916388 GYS916323:GYU916388 HIO916323:HIQ916388 HSK916323:HSM916388 ICG916323:ICI916388 IMC916323:IME916388 IVY916323:IWA916388 JFU916323:JFW916388 JPQ916323:JPS916388 JZM916323:JZO916388 KJI916323:KJK916388 KTE916323:KTG916388 LDA916323:LDC916388 LMW916323:LMY916388 LWS916323:LWU916388 MGO916323:MGQ916388 MQK916323:MQM916388 NAG916323:NAI916388 NKC916323:NKE916388 NTY916323:NUA916388 ODU916323:ODW916388 ONQ916323:ONS916388 OXM916323:OXO916388 PHI916323:PHK916388 PRE916323:PRG916388 QBA916323:QBC916388 QKW916323:QKY916388 QUS916323:QUU916388 REO916323:REQ916388 ROK916323:ROM916388 RYG916323:RYI916388 SIC916323:SIE916388 SRY916323:SSA916388 TBU916323:TBW916388 TLQ916323:TLS916388 TVM916323:TVO916388 UFI916323:UFK916388 UPE916323:UPG916388 UZA916323:UZC916388 VIW916323:VIY916388 VSS916323:VSU916388 WCO916323:WCQ916388 WMK916323:WMM916388 WWG916323:WWI916388 Y981859:AA981924 JU981859:JW981924 TQ981859:TS981924 ADM981859:ADO981924 ANI981859:ANK981924 AXE981859:AXG981924 BHA981859:BHC981924 BQW981859:BQY981924 CAS981859:CAU981924 CKO981859:CKQ981924 CUK981859:CUM981924 DEG981859:DEI981924 DOC981859:DOE981924 DXY981859:DYA981924 EHU981859:EHW981924 ERQ981859:ERS981924 FBM981859:FBO981924 FLI981859:FLK981924 FVE981859:FVG981924 GFA981859:GFC981924 GOW981859:GOY981924 GYS981859:GYU981924 HIO981859:HIQ981924 HSK981859:HSM981924 ICG981859:ICI981924 IMC981859:IME981924 IVY981859:IWA981924 JFU981859:JFW981924 JPQ981859:JPS981924 JZM981859:JZO981924 KJI981859:KJK981924 KTE981859:KTG981924 LDA981859:LDC981924 LMW981859:LMY981924 LWS981859:LWU981924 MGO981859:MGQ981924 MQK981859:MQM981924 NAG981859:NAI981924 NKC981859:NKE981924 NTY981859:NUA981924 ODU981859:ODW981924 ONQ981859:ONS981924 OXM981859:OXO981924 PHI981859:PHK981924 PRE981859:PRG981924 QBA981859:QBC981924 QKW981859:QKY981924 QUS981859:QUU981924 REO981859:REQ981924 ROK981859:ROM981924 RYG981859:RYI981924 SIC981859:SIE981924 SRY981859:SSA981924 TBU981859:TBW981924 TLQ981859:TLS981924 TVM981859:TVO981924 UFI981859:UFK981924 UPE981859:UPG981924 UZA981859:UZC981924 VIW981859:VIY981924 VSS981859:VSU981924 WCO981859:WCQ981924 WMK981859:WMM981924 WWG981859:WWI981924 Y1047395:AA1047460 JU1047395:JW1047460 TQ1047395:TS1047460 ADM1047395:ADO1047460 ANI1047395:ANK1047460 AXE1047395:AXG1047460 BHA1047395:BHC1047460 BQW1047395:BQY1047460 CAS1047395:CAU1047460 CKO1047395:CKQ1047460 CUK1047395:CUM1047460 DEG1047395:DEI1047460 DOC1047395:DOE1047460 DXY1047395:DYA1047460 EHU1047395:EHW1047460 ERQ1047395:ERS1047460 FBM1047395:FBO1047460 FLI1047395:FLK1047460 FVE1047395:FVG1047460 GFA1047395:GFC1047460 GOW1047395:GOY1047460 GYS1047395:GYU1047460 HIO1047395:HIQ1047460 HSK1047395:HSM1047460 ICG1047395:ICI1047460 IMC1047395:IME1047460 IVY1047395:IWA1047460 JFU1047395:JFW1047460 JPQ1047395:JPS1047460 JZM1047395:JZO1047460 KJI1047395:KJK1047460 KTE1047395:KTG1047460 LDA1047395:LDC1047460 LMW1047395:LMY1047460 LWS1047395:LWU1047460 MGO1047395:MGQ1047460 MQK1047395:MQM1047460 NAG1047395:NAI1047460 NKC1047395:NKE1047460 NTY1047395:NUA1047460 ODU1047395:ODW1047460 ONQ1047395:ONS1047460 OXM1047395:OXO1047460 PHI1047395:PHK1047460 PRE1047395:PRG1047460 QBA1047395:QBC1047460 QKW1047395:QKY1047460 QUS1047395:QUU1047460 REO1047395:REQ1047460 ROK1047395:ROM1047460 RYG1047395:RYI1047460 SIC1047395:SIE1047460 SRY1047395:SSA1047460 TBU1047395:TBW1047460 TLQ1047395:TLS1047460 TVM1047395:TVO1047460 UFI1047395:UFK1047460 UPE1047395:UPG1047460 UZA1047395:UZC1047460 VIW1047395:VIY1047460 VSS1047395:VSU1047460 WCO1047395:WCQ1047460 WMK1047395:WMM1047460 WWG1047395:WWI1047460 WWG983034:WWI983099 Y65530:AA65595 JU65530:JW65595 TQ65530:TS65595 ADM65530:ADO65595 ANI65530:ANK65595 AXE65530:AXG65595 BHA65530:BHC65595 BQW65530:BQY65595 CAS65530:CAU65595 CKO65530:CKQ65595 CUK65530:CUM65595 DEG65530:DEI65595 DOC65530:DOE65595 DXY65530:DYA65595 EHU65530:EHW65595 ERQ65530:ERS65595 FBM65530:FBO65595 FLI65530:FLK65595 FVE65530:FVG65595 GFA65530:GFC65595 GOW65530:GOY65595 GYS65530:GYU65595 HIO65530:HIQ65595 HSK65530:HSM65595 ICG65530:ICI65595 IMC65530:IME65595 IVY65530:IWA65595 JFU65530:JFW65595 JPQ65530:JPS65595 JZM65530:JZO65595 KJI65530:KJK65595 KTE65530:KTG65595 LDA65530:LDC65595 LMW65530:LMY65595 LWS65530:LWU65595 MGO65530:MGQ65595 MQK65530:MQM65595 NAG65530:NAI65595 NKC65530:NKE65595 NTY65530:NUA65595 ODU65530:ODW65595 ONQ65530:ONS65595 OXM65530:OXO65595 PHI65530:PHK65595 PRE65530:PRG65595 QBA65530:QBC65595 QKW65530:QKY65595 QUS65530:QUU65595 REO65530:REQ65595 ROK65530:ROM65595 RYG65530:RYI65595 SIC65530:SIE65595 SRY65530:SSA65595 TBU65530:TBW65595 TLQ65530:TLS65595 TVM65530:TVO65595 UFI65530:UFK65595 UPE65530:UPG65595 UZA65530:UZC65595 VIW65530:VIY65595 VSS65530:VSU65595 WCO65530:WCQ65595 WMK65530:WMM65595 WWG65530:WWI65595 Y131066:AA131131 JU131066:JW131131 TQ131066:TS131131 ADM131066:ADO131131 ANI131066:ANK131131 AXE131066:AXG131131 BHA131066:BHC131131 BQW131066:BQY131131 CAS131066:CAU131131 CKO131066:CKQ131131 CUK131066:CUM131131 DEG131066:DEI131131 DOC131066:DOE131131 DXY131066:DYA131131 EHU131066:EHW131131 ERQ131066:ERS131131 FBM131066:FBO131131 FLI131066:FLK131131 FVE131066:FVG131131 GFA131066:GFC131131 GOW131066:GOY131131 GYS131066:GYU131131 HIO131066:HIQ131131 HSK131066:HSM131131 ICG131066:ICI131131 IMC131066:IME131131 IVY131066:IWA131131 JFU131066:JFW131131 JPQ131066:JPS131131 JZM131066:JZO131131 KJI131066:KJK131131 KTE131066:KTG131131 LDA131066:LDC131131 LMW131066:LMY131131 LWS131066:LWU131131 MGO131066:MGQ131131 MQK131066:MQM131131 NAG131066:NAI131131 NKC131066:NKE131131 NTY131066:NUA131131 ODU131066:ODW131131 ONQ131066:ONS131131 OXM131066:OXO131131 PHI131066:PHK131131 PRE131066:PRG131131 QBA131066:QBC131131 QKW131066:QKY131131 QUS131066:QUU131131 REO131066:REQ131131 ROK131066:ROM131131 RYG131066:RYI131131 SIC131066:SIE131131 SRY131066:SSA131131 TBU131066:TBW131131 TLQ131066:TLS131131 TVM131066:TVO131131 UFI131066:UFK131131 UPE131066:UPG131131 UZA131066:UZC131131 VIW131066:VIY131131 VSS131066:VSU131131 WCO131066:WCQ131131 WMK131066:WMM131131 WWG131066:WWI131131 Y196602:AA196667 JU196602:JW196667 TQ196602:TS196667 ADM196602:ADO196667 ANI196602:ANK196667 AXE196602:AXG196667 BHA196602:BHC196667 BQW196602:BQY196667 CAS196602:CAU196667 CKO196602:CKQ196667 CUK196602:CUM196667 DEG196602:DEI196667 DOC196602:DOE196667 DXY196602:DYA196667 EHU196602:EHW196667 ERQ196602:ERS196667 FBM196602:FBO196667 FLI196602:FLK196667 FVE196602:FVG196667 GFA196602:GFC196667 GOW196602:GOY196667 GYS196602:GYU196667 HIO196602:HIQ196667 HSK196602:HSM196667 ICG196602:ICI196667 IMC196602:IME196667 IVY196602:IWA196667 JFU196602:JFW196667 JPQ196602:JPS196667 JZM196602:JZO196667 KJI196602:KJK196667 KTE196602:KTG196667 LDA196602:LDC196667 LMW196602:LMY196667 LWS196602:LWU196667 MGO196602:MGQ196667 MQK196602:MQM196667 NAG196602:NAI196667 NKC196602:NKE196667 NTY196602:NUA196667 ODU196602:ODW196667 ONQ196602:ONS196667 OXM196602:OXO196667 PHI196602:PHK196667 PRE196602:PRG196667 QBA196602:QBC196667 QKW196602:QKY196667 QUS196602:QUU196667 REO196602:REQ196667 ROK196602:ROM196667 RYG196602:RYI196667 SIC196602:SIE196667 SRY196602:SSA196667 TBU196602:TBW196667 TLQ196602:TLS196667 TVM196602:TVO196667 UFI196602:UFK196667 UPE196602:UPG196667 UZA196602:UZC196667 VIW196602:VIY196667 VSS196602:VSU196667 WCO196602:WCQ196667 WMK196602:WMM196667 WWG196602:WWI196667 Y262138:AA262203 JU262138:JW262203 TQ262138:TS262203 ADM262138:ADO262203 ANI262138:ANK262203 AXE262138:AXG262203 BHA262138:BHC262203 BQW262138:BQY262203 CAS262138:CAU262203 CKO262138:CKQ262203 CUK262138:CUM262203 DEG262138:DEI262203 DOC262138:DOE262203 DXY262138:DYA262203 EHU262138:EHW262203 ERQ262138:ERS262203 FBM262138:FBO262203 FLI262138:FLK262203 FVE262138:FVG262203 GFA262138:GFC262203 GOW262138:GOY262203 GYS262138:GYU262203 HIO262138:HIQ262203 HSK262138:HSM262203 ICG262138:ICI262203 IMC262138:IME262203 IVY262138:IWA262203 JFU262138:JFW262203 JPQ262138:JPS262203 JZM262138:JZO262203 KJI262138:KJK262203 KTE262138:KTG262203 LDA262138:LDC262203 LMW262138:LMY262203 LWS262138:LWU262203 MGO262138:MGQ262203 MQK262138:MQM262203 NAG262138:NAI262203 NKC262138:NKE262203 NTY262138:NUA262203 ODU262138:ODW262203 ONQ262138:ONS262203 OXM262138:OXO262203 PHI262138:PHK262203 PRE262138:PRG262203 QBA262138:QBC262203 QKW262138:QKY262203 QUS262138:QUU262203 REO262138:REQ262203 ROK262138:ROM262203 RYG262138:RYI262203 SIC262138:SIE262203 SRY262138:SSA262203 TBU262138:TBW262203 TLQ262138:TLS262203 TVM262138:TVO262203 UFI262138:UFK262203 UPE262138:UPG262203 UZA262138:UZC262203 VIW262138:VIY262203 VSS262138:VSU262203 WCO262138:WCQ262203 WMK262138:WMM262203 WWG262138:WWI262203 Y327674:AA327739 JU327674:JW327739 TQ327674:TS327739 ADM327674:ADO327739 ANI327674:ANK327739 AXE327674:AXG327739 BHA327674:BHC327739 BQW327674:BQY327739 CAS327674:CAU327739 CKO327674:CKQ327739 CUK327674:CUM327739 DEG327674:DEI327739 DOC327674:DOE327739 DXY327674:DYA327739 EHU327674:EHW327739 ERQ327674:ERS327739 FBM327674:FBO327739 FLI327674:FLK327739 FVE327674:FVG327739 GFA327674:GFC327739 GOW327674:GOY327739 GYS327674:GYU327739 HIO327674:HIQ327739 HSK327674:HSM327739 ICG327674:ICI327739 IMC327674:IME327739 IVY327674:IWA327739 JFU327674:JFW327739 JPQ327674:JPS327739 JZM327674:JZO327739 KJI327674:KJK327739 KTE327674:KTG327739 LDA327674:LDC327739 LMW327674:LMY327739 LWS327674:LWU327739 MGO327674:MGQ327739 MQK327674:MQM327739 NAG327674:NAI327739 NKC327674:NKE327739 NTY327674:NUA327739 ODU327674:ODW327739 ONQ327674:ONS327739 OXM327674:OXO327739 PHI327674:PHK327739 PRE327674:PRG327739 QBA327674:QBC327739 QKW327674:QKY327739 QUS327674:QUU327739 REO327674:REQ327739 ROK327674:ROM327739 RYG327674:RYI327739 SIC327674:SIE327739 SRY327674:SSA327739 TBU327674:TBW327739 TLQ327674:TLS327739 TVM327674:TVO327739 UFI327674:UFK327739 UPE327674:UPG327739 UZA327674:UZC327739 VIW327674:VIY327739 VSS327674:VSU327739 WCO327674:WCQ327739 WMK327674:WMM327739 WWG327674:WWI327739 Y393210:AA393275 JU393210:JW393275 TQ393210:TS393275 ADM393210:ADO393275 ANI393210:ANK393275 AXE393210:AXG393275 BHA393210:BHC393275 BQW393210:BQY393275 CAS393210:CAU393275 CKO393210:CKQ393275 CUK393210:CUM393275 DEG393210:DEI393275 DOC393210:DOE393275 DXY393210:DYA393275 EHU393210:EHW393275 ERQ393210:ERS393275 FBM393210:FBO393275 FLI393210:FLK393275 FVE393210:FVG393275 GFA393210:GFC393275 GOW393210:GOY393275 GYS393210:GYU393275 HIO393210:HIQ393275 HSK393210:HSM393275 ICG393210:ICI393275 IMC393210:IME393275 IVY393210:IWA393275 JFU393210:JFW393275 JPQ393210:JPS393275 JZM393210:JZO393275 KJI393210:KJK393275 KTE393210:KTG393275 LDA393210:LDC393275 LMW393210:LMY393275 LWS393210:LWU393275 MGO393210:MGQ393275 MQK393210:MQM393275 NAG393210:NAI393275 NKC393210:NKE393275 NTY393210:NUA393275 ODU393210:ODW393275 ONQ393210:ONS393275 OXM393210:OXO393275 PHI393210:PHK393275 PRE393210:PRG393275 QBA393210:QBC393275 QKW393210:QKY393275 QUS393210:QUU393275 REO393210:REQ393275 ROK393210:ROM393275 RYG393210:RYI393275 SIC393210:SIE393275 SRY393210:SSA393275 TBU393210:TBW393275 TLQ393210:TLS393275 TVM393210:TVO393275 UFI393210:UFK393275 UPE393210:UPG393275 UZA393210:UZC393275 VIW393210:VIY393275 VSS393210:VSU393275 WCO393210:WCQ393275 WMK393210:WMM393275 WWG393210:WWI393275 Y458746:AA458811 JU458746:JW458811 TQ458746:TS458811 ADM458746:ADO458811 ANI458746:ANK458811 AXE458746:AXG458811 BHA458746:BHC458811 BQW458746:BQY458811 CAS458746:CAU458811 CKO458746:CKQ458811 CUK458746:CUM458811 DEG458746:DEI458811 DOC458746:DOE458811 DXY458746:DYA458811 EHU458746:EHW458811 ERQ458746:ERS458811 FBM458746:FBO458811 FLI458746:FLK458811 FVE458746:FVG458811 GFA458746:GFC458811 GOW458746:GOY458811 GYS458746:GYU458811 HIO458746:HIQ458811 HSK458746:HSM458811 ICG458746:ICI458811 IMC458746:IME458811 IVY458746:IWA458811 JFU458746:JFW458811 JPQ458746:JPS458811 JZM458746:JZO458811 KJI458746:KJK458811 KTE458746:KTG458811 LDA458746:LDC458811 LMW458746:LMY458811 LWS458746:LWU458811 MGO458746:MGQ458811 MQK458746:MQM458811 NAG458746:NAI458811 NKC458746:NKE458811 NTY458746:NUA458811 ODU458746:ODW458811 ONQ458746:ONS458811 OXM458746:OXO458811 PHI458746:PHK458811 PRE458746:PRG458811 QBA458746:QBC458811 QKW458746:QKY458811 QUS458746:QUU458811 REO458746:REQ458811 ROK458746:ROM458811 RYG458746:RYI458811 SIC458746:SIE458811 SRY458746:SSA458811 TBU458746:TBW458811 TLQ458746:TLS458811 TVM458746:TVO458811 UFI458746:UFK458811 UPE458746:UPG458811 UZA458746:UZC458811 VIW458746:VIY458811 VSS458746:VSU458811 WCO458746:WCQ458811 WMK458746:WMM458811 WWG458746:WWI458811 Y524282:AA524347 JU524282:JW524347 TQ524282:TS524347 ADM524282:ADO524347 ANI524282:ANK524347 AXE524282:AXG524347 BHA524282:BHC524347 BQW524282:BQY524347 CAS524282:CAU524347 CKO524282:CKQ524347 CUK524282:CUM524347 DEG524282:DEI524347 DOC524282:DOE524347 DXY524282:DYA524347 EHU524282:EHW524347 ERQ524282:ERS524347 FBM524282:FBO524347 FLI524282:FLK524347 FVE524282:FVG524347 GFA524282:GFC524347 GOW524282:GOY524347 GYS524282:GYU524347 HIO524282:HIQ524347 HSK524282:HSM524347 ICG524282:ICI524347 IMC524282:IME524347 IVY524282:IWA524347 JFU524282:JFW524347 JPQ524282:JPS524347 JZM524282:JZO524347 KJI524282:KJK524347 KTE524282:KTG524347 LDA524282:LDC524347 LMW524282:LMY524347 LWS524282:LWU524347 MGO524282:MGQ524347 MQK524282:MQM524347 NAG524282:NAI524347 NKC524282:NKE524347 NTY524282:NUA524347 ODU524282:ODW524347 ONQ524282:ONS524347 OXM524282:OXO524347 PHI524282:PHK524347 PRE524282:PRG524347 QBA524282:QBC524347 QKW524282:QKY524347 QUS524282:QUU524347 REO524282:REQ524347 ROK524282:ROM524347 RYG524282:RYI524347 SIC524282:SIE524347 SRY524282:SSA524347 TBU524282:TBW524347 TLQ524282:TLS524347 TVM524282:TVO524347 UFI524282:UFK524347 UPE524282:UPG524347 UZA524282:UZC524347 VIW524282:VIY524347 VSS524282:VSU524347 WCO524282:WCQ524347 WMK524282:WMM524347 WWG524282:WWI524347 Y589818:AA589883 JU589818:JW589883 TQ589818:TS589883 ADM589818:ADO589883 ANI589818:ANK589883 AXE589818:AXG589883 BHA589818:BHC589883 BQW589818:BQY589883 CAS589818:CAU589883 CKO589818:CKQ589883 CUK589818:CUM589883 DEG589818:DEI589883 DOC589818:DOE589883 DXY589818:DYA589883 EHU589818:EHW589883 ERQ589818:ERS589883 FBM589818:FBO589883 FLI589818:FLK589883 FVE589818:FVG589883 GFA589818:GFC589883 GOW589818:GOY589883 GYS589818:GYU589883 HIO589818:HIQ589883 HSK589818:HSM589883 ICG589818:ICI589883 IMC589818:IME589883 IVY589818:IWA589883 JFU589818:JFW589883 JPQ589818:JPS589883 JZM589818:JZO589883 KJI589818:KJK589883 KTE589818:KTG589883 LDA589818:LDC589883 LMW589818:LMY589883 LWS589818:LWU589883 MGO589818:MGQ589883 MQK589818:MQM589883 NAG589818:NAI589883 NKC589818:NKE589883 NTY589818:NUA589883 ODU589818:ODW589883 ONQ589818:ONS589883 OXM589818:OXO589883 PHI589818:PHK589883 PRE589818:PRG589883 QBA589818:QBC589883 QKW589818:QKY589883 QUS589818:QUU589883 REO589818:REQ589883 ROK589818:ROM589883 RYG589818:RYI589883 SIC589818:SIE589883 SRY589818:SSA589883 TBU589818:TBW589883 TLQ589818:TLS589883 TVM589818:TVO589883 UFI589818:UFK589883 UPE589818:UPG589883 UZA589818:UZC589883 VIW589818:VIY589883 VSS589818:VSU589883 WCO589818:WCQ589883 WMK589818:WMM589883 WWG589818:WWI589883 Y655354:AA655419 JU655354:JW655419 TQ655354:TS655419 ADM655354:ADO655419 ANI655354:ANK655419 AXE655354:AXG655419 BHA655354:BHC655419 BQW655354:BQY655419 CAS655354:CAU655419 CKO655354:CKQ655419 CUK655354:CUM655419 DEG655354:DEI655419 DOC655354:DOE655419 DXY655354:DYA655419 EHU655354:EHW655419 ERQ655354:ERS655419 FBM655354:FBO655419 FLI655354:FLK655419 FVE655354:FVG655419 GFA655354:GFC655419 GOW655354:GOY655419 GYS655354:GYU655419 HIO655354:HIQ655419 HSK655354:HSM655419 ICG655354:ICI655419 IMC655354:IME655419 IVY655354:IWA655419 JFU655354:JFW655419 JPQ655354:JPS655419 JZM655354:JZO655419 KJI655354:KJK655419 KTE655354:KTG655419 LDA655354:LDC655419 LMW655354:LMY655419 LWS655354:LWU655419 MGO655354:MGQ655419 MQK655354:MQM655419 NAG655354:NAI655419 NKC655354:NKE655419 NTY655354:NUA655419 ODU655354:ODW655419 ONQ655354:ONS655419 OXM655354:OXO655419 PHI655354:PHK655419 PRE655354:PRG655419 QBA655354:QBC655419 QKW655354:QKY655419 QUS655354:QUU655419 REO655354:REQ655419 ROK655354:ROM655419 RYG655354:RYI655419 SIC655354:SIE655419 SRY655354:SSA655419 TBU655354:TBW655419 TLQ655354:TLS655419 TVM655354:TVO655419 UFI655354:UFK655419 UPE655354:UPG655419 UZA655354:UZC655419 VIW655354:VIY655419 VSS655354:VSU655419 WCO655354:WCQ655419 WMK655354:WMM655419 WWG655354:WWI655419 Y720890:AA720955 JU720890:JW720955 TQ720890:TS720955 ADM720890:ADO720955 ANI720890:ANK720955 AXE720890:AXG720955 BHA720890:BHC720955 BQW720890:BQY720955 CAS720890:CAU720955 CKO720890:CKQ720955 CUK720890:CUM720955 DEG720890:DEI720955 DOC720890:DOE720955 DXY720890:DYA720955 EHU720890:EHW720955 ERQ720890:ERS720955 FBM720890:FBO720955 FLI720890:FLK720955 FVE720890:FVG720955 GFA720890:GFC720955 GOW720890:GOY720955 GYS720890:GYU720955 HIO720890:HIQ720955 HSK720890:HSM720955 ICG720890:ICI720955 IMC720890:IME720955 IVY720890:IWA720955 JFU720890:JFW720955 JPQ720890:JPS720955 JZM720890:JZO720955 KJI720890:KJK720955 KTE720890:KTG720955 LDA720890:LDC720955 LMW720890:LMY720955 LWS720890:LWU720955 MGO720890:MGQ720955 MQK720890:MQM720955 NAG720890:NAI720955 NKC720890:NKE720955 NTY720890:NUA720955 ODU720890:ODW720955 ONQ720890:ONS720955 OXM720890:OXO720955 PHI720890:PHK720955 PRE720890:PRG720955 QBA720890:QBC720955 QKW720890:QKY720955 QUS720890:QUU720955 REO720890:REQ720955 ROK720890:ROM720955 RYG720890:RYI720955 SIC720890:SIE720955 SRY720890:SSA720955 TBU720890:TBW720955 TLQ720890:TLS720955 TVM720890:TVO720955 UFI720890:UFK720955 UPE720890:UPG720955 UZA720890:UZC720955 VIW720890:VIY720955 VSS720890:VSU720955 WCO720890:WCQ720955 WMK720890:WMM720955 WWG720890:WWI720955 Y786426:AA786491 JU786426:JW786491 TQ786426:TS786491 ADM786426:ADO786491 ANI786426:ANK786491 AXE786426:AXG786491 BHA786426:BHC786491 BQW786426:BQY786491 CAS786426:CAU786491 CKO786426:CKQ786491 CUK786426:CUM786491 DEG786426:DEI786491 DOC786426:DOE786491 DXY786426:DYA786491 EHU786426:EHW786491 ERQ786426:ERS786491 FBM786426:FBO786491 FLI786426:FLK786491 FVE786426:FVG786491 GFA786426:GFC786491 GOW786426:GOY786491 GYS786426:GYU786491 HIO786426:HIQ786491 HSK786426:HSM786491 ICG786426:ICI786491 IMC786426:IME786491 IVY786426:IWA786491 JFU786426:JFW786491 JPQ786426:JPS786491 JZM786426:JZO786491 KJI786426:KJK786491 KTE786426:KTG786491 LDA786426:LDC786491 LMW786426:LMY786491 LWS786426:LWU786491 MGO786426:MGQ786491 MQK786426:MQM786491 NAG786426:NAI786491 NKC786426:NKE786491 NTY786426:NUA786491 ODU786426:ODW786491 ONQ786426:ONS786491 OXM786426:OXO786491 PHI786426:PHK786491 PRE786426:PRG786491 QBA786426:QBC786491 QKW786426:QKY786491 QUS786426:QUU786491 REO786426:REQ786491 ROK786426:ROM786491 RYG786426:RYI786491 SIC786426:SIE786491 SRY786426:SSA786491 TBU786426:TBW786491 TLQ786426:TLS786491 TVM786426:TVO786491 UFI786426:UFK786491 UPE786426:UPG786491 UZA786426:UZC786491 VIW786426:VIY786491 VSS786426:VSU786491 WCO786426:WCQ786491 WMK786426:WMM786491 WWG786426:WWI786491 Y851962:AA852027 JU851962:JW852027 TQ851962:TS852027 ADM851962:ADO852027 ANI851962:ANK852027 AXE851962:AXG852027 BHA851962:BHC852027 BQW851962:BQY852027 CAS851962:CAU852027 CKO851962:CKQ852027 CUK851962:CUM852027 DEG851962:DEI852027 DOC851962:DOE852027 DXY851962:DYA852027 EHU851962:EHW852027 ERQ851962:ERS852027 FBM851962:FBO852027 FLI851962:FLK852027 FVE851962:FVG852027 GFA851962:GFC852027 GOW851962:GOY852027 GYS851962:GYU852027 HIO851962:HIQ852027 HSK851962:HSM852027 ICG851962:ICI852027 IMC851962:IME852027 IVY851962:IWA852027 JFU851962:JFW852027 JPQ851962:JPS852027 JZM851962:JZO852027 KJI851962:KJK852027 KTE851962:KTG852027 LDA851962:LDC852027 LMW851962:LMY852027 LWS851962:LWU852027 MGO851962:MGQ852027 MQK851962:MQM852027 NAG851962:NAI852027 NKC851962:NKE852027 NTY851962:NUA852027 ODU851962:ODW852027 ONQ851962:ONS852027 OXM851962:OXO852027 PHI851962:PHK852027 PRE851962:PRG852027 QBA851962:QBC852027 QKW851962:QKY852027 QUS851962:QUU852027 REO851962:REQ852027 ROK851962:ROM852027 RYG851962:RYI852027 SIC851962:SIE852027 SRY851962:SSA852027 TBU851962:TBW852027 TLQ851962:TLS852027 TVM851962:TVO852027 UFI851962:UFK852027 UPE851962:UPG852027 UZA851962:UZC852027 VIW851962:VIY852027 VSS851962:VSU852027 WCO851962:WCQ852027 WMK851962:WMM852027 WWG851962:WWI852027 Y917498:AA917563 JU917498:JW917563 TQ917498:TS917563 ADM917498:ADO917563 ANI917498:ANK917563 AXE917498:AXG917563 BHA917498:BHC917563 BQW917498:BQY917563 CAS917498:CAU917563 CKO917498:CKQ917563 CUK917498:CUM917563 DEG917498:DEI917563 DOC917498:DOE917563 DXY917498:DYA917563 EHU917498:EHW917563 ERQ917498:ERS917563 FBM917498:FBO917563 FLI917498:FLK917563 FVE917498:FVG917563 GFA917498:GFC917563 GOW917498:GOY917563 GYS917498:GYU917563 HIO917498:HIQ917563 HSK917498:HSM917563 ICG917498:ICI917563 IMC917498:IME917563 IVY917498:IWA917563 JFU917498:JFW917563 JPQ917498:JPS917563 JZM917498:JZO917563 KJI917498:KJK917563 KTE917498:KTG917563 LDA917498:LDC917563 LMW917498:LMY917563 LWS917498:LWU917563 MGO917498:MGQ917563 MQK917498:MQM917563 NAG917498:NAI917563 NKC917498:NKE917563 NTY917498:NUA917563 ODU917498:ODW917563 ONQ917498:ONS917563 OXM917498:OXO917563 PHI917498:PHK917563 PRE917498:PRG917563 QBA917498:QBC917563 QKW917498:QKY917563 QUS917498:QUU917563 REO917498:REQ917563 ROK917498:ROM917563 RYG917498:RYI917563 SIC917498:SIE917563 SRY917498:SSA917563 TBU917498:TBW917563 TLQ917498:TLS917563 TVM917498:TVO917563 UFI917498:UFK917563 UPE917498:UPG917563 UZA917498:UZC917563 VIW917498:VIY917563 VSS917498:VSU917563 WCO917498:WCQ917563 WMK917498:WMM917563 WWG917498:WWI917563 Y983034:AA983099 JU983034:JW983099 TQ983034:TS983099 ADM983034:ADO983099 ANI983034:ANK983099 AXE983034:AXG983099 BHA983034:BHC983099 BQW983034:BQY983099 CAS983034:CAU983099 CKO983034:CKQ983099 CUK983034:CUM983099 DEG983034:DEI983099 DOC983034:DOE983099 DXY983034:DYA983099 EHU983034:EHW983099 ERQ983034:ERS983099 FBM983034:FBO983099 FLI983034:FLK983099 FVE983034:FVG983099 GFA983034:GFC983099 GOW983034:GOY983099 GYS983034:GYU983099 HIO983034:HIQ983099 HSK983034:HSM983099 ICG983034:ICI983099 IMC983034:IME983099 IVY983034:IWA983099 JFU983034:JFW983099 JPQ983034:JPS983099 JZM983034:JZO983099 KJI983034:KJK983099 KTE983034:KTG983099 LDA983034:LDC983099 LMW983034:LMY983099 LWS983034:LWU983099 MGO983034:MGQ983099 MQK983034:MQM983099 NAG983034:NAI983099 NKC983034:NKE983099 NTY983034:NUA983099 ODU983034:ODW983099 ONQ983034:ONS983099 OXM983034:OXO983099 PHI983034:PHK983099 PRE983034:PRG983099 QBA983034:QBC983099 QKW983034:QKY983099 QUS983034:QUU983099 REO983034:REQ983099 ROK983034:ROM983099 RYG983034:RYI983099 SIC983034:SIE983099 SRY983034:SSA983099 TBU983034:TBW983099 TLQ983034:TLS983099 TVM983034:TVO983099 UFI983034:UFK983099 UPE983034:UPG983099 UZA983034:UZC983099 VIW983034:VIY983099 VSS983034:VSU983099 WCO983034:WCQ983099 WMK983034:WMM983099 WWG2:WWI59 WMK2:WMM59 WCO2:WCQ59 VSS2:VSU59 VIW2:VIY59 UZA2:UZC59 UPE2:UPG59 UFI2:UFK59 TVM2:TVO59 TLQ2:TLS59 TBU2:TBW59 SRY2:SSA59 SIC2:SIE59 RYG2:RYI59 ROK2:ROM59 REO2:REQ59 QUS2:QUU59 QKW2:QKY59 QBA2:QBC59 PRE2:PRG59 PHI2:PHK59 OXM2:OXO59 ONQ2:ONS59 ODU2:ODW59 NTY2:NUA59 NKC2:NKE59 NAG2:NAI59 MQK2:MQM59 MGO2:MGQ59 LWS2:LWU59 LMW2:LMY59 LDA2:LDC59 KTE2:KTG59 KJI2:KJK59 JZM2:JZO59 JPQ2:JPS59 JFU2:JFW59 IVY2:IWA59 IMC2:IME59 ICG2:ICI59 HSK2:HSM59 HIO2:HIQ59 GYS2:GYU59 GOW2:GOY59 GFA2:GFC59 FVE2:FVG59 FLI2:FLK59 FBM2:FBO59 ERQ2:ERS59 EHU2:EHW59 DXY2:DYA59 DOC2:DOE59 DEG2:DEI59 CUK2:CUM59 CKO2:CKQ59 CAS2:CAU59 BQW2:BQY59 BHA2:BHC59 AXE2:AXG59 ANI2:ANK59 ADM2:ADO59 TQ2:TS59 JU2:JW59" xr:uid="{6E1BE0AF-1E10-4B50-9BDB-A75C803C9F73}">
      <formula1>$AV$2:$AV$20</formula1>
    </dataValidation>
    <dataValidation type="list" allowBlank="1" showInputMessage="1" showErrorMessage="1" sqref="H64355:H64420 JD64355:JD64420 SZ64355:SZ64420 ACV64355:ACV64420 AMR64355:AMR64420 AWN64355:AWN64420 BGJ64355:BGJ64420 BQF64355:BQF64420 CAB64355:CAB64420 CJX64355:CJX64420 CTT64355:CTT64420 DDP64355:DDP64420 DNL64355:DNL64420 DXH64355:DXH64420 EHD64355:EHD64420 EQZ64355:EQZ64420 FAV64355:FAV64420 FKR64355:FKR64420 FUN64355:FUN64420 GEJ64355:GEJ64420 GOF64355:GOF64420 GYB64355:GYB64420 HHX64355:HHX64420 HRT64355:HRT64420 IBP64355:IBP64420 ILL64355:ILL64420 IVH64355:IVH64420 JFD64355:JFD64420 JOZ64355:JOZ64420 JYV64355:JYV64420 KIR64355:KIR64420 KSN64355:KSN64420 LCJ64355:LCJ64420 LMF64355:LMF64420 LWB64355:LWB64420 MFX64355:MFX64420 MPT64355:MPT64420 MZP64355:MZP64420 NJL64355:NJL64420 NTH64355:NTH64420 ODD64355:ODD64420 OMZ64355:OMZ64420 OWV64355:OWV64420 PGR64355:PGR64420 PQN64355:PQN64420 QAJ64355:QAJ64420 QKF64355:QKF64420 QUB64355:QUB64420 RDX64355:RDX64420 RNT64355:RNT64420 RXP64355:RXP64420 SHL64355:SHL64420 SRH64355:SRH64420 TBD64355:TBD64420 TKZ64355:TKZ64420 TUV64355:TUV64420 UER64355:UER64420 UON64355:UON64420 UYJ64355:UYJ64420 VIF64355:VIF64420 VSB64355:VSB64420 WBX64355:WBX64420 WLT64355:WLT64420 WVP64355:WVP64420 H129891:H129956 JD129891:JD129956 SZ129891:SZ129956 ACV129891:ACV129956 AMR129891:AMR129956 AWN129891:AWN129956 BGJ129891:BGJ129956 BQF129891:BQF129956 CAB129891:CAB129956 CJX129891:CJX129956 CTT129891:CTT129956 DDP129891:DDP129956 DNL129891:DNL129956 DXH129891:DXH129956 EHD129891:EHD129956 EQZ129891:EQZ129956 FAV129891:FAV129956 FKR129891:FKR129956 FUN129891:FUN129956 GEJ129891:GEJ129956 GOF129891:GOF129956 GYB129891:GYB129956 HHX129891:HHX129956 HRT129891:HRT129956 IBP129891:IBP129956 ILL129891:ILL129956 IVH129891:IVH129956 JFD129891:JFD129956 JOZ129891:JOZ129956 JYV129891:JYV129956 KIR129891:KIR129956 KSN129891:KSN129956 LCJ129891:LCJ129956 LMF129891:LMF129956 LWB129891:LWB129956 MFX129891:MFX129956 MPT129891:MPT129956 MZP129891:MZP129956 NJL129891:NJL129956 NTH129891:NTH129956 ODD129891:ODD129956 OMZ129891:OMZ129956 OWV129891:OWV129956 PGR129891:PGR129956 PQN129891:PQN129956 QAJ129891:QAJ129956 QKF129891:QKF129956 QUB129891:QUB129956 RDX129891:RDX129956 RNT129891:RNT129956 RXP129891:RXP129956 SHL129891:SHL129956 SRH129891:SRH129956 TBD129891:TBD129956 TKZ129891:TKZ129956 TUV129891:TUV129956 UER129891:UER129956 UON129891:UON129956 UYJ129891:UYJ129956 VIF129891:VIF129956 VSB129891:VSB129956 WBX129891:WBX129956 WLT129891:WLT129956 WVP129891:WVP129956 H195427:H195492 JD195427:JD195492 SZ195427:SZ195492 ACV195427:ACV195492 AMR195427:AMR195492 AWN195427:AWN195492 BGJ195427:BGJ195492 BQF195427:BQF195492 CAB195427:CAB195492 CJX195427:CJX195492 CTT195427:CTT195492 DDP195427:DDP195492 DNL195427:DNL195492 DXH195427:DXH195492 EHD195427:EHD195492 EQZ195427:EQZ195492 FAV195427:FAV195492 FKR195427:FKR195492 FUN195427:FUN195492 GEJ195427:GEJ195492 GOF195427:GOF195492 GYB195427:GYB195492 HHX195427:HHX195492 HRT195427:HRT195492 IBP195427:IBP195492 ILL195427:ILL195492 IVH195427:IVH195492 JFD195427:JFD195492 JOZ195427:JOZ195492 JYV195427:JYV195492 KIR195427:KIR195492 KSN195427:KSN195492 LCJ195427:LCJ195492 LMF195427:LMF195492 LWB195427:LWB195492 MFX195427:MFX195492 MPT195427:MPT195492 MZP195427:MZP195492 NJL195427:NJL195492 NTH195427:NTH195492 ODD195427:ODD195492 OMZ195427:OMZ195492 OWV195427:OWV195492 PGR195427:PGR195492 PQN195427:PQN195492 QAJ195427:QAJ195492 QKF195427:QKF195492 QUB195427:QUB195492 RDX195427:RDX195492 RNT195427:RNT195492 RXP195427:RXP195492 SHL195427:SHL195492 SRH195427:SRH195492 TBD195427:TBD195492 TKZ195427:TKZ195492 TUV195427:TUV195492 UER195427:UER195492 UON195427:UON195492 UYJ195427:UYJ195492 VIF195427:VIF195492 VSB195427:VSB195492 WBX195427:WBX195492 WLT195427:WLT195492 WVP195427:WVP195492 H260963:H261028 JD260963:JD261028 SZ260963:SZ261028 ACV260963:ACV261028 AMR260963:AMR261028 AWN260963:AWN261028 BGJ260963:BGJ261028 BQF260963:BQF261028 CAB260963:CAB261028 CJX260963:CJX261028 CTT260963:CTT261028 DDP260963:DDP261028 DNL260963:DNL261028 DXH260963:DXH261028 EHD260963:EHD261028 EQZ260963:EQZ261028 FAV260963:FAV261028 FKR260963:FKR261028 FUN260963:FUN261028 GEJ260963:GEJ261028 GOF260963:GOF261028 GYB260963:GYB261028 HHX260963:HHX261028 HRT260963:HRT261028 IBP260963:IBP261028 ILL260963:ILL261028 IVH260963:IVH261028 JFD260963:JFD261028 JOZ260963:JOZ261028 JYV260963:JYV261028 KIR260963:KIR261028 KSN260963:KSN261028 LCJ260963:LCJ261028 LMF260963:LMF261028 LWB260963:LWB261028 MFX260963:MFX261028 MPT260963:MPT261028 MZP260963:MZP261028 NJL260963:NJL261028 NTH260963:NTH261028 ODD260963:ODD261028 OMZ260963:OMZ261028 OWV260963:OWV261028 PGR260963:PGR261028 PQN260963:PQN261028 QAJ260963:QAJ261028 QKF260963:QKF261028 QUB260963:QUB261028 RDX260963:RDX261028 RNT260963:RNT261028 RXP260963:RXP261028 SHL260963:SHL261028 SRH260963:SRH261028 TBD260963:TBD261028 TKZ260963:TKZ261028 TUV260963:TUV261028 UER260963:UER261028 UON260963:UON261028 UYJ260963:UYJ261028 VIF260963:VIF261028 VSB260963:VSB261028 WBX260963:WBX261028 WLT260963:WLT261028 WVP260963:WVP261028 H326499:H326564 JD326499:JD326564 SZ326499:SZ326564 ACV326499:ACV326564 AMR326499:AMR326564 AWN326499:AWN326564 BGJ326499:BGJ326564 BQF326499:BQF326564 CAB326499:CAB326564 CJX326499:CJX326564 CTT326499:CTT326564 DDP326499:DDP326564 DNL326499:DNL326564 DXH326499:DXH326564 EHD326499:EHD326564 EQZ326499:EQZ326564 FAV326499:FAV326564 FKR326499:FKR326564 FUN326499:FUN326564 GEJ326499:GEJ326564 GOF326499:GOF326564 GYB326499:GYB326564 HHX326499:HHX326564 HRT326499:HRT326564 IBP326499:IBP326564 ILL326499:ILL326564 IVH326499:IVH326564 JFD326499:JFD326564 JOZ326499:JOZ326564 JYV326499:JYV326564 KIR326499:KIR326564 KSN326499:KSN326564 LCJ326499:LCJ326564 LMF326499:LMF326564 LWB326499:LWB326564 MFX326499:MFX326564 MPT326499:MPT326564 MZP326499:MZP326564 NJL326499:NJL326564 NTH326499:NTH326564 ODD326499:ODD326564 OMZ326499:OMZ326564 OWV326499:OWV326564 PGR326499:PGR326564 PQN326499:PQN326564 QAJ326499:QAJ326564 QKF326499:QKF326564 QUB326499:QUB326564 RDX326499:RDX326564 RNT326499:RNT326564 RXP326499:RXP326564 SHL326499:SHL326564 SRH326499:SRH326564 TBD326499:TBD326564 TKZ326499:TKZ326564 TUV326499:TUV326564 UER326499:UER326564 UON326499:UON326564 UYJ326499:UYJ326564 VIF326499:VIF326564 VSB326499:VSB326564 WBX326499:WBX326564 WLT326499:WLT326564 WVP326499:WVP326564 H392035:H392100 JD392035:JD392100 SZ392035:SZ392100 ACV392035:ACV392100 AMR392035:AMR392100 AWN392035:AWN392100 BGJ392035:BGJ392100 BQF392035:BQF392100 CAB392035:CAB392100 CJX392035:CJX392100 CTT392035:CTT392100 DDP392035:DDP392100 DNL392035:DNL392100 DXH392035:DXH392100 EHD392035:EHD392100 EQZ392035:EQZ392100 FAV392035:FAV392100 FKR392035:FKR392100 FUN392035:FUN392100 GEJ392035:GEJ392100 GOF392035:GOF392100 GYB392035:GYB392100 HHX392035:HHX392100 HRT392035:HRT392100 IBP392035:IBP392100 ILL392035:ILL392100 IVH392035:IVH392100 JFD392035:JFD392100 JOZ392035:JOZ392100 JYV392035:JYV392100 KIR392035:KIR392100 KSN392035:KSN392100 LCJ392035:LCJ392100 LMF392035:LMF392100 LWB392035:LWB392100 MFX392035:MFX392100 MPT392035:MPT392100 MZP392035:MZP392100 NJL392035:NJL392100 NTH392035:NTH392100 ODD392035:ODD392100 OMZ392035:OMZ392100 OWV392035:OWV392100 PGR392035:PGR392100 PQN392035:PQN392100 QAJ392035:QAJ392100 QKF392035:QKF392100 QUB392035:QUB392100 RDX392035:RDX392100 RNT392035:RNT392100 RXP392035:RXP392100 SHL392035:SHL392100 SRH392035:SRH392100 TBD392035:TBD392100 TKZ392035:TKZ392100 TUV392035:TUV392100 UER392035:UER392100 UON392035:UON392100 UYJ392035:UYJ392100 VIF392035:VIF392100 VSB392035:VSB392100 WBX392035:WBX392100 WLT392035:WLT392100 WVP392035:WVP392100 H457571:H457636 JD457571:JD457636 SZ457571:SZ457636 ACV457571:ACV457636 AMR457571:AMR457636 AWN457571:AWN457636 BGJ457571:BGJ457636 BQF457571:BQF457636 CAB457571:CAB457636 CJX457571:CJX457636 CTT457571:CTT457636 DDP457571:DDP457636 DNL457571:DNL457636 DXH457571:DXH457636 EHD457571:EHD457636 EQZ457571:EQZ457636 FAV457571:FAV457636 FKR457571:FKR457636 FUN457571:FUN457636 GEJ457571:GEJ457636 GOF457571:GOF457636 GYB457571:GYB457636 HHX457571:HHX457636 HRT457571:HRT457636 IBP457571:IBP457636 ILL457571:ILL457636 IVH457571:IVH457636 JFD457571:JFD457636 JOZ457571:JOZ457636 JYV457571:JYV457636 KIR457571:KIR457636 KSN457571:KSN457636 LCJ457571:LCJ457636 LMF457571:LMF457636 LWB457571:LWB457636 MFX457571:MFX457636 MPT457571:MPT457636 MZP457571:MZP457636 NJL457571:NJL457636 NTH457571:NTH457636 ODD457571:ODD457636 OMZ457571:OMZ457636 OWV457571:OWV457636 PGR457571:PGR457636 PQN457571:PQN457636 QAJ457571:QAJ457636 QKF457571:QKF457636 QUB457571:QUB457636 RDX457571:RDX457636 RNT457571:RNT457636 RXP457571:RXP457636 SHL457571:SHL457636 SRH457571:SRH457636 TBD457571:TBD457636 TKZ457571:TKZ457636 TUV457571:TUV457636 UER457571:UER457636 UON457571:UON457636 UYJ457571:UYJ457636 VIF457571:VIF457636 VSB457571:VSB457636 WBX457571:WBX457636 WLT457571:WLT457636 WVP457571:WVP457636 H523107:H523172 JD523107:JD523172 SZ523107:SZ523172 ACV523107:ACV523172 AMR523107:AMR523172 AWN523107:AWN523172 BGJ523107:BGJ523172 BQF523107:BQF523172 CAB523107:CAB523172 CJX523107:CJX523172 CTT523107:CTT523172 DDP523107:DDP523172 DNL523107:DNL523172 DXH523107:DXH523172 EHD523107:EHD523172 EQZ523107:EQZ523172 FAV523107:FAV523172 FKR523107:FKR523172 FUN523107:FUN523172 GEJ523107:GEJ523172 GOF523107:GOF523172 GYB523107:GYB523172 HHX523107:HHX523172 HRT523107:HRT523172 IBP523107:IBP523172 ILL523107:ILL523172 IVH523107:IVH523172 JFD523107:JFD523172 JOZ523107:JOZ523172 JYV523107:JYV523172 KIR523107:KIR523172 KSN523107:KSN523172 LCJ523107:LCJ523172 LMF523107:LMF523172 LWB523107:LWB523172 MFX523107:MFX523172 MPT523107:MPT523172 MZP523107:MZP523172 NJL523107:NJL523172 NTH523107:NTH523172 ODD523107:ODD523172 OMZ523107:OMZ523172 OWV523107:OWV523172 PGR523107:PGR523172 PQN523107:PQN523172 QAJ523107:QAJ523172 QKF523107:QKF523172 QUB523107:QUB523172 RDX523107:RDX523172 RNT523107:RNT523172 RXP523107:RXP523172 SHL523107:SHL523172 SRH523107:SRH523172 TBD523107:TBD523172 TKZ523107:TKZ523172 TUV523107:TUV523172 UER523107:UER523172 UON523107:UON523172 UYJ523107:UYJ523172 VIF523107:VIF523172 VSB523107:VSB523172 WBX523107:WBX523172 WLT523107:WLT523172 WVP523107:WVP523172 H588643:H588708 JD588643:JD588708 SZ588643:SZ588708 ACV588643:ACV588708 AMR588643:AMR588708 AWN588643:AWN588708 BGJ588643:BGJ588708 BQF588643:BQF588708 CAB588643:CAB588708 CJX588643:CJX588708 CTT588643:CTT588708 DDP588643:DDP588708 DNL588643:DNL588708 DXH588643:DXH588708 EHD588643:EHD588708 EQZ588643:EQZ588708 FAV588643:FAV588708 FKR588643:FKR588708 FUN588643:FUN588708 GEJ588643:GEJ588708 GOF588643:GOF588708 GYB588643:GYB588708 HHX588643:HHX588708 HRT588643:HRT588708 IBP588643:IBP588708 ILL588643:ILL588708 IVH588643:IVH588708 JFD588643:JFD588708 JOZ588643:JOZ588708 JYV588643:JYV588708 KIR588643:KIR588708 KSN588643:KSN588708 LCJ588643:LCJ588708 LMF588643:LMF588708 LWB588643:LWB588708 MFX588643:MFX588708 MPT588643:MPT588708 MZP588643:MZP588708 NJL588643:NJL588708 NTH588643:NTH588708 ODD588643:ODD588708 OMZ588643:OMZ588708 OWV588643:OWV588708 PGR588643:PGR588708 PQN588643:PQN588708 QAJ588643:QAJ588708 QKF588643:QKF588708 QUB588643:QUB588708 RDX588643:RDX588708 RNT588643:RNT588708 RXP588643:RXP588708 SHL588643:SHL588708 SRH588643:SRH588708 TBD588643:TBD588708 TKZ588643:TKZ588708 TUV588643:TUV588708 UER588643:UER588708 UON588643:UON588708 UYJ588643:UYJ588708 VIF588643:VIF588708 VSB588643:VSB588708 WBX588643:WBX588708 WLT588643:WLT588708 WVP588643:WVP588708 H654179:H654244 JD654179:JD654244 SZ654179:SZ654244 ACV654179:ACV654244 AMR654179:AMR654244 AWN654179:AWN654244 BGJ654179:BGJ654244 BQF654179:BQF654244 CAB654179:CAB654244 CJX654179:CJX654244 CTT654179:CTT654244 DDP654179:DDP654244 DNL654179:DNL654244 DXH654179:DXH654244 EHD654179:EHD654244 EQZ654179:EQZ654244 FAV654179:FAV654244 FKR654179:FKR654244 FUN654179:FUN654244 GEJ654179:GEJ654244 GOF654179:GOF654244 GYB654179:GYB654244 HHX654179:HHX654244 HRT654179:HRT654244 IBP654179:IBP654244 ILL654179:ILL654244 IVH654179:IVH654244 JFD654179:JFD654244 JOZ654179:JOZ654244 JYV654179:JYV654244 KIR654179:KIR654244 KSN654179:KSN654244 LCJ654179:LCJ654244 LMF654179:LMF654244 LWB654179:LWB654244 MFX654179:MFX654244 MPT654179:MPT654244 MZP654179:MZP654244 NJL654179:NJL654244 NTH654179:NTH654244 ODD654179:ODD654244 OMZ654179:OMZ654244 OWV654179:OWV654244 PGR654179:PGR654244 PQN654179:PQN654244 QAJ654179:QAJ654244 QKF654179:QKF654244 QUB654179:QUB654244 RDX654179:RDX654244 RNT654179:RNT654244 RXP654179:RXP654244 SHL654179:SHL654244 SRH654179:SRH654244 TBD654179:TBD654244 TKZ654179:TKZ654244 TUV654179:TUV654244 UER654179:UER654244 UON654179:UON654244 UYJ654179:UYJ654244 VIF654179:VIF654244 VSB654179:VSB654244 WBX654179:WBX654244 WLT654179:WLT654244 WVP654179:WVP654244 H719715:H719780 JD719715:JD719780 SZ719715:SZ719780 ACV719715:ACV719780 AMR719715:AMR719780 AWN719715:AWN719780 BGJ719715:BGJ719780 BQF719715:BQF719780 CAB719715:CAB719780 CJX719715:CJX719780 CTT719715:CTT719780 DDP719715:DDP719780 DNL719715:DNL719780 DXH719715:DXH719780 EHD719715:EHD719780 EQZ719715:EQZ719780 FAV719715:FAV719780 FKR719715:FKR719780 FUN719715:FUN719780 GEJ719715:GEJ719780 GOF719715:GOF719780 GYB719715:GYB719780 HHX719715:HHX719780 HRT719715:HRT719780 IBP719715:IBP719780 ILL719715:ILL719780 IVH719715:IVH719780 JFD719715:JFD719780 JOZ719715:JOZ719780 JYV719715:JYV719780 KIR719715:KIR719780 KSN719715:KSN719780 LCJ719715:LCJ719780 LMF719715:LMF719780 LWB719715:LWB719780 MFX719715:MFX719780 MPT719715:MPT719780 MZP719715:MZP719780 NJL719715:NJL719780 NTH719715:NTH719780 ODD719715:ODD719780 OMZ719715:OMZ719780 OWV719715:OWV719780 PGR719715:PGR719780 PQN719715:PQN719780 QAJ719715:QAJ719780 QKF719715:QKF719780 QUB719715:QUB719780 RDX719715:RDX719780 RNT719715:RNT719780 RXP719715:RXP719780 SHL719715:SHL719780 SRH719715:SRH719780 TBD719715:TBD719780 TKZ719715:TKZ719780 TUV719715:TUV719780 UER719715:UER719780 UON719715:UON719780 UYJ719715:UYJ719780 VIF719715:VIF719780 VSB719715:VSB719780 WBX719715:WBX719780 WLT719715:WLT719780 WVP719715:WVP719780 H785251:H785316 JD785251:JD785316 SZ785251:SZ785316 ACV785251:ACV785316 AMR785251:AMR785316 AWN785251:AWN785316 BGJ785251:BGJ785316 BQF785251:BQF785316 CAB785251:CAB785316 CJX785251:CJX785316 CTT785251:CTT785316 DDP785251:DDP785316 DNL785251:DNL785316 DXH785251:DXH785316 EHD785251:EHD785316 EQZ785251:EQZ785316 FAV785251:FAV785316 FKR785251:FKR785316 FUN785251:FUN785316 GEJ785251:GEJ785316 GOF785251:GOF785316 GYB785251:GYB785316 HHX785251:HHX785316 HRT785251:HRT785316 IBP785251:IBP785316 ILL785251:ILL785316 IVH785251:IVH785316 JFD785251:JFD785316 JOZ785251:JOZ785316 JYV785251:JYV785316 KIR785251:KIR785316 KSN785251:KSN785316 LCJ785251:LCJ785316 LMF785251:LMF785316 LWB785251:LWB785316 MFX785251:MFX785316 MPT785251:MPT785316 MZP785251:MZP785316 NJL785251:NJL785316 NTH785251:NTH785316 ODD785251:ODD785316 OMZ785251:OMZ785316 OWV785251:OWV785316 PGR785251:PGR785316 PQN785251:PQN785316 QAJ785251:QAJ785316 QKF785251:QKF785316 QUB785251:QUB785316 RDX785251:RDX785316 RNT785251:RNT785316 RXP785251:RXP785316 SHL785251:SHL785316 SRH785251:SRH785316 TBD785251:TBD785316 TKZ785251:TKZ785316 TUV785251:TUV785316 UER785251:UER785316 UON785251:UON785316 UYJ785251:UYJ785316 VIF785251:VIF785316 VSB785251:VSB785316 WBX785251:WBX785316 WLT785251:WLT785316 WVP785251:WVP785316 H850787:H850852 JD850787:JD850852 SZ850787:SZ850852 ACV850787:ACV850852 AMR850787:AMR850852 AWN850787:AWN850852 BGJ850787:BGJ850852 BQF850787:BQF850852 CAB850787:CAB850852 CJX850787:CJX850852 CTT850787:CTT850852 DDP850787:DDP850852 DNL850787:DNL850852 DXH850787:DXH850852 EHD850787:EHD850852 EQZ850787:EQZ850852 FAV850787:FAV850852 FKR850787:FKR850852 FUN850787:FUN850852 GEJ850787:GEJ850852 GOF850787:GOF850852 GYB850787:GYB850852 HHX850787:HHX850852 HRT850787:HRT850852 IBP850787:IBP850852 ILL850787:ILL850852 IVH850787:IVH850852 JFD850787:JFD850852 JOZ850787:JOZ850852 JYV850787:JYV850852 KIR850787:KIR850852 KSN850787:KSN850852 LCJ850787:LCJ850852 LMF850787:LMF850852 LWB850787:LWB850852 MFX850787:MFX850852 MPT850787:MPT850852 MZP850787:MZP850852 NJL850787:NJL850852 NTH850787:NTH850852 ODD850787:ODD850852 OMZ850787:OMZ850852 OWV850787:OWV850852 PGR850787:PGR850852 PQN850787:PQN850852 QAJ850787:QAJ850852 QKF850787:QKF850852 QUB850787:QUB850852 RDX850787:RDX850852 RNT850787:RNT850852 RXP850787:RXP850852 SHL850787:SHL850852 SRH850787:SRH850852 TBD850787:TBD850852 TKZ850787:TKZ850852 TUV850787:TUV850852 UER850787:UER850852 UON850787:UON850852 UYJ850787:UYJ850852 VIF850787:VIF850852 VSB850787:VSB850852 WBX850787:WBX850852 WLT850787:WLT850852 WVP850787:WVP850852 H916323:H916388 JD916323:JD916388 SZ916323:SZ916388 ACV916323:ACV916388 AMR916323:AMR916388 AWN916323:AWN916388 BGJ916323:BGJ916388 BQF916323:BQF916388 CAB916323:CAB916388 CJX916323:CJX916388 CTT916323:CTT916388 DDP916323:DDP916388 DNL916323:DNL916388 DXH916323:DXH916388 EHD916323:EHD916388 EQZ916323:EQZ916388 FAV916323:FAV916388 FKR916323:FKR916388 FUN916323:FUN916388 GEJ916323:GEJ916388 GOF916323:GOF916388 GYB916323:GYB916388 HHX916323:HHX916388 HRT916323:HRT916388 IBP916323:IBP916388 ILL916323:ILL916388 IVH916323:IVH916388 JFD916323:JFD916388 JOZ916323:JOZ916388 JYV916323:JYV916388 KIR916323:KIR916388 KSN916323:KSN916388 LCJ916323:LCJ916388 LMF916323:LMF916388 LWB916323:LWB916388 MFX916323:MFX916388 MPT916323:MPT916388 MZP916323:MZP916388 NJL916323:NJL916388 NTH916323:NTH916388 ODD916323:ODD916388 OMZ916323:OMZ916388 OWV916323:OWV916388 PGR916323:PGR916388 PQN916323:PQN916388 QAJ916323:QAJ916388 QKF916323:QKF916388 QUB916323:QUB916388 RDX916323:RDX916388 RNT916323:RNT916388 RXP916323:RXP916388 SHL916323:SHL916388 SRH916323:SRH916388 TBD916323:TBD916388 TKZ916323:TKZ916388 TUV916323:TUV916388 UER916323:UER916388 UON916323:UON916388 UYJ916323:UYJ916388 VIF916323:VIF916388 VSB916323:VSB916388 WBX916323:WBX916388 WLT916323:WLT916388 WVP916323:WVP916388 H981859:H981924 JD981859:JD981924 SZ981859:SZ981924 ACV981859:ACV981924 AMR981859:AMR981924 AWN981859:AWN981924 BGJ981859:BGJ981924 BQF981859:BQF981924 CAB981859:CAB981924 CJX981859:CJX981924 CTT981859:CTT981924 DDP981859:DDP981924 DNL981859:DNL981924 DXH981859:DXH981924 EHD981859:EHD981924 EQZ981859:EQZ981924 FAV981859:FAV981924 FKR981859:FKR981924 FUN981859:FUN981924 GEJ981859:GEJ981924 GOF981859:GOF981924 GYB981859:GYB981924 HHX981859:HHX981924 HRT981859:HRT981924 IBP981859:IBP981924 ILL981859:ILL981924 IVH981859:IVH981924 JFD981859:JFD981924 JOZ981859:JOZ981924 JYV981859:JYV981924 KIR981859:KIR981924 KSN981859:KSN981924 LCJ981859:LCJ981924 LMF981859:LMF981924 LWB981859:LWB981924 MFX981859:MFX981924 MPT981859:MPT981924 MZP981859:MZP981924 NJL981859:NJL981924 NTH981859:NTH981924 ODD981859:ODD981924 OMZ981859:OMZ981924 OWV981859:OWV981924 PGR981859:PGR981924 PQN981859:PQN981924 QAJ981859:QAJ981924 QKF981859:QKF981924 QUB981859:QUB981924 RDX981859:RDX981924 RNT981859:RNT981924 RXP981859:RXP981924 SHL981859:SHL981924 SRH981859:SRH981924 TBD981859:TBD981924 TKZ981859:TKZ981924 TUV981859:TUV981924 UER981859:UER981924 UON981859:UON981924 UYJ981859:UYJ981924 VIF981859:VIF981924 VSB981859:VSB981924 WBX981859:WBX981924 WLT981859:WLT981924 WVP981859:WVP981924 H1047395:H1047460 JD1047395:JD1047460 SZ1047395:SZ1047460 ACV1047395:ACV1047460 AMR1047395:AMR1047460 AWN1047395:AWN1047460 BGJ1047395:BGJ1047460 BQF1047395:BQF1047460 CAB1047395:CAB1047460 CJX1047395:CJX1047460 CTT1047395:CTT1047460 DDP1047395:DDP1047460 DNL1047395:DNL1047460 DXH1047395:DXH1047460 EHD1047395:EHD1047460 EQZ1047395:EQZ1047460 FAV1047395:FAV1047460 FKR1047395:FKR1047460 FUN1047395:FUN1047460 GEJ1047395:GEJ1047460 GOF1047395:GOF1047460 GYB1047395:GYB1047460 HHX1047395:HHX1047460 HRT1047395:HRT1047460 IBP1047395:IBP1047460 ILL1047395:ILL1047460 IVH1047395:IVH1047460 JFD1047395:JFD1047460 JOZ1047395:JOZ1047460 JYV1047395:JYV1047460 KIR1047395:KIR1047460 KSN1047395:KSN1047460 LCJ1047395:LCJ1047460 LMF1047395:LMF1047460 LWB1047395:LWB1047460 MFX1047395:MFX1047460 MPT1047395:MPT1047460 MZP1047395:MZP1047460 NJL1047395:NJL1047460 NTH1047395:NTH1047460 ODD1047395:ODD1047460 OMZ1047395:OMZ1047460 OWV1047395:OWV1047460 PGR1047395:PGR1047460 PQN1047395:PQN1047460 QAJ1047395:QAJ1047460 QKF1047395:QKF1047460 QUB1047395:QUB1047460 RDX1047395:RDX1047460 RNT1047395:RNT1047460 RXP1047395:RXP1047460 SHL1047395:SHL1047460 SRH1047395:SRH1047460 TBD1047395:TBD1047460 TKZ1047395:TKZ1047460 TUV1047395:TUV1047460 UER1047395:UER1047460 UON1047395:UON1047460 UYJ1047395:UYJ1047460 VIF1047395:VIF1047460 VSB1047395:VSB1047460 WBX1047395:WBX1047460 WLT1047395:WLT1047460 WVP1047395:WVP1047460" xr:uid="{CE5759D5-2223-4A47-A744-820E73535A71}">
      <formula1>$AL$5:$AL$12</formula1>
    </dataValidation>
    <dataValidation type="list" allowBlank="1" showInputMessage="1" showErrorMessage="1" sqref="E64355:F64420 WVM983034:WVN983105 WLQ983034:WLR983105 WBU983034:WBV983105 VRY983034:VRZ983105 VIC983034:VID983105 UYG983034:UYH983105 UOK983034:UOL983105 UEO983034:UEP983105 TUS983034:TUT983105 TKW983034:TKX983105 TBA983034:TBB983105 SRE983034:SRF983105 SHI983034:SHJ983105 RXM983034:RXN983105 RNQ983034:RNR983105 RDU983034:RDV983105 QTY983034:QTZ983105 QKC983034:QKD983105 QAG983034:QAH983105 PQK983034:PQL983105 PGO983034:PGP983105 OWS983034:OWT983105 OMW983034:OMX983105 ODA983034:ODB983105 NTE983034:NTF983105 NJI983034:NJJ983105 MZM983034:MZN983105 MPQ983034:MPR983105 MFU983034:MFV983105 LVY983034:LVZ983105 LMC983034:LMD983105 LCG983034:LCH983105 KSK983034:KSL983105 KIO983034:KIP983105 JYS983034:JYT983105 JOW983034:JOX983105 JFA983034:JFB983105 IVE983034:IVF983105 ILI983034:ILJ983105 IBM983034:IBN983105 HRQ983034:HRR983105 HHU983034:HHV983105 GXY983034:GXZ983105 GOC983034:GOD983105 GEG983034:GEH983105 FUK983034:FUL983105 FKO983034:FKP983105 FAS983034:FAT983105 EQW983034:EQX983105 EHA983034:EHB983105 DXE983034:DXF983105 DNI983034:DNJ983105 DDM983034:DDN983105 CTQ983034:CTR983105 CJU983034:CJV983105 BZY983034:BZZ983105 BQC983034:BQD983105 BGG983034:BGH983105 AWK983034:AWL983105 AMO983034:AMP983105 ACS983034:ACT983105 SW983034:SX983105 JA983034:JB983105 E983034:F983105 WVM917498:WVN917569 WLQ917498:WLR917569 WBU917498:WBV917569 VRY917498:VRZ917569 VIC917498:VID917569 UYG917498:UYH917569 UOK917498:UOL917569 UEO917498:UEP917569 TUS917498:TUT917569 TKW917498:TKX917569 TBA917498:TBB917569 SRE917498:SRF917569 SHI917498:SHJ917569 RXM917498:RXN917569 RNQ917498:RNR917569 RDU917498:RDV917569 QTY917498:QTZ917569 QKC917498:QKD917569 QAG917498:QAH917569 PQK917498:PQL917569 PGO917498:PGP917569 OWS917498:OWT917569 OMW917498:OMX917569 ODA917498:ODB917569 NTE917498:NTF917569 NJI917498:NJJ917569 MZM917498:MZN917569 MPQ917498:MPR917569 MFU917498:MFV917569 LVY917498:LVZ917569 LMC917498:LMD917569 LCG917498:LCH917569 KSK917498:KSL917569 KIO917498:KIP917569 JYS917498:JYT917569 JOW917498:JOX917569 JFA917498:JFB917569 IVE917498:IVF917569 ILI917498:ILJ917569 IBM917498:IBN917569 HRQ917498:HRR917569 HHU917498:HHV917569 GXY917498:GXZ917569 GOC917498:GOD917569 GEG917498:GEH917569 FUK917498:FUL917569 FKO917498:FKP917569 FAS917498:FAT917569 EQW917498:EQX917569 EHA917498:EHB917569 DXE917498:DXF917569 DNI917498:DNJ917569 DDM917498:DDN917569 CTQ917498:CTR917569 CJU917498:CJV917569 BZY917498:BZZ917569 BQC917498:BQD917569 BGG917498:BGH917569 AWK917498:AWL917569 AMO917498:AMP917569 ACS917498:ACT917569 SW917498:SX917569 JA917498:JB917569 E917498:F917569 WVM851962:WVN852033 WLQ851962:WLR852033 WBU851962:WBV852033 VRY851962:VRZ852033 VIC851962:VID852033 UYG851962:UYH852033 UOK851962:UOL852033 UEO851962:UEP852033 TUS851962:TUT852033 TKW851962:TKX852033 TBA851962:TBB852033 SRE851962:SRF852033 SHI851962:SHJ852033 RXM851962:RXN852033 RNQ851962:RNR852033 RDU851962:RDV852033 QTY851962:QTZ852033 QKC851962:QKD852033 QAG851962:QAH852033 PQK851962:PQL852033 PGO851962:PGP852033 OWS851962:OWT852033 OMW851962:OMX852033 ODA851962:ODB852033 NTE851962:NTF852033 NJI851962:NJJ852033 MZM851962:MZN852033 MPQ851962:MPR852033 MFU851962:MFV852033 LVY851962:LVZ852033 LMC851962:LMD852033 LCG851962:LCH852033 KSK851962:KSL852033 KIO851962:KIP852033 JYS851962:JYT852033 JOW851962:JOX852033 JFA851962:JFB852033 IVE851962:IVF852033 ILI851962:ILJ852033 IBM851962:IBN852033 HRQ851962:HRR852033 HHU851962:HHV852033 GXY851962:GXZ852033 GOC851962:GOD852033 GEG851962:GEH852033 FUK851962:FUL852033 FKO851962:FKP852033 FAS851962:FAT852033 EQW851962:EQX852033 EHA851962:EHB852033 DXE851962:DXF852033 DNI851962:DNJ852033 DDM851962:DDN852033 CTQ851962:CTR852033 CJU851962:CJV852033 BZY851962:BZZ852033 BQC851962:BQD852033 BGG851962:BGH852033 AWK851962:AWL852033 AMO851962:AMP852033 ACS851962:ACT852033 SW851962:SX852033 JA851962:JB852033 E851962:F852033 WVM786426:WVN786497 WLQ786426:WLR786497 WBU786426:WBV786497 VRY786426:VRZ786497 VIC786426:VID786497 UYG786426:UYH786497 UOK786426:UOL786497 UEO786426:UEP786497 TUS786426:TUT786497 TKW786426:TKX786497 TBA786426:TBB786497 SRE786426:SRF786497 SHI786426:SHJ786497 RXM786426:RXN786497 RNQ786426:RNR786497 RDU786426:RDV786497 QTY786426:QTZ786497 QKC786426:QKD786497 QAG786426:QAH786497 PQK786426:PQL786497 PGO786426:PGP786497 OWS786426:OWT786497 OMW786426:OMX786497 ODA786426:ODB786497 NTE786426:NTF786497 NJI786426:NJJ786497 MZM786426:MZN786497 MPQ786426:MPR786497 MFU786426:MFV786497 LVY786426:LVZ786497 LMC786426:LMD786497 LCG786426:LCH786497 KSK786426:KSL786497 KIO786426:KIP786497 JYS786426:JYT786497 JOW786426:JOX786497 JFA786426:JFB786497 IVE786426:IVF786497 ILI786426:ILJ786497 IBM786426:IBN786497 HRQ786426:HRR786497 HHU786426:HHV786497 GXY786426:GXZ786497 GOC786426:GOD786497 GEG786426:GEH786497 FUK786426:FUL786497 FKO786426:FKP786497 FAS786426:FAT786497 EQW786426:EQX786497 EHA786426:EHB786497 DXE786426:DXF786497 DNI786426:DNJ786497 DDM786426:DDN786497 CTQ786426:CTR786497 CJU786426:CJV786497 BZY786426:BZZ786497 BQC786426:BQD786497 BGG786426:BGH786497 AWK786426:AWL786497 AMO786426:AMP786497 ACS786426:ACT786497 SW786426:SX786497 JA786426:JB786497 E786426:F786497 WVM720890:WVN720961 WLQ720890:WLR720961 WBU720890:WBV720961 VRY720890:VRZ720961 VIC720890:VID720961 UYG720890:UYH720961 UOK720890:UOL720961 UEO720890:UEP720961 TUS720890:TUT720961 TKW720890:TKX720961 TBA720890:TBB720961 SRE720890:SRF720961 SHI720890:SHJ720961 RXM720890:RXN720961 RNQ720890:RNR720961 RDU720890:RDV720961 QTY720890:QTZ720961 QKC720890:QKD720961 QAG720890:QAH720961 PQK720890:PQL720961 PGO720890:PGP720961 OWS720890:OWT720961 OMW720890:OMX720961 ODA720890:ODB720961 NTE720890:NTF720961 NJI720890:NJJ720961 MZM720890:MZN720961 MPQ720890:MPR720961 MFU720890:MFV720961 LVY720890:LVZ720961 LMC720890:LMD720961 LCG720890:LCH720961 KSK720890:KSL720961 KIO720890:KIP720961 JYS720890:JYT720961 JOW720890:JOX720961 JFA720890:JFB720961 IVE720890:IVF720961 ILI720890:ILJ720961 IBM720890:IBN720961 HRQ720890:HRR720961 HHU720890:HHV720961 GXY720890:GXZ720961 GOC720890:GOD720961 GEG720890:GEH720961 FUK720890:FUL720961 FKO720890:FKP720961 FAS720890:FAT720961 EQW720890:EQX720961 EHA720890:EHB720961 DXE720890:DXF720961 DNI720890:DNJ720961 DDM720890:DDN720961 CTQ720890:CTR720961 CJU720890:CJV720961 BZY720890:BZZ720961 BQC720890:BQD720961 BGG720890:BGH720961 AWK720890:AWL720961 AMO720890:AMP720961 ACS720890:ACT720961 SW720890:SX720961 JA720890:JB720961 E720890:F720961 WVM655354:WVN655425 WLQ655354:WLR655425 WBU655354:WBV655425 VRY655354:VRZ655425 VIC655354:VID655425 UYG655354:UYH655425 UOK655354:UOL655425 UEO655354:UEP655425 TUS655354:TUT655425 TKW655354:TKX655425 TBA655354:TBB655425 SRE655354:SRF655425 SHI655354:SHJ655425 RXM655354:RXN655425 RNQ655354:RNR655425 RDU655354:RDV655425 QTY655354:QTZ655425 QKC655354:QKD655425 QAG655354:QAH655425 PQK655354:PQL655425 PGO655354:PGP655425 OWS655354:OWT655425 OMW655354:OMX655425 ODA655354:ODB655425 NTE655354:NTF655425 NJI655354:NJJ655425 MZM655354:MZN655425 MPQ655354:MPR655425 MFU655354:MFV655425 LVY655354:LVZ655425 LMC655354:LMD655425 LCG655354:LCH655425 KSK655354:KSL655425 KIO655354:KIP655425 JYS655354:JYT655425 JOW655354:JOX655425 JFA655354:JFB655425 IVE655354:IVF655425 ILI655354:ILJ655425 IBM655354:IBN655425 HRQ655354:HRR655425 HHU655354:HHV655425 GXY655354:GXZ655425 GOC655354:GOD655425 GEG655354:GEH655425 FUK655354:FUL655425 FKO655354:FKP655425 FAS655354:FAT655425 EQW655354:EQX655425 EHA655354:EHB655425 DXE655354:DXF655425 DNI655354:DNJ655425 DDM655354:DDN655425 CTQ655354:CTR655425 CJU655354:CJV655425 BZY655354:BZZ655425 BQC655354:BQD655425 BGG655354:BGH655425 AWK655354:AWL655425 AMO655354:AMP655425 ACS655354:ACT655425 SW655354:SX655425 JA655354:JB655425 E655354:F655425 WVM589818:WVN589889 WLQ589818:WLR589889 WBU589818:WBV589889 VRY589818:VRZ589889 VIC589818:VID589889 UYG589818:UYH589889 UOK589818:UOL589889 UEO589818:UEP589889 TUS589818:TUT589889 TKW589818:TKX589889 TBA589818:TBB589889 SRE589818:SRF589889 SHI589818:SHJ589889 RXM589818:RXN589889 RNQ589818:RNR589889 RDU589818:RDV589889 QTY589818:QTZ589889 QKC589818:QKD589889 QAG589818:QAH589889 PQK589818:PQL589889 PGO589818:PGP589889 OWS589818:OWT589889 OMW589818:OMX589889 ODA589818:ODB589889 NTE589818:NTF589889 NJI589818:NJJ589889 MZM589818:MZN589889 MPQ589818:MPR589889 MFU589818:MFV589889 LVY589818:LVZ589889 LMC589818:LMD589889 LCG589818:LCH589889 KSK589818:KSL589889 KIO589818:KIP589889 JYS589818:JYT589889 JOW589818:JOX589889 JFA589818:JFB589889 IVE589818:IVF589889 ILI589818:ILJ589889 IBM589818:IBN589889 HRQ589818:HRR589889 HHU589818:HHV589889 GXY589818:GXZ589889 GOC589818:GOD589889 GEG589818:GEH589889 FUK589818:FUL589889 FKO589818:FKP589889 FAS589818:FAT589889 EQW589818:EQX589889 EHA589818:EHB589889 DXE589818:DXF589889 DNI589818:DNJ589889 DDM589818:DDN589889 CTQ589818:CTR589889 CJU589818:CJV589889 BZY589818:BZZ589889 BQC589818:BQD589889 BGG589818:BGH589889 AWK589818:AWL589889 AMO589818:AMP589889 ACS589818:ACT589889 SW589818:SX589889 JA589818:JB589889 E589818:F589889 WVM524282:WVN524353 WLQ524282:WLR524353 WBU524282:WBV524353 VRY524282:VRZ524353 VIC524282:VID524353 UYG524282:UYH524353 UOK524282:UOL524353 UEO524282:UEP524353 TUS524282:TUT524353 TKW524282:TKX524353 TBA524282:TBB524353 SRE524282:SRF524353 SHI524282:SHJ524353 RXM524282:RXN524353 RNQ524282:RNR524353 RDU524282:RDV524353 QTY524282:QTZ524353 QKC524282:QKD524353 QAG524282:QAH524353 PQK524282:PQL524353 PGO524282:PGP524353 OWS524282:OWT524353 OMW524282:OMX524353 ODA524282:ODB524353 NTE524282:NTF524353 NJI524282:NJJ524353 MZM524282:MZN524353 MPQ524282:MPR524353 MFU524282:MFV524353 LVY524282:LVZ524353 LMC524282:LMD524353 LCG524282:LCH524353 KSK524282:KSL524353 KIO524282:KIP524353 JYS524282:JYT524353 JOW524282:JOX524353 JFA524282:JFB524353 IVE524282:IVF524353 ILI524282:ILJ524353 IBM524282:IBN524353 HRQ524282:HRR524353 HHU524282:HHV524353 GXY524282:GXZ524353 GOC524282:GOD524353 GEG524282:GEH524353 FUK524282:FUL524353 FKO524282:FKP524353 FAS524282:FAT524353 EQW524282:EQX524353 EHA524282:EHB524353 DXE524282:DXF524353 DNI524282:DNJ524353 DDM524282:DDN524353 CTQ524282:CTR524353 CJU524282:CJV524353 BZY524282:BZZ524353 BQC524282:BQD524353 BGG524282:BGH524353 AWK524282:AWL524353 AMO524282:AMP524353 ACS524282:ACT524353 SW524282:SX524353 JA524282:JB524353 E524282:F524353 WVM458746:WVN458817 WLQ458746:WLR458817 WBU458746:WBV458817 VRY458746:VRZ458817 VIC458746:VID458817 UYG458746:UYH458817 UOK458746:UOL458817 UEO458746:UEP458817 TUS458746:TUT458817 TKW458746:TKX458817 TBA458746:TBB458817 SRE458746:SRF458817 SHI458746:SHJ458817 RXM458746:RXN458817 RNQ458746:RNR458817 RDU458746:RDV458817 QTY458746:QTZ458817 QKC458746:QKD458817 QAG458746:QAH458817 PQK458746:PQL458817 PGO458746:PGP458817 OWS458746:OWT458817 OMW458746:OMX458817 ODA458746:ODB458817 NTE458746:NTF458817 NJI458746:NJJ458817 MZM458746:MZN458817 MPQ458746:MPR458817 MFU458746:MFV458817 LVY458746:LVZ458817 LMC458746:LMD458817 LCG458746:LCH458817 KSK458746:KSL458817 KIO458746:KIP458817 JYS458746:JYT458817 JOW458746:JOX458817 JFA458746:JFB458817 IVE458746:IVF458817 ILI458746:ILJ458817 IBM458746:IBN458817 HRQ458746:HRR458817 HHU458746:HHV458817 GXY458746:GXZ458817 GOC458746:GOD458817 GEG458746:GEH458817 FUK458746:FUL458817 FKO458746:FKP458817 FAS458746:FAT458817 EQW458746:EQX458817 EHA458746:EHB458817 DXE458746:DXF458817 DNI458746:DNJ458817 DDM458746:DDN458817 CTQ458746:CTR458817 CJU458746:CJV458817 BZY458746:BZZ458817 BQC458746:BQD458817 BGG458746:BGH458817 AWK458746:AWL458817 AMO458746:AMP458817 ACS458746:ACT458817 SW458746:SX458817 JA458746:JB458817 E458746:F458817 WVM393210:WVN393281 WLQ393210:WLR393281 WBU393210:WBV393281 VRY393210:VRZ393281 VIC393210:VID393281 UYG393210:UYH393281 UOK393210:UOL393281 UEO393210:UEP393281 TUS393210:TUT393281 TKW393210:TKX393281 TBA393210:TBB393281 SRE393210:SRF393281 SHI393210:SHJ393281 RXM393210:RXN393281 RNQ393210:RNR393281 RDU393210:RDV393281 QTY393210:QTZ393281 QKC393210:QKD393281 QAG393210:QAH393281 PQK393210:PQL393281 PGO393210:PGP393281 OWS393210:OWT393281 OMW393210:OMX393281 ODA393210:ODB393281 NTE393210:NTF393281 NJI393210:NJJ393281 MZM393210:MZN393281 MPQ393210:MPR393281 MFU393210:MFV393281 LVY393210:LVZ393281 LMC393210:LMD393281 LCG393210:LCH393281 KSK393210:KSL393281 KIO393210:KIP393281 JYS393210:JYT393281 JOW393210:JOX393281 JFA393210:JFB393281 IVE393210:IVF393281 ILI393210:ILJ393281 IBM393210:IBN393281 HRQ393210:HRR393281 HHU393210:HHV393281 GXY393210:GXZ393281 GOC393210:GOD393281 GEG393210:GEH393281 FUK393210:FUL393281 FKO393210:FKP393281 FAS393210:FAT393281 EQW393210:EQX393281 EHA393210:EHB393281 DXE393210:DXF393281 DNI393210:DNJ393281 DDM393210:DDN393281 CTQ393210:CTR393281 CJU393210:CJV393281 BZY393210:BZZ393281 BQC393210:BQD393281 BGG393210:BGH393281 AWK393210:AWL393281 AMO393210:AMP393281 ACS393210:ACT393281 SW393210:SX393281 JA393210:JB393281 E393210:F393281 WVM327674:WVN327745 WLQ327674:WLR327745 WBU327674:WBV327745 VRY327674:VRZ327745 VIC327674:VID327745 UYG327674:UYH327745 UOK327674:UOL327745 UEO327674:UEP327745 TUS327674:TUT327745 TKW327674:TKX327745 TBA327674:TBB327745 SRE327674:SRF327745 SHI327674:SHJ327745 RXM327674:RXN327745 RNQ327674:RNR327745 RDU327674:RDV327745 QTY327674:QTZ327745 QKC327674:QKD327745 QAG327674:QAH327745 PQK327674:PQL327745 PGO327674:PGP327745 OWS327674:OWT327745 OMW327674:OMX327745 ODA327674:ODB327745 NTE327674:NTF327745 NJI327674:NJJ327745 MZM327674:MZN327745 MPQ327674:MPR327745 MFU327674:MFV327745 LVY327674:LVZ327745 LMC327674:LMD327745 LCG327674:LCH327745 KSK327674:KSL327745 KIO327674:KIP327745 JYS327674:JYT327745 JOW327674:JOX327745 JFA327674:JFB327745 IVE327674:IVF327745 ILI327674:ILJ327745 IBM327674:IBN327745 HRQ327674:HRR327745 HHU327674:HHV327745 GXY327674:GXZ327745 GOC327674:GOD327745 GEG327674:GEH327745 FUK327674:FUL327745 FKO327674:FKP327745 FAS327674:FAT327745 EQW327674:EQX327745 EHA327674:EHB327745 DXE327674:DXF327745 DNI327674:DNJ327745 DDM327674:DDN327745 CTQ327674:CTR327745 CJU327674:CJV327745 BZY327674:BZZ327745 BQC327674:BQD327745 BGG327674:BGH327745 AWK327674:AWL327745 AMO327674:AMP327745 ACS327674:ACT327745 SW327674:SX327745 JA327674:JB327745 E327674:F327745 WVM262138:WVN262209 WLQ262138:WLR262209 WBU262138:WBV262209 VRY262138:VRZ262209 VIC262138:VID262209 UYG262138:UYH262209 UOK262138:UOL262209 UEO262138:UEP262209 TUS262138:TUT262209 TKW262138:TKX262209 TBA262138:TBB262209 SRE262138:SRF262209 SHI262138:SHJ262209 RXM262138:RXN262209 RNQ262138:RNR262209 RDU262138:RDV262209 QTY262138:QTZ262209 QKC262138:QKD262209 QAG262138:QAH262209 PQK262138:PQL262209 PGO262138:PGP262209 OWS262138:OWT262209 OMW262138:OMX262209 ODA262138:ODB262209 NTE262138:NTF262209 NJI262138:NJJ262209 MZM262138:MZN262209 MPQ262138:MPR262209 MFU262138:MFV262209 LVY262138:LVZ262209 LMC262138:LMD262209 LCG262138:LCH262209 KSK262138:KSL262209 KIO262138:KIP262209 JYS262138:JYT262209 JOW262138:JOX262209 JFA262138:JFB262209 IVE262138:IVF262209 ILI262138:ILJ262209 IBM262138:IBN262209 HRQ262138:HRR262209 HHU262138:HHV262209 GXY262138:GXZ262209 GOC262138:GOD262209 GEG262138:GEH262209 FUK262138:FUL262209 FKO262138:FKP262209 FAS262138:FAT262209 EQW262138:EQX262209 EHA262138:EHB262209 DXE262138:DXF262209 DNI262138:DNJ262209 DDM262138:DDN262209 CTQ262138:CTR262209 CJU262138:CJV262209 BZY262138:BZZ262209 BQC262138:BQD262209 BGG262138:BGH262209 AWK262138:AWL262209 AMO262138:AMP262209 ACS262138:ACT262209 SW262138:SX262209 JA262138:JB262209 E262138:F262209 WVM196602:WVN196673 WLQ196602:WLR196673 WBU196602:WBV196673 VRY196602:VRZ196673 VIC196602:VID196673 UYG196602:UYH196673 UOK196602:UOL196673 UEO196602:UEP196673 TUS196602:TUT196673 TKW196602:TKX196673 TBA196602:TBB196673 SRE196602:SRF196673 SHI196602:SHJ196673 RXM196602:RXN196673 RNQ196602:RNR196673 RDU196602:RDV196673 QTY196602:QTZ196673 QKC196602:QKD196673 QAG196602:QAH196673 PQK196602:PQL196673 PGO196602:PGP196673 OWS196602:OWT196673 OMW196602:OMX196673 ODA196602:ODB196673 NTE196602:NTF196673 NJI196602:NJJ196673 MZM196602:MZN196673 MPQ196602:MPR196673 MFU196602:MFV196673 LVY196602:LVZ196673 LMC196602:LMD196673 LCG196602:LCH196673 KSK196602:KSL196673 KIO196602:KIP196673 JYS196602:JYT196673 JOW196602:JOX196673 JFA196602:JFB196673 IVE196602:IVF196673 ILI196602:ILJ196673 IBM196602:IBN196673 HRQ196602:HRR196673 HHU196602:HHV196673 GXY196602:GXZ196673 GOC196602:GOD196673 GEG196602:GEH196673 FUK196602:FUL196673 FKO196602:FKP196673 FAS196602:FAT196673 EQW196602:EQX196673 EHA196602:EHB196673 DXE196602:DXF196673 DNI196602:DNJ196673 DDM196602:DDN196673 CTQ196602:CTR196673 CJU196602:CJV196673 BZY196602:BZZ196673 BQC196602:BQD196673 BGG196602:BGH196673 AWK196602:AWL196673 AMO196602:AMP196673 ACS196602:ACT196673 SW196602:SX196673 JA196602:JB196673 E196602:F196673 WVM131066:WVN131137 WLQ131066:WLR131137 WBU131066:WBV131137 VRY131066:VRZ131137 VIC131066:VID131137 UYG131066:UYH131137 UOK131066:UOL131137 UEO131066:UEP131137 TUS131066:TUT131137 TKW131066:TKX131137 TBA131066:TBB131137 SRE131066:SRF131137 SHI131066:SHJ131137 RXM131066:RXN131137 RNQ131066:RNR131137 RDU131066:RDV131137 QTY131066:QTZ131137 QKC131066:QKD131137 QAG131066:QAH131137 PQK131066:PQL131137 PGO131066:PGP131137 OWS131066:OWT131137 OMW131066:OMX131137 ODA131066:ODB131137 NTE131066:NTF131137 NJI131066:NJJ131137 MZM131066:MZN131137 MPQ131066:MPR131137 MFU131066:MFV131137 LVY131066:LVZ131137 LMC131066:LMD131137 LCG131066:LCH131137 KSK131066:KSL131137 KIO131066:KIP131137 JYS131066:JYT131137 JOW131066:JOX131137 JFA131066:JFB131137 IVE131066:IVF131137 ILI131066:ILJ131137 IBM131066:IBN131137 HRQ131066:HRR131137 HHU131066:HHV131137 GXY131066:GXZ131137 GOC131066:GOD131137 GEG131066:GEH131137 FUK131066:FUL131137 FKO131066:FKP131137 FAS131066:FAT131137 EQW131066:EQX131137 EHA131066:EHB131137 DXE131066:DXF131137 DNI131066:DNJ131137 DDM131066:DDN131137 CTQ131066:CTR131137 CJU131066:CJV131137 BZY131066:BZZ131137 BQC131066:BQD131137 BGG131066:BGH131137 AWK131066:AWL131137 AMO131066:AMP131137 ACS131066:ACT131137 SW131066:SX131137 JA131066:JB131137 E131066:F131137 WVM65530:WVN65601 WLQ65530:WLR65601 WBU65530:WBV65601 VRY65530:VRZ65601 VIC65530:VID65601 UYG65530:UYH65601 UOK65530:UOL65601 UEO65530:UEP65601 TUS65530:TUT65601 TKW65530:TKX65601 TBA65530:TBB65601 SRE65530:SRF65601 SHI65530:SHJ65601 RXM65530:RXN65601 RNQ65530:RNR65601 RDU65530:RDV65601 QTY65530:QTZ65601 QKC65530:QKD65601 QAG65530:QAH65601 PQK65530:PQL65601 PGO65530:PGP65601 OWS65530:OWT65601 OMW65530:OMX65601 ODA65530:ODB65601 NTE65530:NTF65601 NJI65530:NJJ65601 MZM65530:MZN65601 MPQ65530:MPR65601 MFU65530:MFV65601 LVY65530:LVZ65601 LMC65530:LMD65601 LCG65530:LCH65601 KSK65530:KSL65601 KIO65530:KIP65601 JYS65530:JYT65601 JOW65530:JOX65601 JFA65530:JFB65601 IVE65530:IVF65601 ILI65530:ILJ65601 IBM65530:IBN65601 HRQ65530:HRR65601 HHU65530:HHV65601 GXY65530:GXZ65601 GOC65530:GOD65601 GEG65530:GEH65601 FUK65530:FUL65601 FKO65530:FKP65601 FAS65530:FAT65601 EQW65530:EQX65601 EHA65530:EHB65601 DXE65530:DXF65601 DNI65530:DNJ65601 DDM65530:DDN65601 CTQ65530:CTR65601 CJU65530:CJV65601 BZY65530:BZZ65601 BQC65530:BQD65601 BGG65530:BGH65601 AWK65530:AWL65601 AMO65530:AMP65601 ACS65530:ACT65601 SW65530:SX65601 JA65530:JB65601 E65530:F65601 JA64355:JB64420 WVM1047395:WVN1047460 WLQ1047395:WLR1047460 WBU1047395:WBV1047460 VRY1047395:VRZ1047460 VIC1047395:VID1047460 UYG1047395:UYH1047460 UOK1047395:UOL1047460 UEO1047395:UEP1047460 TUS1047395:TUT1047460 TKW1047395:TKX1047460 TBA1047395:TBB1047460 SRE1047395:SRF1047460 SHI1047395:SHJ1047460 RXM1047395:RXN1047460 RNQ1047395:RNR1047460 RDU1047395:RDV1047460 QTY1047395:QTZ1047460 QKC1047395:QKD1047460 QAG1047395:QAH1047460 PQK1047395:PQL1047460 PGO1047395:PGP1047460 OWS1047395:OWT1047460 OMW1047395:OMX1047460 ODA1047395:ODB1047460 NTE1047395:NTF1047460 NJI1047395:NJJ1047460 MZM1047395:MZN1047460 MPQ1047395:MPR1047460 MFU1047395:MFV1047460 LVY1047395:LVZ1047460 LMC1047395:LMD1047460 LCG1047395:LCH1047460 KSK1047395:KSL1047460 KIO1047395:KIP1047460 JYS1047395:JYT1047460 JOW1047395:JOX1047460 JFA1047395:JFB1047460 IVE1047395:IVF1047460 ILI1047395:ILJ1047460 IBM1047395:IBN1047460 HRQ1047395:HRR1047460 HHU1047395:HHV1047460 GXY1047395:GXZ1047460 GOC1047395:GOD1047460 GEG1047395:GEH1047460 FUK1047395:FUL1047460 FKO1047395:FKP1047460 FAS1047395:FAT1047460 EQW1047395:EQX1047460 EHA1047395:EHB1047460 DXE1047395:DXF1047460 DNI1047395:DNJ1047460 DDM1047395:DDN1047460 CTQ1047395:CTR1047460 CJU1047395:CJV1047460 BZY1047395:BZZ1047460 BQC1047395:BQD1047460 BGG1047395:BGH1047460 AWK1047395:AWL1047460 AMO1047395:AMP1047460 ACS1047395:ACT1047460 SW1047395:SX1047460 JA1047395:JB1047460 E1047395:F1047460 WVM981859:WVN981924 WLQ981859:WLR981924 WBU981859:WBV981924 VRY981859:VRZ981924 VIC981859:VID981924 UYG981859:UYH981924 UOK981859:UOL981924 UEO981859:UEP981924 TUS981859:TUT981924 TKW981859:TKX981924 TBA981859:TBB981924 SRE981859:SRF981924 SHI981859:SHJ981924 RXM981859:RXN981924 RNQ981859:RNR981924 RDU981859:RDV981924 QTY981859:QTZ981924 QKC981859:QKD981924 QAG981859:QAH981924 PQK981859:PQL981924 PGO981859:PGP981924 OWS981859:OWT981924 OMW981859:OMX981924 ODA981859:ODB981924 NTE981859:NTF981924 NJI981859:NJJ981924 MZM981859:MZN981924 MPQ981859:MPR981924 MFU981859:MFV981924 LVY981859:LVZ981924 LMC981859:LMD981924 LCG981859:LCH981924 KSK981859:KSL981924 KIO981859:KIP981924 JYS981859:JYT981924 JOW981859:JOX981924 JFA981859:JFB981924 IVE981859:IVF981924 ILI981859:ILJ981924 IBM981859:IBN981924 HRQ981859:HRR981924 HHU981859:HHV981924 GXY981859:GXZ981924 GOC981859:GOD981924 GEG981859:GEH981924 FUK981859:FUL981924 FKO981859:FKP981924 FAS981859:FAT981924 EQW981859:EQX981924 EHA981859:EHB981924 DXE981859:DXF981924 DNI981859:DNJ981924 DDM981859:DDN981924 CTQ981859:CTR981924 CJU981859:CJV981924 BZY981859:BZZ981924 BQC981859:BQD981924 BGG981859:BGH981924 AWK981859:AWL981924 AMO981859:AMP981924 ACS981859:ACT981924 SW981859:SX981924 JA981859:JB981924 E981859:F981924 WVM916323:WVN916388 WLQ916323:WLR916388 WBU916323:WBV916388 VRY916323:VRZ916388 VIC916323:VID916388 UYG916323:UYH916388 UOK916323:UOL916388 UEO916323:UEP916388 TUS916323:TUT916388 TKW916323:TKX916388 TBA916323:TBB916388 SRE916323:SRF916388 SHI916323:SHJ916388 RXM916323:RXN916388 RNQ916323:RNR916388 RDU916323:RDV916388 QTY916323:QTZ916388 QKC916323:QKD916388 QAG916323:QAH916388 PQK916323:PQL916388 PGO916323:PGP916388 OWS916323:OWT916388 OMW916323:OMX916388 ODA916323:ODB916388 NTE916323:NTF916388 NJI916323:NJJ916388 MZM916323:MZN916388 MPQ916323:MPR916388 MFU916323:MFV916388 LVY916323:LVZ916388 LMC916323:LMD916388 LCG916323:LCH916388 KSK916323:KSL916388 KIO916323:KIP916388 JYS916323:JYT916388 JOW916323:JOX916388 JFA916323:JFB916388 IVE916323:IVF916388 ILI916323:ILJ916388 IBM916323:IBN916388 HRQ916323:HRR916388 HHU916323:HHV916388 GXY916323:GXZ916388 GOC916323:GOD916388 GEG916323:GEH916388 FUK916323:FUL916388 FKO916323:FKP916388 FAS916323:FAT916388 EQW916323:EQX916388 EHA916323:EHB916388 DXE916323:DXF916388 DNI916323:DNJ916388 DDM916323:DDN916388 CTQ916323:CTR916388 CJU916323:CJV916388 BZY916323:BZZ916388 BQC916323:BQD916388 BGG916323:BGH916388 AWK916323:AWL916388 AMO916323:AMP916388 ACS916323:ACT916388 SW916323:SX916388 JA916323:JB916388 E916323:F916388 WVM850787:WVN850852 WLQ850787:WLR850852 WBU850787:WBV850852 VRY850787:VRZ850852 VIC850787:VID850852 UYG850787:UYH850852 UOK850787:UOL850852 UEO850787:UEP850852 TUS850787:TUT850852 TKW850787:TKX850852 TBA850787:TBB850852 SRE850787:SRF850852 SHI850787:SHJ850852 RXM850787:RXN850852 RNQ850787:RNR850852 RDU850787:RDV850852 QTY850787:QTZ850852 QKC850787:QKD850852 QAG850787:QAH850852 PQK850787:PQL850852 PGO850787:PGP850852 OWS850787:OWT850852 OMW850787:OMX850852 ODA850787:ODB850852 NTE850787:NTF850852 NJI850787:NJJ850852 MZM850787:MZN850852 MPQ850787:MPR850852 MFU850787:MFV850852 LVY850787:LVZ850852 LMC850787:LMD850852 LCG850787:LCH850852 KSK850787:KSL850852 KIO850787:KIP850852 JYS850787:JYT850852 JOW850787:JOX850852 JFA850787:JFB850852 IVE850787:IVF850852 ILI850787:ILJ850852 IBM850787:IBN850852 HRQ850787:HRR850852 HHU850787:HHV850852 GXY850787:GXZ850852 GOC850787:GOD850852 GEG850787:GEH850852 FUK850787:FUL850852 FKO850787:FKP850852 FAS850787:FAT850852 EQW850787:EQX850852 EHA850787:EHB850852 DXE850787:DXF850852 DNI850787:DNJ850852 DDM850787:DDN850852 CTQ850787:CTR850852 CJU850787:CJV850852 BZY850787:BZZ850852 BQC850787:BQD850852 BGG850787:BGH850852 AWK850787:AWL850852 AMO850787:AMP850852 ACS850787:ACT850852 SW850787:SX850852 JA850787:JB850852 E850787:F850852 WVM785251:WVN785316 WLQ785251:WLR785316 WBU785251:WBV785316 VRY785251:VRZ785316 VIC785251:VID785316 UYG785251:UYH785316 UOK785251:UOL785316 UEO785251:UEP785316 TUS785251:TUT785316 TKW785251:TKX785316 TBA785251:TBB785316 SRE785251:SRF785316 SHI785251:SHJ785316 RXM785251:RXN785316 RNQ785251:RNR785316 RDU785251:RDV785316 QTY785251:QTZ785316 QKC785251:QKD785316 QAG785251:QAH785316 PQK785251:PQL785316 PGO785251:PGP785316 OWS785251:OWT785316 OMW785251:OMX785316 ODA785251:ODB785316 NTE785251:NTF785316 NJI785251:NJJ785316 MZM785251:MZN785316 MPQ785251:MPR785316 MFU785251:MFV785316 LVY785251:LVZ785316 LMC785251:LMD785316 LCG785251:LCH785316 KSK785251:KSL785316 KIO785251:KIP785316 JYS785251:JYT785316 JOW785251:JOX785316 JFA785251:JFB785316 IVE785251:IVF785316 ILI785251:ILJ785316 IBM785251:IBN785316 HRQ785251:HRR785316 HHU785251:HHV785316 GXY785251:GXZ785316 GOC785251:GOD785316 GEG785251:GEH785316 FUK785251:FUL785316 FKO785251:FKP785316 FAS785251:FAT785316 EQW785251:EQX785316 EHA785251:EHB785316 DXE785251:DXF785316 DNI785251:DNJ785316 DDM785251:DDN785316 CTQ785251:CTR785316 CJU785251:CJV785316 BZY785251:BZZ785316 BQC785251:BQD785316 BGG785251:BGH785316 AWK785251:AWL785316 AMO785251:AMP785316 ACS785251:ACT785316 SW785251:SX785316 JA785251:JB785316 E785251:F785316 WVM719715:WVN719780 WLQ719715:WLR719780 WBU719715:WBV719780 VRY719715:VRZ719780 VIC719715:VID719780 UYG719715:UYH719780 UOK719715:UOL719780 UEO719715:UEP719780 TUS719715:TUT719780 TKW719715:TKX719780 TBA719715:TBB719780 SRE719715:SRF719780 SHI719715:SHJ719780 RXM719715:RXN719780 RNQ719715:RNR719780 RDU719715:RDV719780 QTY719715:QTZ719780 QKC719715:QKD719780 QAG719715:QAH719780 PQK719715:PQL719780 PGO719715:PGP719780 OWS719715:OWT719780 OMW719715:OMX719780 ODA719715:ODB719780 NTE719715:NTF719780 NJI719715:NJJ719780 MZM719715:MZN719780 MPQ719715:MPR719780 MFU719715:MFV719780 LVY719715:LVZ719780 LMC719715:LMD719780 LCG719715:LCH719780 KSK719715:KSL719780 KIO719715:KIP719780 JYS719715:JYT719780 JOW719715:JOX719780 JFA719715:JFB719780 IVE719715:IVF719780 ILI719715:ILJ719780 IBM719715:IBN719780 HRQ719715:HRR719780 HHU719715:HHV719780 GXY719715:GXZ719780 GOC719715:GOD719780 GEG719715:GEH719780 FUK719715:FUL719780 FKO719715:FKP719780 FAS719715:FAT719780 EQW719715:EQX719780 EHA719715:EHB719780 DXE719715:DXF719780 DNI719715:DNJ719780 DDM719715:DDN719780 CTQ719715:CTR719780 CJU719715:CJV719780 BZY719715:BZZ719780 BQC719715:BQD719780 BGG719715:BGH719780 AWK719715:AWL719780 AMO719715:AMP719780 ACS719715:ACT719780 SW719715:SX719780 JA719715:JB719780 E719715:F719780 WVM654179:WVN654244 WLQ654179:WLR654244 WBU654179:WBV654244 VRY654179:VRZ654244 VIC654179:VID654244 UYG654179:UYH654244 UOK654179:UOL654244 UEO654179:UEP654244 TUS654179:TUT654244 TKW654179:TKX654244 TBA654179:TBB654244 SRE654179:SRF654244 SHI654179:SHJ654244 RXM654179:RXN654244 RNQ654179:RNR654244 RDU654179:RDV654244 QTY654179:QTZ654244 QKC654179:QKD654244 QAG654179:QAH654244 PQK654179:PQL654244 PGO654179:PGP654244 OWS654179:OWT654244 OMW654179:OMX654244 ODA654179:ODB654244 NTE654179:NTF654244 NJI654179:NJJ654244 MZM654179:MZN654244 MPQ654179:MPR654244 MFU654179:MFV654244 LVY654179:LVZ654244 LMC654179:LMD654244 LCG654179:LCH654244 KSK654179:KSL654244 KIO654179:KIP654244 JYS654179:JYT654244 JOW654179:JOX654244 JFA654179:JFB654244 IVE654179:IVF654244 ILI654179:ILJ654244 IBM654179:IBN654244 HRQ654179:HRR654244 HHU654179:HHV654244 GXY654179:GXZ654244 GOC654179:GOD654244 GEG654179:GEH654244 FUK654179:FUL654244 FKO654179:FKP654244 FAS654179:FAT654244 EQW654179:EQX654244 EHA654179:EHB654244 DXE654179:DXF654244 DNI654179:DNJ654244 DDM654179:DDN654244 CTQ654179:CTR654244 CJU654179:CJV654244 BZY654179:BZZ654244 BQC654179:BQD654244 BGG654179:BGH654244 AWK654179:AWL654244 AMO654179:AMP654244 ACS654179:ACT654244 SW654179:SX654244 JA654179:JB654244 E654179:F654244 WVM588643:WVN588708 WLQ588643:WLR588708 WBU588643:WBV588708 VRY588643:VRZ588708 VIC588643:VID588708 UYG588643:UYH588708 UOK588643:UOL588708 UEO588643:UEP588708 TUS588643:TUT588708 TKW588643:TKX588708 TBA588643:TBB588708 SRE588643:SRF588708 SHI588643:SHJ588708 RXM588643:RXN588708 RNQ588643:RNR588708 RDU588643:RDV588708 QTY588643:QTZ588708 QKC588643:QKD588708 QAG588643:QAH588708 PQK588643:PQL588708 PGO588643:PGP588708 OWS588643:OWT588708 OMW588643:OMX588708 ODA588643:ODB588708 NTE588643:NTF588708 NJI588643:NJJ588708 MZM588643:MZN588708 MPQ588643:MPR588708 MFU588643:MFV588708 LVY588643:LVZ588708 LMC588643:LMD588708 LCG588643:LCH588708 KSK588643:KSL588708 KIO588643:KIP588708 JYS588643:JYT588708 JOW588643:JOX588708 JFA588643:JFB588708 IVE588643:IVF588708 ILI588643:ILJ588708 IBM588643:IBN588708 HRQ588643:HRR588708 HHU588643:HHV588708 GXY588643:GXZ588708 GOC588643:GOD588708 GEG588643:GEH588708 FUK588643:FUL588708 FKO588643:FKP588708 FAS588643:FAT588708 EQW588643:EQX588708 EHA588643:EHB588708 DXE588643:DXF588708 DNI588643:DNJ588708 DDM588643:DDN588708 CTQ588643:CTR588708 CJU588643:CJV588708 BZY588643:BZZ588708 BQC588643:BQD588708 BGG588643:BGH588708 AWK588643:AWL588708 AMO588643:AMP588708 ACS588643:ACT588708 SW588643:SX588708 JA588643:JB588708 E588643:F588708 WVM523107:WVN523172 WLQ523107:WLR523172 WBU523107:WBV523172 VRY523107:VRZ523172 VIC523107:VID523172 UYG523107:UYH523172 UOK523107:UOL523172 UEO523107:UEP523172 TUS523107:TUT523172 TKW523107:TKX523172 TBA523107:TBB523172 SRE523107:SRF523172 SHI523107:SHJ523172 RXM523107:RXN523172 RNQ523107:RNR523172 RDU523107:RDV523172 QTY523107:QTZ523172 QKC523107:QKD523172 QAG523107:QAH523172 PQK523107:PQL523172 PGO523107:PGP523172 OWS523107:OWT523172 OMW523107:OMX523172 ODA523107:ODB523172 NTE523107:NTF523172 NJI523107:NJJ523172 MZM523107:MZN523172 MPQ523107:MPR523172 MFU523107:MFV523172 LVY523107:LVZ523172 LMC523107:LMD523172 LCG523107:LCH523172 KSK523107:KSL523172 KIO523107:KIP523172 JYS523107:JYT523172 JOW523107:JOX523172 JFA523107:JFB523172 IVE523107:IVF523172 ILI523107:ILJ523172 IBM523107:IBN523172 HRQ523107:HRR523172 HHU523107:HHV523172 GXY523107:GXZ523172 GOC523107:GOD523172 GEG523107:GEH523172 FUK523107:FUL523172 FKO523107:FKP523172 FAS523107:FAT523172 EQW523107:EQX523172 EHA523107:EHB523172 DXE523107:DXF523172 DNI523107:DNJ523172 DDM523107:DDN523172 CTQ523107:CTR523172 CJU523107:CJV523172 BZY523107:BZZ523172 BQC523107:BQD523172 BGG523107:BGH523172 AWK523107:AWL523172 AMO523107:AMP523172 ACS523107:ACT523172 SW523107:SX523172 JA523107:JB523172 E523107:F523172 WVM457571:WVN457636 WLQ457571:WLR457636 WBU457571:WBV457636 VRY457571:VRZ457636 VIC457571:VID457636 UYG457571:UYH457636 UOK457571:UOL457636 UEO457571:UEP457636 TUS457571:TUT457636 TKW457571:TKX457636 TBA457571:TBB457636 SRE457571:SRF457636 SHI457571:SHJ457636 RXM457571:RXN457636 RNQ457571:RNR457636 RDU457571:RDV457636 QTY457571:QTZ457636 QKC457571:QKD457636 QAG457571:QAH457636 PQK457571:PQL457636 PGO457571:PGP457636 OWS457571:OWT457636 OMW457571:OMX457636 ODA457571:ODB457636 NTE457571:NTF457636 NJI457571:NJJ457636 MZM457571:MZN457636 MPQ457571:MPR457636 MFU457571:MFV457636 LVY457571:LVZ457636 LMC457571:LMD457636 LCG457571:LCH457636 KSK457571:KSL457636 KIO457571:KIP457636 JYS457571:JYT457636 JOW457571:JOX457636 JFA457571:JFB457636 IVE457571:IVF457636 ILI457571:ILJ457636 IBM457571:IBN457636 HRQ457571:HRR457636 HHU457571:HHV457636 GXY457571:GXZ457636 GOC457571:GOD457636 GEG457571:GEH457636 FUK457571:FUL457636 FKO457571:FKP457636 FAS457571:FAT457636 EQW457571:EQX457636 EHA457571:EHB457636 DXE457571:DXF457636 DNI457571:DNJ457636 DDM457571:DDN457636 CTQ457571:CTR457636 CJU457571:CJV457636 BZY457571:BZZ457636 BQC457571:BQD457636 BGG457571:BGH457636 AWK457571:AWL457636 AMO457571:AMP457636 ACS457571:ACT457636 SW457571:SX457636 JA457571:JB457636 E457571:F457636 WVM392035:WVN392100 WLQ392035:WLR392100 WBU392035:WBV392100 VRY392035:VRZ392100 VIC392035:VID392100 UYG392035:UYH392100 UOK392035:UOL392100 UEO392035:UEP392100 TUS392035:TUT392100 TKW392035:TKX392100 TBA392035:TBB392100 SRE392035:SRF392100 SHI392035:SHJ392100 RXM392035:RXN392100 RNQ392035:RNR392100 RDU392035:RDV392100 QTY392035:QTZ392100 QKC392035:QKD392100 QAG392035:QAH392100 PQK392035:PQL392100 PGO392035:PGP392100 OWS392035:OWT392100 OMW392035:OMX392100 ODA392035:ODB392100 NTE392035:NTF392100 NJI392035:NJJ392100 MZM392035:MZN392100 MPQ392035:MPR392100 MFU392035:MFV392100 LVY392035:LVZ392100 LMC392035:LMD392100 LCG392035:LCH392100 KSK392035:KSL392100 KIO392035:KIP392100 JYS392035:JYT392100 JOW392035:JOX392100 JFA392035:JFB392100 IVE392035:IVF392100 ILI392035:ILJ392100 IBM392035:IBN392100 HRQ392035:HRR392100 HHU392035:HHV392100 GXY392035:GXZ392100 GOC392035:GOD392100 GEG392035:GEH392100 FUK392035:FUL392100 FKO392035:FKP392100 FAS392035:FAT392100 EQW392035:EQX392100 EHA392035:EHB392100 DXE392035:DXF392100 DNI392035:DNJ392100 DDM392035:DDN392100 CTQ392035:CTR392100 CJU392035:CJV392100 BZY392035:BZZ392100 BQC392035:BQD392100 BGG392035:BGH392100 AWK392035:AWL392100 AMO392035:AMP392100 ACS392035:ACT392100 SW392035:SX392100 JA392035:JB392100 E392035:F392100 WVM326499:WVN326564 WLQ326499:WLR326564 WBU326499:WBV326564 VRY326499:VRZ326564 VIC326499:VID326564 UYG326499:UYH326564 UOK326499:UOL326564 UEO326499:UEP326564 TUS326499:TUT326564 TKW326499:TKX326564 TBA326499:TBB326564 SRE326499:SRF326564 SHI326499:SHJ326564 RXM326499:RXN326564 RNQ326499:RNR326564 RDU326499:RDV326564 QTY326499:QTZ326564 QKC326499:QKD326564 QAG326499:QAH326564 PQK326499:PQL326564 PGO326499:PGP326564 OWS326499:OWT326564 OMW326499:OMX326564 ODA326499:ODB326564 NTE326499:NTF326564 NJI326499:NJJ326564 MZM326499:MZN326564 MPQ326499:MPR326564 MFU326499:MFV326564 LVY326499:LVZ326564 LMC326499:LMD326564 LCG326499:LCH326564 KSK326499:KSL326564 KIO326499:KIP326564 JYS326499:JYT326564 JOW326499:JOX326564 JFA326499:JFB326564 IVE326499:IVF326564 ILI326499:ILJ326564 IBM326499:IBN326564 HRQ326499:HRR326564 HHU326499:HHV326564 GXY326499:GXZ326564 GOC326499:GOD326564 GEG326499:GEH326564 FUK326499:FUL326564 FKO326499:FKP326564 FAS326499:FAT326564 EQW326499:EQX326564 EHA326499:EHB326564 DXE326499:DXF326564 DNI326499:DNJ326564 DDM326499:DDN326564 CTQ326499:CTR326564 CJU326499:CJV326564 BZY326499:BZZ326564 BQC326499:BQD326564 BGG326499:BGH326564 AWK326499:AWL326564 AMO326499:AMP326564 ACS326499:ACT326564 SW326499:SX326564 JA326499:JB326564 E326499:F326564 WVM260963:WVN261028 WLQ260963:WLR261028 WBU260963:WBV261028 VRY260963:VRZ261028 VIC260963:VID261028 UYG260963:UYH261028 UOK260963:UOL261028 UEO260963:UEP261028 TUS260963:TUT261028 TKW260963:TKX261028 TBA260963:TBB261028 SRE260963:SRF261028 SHI260963:SHJ261028 RXM260963:RXN261028 RNQ260963:RNR261028 RDU260963:RDV261028 QTY260963:QTZ261028 QKC260963:QKD261028 QAG260963:QAH261028 PQK260963:PQL261028 PGO260963:PGP261028 OWS260963:OWT261028 OMW260963:OMX261028 ODA260963:ODB261028 NTE260963:NTF261028 NJI260963:NJJ261028 MZM260963:MZN261028 MPQ260963:MPR261028 MFU260963:MFV261028 LVY260963:LVZ261028 LMC260963:LMD261028 LCG260963:LCH261028 KSK260963:KSL261028 KIO260963:KIP261028 JYS260963:JYT261028 JOW260963:JOX261028 JFA260963:JFB261028 IVE260963:IVF261028 ILI260963:ILJ261028 IBM260963:IBN261028 HRQ260963:HRR261028 HHU260963:HHV261028 GXY260963:GXZ261028 GOC260963:GOD261028 GEG260963:GEH261028 FUK260963:FUL261028 FKO260963:FKP261028 FAS260963:FAT261028 EQW260963:EQX261028 EHA260963:EHB261028 DXE260963:DXF261028 DNI260963:DNJ261028 DDM260963:DDN261028 CTQ260963:CTR261028 CJU260963:CJV261028 BZY260963:BZZ261028 BQC260963:BQD261028 BGG260963:BGH261028 AWK260963:AWL261028 AMO260963:AMP261028 ACS260963:ACT261028 SW260963:SX261028 JA260963:JB261028 E260963:F261028 WVM195427:WVN195492 WLQ195427:WLR195492 WBU195427:WBV195492 VRY195427:VRZ195492 VIC195427:VID195492 UYG195427:UYH195492 UOK195427:UOL195492 UEO195427:UEP195492 TUS195427:TUT195492 TKW195427:TKX195492 TBA195427:TBB195492 SRE195427:SRF195492 SHI195427:SHJ195492 RXM195427:RXN195492 RNQ195427:RNR195492 RDU195427:RDV195492 QTY195427:QTZ195492 QKC195427:QKD195492 QAG195427:QAH195492 PQK195427:PQL195492 PGO195427:PGP195492 OWS195427:OWT195492 OMW195427:OMX195492 ODA195427:ODB195492 NTE195427:NTF195492 NJI195427:NJJ195492 MZM195427:MZN195492 MPQ195427:MPR195492 MFU195427:MFV195492 LVY195427:LVZ195492 LMC195427:LMD195492 LCG195427:LCH195492 KSK195427:KSL195492 KIO195427:KIP195492 JYS195427:JYT195492 JOW195427:JOX195492 JFA195427:JFB195492 IVE195427:IVF195492 ILI195427:ILJ195492 IBM195427:IBN195492 HRQ195427:HRR195492 HHU195427:HHV195492 GXY195427:GXZ195492 GOC195427:GOD195492 GEG195427:GEH195492 FUK195427:FUL195492 FKO195427:FKP195492 FAS195427:FAT195492 EQW195427:EQX195492 EHA195427:EHB195492 DXE195427:DXF195492 DNI195427:DNJ195492 DDM195427:DDN195492 CTQ195427:CTR195492 CJU195427:CJV195492 BZY195427:BZZ195492 BQC195427:BQD195492 BGG195427:BGH195492 AWK195427:AWL195492 AMO195427:AMP195492 ACS195427:ACT195492 SW195427:SX195492 JA195427:JB195492 E195427:F195492 WVM129891:WVN129956 WLQ129891:WLR129956 WBU129891:WBV129956 VRY129891:VRZ129956 VIC129891:VID129956 UYG129891:UYH129956 UOK129891:UOL129956 UEO129891:UEP129956 TUS129891:TUT129956 TKW129891:TKX129956 TBA129891:TBB129956 SRE129891:SRF129956 SHI129891:SHJ129956 RXM129891:RXN129956 RNQ129891:RNR129956 RDU129891:RDV129956 QTY129891:QTZ129956 QKC129891:QKD129956 QAG129891:QAH129956 PQK129891:PQL129956 PGO129891:PGP129956 OWS129891:OWT129956 OMW129891:OMX129956 ODA129891:ODB129956 NTE129891:NTF129956 NJI129891:NJJ129956 MZM129891:MZN129956 MPQ129891:MPR129956 MFU129891:MFV129956 LVY129891:LVZ129956 LMC129891:LMD129956 LCG129891:LCH129956 KSK129891:KSL129956 KIO129891:KIP129956 JYS129891:JYT129956 JOW129891:JOX129956 JFA129891:JFB129956 IVE129891:IVF129956 ILI129891:ILJ129956 IBM129891:IBN129956 HRQ129891:HRR129956 HHU129891:HHV129956 GXY129891:GXZ129956 GOC129891:GOD129956 GEG129891:GEH129956 FUK129891:FUL129956 FKO129891:FKP129956 FAS129891:FAT129956 EQW129891:EQX129956 EHA129891:EHB129956 DXE129891:DXF129956 DNI129891:DNJ129956 DDM129891:DDN129956 CTQ129891:CTR129956 CJU129891:CJV129956 BZY129891:BZZ129956 BQC129891:BQD129956 BGG129891:BGH129956 AWK129891:AWL129956 AMO129891:AMP129956 ACS129891:ACT129956 SW129891:SX129956 JA129891:JB129956 E129891:F129956 WVM64355:WVN64420 WLQ64355:WLR64420 WBU64355:WBV64420 VRY64355:VRZ64420 VIC64355:VID64420 UYG64355:UYH64420 UOK64355:UOL64420 UEO64355:UEP64420 TUS64355:TUT64420 TKW64355:TKX64420 TBA64355:TBB64420 SRE64355:SRF64420 SHI64355:SHJ64420 RXM64355:RXN64420 RNQ64355:RNR64420 RDU64355:RDV64420 QTY64355:QTZ64420 QKC64355:QKD64420 QAG64355:QAH64420 PQK64355:PQL64420 PGO64355:PGP64420 OWS64355:OWT64420 OMW64355:OMX64420 ODA64355:ODB64420 NTE64355:NTF64420 NJI64355:NJJ64420 MZM64355:MZN64420 MPQ64355:MPR64420 MFU64355:MFV64420 LVY64355:LVZ64420 LMC64355:LMD64420 LCG64355:LCH64420 KSK64355:KSL64420 KIO64355:KIP64420 JYS64355:JYT64420 JOW64355:JOX64420 JFA64355:JFB64420 IVE64355:IVF64420 ILI64355:ILJ64420 IBM64355:IBN64420 HRQ64355:HRR64420 HHU64355:HHV64420 GXY64355:GXZ64420 GOC64355:GOD64420 GEG64355:GEH64420 FUK64355:FUL64420 FKO64355:FKP64420 FAS64355:FAT64420 EQW64355:EQX64420 EHA64355:EHB64420 DXE64355:DXF64420 DNI64355:DNJ64420 DDM64355:DDN64420 CTQ64355:CTR64420 CJU64355:CJV64420 BZY64355:BZZ64420 BQC64355:BQD64420 BGG64355:BGH64420 AWK64355:AWL64420 AMO64355:AMP64420 ACS64355:ACT64420 SW64355:SX64420 JA2:JB65 SW2:SX65 ACS2:ACT65 AMO2:AMP65 AWK2:AWL65 BGG2:BGH65 BQC2:BQD65 BZY2:BZZ65 CJU2:CJV65 CTQ2:CTR65 DDM2:DDN65 DNI2:DNJ65 DXE2:DXF65 EHA2:EHB65 EQW2:EQX65 FAS2:FAT65 FKO2:FKP65 FUK2:FUL65 GEG2:GEH65 GOC2:GOD65 GXY2:GXZ65 HHU2:HHV65 HRQ2:HRR65 IBM2:IBN65 ILI2:ILJ65 IVE2:IVF65 JFA2:JFB65 JOW2:JOX65 JYS2:JYT65 KIO2:KIP65 KSK2:KSL65 LCG2:LCH65 LMC2:LMD65 LVY2:LVZ65 MFU2:MFV65 MPQ2:MPR65 MZM2:MZN65 NJI2:NJJ65 NTE2:NTF65 ODA2:ODB65 OMW2:OMX65 OWS2:OWT65 PGO2:PGP65 PQK2:PQL65 QAG2:QAH65 QKC2:QKD65 QTY2:QTZ65 RDU2:RDV65 RNQ2:RNR65 RXM2:RXN65 SHI2:SHJ65 SRE2:SRF65 TBA2:TBB65 TKW2:TKX65 TUS2:TUT65 UEO2:UEP65 UOK2:UOL65 UYG2:UYH65 VIC2:VID65 VRY2:VRZ65 WBU2:WBV65 WLQ2:WLR65 WVM2:WVN65" xr:uid="{41BDDD2D-E8BC-4734-876C-FAB6F2562C1A}">
      <formula1>#REF!</formula1>
    </dataValidation>
    <dataValidation type="list" allowBlank="1" showInputMessage="1" showErrorMessage="1" sqref="E2:E492" xr:uid="{141143B7-B1EC-4D37-89FD-336C2392CD53}">
      <formula1>$AG$2:$AG$11</formula1>
    </dataValidation>
    <dataValidation type="decimal" allowBlank="1" showInputMessage="1" showErrorMessage="1" error="硬度を正しく入力して下さい。" sqref="O2:P492" xr:uid="{244A9E30-072F-42B8-B989-CDFB5D703FED}">
      <formula1>0</formula1>
      <formula2>7</formula2>
    </dataValidation>
    <dataValidation type="list" allowBlank="1" showInputMessage="1" showErrorMessage="1" sqref="F2:F1446" xr:uid="{67F0DE6F-6C00-49D7-A6D2-1DC509BCAD13}">
      <formula1>$AH$2:$AH$11</formula1>
    </dataValidation>
    <dataValidation type="list" allowBlank="1" showInputMessage="1" showErrorMessage="1" sqref="AC38 Y2:AA583" xr:uid="{222D19FD-F7B9-494D-BC47-D4000DA4D848}">
      <formula1>$AV$2:$AV$38</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A1317"/>
  <sheetViews>
    <sheetView zoomScale="85" zoomScaleNormal="85" zoomScaleSheetLayoutView="100" workbookViewId="0">
      <pane ySplit="1" topLeftCell="A2" activePane="bottomLeft" state="frozen"/>
      <selection activeCell="H14" sqref="H14"/>
      <selection pane="bottomLeft" activeCell="A2" sqref="A2"/>
    </sheetView>
  </sheetViews>
  <sheetFormatPr defaultColWidth="9" defaultRowHeight="13.5" x14ac:dyDescent="0.15"/>
  <cols>
    <col min="1" max="3" width="9" style="7"/>
    <col min="4" max="4" width="10.5" style="7" bestFit="1" customWidth="1"/>
    <col min="5" max="9" width="9" style="7"/>
    <col min="10" max="11" width="9" style="77"/>
    <col min="12" max="16" width="9" style="7"/>
    <col min="17" max="17" width="9" style="16"/>
    <col min="18" max="19" width="9" style="7"/>
    <col min="20" max="20" width="9" style="16"/>
    <col min="21" max="21" width="9" style="7"/>
    <col min="22" max="22" width="9" style="16"/>
    <col min="23" max="32" width="9" style="7"/>
    <col min="33" max="33" width="16.875" style="7" bestFit="1" customWidth="1"/>
    <col min="34" max="34" width="15.625" style="7" customWidth="1"/>
    <col min="35" max="39" width="9" style="48"/>
    <col min="40" max="16384" width="9" style="7"/>
  </cols>
  <sheetData>
    <row r="1" spans="1:53" ht="45" x14ac:dyDescent="0.15">
      <c r="A1" s="40" t="s">
        <v>0</v>
      </c>
      <c r="B1" s="1" t="s">
        <v>1</v>
      </c>
      <c r="C1" s="1" t="s">
        <v>118</v>
      </c>
      <c r="D1" s="2" t="s">
        <v>2</v>
      </c>
      <c r="E1" s="41" t="s">
        <v>3</v>
      </c>
      <c r="F1" s="41" t="s">
        <v>4</v>
      </c>
      <c r="G1" s="41" t="s">
        <v>5</v>
      </c>
      <c r="H1" s="41" t="s">
        <v>6</v>
      </c>
      <c r="I1" s="41" t="s">
        <v>7</v>
      </c>
      <c r="J1" s="83" t="s">
        <v>8</v>
      </c>
      <c r="K1" s="83" t="s">
        <v>9</v>
      </c>
      <c r="L1" s="2" t="s">
        <v>119</v>
      </c>
      <c r="M1" s="2" t="s">
        <v>10</v>
      </c>
      <c r="N1" s="2" t="s">
        <v>11</v>
      </c>
      <c r="O1" s="2" t="s">
        <v>120</v>
      </c>
      <c r="P1" s="2" t="s">
        <v>121</v>
      </c>
      <c r="Q1" s="3" t="s">
        <v>12</v>
      </c>
      <c r="R1" s="2" t="s">
        <v>122</v>
      </c>
      <c r="S1" s="2" t="s">
        <v>123</v>
      </c>
      <c r="T1" s="3" t="s">
        <v>13</v>
      </c>
      <c r="U1" s="4" t="s">
        <v>92</v>
      </c>
      <c r="V1" s="5" t="s">
        <v>14</v>
      </c>
      <c r="W1" s="2" t="s">
        <v>15</v>
      </c>
      <c r="X1" s="41" t="s">
        <v>16</v>
      </c>
      <c r="Y1" s="41" t="s">
        <v>17</v>
      </c>
      <c r="Z1" s="41" t="s">
        <v>18</v>
      </c>
      <c r="AA1" s="42" t="s">
        <v>19</v>
      </c>
      <c r="AB1" s="6" t="s">
        <v>124</v>
      </c>
      <c r="AE1" s="8" t="s">
        <v>0</v>
      </c>
      <c r="AF1" s="9"/>
      <c r="AG1" s="8" t="s">
        <v>3</v>
      </c>
      <c r="AH1" s="8" t="s">
        <v>4</v>
      </c>
      <c r="AI1" s="51"/>
      <c r="AJ1" s="52" t="s">
        <v>5</v>
      </c>
      <c r="AK1" s="51"/>
      <c r="AL1" s="53" t="s">
        <v>6</v>
      </c>
      <c r="AM1" s="51"/>
      <c r="AN1" s="10" t="s">
        <v>7</v>
      </c>
      <c r="AO1" s="9"/>
      <c r="AP1" s="10" t="s">
        <v>20</v>
      </c>
      <c r="AQ1" s="9"/>
      <c r="AR1" s="10" t="s">
        <v>9</v>
      </c>
      <c r="AS1" s="9"/>
      <c r="AT1" s="11" t="s">
        <v>21</v>
      </c>
      <c r="AU1" s="9"/>
      <c r="AV1" s="10" t="s">
        <v>22</v>
      </c>
      <c r="AX1" s="12" t="s">
        <v>125</v>
      </c>
      <c r="AY1" s="13" t="s">
        <v>126</v>
      </c>
      <c r="AZ1" s="13" t="s">
        <v>127</v>
      </c>
      <c r="BA1" s="14" t="s">
        <v>128</v>
      </c>
    </row>
    <row r="2" spans="1:53" x14ac:dyDescent="0.15">
      <c r="A2" s="84" t="s">
        <v>23</v>
      </c>
      <c r="B2" s="84" t="s">
        <v>160</v>
      </c>
      <c r="C2" s="84">
        <v>2020</v>
      </c>
      <c r="D2" s="45" t="s">
        <v>161</v>
      </c>
      <c r="E2" s="84" t="s">
        <v>163</v>
      </c>
      <c r="F2" s="84" t="s">
        <v>141</v>
      </c>
      <c r="G2" s="84" t="s">
        <v>25</v>
      </c>
      <c r="H2" s="84" t="s">
        <v>113</v>
      </c>
      <c r="I2" s="84" t="s">
        <v>111</v>
      </c>
      <c r="J2" s="78" t="s">
        <v>27</v>
      </c>
      <c r="K2" s="77" t="s">
        <v>112</v>
      </c>
      <c r="L2" s="84">
        <v>1</v>
      </c>
      <c r="M2" s="55"/>
      <c r="N2" s="55">
        <v>1</v>
      </c>
      <c r="O2" s="55">
        <v>0.85</v>
      </c>
      <c r="P2" s="55">
        <v>0.9</v>
      </c>
      <c r="Q2" s="56">
        <f t="shared" ref="Q2:Q65" si="0">IF(OR(O2="",P2=""),"",AVERAGE(O2,P2))</f>
        <v>0.875</v>
      </c>
      <c r="R2" s="57">
        <v>15.4</v>
      </c>
      <c r="S2" s="54">
        <v>113</v>
      </c>
      <c r="T2" s="58">
        <f t="shared" ref="T2:T65" si="1">IF(H2="","",IF(OR(H2="GREEN",H2="GK"),IF(S2&gt;=$AX$2,VLOOKUP(S2,$AX$2:$AY$7,2,1),""),IF(S2&gt;=$AZ$2,VLOOKUP(S2,$AZ$2:$BA$7,2,1),"")))</f>
        <v>30</v>
      </c>
      <c r="U2" s="71">
        <v>98</v>
      </c>
      <c r="V2" s="58">
        <f t="shared" ref="V2:V65" si="2">IF(OR(N2="",U2="",T2=""),"",U2/N2*T2)</f>
        <v>2940</v>
      </c>
      <c r="W2" s="59">
        <v>7</v>
      </c>
      <c r="X2" s="60" t="s">
        <v>35</v>
      </c>
      <c r="Y2" s="60" t="s">
        <v>43</v>
      </c>
      <c r="Z2" s="60" t="s">
        <v>47</v>
      </c>
      <c r="AA2" s="61" t="s">
        <v>29</v>
      </c>
      <c r="AB2" s="43" t="s">
        <v>162</v>
      </c>
      <c r="AE2" s="17" t="s">
        <v>24</v>
      </c>
      <c r="AG2" s="87" t="s">
        <v>140</v>
      </c>
      <c r="AH2" s="87" t="s">
        <v>141</v>
      </c>
      <c r="AJ2" s="49" t="s">
        <v>25</v>
      </c>
      <c r="AL2" s="85" t="s">
        <v>107</v>
      </c>
      <c r="AN2" s="18" t="s">
        <v>26</v>
      </c>
      <c r="AO2" s="15"/>
      <c r="AP2" s="18" t="s">
        <v>27</v>
      </c>
      <c r="AQ2" s="15"/>
      <c r="AR2" s="18" t="s">
        <v>129</v>
      </c>
      <c r="AS2" s="15"/>
      <c r="AT2" s="18" t="s">
        <v>28</v>
      </c>
      <c r="AU2" s="15"/>
      <c r="AV2" s="50" t="s">
        <v>29</v>
      </c>
      <c r="AW2" s="15"/>
      <c r="AX2" s="19">
        <v>1</v>
      </c>
      <c r="AY2" s="20">
        <v>50</v>
      </c>
      <c r="AZ2" s="20">
        <v>1</v>
      </c>
      <c r="BA2" s="21">
        <v>50</v>
      </c>
    </row>
    <row r="3" spans="1:53" x14ac:dyDescent="0.15">
      <c r="A3" s="84" t="s">
        <v>23</v>
      </c>
      <c r="B3" s="84" t="s">
        <v>160</v>
      </c>
      <c r="C3" s="84">
        <v>2020</v>
      </c>
      <c r="D3" s="45" t="s">
        <v>161</v>
      </c>
      <c r="E3" s="84" t="s">
        <v>163</v>
      </c>
      <c r="F3" s="84" t="s">
        <v>141</v>
      </c>
      <c r="G3" s="84" t="s">
        <v>25</v>
      </c>
      <c r="H3" s="84" t="s">
        <v>113</v>
      </c>
      <c r="I3" s="84" t="s">
        <v>111</v>
      </c>
      <c r="J3" s="78" t="s">
        <v>27</v>
      </c>
      <c r="K3" s="77" t="s">
        <v>112</v>
      </c>
      <c r="L3" s="84">
        <v>2</v>
      </c>
      <c r="N3" s="7">
        <v>1</v>
      </c>
      <c r="O3" s="7">
        <v>0.9</v>
      </c>
      <c r="P3" s="34">
        <v>0.9</v>
      </c>
      <c r="Q3" s="62">
        <f t="shared" si="0"/>
        <v>0.9</v>
      </c>
      <c r="R3" s="63">
        <v>15.4</v>
      </c>
      <c r="S3" s="63">
        <v>111</v>
      </c>
      <c r="T3" s="16">
        <f t="shared" si="1"/>
        <v>33</v>
      </c>
      <c r="U3" s="71">
        <v>98</v>
      </c>
      <c r="V3" s="64">
        <f t="shared" si="2"/>
        <v>3234</v>
      </c>
      <c r="W3" s="59">
        <v>7</v>
      </c>
      <c r="X3" s="60" t="s">
        <v>35</v>
      </c>
      <c r="Y3" s="60" t="s">
        <v>43</v>
      </c>
      <c r="Z3" s="60" t="s">
        <v>47</v>
      </c>
      <c r="AA3" s="61" t="s">
        <v>29</v>
      </c>
      <c r="AB3" s="43" t="s">
        <v>162</v>
      </c>
      <c r="AE3" s="22" t="s">
        <v>30</v>
      </c>
      <c r="AG3" s="88" t="s">
        <v>142</v>
      </c>
      <c r="AH3" s="88" t="s">
        <v>143</v>
      </c>
      <c r="AJ3" s="66" t="s">
        <v>31</v>
      </c>
      <c r="AL3" s="80" t="s">
        <v>108</v>
      </c>
      <c r="AN3" s="23" t="s">
        <v>32</v>
      </c>
      <c r="AP3" s="23" t="s">
        <v>33</v>
      </c>
      <c r="AR3" s="37" t="s">
        <v>34</v>
      </c>
      <c r="AT3" s="23" t="s">
        <v>35</v>
      </c>
      <c r="AV3" s="23" t="s">
        <v>36</v>
      </c>
      <c r="AX3" s="24">
        <v>72</v>
      </c>
      <c r="AY3" s="25">
        <v>46</v>
      </c>
      <c r="AZ3" s="25">
        <v>71</v>
      </c>
      <c r="BA3" s="26">
        <v>42</v>
      </c>
    </row>
    <row r="4" spans="1:53" x14ac:dyDescent="0.15">
      <c r="A4" s="84" t="s">
        <v>23</v>
      </c>
      <c r="B4" s="84" t="s">
        <v>160</v>
      </c>
      <c r="C4" s="84">
        <v>2020</v>
      </c>
      <c r="D4" s="45" t="s">
        <v>161</v>
      </c>
      <c r="E4" s="84" t="s">
        <v>171</v>
      </c>
      <c r="F4" s="84" t="s">
        <v>141</v>
      </c>
      <c r="G4" s="84" t="s">
        <v>25</v>
      </c>
      <c r="H4" s="84" t="s">
        <v>113</v>
      </c>
      <c r="I4" s="84" t="s">
        <v>111</v>
      </c>
      <c r="J4" s="78" t="s">
        <v>27</v>
      </c>
      <c r="K4" s="77" t="s">
        <v>112</v>
      </c>
      <c r="L4" s="84">
        <v>3</v>
      </c>
      <c r="N4" s="7">
        <v>1</v>
      </c>
      <c r="O4" s="7">
        <v>1</v>
      </c>
      <c r="P4" s="34">
        <v>0.9</v>
      </c>
      <c r="Q4" s="44">
        <f t="shared" si="0"/>
        <v>0.95</v>
      </c>
      <c r="R4" s="67">
        <v>17</v>
      </c>
      <c r="S4" s="67">
        <v>113</v>
      </c>
      <c r="T4" s="16">
        <f t="shared" si="1"/>
        <v>30</v>
      </c>
      <c r="U4" s="71">
        <v>98</v>
      </c>
      <c r="V4" s="64">
        <f t="shared" si="2"/>
        <v>2940</v>
      </c>
      <c r="W4" s="59">
        <v>7</v>
      </c>
      <c r="X4" s="60" t="s">
        <v>35</v>
      </c>
      <c r="Y4" s="60" t="s">
        <v>43</v>
      </c>
      <c r="Z4" s="60" t="s">
        <v>47</v>
      </c>
      <c r="AA4" s="61" t="s">
        <v>29</v>
      </c>
      <c r="AB4" s="43" t="s">
        <v>162</v>
      </c>
      <c r="AE4" s="22" t="s">
        <v>23</v>
      </c>
      <c r="AG4" s="88" t="s">
        <v>144</v>
      </c>
      <c r="AH4" s="88" t="s">
        <v>145</v>
      </c>
      <c r="AJ4" s="69" t="s">
        <v>37</v>
      </c>
      <c r="AL4" s="80" t="s">
        <v>109</v>
      </c>
      <c r="AN4" s="28" t="s">
        <v>38</v>
      </c>
      <c r="AP4" s="23" t="s">
        <v>130</v>
      </c>
      <c r="AR4" s="37" t="s">
        <v>131</v>
      </c>
      <c r="AT4" s="28"/>
      <c r="AV4" s="23" t="s">
        <v>39</v>
      </c>
      <c r="AX4" s="24">
        <v>75</v>
      </c>
      <c r="AY4" s="25">
        <v>42</v>
      </c>
      <c r="AZ4" s="25">
        <v>76</v>
      </c>
      <c r="BA4" s="26">
        <v>39</v>
      </c>
    </row>
    <row r="5" spans="1:53" x14ac:dyDescent="0.15">
      <c r="A5" s="84" t="s">
        <v>23</v>
      </c>
      <c r="B5" s="84" t="s">
        <v>160</v>
      </c>
      <c r="C5" s="84">
        <v>2020</v>
      </c>
      <c r="D5" s="45" t="s">
        <v>161</v>
      </c>
      <c r="E5" s="84" t="s">
        <v>163</v>
      </c>
      <c r="F5" s="84" t="s">
        <v>141</v>
      </c>
      <c r="G5" s="84" t="s">
        <v>25</v>
      </c>
      <c r="H5" s="84" t="s">
        <v>164</v>
      </c>
      <c r="I5" s="84" t="s">
        <v>111</v>
      </c>
      <c r="J5" s="78" t="s">
        <v>27</v>
      </c>
      <c r="K5" s="77" t="s">
        <v>112</v>
      </c>
      <c r="L5" s="84">
        <v>1</v>
      </c>
      <c r="N5" s="7">
        <v>1</v>
      </c>
      <c r="O5" s="7">
        <v>0.5</v>
      </c>
      <c r="P5" s="36">
        <v>0.45</v>
      </c>
      <c r="Q5" s="44">
        <f t="shared" si="0"/>
        <v>0.47499999999999998</v>
      </c>
      <c r="R5" s="67">
        <v>20.399999999999999</v>
      </c>
      <c r="S5" s="67">
        <v>170</v>
      </c>
      <c r="T5" s="16">
        <f t="shared" si="1"/>
        <v>30</v>
      </c>
      <c r="U5" s="71">
        <v>98</v>
      </c>
      <c r="V5" s="64">
        <f t="shared" si="2"/>
        <v>2940</v>
      </c>
      <c r="W5" s="59">
        <v>7</v>
      </c>
      <c r="X5" s="60" t="s">
        <v>35</v>
      </c>
      <c r="Y5" s="60" t="s">
        <v>43</v>
      </c>
      <c r="Z5" s="60" t="s">
        <v>47</v>
      </c>
      <c r="AA5" s="61" t="s">
        <v>29</v>
      </c>
      <c r="AB5" s="43" t="s">
        <v>162</v>
      </c>
      <c r="AE5" s="22" t="s">
        <v>40</v>
      </c>
      <c r="AG5" s="88" t="s">
        <v>146</v>
      </c>
      <c r="AH5" s="88" t="s">
        <v>147</v>
      </c>
      <c r="AJ5" s="70"/>
      <c r="AL5" s="81" t="s">
        <v>132</v>
      </c>
      <c r="AN5" s="29" t="s">
        <v>133</v>
      </c>
      <c r="AP5" s="23" t="s">
        <v>134</v>
      </c>
      <c r="AR5" s="37" t="s">
        <v>42</v>
      </c>
      <c r="AT5" s="47"/>
      <c r="AV5" s="23" t="s">
        <v>43</v>
      </c>
      <c r="AX5" s="24">
        <v>84</v>
      </c>
      <c r="AY5" s="25">
        <v>39</v>
      </c>
      <c r="AZ5" s="25">
        <v>84</v>
      </c>
      <c r="BA5" s="26">
        <v>36</v>
      </c>
    </row>
    <row r="6" spans="1:53" x14ac:dyDescent="0.15">
      <c r="A6" s="84" t="s">
        <v>23</v>
      </c>
      <c r="B6" s="84" t="s">
        <v>160</v>
      </c>
      <c r="C6" s="84">
        <v>2020</v>
      </c>
      <c r="D6" s="45" t="s">
        <v>161</v>
      </c>
      <c r="E6" s="84" t="s">
        <v>163</v>
      </c>
      <c r="F6" s="84" t="s">
        <v>141</v>
      </c>
      <c r="G6" s="84" t="s">
        <v>25</v>
      </c>
      <c r="H6" s="84" t="s">
        <v>164</v>
      </c>
      <c r="I6" s="84" t="s">
        <v>111</v>
      </c>
      <c r="J6" s="78" t="s">
        <v>27</v>
      </c>
      <c r="K6" s="77" t="s">
        <v>112</v>
      </c>
      <c r="L6" s="84">
        <v>2</v>
      </c>
      <c r="N6" s="7">
        <v>1</v>
      </c>
      <c r="O6" s="7">
        <v>0.95</v>
      </c>
      <c r="P6" s="36">
        <v>1.05</v>
      </c>
      <c r="Q6" s="44">
        <f t="shared" si="0"/>
        <v>1</v>
      </c>
      <c r="R6" s="67">
        <v>17.8</v>
      </c>
      <c r="S6" s="67">
        <v>177</v>
      </c>
      <c r="T6" s="16">
        <f t="shared" si="1"/>
        <v>30</v>
      </c>
      <c r="U6" s="71">
        <v>98</v>
      </c>
      <c r="V6" s="64">
        <f t="shared" si="2"/>
        <v>2940</v>
      </c>
      <c r="W6" s="59">
        <v>7</v>
      </c>
      <c r="X6" s="60" t="s">
        <v>35</v>
      </c>
      <c r="Y6" s="60" t="s">
        <v>43</v>
      </c>
      <c r="Z6" s="60" t="s">
        <v>47</v>
      </c>
      <c r="AA6" s="61" t="s">
        <v>29</v>
      </c>
      <c r="AB6" s="43" t="s">
        <v>162</v>
      </c>
      <c r="AE6" s="22" t="s">
        <v>44</v>
      </c>
      <c r="AG6" s="88" t="s">
        <v>148</v>
      </c>
      <c r="AH6" s="88" t="s">
        <v>149</v>
      </c>
      <c r="AL6" s="81" t="s">
        <v>135</v>
      </c>
      <c r="AN6" s="29" t="s">
        <v>136</v>
      </c>
      <c r="AP6" s="23" t="s">
        <v>41</v>
      </c>
      <c r="AR6" s="37" t="s">
        <v>46</v>
      </c>
      <c r="AV6" s="23" t="s">
        <v>47</v>
      </c>
      <c r="AX6" s="24">
        <v>97</v>
      </c>
      <c r="AY6" s="25">
        <v>36</v>
      </c>
      <c r="AZ6" s="25">
        <v>99</v>
      </c>
      <c r="BA6" s="26">
        <v>33</v>
      </c>
    </row>
    <row r="7" spans="1:53" x14ac:dyDescent="0.15">
      <c r="A7" s="84" t="s">
        <v>23</v>
      </c>
      <c r="B7" s="84" t="s">
        <v>160</v>
      </c>
      <c r="C7" s="84">
        <v>2020</v>
      </c>
      <c r="D7" s="45" t="s">
        <v>161</v>
      </c>
      <c r="E7" s="84" t="s">
        <v>163</v>
      </c>
      <c r="F7" s="84" t="s">
        <v>141</v>
      </c>
      <c r="G7" s="84" t="s">
        <v>25</v>
      </c>
      <c r="H7" s="84" t="s">
        <v>164</v>
      </c>
      <c r="I7" s="84" t="s">
        <v>111</v>
      </c>
      <c r="J7" s="78" t="s">
        <v>27</v>
      </c>
      <c r="K7" s="77" t="s">
        <v>112</v>
      </c>
      <c r="L7" s="84">
        <v>3</v>
      </c>
      <c r="N7" s="7">
        <v>1</v>
      </c>
      <c r="O7" s="7">
        <v>0.95</v>
      </c>
      <c r="P7" s="36">
        <v>1.1000000000000001</v>
      </c>
      <c r="Q7" s="44">
        <f t="shared" si="0"/>
        <v>1.0249999999999999</v>
      </c>
      <c r="R7" s="67">
        <v>16.5</v>
      </c>
      <c r="S7" s="67">
        <v>152</v>
      </c>
      <c r="T7" s="16">
        <f t="shared" si="1"/>
        <v>30</v>
      </c>
      <c r="U7" s="71">
        <v>98</v>
      </c>
      <c r="V7" s="64">
        <f t="shared" si="2"/>
        <v>2940</v>
      </c>
      <c r="W7" s="59">
        <v>7</v>
      </c>
      <c r="X7" s="60" t="s">
        <v>35</v>
      </c>
      <c r="Y7" s="60" t="s">
        <v>43</v>
      </c>
      <c r="Z7" s="60" t="s">
        <v>47</v>
      </c>
      <c r="AA7" s="61" t="s">
        <v>29</v>
      </c>
      <c r="AB7" s="43" t="s">
        <v>162</v>
      </c>
      <c r="AE7" s="22" t="s">
        <v>48</v>
      </c>
      <c r="AG7" s="88" t="s">
        <v>150</v>
      </c>
      <c r="AH7" s="88" t="s">
        <v>147</v>
      </c>
      <c r="AL7" s="86" t="s">
        <v>137</v>
      </c>
      <c r="AP7" s="23" t="s">
        <v>45</v>
      </c>
      <c r="AR7" s="30" t="s">
        <v>102</v>
      </c>
      <c r="AV7" s="23" t="s">
        <v>51</v>
      </c>
      <c r="AX7" s="24">
        <v>109</v>
      </c>
      <c r="AY7" s="25">
        <v>33</v>
      </c>
      <c r="AZ7" s="25">
        <v>113</v>
      </c>
      <c r="BA7" s="26">
        <v>30</v>
      </c>
    </row>
    <row r="8" spans="1:53" x14ac:dyDescent="0.15">
      <c r="A8" s="84" t="s">
        <v>23</v>
      </c>
      <c r="B8" s="84" t="s">
        <v>160</v>
      </c>
      <c r="C8" s="84">
        <v>2020</v>
      </c>
      <c r="D8" s="45" t="s">
        <v>161</v>
      </c>
      <c r="E8" s="84" t="s">
        <v>163</v>
      </c>
      <c r="F8" s="84" t="s">
        <v>141</v>
      </c>
      <c r="G8" s="84" t="s">
        <v>25</v>
      </c>
      <c r="H8" s="84" t="s">
        <v>164</v>
      </c>
      <c r="I8" s="84" t="s">
        <v>111</v>
      </c>
      <c r="J8" s="78" t="s">
        <v>27</v>
      </c>
      <c r="K8" s="77" t="s">
        <v>112</v>
      </c>
      <c r="L8" s="84">
        <v>1</v>
      </c>
      <c r="N8" s="7">
        <v>4</v>
      </c>
      <c r="O8" s="7">
        <v>0.45</v>
      </c>
      <c r="P8" s="7">
        <v>0.35</v>
      </c>
      <c r="Q8" s="44">
        <f t="shared" si="0"/>
        <v>0.4</v>
      </c>
      <c r="R8" s="67">
        <v>17.600000000000001</v>
      </c>
      <c r="S8" s="67">
        <v>100</v>
      </c>
      <c r="T8" s="16">
        <f t="shared" si="1"/>
        <v>33</v>
      </c>
      <c r="U8" s="71">
        <v>498</v>
      </c>
      <c r="V8" s="64">
        <f t="shared" si="2"/>
        <v>4108.5</v>
      </c>
      <c r="W8" s="59">
        <v>7</v>
      </c>
      <c r="X8" s="60" t="s">
        <v>35</v>
      </c>
      <c r="Y8" s="60" t="s">
        <v>43</v>
      </c>
      <c r="Z8" s="60" t="s">
        <v>47</v>
      </c>
      <c r="AA8" s="61" t="s">
        <v>29</v>
      </c>
      <c r="AB8" s="43" t="s">
        <v>162</v>
      </c>
      <c r="AE8" s="22" t="s">
        <v>46</v>
      </c>
      <c r="AG8" s="88" t="s">
        <v>151</v>
      </c>
      <c r="AH8" s="88" t="s">
        <v>147</v>
      </c>
      <c r="AL8" s="86" t="s">
        <v>110</v>
      </c>
      <c r="AP8" s="23" t="s">
        <v>49</v>
      </c>
      <c r="AR8" s="37" t="s">
        <v>67</v>
      </c>
      <c r="AV8" s="23" t="s">
        <v>82</v>
      </c>
      <c r="AX8" s="24">
        <v>151</v>
      </c>
      <c r="AY8" s="25">
        <v>22</v>
      </c>
      <c r="AZ8" s="25">
        <v>152</v>
      </c>
      <c r="BA8" s="26">
        <v>18</v>
      </c>
    </row>
    <row r="9" spans="1:53" x14ac:dyDescent="0.15">
      <c r="A9" s="84" t="s">
        <v>23</v>
      </c>
      <c r="B9" s="84" t="s">
        <v>160</v>
      </c>
      <c r="C9" s="84">
        <v>2020</v>
      </c>
      <c r="D9" s="45" t="s">
        <v>161</v>
      </c>
      <c r="E9" s="84" t="s">
        <v>163</v>
      </c>
      <c r="F9" s="84" t="s">
        <v>141</v>
      </c>
      <c r="G9" s="84" t="s">
        <v>25</v>
      </c>
      <c r="H9" s="84" t="s">
        <v>164</v>
      </c>
      <c r="I9" s="84" t="s">
        <v>111</v>
      </c>
      <c r="J9" s="78" t="s">
        <v>27</v>
      </c>
      <c r="K9" s="77" t="s">
        <v>112</v>
      </c>
      <c r="L9" s="84">
        <v>2</v>
      </c>
      <c r="N9" s="7">
        <v>4</v>
      </c>
      <c r="O9" s="7">
        <v>0.6</v>
      </c>
      <c r="P9" s="7">
        <v>0.5</v>
      </c>
      <c r="Q9" s="44">
        <f t="shared" si="0"/>
        <v>0.55000000000000004</v>
      </c>
      <c r="R9" s="67">
        <v>18.899999999999999</v>
      </c>
      <c r="S9" s="67">
        <v>96</v>
      </c>
      <c r="T9" s="16">
        <f t="shared" si="1"/>
        <v>36</v>
      </c>
      <c r="U9" s="71">
        <v>498</v>
      </c>
      <c r="V9" s="64">
        <f t="shared" si="2"/>
        <v>4482</v>
      </c>
      <c r="W9" s="59">
        <v>7</v>
      </c>
      <c r="X9" s="60" t="s">
        <v>35</v>
      </c>
      <c r="Y9" s="60" t="s">
        <v>43</v>
      </c>
      <c r="Z9" s="60" t="s">
        <v>47</v>
      </c>
      <c r="AA9" s="61" t="s">
        <v>29</v>
      </c>
      <c r="AB9" s="43" t="s">
        <v>162</v>
      </c>
      <c r="AE9" s="22" t="s">
        <v>83</v>
      </c>
      <c r="AG9" s="88" t="s">
        <v>152</v>
      </c>
      <c r="AH9" s="88" t="s">
        <v>147</v>
      </c>
      <c r="AL9" s="81" t="s">
        <v>139</v>
      </c>
      <c r="AP9" s="23" t="s">
        <v>80</v>
      </c>
      <c r="AR9" s="30" t="s">
        <v>75</v>
      </c>
      <c r="AV9" s="23" t="s">
        <v>86</v>
      </c>
      <c r="AX9" s="31">
        <v>180</v>
      </c>
      <c r="AY9" s="32">
        <v>18</v>
      </c>
      <c r="AZ9" s="32">
        <v>181</v>
      </c>
      <c r="BA9" s="33">
        <v>16</v>
      </c>
    </row>
    <row r="10" spans="1:53" x14ac:dyDescent="0.15">
      <c r="A10" s="84" t="s">
        <v>23</v>
      </c>
      <c r="B10" s="84" t="s">
        <v>160</v>
      </c>
      <c r="C10" s="84">
        <v>2020</v>
      </c>
      <c r="D10" s="45" t="s">
        <v>161</v>
      </c>
      <c r="E10" s="84" t="s">
        <v>163</v>
      </c>
      <c r="F10" s="84" t="s">
        <v>141</v>
      </c>
      <c r="G10" s="84" t="s">
        <v>25</v>
      </c>
      <c r="H10" s="84" t="s">
        <v>164</v>
      </c>
      <c r="I10" s="84" t="s">
        <v>111</v>
      </c>
      <c r="J10" s="78" t="s">
        <v>27</v>
      </c>
      <c r="K10" s="77" t="s">
        <v>112</v>
      </c>
      <c r="L10" s="84">
        <v>3</v>
      </c>
      <c r="N10" s="7">
        <v>4</v>
      </c>
      <c r="O10" s="7">
        <v>0.65</v>
      </c>
      <c r="P10" s="7">
        <v>0.45</v>
      </c>
      <c r="Q10" s="44">
        <f t="shared" si="0"/>
        <v>0.55000000000000004</v>
      </c>
      <c r="R10" s="67">
        <v>17.5</v>
      </c>
      <c r="S10" s="67">
        <v>102</v>
      </c>
      <c r="T10" s="16">
        <f t="shared" si="1"/>
        <v>33</v>
      </c>
      <c r="U10" s="71">
        <v>498</v>
      </c>
      <c r="V10" s="64">
        <f t="shared" si="2"/>
        <v>4108.5</v>
      </c>
      <c r="W10" s="59">
        <v>7</v>
      </c>
      <c r="X10" s="60" t="s">
        <v>35</v>
      </c>
      <c r="Y10" s="60" t="s">
        <v>43</v>
      </c>
      <c r="Z10" s="60" t="s">
        <v>47</v>
      </c>
      <c r="AA10" s="61" t="s">
        <v>29</v>
      </c>
      <c r="AB10" s="43" t="s">
        <v>162</v>
      </c>
      <c r="AE10" s="22" t="s">
        <v>87</v>
      </c>
      <c r="AG10" s="88" t="s">
        <v>153</v>
      </c>
      <c r="AH10" s="88" t="s">
        <v>154</v>
      </c>
      <c r="AL10" s="34"/>
      <c r="AP10" s="23" t="s">
        <v>84</v>
      </c>
      <c r="AR10" s="30" t="s">
        <v>103</v>
      </c>
      <c r="AV10" s="23" t="s">
        <v>90</v>
      </c>
    </row>
    <row r="11" spans="1:53" x14ac:dyDescent="0.15">
      <c r="A11" s="84" t="s">
        <v>23</v>
      </c>
      <c r="B11" s="84" t="s">
        <v>160</v>
      </c>
      <c r="C11" s="84">
        <v>2020</v>
      </c>
      <c r="D11" s="45" t="s">
        <v>161</v>
      </c>
      <c r="E11" s="84" t="s">
        <v>165</v>
      </c>
      <c r="F11" s="84" t="s">
        <v>143</v>
      </c>
      <c r="G11" s="84" t="s">
        <v>25</v>
      </c>
      <c r="H11" s="84" t="s">
        <v>113</v>
      </c>
      <c r="I11" s="84" t="s">
        <v>111</v>
      </c>
      <c r="J11" s="78" t="s">
        <v>27</v>
      </c>
      <c r="K11" s="77" t="s">
        <v>112</v>
      </c>
      <c r="L11" s="84">
        <v>1</v>
      </c>
      <c r="N11" s="7">
        <v>1</v>
      </c>
      <c r="O11" s="7">
        <v>0.25</v>
      </c>
      <c r="P11" s="7">
        <v>0.2</v>
      </c>
      <c r="Q11" s="44">
        <f t="shared" si="0"/>
        <v>0.22500000000000001</v>
      </c>
      <c r="R11" s="67">
        <v>14.7</v>
      </c>
      <c r="S11" s="67">
        <v>116</v>
      </c>
      <c r="T11" s="16">
        <f t="shared" si="1"/>
        <v>30</v>
      </c>
      <c r="U11" s="71">
        <v>128</v>
      </c>
      <c r="V11" s="64">
        <f t="shared" si="2"/>
        <v>3840</v>
      </c>
      <c r="W11" s="68">
        <v>13</v>
      </c>
      <c r="X11" s="60" t="s">
        <v>35</v>
      </c>
      <c r="Y11" s="60" t="s">
        <v>43</v>
      </c>
      <c r="Z11" s="65" t="s">
        <v>55</v>
      </c>
      <c r="AA11" s="73" t="s">
        <v>90</v>
      </c>
      <c r="AB11" s="43" t="s">
        <v>162</v>
      </c>
      <c r="AE11" s="22" t="s">
        <v>52</v>
      </c>
      <c r="AG11" s="88" t="s">
        <v>148</v>
      </c>
      <c r="AH11" s="88" t="s">
        <v>155</v>
      </c>
      <c r="AL11" s="34"/>
      <c r="AP11" s="23" t="s">
        <v>88</v>
      </c>
      <c r="AR11" s="30" t="s">
        <v>73</v>
      </c>
      <c r="AV11" s="23" t="s">
        <v>55</v>
      </c>
    </row>
    <row r="12" spans="1:53" x14ac:dyDescent="0.15">
      <c r="A12" s="84" t="s">
        <v>23</v>
      </c>
      <c r="B12" s="84" t="s">
        <v>160</v>
      </c>
      <c r="C12" s="84">
        <v>2020</v>
      </c>
      <c r="D12" s="45" t="s">
        <v>161</v>
      </c>
      <c r="E12" s="84" t="s">
        <v>165</v>
      </c>
      <c r="F12" s="84" t="s">
        <v>143</v>
      </c>
      <c r="G12" s="84" t="s">
        <v>25</v>
      </c>
      <c r="H12" s="84" t="s">
        <v>113</v>
      </c>
      <c r="I12" s="84" t="s">
        <v>111</v>
      </c>
      <c r="J12" s="78" t="s">
        <v>27</v>
      </c>
      <c r="K12" s="77" t="s">
        <v>112</v>
      </c>
      <c r="L12" s="84">
        <v>2</v>
      </c>
      <c r="N12" s="7">
        <v>1</v>
      </c>
      <c r="O12" s="7">
        <v>0.45</v>
      </c>
      <c r="P12" s="7">
        <v>0.2</v>
      </c>
      <c r="Q12" s="44">
        <f t="shared" si="0"/>
        <v>0.32500000000000001</v>
      </c>
      <c r="R12" s="67">
        <v>15.2</v>
      </c>
      <c r="S12" s="67">
        <v>121</v>
      </c>
      <c r="T12" s="16">
        <f t="shared" si="1"/>
        <v>30</v>
      </c>
      <c r="U12" s="71">
        <v>128</v>
      </c>
      <c r="V12" s="64">
        <f t="shared" si="2"/>
        <v>3840</v>
      </c>
      <c r="W12" s="68">
        <v>13</v>
      </c>
      <c r="X12" s="60" t="s">
        <v>35</v>
      </c>
      <c r="Y12" s="60" t="s">
        <v>43</v>
      </c>
      <c r="Z12" s="65" t="s">
        <v>55</v>
      </c>
      <c r="AA12" s="73" t="s">
        <v>90</v>
      </c>
      <c r="AB12" s="43" t="s">
        <v>162</v>
      </c>
      <c r="AE12" s="22" t="s">
        <v>56</v>
      </c>
      <c r="AG12" s="79"/>
      <c r="AH12" s="79"/>
      <c r="AL12" s="34"/>
      <c r="AP12" s="23" t="s">
        <v>53</v>
      </c>
      <c r="AR12" s="30" t="s">
        <v>104</v>
      </c>
      <c r="AV12" s="23" t="s">
        <v>58</v>
      </c>
    </row>
    <row r="13" spans="1:53" x14ac:dyDescent="0.15">
      <c r="A13" s="84" t="s">
        <v>23</v>
      </c>
      <c r="B13" s="84" t="s">
        <v>160</v>
      </c>
      <c r="C13" s="84">
        <v>2020</v>
      </c>
      <c r="D13" s="45" t="s">
        <v>161</v>
      </c>
      <c r="E13" s="84" t="s">
        <v>165</v>
      </c>
      <c r="F13" s="84" t="s">
        <v>143</v>
      </c>
      <c r="G13" s="84" t="s">
        <v>25</v>
      </c>
      <c r="H13" s="84" t="s">
        <v>113</v>
      </c>
      <c r="I13" s="84" t="s">
        <v>111</v>
      </c>
      <c r="J13" s="78" t="s">
        <v>27</v>
      </c>
      <c r="K13" s="77" t="s">
        <v>112</v>
      </c>
      <c r="L13" s="84">
        <v>3</v>
      </c>
      <c r="N13" s="7">
        <v>1</v>
      </c>
      <c r="O13" s="7">
        <v>0.4</v>
      </c>
      <c r="P13" s="7">
        <v>0.45</v>
      </c>
      <c r="Q13" s="44">
        <f t="shared" si="0"/>
        <v>0.42500000000000004</v>
      </c>
      <c r="R13" s="67">
        <v>13</v>
      </c>
      <c r="S13" s="67">
        <v>111</v>
      </c>
      <c r="T13" s="16">
        <f t="shared" si="1"/>
        <v>33</v>
      </c>
      <c r="U13" s="71">
        <v>128</v>
      </c>
      <c r="V13" s="64">
        <f t="shared" si="2"/>
        <v>4224</v>
      </c>
      <c r="W13" s="68">
        <v>13</v>
      </c>
      <c r="X13" s="60" t="s">
        <v>35</v>
      </c>
      <c r="Y13" s="60" t="s">
        <v>43</v>
      </c>
      <c r="Z13" s="65" t="s">
        <v>55</v>
      </c>
      <c r="AA13" s="73" t="s">
        <v>90</v>
      </c>
      <c r="AB13" s="43" t="s">
        <v>162</v>
      </c>
      <c r="AE13" s="22" t="s">
        <v>59</v>
      </c>
      <c r="AG13" s="74"/>
      <c r="AH13" s="74"/>
      <c r="AP13" s="23" t="s">
        <v>57</v>
      </c>
      <c r="AR13" s="30" t="s">
        <v>87</v>
      </c>
      <c r="AV13" s="23" t="s">
        <v>61</v>
      </c>
    </row>
    <row r="14" spans="1:53" x14ac:dyDescent="0.15">
      <c r="A14" s="84" t="s">
        <v>23</v>
      </c>
      <c r="B14" s="84" t="s">
        <v>160</v>
      </c>
      <c r="C14" s="84">
        <v>2020</v>
      </c>
      <c r="D14" s="45" t="s">
        <v>161</v>
      </c>
      <c r="E14" s="84" t="s">
        <v>165</v>
      </c>
      <c r="F14" s="84" t="s">
        <v>143</v>
      </c>
      <c r="G14" s="84" t="s">
        <v>25</v>
      </c>
      <c r="H14" s="84" t="s">
        <v>113</v>
      </c>
      <c r="I14" s="84" t="s">
        <v>111</v>
      </c>
      <c r="J14" s="78" t="s">
        <v>27</v>
      </c>
      <c r="K14" s="77" t="s">
        <v>112</v>
      </c>
      <c r="L14" s="84">
        <v>1</v>
      </c>
      <c r="N14" s="7">
        <v>8</v>
      </c>
      <c r="O14" s="7">
        <v>0.85</v>
      </c>
      <c r="P14" s="77">
        <v>0.85</v>
      </c>
      <c r="Q14" s="44">
        <f t="shared" si="0"/>
        <v>0.85</v>
      </c>
      <c r="R14" s="67">
        <v>14.5</v>
      </c>
      <c r="S14" s="67">
        <v>92</v>
      </c>
      <c r="T14" s="16">
        <f t="shared" si="1"/>
        <v>36</v>
      </c>
      <c r="U14" s="71">
        <v>698</v>
      </c>
      <c r="V14" s="64">
        <f t="shared" si="2"/>
        <v>3141</v>
      </c>
      <c r="W14" s="68">
        <v>13</v>
      </c>
      <c r="X14" s="60" t="s">
        <v>35</v>
      </c>
      <c r="Y14" s="60" t="s">
        <v>43</v>
      </c>
      <c r="Z14" s="65" t="s">
        <v>55</v>
      </c>
      <c r="AA14" s="73" t="s">
        <v>90</v>
      </c>
      <c r="AB14" s="43" t="s">
        <v>162</v>
      </c>
      <c r="AC14" s="34"/>
      <c r="AE14" s="22" t="s">
        <v>62</v>
      </c>
      <c r="AG14" s="47"/>
      <c r="AH14" s="47"/>
      <c r="AP14" s="23" t="s">
        <v>60</v>
      </c>
      <c r="AR14" s="30" t="s">
        <v>105</v>
      </c>
      <c r="AV14" s="23" t="s">
        <v>64</v>
      </c>
    </row>
    <row r="15" spans="1:53" x14ac:dyDescent="0.15">
      <c r="A15" s="84" t="s">
        <v>23</v>
      </c>
      <c r="B15" s="84" t="s">
        <v>160</v>
      </c>
      <c r="C15" s="84">
        <v>2020</v>
      </c>
      <c r="D15" s="45" t="s">
        <v>161</v>
      </c>
      <c r="E15" s="84" t="s">
        <v>165</v>
      </c>
      <c r="F15" s="84" t="s">
        <v>143</v>
      </c>
      <c r="G15" s="84" t="s">
        <v>25</v>
      </c>
      <c r="H15" s="84" t="s">
        <v>113</v>
      </c>
      <c r="I15" s="84" t="s">
        <v>111</v>
      </c>
      <c r="J15" s="78" t="s">
        <v>27</v>
      </c>
      <c r="K15" s="77" t="s">
        <v>112</v>
      </c>
      <c r="L15" s="84">
        <v>2</v>
      </c>
      <c r="N15" s="7">
        <v>8</v>
      </c>
      <c r="O15" s="7">
        <v>0.8</v>
      </c>
      <c r="P15" s="7">
        <v>0.7</v>
      </c>
      <c r="Q15" s="44">
        <f t="shared" si="0"/>
        <v>0.75</v>
      </c>
      <c r="R15" s="67">
        <v>13.4</v>
      </c>
      <c r="S15" s="67">
        <v>90</v>
      </c>
      <c r="T15" s="16">
        <f t="shared" si="1"/>
        <v>36</v>
      </c>
      <c r="U15" s="71">
        <v>698</v>
      </c>
      <c r="V15" s="64">
        <f t="shared" si="2"/>
        <v>3141</v>
      </c>
      <c r="W15" s="68">
        <v>13</v>
      </c>
      <c r="X15" s="60" t="s">
        <v>35</v>
      </c>
      <c r="Y15" s="60" t="s">
        <v>43</v>
      </c>
      <c r="Z15" s="65" t="s">
        <v>55</v>
      </c>
      <c r="AA15" s="73" t="s">
        <v>90</v>
      </c>
      <c r="AB15" s="43" t="s">
        <v>162</v>
      </c>
      <c r="AC15" s="34"/>
      <c r="AE15" s="22" t="s">
        <v>65</v>
      </c>
      <c r="AP15" s="23" t="s">
        <v>63</v>
      </c>
      <c r="AR15" s="30" t="s">
        <v>79</v>
      </c>
      <c r="AV15" s="23" t="s">
        <v>91</v>
      </c>
    </row>
    <row r="16" spans="1:53" x14ac:dyDescent="0.15">
      <c r="A16" s="84" t="s">
        <v>23</v>
      </c>
      <c r="B16" s="84" t="s">
        <v>160</v>
      </c>
      <c r="C16" s="84">
        <v>2020</v>
      </c>
      <c r="D16" s="45" t="s">
        <v>161</v>
      </c>
      <c r="E16" s="84" t="s">
        <v>165</v>
      </c>
      <c r="F16" s="84" t="s">
        <v>143</v>
      </c>
      <c r="G16" s="84" t="s">
        <v>25</v>
      </c>
      <c r="H16" s="84" t="s">
        <v>113</v>
      </c>
      <c r="I16" s="84" t="s">
        <v>111</v>
      </c>
      <c r="J16" s="78" t="s">
        <v>27</v>
      </c>
      <c r="K16" s="77" t="s">
        <v>112</v>
      </c>
      <c r="L16" s="84">
        <v>3</v>
      </c>
      <c r="N16" s="7">
        <v>8</v>
      </c>
      <c r="O16" s="7">
        <v>0.7</v>
      </c>
      <c r="P16" s="7">
        <v>0.75</v>
      </c>
      <c r="Q16" s="44">
        <f t="shared" si="0"/>
        <v>0.72499999999999998</v>
      </c>
      <c r="R16" s="67">
        <v>15.9</v>
      </c>
      <c r="S16" s="67">
        <v>87</v>
      </c>
      <c r="T16" s="16">
        <f t="shared" si="1"/>
        <v>36</v>
      </c>
      <c r="U16" s="71">
        <v>698</v>
      </c>
      <c r="V16" s="64">
        <f t="shared" si="2"/>
        <v>3141</v>
      </c>
      <c r="W16" s="68">
        <v>13</v>
      </c>
      <c r="X16" s="60" t="s">
        <v>35</v>
      </c>
      <c r="Y16" s="60" t="s">
        <v>43</v>
      </c>
      <c r="Z16" s="65" t="s">
        <v>55</v>
      </c>
      <c r="AA16" s="73" t="s">
        <v>90</v>
      </c>
      <c r="AB16" s="43" t="s">
        <v>162</v>
      </c>
      <c r="AC16" s="34"/>
      <c r="AE16" s="22" t="s">
        <v>68</v>
      </c>
      <c r="AP16" s="23" t="s">
        <v>66</v>
      </c>
      <c r="AR16" s="37" t="s">
        <v>50</v>
      </c>
      <c r="AV16" s="23" t="s">
        <v>70</v>
      </c>
    </row>
    <row r="17" spans="1:48" x14ac:dyDescent="0.15">
      <c r="A17" s="84" t="s">
        <v>23</v>
      </c>
      <c r="B17" s="84" t="s">
        <v>160</v>
      </c>
      <c r="C17" s="84">
        <v>2020</v>
      </c>
      <c r="D17" s="45" t="s">
        <v>161</v>
      </c>
      <c r="E17" s="84" t="s">
        <v>165</v>
      </c>
      <c r="F17" s="84" t="s">
        <v>143</v>
      </c>
      <c r="G17" s="84" t="s">
        <v>25</v>
      </c>
      <c r="H17" s="84" t="s">
        <v>113</v>
      </c>
      <c r="I17" s="84" t="s">
        <v>111</v>
      </c>
      <c r="J17" s="78" t="s">
        <v>27</v>
      </c>
      <c r="K17" s="77" t="s">
        <v>112</v>
      </c>
      <c r="L17" s="84">
        <v>1</v>
      </c>
      <c r="N17" s="7">
        <v>4</v>
      </c>
      <c r="O17" s="7">
        <v>0.25</v>
      </c>
      <c r="P17" s="7">
        <v>0.2</v>
      </c>
      <c r="Q17" s="44">
        <f t="shared" si="0"/>
        <v>0.22500000000000001</v>
      </c>
      <c r="R17" s="67">
        <v>14.7</v>
      </c>
      <c r="S17" s="67">
        <v>84</v>
      </c>
      <c r="T17" s="16">
        <f t="shared" si="1"/>
        <v>36</v>
      </c>
      <c r="U17" s="71">
        <v>398</v>
      </c>
      <c r="V17" s="64">
        <f t="shared" si="2"/>
        <v>3582</v>
      </c>
      <c r="W17" s="68">
        <v>13</v>
      </c>
      <c r="X17" s="60" t="s">
        <v>35</v>
      </c>
      <c r="Y17" s="60" t="s">
        <v>43</v>
      </c>
      <c r="Z17" s="65" t="s">
        <v>55</v>
      </c>
      <c r="AA17" s="73" t="s">
        <v>90</v>
      </c>
      <c r="AB17" s="43" t="s">
        <v>162</v>
      </c>
      <c r="AC17" s="34"/>
      <c r="AE17" s="22" t="s">
        <v>71</v>
      </c>
      <c r="AP17" s="39" t="s">
        <v>93</v>
      </c>
      <c r="AR17" s="37" t="s">
        <v>81</v>
      </c>
      <c r="AV17" s="23" t="s">
        <v>72</v>
      </c>
    </row>
    <row r="18" spans="1:48" x14ac:dyDescent="0.15">
      <c r="A18" s="84" t="s">
        <v>23</v>
      </c>
      <c r="B18" s="84" t="s">
        <v>160</v>
      </c>
      <c r="C18" s="84">
        <v>2020</v>
      </c>
      <c r="D18" s="45" t="s">
        <v>161</v>
      </c>
      <c r="E18" s="84" t="s">
        <v>165</v>
      </c>
      <c r="F18" s="84" t="s">
        <v>143</v>
      </c>
      <c r="G18" s="84" t="s">
        <v>25</v>
      </c>
      <c r="H18" s="84" t="s">
        <v>113</v>
      </c>
      <c r="I18" s="84" t="s">
        <v>111</v>
      </c>
      <c r="J18" s="78" t="s">
        <v>27</v>
      </c>
      <c r="K18" s="77" t="s">
        <v>112</v>
      </c>
      <c r="L18" s="84">
        <v>2</v>
      </c>
      <c r="N18" s="7">
        <v>4</v>
      </c>
      <c r="O18" s="7">
        <v>0.2</v>
      </c>
      <c r="P18" s="77">
        <v>0.2</v>
      </c>
      <c r="Q18" s="44">
        <f t="shared" si="0"/>
        <v>0.2</v>
      </c>
      <c r="R18" s="67">
        <v>14.5</v>
      </c>
      <c r="S18" s="67">
        <v>91</v>
      </c>
      <c r="T18" s="16">
        <f t="shared" si="1"/>
        <v>36</v>
      </c>
      <c r="U18" s="71">
        <v>398</v>
      </c>
      <c r="V18" s="64">
        <f t="shared" si="2"/>
        <v>3582</v>
      </c>
      <c r="W18" s="68">
        <v>13</v>
      </c>
      <c r="X18" s="60" t="s">
        <v>35</v>
      </c>
      <c r="Y18" s="60" t="s">
        <v>43</v>
      </c>
      <c r="Z18" s="65" t="s">
        <v>55</v>
      </c>
      <c r="AA18" s="73" t="s">
        <v>90</v>
      </c>
      <c r="AB18" s="43" t="s">
        <v>162</v>
      </c>
      <c r="AC18" s="34"/>
      <c r="AE18" s="22" t="s">
        <v>73</v>
      </c>
      <c r="AP18" s="39" t="s">
        <v>94</v>
      </c>
      <c r="AR18" s="37" t="s">
        <v>85</v>
      </c>
      <c r="AV18" s="23" t="s">
        <v>74</v>
      </c>
    </row>
    <row r="19" spans="1:48" x14ac:dyDescent="0.15">
      <c r="A19" s="84" t="s">
        <v>23</v>
      </c>
      <c r="B19" s="84" t="s">
        <v>160</v>
      </c>
      <c r="C19" s="84">
        <v>2020</v>
      </c>
      <c r="D19" s="45" t="s">
        <v>161</v>
      </c>
      <c r="E19" s="84" t="s">
        <v>165</v>
      </c>
      <c r="F19" s="84" t="s">
        <v>143</v>
      </c>
      <c r="G19" s="84" t="s">
        <v>25</v>
      </c>
      <c r="H19" s="84" t="s">
        <v>113</v>
      </c>
      <c r="I19" s="84" t="s">
        <v>111</v>
      </c>
      <c r="J19" s="78" t="s">
        <v>27</v>
      </c>
      <c r="K19" s="77" t="s">
        <v>112</v>
      </c>
      <c r="L19" s="84">
        <v>3</v>
      </c>
      <c r="N19" s="7">
        <v>4</v>
      </c>
      <c r="O19" s="77">
        <v>0.2</v>
      </c>
      <c r="P19" s="77">
        <v>0.2</v>
      </c>
      <c r="Q19" s="44">
        <f t="shared" si="0"/>
        <v>0.2</v>
      </c>
      <c r="R19" s="67">
        <v>14.9</v>
      </c>
      <c r="S19" s="67">
        <v>83</v>
      </c>
      <c r="T19" s="16">
        <f t="shared" si="1"/>
        <v>39</v>
      </c>
      <c r="U19" s="71">
        <v>398</v>
      </c>
      <c r="V19" s="64">
        <f t="shared" si="2"/>
        <v>3880.5</v>
      </c>
      <c r="W19" s="68">
        <v>13</v>
      </c>
      <c r="X19" s="60" t="s">
        <v>35</v>
      </c>
      <c r="Y19" s="60" t="s">
        <v>43</v>
      </c>
      <c r="Z19" s="65" t="s">
        <v>55</v>
      </c>
      <c r="AA19" s="73" t="s">
        <v>90</v>
      </c>
      <c r="AB19" s="43" t="s">
        <v>162</v>
      </c>
      <c r="AC19" s="34"/>
      <c r="AE19" s="35" t="s">
        <v>75</v>
      </c>
      <c r="AP19" s="39" t="s">
        <v>95</v>
      </c>
      <c r="AR19" s="30" t="s">
        <v>106</v>
      </c>
      <c r="AV19" s="23" t="s">
        <v>76</v>
      </c>
    </row>
    <row r="20" spans="1:48" x14ac:dyDescent="0.15">
      <c r="A20" s="84" t="s">
        <v>23</v>
      </c>
      <c r="B20" s="84" t="s">
        <v>160</v>
      </c>
      <c r="C20" s="84">
        <v>2020</v>
      </c>
      <c r="D20" s="45" t="s">
        <v>161</v>
      </c>
      <c r="E20" s="84" t="s">
        <v>165</v>
      </c>
      <c r="F20" s="84" t="s">
        <v>143</v>
      </c>
      <c r="G20" s="84" t="s">
        <v>25</v>
      </c>
      <c r="H20" s="84" t="s">
        <v>164</v>
      </c>
      <c r="I20" s="84" t="s">
        <v>111</v>
      </c>
      <c r="J20" s="78" t="s">
        <v>27</v>
      </c>
      <c r="K20" s="77" t="s">
        <v>112</v>
      </c>
      <c r="L20" s="84">
        <v>1</v>
      </c>
      <c r="N20" s="7">
        <v>1</v>
      </c>
      <c r="O20" s="7">
        <v>0.45</v>
      </c>
      <c r="P20" s="7">
        <v>0.65</v>
      </c>
      <c r="Q20" s="44">
        <f t="shared" si="0"/>
        <v>0.55000000000000004</v>
      </c>
      <c r="R20" s="67">
        <v>18.600000000000001</v>
      </c>
      <c r="S20" s="75">
        <v>105</v>
      </c>
      <c r="T20" s="16">
        <f t="shared" si="1"/>
        <v>33</v>
      </c>
      <c r="U20" s="71">
        <v>138</v>
      </c>
      <c r="V20" s="64">
        <f t="shared" si="2"/>
        <v>4554</v>
      </c>
      <c r="W20" s="68">
        <v>13</v>
      </c>
      <c r="X20" s="60" t="s">
        <v>35</v>
      </c>
      <c r="Y20" s="60" t="s">
        <v>43</v>
      </c>
      <c r="Z20" s="65" t="s">
        <v>55</v>
      </c>
      <c r="AA20" s="73" t="s">
        <v>90</v>
      </c>
      <c r="AB20" s="43" t="s">
        <v>162</v>
      </c>
      <c r="AE20" s="35"/>
      <c r="AP20" s="39" t="s">
        <v>96</v>
      </c>
      <c r="AR20" s="37" t="s">
        <v>89</v>
      </c>
      <c r="AV20" s="27" t="s">
        <v>114</v>
      </c>
    </row>
    <row r="21" spans="1:48" x14ac:dyDescent="0.15">
      <c r="A21" s="84" t="s">
        <v>23</v>
      </c>
      <c r="B21" s="84" t="s">
        <v>160</v>
      </c>
      <c r="C21" s="84">
        <v>2020</v>
      </c>
      <c r="D21" s="45" t="s">
        <v>161</v>
      </c>
      <c r="E21" s="84" t="s">
        <v>165</v>
      </c>
      <c r="F21" s="84" t="s">
        <v>143</v>
      </c>
      <c r="G21" s="84" t="s">
        <v>25</v>
      </c>
      <c r="H21" s="84" t="s">
        <v>164</v>
      </c>
      <c r="I21" s="84" t="s">
        <v>111</v>
      </c>
      <c r="J21" s="78" t="s">
        <v>27</v>
      </c>
      <c r="K21" s="77" t="s">
        <v>112</v>
      </c>
      <c r="L21" s="84">
        <v>2</v>
      </c>
      <c r="N21" s="7">
        <v>1</v>
      </c>
      <c r="O21" s="7">
        <v>0.6</v>
      </c>
      <c r="P21" s="7">
        <v>0.45</v>
      </c>
      <c r="Q21" s="44">
        <f t="shared" si="0"/>
        <v>0.52500000000000002</v>
      </c>
      <c r="R21" s="75">
        <v>16.47</v>
      </c>
      <c r="S21" s="67">
        <v>106</v>
      </c>
      <c r="T21" s="16">
        <f t="shared" si="1"/>
        <v>33</v>
      </c>
      <c r="U21" s="71">
        <v>138</v>
      </c>
      <c r="V21" s="64">
        <f t="shared" si="2"/>
        <v>4554</v>
      </c>
      <c r="W21" s="68">
        <v>13</v>
      </c>
      <c r="X21" s="60" t="s">
        <v>35</v>
      </c>
      <c r="Y21" s="60" t="s">
        <v>43</v>
      </c>
      <c r="Z21" s="65" t="s">
        <v>55</v>
      </c>
      <c r="AA21" s="73" t="s">
        <v>90</v>
      </c>
      <c r="AB21" s="43" t="s">
        <v>162</v>
      </c>
      <c r="AE21" s="28"/>
      <c r="AP21" s="39" t="s">
        <v>97</v>
      </c>
      <c r="AR21" s="37" t="s">
        <v>54</v>
      </c>
      <c r="AV21" s="27" t="s">
        <v>115</v>
      </c>
    </row>
    <row r="22" spans="1:48" x14ac:dyDescent="0.15">
      <c r="A22" s="84" t="s">
        <v>23</v>
      </c>
      <c r="B22" s="84" t="s">
        <v>160</v>
      </c>
      <c r="C22" s="84">
        <v>2020</v>
      </c>
      <c r="D22" s="45" t="s">
        <v>161</v>
      </c>
      <c r="E22" s="84" t="s">
        <v>165</v>
      </c>
      <c r="F22" s="84" t="s">
        <v>143</v>
      </c>
      <c r="G22" s="84" t="s">
        <v>25</v>
      </c>
      <c r="H22" s="84" t="s">
        <v>164</v>
      </c>
      <c r="I22" s="84" t="s">
        <v>111</v>
      </c>
      <c r="J22" s="78" t="s">
        <v>27</v>
      </c>
      <c r="K22" s="77" t="s">
        <v>112</v>
      </c>
      <c r="L22" s="84">
        <v>3</v>
      </c>
      <c r="N22" s="7">
        <v>1</v>
      </c>
      <c r="O22" s="7">
        <v>0.5</v>
      </c>
      <c r="P22" s="34">
        <v>0.5</v>
      </c>
      <c r="Q22" s="44">
        <f t="shared" si="0"/>
        <v>0.5</v>
      </c>
      <c r="R22" s="67">
        <v>15.8</v>
      </c>
      <c r="S22" s="67">
        <v>98</v>
      </c>
      <c r="T22" s="16">
        <f t="shared" si="1"/>
        <v>36</v>
      </c>
      <c r="U22" s="71">
        <v>138</v>
      </c>
      <c r="V22" s="64">
        <f t="shared" si="2"/>
        <v>4968</v>
      </c>
      <c r="W22" s="68">
        <v>13</v>
      </c>
      <c r="X22" s="60" t="s">
        <v>35</v>
      </c>
      <c r="Y22" s="60" t="s">
        <v>43</v>
      </c>
      <c r="Z22" s="65" t="s">
        <v>55</v>
      </c>
      <c r="AA22" s="73" t="s">
        <v>90</v>
      </c>
      <c r="AB22" s="43" t="s">
        <v>162</v>
      </c>
      <c r="AP22" s="39" t="s">
        <v>98</v>
      </c>
      <c r="AR22" s="37" t="s">
        <v>69</v>
      </c>
      <c r="AV22" s="23"/>
    </row>
    <row r="23" spans="1:48" x14ac:dyDescent="0.15">
      <c r="A23" s="84" t="s">
        <v>23</v>
      </c>
      <c r="B23" s="84" t="s">
        <v>160</v>
      </c>
      <c r="C23" s="84">
        <v>2020</v>
      </c>
      <c r="D23" s="45" t="s">
        <v>161</v>
      </c>
      <c r="E23" s="84" t="s">
        <v>165</v>
      </c>
      <c r="F23" s="84" t="s">
        <v>143</v>
      </c>
      <c r="G23" s="84" t="s">
        <v>25</v>
      </c>
      <c r="H23" s="84" t="s">
        <v>164</v>
      </c>
      <c r="I23" s="84" t="s">
        <v>111</v>
      </c>
      <c r="J23" s="78" t="s">
        <v>27</v>
      </c>
      <c r="K23" s="77" t="s">
        <v>112</v>
      </c>
      <c r="L23" s="84">
        <v>1</v>
      </c>
      <c r="N23" s="7">
        <v>8</v>
      </c>
      <c r="O23" s="7">
        <v>0.7</v>
      </c>
      <c r="P23" s="34">
        <v>0.75</v>
      </c>
      <c r="Q23" s="44">
        <f t="shared" si="0"/>
        <v>0.72499999999999998</v>
      </c>
      <c r="R23" s="67">
        <v>14.9</v>
      </c>
      <c r="S23" s="67">
        <v>102</v>
      </c>
      <c r="T23" s="16">
        <f t="shared" si="1"/>
        <v>33</v>
      </c>
      <c r="U23" s="71">
        <v>980</v>
      </c>
      <c r="V23" s="64">
        <f t="shared" si="2"/>
        <v>4042.5</v>
      </c>
      <c r="W23" s="68">
        <v>13</v>
      </c>
      <c r="X23" s="60" t="s">
        <v>35</v>
      </c>
      <c r="Y23" s="60" t="s">
        <v>43</v>
      </c>
      <c r="Z23" s="65" t="s">
        <v>55</v>
      </c>
      <c r="AA23" s="73" t="s">
        <v>90</v>
      </c>
      <c r="AB23" s="43" t="s">
        <v>162</v>
      </c>
      <c r="AP23" s="39" t="s">
        <v>116</v>
      </c>
      <c r="AR23" s="37" t="s">
        <v>48</v>
      </c>
      <c r="AV23" s="23"/>
    </row>
    <row r="24" spans="1:48" x14ac:dyDescent="0.15">
      <c r="A24" s="84" t="s">
        <v>23</v>
      </c>
      <c r="B24" s="84" t="s">
        <v>160</v>
      </c>
      <c r="C24" s="84">
        <v>2020</v>
      </c>
      <c r="D24" s="45" t="s">
        <v>161</v>
      </c>
      <c r="E24" s="84" t="s">
        <v>165</v>
      </c>
      <c r="F24" s="84" t="s">
        <v>143</v>
      </c>
      <c r="G24" s="84" t="s">
        <v>25</v>
      </c>
      <c r="H24" s="84" t="s">
        <v>164</v>
      </c>
      <c r="I24" s="84" t="s">
        <v>111</v>
      </c>
      <c r="J24" s="78" t="s">
        <v>27</v>
      </c>
      <c r="K24" s="77" t="s">
        <v>112</v>
      </c>
      <c r="L24" s="84">
        <v>2</v>
      </c>
      <c r="N24" s="7">
        <v>8</v>
      </c>
      <c r="O24" s="7">
        <v>1.1000000000000001</v>
      </c>
      <c r="P24" s="34">
        <v>1.1000000000000001</v>
      </c>
      <c r="Q24" s="44">
        <f t="shared" si="0"/>
        <v>1.1000000000000001</v>
      </c>
      <c r="R24" s="67">
        <v>12.8</v>
      </c>
      <c r="S24" s="67">
        <v>96</v>
      </c>
      <c r="T24" s="16">
        <f t="shared" si="1"/>
        <v>36</v>
      </c>
      <c r="U24" s="71">
        <v>980</v>
      </c>
      <c r="V24" s="64">
        <f t="shared" si="2"/>
        <v>4410</v>
      </c>
      <c r="W24" s="68">
        <v>13</v>
      </c>
      <c r="X24" s="60" t="s">
        <v>35</v>
      </c>
      <c r="Y24" s="60" t="s">
        <v>43</v>
      </c>
      <c r="Z24" s="65" t="s">
        <v>55</v>
      </c>
      <c r="AA24" s="73" t="s">
        <v>90</v>
      </c>
      <c r="AB24" s="43" t="s">
        <v>162</v>
      </c>
      <c r="AP24" s="39" t="s">
        <v>117</v>
      </c>
      <c r="AR24" s="37" t="s">
        <v>77</v>
      </c>
      <c r="AV24" s="23"/>
    </row>
    <row r="25" spans="1:48" x14ac:dyDescent="0.15">
      <c r="A25" s="84" t="s">
        <v>23</v>
      </c>
      <c r="B25" s="84" t="s">
        <v>160</v>
      </c>
      <c r="C25" s="84">
        <v>2020</v>
      </c>
      <c r="D25" s="45" t="s">
        <v>161</v>
      </c>
      <c r="E25" s="84" t="s">
        <v>165</v>
      </c>
      <c r="F25" s="84" t="s">
        <v>143</v>
      </c>
      <c r="G25" s="84" t="s">
        <v>25</v>
      </c>
      <c r="H25" s="84" t="s">
        <v>164</v>
      </c>
      <c r="I25" s="84" t="s">
        <v>111</v>
      </c>
      <c r="J25" s="78" t="s">
        <v>27</v>
      </c>
      <c r="K25" s="77" t="s">
        <v>112</v>
      </c>
      <c r="L25" s="84">
        <v>3</v>
      </c>
      <c r="N25" s="7">
        <v>8</v>
      </c>
      <c r="O25" s="7">
        <v>0.85</v>
      </c>
      <c r="P25" s="34">
        <v>0.8</v>
      </c>
      <c r="Q25" s="44">
        <f t="shared" si="0"/>
        <v>0.82499999999999996</v>
      </c>
      <c r="R25" s="67">
        <v>14.7</v>
      </c>
      <c r="S25" s="67">
        <v>94</v>
      </c>
      <c r="T25" s="16">
        <f t="shared" si="1"/>
        <v>36</v>
      </c>
      <c r="U25" s="71">
        <v>980</v>
      </c>
      <c r="V25" s="64">
        <f t="shared" si="2"/>
        <v>4410</v>
      </c>
      <c r="W25" s="68">
        <v>13</v>
      </c>
      <c r="X25" s="60" t="s">
        <v>35</v>
      </c>
      <c r="Y25" s="60" t="s">
        <v>43</v>
      </c>
      <c r="Z25" s="65" t="s">
        <v>55</v>
      </c>
      <c r="AA25" s="73" t="s">
        <v>90</v>
      </c>
      <c r="AB25" s="43" t="s">
        <v>162</v>
      </c>
      <c r="AP25" s="39" t="s">
        <v>99</v>
      </c>
      <c r="AR25" s="38" t="s">
        <v>78</v>
      </c>
      <c r="AV25" s="23"/>
    </row>
    <row r="26" spans="1:48" x14ac:dyDescent="0.15">
      <c r="A26" s="84" t="s">
        <v>23</v>
      </c>
      <c r="B26" s="84" t="s">
        <v>160</v>
      </c>
      <c r="C26" s="84">
        <v>2020</v>
      </c>
      <c r="D26" s="45" t="s">
        <v>161</v>
      </c>
      <c r="E26" s="84" t="s">
        <v>165</v>
      </c>
      <c r="F26" s="84" t="s">
        <v>143</v>
      </c>
      <c r="G26" s="84" t="s">
        <v>25</v>
      </c>
      <c r="H26" s="84" t="s">
        <v>164</v>
      </c>
      <c r="I26" s="84" t="s">
        <v>111</v>
      </c>
      <c r="J26" s="78" t="s">
        <v>27</v>
      </c>
      <c r="K26" s="77" t="s">
        <v>112</v>
      </c>
      <c r="L26" s="84">
        <v>1</v>
      </c>
      <c r="N26" s="7">
        <v>4</v>
      </c>
      <c r="O26" s="7">
        <v>0.6</v>
      </c>
      <c r="P26" s="36">
        <v>0.55000000000000004</v>
      </c>
      <c r="Q26" s="44">
        <f t="shared" si="0"/>
        <v>0.57499999999999996</v>
      </c>
      <c r="R26" s="67">
        <v>15.2</v>
      </c>
      <c r="S26" s="67">
        <v>99</v>
      </c>
      <c r="T26" s="16">
        <f t="shared" si="1"/>
        <v>33</v>
      </c>
      <c r="U26" s="71">
        <v>498</v>
      </c>
      <c r="V26" s="64">
        <f t="shared" si="2"/>
        <v>4108.5</v>
      </c>
      <c r="W26" s="68">
        <v>13</v>
      </c>
      <c r="X26" s="60" t="s">
        <v>35</v>
      </c>
      <c r="Y26" s="60" t="s">
        <v>43</v>
      </c>
      <c r="Z26" s="65" t="s">
        <v>55</v>
      </c>
      <c r="AA26" s="73" t="s">
        <v>90</v>
      </c>
      <c r="AB26" s="43" t="s">
        <v>162</v>
      </c>
      <c r="AP26" s="39" t="s">
        <v>100</v>
      </c>
      <c r="AR26" s="23" t="s">
        <v>138</v>
      </c>
      <c r="AV26" s="27"/>
    </row>
    <row r="27" spans="1:48" x14ac:dyDescent="0.15">
      <c r="A27" s="84" t="s">
        <v>23</v>
      </c>
      <c r="B27" s="84" t="s">
        <v>160</v>
      </c>
      <c r="C27" s="84">
        <v>2020</v>
      </c>
      <c r="D27" s="45" t="s">
        <v>161</v>
      </c>
      <c r="E27" s="84" t="s">
        <v>165</v>
      </c>
      <c r="F27" s="84" t="s">
        <v>143</v>
      </c>
      <c r="G27" s="84" t="s">
        <v>25</v>
      </c>
      <c r="H27" s="84" t="s">
        <v>164</v>
      </c>
      <c r="I27" s="84" t="s">
        <v>111</v>
      </c>
      <c r="J27" s="78" t="s">
        <v>27</v>
      </c>
      <c r="K27" s="77" t="s">
        <v>112</v>
      </c>
      <c r="L27" s="84">
        <v>2</v>
      </c>
      <c r="N27" s="7">
        <v>4</v>
      </c>
      <c r="O27" s="34">
        <v>0.25</v>
      </c>
      <c r="P27" s="36">
        <v>0.35</v>
      </c>
      <c r="Q27" s="44">
        <f t="shared" si="0"/>
        <v>0.3</v>
      </c>
      <c r="R27" s="67">
        <v>17.600000000000001</v>
      </c>
      <c r="S27" s="67">
        <v>92</v>
      </c>
      <c r="T27" s="16">
        <f t="shared" si="1"/>
        <v>36</v>
      </c>
      <c r="U27" s="71">
        <v>498</v>
      </c>
      <c r="V27" s="64">
        <f t="shared" si="2"/>
        <v>4482</v>
      </c>
      <c r="W27" s="68">
        <v>13</v>
      </c>
      <c r="X27" s="60" t="s">
        <v>35</v>
      </c>
      <c r="Y27" s="60" t="s">
        <v>43</v>
      </c>
      <c r="Z27" s="65" t="s">
        <v>55</v>
      </c>
      <c r="AA27" s="73" t="s">
        <v>90</v>
      </c>
      <c r="AB27" s="43" t="s">
        <v>162</v>
      </c>
      <c r="AP27" s="39" t="s">
        <v>101</v>
      </c>
      <c r="AR27" s="23" t="s">
        <v>159</v>
      </c>
    </row>
    <row r="28" spans="1:48" x14ac:dyDescent="0.15">
      <c r="A28" s="84" t="s">
        <v>23</v>
      </c>
      <c r="B28" s="84" t="s">
        <v>160</v>
      </c>
      <c r="C28" s="84">
        <v>2020</v>
      </c>
      <c r="D28" s="45" t="s">
        <v>161</v>
      </c>
      <c r="E28" s="84" t="s">
        <v>165</v>
      </c>
      <c r="F28" s="84" t="s">
        <v>143</v>
      </c>
      <c r="G28" s="84" t="s">
        <v>25</v>
      </c>
      <c r="H28" s="84" t="s">
        <v>164</v>
      </c>
      <c r="I28" s="84" t="s">
        <v>111</v>
      </c>
      <c r="J28" s="78" t="s">
        <v>27</v>
      </c>
      <c r="K28" s="77" t="s">
        <v>112</v>
      </c>
      <c r="L28" s="84">
        <v>3</v>
      </c>
      <c r="N28" s="7">
        <v>4</v>
      </c>
      <c r="O28" s="34">
        <v>0.35</v>
      </c>
      <c r="P28" s="7">
        <v>0.45</v>
      </c>
      <c r="Q28" s="44">
        <f t="shared" si="0"/>
        <v>0.4</v>
      </c>
      <c r="R28" s="67">
        <v>17.399999999999999</v>
      </c>
      <c r="S28" s="67">
        <v>99</v>
      </c>
      <c r="T28" s="16">
        <f t="shared" si="1"/>
        <v>33</v>
      </c>
      <c r="U28" s="71">
        <v>498</v>
      </c>
      <c r="V28" s="64">
        <f t="shared" si="2"/>
        <v>4108.5</v>
      </c>
      <c r="W28" s="68">
        <v>13</v>
      </c>
      <c r="X28" s="60" t="s">
        <v>35</v>
      </c>
      <c r="Y28" s="60" t="s">
        <v>43</v>
      </c>
      <c r="Z28" s="65" t="s">
        <v>55</v>
      </c>
      <c r="AA28" s="73" t="s">
        <v>90</v>
      </c>
      <c r="AB28" s="43" t="s">
        <v>162</v>
      </c>
      <c r="AP28" s="82" t="s">
        <v>156</v>
      </c>
      <c r="AR28" s="23" t="s">
        <v>158</v>
      </c>
    </row>
    <row r="29" spans="1:48" x14ac:dyDescent="0.15">
      <c r="A29" s="84" t="s">
        <v>23</v>
      </c>
      <c r="B29" s="84" t="s">
        <v>160</v>
      </c>
      <c r="C29" s="84">
        <v>2020</v>
      </c>
      <c r="D29" s="45" t="s">
        <v>161</v>
      </c>
      <c r="E29" s="84" t="s">
        <v>166</v>
      </c>
      <c r="F29" s="84" t="s">
        <v>145</v>
      </c>
      <c r="G29" s="84" t="s">
        <v>25</v>
      </c>
      <c r="H29" s="84" t="s">
        <v>113</v>
      </c>
      <c r="I29" s="84" t="s">
        <v>111</v>
      </c>
      <c r="J29" s="78" t="s">
        <v>27</v>
      </c>
      <c r="K29" s="77" t="s">
        <v>112</v>
      </c>
      <c r="L29" s="84">
        <v>1</v>
      </c>
      <c r="N29" s="7">
        <v>1</v>
      </c>
      <c r="O29" s="7">
        <v>1.05</v>
      </c>
      <c r="P29" s="7">
        <v>0.95</v>
      </c>
      <c r="Q29" s="44">
        <f t="shared" si="0"/>
        <v>1</v>
      </c>
      <c r="R29" s="67">
        <v>14.6</v>
      </c>
      <c r="S29" s="67">
        <v>114</v>
      </c>
      <c r="T29" s="16">
        <f t="shared" si="1"/>
        <v>30</v>
      </c>
      <c r="U29" s="71">
        <v>128</v>
      </c>
      <c r="V29" s="64">
        <f t="shared" si="2"/>
        <v>3840</v>
      </c>
      <c r="W29" s="68">
        <v>16</v>
      </c>
      <c r="X29" s="60" t="s">
        <v>35</v>
      </c>
      <c r="Y29" s="73" t="s">
        <v>64</v>
      </c>
      <c r="Z29" s="72" t="s">
        <v>43</v>
      </c>
      <c r="AA29" s="72" t="s">
        <v>36</v>
      </c>
      <c r="AB29" s="43" t="s">
        <v>162</v>
      </c>
      <c r="AP29" s="82" t="s">
        <v>157</v>
      </c>
      <c r="AR29" s="28"/>
    </row>
    <row r="30" spans="1:48" x14ac:dyDescent="0.15">
      <c r="A30" s="84" t="s">
        <v>23</v>
      </c>
      <c r="B30" s="84" t="s">
        <v>160</v>
      </c>
      <c r="C30" s="84">
        <v>2020</v>
      </c>
      <c r="D30" s="45" t="s">
        <v>161</v>
      </c>
      <c r="E30" s="84" t="s">
        <v>166</v>
      </c>
      <c r="F30" s="84" t="s">
        <v>145</v>
      </c>
      <c r="G30" s="84" t="s">
        <v>25</v>
      </c>
      <c r="H30" s="84" t="s">
        <v>113</v>
      </c>
      <c r="I30" s="84" t="s">
        <v>111</v>
      </c>
      <c r="J30" s="78" t="s">
        <v>27</v>
      </c>
      <c r="K30" s="77" t="s">
        <v>112</v>
      </c>
      <c r="L30" s="84">
        <v>2</v>
      </c>
      <c r="N30" s="7">
        <v>1</v>
      </c>
      <c r="O30" s="7">
        <v>0.95</v>
      </c>
      <c r="P30" s="7">
        <v>1.1000000000000001</v>
      </c>
      <c r="Q30" s="44">
        <f t="shared" si="0"/>
        <v>1.0249999999999999</v>
      </c>
      <c r="R30" s="67">
        <v>14.9</v>
      </c>
      <c r="S30" s="67">
        <v>112</v>
      </c>
      <c r="T30" s="16">
        <f t="shared" si="1"/>
        <v>33</v>
      </c>
      <c r="U30" s="71">
        <v>128</v>
      </c>
      <c r="V30" s="64">
        <f t="shared" si="2"/>
        <v>4224</v>
      </c>
      <c r="W30" s="68">
        <v>16</v>
      </c>
      <c r="X30" s="60" t="s">
        <v>35</v>
      </c>
      <c r="Y30" s="73" t="s">
        <v>64</v>
      </c>
      <c r="Z30" s="72" t="s">
        <v>43</v>
      </c>
      <c r="AA30" s="72" t="s">
        <v>36</v>
      </c>
      <c r="AB30" s="43" t="s">
        <v>162</v>
      </c>
    </row>
    <row r="31" spans="1:48" x14ac:dyDescent="0.15">
      <c r="A31" s="84" t="s">
        <v>23</v>
      </c>
      <c r="B31" s="84" t="s">
        <v>160</v>
      </c>
      <c r="C31" s="84">
        <v>2020</v>
      </c>
      <c r="D31" s="45" t="s">
        <v>161</v>
      </c>
      <c r="E31" s="84" t="s">
        <v>166</v>
      </c>
      <c r="F31" s="84" t="s">
        <v>145</v>
      </c>
      <c r="G31" s="84" t="s">
        <v>25</v>
      </c>
      <c r="H31" s="84" t="s">
        <v>113</v>
      </c>
      <c r="I31" s="84" t="s">
        <v>111</v>
      </c>
      <c r="J31" s="78" t="s">
        <v>27</v>
      </c>
      <c r="K31" s="77" t="s">
        <v>112</v>
      </c>
      <c r="L31" s="84">
        <v>3</v>
      </c>
      <c r="N31" s="7">
        <v>1</v>
      </c>
      <c r="O31" s="7">
        <v>0.75</v>
      </c>
      <c r="P31" s="7">
        <v>0.75</v>
      </c>
      <c r="Q31" s="44">
        <f t="shared" si="0"/>
        <v>0.75</v>
      </c>
      <c r="R31" s="67">
        <v>15.1</v>
      </c>
      <c r="S31" s="67">
        <v>117</v>
      </c>
      <c r="T31" s="16">
        <f t="shared" si="1"/>
        <v>30</v>
      </c>
      <c r="U31" s="71">
        <v>128</v>
      </c>
      <c r="V31" s="64">
        <f t="shared" si="2"/>
        <v>3840</v>
      </c>
      <c r="W31" s="68">
        <v>16</v>
      </c>
      <c r="X31" s="60" t="s">
        <v>35</v>
      </c>
      <c r="Y31" s="73" t="s">
        <v>64</v>
      </c>
      <c r="Z31" s="72" t="s">
        <v>43</v>
      </c>
      <c r="AA31" s="72" t="s">
        <v>36</v>
      </c>
      <c r="AB31" s="43" t="s">
        <v>162</v>
      </c>
    </row>
    <row r="32" spans="1:48" ht="14.25" customHeight="1" x14ac:dyDescent="0.15">
      <c r="A32" s="84" t="s">
        <v>23</v>
      </c>
      <c r="B32" s="84" t="s">
        <v>160</v>
      </c>
      <c r="C32" s="84">
        <v>2020</v>
      </c>
      <c r="D32" s="45" t="s">
        <v>161</v>
      </c>
      <c r="E32" s="84" t="s">
        <v>166</v>
      </c>
      <c r="F32" s="84" t="s">
        <v>145</v>
      </c>
      <c r="G32" s="84" t="s">
        <v>25</v>
      </c>
      <c r="H32" s="84" t="s">
        <v>113</v>
      </c>
      <c r="I32" s="84" t="s">
        <v>111</v>
      </c>
      <c r="J32" s="78" t="s">
        <v>27</v>
      </c>
      <c r="K32" s="77" t="s">
        <v>112</v>
      </c>
      <c r="L32" s="84">
        <v>1</v>
      </c>
      <c r="N32" s="7">
        <v>3</v>
      </c>
      <c r="O32" s="7">
        <v>0.8</v>
      </c>
      <c r="P32" s="7">
        <v>0.9</v>
      </c>
      <c r="Q32" s="44">
        <f t="shared" si="0"/>
        <v>0.85000000000000009</v>
      </c>
      <c r="R32" s="67">
        <v>13.2</v>
      </c>
      <c r="S32" s="67">
        <v>117</v>
      </c>
      <c r="T32" s="16">
        <f t="shared" si="1"/>
        <v>30</v>
      </c>
      <c r="U32" s="71">
        <v>298</v>
      </c>
      <c r="V32" s="64">
        <f t="shared" si="2"/>
        <v>2980</v>
      </c>
      <c r="W32" s="68">
        <v>16</v>
      </c>
      <c r="X32" s="60" t="s">
        <v>35</v>
      </c>
      <c r="Y32" s="73" t="s">
        <v>64</v>
      </c>
      <c r="Z32" s="72" t="s">
        <v>43</v>
      </c>
      <c r="AA32" s="72" t="s">
        <v>36</v>
      </c>
      <c r="AB32" s="43" t="s">
        <v>162</v>
      </c>
    </row>
    <row r="33" spans="1:44" x14ac:dyDescent="0.15">
      <c r="A33" s="84" t="s">
        <v>23</v>
      </c>
      <c r="B33" s="84" t="s">
        <v>160</v>
      </c>
      <c r="C33" s="84">
        <v>2020</v>
      </c>
      <c r="D33" s="45" t="s">
        <v>161</v>
      </c>
      <c r="E33" s="84" t="s">
        <v>166</v>
      </c>
      <c r="F33" s="84" t="s">
        <v>145</v>
      </c>
      <c r="G33" s="84" t="s">
        <v>25</v>
      </c>
      <c r="H33" s="84" t="s">
        <v>113</v>
      </c>
      <c r="I33" s="84" t="s">
        <v>111</v>
      </c>
      <c r="J33" s="78" t="s">
        <v>27</v>
      </c>
      <c r="K33" s="77" t="s">
        <v>112</v>
      </c>
      <c r="L33" s="84">
        <v>2</v>
      </c>
      <c r="N33" s="7">
        <v>3</v>
      </c>
      <c r="O33" s="7">
        <v>0.6</v>
      </c>
      <c r="P33" s="7">
        <v>0.6</v>
      </c>
      <c r="Q33" s="44">
        <f t="shared" si="0"/>
        <v>0.6</v>
      </c>
      <c r="R33" s="67">
        <v>14.4</v>
      </c>
      <c r="S33" s="67">
        <v>120</v>
      </c>
      <c r="T33" s="16">
        <f t="shared" si="1"/>
        <v>30</v>
      </c>
      <c r="U33" s="71">
        <v>298</v>
      </c>
      <c r="V33" s="64">
        <f t="shared" si="2"/>
        <v>2980</v>
      </c>
      <c r="W33" s="68">
        <v>16</v>
      </c>
      <c r="X33" s="60" t="s">
        <v>35</v>
      </c>
      <c r="Y33" s="73" t="s">
        <v>64</v>
      </c>
      <c r="Z33" s="72" t="s">
        <v>43</v>
      </c>
      <c r="AA33" s="72" t="s">
        <v>36</v>
      </c>
      <c r="AB33" s="43" t="s">
        <v>162</v>
      </c>
      <c r="AR33" s="77"/>
    </row>
    <row r="34" spans="1:44" x14ac:dyDescent="0.15">
      <c r="A34" s="84" t="s">
        <v>23</v>
      </c>
      <c r="B34" s="84" t="s">
        <v>160</v>
      </c>
      <c r="C34" s="84">
        <v>2020</v>
      </c>
      <c r="D34" s="45" t="s">
        <v>161</v>
      </c>
      <c r="E34" s="84" t="s">
        <v>166</v>
      </c>
      <c r="F34" s="84" t="s">
        <v>145</v>
      </c>
      <c r="G34" s="84" t="s">
        <v>25</v>
      </c>
      <c r="H34" s="84" t="s">
        <v>113</v>
      </c>
      <c r="I34" s="84" t="s">
        <v>111</v>
      </c>
      <c r="J34" s="78" t="s">
        <v>27</v>
      </c>
      <c r="K34" s="77" t="s">
        <v>112</v>
      </c>
      <c r="L34" s="84">
        <v>3</v>
      </c>
      <c r="N34" s="7">
        <v>3</v>
      </c>
      <c r="O34" s="7">
        <v>0.25</v>
      </c>
      <c r="P34" s="34">
        <v>0.2</v>
      </c>
      <c r="Q34" s="44">
        <f t="shared" si="0"/>
        <v>0.22500000000000001</v>
      </c>
      <c r="R34" s="67">
        <v>13.1</v>
      </c>
      <c r="S34" s="67">
        <v>123</v>
      </c>
      <c r="T34" s="16">
        <f t="shared" si="1"/>
        <v>30</v>
      </c>
      <c r="U34" s="71">
        <v>298</v>
      </c>
      <c r="V34" s="64">
        <f t="shared" si="2"/>
        <v>2980</v>
      </c>
      <c r="W34" s="68">
        <v>16</v>
      </c>
      <c r="X34" s="60" t="s">
        <v>35</v>
      </c>
      <c r="Y34" s="73" t="s">
        <v>64</v>
      </c>
      <c r="Z34" s="72" t="s">
        <v>43</v>
      </c>
      <c r="AA34" s="72" t="s">
        <v>36</v>
      </c>
      <c r="AB34" s="43" t="s">
        <v>162</v>
      </c>
      <c r="AR34" s="77"/>
    </row>
    <row r="35" spans="1:44" x14ac:dyDescent="0.15">
      <c r="A35" s="84" t="s">
        <v>23</v>
      </c>
      <c r="B35" s="84" t="s">
        <v>160</v>
      </c>
      <c r="C35" s="84">
        <v>2020</v>
      </c>
      <c r="D35" s="45" t="s">
        <v>161</v>
      </c>
      <c r="E35" s="84" t="s">
        <v>166</v>
      </c>
      <c r="F35" s="84" t="s">
        <v>145</v>
      </c>
      <c r="G35" s="84" t="s">
        <v>25</v>
      </c>
      <c r="H35" s="84" t="s">
        <v>164</v>
      </c>
      <c r="I35" s="84" t="s">
        <v>111</v>
      </c>
      <c r="J35" s="78" t="s">
        <v>27</v>
      </c>
      <c r="K35" s="77" t="s">
        <v>112</v>
      </c>
      <c r="L35" s="84">
        <v>1</v>
      </c>
      <c r="N35" s="7">
        <v>1</v>
      </c>
      <c r="O35" s="7">
        <v>0.35</v>
      </c>
      <c r="P35" s="7">
        <v>0.2</v>
      </c>
      <c r="Q35" s="44">
        <f t="shared" si="0"/>
        <v>0.27500000000000002</v>
      </c>
      <c r="R35" s="67">
        <v>18.5</v>
      </c>
      <c r="S35" s="67">
        <v>99</v>
      </c>
      <c r="T35" s="16">
        <f t="shared" si="1"/>
        <v>33</v>
      </c>
      <c r="U35" s="71">
        <v>98</v>
      </c>
      <c r="V35" s="64">
        <f t="shared" si="2"/>
        <v>3234</v>
      </c>
      <c r="W35" s="68">
        <v>16</v>
      </c>
      <c r="X35" s="60" t="s">
        <v>35</v>
      </c>
      <c r="Y35" s="73" t="s">
        <v>64</v>
      </c>
      <c r="Z35" s="72" t="s">
        <v>43</v>
      </c>
      <c r="AA35" s="72" t="s">
        <v>36</v>
      </c>
      <c r="AB35" s="43" t="s">
        <v>162</v>
      </c>
      <c r="AR35" s="77"/>
    </row>
    <row r="36" spans="1:44" x14ac:dyDescent="0.15">
      <c r="A36" s="84" t="s">
        <v>23</v>
      </c>
      <c r="B36" s="84" t="s">
        <v>160</v>
      </c>
      <c r="C36" s="84">
        <v>2020</v>
      </c>
      <c r="D36" s="45" t="s">
        <v>161</v>
      </c>
      <c r="E36" s="84" t="s">
        <v>166</v>
      </c>
      <c r="F36" s="84" t="s">
        <v>145</v>
      </c>
      <c r="G36" s="84" t="s">
        <v>25</v>
      </c>
      <c r="H36" s="84" t="s">
        <v>164</v>
      </c>
      <c r="I36" s="84" t="s">
        <v>111</v>
      </c>
      <c r="J36" s="78" t="s">
        <v>27</v>
      </c>
      <c r="K36" s="77" t="s">
        <v>112</v>
      </c>
      <c r="L36" s="84">
        <v>2</v>
      </c>
      <c r="N36" s="7">
        <v>1</v>
      </c>
      <c r="O36" s="7">
        <v>1.1000000000000001</v>
      </c>
      <c r="P36" s="7">
        <v>0.95</v>
      </c>
      <c r="Q36" s="44">
        <f t="shared" si="0"/>
        <v>1.0249999999999999</v>
      </c>
      <c r="R36" s="67">
        <v>14.3</v>
      </c>
      <c r="S36" s="67">
        <v>101</v>
      </c>
      <c r="T36" s="16">
        <f t="shared" si="1"/>
        <v>33</v>
      </c>
      <c r="U36" s="71">
        <v>98</v>
      </c>
      <c r="V36" s="64">
        <f t="shared" si="2"/>
        <v>3234</v>
      </c>
      <c r="W36" s="68">
        <v>16</v>
      </c>
      <c r="X36" s="60" t="s">
        <v>35</v>
      </c>
      <c r="Y36" s="73" t="s">
        <v>64</v>
      </c>
      <c r="Z36" s="72" t="s">
        <v>43</v>
      </c>
      <c r="AA36" s="72" t="s">
        <v>36</v>
      </c>
      <c r="AB36" s="43" t="s">
        <v>162</v>
      </c>
      <c r="AR36" s="77"/>
    </row>
    <row r="37" spans="1:44" x14ac:dyDescent="0.15">
      <c r="A37" s="84" t="s">
        <v>23</v>
      </c>
      <c r="B37" s="84" t="s">
        <v>160</v>
      </c>
      <c r="C37" s="84">
        <v>2020</v>
      </c>
      <c r="D37" s="45" t="s">
        <v>161</v>
      </c>
      <c r="E37" s="84" t="s">
        <v>166</v>
      </c>
      <c r="F37" s="84" t="s">
        <v>145</v>
      </c>
      <c r="G37" s="84" t="s">
        <v>25</v>
      </c>
      <c r="H37" s="84" t="s">
        <v>164</v>
      </c>
      <c r="I37" s="84" t="s">
        <v>111</v>
      </c>
      <c r="J37" s="78" t="s">
        <v>27</v>
      </c>
      <c r="K37" s="77" t="s">
        <v>112</v>
      </c>
      <c r="L37" s="84">
        <v>3</v>
      </c>
      <c r="N37" s="7">
        <v>1</v>
      </c>
      <c r="O37" s="7">
        <v>0.8</v>
      </c>
      <c r="P37" s="7">
        <v>0.55000000000000004</v>
      </c>
      <c r="Q37" s="44">
        <f t="shared" si="0"/>
        <v>0.67500000000000004</v>
      </c>
      <c r="R37" s="67">
        <v>16.399999999999999</v>
      </c>
      <c r="S37" s="67">
        <v>97</v>
      </c>
      <c r="T37" s="16">
        <f t="shared" si="1"/>
        <v>36</v>
      </c>
      <c r="U37" s="71">
        <v>98</v>
      </c>
      <c r="V37" s="64">
        <f t="shared" si="2"/>
        <v>3528</v>
      </c>
      <c r="W37" s="68">
        <v>16</v>
      </c>
      <c r="X37" s="60" t="s">
        <v>35</v>
      </c>
      <c r="Y37" s="73" t="s">
        <v>64</v>
      </c>
      <c r="Z37" s="72" t="s">
        <v>43</v>
      </c>
      <c r="AA37" s="72" t="s">
        <v>36</v>
      </c>
      <c r="AB37" s="43" t="s">
        <v>162</v>
      </c>
      <c r="AR37" s="77"/>
    </row>
    <row r="38" spans="1:44" x14ac:dyDescent="0.15">
      <c r="A38" s="84" t="s">
        <v>23</v>
      </c>
      <c r="B38" s="84" t="s">
        <v>160</v>
      </c>
      <c r="C38" s="84">
        <v>2020</v>
      </c>
      <c r="D38" s="45" t="s">
        <v>161</v>
      </c>
      <c r="E38" s="84" t="s">
        <v>166</v>
      </c>
      <c r="F38" s="84" t="s">
        <v>145</v>
      </c>
      <c r="G38" s="84" t="s">
        <v>25</v>
      </c>
      <c r="H38" s="84" t="s">
        <v>164</v>
      </c>
      <c r="I38" s="84" t="s">
        <v>111</v>
      </c>
      <c r="J38" s="78" t="s">
        <v>27</v>
      </c>
      <c r="K38" s="77" t="s">
        <v>112</v>
      </c>
      <c r="L38" s="84">
        <v>1</v>
      </c>
      <c r="N38" s="7">
        <v>4</v>
      </c>
      <c r="O38" s="7">
        <v>0.85</v>
      </c>
      <c r="P38" s="7">
        <v>0.8</v>
      </c>
      <c r="Q38" s="44">
        <f t="shared" si="0"/>
        <v>0.82499999999999996</v>
      </c>
      <c r="R38" s="67">
        <v>14.1</v>
      </c>
      <c r="S38" s="67">
        <v>101</v>
      </c>
      <c r="T38" s="16">
        <f t="shared" si="1"/>
        <v>33</v>
      </c>
      <c r="U38" s="71">
        <v>398</v>
      </c>
      <c r="V38" s="64">
        <f t="shared" si="2"/>
        <v>3283.5</v>
      </c>
      <c r="W38" s="68">
        <v>16</v>
      </c>
      <c r="X38" s="60" t="s">
        <v>35</v>
      </c>
      <c r="Y38" s="73" t="s">
        <v>64</v>
      </c>
      <c r="Z38" s="72" t="s">
        <v>43</v>
      </c>
      <c r="AA38" s="72" t="s">
        <v>36</v>
      </c>
      <c r="AB38" s="43" t="s">
        <v>162</v>
      </c>
      <c r="AR38" s="77"/>
    </row>
    <row r="39" spans="1:44" x14ac:dyDescent="0.15">
      <c r="A39" s="84" t="s">
        <v>23</v>
      </c>
      <c r="B39" s="84" t="s">
        <v>160</v>
      </c>
      <c r="C39" s="84">
        <v>2020</v>
      </c>
      <c r="D39" s="45" t="s">
        <v>161</v>
      </c>
      <c r="E39" s="84" t="s">
        <v>166</v>
      </c>
      <c r="F39" s="84" t="s">
        <v>145</v>
      </c>
      <c r="G39" s="84" t="s">
        <v>25</v>
      </c>
      <c r="H39" s="84" t="s">
        <v>164</v>
      </c>
      <c r="I39" s="84" t="s">
        <v>111</v>
      </c>
      <c r="J39" s="78" t="s">
        <v>27</v>
      </c>
      <c r="K39" s="77" t="s">
        <v>112</v>
      </c>
      <c r="L39" s="84">
        <v>2</v>
      </c>
      <c r="N39" s="7">
        <v>4</v>
      </c>
      <c r="O39" s="7">
        <v>0.65</v>
      </c>
      <c r="P39" s="7">
        <v>0.65</v>
      </c>
      <c r="Q39" s="44">
        <f t="shared" si="0"/>
        <v>0.65</v>
      </c>
      <c r="R39" s="67">
        <v>18.600000000000001</v>
      </c>
      <c r="S39" s="67">
        <v>112</v>
      </c>
      <c r="T39" s="16">
        <f t="shared" si="1"/>
        <v>33</v>
      </c>
      <c r="U39" s="71">
        <v>398</v>
      </c>
      <c r="V39" s="64">
        <f t="shared" si="2"/>
        <v>3283.5</v>
      </c>
      <c r="W39" s="68">
        <v>16</v>
      </c>
      <c r="X39" s="60" t="s">
        <v>35</v>
      </c>
      <c r="Y39" s="73" t="s">
        <v>64</v>
      </c>
      <c r="Z39" s="72" t="s">
        <v>43</v>
      </c>
      <c r="AA39" s="72" t="s">
        <v>36</v>
      </c>
      <c r="AB39" s="43" t="s">
        <v>162</v>
      </c>
      <c r="AR39" s="77"/>
    </row>
    <row r="40" spans="1:44" ht="12.75" customHeight="1" x14ac:dyDescent="0.15">
      <c r="A40" s="84" t="s">
        <v>23</v>
      </c>
      <c r="B40" s="84" t="s">
        <v>160</v>
      </c>
      <c r="C40" s="84">
        <v>2020</v>
      </c>
      <c r="D40" s="45" t="s">
        <v>161</v>
      </c>
      <c r="E40" s="84" t="s">
        <v>166</v>
      </c>
      <c r="F40" s="84" t="s">
        <v>145</v>
      </c>
      <c r="G40" s="84" t="s">
        <v>25</v>
      </c>
      <c r="H40" s="84" t="s">
        <v>164</v>
      </c>
      <c r="I40" s="84" t="s">
        <v>111</v>
      </c>
      <c r="J40" s="78" t="s">
        <v>27</v>
      </c>
      <c r="K40" s="77" t="s">
        <v>112</v>
      </c>
      <c r="L40" s="84">
        <v>3</v>
      </c>
      <c r="N40" s="7">
        <v>4</v>
      </c>
      <c r="O40" s="7">
        <v>1</v>
      </c>
      <c r="P40" s="7">
        <v>0.8</v>
      </c>
      <c r="Q40" s="44">
        <f t="shared" si="0"/>
        <v>0.9</v>
      </c>
      <c r="R40" s="67">
        <v>14.2</v>
      </c>
      <c r="S40" s="67">
        <v>100</v>
      </c>
      <c r="T40" s="16">
        <f t="shared" si="1"/>
        <v>33</v>
      </c>
      <c r="U40" s="71">
        <v>398</v>
      </c>
      <c r="V40" s="64">
        <f t="shared" si="2"/>
        <v>3283.5</v>
      </c>
      <c r="W40" s="68">
        <v>16</v>
      </c>
      <c r="X40" s="60" t="s">
        <v>35</v>
      </c>
      <c r="Y40" s="73" t="s">
        <v>64</v>
      </c>
      <c r="Z40" s="72" t="s">
        <v>43</v>
      </c>
      <c r="AA40" s="72" t="s">
        <v>36</v>
      </c>
      <c r="AB40" s="43" t="s">
        <v>162</v>
      </c>
      <c r="AR40" s="77"/>
    </row>
    <row r="41" spans="1:44" ht="12.75" customHeight="1" x14ac:dyDescent="0.15">
      <c r="A41" s="84" t="s">
        <v>23</v>
      </c>
      <c r="B41" s="84" t="s">
        <v>160</v>
      </c>
      <c r="C41" s="84">
        <v>2020</v>
      </c>
      <c r="D41" s="45" t="s">
        <v>161</v>
      </c>
      <c r="E41" s="84" t="s">
        <v>166</v>
      </c>
      <c r="F41" s="84" t="s">
        <v>145</v>
      </c>
      <c r="G41" s="84" t="s">
        <v>25</v>
      </c>
      <c r="H41" s="84" t="s">
        <v>164</v>
      </c>
      <c r="I41" s="84" t="s">
        <v>111</v>
      </c>
      <c r="J41" s="78" t="s">
        <v>27</v>
      </c>
      <c r="K41" s="77" t="s">
        <v>112</v>
      </c>
      <c r="L41" s="84">
        <v>1</v>
      </c>
      <c r="N41" s="7">
        <v>4</v>
      </c>
      <c r="O41" s="7">
        <v>0.6</v>
      </c>
      <c r="P41" s="7">
        <v>0.5</v>
      </c>
      <c r="Q41" s="44">
        <f t="shared" si="0"/>
        <v>0.55000000000000004</v>
      </c>
      <c r="R41" s="67">
        <v>18.7</v>
      </c>
      <c r="S41" s="67">
        <v>128</v>
      </c>
      <c r="T41" s="16">
        <f t="shared" si="1"/>
        <v>30</v>
      </c>
      <c r="U41" s="71">
        <v>498</v>
      </c>
      <c r="V41" s="64">
        <f t="shared" si="2"/>
        <v>3735</v>
      </c>
      <c r="W41" s="68">
        <v>16</v>
      </c>
      <c r="X41" s="60" t="s">
        <v>35</v>
      </c>
      <c r="Y41" s="73" t="s">
        <v>64</v>
      </c>
      <c r="Z41" s="72" t="s">
        <v>43</v>
      </c>
      <c r="AA41" s="72" t="s">
        <v>36</v>
      </c>
      <c r="AB41" s="43" t="s">
        <v>162</v>
      </c>
      <c r="AR41" s="77"/>
    </row>
    <row r="42" spans="1:44" ht="12.75" customHeight="1" x14ac:dyDescent="0.15">
      <c r="A42" s="84" t="s">
        <v>23</v>
      </c>
      <c r="B42" s="84" t="s">
        <v>160</v>
      </c>
      <c r="C42" s="84">
        <v>2020</v>
      </c>
      <c r="D42" s="45" t="s">
        <v>161</v>
      </c>
      <c r="E42" s="84" t="s">
        <v>166</v>
      </c>
      <c r="F42" s="84" t="s">
        <v>145</v>
      </c>
      <c r="G42" s="84" t="s">
        <v>25</v>
      </c>
      <c r="H42" s="84" t="s">
        <v>164</v>
      </c>
      <c r="I42" s="84" t="s">
        <v>111</v>
      </c>
      <c r="J42" s="78" t="s">
        <v>27</v>
      </c>
      <c r="K42" s="77" t="s">
        <v>112</v>
      </c>
      <c r="L42" s="84">
        <v>2</v>
      </c>
      <c r="N42" s="7">
        <v>4</v>
      </c>
      <c r="O42" s="7">
        <v>0.85</v>
      </c>
      <c r="P42" s="7">
        <v>0.55000000000000004</v>
      </c>
      <c r="Q42" s="44">
        <f t="shared" si="0"/>
        <v>0.7</v>
      </c>
      <c r="R42" s="67">
        <v>15.6</v>
      </c>
      <c r="S42" s="67">
        <v>130</v>
      </c>
      <c r="T42" s="16">
        <f t="shared" si="1"/>
        <v>30</v>
      </c>
      <c r="U42" s="71">
        <v>498</v>
      </c>
      <c r="V42" s="64">
        <f t="shared" si="2"/>
        <v>3735</v>
      </c>
      <c r="W42" s="68">
        <v>16</v>
      </c>
      <c r="X42" s="60" t="s">
        <v>35</v>
      </c>
      <c r="Y42" s="73" t="s">
        <v>64</v>
      </c>
      <c r="Z42" s="72" t="s">
        <v>43</v>
      </c>
      <c r="AA42" s="72" t="s">
        <v>36</v>
      </c>
      <c r="AB42" s="43" t="s">
        <v>162</v>
      </c>
      <c r="AR42" s="77"/>
    </row>
    <row r="43" spans="1:44" ht="12.75" customHeight="1" x14ac:dyDescent="0.15">
      <c r="A43" s="84" t="s">
        <v>23</v>
      </c>
      <c r="B43" s="84" t="s">
        <v>160</v>
      </c>
      <c r="C43" s="84">
        <v>2020</v>
      </c>
      <c r="D43" s="45" t="s">
        <v>161</v>
      </c>
      <c r="E43" s="84" t="s">
        <v>166</v>
      </c>
      <c r="F43" s="84" t="s">
        <v>145</v>
      </c>
      <c r="G43" s="84" t="s">
        <v>25</v>
      </c>
      <c r="H43" s="84" t="s">
        <v>164</v>
      </c>
      <c r="I43" s="84" t="s">
        <v>111</v>
      </c>
      <c r="J43" s="78" t="s">
        <v>27</v>
      </c>
      <c r="K43" s="77" t="s">
        <v>112</v>
      </c>
      <c r="L43" s="84">
        <v>3</v>
      </c>
      <c r="N43" s="7">
        <v>4</v>
      </c>
      <c r="O43" s="7">
        <v>0.65</v>
      </c>
      <c r="P43" s="7">
        <v>0.45</v>
      </c>
      <c r="Q43" s="44">
        <f t="shared" si="0"/>
        <v>0.55000000000000004</v>
      </c>
      <c r="R43" s="67">
        <v>17.399999999999999</v>
      </c>
      <c r="S43" s="67">
        <v>130</v>
      </c>
      <c r="T43" s="16">
        <f t="shared" si="1"/>
        <v>30</v>
      </c>
      <c r="U43" s="71">
        <v>498</v>
      </c>
      <c r="V43" s="64">
        <f t="shared" si="2"/>
        <v>3735</v>
      </c>
      <c r="W43" s="68">
        <v>16</v>
      </c>
      <c r="X43" s="60" t="s">
        <v>35</v>
      </c>
      <c r="Y43" s="73" t="s">
        <v>64</v>
      </c>
      <c r="Z43" s="72" t="s">
        <v>43</v>
      </c>
      <c r="AA43" s="72" t="s">
        <v>36</v>
      </c>
      <c r="AB43" s="43" t="s">
        <v>162</v>
      </c>
      <c r="AR43" s="77"/>
    </row>
    <row r="44" spans="1:44" x14ac:dyDescent="0.15">
      <c r="A44" s="84" t="s">
        <v>23</v>
      </c>
      <c r="B44" s="84" t="s">
        <v>160</v>
      </c>
      <c r="C44" s="84">
        <v>2020</v>
      </c>
      <c r="D44" s="45" t="s">
        <v>161</v>
      </c>
      <c r="E44" s="84" t="s">
        <v>146</v>
      </c>
      <c r="F44" s="84" t="s">
        <v>147</v>
      </c>
      <c r="G44" s="84" t="s">
        <v>25</v>
      </c>
      <c r="H44" s="84" t="s">
        <v>113</v>
      </c>
      <c r="I44" s="84" t="s">
        <v>111</v>
      </c>
      <c r="J44" s="78" t="s">
        <v>27</v>
      </c>
      <c r="K44" s="77" t="s">
        <v>112</v>
      </c>
      <c r="L44" s="84">
        <v>1</v>
      </c>
      <c r="N44" s="7">
        <v>1</v>
      </c>
      <c r="O44" s="7">
        <v>0.7</v>
      </c>
      <c r="P44" s="77">
        <v>0.7</v>
      </c>
      <c r="Q44" s="44">
        <f t="shared" si="0"/>
        <v>0.7</v>
      </c>
      <c r="R44" s="67">
        <v>15.4</v>
      </c>
      <c r="S44" s="67">
        <v>118</v>
      </c>
      <c r="T44" s="16">
        <f t="shared" si="1"/>
        <v>30</v>
      </c>
      <c r="U44" s="71">
        <v>98</v>
      </c>
      <c r="V44" s="16">
        <f t="shared" si="2"/>
        <v>2940</v>
      </c>
      <c r="W44" s="7">
        <v>8</v>
      </c>
      <c r="X44" s="60" t="s">
        <v>35</v>
      </c>
      <c r="Y44" s="72" t="s">
        <v>43</v>
      </c>
      <c r="Z44" s="76" t="s">
        <v>55</v>
      </c>
      <c r="AA44" s="72" t="s">
        <v>36</v>
      </c>
      <c r="AB44" s="43" t="s">
        <v>162</v>
      </c>
      <c r="AR44" s="77"/>
    </row>
    <row r="45" spans="1:44" x14ac:dyDescent="0.15">
      <c r="A45" s="84" t="s">
        <v>23</v>
      </c>
      <c r="B45" s="84" t="s">
        <v>160</v>
      </c>
      <c r="C45" s="84">
        <v>2020</v>
      </c>
      <c r="D45" s="45" t="s">
        <v>161</v>
      </c>
      <c r="E45" s="84" t="s">
        <v>146</v>
      </c>
      <c r="F45" s="84" t="s">
        <v>147</v>
      </c>
      <c r="G45" s="84" t="s">
        <v>25</v>
      </c>
      <c r="H45" s="84" t="s">
        <v>113</v>
      </c>
      <c r="I45" s="84" t="s">
        <v>111</v>
      </c>
      <c r="J45" s="78" t="s">
        <v>27</v>
      </c>
      <c r="K45" s="77" t="s">
        <v>112</v>
      </c>
      <c r="L45" s="84">
        <v>2</v>
      </c>
      <c r="N45" s="7">
        <v>1</v>
      </c>
      <c r="O45" s="7">
        <v>0.5</v>
      </c>
      <c r="P45" s="7">
        <v>0.3</v>
      </c>
      <c r="Q45" s="44">
        <f t="shared" si="0"/>
        <v>0.4</v>
      </c>
      <c r="R45" s="67">
        <v>15.1</v>
      </c>
      <c r="S45" s="67">
        <v>119</v>
      </c>
      <c r="T45" s="16">
        <f t="shared" si="1"/>
        <v>30</v>
      </c>
      <c r="U45" s="71">
        <v>98</v>
      </c>
      <c r="V45" s="16">
        <f t="shared" si="2"/>
        <v>2940</v>
      </c>
      <c r="W45" s="77">
        <v>8</v>
      </c>
      <c r="X45" s="60" t="s">
        <v>35</v>
      </c>
      <c r="Y45" s="72" t="s">
        <v>43</v>
      </c>
      <c r="Z45" s="76" t="s">
        <v>55</v>
      </c>
      <c r="AA45" s="72" t="s">
        <v>36</v>
      </c>
      <c r="AB45" s="43" t="s">
        <v>162</v>
      </c>
      <c r="AR45" s="77"/>
    </row>
    <row r="46" spans="1:44" x14ac:dyDescent="0.15">
      <c r="A46" s="84" t="s">
        <v>23</v>
      </c>
      <c r="B46" s="84" t="s">
        <v>160</v>
      </c>
      <c r="C46" s="84">
        <v>2020</v>
      </c>
      <c r="D46" s="45" t="s">
        <v>161</v>
      </c>
      <c r="E46" s="84" t="s">
        <v>146</v>
      </c>
      <c r="F46" s="84" t="s">
        <v>147</v>
      </c>
      <c r="G46" s="84" t="s">
        <v>25</v>
      </c>
      <c r="H46" s="84" t="s">
        <v>113</v>
      </c>
      <c r="I46" s="84" t="s">
        <v>111</v>
      </c>
      <c r="J46" s="78" t="s">
        <v>27</v>
      </c>
      <c r="K46" s="77" t="s">
        <v>112</v>
      </c>
      <c r="L46" s="84">
        <v>3</v>
      </c>
      <c r="N46" s="7">
        <v>1</v>
      </c>
      <c r="O46" s="7">
        <v>0.7</v>
      </c>
      <c r="P46" s="7">
        <v>0.65</v>
      </c>
      <c r="Q46" s="44">
        <f t="shared" si="0"/>
        <v>0.67500000000000004</v>
      </c>
      <c r="R46" s="67">
        <v>14.1</v>
      </c>
      <c r="S46" s="67">
        <v>124</v>
      </c>
      <c r="T46" s="16">
        <f t="shared" si="1"/>
        <v>30</v>
      </c>
      <c r="U46" s="71">
        <v>98</v>
      </c>
      <c r="V46" s="16">
        <f t="shared" si="2"/>
        <v>2940</v>
      </c>
      <c r="W46" s="77">
        <v>8</v>
      </c>
      <c r="X46" s="60" t="s">
        <v>35</v>
      </c>
      <c r="Y46" s="72" t="s">
        <v>43</v>
      </c>
      <c r="Z46" s="76" t="s">
        <v>55</v>
      </c>
      <c r="AA46" s="72" t="s">
        <v>36</v>
      </c>
      <c r="AB46" s="43" t="s">
        <v>162</v>
      </c>
      <c r="AR46" s="77"/>
    </row>
    <row r="47" spans="1:44" x14ac:dyDescent="0.15">
      <c r="A47" s="84" t="s">
        <v>23</v>
      </c>
      <c r="B47" s="84" t="s">
        <v>160</v>
      </c>
      <c r="C47" s="84">
        <v>2020</v>
      </c>
      <c r="D47" s="45" t="s">
        <v>161</v>
      </c>
      <c r="E47" s="84" t="s">
        <v>146</v>
      </c>
      <c r="F47" s="84" t="s">
        <v>147</v>
      </c>
      <c r="G47" s="84" t="s">
        <v>25</v>
      </c>
      <c r="H47" s="84" t="s">
        <v>164</v>
      </c>
      <c r="I47" s="84" t="s">
        <v>111</v>
      </c>
      <c r="J47" s="78" t="s">
        <v>27</v>
      </c>
      <c r="K47" s="77" t="s">
        <v>112</v>
      </c>
      <c r="L47" s="84">
        <v>1</v>
      </c>
      <c r="N47" s="7">
        <v>1</v>
      </c>
      <c r="O47" s="7">
        <v>1.1499999999999999</v>
      </c>
      <c r="P47" s="7">
        <v>1.35</v>
      </c>
      <c r="Q47" s="44">
        <f t="shared" si="0"/>
        <v>1.25</v>
      </c>
      <c r="R47" s="67">
        <v>15</v>
      </c>
      <c r="S47" s="67">
        <v>141</v>
      </c>
      <c r="T47" s="16">
        <f t="shared" si="1"/>
        <v>30</v>
      </c>
      <c r="U47" s="71">
        <v>98</v>
      </c>
      <c r="V47" s="16">
        <f t="shared" si="2"/>
        <v>2940</v>
      </c>
      <c r="W47" s="77">
        <v>8</v>
      </c>
      <c r="X47" s="60" t="s">
        <v>35</v>
      </c>
      <c r="Y47" s="72" t="s">
        <v>43</v>
      </c>
      <c r="Z47" s="76" t="s">
        <v>55</v>
      </c>
      <c r="AA47" s="72" t="s">
        <v>36</v>
      </c>
      <c r="AB47" s="43" t="s">
        <v>162</v>
      </c>
      <c r="AR47" s="77"/>
    </row>
    <row r="48" spans="1:44" x14ac:dyDescent="0.15">
      <c r="A48" s="84" t="s">
        <v>23</v>
      </c>
      <c r="B48" s="84" t="s">
        <v>160</v>
      </c>
      <c r="C48" s="84">
        <v>2020</v>
      </c>
      <c r="D48" s="45" t="s">
        <v>161</v>
      </c>
      <c r="E48" s="84" t="s">
        <v>146</v>
      </c>
      <c r="F48" s="84" t="s">
        <v>147</v>
      </c>
      <c r="G48" s="84" t="s">
        <v>25</v>
      </c>
      <c r="H48" s="84" t="s">
        <v>164</v>
      </c>
      <c r="I48" s="84" t="s">
        <v>111</v>
      </c>
      <c r="J48" s="78" t="s">
        <v>27</v>
      </c>
      <c r="K48" s="77" t="s">
        <v>112</v>
      </c>
      <c r="L48" s="84">
        <v>2</v>
      </c>
      <c r="N48" s="7">
        <v>1</v>
      </c>
      <c r="O48" s="7">
        <v>1.05</v>
      </c>
      <c r="P48" s="7">
        <v>0.95</v>
      </c>
      <c r="Q48" s="44">
        <f t="shared" si="0"/>
        <v>1</v>
      </c>
      <c r="R48" s="67">
        <v>15.5</v>
      </c>
      <c r="S48" s="67">
        <v>142</v>
      </c>
      <c r="T48" s="16">
        <f t="shared" si="1"/>
        <v>30</v>
      </c>
      <c r="U48" s="71">
        <v>98</v>
      </c>
      <c r="V48" s="16">
        <f t="shared" si="2"/>
        <v>2940</v>
      </c>
      <c r="W48" s="77">
        <v>8</v>
      </c>
      <c r="X48" s="60" t="s">
        <v>35</v>
      </c>
      <c r="Y48" s="72" t="s">
        <v>43</v>
      </c>
      <c r="Z48" s="76" t="s">
        <v>55</v>
      </c>
      <c r="AA48" s="72" t="s">
        <v>36</v>
      </c>
      <c r="AB48" s="43" t="s">
        <v>162</v>
      </c>
      <c r="AR48" s="77"/>
    </row>
    <row r="49" spans="1:44" x14ac:dyDescent="0.15">
      <c r="A49" s="84" t="s">
        <v>23</v>
      </c>
      <c r="B49" s="84" t="s">
        <v>160</v>
      </c>
      <c r="C49" s="84">
        <v>2020</v>
      </c>
      <c r="D49" s="45" t="s">
        <v>161</v>
      </c>
      <c r="E49" s="84" t="s">
        <v>146</v>
      </c>
      <c r="F49" s="84" t="s">
        <v>147</v>
      </c>
      <c r="G49" s="84" t="s">
        <v>25</v>
      </c>
      <c r="H49" s="84" t="s">
        <v>164</v>
      </c>
      <c r="I49" s="84" t="s">
        <v>111</v>
      </c>
      <c r="J49" s="78" t="s">
        <v>27</v>
      </c>
      <c r="K49" s="77" t="s">
        <v>112</v>
      </c>
      <c r="L49" s="84">
        <v>3</v>
      </c>
      <c r="N49" s="7">
        <v>1</v>
      </c>
      <c r="O49" s="7">
        <v>0.85</v>
      </c>
      <c r="P49" s="7">
        <v>0.8</v>
      </c>
      <c r="Q49" s="44">
        <f t="shared" si="0"/>
        <v>0.82499999999999996</v>
      </c>
      <c r="R49" s="67">
        <v>18.600000000000001</v>
      </c>
      <c r="S49" s="67">
        <v>140</v>
      </c>
      <c r="T49" s="16">
        <f t="shared" si="1"/>
        <v>30</v>
      </c>
      <c r="U49" s="71">
        <v>98</v>
      </c>
      <c r="V49" s="16">
        <f t="shared" si="2"/>
        <v>2940</v>
      </c>
      <c r="W49" s="77">
        <v>8</v>
      </c>
      <c r="X49" s="60" t="s">
        <v>35</v>
      </c>
      <c r="Y49" s="72" t="s">
        <v>43</v>
      </c>
      <c r="Z49" s="76" t="s">
        <v>55</v>
      </c>
      <c r="AA49" s="72" t="s">
        <v>36</v>
      </c>
      <c r="AB49" s="43" t="s">
        <v>162</v>
      </c>
      <c r="AR49" s="77"/>
    </row>
    <row r="50" spans="1:44" x14ac:dyDescent="0.15">
      <c r="A50" s="84" t="s">
        <v>23</v>
      </c>
      <c r="B50" s="84" t="s">
        <v>160</v>
      </c>
      <c r="C50" s="84">
        <v>2020</v>
      </c>
      <c r="D50" s="45" t="s">
        <v>161</v>
      </c>
      <c r="E50" s="84" t="s">
        <v>146</v>
      </c>
      <c r="F50" s="84" t="s">
        <v>147</v>
      </c>
      <c r="G50" s="84" t="s">
        <v>25</v>
      </c>
      <c r="H50" s="84" t="s">
        <v>107</v>
      </c>
      <c r="I50" s="84" t="s">
        <v>111</v>
      </c>
      <c r="J50" s="78" t="s">
        <v>66</v>
      </c>
      <c r="K50" s="77" t="s">
        <v>50</v>
      </c>
      <c r="L50" s="84">
        <v>1</v>
      </c>
      <c r="N50" s="7">
        <v>8</v>
      </c>
      <c r="O50" s="7">
        <v>0.7</v>
      </c>
      <c r="P50" s="7">
        <v>0.35</v>
      </c>
      <c r="Q50" s="44">
        <f t="shared" si="0"/>
        <v>0.52499999999999991</v>
      </c>
      <c r="R50" s="7">
        <v>12.8</v>
      </c>
      <c r="S50" s="7">
        <v>87</v>
      </c>
      <c r="T50" s="16">
        <f t="shared" si="1"/>
        <v>36</v>
      </c>
      <c r="U50" s="7">
        <v>398</v>
      </c>
      <c r="V50" s="16">
        <f t="shared" si="2"/>
        <v>1791</v>
      </c>
      <c r="W50" s="77">
        <v>8</v>
      </c>
      <c r="X50" s="60" t="s">
        <v>35</v>
      </c>
      <c r="Y50" s="72" t="s">
        <v>43</v>
      </c>
      <c r="Z50" s="76" t="s">
        <v>55</v>
      </c>
      <c r="AA50" s="72" t="s">
        <v>36</v>
      </c>
      <c r="AB50" s="43" t="s">
        <v>162</v>
      </c>
      <c r="AR50" s="77"/>
    </row>
    <row r="51" spans="1:44" x14ac:dyDescent="0.15">
      <c r="A51" s="84" t="s">
        <v>23</v>
      </c>
      <c r="B51" s="84" t="s">
        <v>160</v>
      </c>
      <c r="C51" s="84">
        <v>2020</v>
      </c>
      <c r="D51" s="45" t="s">
        <v>161</v>
      </c>
      <c r="E51" s="84" t="s">
        <v>146</v>
      </c>
      <c r="F51" s="84" t="s">
        <v>147</v>
      </c>
      <c r="G51" s="84" t="s">
        <v>25</v>
      </c>
      <c r="H51" s="84" t="s">
        <v>107</v>
      </c>
      <c r="I51" s="84" t="s">
        <v>111</v>
      </c>
      <c r="J51" s="78" t="s">
        <v>66</v>
      </c>
      <c r="K51" s="77" t="s">
        <v>50</v>
      </c>
      <c r="L51" s="84">
        <v>2</v>
      </c>
      <c r="N51" s="7">
        <v>8</v>
      </c>
      <c r="O51" s="7">
        <v>0.8</v>
      </c>
      <c r="P51" s="7">
        <v>0.75</v>
      </c>
      <c r="Q51" s="44">
        <f t="shared" si="0"/>
        <v>0.77500000000000002</v>
      </c>
      <c r="R51" s="7">
        <v>12.6</v>
      </c>
      <c r="S51" s="7">
        <v>87</v>
      </c>
      <c r="T51" s="16">
        <f t="shared" si="1"/>
        <v>36</v>
      </c>
      <c r="U51" s="77">
        <v>398</v>
      </c>
      <c r="V51" s="16">
        <f t="shared" si="2"/>
        <v>1791</v>
      </c>
      <c r="W51" s="77">
        <v>8</v>
      </c>
      <c r="X51" s="60" t="s">
        <v>35</v>
      </c>
      <c r="Y51" s="72" t="s">
        <v>43</v>
      </c>
      <c r="Z51" s="76" t="s">
        <v>55</v>
      </c>
      <c r="AA51" s="72" t="s">
        <v>36</v>
      </c>
      <c r="AB51" s="43" t="s">
        <v>162</v>
      </c>
      <c r="AR51" s="77"/>
    </row>
    <row r="52" spans="1:44" x14ac:dyDescent="0.15">
      <c r="A52" s="84" t="s">
        <v>23</v>
      </c>
      <c r="B52" s="84" t="s">
        <v>160</v>
      </c>
      <c r="C52" s="84">
        <v>2020</v>
      </c>
      <c r="D52" s="45" t="s">
        <v>161</v>
      </c>
      <c r="E52" s="84" t="s">
        <v>146</v>
      </c>
      <c r="F52" s="84" t="s">
        <v>147</v>
      </c>
      <c r="G52" s="84" t="s">
        <v>25</v>
      </c>
      <c r="H52" s="84" t="s">
        <v>107</v>
      </c>
      <c r="I52" s="84" t="s">
        <v>111</v>
      </c>
      <c r="J52" s="78" t="s">
        <v>66</v>
      </c>
      <c r="K52" s="77" t="s">
        <v>50</v>
      </c>
      <c r="L52" s="84">
        <v>3</v>
      </c>
      <c r="N52" s="7">
        <v>8</v>
      </c>
      <c r="O52" s="7">
        <v>1.2</v>
      </c>
      <c r="P52" s="7">
        <v>1.1000000000000001</v>
      </c>
      <c r="Q52" s="44">
        <f t="shared" si="0"/>
        <v>1.1499999999999999</v>
      </c>
      <c r="R52" s="7">
        <v>13.9</v>
      </c>
      <c r="S52" s="7">
        <v>90</v>
      </c>
      <c r="T52" s="16">
        <f t="shared" si="1"/>
        <v>36</v>
      </c>
      <c r="U52" s="77">
        <v>398</v>
      </c>
      <c r="V52" s="16">
        <f t="shared" si="2"/>
        <v>1791</v>
      </c>
      <c r="W52" s="77">
        <v>8</v>
      </c>
      <c r="X52" s="60" t="s">
        <v>35</v>
      </c>
      <c r="Y52" s="72" t="s">
        <v>43</v>
      </c>
      <c r="Z52" s="76" t="s">
        <v>55</v>
      </c>
      <c r="AA52" s="72" t="s">
        <v>36</v>
      </c>
      <c r="AB52" s="43" t="s">
        <v>162</v>
      </c>
      <c r="AR52" s="77"/>
    </row>
    <row r="53" spans="1:44" x14ac:dyDescent="0.15">
      <c r="A53" s="84" t="s">
        <v>23</v>
      </c>
      <c r="B53" s="84" t="s">
        <v>160</v>
      </c>
      <c r="C53" s="84">
        <v>2020</v>
      </c>
      <c r="D53" s="45" t="s">
        <v>161</v>
      </c>
      <c r="E53" s="84" t="s">
        <v>167</v>
      </c>
      <c r="F53" s="84" t="s">
        <v>149</v>
      </c>
      <c r="G53" s="84" t="s">
        <v>25</v>
      </c>
      <c r="H53" s="84" t="s">
        <v>164</v>
      </c>
      <c r="I53" s="84" t="s">
        <v>111</v>
      </c>
      <c r="J53" s="78" t="s">
        <v>27</v>
      </c>
      <c r="K53" s="77" t="s">
        <v>112</v>
      </c>
      <c r="L53" s="84">
        <v>1</v>
      </c>
      <c r="N53" s="7">
        <v>1</v>
      </c>
      <c r="O53" s="77">
        <v>0.25</v>
      </c>
      <c r="P53" s="77">
        <v>0.25</v>
      </c>
      <c r="Q53" s="44">
        <f t="shared" si="0"/>
        <v>0.25</v>
      </c>
      <c r="R53" s="7">
        <v>17.5</v>
      </c>
      <c r="S53" s="7">
        <v>129</v>
      </c>
      <c r="T53" s="16">
        <f t="shared" si="1"/>
        <v>30</v>
      </c>
      <c r="U53" s="7">
        <v>138</v>
      </c>
      <c r="V53" s="16">
        <f t="shared" si="2"/>
        <v>4140</v>
      </c>
      <c r="W53" s="7">
        <v>16</v>
      </c>
      <c r="X53" s="60" t="s">
        <v>35</v>
      </c>
      <c r="Y53" s="7" t="s">
        <v>29</v>
      </c>
      <c r="Z53" s="72" t="s">
        <v>43</v>
      </c>
      <c r="AA53" s="7" t="s">
        <v>72</v>
      </c>
      <c r="AB53" s="43" t="s">
        <v>162</v>
      </c>
      <c r="AR53" s="77"/>
    </row>
    <row r="54" spans="1:44" x14ac:dyDescent="0.15">
      <c r="A54" s="84" t="s">
        <v>23</v>
      </c>
      <c r="B54" s="84" t="s">
        <v>160</v>
      </c>
      <c r="C54" s="84">
        <v>2020</v>
      </c>
      <c r="D54" s="45" t="s">
        <v>161</v>
      </c>
      <c r="E54" s="84" t="s">
        <v>167</v>
      </c>
      <c r="F54" s="84" t="s">
        <v>149</v>
      </c>
      <c r="G54" s="84" t="s">
        <v>25</v>
      </c>
      <c r="H54" s="84" t="s">
        <v>164</v>
      </c>
      <c r="I54" s="84" t="s">
        <v>111</v>
      </c>
      <c r="J54" s="78" t="s">
        <v>27</v>
      </c>
      <c r="K54" s="77" t="s">
        <v>112</v>
      </c>
      <c r="L54" s="84">
        <v>2</v>
      </c>
      <c r="N54" s="7">
        <v>1</v>
      </c>
      <c r="O54" s="77">
        <v>0.25</v>
      </c>
      <c r="P54" s="7">
        <v>0.3</v>
      </c>
      <c r="Q54" s="44">
        <f t="shared" si="0"/>
        <v>0.27500000000000002</v>
      </c>
      <c r="R54" s="7">
        <v>16.600000000000001</v>
      </c>
      <c r="S54" s="7">
        <v>126</v>
      </c>
      <c r="T54" s="16">
        <f t="shared" si="1"/>
        <v>30</v>
      </c>
      <c r="U54" s="77">
        <v>138</v>
      </c>
      <c r="V54" s="16">
        <f t="shared" si="2"/>
        <v>4140</v>
      </c>
      <c r="W54" s="77">
        <v>16</v>
      </c>
      <c r="X54" s="60" t="s">
        <v>35</v>
      </c>
      <c r="Y54" s="77" t="s">
        <v>29</v>
      </c>
      <c r="Z54" s="72" t="s">
        <v>43</v>
      </c>
      <c r="AA54" s="77" t="s">
        <v>72</v>
      </c>
      <c r="AB54" s="43" t="s">
        <v>162</v>
      </c>
      <c r="AR54" s="77"/>
    </row>
    <row r="55" spans="1:44" x14ac:dyDescent="0.15">
      <c r="A55" s="84" t="s">
        <v>23</v>
      </c>
      <c r="B55" s="84" t="s">
        <v>160</v>
      </c>
      <c r="C55" s="84">
        <v>2020</v>
      </c>
      <c r="D55" s="45" t="s">
        <v>161</v>
      </c>
      <c r="E55" s="84" t="s">
        <v>167</v>
      </c>
      <c r="F55" s="84" t="s">
        <v>149</v>
      </c>
      <c r="G55" s="84" t="s">
        <v>25</v>
      </c>
      <c r="H55" s="84" t="s">
        <v>164</v>
      </c>
      <c r="I55" s="84" t="s">
        <v>111</v>
      </c>
      <c r="J55" s="78" t="s">
        <v>27</v>
      </c>
      <c r="K55" s="77" t="s">
        <v>112</v>
      </c>
      <c r="L55" s="84">
        <v>3</v>
      </c>
      <c r="N55" s="7">
        <v>1</v>
      </c>
      <c r="O55" s="7">
        <v>0.4</v>
      </c>
      <c r="P55" s="7">
        <v>0.35</v>
      </c>
      <c r="Q55" s="44">
        <f t="shared" si="0"/>
        <v>0.375</v>
      </c>
      <c r="R55" s="7">
        <v>15.8</v>
      </c>
      <c r="S55" s="7">
        <v>130</v>
      </c>
      <c r="T55" s="16">
        <f t="shared" si="1"/>
        <v>30</v>
      </c>
      <c r="U55" s="77">
        <v>138</v>
      </c>
      <c r="V55" s="16">
        <f t="shared" si="2"/>
        <v>4140</v>
      </c>
      <c r="W55" s="77">
        <v>16</v>
      </c>
      <c r="X55" s="60" t="s">
        <v>35</v>
      </c>
      <c r="Y55" s="77" t="s">
        <v>29</v>
      </c>
      <c r="Z55" s="72" t="s">
        <v>43</v>
      </c>
      <c r="AA55" s="77" t="s">
        <v>72</v>
      </c>
      <c r="AB55" s="43" t="s">
        <v>162</v>
      </c>
      <c r="AR55" s="77"/>
    </row>
    <row r="56" spans="1:44" x14ac:dyDescent="0.15">
      <c r="A56" s="84" t="s">
        <v>23</v>
      </c>
      <c r="B56" s="84" t="s">
        <v>160</v>
      </c>
      <c r="C56" s="84">
        <v>2020</v>
      </c>
      <c r="D56" s="45" t="s">
        <v>161</v>
      </c>
      <c r="E56" s="84" t="s">
        <v>167</v>
      </c>
      <c r="F56" s="84" t="s">
        <v>149</v>
      </c>
      <c r="G56" s="84" t="s">
        <v>25</v>
      </c>
      <c r="H56" s="84" t="s">
        <v>164</v>
      </c>
      <c r="I56" s="84" t="s">
        <v>111</v>
      </c>
      <c r="J56" s="78" t="s">
        <v>27</v>
      </c>
      <c r="K56" s="77" t="s">
        <v>112</v>
      </c>
      <c r="L56" s="84">
        <v>1</v>
      </c>
      <c r="N56" s="7">
        <v>8</v>
      </c>
      <c r="O56" s="7">
        <v>0.55000000000000004</v>
      </c>
      <c r="P56" s="7">
        <v>0.65</v>
      </c>
      <c r="Q56" s="44">
        <f t="shared" si="0"/>
        <v>0.60000000000000009</v>
      </c>
      <c r="R56" s="7">
        <v>19.2</v>
      </c>
      <c r="S56" s="7">
        <v>96</v>
      </c>
      <c r="T56" s="16">
        <f t="shared" si="1"/>
        <v>36</v>
      </c>
      <c r="U56" s="7">
        <v>680</v>
      </c>
      <c r="V56" s="16">
        <f t="shared" si="2"/>
        <v>3060</v>
      </c>
      <c r="W56" s="77">
        <v>16</v>
      </c>
      <c r="X56" s="60" t="s">
        <v>35</v>
      </c>
      <c r="Y56" s="77" t="s">
        <v>29</v>
      </c>
      <c r="Z56" s="72" t="s">
        <v>43</v>
      </c>
      <c r="AA56" s="77" t="s">
        <v>72</v>
      </c>
      <c r="AB56" s="43" t="s">
        <v>162</v>
      </c>
      <c r="AR56" s="77"/>
    </row>
    <row r="57" spans="1:44" x14ac:dyDescent="0.15">
      <c r="A57" s="84" t="s">
        <v>23</v>
      </c>
      <c r="B57" s="84" t="s">
        <v>160</v>
      </c>
      <c r="C57" s="84">
        <v>2020</v>
      </c>
      <c r="D57" s="45" t="s">
        <v>161</v>
      </c>
      <c r="E57" s="84" t="s">
        <v>167</v>
      </c>
      <c r="F57" s="84" t="s">
        <v>149</v>
      </c>
      <c r="G57" s="84" t="s">
        <v>25</v>
      </c>
      <c r="H57" s="84" t="s">
        <v>164</v>
      </c>
      <c r="I57" s="84" t="s">
        <v>111</v>
      </c>
      <c r="J57" s="78" t="s">
        <v>27</v>
      </c>
      <c r="K57" s="77" t="s">
        <v>112</v>
      </c>
      <c r="L57" s="84">
        <v>2</v>
      </c>
      <c r="N57" s="7">
        <v>8</v>
      </c>
      <c r="O57" s="7">
        <v>0.85</v>
      </c>
      <c r="P57" s="7">
        <v>0.75</v>
      </c>
      <c r="Q57" s="44">
        <f t="shared" si="0"/>
        <v>0.8</v>
      </c>
      <c r="R57" s="7">
        <v>19.3</v>
      </c>
      <c r="S57" s="7">
        <v>95</v>
      </c>
      <c r="T57" s="16">
        <f t="shared" si="1"/>
        <v>36</v>
      </c>
      <c r="U57" s="77">
        <v>680</v>
      </c>
      <c r="V57" s="16">
        <f t="shared" si="2"/>
        <v>3060</v>
      </c>
      <c r="W57" s="77">
        <v>16</v>
      </c>
      <c r="X57" s="60" t="s">
        <v>35</v>
      </c>
      <c r="Y57" s="77" t="s">
        <v>29</v>
      </c>
      <c r="Z57" s="72" t="s">
        <v>43</v>
      </c>
      <c r="AA57" s="77" t="s">
        <v>72</v>
      </c>
      <c r="AB57" s="43" t="s">
        <v>162</v>
      </c>
      <c r="AR57" s="77"/>
    </row>
    <row r="58" spans="1:44" x14ac:dyDescent="0.15">
      <c r="A58" s="84" t="s">
        <v>23</v>
      </c>
      <c r="B58" s="84" t="s">
        <v>160</v>
      </c>
      <c r="C58" s="84">
        <v>2020</v>
      </c>
      <c r="D58" s="45" t="s">
        <v>161</v>
      </c>
      <c r="E58" s="84" t="s">
        <v>167</v>
      </c>
      <c r="F58" s="84" t="s">
        <v>149</v>
      </c>
      <c r="G58" s="84" t="s">
        <v>25</v>
      </c>
      <c r="H58" s="84" t="s">
        <v>164</v>
      </c>
      <c r="I58" s="84" t="s">
        <v>111</v>
      </c>
      <c r="J58" s="78" t="s">
        <v>27</v>
      </c>
      <c r="K58" s="77" t="s">
        <v>112</v>
      </c>
      <c r="L58" s="84">
        <v>3</v>
      </c>
      <c r="N58" s="7">
        <v>8</v>
      </c>
      <c r="O58" s="7">
        <v>0.4</v>
      </c>
      <c r="P58" s="7">
        <v>0.35</v>
      </c>
      <c r="Q58" s="44">
        <f t="shared" si="0"/>
        <v>0.375</v>
      </c>
      <c r="R58" s="7">
        <v>16.8</v>
      </c>
      <c r="S58" s="7">
        <v>91</v>
      </c>
      <c r="T58" s="16">
        <f t="shared" si="1"/>
        <v>36</v>
      </c>
      <c r="U58" s="77">
        <v>680</v>
      </c>
      <c r="V58" s="16">
        <f t="shared" si="2"/>
        <v>3060</v>
      </c>
      <c r="W58" s="77">
        <v>16</v>
      </c>
      <c r="X58" s="60" t="s">
        <v>35</v>
      </c>
      <c r="Y58" s="77" t="s">
        <v>29</v>
      </c>
      <c r="Z58" s="72" t="s">
        <v>43</v>
      </c>
      <c r="AA58" s="77" t="s">
        <v>72</v>
      </c>
      <c r="AB58" s="43" t="s">
        <v>162</v>
      </c>
      <c r="AR58" s="77"/>
    </row>
    <row r="59" spans="1:44" x14ac:dyDescent="0.15">
      <c r="A59" s="84" t="s">
        <v>23</v>
      </c>
      <c r="B59" s="84" t="s">
        <v>160</v>
      </c>
      <c r="C59" s="84">
        <v>2020</v>
      </c>
      <c r="D59" s="45" t="s">
        <v>161</v>
      </c>
      <c r="E59" s="84" t="s">
        <v>168</v>
      </c>
      <c r="F59" s="84" t="s">
        <v>147</v>
      </c>
      <c r="G59" s="84" t="s">
        <v>25</v>
      </c>
      <c r="H59" s="84" t="s">
        <v>113</v>
      </c>
      <c r="I59" s="84" t="s">
        <v>111</v>
      </c>
      <c r="J59" s="78" t="s">
        <v>27</v>
      </c>
      <c r="K59" s="77" t="s">
        <v>112</v>
      </c>
      <c r="L59" s="84">
        <v>1</v>
      </c>
      <c r="N59" s="7">
        <v>5</v>
      </c>
      <c r="O59" s="7">
        <v>0.4</v>
      </c>
      <c r="P59" s="7">
        <v>0.4</v>
      </c>
      <c r="Q59" s="44">
        <f t="shared" si="0"/>
        <v>0.4</v>
      </c>
      <c r="R59" s="7">
        <v>18.2</v>
      </c>
      <c r="S59" s="7">
        <v>102</v>
      </c>
      <c r="T59" s="16">
        <f t="shared" si="1"/>
        <v>33</v>
      </c>
      <c r="U59" s="7">
        <v>398</v>
      </c>
      <c r="V59" s="16">
        <f t="shared" si="2"/>
        <v>2626.7999999999997</v>
      </c>
      <c r="W59" s="7">
        <v>24</v>
      </c>
      <c r="X59" s="60" t="s">
        <v>35</v>
      </c>
      <c r="Y59" s="72" t="s">
        <v>43</v>
      </c>
      <c r="Z59" s="77" t="s">
        <v>76</v>
      </c>
      <c r="AA59" s="77" t="s">
        <v>55</v>
      </c>
      <c r="AB59" s="43" t="s">
        <v>162</v>
      </c>
      <c r="AR59" s="77"/>
    </row>
    <row r="60" spans="1:44" x14ac:dyDescent="0.15">
      <c r="A60" s="84" t="s">
        <v>23</v>
      </c>
      <c r="B60" s="84" t="s">
        <v>160</v>
      </c>
      <c r="C60" s="84">
        <v>2020</v>
      </c>
      <c r="D60" s="45" t="s">
        <v>161</v>
      </c>
      <c r="E60" s="84" t="s">
        <v>168</v>
      </c>
      <c r="F60" s="84" t="s">
        <v>147</v>
      </c>
      <c r="G60" s="84" t="s">
        <v>25</v>
      </c>
      <c r="H60" s="84" t="s">
        <v>113</v>
      </c>
      <c r="I60" s="84" t="s">
        <v>111</v>
      </c>
      <c r="J60" s="78" t="s">
        <v>27</v>
      </c>
      <c r="K60" s="77" t="s">
        <v>112</v>
      </c>
      <c r="L60" s="84">
        <v>2</v>
      </c>
      <c r="N60" s="7">
        <v>5</v>
      </c>
      <c r="O60" s="7">
        <v>0.45</v>
      </c>
      <c r="P60" s="7">
        <v>0.55000000000000004</v>
      </c>
      <c r="Q60" s="44">
        <f t="shared" si="0"/>
        <v>0.5</v>
      </c>
      <c r="R60" s="7">
        <v>18.600000000000001</v>
      </c>
      <c r="S60" s="7">
        <v>104</v>
      </c>
      <c r="T60" s="16">
        <f t="shared" si="1"/>
        <v>33</v>
      </c>
      <c r="U60" s="77">
        <v>398</v>
      </c>
      <c r="V60" s="16">
        <f t="shared" si="2"/>
        <v>2626.7999999999997</v>
      </c>
      <c r="W60" s="77">
        <v>24</v>
      </c>
      <c r="X60" s="60" t="s">
        <v>35</v>
      </c>
      <c r="Y60" s="72" t="s">
        <v>43</v>
      </c>
      <c r="Z60" s="77" t="s">
        <v>76</v>
      </c>
      <c r="AA60" s="77" t="s">
        <v>55</v>
      </c>
      <c r="AB60" s="43" t="s">
        <v>162</v>
      </c>
      <c r="AR60" s="77"/>
    </row>
    <row r="61" spans="1:44" x14ac:dyDescent="0.15">
      <c r="A61" s="84" t="s">
        <v>23</v>
      </c>
      <c r="B61" s="84" t="s">
        <v>160</v>
      </c>
      <c r="C61" s="84">
        <v>2020</v>
      </c>
      <c r="D61" s="45" t="s">
        <v>161</v>
      </c>
      <c r="E61" s="84" t="s">
        <v>168</v>
      </c>
      <c r="F61" s="84" t="s">
        <v>147</v>
      </c>
      <c r="G61" s="84" t="s">
        <v>25</v>
      </c>
      <c r="H61" s="84" t="s">
        <v>113</v>
      </c>
      <c r="I61" s="84" t="s">
        <v>111</v>
      </c>
      <c r="J61" s="78" t="s">
        <v>27</v>
      </c>
      <c r="K61" s="77" t="s">
        <v>112</v>
      </c>
      <c r="L61" s="84">
        <v>3</v>
      </c>
      <c r="N61" s="7">
        <v>5</v>
      </c>
      <c r="O61" s="7">
        <v>0.2</v>
      </c>
      <c r="P61" s="7">
        <v>0.25</v>
      </c>
      <c r="Q61" s="44">
        <f t="shared" si="0"/>
        <v>0.22500000000000001</v>
      </c>
      <c r="R61" s="7">
        <v>17.7</v>
      </c>
      <c r="S61" s="7">
        <v>93</v>
      </c>
      <c r="T61" s="16">
        <f t="shared" si="1"/>
        <v>36</v>
      </c>
      <c r="U61" s="77">
        <v>398</v>
      </c>
      <c r="V61" s="16">
        <f t="shared" si="2"/>
        <v>2865.6</v>
      </c>
      <c r="W61" s="77">
        <v>24</v>
      </c>
      <c r="X61" s="60" t="s">
        <v>35</v>
      </c>
      <c r="Y61" s="72" t="s">
        <v>43</v>
      </c>
      <c r="Z61" s="77" t="s">
        <v>76</v>
      </c>
      <c r="AA61" s="77" t="s">
        <v>55</v>
      </c>
      <c r="AB61" s="43" t="s">
        <v>162</v>
      </c>
      <c r="AR61" s="77"/>
    </row>
    <row r="62" spans="1:44" x14ac:dyDescent="0.15">
      <c r="A62" s="84" t="s">
        <v>23</v>
      </c>
      <c r="B62" s="84" t="s">
        <v>160</v>
      </c>
      <c r="C62" s="84">
        <v>2020</v>
      </c>
      <c r="D62" s="45" t="s">
        <v>161</v>
      </c>
      <c r="E62" s="84" t="s">
        <v>168</v>
      </c>
      <c r="F62" s="84" t="s">
        <v>147</v>
      </c>
      <c r="G62" s="84" t="s">
        <v>25</v>
      </c>
      <c r="H62" s="84" t="s">
        <v>113</v>
      </c>
      <c r="I62" s="84" t="s">
        <v>111</v>
      </c>
      <c r="J62" s="78" t="s">
        <v>27</v>
      </c>
      <c r="K62" s="77" t="s">
        <v>112</v>
      </c>
      <c r="L62" s="84">
        <v>1</v>
      </c>
      <c r="N62" s="7">
        <v>8</v>
      </c>
      <c r="O62" s="7">
        <v>0.6</v>
      </c>
      <c r="P62" s="7">
        <v>0.55000000000000004</v>
      </c>
      <c r="Q62" s="44">
        <f t="shared" si="0"/>
        <v>0.57499999999999996</v>
      </c>
      <c r="R62" s="7">
        <v>14.2</v>
      </c>
      <c r="S62" s="7">
        <v>100</v>
      </c>
      <c r="T62" s="16">
        <f t="shared" si="1"/>
        <v>33</v>
      </c>
      <c r="U62" s="7">
        <v>498</v>
      </c>
      <c r="V62" s="16">
        <f t="shared" si="2"/>
        <v>2054.25</v>
      </c>
      <c r="W62" s="77">
        <v>24</v>
      </c>
      <c r="X62" s="60" t="s">
        <v>35</v>
      </c>
      <c r="Y62" s="72" t="s">
        <v>43</v>
      </c>
      <c r="Z62" s="77" t="s">
        <v>76</v>
      </c>
      <c r="AA62" s="77" t="s">
        <v>55</v>
      </c>
      <c r="AB62" s="43" t="s">
        <v>162</v>
      </c>
      <c r="AR62" s="77"/>
    </row>
    <row r="63" spans="1:44" x14ac:dyDescent="0.15">
      <c r="A63" s="84" t="s">
        <v>23</v>
      </c>
      <c r="B63" s="84" t="s">
        <v>160</v>
      </c>
      <c r="C63" s="84">
        <v>2020</v>
      </c>
      <c r="D63" s="45" t="s">
        <v>161</v>
      </c>
      <c r="E63" s="84" t="s">
        <v>168</v>
      </c>
      <c r="F63" s="84" t="s">
        <v>147</v>
      </c>
      <c r="G63" s="84" t="s">
        <v>25</v>
      </c>
      <c r="H63" s="84" t="s">
        <v>113</v>
      </c>
      <c r="I63" s="84" t="s">
        <v>111</v>
      </c>
      <c r="J63" s="78" t="s">
        <v>27</v>
      </c>
      <c r="K63" s="77" t="s">
        <v>112</v>
      </c>
      <c r="L63" s="84">
        <v>2</v>
      </c>
      <c r="N63" s="7">
        <v>8</v>
      </c>
      <c r="O63" s="7">
        <v>0.45</v>
      </c>
      <c r="P63" s="7">
        <v>0.75</v>
      </c>
      <c r="Q63" s="44">
        <f t="shared" si="0"/>
        <v>0.6</v>
      </c>
      <c r="R63" s="7">
        <v>15.6</v>
      </c>
      <c r="S63" s="7">
        <v>92</v>
      </c>
      <c r="T63" s="16">
        <f t="shared" si="1"/>
        <v>36</v>
      </c>
      <c r="U63" s="77">
        <v>498</v>
      </c>
      <c r="V63" s="16">
        <f t="shared" si="2"/>
        <v>2241</v>
      </c>
      <c r="W63" s="77">
        <v>24</v>
      </c>
      <c r="X63" s="60" t="s">
        <v>35</v>
      </c>
      <c r="Y63" s="72" t="s">
        <v>43</v>
      </c>
      <c r="Z63" s="77" t="s">
        <v>76</v>
      </c>
      <c r="AA63" s="77" t="s">
        <v>55</v>
      </c>
      <c r="AB63" s="43" t="s">
        <v>162</v>
      </c>
      <c r="AR63" s="77"/>
    </row>
    <row r="64" spans="1:44" x14ac:dyDescent="0.15">
      <c r="A64" s="84" t="s">
        <v>23</v>
      </c>
      <c r="B64" s="84" t="s">
        <v>160</v>
      </c>
      <c r="C64" s="84">
        <v>2020</v>
      </c>
      <c r="D64" s="45" t="s">
        <v>161</v>
      </c>
      <c r="E64" s="84" t="s">
        <v>168</v>
      </c>
      <c r="F64" s="84" t="s">
        <v>147</v>
      </c>
      <c r="G64" s="84" t="s">
        <v>25</v>
      </c>
      <c r="H64" s="84" t="s">
        <v>113</v>
      </c>
      <c r="I64" s="84" t="s">
        <v>111</v>
      </c>
      <c r="J64" s="78" t="s">
        <v>27</v>
      </c>
      <c r="K64" s="77" t="s">
        <v>112</v>
      </c>
      <c r="L64" s="84">
        <v>3</v>
      </c>
      <c r="N64" s="7">
        <v>8</v>
      </c>
      <c r="O64" s="7">
        <v>0.6</v>
      </c>
      <c r="P64" s="7">
        <v>0.5</v>
      </c>
      <c r="Q64" s="44">
        <f t="shared" si="0"/>
        <v>0.55000000000000004</v>
      </c>
      <c r="R64" s="7">
        <v>14.4</v>
      </c>
      <c r="S64" s="7">
        <v>95</v>
      </c>
      <c r="T64" s="16">
        <f t="shared" si="1"/>
        <v>36</v>
      </c>
      <c r="U64" s="77">
        <v>498</v>
      </c>
      <c r="V64" s="16">
        <f t="shared" si="2"/>
        <v>2241</v>
      </c>
      <c r="W64" s="77">
        <v>24</v>
      </c>
      <c r="X64" s="60" t="s">
        <v>35</v>
      </c>
      <c r="Y64" s="72" t="s">
        <v>43</v>
      </c>
      <c r="Z64" s="77" t="s">
        <v>76</v>
      </c>
      <c r="AA64" s="77" t="s">
        <v>55</v>
      </c>
      <c r="AB64" s="43" t="s">
        <v>162</v>
      </c>
      <c r="AR64" s="77"/>
    </row>
    <row r="65" spans="1:44" x14ac:dyDescent="0.15">
      <c r="A65" s="84" t="s">
        <v>23</v>
      </c>
      <c r="B65" s="84" t="s">
        <v>160</v>
      </c>
      <c r="C65" s="84">
        <v>2020</v>
      </c>
      <c r="D65" s="45" t="s">
        <v>161</v>
      </c>
      <c r="E65" s="84" t="s">
        <v>168</v>
      </c>
      <c r="F65" s="84" t="s">
        <v>147</v>
      </c>
      <c r="G65" s="84" t="s">
        <v>25</v>
      </c>
      <c r="H65" s="84" t="s">
        <v>164</v>
      </c>
      <c r="I65" s="84" t="s">
        <v>111</v>
      </c>
      <c r="J65" s="78" t="s">
        <v>27</v>
      </c>
      <c r="K65" s="77" t="s">
        <v>112</v>
      </c>
      <c r="L65" s="84">
        <v>1</v>
      </c>
      <c r="N65" s="7">
        <v>1</v>
      </c>
      <c r="O65" s="7">
        <v>0.45</v>
      </c>
      <c r="P65" s="7">
        <v>0.45</v>
      </c>
      <c r="Q65" s="44">
        <f t="shared" si="0"/>
        <v>0.45</v>
      </c>
      <c r="R65" s="7">
        <v>16.3</v>
      </c>
      <c r="S65" s="7">
        <v>120</v>
      </c>
      <c r="T65" s="16">
        <f t="shared" si="1"/>
        <v>30</v>
      </c>
      <c r="U65" s="7">
        <v>98</v>
      </c>
      <c r="V65" s="16">
        <f t="shared" si="2"/>
        <v>2940</v>
      </c>
      <c r="W65" s="77">
        <v>24</v>
      </c>
      <c r="X65" s="60" t="s">
        <v>35</v>
      </c>
      <c r="Y65" s="72" t="s">
        <v>43</v>
      </c>
      <c r="Z65" s="77" t="s">
        <v>76</v>
      </c>
      <c r="AA65" s="77" t="s">
        <v>55</v>
      </c>
      <c r="AB65" s="43" t="s">
        <v>162</v>
      </c>
      <c r="AR65" s="77"/>
    </row>
    <row r="66" spans="1:44" x14ac:dyDescent="0.15">
      <c r="A66" s="84" t="s">
        <v>23</v>
      </c>
      <c r="B66" s="84" t="s">
        <v>160</v>
      </c>
      <c r="C66" s="84">
        <v>2020</v>
      </c>
      <c r="D66" s="45" t="s">
        <v>161</v>
      </c>
      <c r="E66" s="84" t="s">
        <v>168</v>
      </c>
      <c r="F66" s="84" t="s">
        <v>147</v>
      </c>
      <c r="G66" s="84" t="s">
        <v>25</v>
      </c>
      <c r="H66" s="84" t="s">
        <v>164</v>
      </c>
      <c r="I66" s="84" t="s">
        <v>111</v>
      </c>
      <c r="J66" s="78" t="s">
        <v>27</v>
      </c>
      <c r="K66" s="77" t="s">
        <v>112</v>
      </c>
      <c r="L66" s="84">
        <v>2</v>
      </c>
      <c r="N66" s="7">
        <v>1</v>
      </c>
      <c r="O66" s="7">
        <v>0.5</v>
      </c>
      <c r="P66" s="7">
        <v>0.45</v>
      </c>
      <c r="Q66" s="44">
        <f t="shared" ref="Q66:Q129" si="3">IF(OR(O66="",P66=""),"",AVERAGE(O66,P66))</f>
        <v>0.47499999999999998</v>
      </c>
      <c r="R66" s="7">
        <v>16.7</v>
      </c>
      <c r="S66" s="7">
        <v>130</v>
      </c>
      <c r="T66" s="16">
        <f t="shared" ref="T66:T129" si="4">IF(H66="","",IF(OR(H66="GREEN",H66="GK"),IF(S66&gt;=$AX$2,VLOOKUP(S66,$AX$2:$AY$7,2,1),""),IF(S66&gt;=$AZ$2,VLOOKUP(S66,$AZ$2:$BA$7,2,1),"")))</f>
        <v>30</v>
      </c>
      <c r="U66" s="77">
        <v>98</v>
      </c>
      <c r="V66" s="16">
        <f t="shared" ref="V66:V129" si="5">IF(OR(N66="",U66="",T66=""),"",U66/N66*T66)</f>
        <v>2940</v>
      </c>
      <c r="W66" s="77">
        <v>24</v>
      </c>
      <c r="X66" s="60" t="s">
        <v>35</v>
      </c>
      <c r="Y66" s="72" t="s">
        <v>43</v>
      </c>
      <c r="Z66" s="77" t="s">
        <v>76</v>
      </c>
      <c r="AA66" s="77" t="s">
        <v>55</v>
      </c>
      <c r="AB66" s="43" t="s">
        <v>162</v>
      </c>
    </row>
    <row r="67" spans="1:44" x14ac:dyDescent="0.15">
      <c r="A67" s="84" t="s">
        <v>23</v>
      </c>
      <c r="B67" s="84" t="s">
        <v>160</v>
      </c>
      <c r="C67" s="84">
        <v>2020</v>
      </c>
      <c r="D67" s="45" t="s">
        <v>161</v>
      </c>
      <c r="E67" s="84" t="s">
        <v>168</v>
      </c>
      <c r="F67" s="84" t="s">
        <v>147</v>
      </c>
      <c r="G67" s="84" t="s">
        <v>25</v>
      </c>
      <c r="H67" s="84" t="s">
        <v>164</v>
      </c>
      <c r="I67" s="84" t="s">
        <v>111</v>
      </c>
      <c r="J67" s="78" t="s">
        <v>27</v>
      </c>
      <c r="K67" s="77" t="s">
        <v>112</v>
      </c>
      <c r="L67" s="84">
        <v>3</v>
      </c>
      <c r="N67" s="7">
        <v>1</v>
      </c>
      <c r="O67" s="7">
        <v>0.45</v>
      </c>
      <c r="P67" s="7">
        <v>0.35</v>
      </c>
      <c r="Q67" s="44">
        <f t="shared" si="3"/>
        <v>0.4</v>
      </c>
      <c r="R67" s="7">
        <v>17.7</v>
      </c>
      <c r="S67" s="7">
        <v>121</v>
      </c>
      <c r="T67" s="16">
        <f t="shared" si="4"/>
        <v>30</v>
      </c>
      <c r="U67" s="77">
        <v>98</v>
      </c>
      <c r="V67" s="16">
        <f t="shared" si="5"/>
        <v>2940</v>
      </c>
      <c r="W67" s="77">
        <v>24</v>
      </c>
      <c r="X67" s="60" t="s">
        <v>35</v>
      </c>
      <c r="Y67" s="72" t="s">
        <v>43</v>
      </c>
      <c r="Z67" s="77" t="s">
        <v>76</v>
      </c>
      <c r="AA67" s="77" t="s">
        <v>55</v>
      </c>
      <c r="AB67" s="43" t="s">
        <v>162</v>
      </c>
    </row>
    <row r="68" spans="1:44" x14ac:dyDescent="0.15">
      <c r="A68" s="84" t="s">
        <v>23</v>
      </c>
      <c r="B68" s="84" t="s">
        <v>160</v>
      </c>
      <c r="C68" s="84">
        <v>2020</v>
      </c>
      <c r="D68" s="45" t="s">
        <v>161</v>
      </c>
      <c r="E68" s="84" t="s">
        <v>168</v>
      </c>
      <c r="F68" s="84" t="s">
        <v>147</v>
      </c>
      <c r="G68" s="84" t="s">
        <v>25</v>
      </c>
      <c r="H68" s="84" t="s">
        <v>164</v>
      </c>
      <c r="I68" s="84" t="s">
        <v>111</v>
      </c>
      <c r="J68" s="78" t="s">
        <v>27</v>
      </c>
      <c r="K68" s="77" t="s">
        <v>112</v>
      </c>
      <c r="L68" s="84">
        <v>1</v>
      </c>
      <c r="N68" s="7">
        <v>4</v>
      </c>
      <c r="O68" s="7">
        <v>0.6</v>
      </c>
      <c r="P68" s="7">
        <v>0.65</v>
      </c>
      <c r="Q68" s="44">
        <f t="shared" si="3"/>
        <v>0.625</v>
      </c>
      <c r="R68" s="7">
        <v>14.4</v>
      </c>
      <c r="S68" s="7">
        <v>100</v>
      </c>
      <c r="T68" s="16">
        <f t="shared" si="4"/>
        <v>33</v>
      </c>
      <c r="U68" s="7">
        <v>398</v>
      </c>
      <c r="V68" s="16">
        <f t="shared" si="5"/>
        <v>3283.5</v>
      </c>
      <c r="W68" s="77">
        <v>24</v>
      </c>
      <c r="X68" s="60" t="s">
        <v>35</v>
      </c>
      <c r="Y68" s="72" t="s">
        <v>43</v>
      </c>
      <c r="Z68" s="77" t="s">
        <v>76</v>
      </c>
      <c r="AA68" s="77" t="s">
        <v>55</v>
      </c>
      <c r="AB68" s="43" t="s">
        <v>162</v>
      </c>
    </row>
    <row r="69" spans="1:44" x14ac:dyDescent="0.15">
      <c r="A69" s="84" t="s">
        <v>23</v>
      </c>
      <c r="B69" s="84" t="s">
        <v>160</v>
      </c>
      <c r="C69" s="84">
        <v>2020</v>
      </c>
      <c r="D69" s="45" t="s">
        <v>161</v>
      </c>
      <c r="E69" s="84" t="s">
        <v>168</v>
      </c>
      <c r="F69" s="84" t="s">
        <v>147</v>
      </c>
      <c r="G69" s="84" t="s">
        <v>25</v>
      </c>
      <c r="H69" s="84" t="s">
        <v>164</v>
      </c>
      <c r="I69" s="84" t="s">
        <v>111</v>
      </c>
      <c r="J69" s="78" t="s">
        <v>27</v>
      </c>
      <c r="K69" s="77" t="s">
        <v>112</v>
      </c>
      <c r="L69" s="84">
        <v>2</v>
      </c>
      <c r="N69" s="7">
        <v>4</v>
      </c>
      <c r="O69" s="7">
        <v>0.65</v>
      </c>
      <c r="P69" s="7">
        <v>0.7</v>
      </c>
      <c r="Q69" s="44">
        <f t="shared" si="3"/>
        <v>0.67500000000000004</v>
      </c>
      <c r="R69" s="7">
        <v>14.5</v>
      </c>
      <c r="S69" s="7">
        <v>100</v>
      </c>
      <c r="T69" s="16">
        <f t="shared" si="4"/>
        <v>33</v>
      </c>
      <c r="U69" s="77">
        <v>398</v>
      </c>
      <c r="V69" s="16">
        <f t="shared" si="5"/>
        <v>3283.5</v>
      </c>
      <c r="W69" s="77">
        <v>24</v>
      </c>
      <c r="X69" s="60" t="s">
        <v>35</v>
      </c>
      <c r="Y69" s="72" t="s">
        <v>43</v>
      </c>
      <c r="Z69" s="77" t="s">
        <v>76</v>
      </c>
      <c r="AA69" s="77" t="s">
        <v>55</v>
      </c>
      <c r="AB69" s="43" t="s">
        <v>162</v>
      </c>
    </row>
    <row r="70" spans="1:44" x14ac:dyDescent="0.15">
      <c r="A70" s="84" t="s">
        <v>23</v>
      </c>
      <c r="B70" s="84" t="s">
        <v>160</v>
      </c>
      <c r="C70" s="84">
        <v>2020</v>
      </c>
      <c r="D70" s="45" t="s">
        <v>161</v>
      </c>
      <c r="E70" s="84" t="s">
        <v>168</v>
      </c>
      <c r="F70" s="84" t="s">
        <v>147</v>
      </c>
      <c r="G70" s="84" t="s">
        <v>25</v>
      </c>
      <c r="H70" s="84" t="s">
        <v>164</v>
      </c>
      <c r="I70" s="84" t="s">
        <v>111</v>
      </c>
      <c r="J70" s="78" t="s">
        <v>27</v>
      </c>
      <c r="K70" s="77" t="s">
        <v>112</v>
      </c>
      <c r="L70" s="84">
        <v>3</v>
      </c>
      <c r="N70" s="7">
        <v>4</v>
      </c>
      <c r="O70" s="7">
        <v>0.65</v>
      </c>
      <c r="P70" s="7">
        <v>0.35</v>
      </c>
      <c r="Q70" s="44">
        <f t="shared" si="3"/>
        <v>0.5</v>
      </c>
      <c r="R70" s="7">
        <v>15.5</v>
      </c>
      <c r="S70" s="7">
        <v>93</v>
      </c>
      <c r="T70" s="16">
        <f t="shared" si="4"/>
        <v>36</v>
      </c>
      <c r="U70" s="77">
        <v>398</v>
      </c>
      <c r="V70" s="16">
        <f t="shared" si="5"/>
        <v>3582</v>
      </c>
      <c r="W70" s="77">
        <v>24</v>
      </c>
      <c r="X70" s="60" t="s">
        <v>35</v>
      </c>
      <c r="Y70" s="72" t="s">
        <v>43</v>
      </c>
      <c r="Z70" s="77" t="s">
        <v>76</v>
      </c>
      <c r="AA70" s="77" t="s">
        <v>55</v>
      </c>
      <c r="AB70" s="43" t="s">
        <v>162</v>
      </c>
    </row>
    <row r="71" spans="1:44" x14ac:dyDescent="0.15">
      <c r="A71" s="84" t="s">
        <v>23</v>
      </c>
      <c r="B71" s="84" t="s">
        <v>160</v>
      </c>
      <c r="C71" s="84">
        <v>2020</v>
      </c>
      <c r="D71" s="45" t="s">
        <v>161</v>
      </c>
      <c r="E71" s="84" t="s">
        <v>168</v>
      </c>
      <c r="F71" s="84" t="s">
        <v>147</v>
      </c>
      <c r="G71" s="84" t="s">
        <v>25</v>
      </c>
      <c r="H71" s="84" t="s">
        <v>164</v>
      </c>
      <c r="I71" s="84" t="s">
        <v>111</v>
      </c>
      <c r="J71" s="78" t="s">
        <v>27</v>
      </c>
      <c r="K71" s="77" t="s">
        <v>112</v>
      </c>
      <c r="L71" s="84">
        <v>1</v>
      </c>
      <c r="N71" s="7">
        <v>1</v>
      </c>
      <c r="O71" s="7">
        <v>0.35</v>
      </c>
      <c r="P71" s="7">
        <v>0.35</v>
      </c>
      <c r="Q71" s="44">
        <f t="shared" si="3"/>
        <v>0.35</v>
      </c>
      <c r="R71" s="7">
        <v>20.100000000000001</v>
      </c>
      <c r="S71" s="7">
        <v>204</v>
      </c>
      <c r="T71" s="16">
        <f t="shared" si="4"/>
        <v>30</v>
      </c>
      <c r="U71" s="7">
        <v>298</v>
      </c>
      <c r="V71" s="16">
        <f t="shared" si="5"/>
        <v>8940</v>
      </c>
      <c r="W71" s="77">
        <v>24</v>
      </c>
      <c r="X71" s="60" t="s">
        <v>35</v>
      </c>
      <c r="Y71" s="72" t="s">
        <v>43</v>
      </c>
      <c r="Z71" s="77" t="s">
        <v>76</v>
      </c>
      <c r="AA71" s="77" t="s">
        <v>55</v>
      </c>
      <c r="AB71" s="43" t="s">
        <v>162</v>
      </c>
    </row>
    <row r="72" spans="1:44" x14ac:dyDescent="0.15">
      <c r="A72" s="84" t="s">
        <v>23</v>
      </c>
      <c r="B72" s="84" t="s">
        <v>160</v>
      </c>
      <c r="C72" s="84">
        <v>2020</v>
      </c>
      <c r="D72" s="45" t="s">
        <v>161</v>
      </c>
      <c r="E72" s="84" t="s">
        <v>168</v>
      </c>
      <c r="F72" s="84" t="s">
        <v>147</v>
      </c>
      <c r="G72" s="84" t="s">
        <v>25</v>
      </c>
      <c r="H72" s="84" t="s">
        <v>164</v>
      </c>
      <c r="I72" s="84" t="s">
        <v>111</v>
      </c>
      <c r="J72" s="78" t="s">
        <v>27</v>
      </c>
      <c r="K72" s="77" t="s">
        <v>112</v>
      </c>
      <c r="L72" s="84">
        <v>2</v>
      </c>
      <c r="N72" s="7">
        <v>1</v>
      </c>
      <c r="O72" s="7">
        <v>0.6</v>
      </c>
      <c r="P72" s="7">
        <v>0.6</v>
      </c>
      <c r="Q72" s="44">
        <f t="shared" si="3"/>
        <v>0.6</v>
      </c>
      <c r="R72" s="7">
        <v>18.600000000000001</v>
      </c>
      <c r="S72" s="7">
        <v>189</v>
      </c>
      <c r="T72" s="16">
        <f t="shared" si="4"/>
        <v>30</v>
      </c>
      <c r="U72" s="77">
        <v>298</v>
      </c>
      <c r="V72" s="16">
        <f t="shared" si="5"/>
        <v>8940</v>
      </c>
      <c r="W72" s="77">
        <v>24</v>
      </c>
      <c r="X72" s="60" t="s">
        <v>35</v>
      </c>
      <c r="Y72" s="72" t="s">
        <v>43</v>
      </c>
      <c r="Z72" s="77" t="s">
        <v>76</v>
      </c>
      <c r="AA72" s="77" t="s">
        <v>55</v>
      </c>
      <c r="AB72" s="43" t="s">
        <v>162</v>
      </c>
    </row>
    <row r="73" spans="1:44" x14ac:dyDescent="0.15">
      <c r="A73" s="84" t="s">
        <v>23</v>
      </c>
      <c r="B73" s="84" t="s">
        <v>160</v>
      </c>
      <c r="C73" s="84">
        <v>2020</v>
      </c>
      <c r="D73" s="45" t="s">
        <v>161</v>
      </c>
      <c r="E73" s="84" t="s">
        <v>168</v>
      </c>
      <c r="F73" s="84" t="s">
        <v>147</v>
      </c>
      <c r="G73" s="84" t="s">
        <v>25</v>
      </c>
      <c r="H73" s="84" t="s">
        <v>164</v>
      </c>
      <c r="I73" s="84" t="s">
        <v>111</v>
      </c>
      <c r="J73" s="78" t="s">
        <v>27</v>
      </c>
      <c r="K73" s="77" t="s">
        <v>112</v>
      </c>
      <c r="L73" s="84">
        <v>3</v>
      </c>
      <c r="N73" s="7">
        <v>1</v>
      </c>
      <c r="O73" s="7">
        <v>0.4</v>
      </c>
      <c r="P73" s="7">
        <v>0.45</v>
      </c>
      <c r="Q73" s="44">
        <f t="shared" si="3"/>
        <v>0.42500000000000004</v>
      </c>
      <c r="R73" s="7">
        <v>19.399999999999999</v>
      </c>
      <c r="S73" s="7">
        <v>190</v>
      </c>
      <c r="T73" s="16">
        <f t="shared" si="4"/>
        <v>30</v>
      </c>
      <c r="U73" s="77">
        <v>298</v>
      </c>
      <c r="V73" s="16">
        <f t="shared" si="5"/>
        <v>8940</v>
      </c>
      <c r="W73" s="77">
        <v>24</v>
      </c>
      <c r="X73" s="60" t="s">
        <v>35</v>
      </c>
      <c r="Y73" s="72" t="s">
        <v>43</v>
      </c>
      <c r="Z73" s="77" t="s">
        <v>76</v>
      </c>
      <c r="AA73" s="77" t="s">
        <v>55</v>
      </c>
      <c r="AB73" s="43" t="s">
        <v>162</v>
      </c>
    </row>
    <row r="74" spans="1:44" x14ac:dyDescent="0.15">
      <c r="A74" s="84" t="s">
        <v>23</v>
      </c>
      <c r="B74" s="84" t="s">
        <v>160</v>
      </c>
      <c r="C74" s="84">
        <v>2020</v>
      </c>
      <c r="D74" s="45" t="s">
        <v>161</v>
      </c>
      <c r="E74" s="84" t="s">
        <v>168</v>
      </c>
      <c r="F74" s="84" t="s">
        <v>147</v>
      </c>
      <c r="G74" s="84" t="s">
        <v>25</v>
      </c>
      <c r="H74" s="84" t="s">
        <v>164</v>
      </c>
      <c r="I74" s="84" t="s">
        <v>111</v>
      </c>
      <c r="J74" s="78" t="s">
        <v>27</v>
      </c>
      <c r="K74" s="78" t="s">
        <v>112</v>
      </c>
      <c r="L74" s="84">
        <v>1</v>
      </c>
      <c r="M74" s="78"/>
      <c r="N74" s="78">
        <v>8</v>
      </c>
      <c r="O74" s="7">
        <v>0.6</v>
      </c>
      <c r="P74" s="7">
        <v>0.65</v>
      </c>
      <c r="Q74" s="44">
        <f t="shared" si="3"/>
        <v>0.625</v>
      </c>
      <c r="R74" s="7">
        <v>16.8</v>
      </c>
      <c r="S74" s="7">
        <v>106</v>
      </c>
      <c r="T74" s="16">
        <f t="shared" si="4"/>
        <v>33</v>
      </c>
      <c r="U74" s="7">
        <v>798</v>
      </c>
      <c r="V74" s="16">
        <f t="shared" si="5"/>
        <v>3291.75</v>
      </c>
      <c r="W74" s="77">
        <v>24</v>
      </c>
      <c r="X74" s="60" t="s">
        <v>35</v>
      </c>
      <c r="Y74" s="72" t="s">
        <v>43</v>
      </c>
      <c r="Z74" s="77" t="s">
        <v>76</v>
      </c>
      <c r="AA74" s="77" t="s">
        <v>55</v>
      </c>
      <c r="AB74" s="43" t="s">
        <v>162</v>
      </c>
    </row>
    <row r="75" spans="1:44" x14ac:dyDescent="0.15">
      <c r="A75" s="84" t="s">
        <v>23</v>
      </c>
      <c r="B75" s="84" t="s">
        <v>160</v>
      </c>
      <c r="C75" s="84">
        <v>2020</v>
      </c>
      <c r="D75" s="45" t="s">
        <v>161</v>
      </c>
      <c r="E75" s="84" t="s">
        <v>168</v>
      </c>
      <c r="F75" s="84" t="s">
        <v>147</v>
      </c>
      <c r="G75" s="84" t="s">
        <v>25</v>
      </c>
      <c r="H75" s="84" t="s">
        <v>164</v>
      </c>
      <c r="I75" s="84" t="s">
        <v>111</v>
      </c>
      <c r="J75" s="78" t="s">
        <v>27</v>
      </c>
      <c r="K75" s="78" t="s">
        <v>112</v>
      </c>
      <c r="L75" s="84">
        <v>2</v>
      </c>
      <c r="M75" s="78"/>
      <c r="N75" s="78">
        <v>8</v>
      </c>
      <c r="O75" s="7">
        <v>0.5</v>
      </c>
      <c r="P75" s="7">
        <v>0.5</v>
      </c>
      <c r="Q75" s="44">
        <f t="shared" si="3"/>
        <v>0.5</v>
      </c>
      <c r="R75" s="7">
        <v>16.399999999999999</v>
      </c>
      <c r="S75" s="7">
        <v>107</v>
      </c>
      <c r="T75" s="16">
        <f t="shared" si="4"/>
        <v>33</v>
      </c>
      <c r="U75" s="77">
        <v>798</v>
      </c>
      <c r="V75" s="16">
        <f t="shared" si="5"/>
        <v>3291.75</v>
      </c>
      <c r="W75" s="77">
        <v>24</v>
      </c>
      <c r="X75" s="60" t="s">
        <v>35</v>
      </c>
      <c r="Y75" s="72" t="s">
        <v>43</v>
      </c>
      <c r="Z75" s="77" t="s">
        <v>76</v>
      </c>
      <c r="AA75" s="77" t="s">
        <v>55</v>
      </c>
      <c r="AB75" s="43" t="s">
        <v>162</v>
      </c>
    </row>
    <row r="76" spans="1:44" x14ac:dyDescent="0.15">
      <c r="A76" s="84" t="s">
        <v>23</v>
      </c>
      <c r="B76" s="84" t="s">
        <v>160</v>
      </c>
      <c r="C76" s="84">
        <v>2020</v>
      </c>
      <c r="D76" s="45" t="s">
        <v>161</v>
      </c>
      <c r="E76" s="84" t="s">
        <v>168</v>
      </c>
      <c r="F76" s="84" t="s">
        <v>147</v>
      </c>
      <c r="G76" s="84" t="s">
        <v>25</v>
      </c>
      <c r="H76" s="84" t="s">
        <v>164</v>
      </c>
      <c r="I76" s="84" t="s">
        <v>111</v>
      </c>
      <c r="J76" s="78" t="s">
        <v>27</v>
      </c>
      <c r="K76" s="78" t="s">
        <v>112</v>
      </c>
      <c r="L76" s="84">
        <v>3</v>
      </c>
      <c r="M76" s="78"/>
      <c r="N76" s="78">
        <v>8</v>
      </c>
      <c r="O76" s="7">
        <v>0.6</v>
      </c>
      <c r="P76" s="7">
        <v>0.65</v>
      </c>
      <c r="Q76" s="44">
        <f t="shared" si="3"/>
        <v>0.625</v>
      </c>
      <c r="R76" s="7">
        <v>15.9</v>
      </c>
      <c r="S76" s="7">
        <v>114</v>
      </c>
      <c r="T76" s="16">
        <f t="shared" si="4"/>
        <v>30</v>
      </c>
      <c r="U76" s="77">
        <v>798</v>
      </c>
      <c r="V76" s="16">
        <f t="shared" si="5"/>
        <v>2992.5</v>
      </c>
      <c r="W76" s="77">
        <v>24</v>
      </c>
      <c r="X76" s="60" t="s">
        <v>35</v>
      </c>
      <c r="Y76" s="72" t="s">
        <v>43</v>
      </c>
      <c r="Z76" s="77" t="s">
        <v>76</v>
      </c>
      <c r="AA76" s="77" t="s">
        <v>55</v>
      </c>
      <c r="AB76" s="43" t="s">
        <v>162</v>
      </c>
    </row>
    <row r="77" spans="1:44" x14ac:dyDescent="0.15">
      <c r="A77" s="84" t="s">
        <v>23</v>
      </c>
      <c r="B77" s="84" t="s">
        <v>160</v>
      </c>
      <c r="C77" s="84">
        <v>2020</v>
      </c>
      <c r="D77" s="45" t="s">
        <v>161</v>
      </c>
      <c r="E77" s="84" t="s">
        <v>168</v>
      </c>
      <c r="F77" s="84" t="s">
        <v>147</v>
      </c>
      <c r="G77" s="84" t="s">
        <v>25</v>
      </c>
      <c r="H77" s="84" t="s">
        <v>107</v>
      </c>
      <c r="I77" s="84" t="s">
        <v>111</v>
      </c>
      <c r="J77" s="78" t="s">
        <v>66</v>
      </c>
      <c r="K77" s="78" t="s">
        <v>46</v>
      </c>
      <c r="L77" s="84">
        <v>1</v>
      </c>
      <c r="M77" s="78"/>
      <c r="N77" s="78">
        <v>6</v>
      </c>
      <c r="O77" s="7">
        <v>0.6</v>
      </c>
      <c r="P77" s="7">
        <v>0.65</v>
      </c>
      <c r="Q77" s="44">
        <f t="shared" si="3"/>
        <v>0.625</v>
      </c>
      <c r="R77" s="7">
        <v>12.8</v>
      </c>
      <c r="S77" s="7">
        <v>71</v>
      </c>
      <c r="T77" s="16">
        <f t="shared" si="4"/>
        <v>42</v>
      </c>
      <c r="U77" s="7">
        <v>598</v>
      </c>
      <c r="V77" s="16">
        <f t="shared" si="5"/>
        <v>4186</v>
      </c>
      <c r="W77" s="77">
        <v>24</v>
      </c>
      <c r="X77" s="60" t="s">
        <v>35</v>
      </c>
      <c r="Y77" s="72" t="s">
        <v>43</v>
      </c>
      <c r="Z77" s="77" t="s">
        <v>76</v>
      </c>
      <c r="AA77" s="77" t="s">
        <v>55</v>
      </c>
      <c r="AB77" s="43" t="s">
        <v>162</v>
      </c>
    </row>
    <row r="78" spans="1:44" x14ac:dyDescent="0.15">
      <c r="A78" s="84" t="s">
        <v>23</v>
      </c>
      <c r="B78" s="84" t="s">
        <v>160</v>
      </c>
      <c r="C78" s="84">
        <v>2020</v>
      </c>
      <c r="D78" s="45" t="s">
        <v>161</v>
      </c>
      <c r="E78" s="84" t="s">
        <v>168</v>
      </c>
      <c r="F78" s="84" t="s">
        <v>147</v>
      </c>
      <c r="G78" s="84" t="s">
        <v>25</v>
      </c>
      <c r="H78" s="84" t="s">
        <v>107</v>
      </c>
      <c r="I78" s="84" t="s">
        <v>111</v>
      </c>
      <c r="J78" s="78" t="s">
        <v>66</v>
      </c>
      <c r="K78" s="78" t="s">
        <v>46</v>
      </c>
      <c r="L78" s="84">
        <v>2</v>
      </c>
      <c r="M78" s="78"/>
      <c r="N78" s="78">
        <v>6</v>
      </c>
      <c r="O78" s="7">
        <v>0.2</v>
      </c>
      <c r="P78" s="7">
        <v>0.2</v>
      </c>
      <c r="Q78" s="44">
        <f t="shared" si="3"/>
        <v>0.2</v>
      </c>
      <c r="R78" s="7">
        <v>13.4</v>
      </c>
      <c r="S78" s="7">
        <v>83</v>
      </c>
      <c r="T78" s="16">
        <f t="shared" si="4"/>
        <v>39</v>
      </c>
      <c r="U78" s="77">
        <v>598</v>
      </c>
      <c r="V78" s="16">
        <f t="shared" si="5"/>
        <v>3887</v>
      </c>
      <c r="W78" s="77">
        <v>24</v>
      </c>
      <c r="X78" s="60" t="s">
        <v>35</v>
      </c>
      <c r="Y78" s="72" t="s">
        <v>43</v>
      </c>
      <c r="Z78" s="77" t="s">
        <v>76</v>
      </c>
      <c r="AA78" s="77" t="s">
        <v>55</v>
      </c>
      <c r="AB78" s="43" t="s">
        <v>162</v>
      </c>
    </row>
    <row r="79" spans="1:44" x14ac:dyDescent="0.15">
      <c r="A79" s="84" t="s">
        <v>23</v>
      </c>
      <c r="B79" s="84" t="s">
        <v>160</v>
      </c>
      <c r="C79" s="84">
        <v>2020</v>
      </c>
      <c r="D79" s="45" t="s">
        <v>161</v>
      </c>
      <c r="E79" s="84" t="s">
        <v>168</v>
      </c>
      <c r="F79" s="84" t="s">
        <v>147</v>
      </c>
      <c r="G79" s="84" t="s">
        <v>25</v>
      </c>
      <c r="H79" s="84" t="s">
        <v>107</v>
      </c>
      <c r="I79" s="84" t="s">
        <v>111</v>
      </c>
      <c r="J79" s="78" t="s">
        <v>66</v>
      </c>
      <c r="K79" s="78" t="s">
        <v>46</v>
      </c>
      <c r="L79" s="84">
        <v>3</v>
      </c>
      <c r="M79" s="78"/>
      <c r="N79" s="78">
        <v>6</v>
      </c>
      <c r="O79" s="7">
        <v>0.9</v>
      </c>
      <c r="P79" s="7">
        <v>0.9</v>
      </c>
      <c r="Q79" s="44">
        <f t="shared" si="3"/>
        <v>0.9</v>
      </c>
      <c r="R79" s="7">
        <v>13.3</v>
      </c>
      <c r="S79" s="7">
        <v>83</v>
      </c>
      <c r="T79" s="16">
        <f t="shared" si="4"/>
        <v>39</v>
      </c>
      <c r="U79" s="77">
        <v>598</v>
      </c>
      <c r="V79" s="16">
        <f t="shared" si="5"/>
        <v>3887</v>
      </c>
      <c r="W79" s="77">
        <v>24</v>
      </c>
      <c r="X79" s="60" t="s">
        <v>35</v>
      </c>
      <c r="Y79" s="72" t="s">
        <v>43</v>
      </c>
      <c r="Z79" s="77" t="s">
        <v>76</v>
      </c>
      <c r="AA79" s="77" t="s">
        <v>55</v>
      </c>
      <c r="AB79" s="43" t="s">
        <v>162</v>
      </c>
    </row>
    <row r="80" spans="1:44" x14ac:dyDescent="0.15">
      <c r="A80" s="84" t="s">
        <v>23</v>
      </c>
      <c r="B80" s="84" t="s">
        <v>160</v>
      </c>
      <c r="C80" s="84">
        <v>2020</v>
      </c>
      <c r="D80" s="45" t="s">
        <v>161</v>
      </c>
      <c r="E80" s="84" t="s">
        <v>151</v>
      </c>
      <c r="F80" s="84" t="s">
        <v>147</v>
      </c>
      <c r="G80" s="84" t="s">
        <v>25</v>
      </c>
      <c r="H80" s="84" t="s">
        <v>113</v>
      </c>
      <c r="I80" s="84" t="s">
        <v>111</v>
      </c>
      <c r="J80" s="78" t="s">
        <v>27</v>
      </c>
      <c r="K80" s="78" t="s">
        <v>112</v>
      </c>
      <c r="L80" s="84">
        <v>1</v>
      </c>
      <c r="M80" s="78"/>
      <c r="N80" s="78">
        <v>1</v>
      </c>
      <c r="O80" s="7">
        <v>0.8</v>
      </c>
      <c r="P80" s="7">
        <v>0.7</v>
      </c>
      <c r="Q80" s="44">
        <f t="shared" si="3"/>
        <v>0.75</v>
      </c>
      <c r="R80" s="7">
        <v>14.8</v>
      </c>
      <c r="S80" s="7">
        <v>115</v>
      </c>
      <c r="T80" s="16">
        <f t="shared" si="4"/>
        <v>30</v>
      </c>
      <c r="U80" s="7">
        <v>127</v>
      </c>
      <c r="V80" s="16">
        <f t="shared" si="5"/>
        <v>3810</v>
      </c>
      <c r="W80" s="7">
        <v>18</v>
      </c>
      <c r="X80" s="60" t="s">
        <v>35</v>
      </c>
      <c r="Y80" s="72" t="s">
        <v>43</v>
      </c>
      <c r="Z80" s="7" t="s">
        <v>29</v>
      </c>
      <c r="AA80" s="7" t="s">
        <v>36</v>
      </c>
      <c r="AB80" s="43" t="s">
        <v>162</v>
      </c>
    </row>
    <row r="81" spans="1:28" x14ac:dyDescent="0.15">
      <c r="A81" s="84" t="s">
        <v>23</v>
      </c>
      <c r="B81" s="84" t="s">
        <v>160</v>
      </c>
      <c r="C81" s="84">
        <v>2020</v>
      </c>
      <c r="D81" s="45" t="s">
        <v>161</v>
      </c>
      <c r="E81" s="84" t="s">
        <v>151</v>
      </c>
      <c r="F81" s="84" t="s">
        <v>147</v>
      </c>
      <c r="G81" s="84" t="s">
        <v>25</v>
      </c>
      <c r="H81" s="84" t="s">
        <v>113</v>
      </c>
      <c r="I81" s="84" t="s">
        <v>111</v>
      </c>
      <c r="J81" s="78" t="s">
        <v>27</v>
      </c>
      <c r="K81" s="78" t="s">
        <v>112</v>
      </c>
      <c r="L81" s="84">
        <v>2</v>
      </c>
      <c r="M81" s="78"/>
      <c r="N81" s="78">
        <v>1</v>
      </c>
      <c r="O81" s="7">
        <v>0.85</v>
      </c>
      <c r="P81" s="7">
        <v>0.75</v>
      </c>
      <c r="Q81" s="44">
        <f t="shared" si="3"/>
        <v>0.8</v>
      </c>
      <c r="R81" s="7">
        <v>15</v>
      </c>
      <c r="S81" s="7">
        <v>121</v>
      </c>
      <c r="T81" s="16">
        <f t="shared" si="4"/>
        <v>30</v>
      </c>
      <c r="U81" s="77">
        <v>127</v>
      </c>
      <c r="V81" s="16">
        <f t="shared" si="5"/>
        <v>3810</v>
      </c>
      <c r="W81" s="77">
        <v>18</v>
      </c>
      <c r="X81" s="60" t="s">
        <v>35</v>
      </c>
      <c r="Y81" s="72" t="s">
        <v>43</v>
      </c>
      <c r="Z81" s="77" t="s">
        <v>29</v>
      </c>
      <c r="AA81" s="77" t="s">
        <v>36</v>
      </c>
      <c r="AB81" s="43" t="s">
        <v>162</v>
      </c>
    </row>
    <row r="82" spans="1:28" x14ac:dyDescent="0.15">
      <c r="A82" s="84" t="s">
        <v>23</v>
      </c>
      <c r="B82" s="84" t="s">
        <v>160</v>
      </c>
      <c r="C82" s="84">
        <v>2020</v>
      </c>
      <c r="D82" s="45" t="s">
        <v>161</v>
      </c>
      <c r="E82" s="84" t="s">
        <v>151</v>
      </c>
      <c r="F82" s="84" t="s">
        <v>147</v>
      </c>
      <c r="G82" s="84" t="s">
        <v>25</v>
      </c>
      <c r="H82" s="84" t="s">
        <v>113</v>
      </c>
      <c r="I82" s="84" t="s">
        <v>111</v>
      </c>
      <c r="J82" s="78" t="s">
        <v>27</v>
      </c>
      <c r="K82" s="78" t="s">
        <v>112</v>
      </c>
      <c r="L82" s="84">
        <v>3</v>
      </c>
      <c r="M82" s="78"/>
      <c r="N82" s="78">
        <v>1</v>
      </c>
      <c r="O82" s="77">
        <v>0.85</v>
      </c>
      <c r="P82" s="7">
        <v>0.7</v>
      </c>
      <c r="Q82" s="44">
        <f t="shared" si="3"/>
        <v>0.77499999999999991</v>
      </c>
      <c r="R82" s="7">
        <v>15.7</v>
      </c>
      <c r="S82" s="7">
        <v>117</v>
      </c>
      <c r="T82" s="16">
        <f t="shared" si="4"/>
        <v>30</v>
      </c>
      <c r="U82" s="77">
        <v>127</v>
      </c>
      <c r="V82" s="16">
        <f t="shared" si="5"/>
        <v>3810</v>
      </c>
      <c r="W82" s="77">
        <v>18</v>
      </c>
      <c r="X82" s="60" t="s">
        <v>35</v>
      </c>
      <c r="Y82" s="72" t="s">
        <v>43</v>
      </c>
      <c r="Z82" s="77" t="s">
        <v>29</v>
      </c>
      <c r="AA82" s="77" t="s">
        <v>36</v>
      </c>
      <c r="AB82" s="43" t="s">
        <v>162</v>
      </c>
    </row>
    <row r="83" spans="1:28" x14ac:dyDescent="0.15">
      <c r="A83" s="84" t="s">
        <v>23</v>
      </c>
      <c r="B83" s="84" t="s">
        <v>160</v>
      </c>
      <c r="C83" s="84">
        <v>2020</v>
      </c>
      <c r="D83" s="45" t="s">
        <v>161</v>
      </c>
      <c r="E83" s="84" t="s">
        <v>151</v>
      </c>
      <c r="F83" s="84" t="s">
        <v>147</v>
      </c>
      <c r="G83" s="84" t="s">
        <v>25</v>
      </c>
      <c r="H83" s="84" t="s">
        <v>113</v>
      </c>
      <c r="I83" s="84" t="s">
        <v>111</v>
      </c>
      <c r="J83" s="78" t="s">
        <v>27</v>
      </c>
      <c r="K83" s="78" t="s">
        <v>112</v>
      </c>
      <c r="L83" s="84">
        <v>1</v>
      </c>
      <c r="M83" s="78"/>
      <c r="N83" s="78">
        <v>5</v>
      </c>
      <c r="O83" s="7">
        <v>0.5</v>
      </c>
      <c r="P83" s="7">
        <v>0.4</v>
      </c>
      <c r="Q83" s="44">
        <f t="shared" si="3"/>
        <v>0.45</v>
      </c>
      <c r="R83" s="7">
        <v>14.1</v>
      </c>
      <c r="S83" s="7">
        <v>74</v>
      </c>
      <c r="T83" s="16">
        <f t="shared" si="4"/>
        <v>42</v>
      </c>
      <c r="U83" s="7">
        <v>397</v>
      </c>
      <c r="V83" s="16">
        <f t="shared" si="5"/>
        <v>3334.8</v>
      </c>
      <c r="W83" s="77">
        <v>18</v>
      </c>
      <c r="X83" s="60" t="s">
        <v>35</v>
      </c>
      <c r="Y83" s="72" t="s">
        <v>43</v>
      </c>
      <c r="Z83" s="77" t="s">
        <v>29</v>
      </c>
      <c r="AA83" s="77" t="s">
        <v>36</v>
      </c>
      <c r="AB83" s="43" t="s">
        <v>162</v>
      </c>
    </row>
    <row r="84" spans="1:28" x14ac:dyDescent="0.15">
      <c r="A84" s="84" t="s">
        <v>23</v>
      </c>
      <c r="B84" s="84" t="s">
        <v>160</v>
      </c>
      <c r="C84" s="84">
        <v>2020</v>
      </c>
      <c r="D84" s="45" t="s">
        <v>161</v>
      </c>
      <c r="E84" s="84" t="s">
        <v>151</v>
      </c>
      <c r="F84" s="84" t="s">
        <v>147</v>
      </c>
      <c r="G84" s="84" t="s">
        <v>25</v>
      </c>
      <c r="H84" s="84" t="s">
        <v>113</v>
      </c>
      <c r="I84" s="84" t="s">
        <v>111</v>
      </c>
      <c r="J84" s="78" t="s">
        <v>27</v>
      </c>
      <c r="K84" s="78" t="s">
        <v>112</v>
      </c>
      <c r="L84" s="84">
        <v>2</v>
      </c>
      <c r="M84" s="78"/>
      <c r="N84" s="78">
        <v>5</v>
      </c>
      <c r="O84" s="7">
        <v>0.55000000000000004</v>
      </c>
      <c r="P84" s="7">
        <v>0.65</v>
      </c>
      <c r="Q84" s="44">
        <f t="shared" si="3"/>
        <v>0.60000000000000009</v>
      </c>
      <c r="R84" s="7">
        <v>13.6</v>
      </c>
      <c r="S84" s="7">
        <v>78</v>
      </c>
      <c r="T84" s="16">
        <f t="shared" si="4"/>
        <v>39</v>
      </c>
      <c r="U84" s="77">
        <v>397</v>
      </c>
      <c r="V84" s="16">
        <f t="shared" si="5"/>
        <v>3096.6000000000004</v>
      </c>
      <c r="W84" s="77">
        <v>18</v>
      </c>
      <c r="X84" s="60" t="s">
        <v>35</v>
      </c>
      <c r="Y84" s="72" t="s">
        <v>43</v>
      </c>
      <c r="Z84" s="77" t="s">
        <v>29</v>
      </c>
      <c r="AA84" s="77" t="s">
        <v>36</v>
      </c>
      <c r="AB84" s="43" t="s">
        <v>162</v>
      </c>
    </row>
    <row r="85" spans="1:28" x14ac:dyDescent="0.15">
      <c r="A85" s="84" t="s">
        <v>23</v>
      </c>
      <c r="B85" s="84" t="s">
        <v>160</v>
      </c>
      <c r="C85" s="84">
        <v>2020</v>
      </c>
      <c r="D85" s="45" t="s">
        <v>161</v>
      </c>
      <c r="E85" s="84" t="s">
        <v>151</v>
      </c>
      <c r="F85" s="84" t="s">
        <v>147</v>
      </c>
      <c r="G85" s="84" t="s">
        <v>25</v>
      </c>
      <c r="H85" s="84" t="s">
        <v>113</v>
      </c>
      <c r="I85" s="84" t="s">
        <v>111</v>
      </c>
      <c r="J85" s="78" t="s">
        <v>27</v>
      </c>
      <c r="K85" s="78" t="s">
        <v>112</v>
      </c>
      <c r="L85" s="84">
        <v>3</v>
      </c>
      <c r="M85" s="78"/>
      <c r="N85" s="78">
        <v>5</v>
      </c>
      <c r="O85" s="7">
        <v>0.6</v>
      </c>
      <c r="P85" s="7">
        <v>0.7</v>
      </c>
      <c r="Q85" s="44">
        <f t="shared" si="3"/>
        <v>0.64999999999999991</v>
      </c>
      <c r="R85" s="7">
        <v>16.8</v>
      </c>
      <c r="S85" s="7">
        <v>92</v>
      </c>
      <c r="T85" s="16">
        <f t="shared" si="4"/>
        <v>36</v>
      </c>
      <c r="U85" s="77">
        <v>397</v>
      </c>
      <c r="V85" s="16">
        <f t="shared" si="5"/>
        <v>2858.4</v>
      </c>
      <c r="W85" s="77">
        <v>18</v>
      </c>
      <c r="X85" s="60" t="s">
        <v>35</v>
      </c>
      <c r="Y85" s="72" t="s">
        <v>43</v>
      </c>
      <c r="Z85" s="77" t="s">
        <v>29</v>
      </c>
      <c r="AA85" s="77" t="s">
        <v>36</v>
      </c>
      <c r="AB85" s="43" t="s">
        <v>162</v>
      </c>
    </row>
    <row r="86" spans="1:28" x14ac:dyDescent="0.15">
      <c r="A86" s="84" t="s">
        <v>23</v>
      </c>
      <c r="B86" s="84" t="s">
        <v>160</v>
      </c>
      <c r="C86" s="84">
        <v>2020</v>
      </c>
      <c r="D86" s="45" t="s">
        <v>161</v>
      </c>
      <c r="E86" s="84" t="s">
        <v>151</v>
      </c>
      <c r="F86" s="84" t="s">
        <v>147</v>
      </c>
      <c r="G86" s="84" t="s">
        <v>25</v>
      </c>
      <c r="H86" s="84" t="s">
        <v>164</v>
      </c>
      <c r="I86" s="84" t="s">
        <v>111</v>
      </c>
      <c r="J86" s="78" t="s">
        <v>27</v>
      </c>
      <c r="K86" s="78" t="s">
        <v>112</v>
      </c>
      <c r="L86" s="84">
        <v>1</v>
      </c>
      <c r="M86" s="78"/>
      <c r="N86" s="78">
        <v>1</v>
      </c>
      <c r="O86" s="7">
        <v>0.65</v>
      </c>
      <c r="P86" s="7">
        <v>0.6</v>
      </c>
      <c r="Q86" s="44">
        <f t="shared" si="3"/>
        <v>0.625</v>
      </c>
      <c r="R86" s="7">
        <v>20.5</v>
      </c>
      <c r="S86" s="7">
        <v>159</v>
      </c>
      <c r="T86" s="16">
        <f t="shared" si="4"/>
        <v>30</v>
      </c>
      <c r="U86" s="7">
        <v>127</v>
      </c>
      <c r="V86" s="16">
        <f t="shared" si="5"/>
        <v>3810</v>
      </c>
      <c r="W86" s="77">
        <v>18</v>
      </c>
      <c r="X86" s="60" t="s">
        <v>35</v>
      </c>
      <c r="Y86" s="72" t="s">
        <v>43</v>
      </c>
      <c r="Z86" s="77" t="s">
        <v>29</v>
      </c>
      <c r="AA86" s="77" t="s">
        <v>36</v>
      </c>
      <c r="AB86" s="43" t="s">
        <v>162</v>
      </c>
    </row>
    <row r="87" spans="1:28" x14ac:dyDescent="0.15">
      <c r="A87" s="84" t="s">
        <v>23</v>
      </c>
      <c r="B87" s="84" t="s">
        <v>160</v>
      </c>
      <c r="C87" s="84">
        <v>2020</v>
      </c>
      <c r="D87" s="45" t="s">
        <v>161</v>
      </c>
      <c r="E87" s="84" t="s">
        <v>151</v>
      </c>
      <c r="F87" s="84" t="s">
        <v>147</v>
      </c>
      <c r="G87" s="84" t="s">
        <v>25</v>
      </c>
      <c r="H87" s="84" t="s">
        <v>164</v>
      </c>
      <c r="I87" s="84" t="s">
        <v>111</v>
      </c>
      <c r="J87" s="78" t="s">
        <v>27</v>
      </c>
      <c r="K87" s="78" t="s">
        <v>112</v>
      </c>
      <c r="L87" s="84">
        <v>2</v>
      </c>
      <c r="M87" s="78"/>
      <c r="N87" s="78">
        <v>1</v>
      </c>
      <c r="O87" s="77">
        <v>0.65</v>
      </c>
      <c r="P87" s="7">
        <v>0.7</v>
      </c>
      <c r="Q87" s="44">
        <f t="shared" si="3"/>
        <v>0.67500000000000004</v>
      </c>
      <c r="R87" s="7">
        <v>19.5</v>
      </c>
      <c r="S87" s="7">
        <v>154</v>
      </c>
      <c r="T87" s="16">
        <f t="shared" si="4"/>
        <v>30</v>
      </c>
      <c r="U87" s="77">
        <v>127</v>
      </c>
      <c r="V87" s="16">
        <f t="shared" si="5"/>
        <v>3810</v>
      </c>
      <c r="W87" s="77">
        <v>18</v>
      </c>
      <c r="X87" s="60" t="s">
        <v>35</v>
      </c>
      <c r="Y87" s="72" t="s">
        <v>43</v>
      </c>
      <c r="Z87" s="77" t="s">
        <v>29</v>
      </c>
      <c r="AA87" s="77" t="s">
        <v>36</v>
      </c>
      <c r="AB87" s="43" t="s">
        <v>162</v>
      </c>
    </row>
    <row r="88" spans="1:28" x14ac:dyDescent="0.15">
      <c r="A88" s="84" t="s">
        <v>23</v>
      </c>
      <c r="B88" s="84" t="s">
        <v>160</v>
      </c>
      <c r="C88" s="84">
        <v>2020</v>
      </c>
      <c r="D88" s="45" t="s">
        <v>161</v>
      </c>
      <c r="E88" s="84" t="s">
        <v>151</v>
      </c>
      <c r="F88" s="84" t="s">
        <v>147</v>
      </c>
      <c r="G88" s="84" t="s">
        <v>25</v>
      </c>
      <c r="H88" s="84" t="s">
        <v>164</v>
      </c>
      <c r="I88" s="84" t="s">
        <v>111</v>
      </c>
      <c r="J88" s="78" t="s">
        <v>27</v>
      </c>
      <c r="K88" s="78" t="s">
        <v>112</v>
      </c>
      <c r="L88" s="84">
        <v>3</v>
      </c>
      <c r="M88" s="78"/>
      <c r="N88" s="78">
        <v>1</v>
      </c>
      <c r="O88" s="7">
        <v>0.7</v>
      </c>
      <c r="P88" s="7">
        <v>0.75</v>
      </c>
      <c r="Q88" s="44">
        <f t="shared" si="3"/>
        <v>0.72499999999999998</v>
      </c>
      <c r="R88" s="7">
        <v>16.2</v>
      </c>
      <c r="S88" s="7">
        <v>155</v>
      </c>
      <c r="T88" s="16">
        <f t="shared" si="4"/>
        <v>30</v>
      </c>
      <c r="U88" s="77">
        <v>127</v>
      </c>
      <c r="V88" s="16">
        <f t="shared" si="5"/>
        <v>3810</v>
      </c>
      <c r="W88" s="77">
        <v>18</v>
      </c>
      <c r="X88" s="60" t="s">
        <v>35</v>
      </c>
      <c r="Y88" s="72" t="s">
        <v>43</v>
      </c>
      <c r="Z88" s="77" t="s">
        <v>29</v>
      </c>
      <c r="AA88" s="77" t="s">
        <v>36</v>
      </c>
      <c r="AB88" s="43" t="s">
        <v>162</v>
      </c>
    </row>
    <row r="89" spans="1:28" x14ac:dyDescent="0.15">
      <c r="A89" s="84" t="s">
        <v>23</v>
      </c>
      <c r="B89" s="84" t="s">
        <v>160</v>
      </c>
      <c r="C89" s="84">
        <v>2020</v>
      </c>
      <c r="D89" s="45" t="s">
        <v>161</v>
      </c>
      <c r="E89" s="84" t="s">
        <v>151</v>
      </c>
      <c r="F89" s="84" t="s">
        <v>147</v>
      </c>
      <c r="G89" s="84" t="s">
        <v>25</v>
      </c>
      <c r="H89" s="84" t="s">
        <v>164</v>
      </c>
      <c r="I89" s="84" t="s">
        <v>111</v>
      </c>
      <c r="J89" s="78" t="s">
        <v>27</v>
      </c>
      <c r="K89" s="78" t="s">
        <v>112</v>
      </c>
      <c r="L89" s="84">
        <v>1</v>
      </c>
      <c r="M89" s="78"/>
      <c r="N89" s="78">
        <v>4</v>
      </c>
      <c r="O89" s="7">
        <v>0.95</v>
      </c>
      <c r="P89" s="7">
        <v>1.1499999999999999</v>
      </c>
      <c r="Q89" s="44">
        <f t="shared" si="3"/>
        <v>1.0499999999999998</v>
      </c>
      <c r="R89" s="7">
        <v>15.8</v>
      </c>
      <c r="S89" s="7">
        <v>106</v>
      </c>
      <c r="T89" s="16">
        <f t="shared" si="4"/>
        <v>33</v>
      </c>
      <c r="U89" s="7">
        <v>397</v>
      </c>
      <c r="V89" s="16">
        <f t="shared" si="5"/>
        <v>3275.25</v>
      </c>
      <c r="W89" s="77">
        <v>18</v>
      </c>
      <c r="X89" s="60" t="s">
        <v>35</v>
      </c>
      <c r="Y89" s="72" t="s">
        <v>43</v>
      </c>
      <c r="Z89" s="77" t="s">
        <v>29</v>
      </c>
      <c r="AA89" s="77" t="s">
        <v>36</v>
      </c>
      <c r="AB89" s="43" t="s">
        <v>162</v>
      </c>
    </row>
    <row r="90" spans="1:28" x14ac:dyDescent="0.15">
      <c r="A90" s="84" t="s">
        <v>23</v>
      </c>
      <c r="B90" s="84" t="s">
        <v>160</v>
      </c>
      <c r="C90" s="84">
        <v>2020</v>
      </c>
      <c r="D90" s="45" t="s">
        <v>161</v>
      </c>
      <c r="E90" s="84" t="s">
        <v>151</v>
      </c>
      <c r="F90" s="84" t="s">
        <v>147</v>
      </c>
      <c r="G90" s="84" t="s">
        <v>25</v>
      </c>
      <c r="H90" s="84" t="s">
        <v>164</v>
      </c>
      <c r="I90" s="84" t="s">
        <v>111</v>
      </c>
      <c r="J90" s="78" t="s">
        <v>27</v>
      </c>
      <c r="K90" s="78" t="s">
        <v>112</v>
      </c>
      <c r="L90" s="84">
        <v>2</v>
      </c>
      <c r="M90" s="78"/>
      <c r="N90" s="78">
        <v>4</v>
      </c>
      <c r="O90" s="77">
        <v>0.95</v>
      </c>
      <c r="P90" s="77">
        <v>1.1499999999999999</v>
      </c>
      <c r="Q90" s="44">
        <f t="shared" si="3"/>
        <v>1.0499999999999998</v>
      </c>
      <c r="R90" s="7">
        <v>15.9</v>
      </c>
      <c r="S90" s="7">
        <v>109</v>
      </c>
      <c r="T90" s="16">
        <f t="shared" si="4"/>
        <v>33</v>
      </c>
      <c r="U90" s="77">
        <v>397</v>
      </c>
      <c r="V90" s="16">
        <f t="shared" si="5"/>
        <v>3275.25</v>
      </c>
      <c r="W90" s="77">
        <v>18</v>
      </c>
      <c r="X90" s="60" t="s">
        <v>35</v>
      </c>
      <c r="Y90" s="72" t="s">
        <v>43</v>
      </c>
      <c r="Z90" s="77" t="s">
        <v>29</v>
      </c>
      <c r="AA90" s="77" t="s">
        <v>36</v>
      </c>
      <c r="AB90" s="43" t="s">
        <v>162</v>
      </c>
    </row>
    <row r="91" spans="1:28" x14ac:dyDescent="0.15">
      <c r="A91" s="84" t="s">
        <v>23</v>
      </c>
      <c r="B91" s="84" t="s">
        <v>160</v>
      </c>
      <c r="C91" s="84">
        <v>2020</v>
      </c>
      <c r="D91" s="45" t="s">
        <v>161</v>
      </c>
      <c r="E91" s="84" t="s">
        <v>151</v>
      </c>
      <c r="F91" s="84" t="s">
        <v>147</v>
      </c>
      <c r="G91" s="84" t="s">
        <v>25</v>
      </c>
      <c r="H91" s="84" t="s">
        <v>164</v>
      </c>
      <c r="I91" s="84" t="s">
        <v>111</v>
      </c>
      <c r="J91" s="78" t="s">
        <v>27</v>
      </c>
      <c r="K91" s="77" t="s">
        <v>112</v>
      </c>
      <c r="L91" s="84">
        <v>3</v>
      </c>
      <c r="N91" s="77">
        <v>4</v>
      </c>
      <c r="O91" s="7">
        <v>1</v>
      </c>
      <c r="P91" s="7">
        <v>1</v>
      </c>
      <c r="Q91" s="44">
        <f t="shared" si="3"/>
        <v>1</v>
      </c>
      <c r="R91" s="7">
        <v>14.8</v>
      </c>
      <c r="S91" s="7">
        <v>112</v>
      </c>
      <c r="T91" s="16">
        <f t="shared" si="4"/>
        <v>33</v>
      </c>
      <c r="U91" s="77">
        <v>397</v>
      </c>
      <c r="V91" s="16">
        <f t="shared" si="5"/>
        <v>3275.25</v>
      </c>
      <c r="W91" s="77">
        <v>18</v>
      </c>
      <c r="X91" s="60" t="s">
        <v>35</v>
      </c>
      <c r="Y91" s="72" t="s">
        <v>43</v>
      </c>
      <c r="Z91" s="77" t="s">
        <v>29</v>
      </c>
      <c r="AA91" s="77" t="s">
        <v>36</v>
      </c>
      <c r="AB91" s="43" t="s">
        <v>162</v>
      </c>
    </row>
    <row r="92" spans="1:28" x14ac:dyDescent="0.15">
      <c r="A92" s="84" t="s">
        <v>23</v>
      </c>
      <c r="B92" s="84" t="s">
        <v>160</v>
      </c>
      <c r="C92" s="84">
        <v>2020</v>
      </c>
      <c r="D92" s="45" t="s">
        <v>161</v>
      </c>
      <c r="E92" s="84" t="s">
        <v>152</v>
      </c>
      <c r="F92" s="84" t="s">
        <v>147</v>
      </c>
      <c r="G92" s="84" t="s">
        <v>25</v>
      </c>
      <c r="H92" s="84" t="s">
        <v>169</v>
      </c>
      <c r="I92" s="84" t="s">
        <v>111</v>
      </c>
      <c r="J92" s="78" t="s">
        <v>27</v>
      </c>
      <c r="K92" s="77" t="s">
        <v>112</v>
      </c>
      <c r="L92" s="84">
        <v>1</v>
      </c>
      <c r="N92" s="7">
        <v>1</v>
      </c>
      <c r="O92" s="7">
        <v>0.2</v>
      </c>
      <c r="P92" s="7">
        <v>0.2</v>
      </c>
      <c r="Q92" s="44">
        <f t="shared" si="3"/>
        <v>0.2</v>
      </c>
      <c r="R92" s="7">
        <v>16.3</v>
      </c>
      <c r="S92" s="7">
        <v>117</v>
      </c>
      <c r="T92" s="16">
        <f t="shared" si="4"/>
        <v>30</v>
      </c>
      <c r="U92" s="7">
        <v>98</v>
      </c>
      <c r="V92" s="16">
        <f t="shared" si="5"/>
        <v>2940</v>
      </c>
      <c r="W92" s="7">
        <v>22</v>
      </c>
      <c r="X92" s="60" t="s">
        <v>35</v>
      </c>
      <c r="Y92" s="72" t="s">
        <v>43</v>
      </c>
      <c r="Z92" s="77" t="s">
        <v>29</v>
      </c>
      <c r="AA92" s="7" t="s">
        <v>72</v>
      </c>
      <c r="AB92" s="43" t="s">
        <v>162</v>
      </c>
    </row>
    <row r="93" spans="1:28" x14ac:dyDescent="0.15">
      <c r="A93" s="84" t="s">
        <v>23</v>
      </c>
      <c r="B93" s="84" t="s">
        <v>160</v>
      </c>
      <c r="C93" s="84">
        <v>2020</v>
      </c>
      <c r="D93" s="45" t="s">
        <v>161</v>
      </c>
      <c r="E93" s="84" t="s">
        <v>152</v>
      </c>
      <c r="F93" s="84" t="s">
        <v>147</v>
      </c>
      <c r="G93" s="84" t="s">
        <v>25</v>
      </c>
      <c r="H93" s="84" t="s">
        <v>113</v>
      </c>
      <c r="I93" s="84" t="s">
        <v>111</v>
      </c>
      <c r="J93" s="78" t="s">
        <v>27</v>
      </c>
      <c r="K93" s="77" t="s">
        <v>112</v>
      </c>
      <c r="L93" s="84">
        <v>2</v>
      </c>
      <c r="N93" s="7">
        <v>1</v>
      </c>
      <c r="O93" s="7">
        <v>0.2</v>
      </c>
      <c r="P93" s="7">
        <v>0.2</v>
      </c>
      <c r="Q93" s="44">
        <f t="shared" si="3"/>
        <v>0.2</v>
      </c>
      <c r="R93" s="7">
        <v>16.5</v>
      </c>
      <c r="S93" s="7">
        <v>125</v>
      </c>
      <c r="T93" s="16">
        <f t="shared" si="4"/>
        <v>30</v>
      </c>
      <c r="U93" s="77">
        <v>98</v>
      </c>
      <c r="V93" s="16">
        <f t="shared" si="5"/>
        <v>2940</v>
      </c>
      <c r="W93" s="77">
        <v>22</v>
      </c>
      <c r="X93" s="60" t="s">
        <v>35</v>
      </c>
      <c r="Y93" s="72" t="s">
        <v>43</v>
      </c>
      <c r="Z93" s="77" t="s">
        <v>29</v>
      </c>
      <c r="AA93" s="77" t="s">
        <v>72</v>
      </c>
      <c r="AB93" s="43" t="s">
        <v>162</v>
      </c>
    </row>
    <row r="94" spans="1:28" x14ac:dyDescent="0.15">
      <c r="A94" s="84" t="s">
        <v>23</v>
      </c>
      <c r="B94" s="84" t="s">
        <v>160</v>
      </c>
      <c r="C94" s="84">
        <v>2020</v>
      </c>
      <c r="D94" s="45" t="s">
        <v>161</v>
      </c>
      <c r="E94" s="84" t="s">
        <v>152</v>
      </c>
      <c r="F94" s="84" t="s">
        <v>147</v>
      </c>
      <c r="G94" s="84" t="s">
        <v>25</v>
      </c>
      <c r="H94" s="84" t="s">
        <v>113</v>
      </c>
      <c r="I94" s="84" t="s">
        <v>111</v>
      </c>
      <c r="J94" s="78" t="s">
        <v>27</v>
      </c>
      <c r="K94" s="77" t="s">
        <v>112</v>
      </c>
      <c r="L94" s="84">
        <v>3</v>
      </c>
      <c r="N94" s="7">
        <v>1</v>
      </c>
      <c r="O94" s="77">
        <v>0.2</v>
      </c>
      <c r="P94" s="77">
        <v>0.45</v>
      </c>
      <c r="Q94" s="44">
        <f t="shared" si="3"/>
        <v>0.32500000000000001</v>
      </c>
      <c r="R94" s="7">
        <v>16.2</v>
      </c>
      <c r="S94" s="7">
        <v>123</v>
      </c>
      <c r="T94" s="16">
        <f t="shared" si="4"/>
        <v>30</v>
      </c>
      <c r="U94" s="77">
        <v>98</v>
      </c>
      <c r="V94" s="16">
        <f t="shared" si="5"/>
        <v>2940</v>
      </c>
      <c r="W94" s="77">
        <v>22</v>
      </c>
      <c r="X94" s="60" t="s">
        <v>35</v>
      </c>
      <c r="Y94" s="72" t="s">
        <v>43</v>
      </c>
      <c r="Z94" s="77" t="s">
        <v>29</v>
      </c>
      <c r="AA94" s="77" t="s">
        <v>72</v>
      </c>
      <c r="AB94" s="43" t="s">
        <v>162</v>
      </c>
    </row>
    <row r="95" spans="1:28" x14ac:dyDescent="0.15">
      <c r="A95" s="84" t="s">
        <v>23</v>
      </c>
      <c r="B95" s="84" t="s">
        <v>160</v>
      </c>
      <c r="C95" s="84">
        <v>2020</v>
      </c>
      <c r="D95" s="45" t="s">
        <v>161</v>
      </c>
      <c r="E95" s="84" t="s">
        <v>152</v>
      </c>
      <c r="F95" s="84" t="s">
        <v>147</v>
      </c>
      <c r="G95" s="84" t="s">
        <v>25</v>
      </c>
      <c r="H95" s="84" t="s">
        <v>113</v>
      </c>
      <c r="I95" s="84" t="s">
        <v>111</v>
      </c>
      <c r="J95" s="78" t="s">
        <v>27</v>
      </c>
      <c r="K95" s="77" t="s">
        <v>112</v>
      </c>
      <c r="L95" s="84">
        <v>1</v>
      </c>
      <c r="N95" s="7">
        <v>4</v>
      </c>
      <c r="O95" s="7">
        <v>0.85</v>
      </c>
      <c r="P95" s="77">
        <v>0.85</v>
      </c>
      <c r="Q95" s="44">
        <f t="shared" si="3"/>
        <v>0.85</v>
      </c>
      <c r="R95" s="7">
        <v>12.4</v>
      </c>
      <c r="S95" s="7">
        <v>92</v>
      </c>
      <c r="T95" s="16">
        <f t="shared" si="4"/>
        <v>36</v>
      </c>
      <c r="U95" s="7">
        <v>398</v>
      </c>
      <c r="V95" s="16">
        <f t="shared" si="5"/>
        <v>3582</v>
      </c>
      <c r="W95" s="77">
        <v>22</v>
      </c>
      <c r="X95" s="60" t="s">
        <v>35</v>
      </c>
      <c r="Y95" s="72" t="s">
        <v>43</v>
      </c>
      <c r="Z95" s="77" t="s">
        <v>29</v>
      </c>
      <c r="AA95" s="77" t="s">
        <v>72</v>
      </c>
      <c r="AB95" s="43" t="s">
        <v>162</v>
      </c>
    </row>
    <row r="96" spans="1:28" x14ac:dyDescent="0.15">
      <c r="A96" s="84" t="s">
        <v>23</v>
      </c>
      <c r="B96" s="84" t="s">
        <v>160</v>
      </c>
      <c r="C96" s="84">
        <v>2020</v>
      </c>
      <c r="D96" s="45" t="s">
        <v>161</v>
      </c>
      <c r="E96" s="84" t="s">
        <v>152</v>
      </c>
      <c r="F96" s="84" t="s">
        <v>147</v>
      </c>
      <c r="G96" s="84" t="s">
        <v>25</v>
      </c>
      <c r="H96" s="84" t="s">
        <v>113</v>
      </c>
      <c r="I96" s="84" t="s">
        <v>111</v>
      </c>
      <c r="J96" s="78" t="s">
        <v>27</v>
      </c>
      <c r="K96" s="77" t="s">
        <v>112</v>
      </c>
      <c r="L96" s="84">
        <v>2</v>
      </c>
      <c r="N96" s="7">
        <v>4</v>
      </c>
      <c r="O96" s="7">
        <v>0.8</v>
      </c>
      <c r="P96" s="7">
        <v>0.85</v>
      </c>
      <c r="Q96" s="44">
        <f t="shared" si="3"/>
        <v>0.82499999999999996</v>
      </c>
      <c r="R96" s="7">
        <v>16.600000000000001</v>
      </c>
      <c r="S96" s="7">
        <v>100</v>
      </c>
      <c r="T96" s="16">
        <f t="shared" si="4"/>
        <v>33</v>
      </c>
      <c r="U96" s="77">
        <v>398</v>
      </c>
      <c r="V96" s="16">
        <f t="shared" si="5"/>
        <v>3283.5</v>
      </c>
      <c r="W96" s="77">
        <v>22</v>
      </c>
      <c r="X96" s="60" t="s">
        <v>35</v>
      </c>
      <c r="Y96" s="72" t="s">
        <v>43</v>
      </c>
      <c r="Z96" s="77" t="s">
        <v>29</v>
      </c>
      <c r="AA96" s="77" t="s">
        <v>72</v>
      </c>
      <c r="AB96" s="43" t="s">
        <v>162</v>
      </c>
    </row>
    <row r="97" spans="1:28" x14ac:dyDescent="0.15">
      <c r="A97" s="84" t="s">
        <v>23</v>
      </c>
      <c r="B97" s="84" t="s">
        <v>160</v>
      </c>
      <c r="C97" s="84">
        <v>2020</v>
      </c>
      <c r="D97" s="45" t="s">
        <v>161</v>
      </c>
      <c r="E97" s="84" t="s">
        <v>152</v>
      </c>
      <c r="F97" s="84" t="s">
        <v>147</v>
      </c>
      <c r="G97" s="84" t="s">
        <v>25</v>
      </c>
      <c r="H97" s="84" t="s">
        <v>113</v>
      </c>
      <c r="I97" s="84" t="s">
        <v>111</v>
      </c>
      <c r="J97" s="78" t="s">
        <v>27</v>
      </c>
      <c r="K97" s="77" t="s">
        <v>112</v>
      </c>
      <c r="L97" s="84">
        <v>3</v>
      </c>
      <c r="N97" s="7">
        <v>4</v>
      </c>
      <c r="O97" s="7">
        <v>1</v>
      </c>
      <c r="P97" s="7">
        <v>0.9</v>
      </c>
      <c r="Q97" s="44">
        <f t="shared" si="3"/>
        <v>0.95</v>
      </c>
      <c r="R97" s="7">
        <v>16.100000000000001</v>
      </c>
      <c r="S97" s="7">
        <v>98</v>
      </c>
      <c r="T97" s="16">
        <f t="shared" si="4"/>
        <v>36</v>
      </c>
      <c r="U97" s="77">
        <v>398</v>
      </c>
      <c r="V97" s="16">
        <f t="shared" si="5"/>
        <v>3582</v>
      </c>
      <c r="W97" s="77">
        <v>22</v>
      </c>
      <c r="X97" s="60" t="s">
        <v>35</v>
      </c>
      <c r="Y97" s="72" t="s">
        <v>43</v>
      </c>
      <c r="Z97" s="77" t="s">
        <v>29</v>
      </c>
      <c r="AA97" s="77" t="s">
        <v>72</v>
      </c>
      <c r="AB97" s="43" t="s">
        <v>162</v>
      </c>
    </row>
    <row r="98" spans="1:28" x14ac:dyDescent="0.15">
      <c r="A98" s="84" t="s">
        <v>23</v>
      </c>
      <c r="B98" s="84" t="s">
        <v>160</v>
      </c>
      <c r="C98" s="84">
        <v>2020</v>
      </c>
      <c r="D98" s="45" t="s">
        <v>161</v>
      </c>
      <c r="E98" s="84" t="s">
        <v>152</v>
      </c>
      <c r="F98" s="84" t="s">
        <v>147</v>
      </c>
      <c r="G98" s="84" t="s">
        <v>25</v>
      </c>
      <c r="H98" s="84" t="s">
        <v>164</v>
      </c>
      <c r="I98" s="84" t="s">
        <v>111</v>
      </c>
      <c r="J98" s="78" t="s">
        <v>27</v>
      </c>
      <c r="K98" s="77" t="s">
        <v>112</v>
      </c>
      <c r="L98" s="84">
        <v>1</v>
      </c>
      <c r="N98" s="7">
        <v>1</v>
      </c>
      <c r="O98" s="7">
        <v>0.85</v>
      </c>
      <c r="P98" s="7">
        <v>1.1000000000000001</v>
      </c>
      <c r="Q98" s="44">
        <f t="shared" si="3"/>
        <v>0.97500000000000009</v>
      </c>
      <c r="R98" s="7">
        <v>18.399999999999999</v>
      </c>
      <c r="S98" s="7">
        <v>130</v>
      </c>
      <c r="T98" s="16">
        <f t="shared" si="4"/>
        <v>30</v>
      </c>
      <c r="U98" s="7">
        <v>98</v>
      </c>
      <c r="V98" s="16">
        <f t="shared" si="5"/>
        <v>2940</v>
      </c>
      <c r="W98" s="77">
        <v>22</v>
      </c>
      <c r="X98" s="60" t="s">
        <v>35</v>
      </c>
      <c r="Y98" s="72" t="s">
        <v>43</v>
      </c>
      <c r="Z98" s="77" t="s">
        <v>29</v>
      </c>
      <c r="AA98" s="77" t="s">
        <v>72</v>
      </c>
      <c r="AB98" s="43" t="s">
        <v>162</v>
      </c>
    </row>
    <row r="99" spans="1:28" x14ac:dyDescent="0.15">
      <c r="A99" s="84" t="s">
        <v>23</v>
      </c>
      <c r="B99" s="84" t="s">
        <v>160</v>
      </c>
      <c r="C99" s="84">
        <v>2020</v>
      </c>
      <c r="D99" s="45" t="s">
        <v>161</v>
      </c>
      <c r="E99" s="84" t="s">
        <v>152</v>
      </c>
      <c r="F99" s="84" t="s">
        <v>147</v>
      </c>
      <c r="G99" s="84" t="s">
        <v>25</v>
      </c>
      <c r="H99" s="84" t="s">
        <v>164</v>
      </c>
      <c r="I99" s="84" t="s">
        <v>111</v>
      </c>
      <c r="J99" s="78" t="s">
        <v>27</v>
      </c>
      <c r="K99" s="77" t="s">
        <v>112</v>
      </c>
      <c r="L99" s="84">
        <v>2</v>
      </c>
      <c r="N99" s="7">
        <v>1</v>
      </c>
      <c r="O99" s="7">
        <v>0.75</v>
      </c>
      <c r="P99" s="7">
        <v>0.75</v>
      </c>
      <c r="Q99" s="44">
        <f t="shared" si="3"/>
        <v>0.75</v>
      </c>
      <c r="R99" s="7">
        <v>16.600000000000001</v>
      </c>
      <c r="S99" s="7">
        <v>134</v>
      </c>
      <c r="T99" s="16">
        <f t="shared" si="4"/>
        <v>30</v>
      </c>
      <c r="U99" s="77">
        <v>98</v>
      </c>
      <c r="V99" s="16">
        <f t="shared" si="5"/>
        <v>2940</v>
      </c>
      <c r="W99" s="77">
        <v>22</v>
      </c>
      <c r="X99" s="60" t="s">
        <v>35</v>
      </c>
      <c r="Y99" s="72" t="s">
        <v>43</v>
      </c>
      <c r="Z99" s="77" t="s">
        <v>29</v>
      </c>
      <c r="AA99" s="77" t="s">
        <v>72</v>
      </c>
      <c r="AB99" s="43" t="s">
        <v>162</v>
      </c>
    </row>
    <row r="100" spans="1:28" x14ac:dyDescent="0.15">
      <c r="A100" s="84" t="s">
        <v>23</v>
      </c>
      <c r="B100" s="84" t="s">
        <v>160</v>
      </c>
      <c r="C100" s="84">
        <v>2020</v>
      </c>
      <c r="D100" s="45" t="s">
        <v>161</v>
      </c>
      <c r="E100" s="84" t="s">
        <v>152</v>
      </c>
      <c r="F100" s="84" t="s">
        <v>147</v>
      </c>
      <c r="G100" s="84" t="s">
        <v>25</v>
      </c>
      <c r="H100" s="84" t="s">
        <v>164</v>
      </c>
      <c r="I100" s="84" t="s">
        <v>111</v>
      </c>
      <c r="J100" s="78" t="s">
        <v>27</v>
      </c>
      <c r="K100" s="77" t="s">
        <v>112</v>
      </c>
      <c r="L100" s="84">
        <v>3</v>
      </c>
      <c r="N100" s="7">
        <v>1</v>
      </c>
      <c r="O100" s="7">
        <v>0.5</v>
      </c>
      <c r="P100" s="7">
        <v>0.65</v>
      </c>
      <c r="Q100" s="44">
        <f t="shared" si="3"/>
        <v>0.57499999999999996</v>
      </c>
      <c r="R100" s="7">
        <v>16.2</v>
      </c>
      <c r="S100" s="7">
        <v>120</v>
      </c>
      <c r="T100" s="16">
        <f t="shared" si="4"/>
        <v>30</v>
      </c>
      <c r="U100" s="77">
        <v>98</v>
      </c>
      <c r="V100" s="16">
        <f t="shared" si="5"/>
        <v>2940</v>
      </c>
      <c r="W100" s="77">
        <v>22</v>
      </c>
      <c r="X100" s="60" t="s">
        <v>35</v>
      </c>
      <c r="Y100" s="72" t="s">
        <v>43</v>
      </c>
      <c r="Z100" s="77" t="s">
        <v>29</v>
      </c>
      <c r="AA100" s="77" t="s">
        <v>72</v>
      </c>
      <c r="AB100" s="43" t="s">
        <v>162</v>
      </c>
    </row>
    <row r="101" spans="1:28" x14ac:dyDescent="0.15">
      <c r="A101" s="84" t="s">
        <v>23</v>
      </c>
      <c r="B101" s="84" t="s">
        <v>160</v>
      </c>
      <c r="C101" s="84">
        <v>2020</v>
      </c>
      <c r="D101" s="45" t="s">
        <v>161</v>
      </c>
      <c r="E101" s="84" t="s">
        <v>152</v>
      </c>
      <c r="F101" s="84" t="s">
        <v>147</v>
      </c>
      <c r="G101" s="84" t="s">
        <v>25</v>
      </c>
      <c r="H101" s="84" t="s">
        <v>164</v>
      </c>
      <c r="I101" s="84" t="s">
        <v>111</v>
      </c>
      <c r="J101" s="78" t="s">
        <v>27</v>
      </c>
      <c r="K101" s="77" t="s">
        <v>112</v>
      </c>
      <c r="L101" s="84">
        <v>1</v>
      </c>
      <c r="N101" s="7">
        <v>8</v>
      </c>
      <c r="O101" s="7">
        <v>0.7</v>
      </c>
      <c r="P101" s="7">
        <v>0.6</v>
      </c>
      <c r="Q101" s="44">
        <f t="shared" si="3"/>
        <v>0.64999999999999991</v>
      </c>
      <c r="R101" s="7">
        <v>15.1</v>
      </c>
      <c r="S101" s="7">
        <v>134</v>
      </c>
      <c r="T101" s="16">
        <f t="shared" si="4"/>
        <v>30</v>
      </c>
      <c r="U101" s="7">
        <v>780</v>
      </c>
      <c r="V101" s="16">
        <f t="shared" si="5"/>
        <v>2925</v>
      </c>
      <c r="W101" s="77">
        <v>22</v>
      </c>
      <c r="X101" s="60" t="s">
        <v>35</v>
      </c>
      <c r="Y101" s="72" t="s">
        <v>43</v>
      </c>
      <c r="Z101" s="77" t="s">
        <v>29</v>
      </c>
      <c r="AA101" s="77" t="s">
        <v>72</v>
      </c>
      <c r="AB101" s="43" t="s">
        <v>162</v>
      </c>
    </row>
    <row r="102" spans="1:28" x14ac:dyDescent="0.15">
      <c r="A102" s="84" t="s">
        <v>23</v>
      </c>
      <c r="B102" s="84" t="s">
        <v>160</v>
      </c>
      <c r="C102" s="84">
        <v>2020</v>
      </c>
      <c r="D102" s="45" t="s">
        <v>161</v>
      </c>
      <c r="E102" s="84" t="s">
        <v>152</v>
      </c>
      <c r="F102" s="84" t="s">
        <v>147</v>
      </c>
      <c r="G102" s="84" t="s">
        <v>25</v>
      </c>
      <c r="H102" s="84" t="s">
        <v>164</v>
      </c>
      <c r="I102" s="84" t="s">
        <v>111</v>
      </c>
      <c r="J102" s="78" t="s">
        <v>27</v>
      </c>
      <c r="K102" s="77" t="s">
        <v>112</v>
      </c>
      <c r="L102" s="84">
        <v>2</v>
      </c>
      <c r="N102" s="7">
        <v>8</v>
      </c>
      <c r="O102" s="7">
        <v>0.5</v>
      </c>
      <c r="P102" s="7">
        <v>0.6</v>
      </c>
      <c r="Q102" s="44">
        <f t="shared" si="3"/>
        <v>0.55000000000000004</v>
      </c>
      <c r="R102" s="7">
        <v>14.5</v>
      </c>
      <c r="S102" s="7">
        <v>117</v>
      </c>
      <c r="T102" s="16">
        <f t="shared" si="4"/>
        <v>30</v>
      </c>
      <c r="U102" s="77">
        <v>780</v>
      </c>
      <c r="V102" s="16">
        <f t="shared" si="5"/>
        <v>2925</v>
      </c>
      <c r="W102" s="77">
        <v>22</v>
      </c>
      <c r="X102" s="60" t="s">
        <v>35</v>
      </c>
      <c r="Y102" s="72" t="s">
        <v>43</v>
      </c>
      <c r="Z102" s="77" t="s">
        <v>29</v>
      </c>
      <c r="AA102" s="77" t="s">
        <v>72</v>
      </c>
      <c r="AB102" s="43" t="s">
        <v>162</v>
      </c>
    </row>
    <row r="103" spans="1:28" x14ac:dyDescent="0.15">
      <c r="A103" s="84" t="s">
        <v>23</v>
      </c>
      <c r="B103" s="84" t="s">
        <v>160</v>
      </c>
      <c r="C103" s="84">
        <v>2020</v>
      </c>
      <c r="D103" s="45" t="s">
        <v>161</v>
      </c>
      <c r="E103" s="84" t="s">
        <v>152</v>
      </c>
      <c r="F103" s="84" t="s">
        <v>147</v>
      </c>
      <c r="G103" s="84" t="s">
        <v>25</v>
      </c>
      <c r="H103" s="84" t="s">
        <v>164</v>
      </c>
      <c r="I103" s="84" t="s">
        <v>111</v>
      </c>
      <c r="J103" s="78" t="s">
        <v>27</v>
      </c>
      <c r="K103" s="77" t="s">
        <v>112</v>
      </c>
      <c r="L103" s="84">
        <v>3</v>
      </c>
      <c r="N103" s="7">
        <v>8</v>
      </c>
      <c r="O103" s="7">
        <v>1.55</v>
      </c>
      <c r="P103" s="7">
        <v>1.65</v>
      </c>
      <c r="Q103" s="44">
        <f t="shared" si="3"/>
        <v>1.6</v>
      </c>
      <c r="R103" s="7">
        <v>14.3</v>
      </c>
      <c r="S103" s="7">
        <v>118</v>
      </c>
      <c r="T103" s="16">
        <f t="shared" si="4"/>
        <v>30</v>
      </c>
      <c r="U103" s="77">
        <v>780</v>
      </c>
      <c r="V103" s="16">
        <f t="shared" si="5"/>
        <v>2925</v>
      </c>
      <c r="W103" s="77">
        <v>22</v>
      </c>
      <c r="X103" s="60" t="s">
        <v>35</v>
      </c>
      <c r="Y103" s="72" t="s">
        <v>43</v>
      </c>
      <c r="Z103" s="77" t="s">
        <v>29</v>
      </c>
      <c r="AA103" s="77" t="s">
        <v>72</v>
      </c>
      <c r="AB103" s="43" t="s">
        <v>162</v>
      </c>
    </row>
    <row r="104" spans="1:28" x14ac:dyDescent="0.15">
      <c r="A104" s="84" t="s">
        <v>23</v>
      </c>
      <c r="B104" s="84" t="s">
        <v>160</v>
      </c>
      <c r="C104" s="84">
        <v>2020</v>
      </c>
      <c r="D104" s="45" t="s">
        <v>161</v>
      </c>
      <c r="E104" s="84" t="s">
        <v>152</v>
      </c>
      <c r="F104" s="84" t="s">
        <v>147</v>
      </c>
      <c r="G104" s="84" t="s">
        <v>25</v>
      </c>
      <c r="H104" s="84" t="s">
        <v>164</v>
      </c>
      <c r="I104" s="84" t="s">
        <v>111</v>
      </c>
      <c r="J104" s="78" t="s">
        <v>27</v>
      </c>
      <c r="K104" s="77" t="s">
        <v>112</v>
      </c>
      <c r="L104" s="84">
        <v>1</v>
      </c>
      <c r="N104" s="7">
        <v>4</v>
      </c>
      <c r="O104" s="7">
        <v>0.2</v>
      </c>
      <c r="P104" s="7">
        <v>0.3</v>
      </c>
      <c r="Q104" s="44">
        <f t="shared" si="3"/>
        <v>0.25</v>
      </c>
      <c r="R104" s="7">
        <v>18</v>
      </c>
      <c r="S104" s="7">
        <v>98</v>
      </c>
      <c r="T104" s="16">
        <f t="shared" si="4"/>
        <v>36</v>
      </c>
      <c r="U104" s="7">
        <v>398</v>
      </c>
      <c r="V104" s="16">
        <f t="shared" si="5"/>
        <v>3582</v>
      </c>
      <c r="W104" s="77">
        <v>22</v>
      </c>
      <c r="X104" s="60" t="s">
        <v>35</v>
      </c>
      <c r="Y104" s="72" t="s">
        <v>43</v>
      </c>
      <c r="Z104" s="77" t="s">
        <v>29</v>
      </c>
      <c r="AA104" s="77" t="s">
        <v>72</v>
      </c>
      <c r="AB104" s="43" t="s">
        <v>162</v>
      </c>
    </row>
    <row r="105" spans="1:28" x14ac:dyDescent="0.15">
      <c r="A105" s="84" t="s">
        <v>23</v>
      </c>
      <c r="B105" s="84" t="s">
        <v>160</v>
      </c>
      <c r="C105" s="84">
        <v>2020</v>
      </c>
      <c r="D105" s="45" t="s">
        <v>161</v>
      </c>
      <c r="E105" s="84" t="s">
        <v>152</v>
      </c>
      <c r="F105" s="84" t="s">
        <v>147</v>
      </c>
      <c r="G105" s="84" t="s">
        <v>25</v>
      </c>
      <c r="H105" s="84" t="s">
        <v>164</v>
      </c>
      <c r="I105" s="84" t="s">
        <v>111</v>
      </c>
      <c r="J105" s="78" t="s">
        <v>27</v>
      </c>
      <c r="K105" s="77" t="s">
        <v>112</v>
      </c>
      <c r="L105" s="84">
        <v>2</v>
      </c>
      <c r="N105" s="7">
        <v>4</v>
      </c>
      <c r="O105" s="7">
        <v>0.2</v>
      </c>
      <c r="P105" s="7">
        <v>0.2</v>
      </c>
      <c r="Q105" s="44">
        <f t="shared" si="3"/>
        <v>0.2</v>
      </c>
      <c r="R105" s="7">
        <v>15.5</v>
      </c>
      <c r="S105" s="7">
        <v>97</v>
      </c>
      <c r="T105" s="16">
        <f t="shared" si="4"/>
        <v>36</v>
      </c>
      <c r="U105" s="77">
        <v>398</v>
      </c>
      <c r="V105" s="16">
        <f t="shared" si="5"/>
        <v>3582</v>
      </c>
      <c r="W105" s="77">
        <v>22</v>
      </c>
      <c r="X105" s="60" t="s">
        <v>35</v>
      </c>
      <c r="Y105" s="72" t="s">
        <v>43</v>
      </c>
      <c r="Z105" s="77" t="s">
        <v>29</v>
      </c>
      <c r="AA105" s="77" t="s">
        <v>72</v>
      </c>
      <c r="AB105" s="43" t="s">
        <v>162</v>
      </c>
    </row>
    <row r="106" spans="1:28" x14ac:dyDescent="0.15">
      <c r="A106" s="84" t="s">
        <v>23</v>
      </c>
      <c r="B106" s="84" t="s">
        <v>160</v>
      </c>
      <c r="C106" s="84">
        <v>2020</v>
      </c>
      <c r="D106" s="45" t="s">
        <v>161</v>
      </c>
      <c r="E106" s="84" t="s">
        <v>152</v>
      </c>
      <c r="F106" s="84" t="s">
        <v>147</v>
      </c>
      <c r="G106" s="84" t="s">
        <v>25</v>
      </c>
      <c r="H106" s="84" t="s">
        <v>164</v>
      </c>
      <c r="I106" s="84" t="s">
        <v>111</v>
      </c>
      <c r="J106" s="78" t="s">
        <v>27</v>
      </c>
      <c r="K106" s="77" t="s">
        <v>112</v>
      </c>
      <c r="L106" s="84">
        <v>3</v>
      </c>
      <c r="N106" s="7">
        <v>4</v>
      </c>
      <c r="O106" s="7">
        <v>0.2</v>
      </c>
      <c r="P106" s="7">
        <v>0.25</v>
      </c>
      <c r="Q106" s="44">
        <f t="shared" si="3"/>
        <v>0.22500000000000001</v>
      </c>
      <c r="R106" s="7">
        <v>16.899999999999999</v>
      </c>
      <c r="S106" s="7">
        <v>105</v>
      </c>
      <c r="T106" s="16">
        <f t="shared" si="4"/>
        <v>33</v>
      </c>
      <c r="U106" s="77">
        <v>398</v>
      </c>
      <c r="V106" s="16">
        <f t="shared" si="5"/>
        <v>3283.5</v>
      </c>
      <c r="W106" s="77">
        <v>22</v>
      </c>
      <c r="X106" s="60" t="s">
        <v>35</v>
      </c>
      <c r="Y106" s="72" t="s">
        <v>43</v>
      </c>
      <c r="Z106" s="77" t="s">
        <v>29</v>
      </c>
      <c r="AA106" s="77" t="s">
        <v>72</v>
      </c>
      <c r="AB106" s="43" t="s">
        <v>162</v>
      </c>
    </row>
    <row r="107" spans="1:28" x14ac:dyDescent="0.15">
      <c r="A107" s="84" t="s">
        <v>23</v>
      </c>
      <c r="B107" s="84" t="s">
        <v>160</v>
      </c>
      <c r="C107" s="84">
        <v>2020</v>
      </c>
      <c r="D107" s="45" t="s">
        <v>161</v>
      </c>
      <c r="E107" s="84" t="s">
        <v>152</v>
      </c>
      <c r="F107" s="84" t="s">
        <v>147</v>
      </c>
      <c r="G107" s="84" t="s">
        <v>25</v>
      </c>
      <c r="H107" s="84" t="s">
        <v>164</v>
      </c>
      <c r="I107" s="84" t="s">
        <v>111</v>
      </c>
      <c r="J107" s="78" t="s">
        <v>27</v>
      </c>
      <c r="K107" s="77" t="s">
        <v>112</v>
      </c>
      <c r="L107" s="84">
        <v>1</v>
      </c>
      <c r="N107" s="7">
        <v>1</v>
      </c>
      <c r="O107" s="7">
        <v>0.35</v>
      </c>
      <c r="P107" s="7">
        <v>0.55000000000000004</v>
      </c>
      <c r="Q107" s="44">
        <f t="shared" si="3"/>
        <v>0.45</v>
      </c>
      <c r="R107" s="7">
        <v>19.5</v>
      </c>
      <c r="S107" s="7">
        <v>149</v>
      </c>
      <c r="T107" s="16">
        <f t="shared" si="4"/>
        <v>30</v>
      </c>
      <c r="U107" s="7">
        <v>198</v>
      </c>
      <c r="V107" s="16">
        <f t="shared" si="5"/>
        <v>5940</v>
      </c>
      <c r="W107" s="77">
        <v>22</v>
      </c>
      <c r="X107" s="60" t="s">
        <v>35</v>
      </c>
      <c r="Y107" s="72" t="s">
        <v>43</v>
      </c>
      <c r="Z107" s="77" t="s">
        <v>29</v>
      </c>
      <c r="AA107" s="77" t="s">
        <v>72</v>
      </c>
      <c r="AB107" s="43" t="s">
        <v>162</v>
      </c>
    </row>
    <row r="108" spans="1:28" x14ac:dyDescent="0.15">
      <c r="A108" s="84" t="s">
        <v>23</v>
      </c>
      <c r="B108" s="84" t="s">
        <v>160</v>
      </c>
      <c r="C108" s="84">
        <v>2020</v>
      </c>
      <c r="D108" s="45" t="s">
        <v>161</v>
      </c>
      <c r="E108" s="84" t="s">
        <v>152</v>
      </c>
      <c r="F108" s="84" t="s">
        <v>147</v>
      </c>
      <c r="G108" s="84" t="s">
        <v>25</v>
      </c>
      <c r="H108" s="84" t="s">
        <v>164</v>
      </c>
      <c r="I108" s="84" t="s">
        <v>111</v>
      </c>
      <c r="J108" s="78" t="s">
        <v>27</v>
      </c>
      <c r="K108" s="77" t="s">
        <v>112</v>
      </c>
      <c r="L108" s="84">
        <v>2</v>
      </c>
      <c r="N108" s="7">
        <v>1</v>
      </c>
      <c r="O108" s="7">
        <v>0.5</v>
      </c>
      <c r="P108" s="7">
        <v>0.55000000000000004</v>
      </c>
      <c r="Q108" s="44">
        <f t="shared" si="3"/>
        <v>0.52500000000000002</v>
      </c>
      <c r="R108" s="7">
        <v>19.399999999999999</v>
      </c>
      <c r="S108" s="7">
        <v>145</v>
      </c>
      <c r="T108" s="16">
        <f t="shared" si="4"/>
        <v>30</v>
      </c>
      <c r="U108" s="77">
        <v>198</v>
      </c>
      <c r="V108" s="16">
        <f t="shared" si="5"/>
        <v>5940</v>
      </c>
      <c r="W108" s="77">
        <v>22</v>
      </c>
      <c r="X108" s="60" t="s">
        <v>35</v>
      </c>
      <c r="Y108" s="72" t="s">
        <v>43</v>
      </c>
      <c r="Z108" s="77" t="s">
        <v>29</v>
      </c>
      <c r="AA108" s="77" t="s">
        <v>72</v>
      </c>
      <c r="AB108" s="43" t="s">
        <v>162</v>
      </c>
    </row>
    <row r="109" spans="1:28" x14ac:dyDescent="0.15">
      <c r="A109" s="84" t="s">
        <v>23</v>
      </c>
      <c r="B109" s="84" t="s">
        <v>160</v>
      </c>
      <c r="C109" s="84">
        <v>2020</v>
      </c>
      <c r="D109" s="45" t="s">
        <v>161</v>
      </c>
      <c r="E109" s="84" t="s">
        <v>152</v>
      </c>
      <c r="F109" s="84" t="s">
        <v>147</v>
      </c>
      <c r="G109" s="84" t="s">
        <v>25</v>
      </c>
      <c r="H109" s="84" t="s">
        <v>164</v>
      </c>
      <c r="I109" s="84" t="s">
        <v>111</v>
      </c>
      <c r="J109" s="78" t="s">
        <v>27</v>
      </c>
      <c r="K109" s="77" t="s">
        <v>112</v>
      </c>
      <c r="L109" s="84">
        <v>3</v>
      </c>
      <c r="N109" s="7">
        <v>1</v>
      </c>
      <c r="O109" s="7">
        <v>0.5</v>
      </c>
      <c r="P109" s="7">
        <v>0.5</v>
      </c>
      <c r="Q109" s="44">
        <f t="shared" si="3"/>
        <v>0.5</v>
      </c>
      <c r="R109" s="7">
        <v>17.7</v>
      </c>
      <c r="S109" s="7">
        <v>152</v>
      </c>
      <c r="T109" s="16">
        <f t="shared" si="4"/>
        <v>30</v>
      </c>
      <c r="U109" s="77">
        <v>198</v>
      </c>
      <c r="V109" s="16">
        <f t="shared" si="5"/>
        <v>5940</v>
      </c>
      <c r="W109" s="77">
        <v>22</v>
      </c>
      <c r="X109" s="60" t="s">
        <v>35</v>
      </c>
      <c r="Y109" s="72" t="s">
        <v>43</v>
      </c>
      <c r="Z109" s="77" t="s">
        <v>29</v>
      </c>
      <c r="AA109" s="77" t="s">
        <v>72</v>
      </c>
      <c r="AB109" s="43" t="s">
        <v>162</v>
      </c>
    </row>
    <row r="110" spans="1:28" x14ac:dyDescent="0.15">
      <c r="A110" s="84" t="s">
        <v>23</v>
      </c>
      <c r="B110" s="84" t="s">
        <v>160</v>
      </c>
      <c r="C110" s="84">
        <v>2020</v>
      </c>
      <c r="D110" s="45" t="s">
        <v>161</v>
      </c>
      <c r="E110" s="84" t="s">
        <v>152</v>
      </c>
      <c r="F110" s="84" t="s">
        <v>147</v>
      </c>
      <c r="G110" s="84" t="s">
        <v>25</v>
      </c>
      <c r="H110" s="84" t="s">
        <v>164</v>
      </c>
      <c r="I110" s="84" t="s">
        <v>170</v>
      </c>
      <c r="J110" s="78" t="s">
        <v>27</v>
      </c>
      <c r="K110" s="77" t="s">
        <v>112</v>
      </c>
      <c r="L110" s="84">
        <v>1</v>
      </c>
      <c r="N110" s="7">
        <v>2</v>
      </c>
      <c r="O110" s="7">
        <v>0.55000000000000004</v>
      </c>
      <c r="P110" s="7">
        <v>0.55000000000000004</v>
      </c>
      <c r="Q110" s="44">
        <f t="shared" si="3"/>
        <v>0.55000000000000004</v>
      </c>
      <c r="R110" s="7">
        <v>16.2</v>
      </c>
      <c r="S110" s="7">
        <v>126</v>
      </c>
      <c r="T110" s="16">
        <f t="shared" si="4"/>
        <v>30</v>
      </c>
      <c r="U110" s="7">
        <v>398</v>
      </c>
      <c r="V110" s="16">
        <f t="shared" si="5"/>
        <v>5970</v>
      </c>
      <c r="W110" s="77">
        <v>22</v>
      </c>
      <c r="X110" s="60" t="s">
        <v>35</v>
      </c>
      <c r="Y110" s="72" t="s">
        <v>43</v>
      </c>
      <c r="Z110" s="77" t="s">
        <v>29</v>
      </c>
      <c r="AA110" s="77" t="s">
        <v>72</v>
      </c>
      <c r="AB110" s="43" t="s">
        <v>162</v>
      </c>
    </row>
    <row r="111" spans="1:28" x14ac:dyDescent="0.15">
      <c r="A111" s="84" t="s">
        <v>23</v>
      </c>
      <c r="B111" s="84" t="s">
        <v>160</v>
      </c>
      <c r="C111" s="84">
        <v>2020</v>
      </c>
      <c r="D111" s="45" t="s">
        <v>161</v>
      </c>
      <c r="E111" s="84" t="s">
        <v>152</v>
      </c>
      <c r="F111" s="84" t="s">
        <v>147</v>
      </c>
      <c r="G111" s="84" t="s">
        <v>25</v>
      </c>
      <c r="H111" s="84" t="s">
        <v>164</v>
      </c>
      <c r="I111" s="84" t="s">
        <v>170</v>
      </c>
      <c r="J111" s="78" t="s">
        <v>27</v>
      </c>
      <c r="K111" s="77" t="s">
        <v>112</v>
      </c>
      <c r="L111" s="84">
        <v>2</v>
      </c>
      <c r="N111" s="7">
        <v>2</v>
      </c>
      <c r="O111" s="7">
        <v>0.45</v>
      </c>
      <c r="P111" s="7">
        <v>0.5</v>
      </c>
      <c r="Q111" s="44">
        <f t="shared" si="3"/>
        <v>0.47499999999999998</v>
      </c>
      <c r="R111" s="7">
        <v>17.399999999999999</v>
      </c>
      <c r="S111" s="7">
        <v>126</v>
      </c>
      <c r="T111" s="16">
        <f t="shared" si="4"/>
        <v>30</v>
      </c>
      <c r="U111" s="77">
        <v>398</v>
      </c>
      <c r="V111" s="16">
        <f t="shared" si="5"/>
        <v>5970</v>
      </c>
      <c r="W111" s="77">
        <v>22</v>
      </c>
      <c r="X111" s="60" t="s">
        <v>35</v>
      </c>
      <c r="Y111" s="72" t="s">
        <v>43</v>
      </c>
      <c r="Z111" s="77" t="s">
        <v>29</v>
      </c>
      <c r="AA111" s="77" t="s">
        <v>72</v>
      </c>
      <c r="AB111" s="43" t="s">
        <v>162</v>
      </c>
    </row>
    <row r="112" spans="1:28" x14ac:dyDescent="0.15">
      <c r="A112" s="84" t="s">
        <v>23</v>
      </c>
      <c r="B112" s="84" t="s">
        <v>160</v>
      </c>
      <c r="C112" s="84">
        <v>2020</v>
      </c>
      <c r="D112" s="45" t="s">
        <v>161</v>
      </c>
      <c r="E112" s="84" t="s">
        <v>152</v>
      </c>
      <c r="F112" s="84" t="s">
        <v>147</v>
      </c>
      <c r="G112" s="84" t="s">
        <v>25</v>
      </c>
      <c r="H112" s="84" t="s">
        <v>164</v>
      </c>
      <c r="I112" s="84" t="s">
        <v>170</v>
      </c>
      <c r="J112" s="78" t="s">
        <v>27</v>
      </c>
      <c r="K112" s="77" t="s">
        <v>112</v>
      </c>
      <c r="L112" s="84">
        <v>3</v>
      </c>
      <c r="N112" s="7">
        <v>2</v>
      </c>
      <c r="O112" s="7">
        <v>0.6</v>
      </c>
      <c r="P112" s="7">
        <v>0.7</v>
      </c>
      <c r="Q112" s="44">
        <f t="shared" si="3"/>
        <v>0.64999999999999991</v>
      </c>
      <c r="R112" s="7">
        <v>18.399999999999999</v>
      </c>
      <c r="S112" s="7">
        <v>129</v>
      </c>
      <c r="T112" s="16">
        <f t="shared" si="4"/>
        <v>30</v>
      </c>
      <c r="U112" s="77">
        <v>398</v>
      </c>
      <c r="V112" s="16">
        <f t="shared" si="5"/>
        <v>5970</v>
      </c>
      <c r="W112" s="77">
        <v>22</v>
      </c>
      <c r="X112" s="60" t="s">
        <v>172</v>
      </c>
      <c r="Y112" s="72" t="s">
        <v>43</v>
      </c>
      <c r="Z112" s="77" t="s">
        <v>29</v>
      </c>
      <c r="AA112" s="77" t="s">
        <v>72</v>
      </c>
      <c r="AB112" s="43" t="s">
        <v>162</v>
      </c>
    </row>
    <row r="113" spans="1:28" x14ac:dyDescent="0.15">
      <c r="A113" s="84" t="s">
        <v>23</v>
      </c>
      <c r="B113" s="84" t="s">
        <v>160</v>
      </c>
      <c r="C113" s="84">
        <v>2020</v>
      </c>
      <c r="D113" s="45" t="s">
        <v>161</v>
      </c>
      <c r="E113" s="90" t="s">
        <v>153</v>
      </c>
      <c r="F113" s="90" t="s">
        <v>154</v>
      </c>
      <c r="G113" s="84" t="s">
        <v>31</v>
      </c>
      <c r="H113" s="84" t="s">
        <v>164</v>
      </c>
      <c r="I113" s="84" t="s">
        <v>111</v>
      </c>
      <c r="J113" s="78" t="s">
        <v>27</v>
      </c>
      <c r="K113" s="77" t="s">
        <v>112</v>
      </c>
      <c r="L113" s="84">
        <v>1</v>
      </c>
      <c r="N113" s="7">
        <v>4</v>
      </c>
      <c r="O113" s="7">
        <v>0.7</v>
      </c>
      <c r="P113" s="7">
        <v>0.7</v>
      </c>
      <c r="Q113" s="44">
        <f t="shared" si="3"/>
        <v>0.7</v>
      </c>
      <c r="R113" s="7">
        <v>19</v>
      </c>
      <c r="S113" s="7">
        <v>102</v>
      </c>
      <c r="T113" s="16">
        <f t="shared" si="4"/>
        <v>33</v>
      </c>
      <c r="U113" s="7">
        <v>570</v>
      </c>
      <c r="V113" s="16">
        <f t="shared" si="5"/>
        <v>4702.5</v>
      </c>
      <c r="W113" s="7">
        <v>1</v>
      </c>
      <c r="X113" s="7" t="s">
        <v>28</v>
      </c>
      <c r="Y113" s="7" t="s">
        <v>55</v>
      </c>
      <c r="Z113" s="77" t="s">
        <v>29</v>
      </c>
      <c r="AA113" s="7" t="s">
        <v>36</v>
      </c>
      <c r="AB113" s="43" t="s">
        <v>162</v>
      </c>
    </row>
    <row r="114" spans="1:28" x14ac:dyDescent="0.15">
      <c r="A114" s="84" t="s">
        <v>23</v>
      </c>
      <c r="B114" s="84" t="s">
        <v>160</v>
      </c>
      <c r="C114" s="84">
        <v>2020</v>
      </c>
      <c r="D114" s="45" t="s">
        <v>161</v>
      </c>
      <c r="E114" s="90" t="s">
        <v>153</v>
      </c>
      <c r="F114" s="90" t="s">
        <v>154</v>
      </c>
      <c r="G114" s="84" t="s">
        <v>31</v>
      </c>
      <c r="H114" s="84" t="s">
        <v>164</v>
      </c>
      <c r="I114" s="84" t="s">
        <v>111</v>
      </c>
      <c r="J114" s="78" t="s">
        <v>27</v>
      </c>
      <c r="K114" s="77" t="s">
        <v>112</v>
      </c>
      <c r="L114" s="84">
        <v>2</v>
      </c>
      <c r="N114" s="7">
        <v>4</v>
      </c>
      <c r="O114" s="7">
        <v>0.6</v>
      </c>
      <c r="P114" s="7">
        <v>0.65</v>
      </c>
      <c r="Q114" s="44">
        <f t="shared" si="3"/>
        <v>0.625</v>
      </c>
      <c r="R114" s="7">
        <v>18.399999999999999</v>
      </c>
      <c r="S114" s="7">
        <v>100</v>
      </c>
      <c r="T114" s="16">
        <f t="shared" si="4"/>
        <v>33</v>
      </c>
      <c r="U114" s="77">
        <v>570</v>
      </c>
      <c r="V114" s="16">
        <f t="shared" si="5"/>
        <v>4702.5</v>
      </c>
      <c r="W114" s="77">
        <v>1</v>
      </c>
      <c r="X114" s="77" t="s">
        <v>28</v>
      </c>
      <c r="Y114" s="77" t="s">
        <v>55</v>
      </c>
      <c r="Z114" s="77" t="s">
        <v>29</v>
      </c>
      <c r="AA114" s="77" t="s">
        <v>36</v>
      </c>
      <c r="AB114" s="43" t="s">
        <v>162</v>
      </c>
    </row>
    <row r="115" spans="1:28" x14ac:dyDescent="0.15">
      <c r="A115" s="84" t="s">
        <v>23</v>
      </c>
      <c r="B115" s="84" t="s">
        <v>160</v>
      </c>
      <c r="C115" s="84">
        <v>2020</v>
      </c>
      <c r="D115" s="45" t="s">
        <v>161</v>
      </c>
      <c r="E115" s="90" t="s">
        <v>153</v>
      </c>
      <c r="F115" s="90" t="s">
        <v>154</v>
      </c>
      <c r="G115" s="84" t="s">
        <v>31</v>
      </c>
      <c r="H115" s="84" t="s">
        <v>164</v>
      </c>
      <c r="I115" s="84" t="s">
        <v>111</v>
      </c>
      <c r="J115" s="78" t="s">
        <v>27</v>
      </c>
      <c r="K115" s="77" t="s">
        <v>112</v>
      </c>
      <c r="L115" s="84">
        <v>3</v>
      </c>
      <c r="N115" s="7">
        <v>4</v>
      </c>
      <c r="O115" s="7">
        <v>0.6</v>
      </c>
      <c r="P115" s="7">
        <v>0.6</v>
      </c>
      <c r="Q115" s="44">
        <f t="shared" si="3"/>
        <v>0.6</v>
      </c>
      <c r="R115" s="7">
        <v>21.5</v>
      </c>
      <c r="S115" s="7">
        <v>107</v>
      </c>
      <c r="T115" s="16">
        <f t="shared" si="4"/>
        <v>33</v>
      </c>
      <c r="U115" s="77">
        <v>570</v>
      </c>
      <c r="V115" s="16">
        <f t="shared" si="5"/>
        <v>4702.5</v>
      </c>
      <c r="W115" s="77">
        <v>1</v>
      </c>
      <c r="X115" s="77" t="s">
        <v>28</v>
      </c>
      <c r="Y115" s="77" t="s">
        <v>55</v>
      </c>
      <c r="Z115" s="77" t="s">
        <v>29</v>
      </c>
      <c r="AA115" s="77" t="s">
        <v>36</v>
      </c>
      <c r="AB115" s="43" t="s">
        <v>162</v>
      </c>
    </row>
    <row r="116" spans="1:28" x14ac:dyDescent="0.15">
      <c r="A116" s="84" t="s">
        <v>23</v>
      </c>
      <c r="B116" s="84" t="s">
        <v>160</v>
      </c>
      <c r="C116" s="84">
        <v>2020</v>
      </c>
      <c r="D116" s="45" t="s">
        <v>161</v>
      </c>
      <c r="E116" s="84" t="s">
        <v>167</v>
      </c>
      <c r="F116" s="84" t="s">
        <v>155</v>
      </c>
      <c r="G116" s="84" t="s">
        <v>25</v>
      </c>
      <c r="H116" s="84" t="s">
        <v>169</v>
      </c>
      <c r="I116" s="84" t="s">
        <v>111</v>
      </c>
      <c r="J116" s="78" t="s">
        <v>27</v>
      </c>
      <c r="K116" s="77" t="s">
        <v>112</v>
      </c>
      <c r="L116" s="84">
        <v>1</v>
      </c>
      <c r="N116" s="7">
        <v>1</v>
      </c>
      <c r="O116" s="7">
        <v>1</v>
      </c>
      <c r="P116" s="7">
        <v>1.1000000000000001</v>
      </c>
      <c r="Q116" s="44">
        <f t="shared" si="3"/>
        <v>1.05</v>
      </c>
      <c r="R116" s="7">
        <v>16.7</v>
      </c>
      <c r="S116" s="7">
        <v>132</v>
      </c>
      <c r="T116" s="16">
        <f t="shared" si="4"/>
        <v>30</v>
      </c>
      <c r="U116" s="7">
        <v>138</v>
      </c>
      <c r="V116" s="16">
        <f t="shared" si="5"/>
        <v>4140</v>
      </c>
      <c r="W116" s="7">
        <v>12</v>
      </c>
      <c r="X116" s="60" t="s">
        <v>35</v>
      </c>
      <c r="Y116" s="77" t="s">
        <v>29</v>
      </c>
      <c r="Z116" s="7" t="s">
        <v>76</v>
      </c>
      <c r="AA116" s="7" t="s">
        <v>72</v>
      </c>
      <c r="AB116" s="43" t="s">
        <v>162</v>
      </c>
    </row>
    <row r="117" spans="1:28" x14ac:dyDescent="0.15">
      <c r="A117" s="84" t="s">
        <v>23</v>
      </c>
      <c r="B117" s="84" t="s">
        <v>160</v>
      </c>
      <c r="C117" s="84">
        <v>2020</v>
      </c>
      <c r="D117" s="45" t="s">
        <v>161</v>
      </c>
      <c r="E117" s="84" t="s">
        <v>167</v>
      </c>
      <c r="F117" s="84" t="s">
        <v>155</v>
      </c>
      <c r="G117" s="84" t="s">
        <v>25</v>
      </c>
      <c r="H117" s="84" t="s">
        <v>113</v>
      </c>
      <c r="I117" s="84" t="s">
        <v>111</v>
      </c>
      <c r="J117" s="78" t="s">
        <v>27</v>
      </c>
      <c r="K117" s="77" t="s">
        <v>112</v>
      </c>
      <c r="L117" s="84">
        <v>2</v>
      </c>
      <c r="N117" s="7">
        <v>1</v>
      </c>
      <c r="O117" s="7">
        <v>1.1000000000000001</v>
      </c>
      <c r="P117" s="7">
        <v>1.1499999999999999</v>
      </c>
      <c r="Q117" s="44">
        <f t="shared" si="3"/>
        <v>1.125</v>
      </c>
      <c r="R117" s="7">
        <v>13.3</v>
      </c>
      <c r="S117" s="7">
        <v>127</v>
      </c>
      <c r="T117" s="16">
        <f t="shared" si="4"/>
        <v>30</v>
      </c>
      <c r="U117" s="77">
        <v>138</v>
      </c>
      <c r="V117" s="16">
        <f t="shared" si="5"/>
        <v>4140</v>
      </c>
      <c r="W117" s="77">
        <v>12</v>
      </c>
      <c r="X117" s="60" t="s">
        <v>35</v>
      </c>
      <c r="Y117" s="77" t="s">
        <v>29</v>
      </c>
      <c r="Z117" s="77" t="s">
        <v>76</v>
      </c>
      <c r="AA117" s="77" t="s">
        <v>72</v>
      </c>
      <c r="AB117" s="43" t="s">
        <v>162</v>
      </c>
    </row>
    <row r="118" spans="1:28" x14ac:dyDescent="0.15">
      <c r="A118" s="84" t="s">
        <v>23</v>
      </c>
      <c r="B118" s="84" t="s">
        <v>160</v>
      </c>
      <c r="C118" s="84">
        <v>2020</v>
      </c>
      <c r="D118" s="45" t="s">
        <v>161</v>
      </c>
      <c r="E118" s="84" t="s">
        <v>167</v>
      </c>
      <c r="F118" s="84" t="s">
        <v>155</v>
      </c>
      <c r="G118" s="84" t="s">
        <v>25</v>
      </c>
      <c r="H118" s="84" t="s">
        <v>113</v>
      </c>
      <c r="I118" s="84" t="s">
        <v>111</v>
      </c>
      <c r="J118" s="78" t="s">
        <v>27</v>
      </c>
      <c r="K118" s="77" t="s">
        <v>112</v>
      </c>
      <c r="L118" s="84">
        <v>3</v>
      </c>
      <c r="N118" s="7">
        <v>1</v>
      </c>
      <c r="O118" s="7">
        <v>1.2</v>
      </c>
      <c r="P118" s="7">
        <v>1</v>
      </c>
      <c r="Q118" s="44">
        <f t="shared" si="3"/>
        <v>1.1000000000000001</v>
      </c>
      <c r="R118" s="7">
        <v>13</v>
      </c>
      <c r="S118" s="7">
        <v>130</v>
      </c>
      <c r="T118" s="16">
        <f t="shared" si="4"/>
        <v>30</v>
      </c>
      <c r="U118" s="77">
        <v>138</v>
      </c>
      <c r="V118" s="16">
        <f t="shared" si="5"/>
        <v>4140</v>
      </c>
      <c r="W118" s="77">
        <v>12</v>
      </c>
      <c r="X118" s="60" t="s">
        <v>35</v>
      </c>
      <c r="Y118" s="77" t="s">
        <v>29</v>
      </c>
      <c r="Z118" s="77" t="s">
        <v>76</v>
      </c>
      <c r="AA118" s="77" t="s">
        <v>72</v>
      </c>
      <c r="AB118" s="43" t="s">
        <v>162</v>
      </c>
    </row>
    <row r="119" spans="1:28" x14ac:dyDescent="0.15">
      <c r="A119" s="84" t="s">
        <v>23</v>
      </c>
      <c r="B119" s="84" t="s">
        <v>160</v>
      </c>
      <c r="C119" s="84">
        <v>2020</v>
      </c>
      <c r="D119" s="45" t="s">
        <v>161</v>
      </c>
      <c r="E119" s="84" t="s">
        <v>167</v>
      </c>
      <c r="F119" s="84" t="s">
        <v>155</v>
      </c>
      <c r="G119" s="84" t="s">
        <v>25</v>
      </c>
      <c r="H119" s="90" t="s">
        <v>164</v>
      </c>
      <c r="I119" s="84" t="s">
        <v>111</v>
      </c>
      <c r="J119" s="78" t="s">
        <v>27</v>
      </c>
      <c r="K119" s="77" t="s">
        <v>112</v>
      </c>
      <c r="L119" s="84">
        <v>1</v>
      </c>
      <c r="N119" s="7">
        <v>1</v>
      </c>
      <c r="O119" s="7">
        <v>0.7</v>
      </c>
      <c r="P119" s="7">
        <v>0.95</v>
      </c>
      <c r="Q119" s="44">
        <f t="shared" si="3"/>
        <v>0.82499999999999996</v>
      </c>
      <c r="R119" s="7">
        <v>15.2</v>
      </c>
      <c r="S119" s="7">
        <v>153</v>
      </c>
      <c r="T119" s="16">
        <f t="shared" si="4"/>
        <v>30</v>
      </c>
      <c r="U119" s="77">
        <v>138</v>
      </c>
      <c r="V119" s="16">
        <f t="shared" si="5"/>
        <v>4140</v>
      </c>
      <c r="W119" s="77">
        <v>12</v>
      </c>
      <c r="X119" s="60" t="s">
        <v>35</v>
      </c>
      <c r="Y119" s="77" t="s">
        <v>29</v>
      </c>
      <c r="Z119" s="77" t="s">
        <v>76</v>
      </c>
      <c r="AA119" s="77" t="s">
        <v>72</v>
      </c>
      <c r="AB119" s="43" t="s">
        <v>162</v>
      </c>
    </row>
    <row r="120" spans="1:28" x14ac:dyDescent="0.15">
      <c r="A120" s="84" t="s">
        <v>23</v>
      </c>
      <c r="B120" s="84" t="s">
        <v>160</v>
      </c>
      <c r="C120" s="84">
        <v>2020</v>
      </c>
      <c r="D120" s="45" t="s">
        <v>161</v>
      </c>
      <c r="E120" s="84" t="s">
        <v>167</v>
      </c>
      <c r="F120" s="84" t="s">
        <v>155</v>
      </c>
      <c r="G120" s="84" t="s">
        <v>25</v>
      </c>
      <c r="H120" s="90" t="s">
        <v>164</v>
      </c>
      <c r="I120" s="84" t="s">
        <v>111</v>
      </c>
      <c r="J120" s="78" t="s">
        <v>27</v>
      </c>
      <c r="K120" s="77" t="s">
        <v>112</v>
      </c>
      <c r="L120" s="84">
        <v>2</v>
      </c>
      <c r="N120" s="7">
        <v>1</v>
      </c>
      <c r="O120" s="7">
        <v>0.8</v>
      </c>
      <c r="P120" s="7">
        <v>0.85</v>
      </c>
      <c r="Q120" s="44">
        <f t="shared" si="3"/>
        <v>0.82499999999999996</v>
      </c>
      <c r="R120" s="7">
        <v>16.8</v>
      </c>
      <c r="S120" s="7">
        <v>159</v>
      </c>
      <c r="T120" s="16">
        <f t="shared" si="4"/>
        <v>30</v>
      </c>
      <c r="U120" s="77">
        <v>138</v>
      </c>
      <c r="V120" s="16">
        <f t="shared" si="5"/>
        <v>4140</v>
      </c>
      <c r="W120" s="77">
        <v>12</v>
      </c>
      <c r="X120" s="60" t="s">
        <v>35</v>
      </c>
      <c r="Y120" s="77" t="s">
        <v>29</v>
      </c>
      <c r="Z120" s="77" t="s">
        <v>76</v>
      </c>
      <c r="AA120" s="77" t="s">
        <v>72</v>
      </c>
      <c r="AB120" s="43" t="s">
        <v>162</v>
      </c>
    </row>
    <row r="121" spans="1:28" x14ac:dyDescent="0.15">
      <c r="A121" s="84" t="s">
        <v>23</v>
      </c>
      <c r="B121" s="84" t="s">
        <v>160</v>
      </c>
      <c r="C121" s="84">
        <v>2020</v>
      </c>
      <c r="D121" s="45" t="s">
        <v>161</v>
      </c>
      <c r="E121" s="84" t="s">
        <v>167</v>
      </c>
      <c r="F121" s="84" t="s">
        <v>155</v>
      </c>
      <c r="G121" s="84" t="s">
        <v>25</v>
      </c>
      <c r="H121" s="90" t="s">
        <v>164</v>
      </c>
      <c r="I121" s="84" t="s">
        <v>111</v>
      </c>
      <c r="J121" s="78" t="s">
        <v>27</v>
      </c>
      <c r="K121" s="77" t="s">
        <v>112</v>
      </c>
      <c r="L121" s="84">
        <v>3</v>
      </c>
      <c r="N121" s="7">
        <v>1</v>
      </c>
      <c r="O121" s="7">
        <v>0.8</v>
      </c>
      <c r="P121" s="7">
        <v>0.9</v>
      </c>
      <c r="Q121" s="44">
        <f t="shared" si="3"/>
        <v>0.85000000000000009</v>
      </c>
      <c r="R121" s="7">
        <v>17.3</v>
      </c>
      <c r="S121" s="7">
        <v>153</v>
      </c>
      <c r="T121" s="16">
        <f t="shared" si="4"/>
        <v>30</v>
      </c>
      <c r="U121" s="77">
        <v>138</v>
      </c>
      <c r="V121" s="16">
        <f t="shared" si="5"/>
        <v>4140</v>
      </c>
      <c r="W121" s="77">
        <v>12</v>
      </c>
      <c r="X121" s="60" t="s">
        <v>35</v>
      </c>
      <c r="Y121" s="77" t="s">
        <v>29</v>
      </c>
      <c r="Z121" s="77" t="s">
        <v>76</v>
      </c>
      <c r="AA121" s="77" t="s">
        <v>72</v>
      </c>
      <c r="AB121" s="43" t="s">
        <v>162</v>
      </c>
    </row>
    <row r="122" spans="1:28" x14ac:dyDescent="0.15">
      <c r="A122" s="84" t="s">
        <v>23</v>
      </c>
      <c r="B122" s="84" t="s">
        <v>160</v>
      </c>
      <c r="C122" s="84">
        <v>2020</v>
      </c>
      <c r="D122" s="45" t="s">
        <v>161</v>
      </c>
      <c r="E122" s="84" t="s">
        <v>167</v>
      </c>
      <c r="F122" s="84" t="s">
        <v>155</v>
      </c>
      <c r="G122" s="84" t="s">
        <v>25</v>
      </c>
      <c r="H122" s="90" t="s">
        <v>164</v>
      </c>
      <c r="I122" s="84" t="s">
        <v>111</v>
      </c>
      <c r="J122" s="78" t="s">
        <v>27</v>
      </c>
      <c r="K122" s="77" t="s">
        <v>112</v>
      </c>
      <c r="L122" s="84">
        <v>1</v>
      </c>
      <c r="N122" s="7">
        <v>4</v>
      </c>
      <c r="O122" s="7">
        <v>0.8</v>
      </c>
      <c r="P122" s="7">
        <v>0.9</v>
      </c>
      <c r="Q122" s="44">
        <f t="shared" si="3"/>
        <v>0.85000000000000009</v>
      </c>
      <c r="R122" s="7">
        <v>16.5</v>
      </c>
      <c r="S122" s="7">
        <v>167</v>
      </c>
      <c r="T122" s="16">
        <f t="shared" si="4"/>
        <v>30</v>
      </c>
      <c r="U122" s="7">
        <v>500</v>
      </c>
      <c r="V122" s="16">
        <f t="shared" si="5"/>
        <v>3750</v>
      </c>
      <c r="W122" s="77">
        <v>12</v>
      </c>
      <c r="X122" s="60" t="s">
        <v>35</v>
      </c>
      <c r="Y122" s="77" t="s">
        <v>29</v>
      </c>
      <c r="Z122" s="77" t="s">
        <v>76</v>
      </c>
      <c r="AA122" s="77" t="s">
        <v>72</v>
      </c>
      <c r="AB122" s="43" t="s">
        <v>162</v>
      </c>
    </row>
    <row r="123" spans="1:28" x14ac:dyDescent="0.15">
      <c r="A123" s="84" t="s">
        <v>23</v>
      </c>
      <c r="B123" s="84" t="s">
        <v>160</v>
      </c>
      <c r="C123" s="84">
        <v>2020</v>
      </c>
      <c r="D123" s="45" t="s">
        <v>161</v>
      </c>
      <c r="E123" s="84" t="s">
        <v>167</v>
      </c>
      <c r="F123" s="84" t="s">
        <v>155</v>
      </c>
      <c r="G123" s="84" t="s">
        <v>25</v>
      </c>
      <c r="H123" s="90" t="s">
        <v>164</v>
      </c>
      <c r="I123" s="84" t="s">
        <v>111</v>
      </c>
      <c r="J123" s="78" t="s">
        <v>27</v>
      </c>
      <c r="K123" s="77" t="s">
        <v>112</v>
      </c>
      <c r="L123" s="84">
        <v>2</v>
      </c>
      <c r="N123" s="7">
        <v>4</v>
      </c>
      <c r="O123" s="7">
        <v>0.85</v>
      </c>
      <c r="P123" s="7">
        <v>0.95</v>
      </c>
      <c r="Q123" s="44">
        <f t="shared" si="3"/>
        <v>0.89999999999999991</v>
      </c>
      <c r="R123" s="7">
        <v>17.5</v>
      </c>
      <c r="S123" s="7">
        <v>150</v>
      </c>
      <c r="T123" s="16">
        <f t="shared" si="4"/>
        <v>30</v>
      </c>
      <c r="U123" s="77">
        <v>500</v>
      </c>
      <c r="V123" s="16">
        <f t="shared" si="5"/>
        <v>3750</v>
      </c>
      <c r="W123" s="77">
        <v>12</v>
      </c>
      <c r="X123" s="60" t="s">
        <v>35</v>
      </c>
      <c r="Y123" s="77" t="s">
        <v>29</v>
      </c>
      <c r="Z123" s="77" t="s">
        <v>76</v>
      </c>
      <c r="AA123" s="77" t="s">
        <v>72</v>
      </c>
      <c r="AB123" s="43" t="s">
        <v>162</v>
      </c>
    </row>
    <row r="124" spans="1:28" x14ac:dyDescent="0.15">
      <c r="A124" s="84" t="s">
        <v>23</v>
      </c>
      <c r="B124" s="84" t="s">
        <v>160</v>
      </c>
      <c r="C124" s="84">
        <v>2020</v>
      </c>
      <c r="D124" s="45" t="s">
        <v>161</v>
      </c>
      <c r="E124" s="84" t="s">
        <v>167</v>
      </c>
      <c r="F124" s="84" t="s">
        <v>155</v>
      </c>
      <c r="G124" s="84" t="s">
        <v>25</v>
      </c>
      <c r="H124" s="90" t="s">
        <v>164</v>
      </c>
      <c r="I124" s="84" t="s">
        <v>111</v>
      </c>
      <c r="J124" s="78" t="s">
        <v>27</v>
      </c>
      <c r="K124" s="77" t="s">
        <v>112</v>
      </c>
      <c r="L124" s="84">
        <v>3</v>
      </c>
      <c r="N124" s="7">
        <v>4</v>
      </c>
      <c r="O124" s="7">
        <v>0.75</v>
      </c>
      <c r="P124" s="7">
        <v>0.75</v>
      </c>
      <c r="Q124" s="44">
        <f t="shared" si="3"/>
        <v>0.75</v>
      </c>
      <c r="R124" s="7">
        <v>18.7</v>
      </c>
      <c r="S124" s="7">
        <v>148</v>
      </c>
      <c r="T124" s="16">
        <f t="shared" si="4"/>
        <v>30</v>
      </c>
      <c r="U124" s="77">
        <v>500</v>
      </c>
      <c r="V124" s="16">
        <f t="shared" si="5"/>
        <v>3750</v>
      </c>
      <c r="W124" s="77">
        <v>12</v>
      </c>
      <c r="X124" s="60" t="s">
        <v>35</v>
      </c>
      <c r="Y124" s="77" t="s">
        <v>29</v>
      </c>
      <c r="Z124" s="77" t="s">
        <v>76</v>
      </c>
      <c r="AA124" s="77" t="s">
        <v>72</v>
      </c>
      <c r="AB124" s="43" t="s">
        <v>162</v>
      </c>
    </row>
    <row r="125" spans="1:28" x14ac:dyDescent="0.15">
      <c r="A125" s="89"/>
      <c r="B125" s="90"/>
      <c r="C125" s="90"/>
      <c r="D125" s="91"/>
      <c r="E125" s="84"/>
      <c r="F125" s="84"/>
      <c r="G125" s="90"/>
      <c r="H125" s="90"/>
      <c r="I125" s="90"/>
      <c r="J125" s="78"/>
      <c r="L125" s="84"/>
      <c r="Q125" s="44" t="str">
        <f t="shared" si="3"/>
        <v/>
      </c>
      <c r="T125" s="16" t="str">
        <f t="shared" si="4"/>
        <v/>
      </c>
      <c r="V125" s="16" t="str">
        <f t="shared" si="5"/>
        <v/>
      </c>
      <c r="AB125" s="43"/>
    </row>
    <row r="126" spans="1:28" x14ac:dyDescent="0.15">
      <c r="A126" s="89"/>
      <c r="B126" s="90"/>
      <c r="C126" s="90"/>
      <c r="D126" s="91"/>
      <c r="E126" s="84"/>
      <c r="F126" s="84"/>
      <c r="G126" s="90"/>
      <c r="H126" s="90"/>
      <c r="I126" s="90"/>
      <c r="J126" s="78"/>
      <c r="L126" s="84"/>
      <c r="Q126" s="44" t="str">
        <f t="shared" si="3"/>
        <v/>
      </c>
      <c r="T126" s="16" t="str">
        <f t="shared" si="4"/>
        <v/>
      </c>
      <c r="V126" s="16" t="str">
        <f t="shared" si="5"/>
        <v/>
      </c>
      <c r="AB126" s="43"/>
    </row>
    <row r="127" spans="1:28" x14ac:dyDescent="0.15">
      <c r="A127" s="89"/>
      <c r="B127" s="90"/>
      <c r="C127" s="90"/>
      <c r="D127" s="91"/>
      <c r="E127" s="84"/>
      <c r="F127" s="84"/>
      <c r="G127" s="90"/>
      <c r="H127" s="90"/>
      <c r="I127" s="90"/>
      <c r="J127" s="78"/>
      <c r="L127" s="84"/>
      <c r="Q127" s="44" t="str">
        <f t="shared" si="3"/>
        <v/>
      </c>
      <c r="T127" s="16" t="str">
        <f t="shared" si="4"/>
        <v/>
      </c>
      <c r="V127" s="16" t="str">
        <f t="shared" si="5"/>
        <v/>
      </c>
      <c r="AB127" s="43"/>
    </row>
    <row r="128" spans="1:28" x14ac:dyDescent="0.15">
      <c r="A128" s="89"/>
      <c r="B128" s="90"/>
      <c r="C128" s="90"/>
      <c r="D128" s="91"/>
      <c r="E128" s="84"/>
      <c r="F128" s="84"/>
      <c r="G128" s="90"/>
      <c r="H128" s="90"/>
      <c r="I128" s="90"/>
      <c r="J128" s="78"/>
      <c r="L128" s="84"/>
      <c r="Q128" s="44" t="str">
        <f t="shared" si="3"/>
        <v/>
      </c>
      <c r="T128" s="16" t="str">
        <f t="shared" si="4"/>
        <v/>
      </c>
      <c r="V128" s="16" t="str">
        <f t="shared" si="5"/>
        <v/>
      </c>
      <c r="AB128" s="43"/>
    </row>
    <row r="129" spans="1:28" x14ac:dyDescent="0.15">
      <c r="A129" s="89"/>
      <c r="B129" s="90"/>
      <c r="C129" s="90"/>
      <c r="D129" s="91"/>
      <c r="E129" s="84"/>
      <c r="F129" s="84"/>
      <c r="G129" s="90"/>
      <c r="H129" s="90"/>
      <c r="I129" s="90"/>
      <c r="J129" s="78"/>
      <c r="L129" s="84"/>
      <c r="Q129" s="44" t="str">
        <f t="shared" si="3"/>
        <v/>
      </c>
      <c r="T129" s="16" t="str">
        <f t="shared" si="4"/>
        <v/>
      </c>
      <c r="V129" s="16" t="str">
        <f t="shared" si="5"/>
        <v/>
      </c>
      <c r="AB129" s="43"/>
    </row>
    <row r="130" spans="1:28" x14ac:dyDescent="0.15">
      <c r="A130" s="89"/>
      <c r="B130" s="90"/>
      <c r="C130" s="90"/>
      <c r="D130" s="91"/>
      <c r="E130" s="84"/>
      <c r="F130" s="84"/>
      <c r="G130" s="90"/>
      <c r="H130" s="90"/>
      <c r="I130" s="90"/>
      <c r="J130" s="78"/>
      <c r="L130" s="84"/>
      <c r="Q130" s="44" t="str">
        <f t="shared" ref="Q130:Q133" si="6">IF(OR(O130="",P130=""),"",AVERAGE(O130,P130))</f>
        <v/>
      </c>
      <c r="T130" s="16" t="str">
        <f t="shared" ref="T130:T133" si="7">IF(H130="","",IF(OR(H130="GREEN",H130="GK"),IF(S130&gt;=$AX$2,VLOOKUP(S130,$AX$2:$AY$7,2,1),""),IF(S130&gt;=$AZ$2,VLOOKUP(S130,$AZ$2:$BA$7,2,1),"")))</f>
        <v/>
      </c>
      <c r="V130" s="16" t="str">
        <f t="shared" ref="V130:V133" si="8">IF(OR(N130="",U130="",T130=""),"",U130/N130*T130)</f>
        <v/>
      </c>
      <c r="AB130" s="43"/>
    </row>
    <row r="131" spans="1:28" x14ac:dyDescent="0.15">
      <c r="A131" s="89"/>
      <c r="B131" s="90"/>
      <c r="C131" s="90"/>
      <c r="D131" s="91"/>
      <c r="E131" s="84"/>
      <c r="F131" s="84"/>
      <c r="G131" s="90"/>
      <c r="H131" s="90"/>
      <c r="I131" s="90"/>
      <c r="J131" s="78"/>
      <c r="L131" s="84"/>
      <c r="Q131" s="44" t="str">
        <f t="shared" si="6"/>
        <v/>
      </c>
      <c r="T131" s="16" t="str">
        <f t="shared" si="7"/>
        <v/>
      </c>
      <c r="V131" s="16" t="str">
        <f t="shared" si="8"/>
        <v/>
      </c>
      <c r="AB131" s="43"/>
    </row>
    <row r="132" spans="1:28" x14ac:dyDescent="0.15">
      <c r="A132" s="89"/>
      <c r="B132" s="90"/>
      <c r="C132" s="90"/>
      <c r="D132" s="91"/>
      <c r="E132" s="84"/>
      <c r="F132" s="84"/>
      <c r="G132" s="90"/>
      <c r="H132" s="90"/>
      <c r="I132" s="90"/>
      <c r="J132" s="78"/>
      <c r="L132" s="84"/>
      <c r="Q132" s="44" t="str">
        <f t="shared" si="6"/>
        <v/>
      </c>
      <c r="T132" s="16" t="str">
        <f t="shared" si="7"/>
        <v/>
      </c>
      <c r="V132" s="16" t="str">
        <f t="shared" si="8"/>
        <v/>
      </c>
      <c r="AB132" s="43"/>
    </row>
    <row r="133" spans="1:28" x14ac:dyDescent="0.15">
      <c r="A133" s="89"/>
      <c r="B133" s="90"/>
      <c r="C133" s="90"/>
      <c r="D133" s="91"/>
      <c r="E133" s="84"/>
      <c r="F133" s="84"/>
      <c r="G133" s="90"/>
      <c r="H133" s="90"/>
      <c r="I133" s="90"/>
      <c r="J133" s="78"/>
      <c r="L133" s="84"/>
      <c r="Q133" s="44" t="str">
        <f t="shared" si="6"/>
        <v/>
      </c>
      <c r="T133" s="16" t="str">
        <f t="shared" si="7"/>
        <v/>
      </c>
      <c r="V133" s="16" t="str">
        <f t="shared" si="8"/>
        <v/>
      </c>
      <c r="AB133" s="43"/>
    </row>
    <row r="134" spans="1:28" x14ac:dyDescent="0.15">
      <c r="A134" s="89"/>
      <c r="B134" s="90"/>
      <c r="C134" s="90"/>
      <c r="D134" s="91"/>
      <c r="E134" s="84"/>
      <c r="F134" s="84"/>
      <c r="G134" s="90"/>
      <c r="H134" s="90"/>
      <c r="I134" s="90"/>
      <c r="J134" s="78"/>
      <c r="Q134" s="44"/>
      <c r="AB134" s="43"/>
    </row>
    <row r="135" spans="1:28" x14ac:dyDescent="0.15">
      <c r="A135" s="89"/>
      <c r="B135" s="90"/>
      <c r="C135" s="90"/>
      <c r="D135" s="91"/>
      <c r="E135" s="90"/>
      <c r="F135" s="90"/>
      <c r="G135" s="90"/>
      <c r="H135" s="90"/>
      <c r="I135" s="90"/>
      <c r="J135" s="78"/>
      <c r="Q135" s="44"/>
      <c r="AB135" s="43"/>
    </row>
    <row r="136" spans="1:28" x14ac:dyDescent="0.15">
      <c r="A136" s="89"/>
      <c r="B136" s="90"/>
      <c r="C136" s="90"/>
      <c r="D136" s="91"/>
      <c r="E136" s="90"/>
      <c r="F136" s="90"/>
      <c r="G136" s="90"/>
      <c r="H136" s="90"/>
      <c r="I136" s="90"/>
      <c r="J136" s="78"/>
      <c r="Q136" s="44"/>
    </row>
    <row r="137" spans="1:28" x14ac:dyDescent="0.15">
      <c r="A137" s="89"/>
      <c r="B137" s="90"/>
      <c r="C137" s="90"/>
      <c r="D137" s="91"/>
      <c r="E137" s="90"/>
      <c r="F137" s="90"/>
      <c r="G137" s="90"/>
      <c r="H137" s="90"/>
      <c r="I137" s="90"/>
      <c r="J137" s="78"/>
      <c r="Q137" s="44"/>
    </row>
    <row r="138" spans="1:28" x14ac:dyDescent="0.15">
      <c r="A138" s="89"/>
      <c r="B138" s="90"/>
      <c r="C138" s="90"/>
      <c r="D138" s="91"/>
      <c r="E138" s="90"/>
      <c r="F138" s="90"/>
      <c r="G138" s="90"/>
      <c r="H138" s="90"/>
      <c r="I138" s="90"/>
      <c r="J138" s="78"/>
      <c r="Q138" s="44"/>
    </row>
    <row r="139" spans="1:28" x14ac:dyDescent="0.15">
      <c r="A139" s="89"/>
      <c r="B139" s="90"/>
      <c r="C139" s="90"/>
      <c r="D139" s="91"/>
      <c r="E139" s="90"/>
      <c r="F139" s="90"/>
      <c r="G139" s="90"/>
      <c r="H139" s="90"/>
      <c r="I139" s="90"/>
      <c r="J139" s="78"/>
      <c r="Q139" s="44"/>
    </row>
    <row r="140" spans="1:28" x14ac:dyDescent="0.15">
      <c r="A140" s="89"/>
      <c r="B140" s="90"/>
      <c r="C140" s="90"/>
      <c r="D140" s="91"/>
      <c r="E140" s="90"/>
      <c r="F140" s="90"/>
      <c r="G140" s="90"/>
      <c r="H140" s="90"/>
      <c r="I140" s="90"/>
      <c r="J140" s="78"/>
      <c r="Q140" s="44"/>
    </row>
    <row r="141" spans="1:28" x14ac:dyDescent="0.15">
      <c r="A141" s="89"/>
      <c r="B141" s="90"/>
      <c r="C141" s="90"/>
      <c r="D141" s="91"/>
      <c r="E141" s="90"/>
      <c r="F141" s="90"/>
      <c r="G141" s="90"/>
      <c r="H141" s="90"/>
      <c r="I141" s="90"/>
      <c r="J141" s="78"/>
      <c r="Q141" s="44"/>
    </row>
    <row r="142" spans="1:28" x14ac:dyDescent="0.15">
      <c r="A142" s="89"/>
      <c r="B142" s="90"/>
      <c r="C142" s="90"/>
      <c r="D142" s="91"/>
      <c r="E142" s="90"/>
      <c r="F142" s="90"/>
      <c r="G142" s="90"/>
      <c r="H142" s="90"/>
      <c r="I142" s="90"/>
      <c r="J142" s="78"/>
      <c r="Q142" s="44"/>
    </row>
    <row r="143" spans="1:28" x14ac:dyDescent="0.15">
      <c r="A143" s="89"/>
      <c r="B143" s="90"/>
      <c r="C143" s="90"/>
      <c r="D143" s="91"/>
      <c r="E143" s="90"/>
      <c r="F143" s="90"/>
      <c r="G143" s="90"/>
      <c r="H143" s="90"/>
      <c r="I143" s="90"/>
      <c r="J143" s="78"/>
      <c r="Q143" s="44"/>
    </row>
    <row r="144" spans="1:28" x14ac:dyDescent="0.15">
      <c r="A144" s="89"/>
      <c r="B144" s="90"/>
      <c r="C144" s="90"/>
      <c r="D144" s="91"/>
      <c r="E144" s="90"/>
      <c r="F144" s="90"/>
      <c r="G144" s="90"/>
      <c r="H144" s="90"/>
      <c r="I144" s="90"/>
      <c r="J144" s="78"/>
      <c r="Q144" s="44"/>
    </row>
    <row r="145" spans="1:17" x14ac:dyDescent="0.15">
      <c r="A145" s="89"/>
      <c r="B145" s="90"/>
      <c r="C145" s="90"/>
      <c r="D145" s="91"/>
      <c r="E145" s="90"/>
      <c r="F145" s="90"/>
      <c r="G145" s="90"/>
      <c r="H145" s="90"/>
      <c r="I145" s="90"/>
      <c r="J145" s="78"/>
      <c r="Q145" s="44"/>
    </row>
    <row r="146" spans="1:17" x14ac:dyDescent="0.15">
      <c r="A146" s="89"/>
      <c r="B146" s="90"/>
      <c r="C146" s="90"/>
      <c r="D146" s="91"/>
      <c r="E146" s="90"/>
      <c r="F146" s="90"/>
      <c r="G146" s="90"/>
      <c r="H146" s="90"/>
      <c r="I146" s="90"/>
      <c r="J146" s="78"/>
      <c r="Q146" s="44"/>
    </row>
    <row r="147" spans="1:17" x14ac:dyDescent="0.15">
      <c r="A147" s="89"/>
      <c r="B147" s="90"/>
      <c r="C147" s="90"/>
      <c r="D147" s="91"/>
      <c r="E147" s="90"/>
      <c r="F147" s="90"/>
      <c r="G147" s="90"/>
      <c r="H147" s="90"/>
      <c r="I147" s="90"/>
      <c r="J147" s="78"/>
      <c r="Q147" s="44"/>
    </row>
    <row r="148" spans="1:17" x14ac:dyDescent="0.15">
      <c r="A148" s="89"/>
      <c r="B148" s="90"/>
      <c r="C148" s="90"/>
      <c r="D148" s="91"/>
      <c r="E148" s="90"/>
      <c r="F148" s="90"/>
      <c r="G148" s="90"/>
      <c r="H148" s="90"/>
      <c r="I148" s="90"/>
      <c r="J148" s="78"/>
      <c r="Q148" s="44"/>
    </row>
    <row r="149" spans="1:17" x14ac:dyDescent="0.15">
      <c r="A149" s="89"/>
      <c r="B149" s="90"/>
      <c r="C149" s="90"/>
      <c r="D149" s="91"/>
      <c r="E149" s="90"/>
      <c r="F149" s="90"/>
      <c r="G149" s="90"/>
      <c r="H149" s="90"/>
      <c r="I149" s="90"/>
      <c r="J149" s="78"/>
      <c r="Q149" s="44"/>
    </row>
    <row r="150" spans="1:17" x14ac:dyDescent="0.15">
      <c r="A150" s="89"/>
      <c r="B150" s="90"/>
      <c r="C150" s="90"/>
      <c r="D150" s="91"/>
      <c r="E150" s="90"/>
      <c r="F150" s="90"/>
      <c r="G150" s="90"/>
      <c r="H150" s="90"/>
      <c r="I150" s="90"/>
      <c r="J150" s="78"/>
      <c r="Q150" s="44"/>
    </row>
    <row r="151" spans="1:17" x14ac:dyDescent="0.15">
      <c r="A151" s="89"/>
      <c r="B151" s="90"/>
      <c r="C151" s="90"/>
      <c r="D151" s="91"/>
      <c r="E151" s="90"/>
      <c r="F151" s="90"/>
      <c r="G151" s="90"/>
      <c r="H151" s="90"/>
      <c r="I151" s="90"/>
      <c r="J151" s="78"/>
      <c r="Q151" s="44"/>
    </row>
    <row r="152" spans="1:17" x14ac:dyDescent="0.15">
      <c r="A152" s="89"/>
      <c r="B152" s="90"/>
      <c r="C152" s="90"/>
      <c r="D152" s="91"/>
      <c r="E152" s="90"/>
      <c r="F152" s="90"/>
      <c r="G152" s="90"/>
      <c r="H152" s="90"/>
      <c r="I152" s="90"/>
      <c r="J152" s="78"/>
      <c r="Q152" s="44"/>
    </row>
    <row r="153" spans="1:17" x14ac:dyDescent="0.15">
      <c r="A153" s="89"/>
      <c r="B153" s="90"/>
      <c r="C153" s="90"/>
      <c r="D153" s="91"/>
      <c r="E153" s="90"/>
      <c r="F153" s="90"/>
      <c r="G153" s="90"/>
      <c r="H153" s="90"/>
      <c r="I153" s="90"/>
      <c r="J153" s="78"/>
      <c r="Q153" s="44"/>
    </row>
    <row r="154" spans="1:17" x14ac:dyDescent="0.15">
      <c r="A154" s="89"/>
      <c r="B154" s="90"/>
      <c r="C154" s="90"/>
      <c r="D154" s="91"/>
      <c r="E154" s="90"/>
      <c r="F154" s="90"/>
      <c r="G154" s="90"/>
      <c r="H154" s="90"/>
      <c r="I154" s="90"/>
      <c r="J154" s="78"/>
      <c r="Q154" s="44"/>
    </row>
    <row r="155" spans="1:17" x14ac:dyDescent="0.15">
      <c r="A155" s="89"/>
      <c r="B155" s="90"/>
      <c r="C155" s="90"/>
      <c r="D155" s="91"/>
      <c r="E155" s="90"/>
      <c r="F155" s="90"/>
      <c r="G155" s="90"/>
      <c r="H155" s="90"/>
      <c r="I155" s="90"/>
      <c r="J155" s="78"/>
      <c r="Q155" s="44"/>
    </row>
    <row r="156" spans="1:17" x14ac:dyDescent="0.15">
      <c r="A156" s="89"/>
      <c r="B156" s="90"/>
      <c r="C156" s="90"/>
      <c r="D156" s="91"/>
      <c r="E156" s="90"/>
      <c r="F156" s="90"/>
      <c r="G156" s="90"/>
      <c r="H156" s="90"/>
      <c r="I156" s="90"/>
      <c r="J156" s="78"/>
      <c r="Q156" s="44"/>
    </row>
    <row r="157" spans="1:17" x14ac:dyDescent="0.15">
      <c r="A157" s="89"/>
      <c r="B157" s="90"/>
      <c r="C157" s="90"/>
      <c r="D157" s="91"/>
      <c r="E157" s="90"/>
      <c r="F157" s="90"/>
      <c r="G157" s="90"/>
      <c r="H157" s="90"/>
      <c r="I157" s="90"/>
      <c r="J157" s="78"/>
      <c r="Q157" s="44"/>
    </row>
    <row r="158" spans="1:17" x14ac:dyDescent="0.15">
      <c r="A158" s="89"/>
      <c r="B158" s="90"/>
      <c r="C158" s="90"/>
      <c r="D158" s="91"/>
      <c r="E158" s="90"/>
      <c r="F158" s="90"/>
      <c r="G158" s="90"/>
      <c r="H158" s="90"/>
      <c r="I158" s="90"/>
      <c r="J158" s="78"/>
      <c r="Q158" s="44"/>
    </row>
    <row r="159" spans="1:17" x14ac:dyDescent="0.15">
      <c r="A159" s="89"/>
      <c r="B159" s="90"/>
      <c r="C159" s="90"/>
      <c r="D159" s="91"/>
      <c r="E159" s="90"/>
      <c r="F159" s="90"/>
      <c r="G159" s="90"/>
      <c r="H159" s="90"/>
      <c r="I159" s="90"/>
      <c r="J159" s="78"/>
      <c r="Q159" s="44"/>
    </row>
    <row r="160" spans="1:17" x14ac:dyDescent="0.15">
      <c r="A160" s="89"/>
      <c r="B160" s="90"/>
      <c r="C160" s="90"/>
      <c r="D160" s="91"/>
      <c r="E160" s="90"/>
      <c r="F160" s="90"/>
      <c r="G160" s="90"/>
      <c r="H160" s="90"/>
      <c r="I160" s="90"/>
      <c r="J160" s="78"/>
      <c r="Q160" s="44"/>
    </row>
    <row r="161" spans="1:17" x14ac:dyDescent="0.15">
      <c r="A161" s="89"/>
      <c r="B161" s="90"/>
      <c r="C161" s="90"/>
      <c r="D161" s="91"/>
      <c r="E161" s="90"/>
      <c r="F161" s="90"/>
      <c r="G161" s="90"/>
      <c r="H161" s="90"/>
      <c r="I161" s="90"/>
      <c r="J161" s="78"/>
      <c r="Q161" s="44"/>
    </row>
    <row r="162" spans="1:17" x14ac:dyDescent="0.15">
      <c r="A162" s="89"/>
      <c r="B162" s="90"/>
      <c r="C162" s="90"/>
      <c r="D162" s="91"/>
      <c r="E162" s="90"/>
      <c r="F162" s="90"/>
      <c r="G162" s="90"/>
      <c r="H162" s="90"/>
      <c r="I162" s="90"/>
      <c r="J162" s="78"/>
      <c r="Q162" s="44"/>
    </row>
    <row r="163" spans="1:17" x14ac:dyDescent="0.15">
      <c r="A163" s="89"/>
      <c r="B163" s="90"/>
      <c r="C163" s="90"/>
      <c r="D163" s="91"/>
      <c r="E163" s="90"/>
      <c r="F163" s="90"/>
      <c r="G163" s="90"/>
      <c r="H163" s="90"/>
      <c r="I163" s="90"/>
      <c r="J163" s="78"/>
      <c r="Q163" s="44"/>
    </row>
    <row r="164" spans="1:17" x14ac:dyDescent="0.15">
      <c r="A164" s="89"/>
      <c r="B164" s="90"/>
      <c r="C164" s="90"/>
      <c r="D164" s="91"/>
      <c r="E164" s="90"/>
      <c r="F164" s="90"/>
      <c r="G164" s="90"/>
      <c r="H164" s="90"/>
      <c r="I164" s="90"/>
      <c r="J164" s="78"/>
      <c r="Q164" s="44"/>
    </row>
    <row r="165" spans="1:17" x14ac:dyDescent="0.15">
      <c r="A165" s="89"/>
      <c r="B165" s="90"/>
      <c r="C165" s="90"/>
      <c r="D165" s="91"/>
      <c r="E165" s="90"/>
      <c r="F165" s="90"/>
      <c r="G165" s="90"/>
      <c r="H165" s="90"/>
      <c r="I165" s="90"/>
      <c r="J165" s="78"/>
      <c r="Q165" s="44"/>
    </row>
    <row r="166" spans="1:17" x14ac:dyDescent="0.15">
      <c r="A166" s="89"/>
      <c r="B166" s="90"/>
      <c r="C166" s="90"/>
      <c r="D166" s="91"/>
      <c r="E166" s="90"/>
      <c r="F166" s="90"/>
      <c r="G166" s="90"/>
      <c r="H166" s="90"/>
      <c r="I166" s="90"/>
      <c r="J166" s="78"/>
      <c r="Q166" s="44"/>
    </row>
    <row r="167" spans="1:17" x14ac:dyDescent="0.15">
      <c r="A167" s="89"/>
      <c r="B167" s="90"/>
      <c r="C167" s="90"/>
      <c r="D167" s="91"/>
      <c r="E167" s="90"/>
      <c r="F167" s="90"/>
      <c r="G167" s="90"/>
      <c r="H167" s="90"/>
      <c r="I167" s="90"/>
      <c r="J167" s="78"/>
      <c r="Q167" s="44"/>
    </row>
    <row r="168" spans="1:17" x14ac:dyDescent="0.15">
      <c r="A168" s="89"/>
      <c r="B168" s="90"/>
      <c r="C168" s="90"/>
      <c r="D168" s="91"/>
      <c r="E168" s="90"/>
      <c r="F168" s="90"/>
      <c r="G168" s="90"/>
      <c r="H168" s="90"/>
      <c r="I168" s="90"/>
      <c r="J168" s="78"/>
      <c r="Q168" s="44"/>
    </row>
    <row r="169" spans="1:17" x14ac:dyDescent="0.15">
      <c r="A169" s="89"/>
      <c r="B169" s="90"/>
      <c r="C169" s="90"/>
      <c r="D169" s="91"/>
      <c r="E169" s="90"/>
      <c r="F169" s="90"/>
      <c r="G169" s="90"/>
      <c r="H169" s="90"/>
      <c r="I169" s="90"/>
      <c r="J169" s="78"/>
      <c r="Q169" s="44"/>
    </row>
    <row r="170" spans="1:17" x14ac:dyDescent="0.15">
      <c r="A170" s="89"/>
      <c r="B170" s="90"/>
      <c r="C170" s="90"/>
      <c r="D170" s="91"/>
      <c r="E170" s="90"/>
      <c r="F170" s="90"/>
      <c r="G170" s="90"/>
      <c r="H170" s="90"/>
      <c r="I170" s="90"/>
      <c r="J170" s="78"/>
      <c r="Q170" s="44"/>
    </row>
    <row r="171" spans="1:17" x14ac:dyDescent="0.15">
      <c r="A171" s="89"/>
      <c r="B171" s="90"/>
      <c r="C171" s="90"/>
      <c r="D171" s="91"/>
      <c r="E171" s="90"/>
      <c r="F171" s="90"/>
      <c r="G171" s="90"/>
      <c r="H171" s="90"/>
      <c r="I171" s="90"/>
      <c r="J171" s="78"/>
      <c r="Q171" s="44"/>
    </row>
    <row r="172" spans="1:17" x14ac:dyDescent="0.15">
      <c r="A172" s="89"/>
      <c r="B172" s="90"/>
      <c r="C172" s="90"/>
      <c r="D172" s="91"/>
      <c r="E172" s="90"/>
      <c r="F172" s="90"/>
      <c r="G172" s="90"/>
      <c r="H172" s="90"/>
      <c r="I172" s="90"/>
      <c r="J172" s="78"/>
      <c r="Q172" s="44"/>
    </row>
    <row r="173" spans="1:17" x14ac:dyDescent="0.15">
      <c r="A173" s="89"/>
      <c r="B173" s="90"/>
      <c r="C173" s="90"/>
      <c r="D173" s="91"/>
      <c r="E173" s="90"/>
      <c r="F173" s="90"/>
      <c r="G173" s="90"/>
      <c r="H173" s="90"/>
      <c r="I173" s="90"/>
      <c r="J173" s="78"/>
      <c r="Q173" s="44"/>
    </row>
    <row r="174" spans="1:17" x14ac:dyDescent="0.15">
      <c r="A174" s="89"/>
      <c r="B174" s="90"/>
      <c r="C174" s="90"/>
      <c r="D174" s="91"/>
      <c r="E174" s="90"/>
      <c r="F174" s="90"/>
      <c r="G174" s="90"/>
      <c r="H174" s="90"/>
      <c r="I174" s="90"/>
      <c r="J174" s="78"/>
      <c r="Q174" s="44"/>
    </row>
    <row r="175" spans="1:17" x14ac:dyDescent="0.15">
      <c r="A175" s="89"/>
      <c r="B175" s="90"/>
      <c r="C175" s="90"/>
      <c r="D175" s="91"/>
      <c r="E175" s="90"/>
      <c r="F175" s="90"/>
      <c r="G175" s="90"/>
      <c r="H175" s="90"/>
      <c r="I175" s="90"/>
      <c r="J175" s="78"/>
      <c r="Q175" s="44"/>
    </row>
    <row r="176" spans="1:17" x14ac:dyDescent="0.15">
      <c r="A176" s="89"/>
      <c r="B176" s="90"/>
      <c r="C176" s="90"/>
      <c r="D176" s="91"/>
      <c r="E176" s="90"/>
      <c r="F176" s="90"/>
      <c r="G176" s="90"/>
      <c r="H176" s="90"/>
      <c r="I176" s="90"/>
      <c r="J176" s="78"/>
      <c r="Q176" s="44"/>
    </row>
    <row r="177" spans="1:17" x14ac:dyDescent="0.15">
      <c r="A177" s="89"/>
      <c r="B177" s="90"/>
      <c r="C177" s="90"/>
      <c r="D177" s="91"/>
      <c r="E177" s="90"/>
      <c r="F177" s="90"/>
      <c r="G177" s="90"/>
      <c r="H177" s="90"/>
      <c r="I177" s="90"/>
      <c r="J177" s="78"/>
      <c r="Q177" s="44"/>
    </row>
    <row r="178" spans="1:17" x14ac:dyDescent="0.15">
      <c r="A178" s="89"/>
      <c r="B178" s="90"/>
      <c r="C178" s="90"/>
      <c r="D178" s="91"/>
      <c r="E178" s="90"/>
      <c r="F178" s="90"/>
      <c r="G178" s="90"/>
      <c r="H178" s="90"/>
      <c r="I178" s="90"/>
      <c r="J178" s="78"/>
      <c r="Q178" s="44"/>
    </row>
    <row r="179" spans="1:17" x14ac:dyDescent="0.15">
      <c r="A179" s="89"/>
      <c r="B179" s="90"/>
      <c r="C179" s="90"/>
      <c r="D179" s="91"/>
      <c r="E179" s="90"/>
      <c r="F179" s="90"/>
      <c r="G179" s="90"/>
      <c r="H179" s="90"/>
      <c r="I179" s="90"/>
      <c r="J179" s="78"/>
      <c r="Q179" s="44"/>
    </row>
    <row r="180" spans="1:17" x14ac:dyDescent="0.15">
      <c r="A180" s="89"/>
      <c r="B180" s="90"/>
      <c r="C180" s="90"/>
      <c r="D180" s="91"/>
      <c r="E180" s="90"/>
      <c r="F180" s="90"/>
      <c r="G180" s="90"/>
      <c r="H180" s="90"/>
      <c r="I180" s="90"/>
      <c r="J180" s="78"/>
      <c r="Q180" s="44"/>
    </row>
    <row r="181" spans="1:17" x14ac:dyDescent="0.15">
      <c r="A181" s="89"/>
      <c r="B181" s="90"/>
      <c r="C181" s="90"/>
      <c r="D181" s="91"/>
      <c r="E181" s="90"/>
      <c r="F181" s="90"/>
      <c r="G181" s="90"/>
      <c r="H181" s="90"/>
      <c r="I181" s="90"/>
      <c r="J181" s="78"/>
      <c r="Q181" s="44"/>
    </row>
    <row r="182" spans="1:17" x14ac:dyDescent="0.15">
      <c r="A182" s="89"/>
      <c r="B182" s="90"/>
      <c r="C182" s="90"/>
      <c r="D182" s="91"/>
      <c r="E182" s="90"/>
      <c r="F182" s="90"/>
      <c r="G182" s="90"/>
      <c r="H182" s="90"/>
      <c r="I182" s="90"/>
      <c r="J182" s="78"/>
      <c r="Q182" s="44"/>
    </row>
    <row r="183" spans="1:17" x14ac:dyDescent="0.15">
      <c r="A183" s="89"/>
      <c r="B183" s="90"/>
      <c r="C183" s="90"/>
      <c r="D183" s="91"/>
      <c r="E183" s="90"/>
      <c r="F183" s="90"/>
      <c r="G183" s="90"/>
      <c r="H183" s="90"/>
      <c r="I183" s="90"/>
      <c r="J183" s="78"/>
      <c r="Q183" s="44"/>
    </row>
    <row r="184" spans="1:17" x14ac:dyDescent="0.15">
      <c r="A184" s="89"/>
      <c r="B184" s="90"/>
      <c r="C184" s="90"/>
      <c r="D184" s="91"/>
      <c r="E184" s="90"/>
      <c r="F184" s="90"/>
      <c r="G184" s="90"/>
      <c r="H184" s="90"/>
      <c r="I184" s="90"/>
      <c r="J184" s="78"/>
      <c r="Q184" s="44"/>
    </row>
    <row r="185" spans="1:17" x14ac:dyDescent="0.15">
      <c r="A185" s="89"/>
      <c r="B185" s="90"/>
      <c r="C185" s="90"/>
      <c r="D185" s="91"/>
      <c r="E185" s="90"/>
      <c r="F185" s="90"/>
      <c r="G185" s="90"/>
      <c r="H185" s="90"/>
      <c r="I185" s="90"/>
      <c r="J185" s="78"/>
      <c r="Q185" s="44"/>
    </row>
    <row r="186" spans="1:17" x14ac:dyDescent="0.15">
      <c r="A186" s="89"/>
      <c r="B186" s="90"/>
      <c r="C186" s="90"/>
      <c r="D186" s="91"/>
      <c r="E186" s="90"/>
      <c r="F186" s="90"/>
      <c r="G186" s="90"/>
      <c r="H186" s="90"/>
      <c r="I186" s="90"/>
      <c r="J186" s="78"/>
      <c r="Q186" s="44"/>
    </row>
    <row r="187" spans="1:17" x14ac:dyDescent="0.15">
      <c r="A187" s="89"/>
      <c r="B187" s="90"/>
      <c r="C187" s="90"/>
      <c r="D187" s="91"/>
      <c r="E187" s="90"/>
      <c r="F187" s="90"/>
      <c r="G187" s="90"/>
      <c r="H187" s="90"/>
      <c r="I187" s="90"/>
      <c r="J187" s="78"/>
      <c r="Q187" s="44"/>
    </row>
    <row r="188" spans="1:17" x14ac:dyDescent="0.15">
      <c r="A188" s="89"/>
      <c r="B188" s="90"/>
      <c r="C188" s="90"/>
      <c r="D188" s="91"/>
      <c r="E188" s="90"/>
      <c r="F188" s="90"/>
      <c r="G188" s="90"/>
      <c r="H188" s="90"/>
      <c r="I188" s="90"/>
      <c r="J188" s="78"/>
      <c r="Q188" s="44"/>
    </row>
    <row r="189" spans="1:17" x14ac:dyDescent="0.15">
      <c r="A189" s="89"/>
      <c r="B189" s="90"/>
      <c r="C189" s="90"/>
      <c r="D189" s="91"/>
      <c r="E189" s="90"/>
      <c r="F189" s="90"/>
      <c r="G189" s="90"/>
      <c r="H189" s="90"/>
      <c r="I189" s="90"/>
      <c r="J189" s="78"/>
      <c r="Q189" s="44"/>
    </row>
    <row r="190" spans="1:17" x14ac:dyDescent="0.15">
      <c r="A190" s="89"/>
      <c r="B190" s="90"/>
      <c r="C190" s="90"/>
      <c r="D190" s="91"/>
      <c r="E190" s="90"/>
      <c r="F190" s="90"/>
      <c r="G190" s="90"/>
      <c r="H190" s="90"/>
      <c r="I190" s="90"/>
      <c r="J190" s="78"/>
      <c r="Q190" s="44"/>
    </row>
    <row r="191" spans="1:17" x14ac:dyDescent="0.15">
      <c r="A191" s="89"/>
      <c r="B191" s="90"/>
      <c r="C191" s="90"/>
      <c r="D191" s="91"/>
      <c r="E191" s="90"/>
      <c r="F191" s="90"/>
      <c r="G191" s="90"/>
      <c r="H191" s="90"/>
      <c r="I191" s="90"/>
      <c r="J191" s="78"/>
      <c r="Q191" s="44"/>
    </row>
    <row r="192" spans="1:17" x14ac:dyDescent="0.15">
      <c r="A192" s="89"/>
      <c r="B192" s="90"/>
      <c r="C192" s="90"/>
      <c r="D192" s="91"/>
      <c r="E192" s="90"/>
      <c r="F192" s="90"/>
      <c r="G192" s="90"/>
      <c r="H192" s="90"/>
      <c r="I192" s="90"/>
      <c r="J192" s="78"/>
      <c r="Q192" s="44"/>
    </row>
    <row r="193" spans="1:17" x14ac:dyDescent="0.15">
      <c r="A193" s="89"/>
      <c r="B193" s="90"/>
      <c r="C193" s="90"/>
      <c r="D193" s="91"/>
      <c r="E193" s="90"/>
      <c r="F193" s="90"/>
      <c r="G193" s="90"/>
      <c r="H193" s="90"/>
      <c r="I193" s="90"/>
      <c r="J193" s="78"/>
      <c r="Q193" s="44"/>
    </row>
    <row r="194" spans="1:17" x14ac:dyDescent="0.15">
      <c r="A194" s="89"/>
      <c r="B194" s="90"/>
      <c r="C194" s="90"/>
      <c r="D194" s="91"/>
      <c r="E194" s="90"/>
      <c r="F194" s="90"/>
      <c r="G194" s="90"/>
      <c r="H194" s="90"/>
      <c r="I194" s="90"/>
      <c r="J194" s="78"/>
      <c r="Q194" s="44"/>
    </row>
    <row r="195" spans="1:17" x14ac:dyDescent="0.15">
      <c r="A195" s="89"/>
      <c r="B195" s="90"/>
      <c r="C195" s="90"/>
      <c r="D195" s="91"/>
      <c r="E195" s="90"/>
      <c r="F195" s="90"/>
      <c r="G195" s="90"/>
      <c r="H195" s="90"/>
      <c r="I195" s="90"/>
      <c r="J195" s="78"/>
      <c r="Q195" s="44"/>
    </row>
    <row r="196" spans="1:17" x14ac:dyDescent="0.15">
      <c r="A196" s="89"/>
      <c r="B196" s="90"/>
      <c r="C196" s="90"/>
      <c r="D196" s="91"/>
      <c r="E196" s="90"/>
      <c r="F196" s="90"/>
      <c r="G196" s="90"/>
      <c r="H196" s="90"/>
      <c r="I196" s="90"/>
      <c r="J196" s="78"/>
      <c r="Q196" s="44"/>
    </row>
    <row r="197" spans="1:17" x14ac:dyDescent="0.15">
      <c r="A197" s="89"/>
      <c r="B197" s="90"/>
      <c r="C197" s="90"/>
      <c r="D197" s="91"/>
      <c r="E197" s="90"/>
      <c r="F197" s="90"/>
      <c r="G197" s="90"/>
      <c r="H197" s="90"/>
      <c r="I197" s="90"/>
      <c r="J197" s="78"/>
      <c r="Q197" s="44"/>
    </row>
    <row r="198" spans="1:17" x14ac:dyDescent="0.15">
      <c r="A198" s="89"/>
      <c r="B198" s="90"/>
      <c r="C198" s="90"/>
      <c r="D198" s="91"/>
      <c r="E198" s="90"/>
      <c r="F198" s="90"/>
      <c r="G198" s="90"/>
      <c r="H198" s="90"/>
      <c r="I198" s="90"/>
      <c r="J198" s="78"/>
      <c r="Q198" s="44"/>
    </row>
    <row r="199" spans="1:17" x14ac:dyDescent="0.15">
      <c r="A199" s="89"/>
      <c r="B199" s="90"/>
      <c r="C199" s="90"/>
      <c r="D199" s="91"/>
      <c r="E199" s="90"/>
      <c r="F199" s="90"/>
      <c r="G199" s="90"/>
      <c r="H199" s="90"/>
      <c r="I199" s="90"/>
      <c r="J199" s="78"/>
      <c r="Q199" s="44"/>
    </row>
    <row r="200" spans="1:17" x14ac:dyDescent="0.15">
      <c r="A200" s="89"/>
      <c r="B200" s="90"/>
      <c r="C200" s="90"/>
      <c r="D200" s="91"/>
      <c r="E200" s="90"/>
      <c r="F200" s="90"/>
      <c r="G200" s="90"/>
      <c r="H200" s="90"/>
      <c r="I200" s="90"/>
      <c r="J200" s="78"/>
      <c r="Q200" s="44"/>
    </row>
    <row r="201" spans="1:17" x14ac:dyDescent="0.15">
      <c r="A201" s="89"/>
      <c r="B201" s="90"/>
      <c r="C201" s="90"/>
      <c r="D201" s="91"/>
      <c r="E201" s="90"/>
      <c r="F201" s="90"/>
      <c r="G201" s="90"/>
      <c r="H201" s="90"/>
      <c r="I201" s="90"/>
      <c r="J201" s="78"/>
      <c r="Q201" s="44"/>
    </row>
    <row r="202" spans="1:17" x14ac:dyDescent="0.15">
      <c r="A202" s="89"/>
      <c r="B202" s="90"/>
      <c r="C202" s="90"/>
      <c r="D202" s="91"/>
      <c r="E202" s="90"/>
      <c r="F202" s="90"/>
      <c r="G202" s="90"/>
      <c r="H202" s="90"/>
      <c r="I202" s="90"/>
      <c r="J202" s="78"/>
      <c r="Q202" s="44"/>
    </row>
    <row r="203" spans="1:17" x14ac:dyDescent="0.15">
      <c r="A203" s="89"/>
      <c r="B203" s="90"/>
      <c r="C203" s="90"/>
      <c r="D203" s="91"/>
      <c r="E203" s="90"/>
      <c r="F203" s="90"/>
      <c r="G203" s="90"/>
      <c r="H203" s="90"/>
      <c r="I203" s="90"/>
      <c r="J203" s="78"/>
      <c r="Q203" s="44"/>
    </row>
    <row r="204" spans="1:17" x14ac:dyDescent="0.15">
      <c r="A204" s="89"/>
      <c r="B204" s="90"/>
      <c r="C204" s="90"/>
      <c r="D204" s="91"/>
      <c r="E204" s="90"/>
      <c r="F204" s="90"/>
      <c r="G204" s="90"/>
      <c r="H204" s="90"/>
      <c r="I204" s="90"/>
      <c r="J204" s="78"/>
      <c r="Q204" s="44"/>
    </row>
    <row r="205" spans="1:17" x14ac:dyDescent="0.15">
      <c r="A205" s="89"/>
      <c r="B205" s="90"/>
      <c r="C205" s="90"/>
      <c r="D205" s="91"/>
      <c r="E205" s="90"/>
      <c r="F205" s="90"/>
      <c r="G205" s="90"/>
      <c r="H205" s="90"/>
      <c r="I205" s="90"/>
      <c r="J205" s="78"/>
      <c r="Q205" s="44"/>
    </row>
    <row r="206" spans="1:17" x14ac:dyDescent="0.15">
      <c r="A206" s="89"/>
      <c r="B206" s="90"/>
      <c r="C206" s="90"/>
      <c r="D206" s="91"/>
      <c r="E206" s="90"/>
      <c r="F206" s="90"/>
      <c r="G206" s="90"/>
      <c r="H206" s="90"/>
      <c r="I206" s="90"/>
      <c r="J206" s="78"/>
      <c r="Q206" s="44"/>
    </row>
    <row r="207" spans="1:17" x14ac:dyDescent="0.15">
      <c r="A207" s="89"/>
      <c r="B207" s="90"/>
      <c r="C207" s="90"/>
      <c r="D207" s="91"/>
      <c r="E207" s="90"/>
      <c r="F207" s="90"/>
      <c r="G207" s="90"/>
      <c r="H207" s="90"/>
      <c r="I207" s="90"/>
      <c r="J207" s="78"/>
      <c r="Q207" s="44"/>
    </row>
    <row r="208" spans="1:17" x14ac:dyDescent="0.15">
      <c r="A208" s="89"/>
      <c r="B208" s="90"/>
      <c r="C208" s="90"/>
      <c r="D208" s="91"/>
      <c r="E208" s="90"/>
      <c r="F208" s="90"/>
      <c r="G208" s="90"/>
      <c r="H208" s="90"/>
      <c r="I208" s="90"/>
      <c r="J208" s="78"/>
      <c r="Q208" s="44"/>
    </row>
    <row r="209" spans="1:17" x14ac:dyDescent="0.15">
      <c r="A209" s="89"/>
      <c r="B209" s="90"/>
      <c r="C209" s="90"/>
      <c r="D209" s="91"/>
      <c r="E209" s="90"/>
      <c r="F209" s="90"/>
      <c r="G209" s="90"/>
      <c r="H209" s="90"/>
      <c r="I209" s="90"/>
      <c r="J209" s="78"/>
      <c r="Q209" s="44"/>
    </row>
    <row r="210" spans="1:17" x14ac:dyDescent="0.15">
      <c r="A210" s="89"/>
      <c r="B210" s="90"/>
      <c r="C210" s="90"/>
      <c r="D210" s="91"/>
      <c r="E210" s="90"/>
      <c r="F210" s="90"/>
      <c r="G210" s="90"/>
      <c r="H210" s="90"/>
      <c r="I210" s="90"/>
      <c r="J210" s="78"/>
      <c r="Q210" s="44"/>
    </row>
    <row r="211" spans="1:17" x14ac:dyDescent="0.15">
      <c r="A211" s="89"/>
      <c r="B211" s="90"/>
      <c r="C211" s="90"/>
      <c r="D211" s="91"/>
      <c r="E211" s="90"/>
      <c r="F211" s="90"/>
      <c r="G211" s="90"/>
      <c r="H211" s="90"/>
      <c r="I211" s="90"/>
      <c r="J211" s="78"/>
      <c r="Q211" s="44"/>
    </row>
    <row r="212" spans="1:17" x14ac:dyDescent="0.15">
      <c r="A212" s="89"/>
      <c r="B212" s="90"/>
      <c r="C212" s="90"/>
      <c r="D212" s="91"/>
      <c r="E212" s="90"/>
      <c r="F212" s="90"/>
      <c r="G212" s="90"/>
      <c r="H212" s="90"/>
      <c r="I212" s="90"/>
      <c r="J212" s="78"/>
      <c r="Q212" s="44"/>
    </row>
    <row r="213" spans="1:17" x14ac:dyDescent="0.15">
      <c r="A213" s="89"/>
      <c r="B213" s="90"/>
      <c r="C213" s="90"/>
      <c r="D213" s="91"/>
      <c r="E213" s="90"/>
      <c r="F213" s="90"/>
      <c r="G213" s="90"/>
      <c r="H213" s="90"/>
      <c r="I213" s="90"/>
      <c r="J213" s="78"/>
      <c r="Q213" s="44"/>
    </row>
    <row r="214" spans="1:17" x14ac:dyDescent="0.15">
      <c r="A214" s="89"/>
      <c r="B214" s="90"/>
      <c r="C214" s="90"/>
      <c r="D214" s="91"/>
      <c r="E214" s="90"/>
      <c r="F214" s="90"/>
      <c r="G214" s="90"/>
      <c r="H214" s="90"/>
      <c r="I214" s="90"/>
      <c r="J214" s="78"/>
      <c r="Q214" s="44"/>
    </row>
    <row r="215" spans="1:17" x14ac:dyDescent="0.15">
      <c r="A215" s="89"/>
      <c r="B215" s="90"/>
      <c r="C215" s="90"/>
      <c r="D215" s="91"/>
      <c r="E215" s="90"/>
      <c r="F215" s="90"/>
      <c r="G215" s="90"/>
      <c r="H215" s="90"/>
      <c r="I215" s="90"/>
      <c r="J215" s="78"/>
      <c r="Q215" s="44"/>
    </row>
    <row r="216" spans="1:17" x14ac:dyDescent="0.15">
      <c r="A216" s="89"/>
      <c r="B216" s="90"/>
      <c r="C216" s="90"/>
      <c r="D216" s="91"/>
      <c r="E216" s="90"/>
      <c r="F216" s="90"/>
      <c r="G216" s="90"/>
      <c r="H216" s="90"/>
      <c r="I216" s="90"/>
      <c r="J216" s="78"/>
      <c r="Q216" s="44"/>
    </row>
    <row r="217" spans="1:17" x14ac:dyDescent="0.15">
      <c r="A217" s="89"/>
      <c r="B217" s="90"/>
      <c r="C217" s="90"/>
      <c r="D217" s="91"/>
      <c r="E217" s="90"/>
      <c r="F217" s="90"/>
      <c r="G217" s="90"/>
      <c r="H217" s="90"/>
      <c r="I217" s="90"/>
      <c r="J217" s="78"/>
      <c r="Q217" s="44"/>
    </row>
    <row r="218" spans="1:17" x14ac:dyDescent="0.15">
      <c r="A218" s="89"/>
      <c r="B218" s="90"/>
      <c r="C218" s="90"/>
      <c r="D218" s="91"/>
      <c r="E218" s="90"/>
      <c r="F218" s="90"/>
      <c r="G218" s="90"/>
      <c r="H218" s="90"/>
      <c r="I218" s="90"/>
      <c r="J218" s="78"/>
      <c r="Q218" s="44"/>
    </row>
    <row r="219" spans="1:17" x14ac:dyDescent="0.15">
      <c r="A219" s="89"/>
      <c r="B219" s="90"/>
      <c r="C219" s="90"/>
      <c r="D219" s="91"/>
      <c r="E219" s="90"/>
      <c r="F219" s="90"/>
      <c r="G219" s="90"/>
      <c r="H219" s="90"/>
      <c r="I219" s="90"/>
      <c r="J219" s="78"/>
      <c r="Q219" s="44"/>
    </row>
    <row r="220" spans="1:17" x14ac:dyDescent="0.15">
      <c r="A220" s="89"/>
      <c r="B220" s="90"/>
      <c r="C220" s="90"/>
      <c r="D220" s="91"/>
      <c r="E220" s="90"/>
      <c r="F220" s="90"/>
      <c r="G220" s="90"/>
      <c r="H220" s="90"/>
      <c r="I220" s="90"/>
      <c r="J220" s="78"/>
      <c r="Q220" s="44"/>
    </row>
    <row r="221" spans="1:17" x14ac:dyDescent="0.15">
      <c r="A221" s="89"/>
      <c r="B221" s="90"/>
      <c r="C221" s="90"/>
      <c r="D221" s="91"/>
      <c r="E221" s="90"/>
      <c r="F221" s="90"/>
      <c r="G221" s="90"/>
      <c r="H221" s="90"/>
      <c r="I221" s="90"/>
      <c r="J221" s="78"/>
      <c r="Q221" s="44"/>
    </row>
    <row r="222" spans="1:17" x14ac:dyDescent="0.15">
      <c r="A222" s="89"/>
      <c r="B222" s="90"/>
      <c r="C222" s="90"/>
      <c r="D222" s="91"/>
      <c r="E222" s="90"/>
      <c r="F222" s="90"/>
      <c r="G222" s="90"/>
      <c r="H222" s="90"/>
      <c r="I222" s="90"/>
      <c r="J222" s="78"/>
      <c r="Q222" s="44"/>
    </row>
    <row r="223" spans="1:17" x14ac:dyDescent="0.15">
      <c r="A223" s="89"/>
      <c r="B223" s="90"/>
      <c r="C223" s="90"/>
      <c r="D223" s="91"/>
      <c r="E223" s="90"/>
      <c r="F223" s="90"/>
      <c r="G223" s="90"/>
      <c r="H223" s="90"/>
      <c r="I223" s="90"/>
      <c r="J223" s="78"/>
      <c r="Q223" s="44"/>
    </row>
    <row r="224" spans="1:17" x14ac:dyDescent="0.15">
      <c r="A224" s="89"/>
      <c r="B224" s="90"/>
      <c r="C224" s="90"/>
      <c r="D224" s="91"/>
      <c r="E224" s="90"/>
      <c r="F224" s="90"/>
      <c r="G224" s="90"/>
      <c r="H224" s="90"/>
      <c r="I224" s="90"/>
      <c r="J224" s="78"/>
      <c r="Q224" s="44"/>
    </row>
    <row r="225" spans="1:17" x14ac:dyDescent="0.15">
      <c r="A225" s="89"/>
      <c r="B225" s="90"/>
      <c r="C225" s="90"/>
      <c r="D225" s="91"/>
      <c r="E225" s="90"/>
      <c r="F225" s="90"/>
      <c r="G225" s="90"/>
      <c r="H225" s="90"/>
      <c r="I225" s="90"/>
      <c r="J225" s="78"/>
      <c r="Q225" s="44"/>
    </row>
    <row r="226" spans="1:17" x14ac:dyDescent="0.15">
      <c r="A226" s="89"/>
      <c r="B226" s="90"/>
      <c r="C226" s="90"/>
      <c r="D226" s="91"/>
      <c r="E226" s="90"/>
      <c r="F226" s="90"/>
      <c r="G226" s="90"/>
      <c r="H226" s="90"/>
      <c r="I226" s="90"/>
      <c r="J226" s="78"/>
      <c r="Q226" s="44"/>
    </row>
    <row r="227" spans="1:17" x14ac:dyDescent="0.15">
      <c r="A227" s="89"/>
      <c r="B227" s="90"/>
      <c r="C227" s="90"/>
      <c r="D227" s="91"/>
      <c r="E227" s="90"/>
      <c r="F227" s="90"/>
      <c r="G227" s="90"/>
      <c r="H227" s="90"/>
      <c r="I227" s="90"/>
      <c r="J227" s="78"/>
      <c r="Q227" s="44"/>
    </row>
    <row r="228" spans="1:17" x14ac:dyDescent="0.15">
      <c r="A228" s="89"/>
      <c r="B228" s="90"/>
      <c r="C228" s="90"/>
      <c r="D228" s="91"/>
      <c r="E228" s="90"/>
      <c r="F228" s="90"/>
      <c r="G228" s="90"/>
      <c r="H228" s="90"/>
      <c r="I228" s="90"/>
      <c r="J228" s="78"/>
      <c r="Q228" s="44"/>
    </row>
    <row r="229" spans="1:17" x14ac:dyDescent="0.15">
      <c r="A229" s="89"/>
      <c r="B229" s="90"/>
      <c r="C229" s="90"/>
      <c r="D229" s="91"/>
      <c r="E229" s="90"/>
      <c r="F229" s="90"/>
      <c r="G229" s="90"/>
      <c r="H229" s="90"/>
      <c r="I229" s="90"/>
      <c r="J229" s="78"/>
      <c r="Q229" s="44"/>
    </row>
    <row r="230" spans="1:17" x14ac:dyDescent="0.15">
      <c r="A230" s="89"/>
      <c r="B230" s="90"/>
      <c r="C230" s="90"/>
      <c r="D230" s="91"/>
      <c r="E230" s="90"/>
      <c r="F230" s="90"/>
      <c r="G230" s="90"/>
      <c r="H230" s="90"/>
      <c r="I230" s="90"/>
      <c r="J230" s="78"/>
      <c r="Q230" s="44"/>
    </row>
    <row r="231" spans="1:17" x14ac:dyDescent="0.15">
      <c r="A231" s="89"/>
      <c r="B231" s="90"/>
      <c r="C231" s="90"/>
      <c r="D231" s="91"/>
      <c r="E231" s="90"/>
      <c r="F231" s="90"/>
      <c r="G231" s="90"/>
      <c r="H231" s="90"/>
      <c r="I231" s="90"/>
      <c r="J231" s="78"/>
      <c r="Q231" s="44"/>
    </row>
    <row r="232" spans="1:17" x14ac:dyDescent="0.15">
      <c r="A232" s="89"/>
      <c r="B232" s="90"/>
      <c r="C232" s="90"/>
      <c r="D232" s="91"/>
      <c r="E232" s="90"/>
      <c r="F232" s="90"/>
      <c r="G232" s="90"/>
      <c r="H232" s="90"/>
      <c r="I232" s="90"/>
      <c r="J232" s="78"/>
      <c r="Q232" s="44"/>
    </row>
    <row r="233" spans="1:17" x14ac:dyDescent="0.15">
      <c r="A233" s="89"/>
      <c r="B233" s="90"/>
      <c r="C233" s="90"/>
      <c r="D233" s="91"/>
      <c r="E233" s="90"/>
      <c r="F233" s="90"/>
      <c r="G233" s="90"/>
      <c r="H233" s="90"/>
      <c r="I233" s="90"/>
      <c r="J233" s="78"/>
      <c r="Q233" s="44"/>
    </row>
    <row r="234" spans="1:17" x14ac:dyDescent="0.15">
      <c r="A234" s="89"/>
      <c r="B234" s="90"/>
      <c r="C234" s="90"/>
      <c r="D234" s="91"/>
      <c r="E234" s="90"/>
      <c r="F234" s="90"/>
      <c r="G234" s="90"/>
      <c r="H234" s="90"/>
      <c r="I234" s="90"/>
      <c r="J234" s="78"/>
      <c r="Q234" s="44"/>
    </row>
    <row r="235" spans="1:17" x14ac:dyDescent="0.15">
      <c r="A235" s="89"/>
      <c r="B235" s="90"/>
      <c r="C235" s="90"/>
      <c r="D235" s="91"/>
      <c r="E235" s="90"/>
      <c r="F235" s="90"/>
      <c r="G235" s="90"/>
      <c r="H235" s="90"/>
      <c r="I235" s="90"/>
      <c r="J235" s="78"/>
      <c r="Q235" s="44"/>
    </row>
    <row r="236" spans="1:17" x14ac:dyDescent="0.15">
      <c r="A236" s="89"/>
      <c r="B236" s="90"/>
      <c r="C236" s="90"/>
      <c r="D236" s="91"/>
      <c r="E236" s="90"/>
      <c r="F236" s="90"/>
      <c r="G236" s="90"/>
      <c r="H236" s="90"/>
      <c r="I236" s="90"/>
      <c r="J236" s="78"/>
      <c r="Q236" s="44"/>
    </row>
    <row r="237" spans="1:17" x14ac:dyDescent="0.15">
      <c r="A237" s="89"/>
      <c r="B237" s="90"/>
      <c r="C237" s="90"/>
      <c r="D237" s="91"/>
      <c r="E237" s="90"/>
      <c r="F237" s="90"/>
      <c r="G237" s="90"/>
      <c r="H237" s="90"/>
      <c r="I237" s="90"/>
      <c r="J237" s="78"/>
      <c r="Q237" s="44"/>
    </row>
    <row r="238" spans="1:17" x14ac:dyDescent="0.15">
      <c r="A238" s="89"/>
      <c r="B238" s="90"/>
      <c r="C238" s="90"/>
      <c r="D238" s="91"/>
      <c r="E238" s="90"/>
      <c r="F238" s="90"/>
      <c r="G238" s="90"/>
      <c r="H238" s="90"/>
      <c r="I238" s="90"/>
      <c r="J238" s="78"/>
      <c r="Q238" s="44"/>
    </row>
    <row r="239" spans="1:17" x14ac:dyDescent="0.15">
      <c r="A239" s="89"/>
      <c r="B239" s="90"/>
      <c r="C239" s="90"/>
      <c r="D239" s="91"/>
      <c r="E239" s="90"/>
      <c r="F239" s="90"/>
      <c r="G239" s="90"/>
      <c r="H239" s="90"/>
      <c r="I239" s="90"/>
      <c r="J239" s="78"/>
      <c r="Q239" s="44"/>
    </row>
    <row r="240" spans="1:17" x14ac:dyDescent="0.15">
      <c r="A240" s="89"/>
      <c r="B240" s="90"/>
      <c r="C240" s="90"/>
      <c r="D240" s="91"/>
      <c r="E240" s="90"/>
      <c r="F240" s="90"/>
      <c r="G240" s="90"/>
      <c r="H240" s="90"/>
      <c r="I240" s="90"/>
      <c r="J240" s="78"/>
      <c r="Q240" s="44"/>
    </row>
    <row r="241" spans="1:17" x14ac:dyDescent="0.15">
      <c r="A241" s="89"/>
      <c r="B241" s="90"/>
      <c r="C241" s="90"/>
      <c r="D241" s="91"/>
      <c r="E241" s="90"/>
      <c r="F241" s="90"/>
      <c r="G241" s="90"/>
      <c r="H241" s="90"/>
      <c r="I241" s="90"/>
      <c r="J241" s="78"/>
      <c r="Q241" s="44"/>
    </row>
    <row r="242" spans="1:17" x14ac:dyDescent="0.15">
      <c r="A242" s="89"/>
      <c r="B242" s="90"/>
      <c r="C242" s="90"/>
      <c r="D242" s="91"/>
      <c r="E242" s="90"/>
      <c r="F242" s="90"/>
      <c r="G242" s="90"/>
      <c r="H242" s="90"/>
      <c r="I242" s="90"/>
      <c r="J242" s="78"/>
      <c r="Q242" s="44"/>
    </row>
    <row r="243" spans="1:17" x14ac:dyDescent="0.15">
      <c r="A243" s="89"/>
      <c r="B243" s="90"/>
      <c r="C243" s="90"/>
      <c r="D243" s="91"/>
      <c r="E243" s="90"/>
      <c r="F243" s="90"/>
      <c r="G243" s="90"/>
      <c r="H243" s="90"/>
      <c r="I243" s="90"/>
      <c r="J243" s="78"/>
      <c r="Q243" s="44"/>
    </row>
    <row r="244" spans="1:17" x14ac:dyDescent="0.15">
      <c r="A244" s="89"/>
      <c r="B244" s="90"/>
      <c r="C244" s="90"/>
      <c r="D244" s="91"/>
      <c r="E244" s="90"/>
      <c r="F244" s="90"/>
      <c r="G244" s="90"/>
      <c r="H244" s="90"/>
      <c r="I244" s="90"/>
      <c r="J244" s="78"/>
      <c r="Q244" s="44"/>
    </row>
    <row r="245" spans="1:17" x14ac:dyDescent="0.15">
      <c r="A245" s="89"/>
      <c r="B245" s="90"/>
      <c r="C245" s="90"/>
      <c r="D245" s="91"/>
      <c r="E245" s="90"/>
      <c r="F245" s="90"/>
      <c r="G245" s="90"/>
      <c r="H245" s="90"/>
      <c r="I245" s="90"/>
      <c r="J245" s="78"/>
      <c r="Q245" s="44"/>
    </row>
    <row r="246" spans="1:17" x14ac:dyDescent="0.15">
      <c r="A246" s="89"/>
      <c r="B246" s="90"/>
      <c r="C246" s="90"/>
      <c r="D246" s="91"/>
      <c r="E246" s="90"/>
      <c r="F246" s="90"/>
      <c r="G246" s="90"/>
      <c r="H246" s="90"/>
      <c r="I246" s="90"/>
      <c r="J246" s="78"/>
      <c r="Q246" s="44"/>
    </row>
    <row r="247" spans="1:17" x14ac:dyDescent="0.15">
      <c r="A247" s="89"/>
      <c r="B247" s="90"/>
      <c r="C247" s="90"/>
      <c r="D247" s="91"/>
      <c r="E247" s="90"/>
      <c r="F247" s="90"/>
      <c r="G247" s="90"/>
      <c r="H247" s="90"/>
      <c r="I247" s="90"/>
      <c r="J247" s="78"/>
      <c r="Q247" s="44"/>
    </row>
    <row r="248" spans="1:17" x14ac:dyDescent="0.15">
      <c r="A248" s="89"/>
      <c r="B248" s="90"/>
      <c r="C248" s="90"/>
      <c r="D248" s="91"/>
      <c r="E248" s="90"/>
      <c r="F248" s="90"/>
      <c r="G248" s="90"/>
      <c r="H248" s="90"/>
      <c r="I248" s="90"/>
      <c r="J248" s="78"/>
      <c r="Q248" s="44"/>
    </row>
    <row r="249" spans="1:17" x14ac:dyDescent="0.15">
      <c r="A249" s="89"/>
      <c r="B249" s="90"/>
      <c r="C249" s="90"/>
      <c r="D249" s="91"/>
      <c r="E249" s="90"/>
      <c r="F249" s="90"/>
      <c r="G249" s="90"/>
      <c r="H249" s="90"/>
      <c r="I249" s="90"/>
      <c r="J249" s="78"/>
      <c r="Q249" s="44"/>
    </row>
    <row r="250" spans="1:17" x14ac:dyDescent="0.15">
      <c r="A250" s="89"/>
      <c r="B250" s="90"/>
      <c r="C250" s="90"/>
      <c r="D250" s="91"/>
      <c r="E250" s="90"/>
      <c r="F250" s="90"/>
      <c r="G250" s="90"/>
      <c r="H250" s="90"/>
      <c r="I250" s="90"/>
      <c r="J250" s="78"/>
      <c r="Q250" s="44"/>
    </row>
    <row r="251" spans="1:17" x14ac:dyDescent="0.15">
      <c r="A251" s="89"/>
      <c r="B251" s="90"/>
      <c r="C251" s="90"/>
      <c r="D251" s="91"/>
      <c r="E251" s="90"/>
      <c r="F251" s="90"/>
      <c r="G251" s="90"/>
      <c r="H251" s="90"/>
      <c r="I251" s="90"/>
      <c r="J251" s="78"/>
      <c r="Q251" s="44"/>
    </row>
    <row r="252" spans="1:17" x14ac:dyDescent="0.15">
      <c r="A252" s="89"/>
      <c r="B252" s="90"/>
      <c r="C252" s="90"/>
      <c r="D252" s="91"/>
      <c r="E252" s="90"/>
      <c r="F252" s="90"/>
      <c r="G252" s="90"/>
      <c r="H252" s="90"/>
      <c r="I252" s="90"/>
      <c r="J252" s="78"/>
      <c r="Q252" s="44"/>
    </row>
    <row r="253" spans="1:17" x14ac:dyDescent="0.15">
      <c r="A253" s="89"/>
      <c r="B253" s="90"/>
      <c r="C253" s="90"/>
      <c r="D253" s="91"/>
      <c r="E253" s="90"/>
      <c r="F253" s="90"/>
      <c r="G253" s="90"/>
      <c r="H253" s="90"/>
      <c r="I253" s="90"/>
      <c r="J253" s="78"/>
      <c r="Q253" s="44"/>
    </row>
    <row r="254" spans="1:17" x14ac:dyDescent="0.15">
      <c r="A254" s="89"/>
      <c r="B254" s="90"/>
      <c r="C254" s="90"/>
      <c r="D254" s="91"/>
      <c r="E254" s="90"/>
      <c r="F254" s="90"/>
      <c r="G254" s="90"/>
      <c r="H254" s="90"/>
      <c r="I254" s="90"/>
      <c r="J254" s="78"/>
      <c r="Q254" s="44"/>
    </row>
    <row r="255" spans="1:17" x14ac:dyDescent="0.15">
      <c r="A255" s="89"/>
      <c r="B255" s="90"/>
      <c r="C255" s="90"/>
      <c r="D255" s="91"/>
      <c r="E255" s="90"/>
      <c r="F255" s="90"/>
      <c r="G255" s="90"/>
      <c r="H255" s="90"/>
      <c r="I255" s="90"/>
      <c r="J255" s="78"/>
      <c r="Q255" s="44"/>
    </row>
    <row r="256" spans="1:17" x14ac:dyDescent="0.15">
      <c r="A256" s="89"/>
      <c r="B256" s="90"/>
      <c r="C256" s="90"/>
      <c r="D256" s="91"/>
      <c r="E256" s="90"/>
      <c r="F256" s="90"/>
      <c r="G256" s="90"/>
      <c r="H256" s="90"/>
      <c r="I256" s="90"/>
      <c r="J256" s="78"/>
      <c r="Q256" s="44"/>
    </row>
    <row r="257" spans="1:17" x14ac:dyDescent="0.15">
      <c r="A257" s="89"/>
      <c r="B257" s="90"/>
      <c r="C257" s="90"/>
      <c r="D257" s="91"/>
      <c r="E257" s="90"/>
      <c r="F257" s="90"/>
      <c r="G257" s="90"/>
      <c r="H257" s="90"/>
      <c r="I257" s="90"/>
      <c r="J257" s="78"/>
      <c r="Q257" s="44"/>
    </row>
    <row r="258" spans="1:17" x14ac:dyDescent="0.15">
      <c r="A258" s="89"/>
      <c r="B258" s="90"/>
      <c r="C258" s="90"/>
      <c r="D258" s="91"/>
      <c r="E258" s="90"/>
      <c r="F258" s="90"/>
      <c r="G258" s="90"/>
      <c r="H258" s="90"/>
      <c r="I258" s="90"/>
      <c r="J258" s="78"/>
      <c r="Q258" s="44"/>
    </row>
    <row r="259" spans="1:17" x14ac:dyDescent="0.15">
      <c r="A259" s="89"/>
      <c r="B259" s="90"/>
      <c r="C259" s="90"/>
      <c r="D259" s="91"/>
      <c r="E259" s="90"/>
      <c r="F259" s="90"/>
      <c r="G259" s="90"/>
      <c r="H259" s="90"/>
      <c r="I259" s="90"/>
      <c r="J259" s="78"/>
      <c r="Q259" s="44"/>
    </row>
    <row r="260" spans="1:17" x14ac:dyDescent="0.15">
      <c r="A260" s="89"/>
      <c r="B260" s="90"/>
      <c r="C260" s="90"/>
      <c r="D260" s="91"/>
      <c r="E260" s="90"/>
      <c r="F260" s="90"/>
      <c r="G260" s="90"/>
      <c r="H260" s="90"/>
      <c r="I260" s="90"/>
      <c r="J260" s="78"/>
      <c r="Q260" s="44"/>
    </row>
    <row r="261" spans="1:17" x14ac:dyDescent="0.15">
      <c r="A261" s="89"/>
      <c r="B261" s="90"/>
      <c r="C261" s="90"/>
      <c r="D261" s="91"/>
      <c r="E261" s="90"/>
      <c r="F261" s="90"/>
      <c r="G261" s="90"/>
      <c r="H261" s="90"/>
      <c r="I261" s="90"/>
      <c r="J261" s="78"/>
      <c r="Q261" s="44"/>
    </row>
    <row r="262" spans="1:17" x14ac:dyDescent="0.15">
      <c r="A262" s="89"/>
      <c r="B262" s="90"/>
      <c r="C262" s="90"/>
      <c r="D262" s="91"/>
      <c r="E262" s="90"/>
      <c r="F262" s="90"/>
      <c r="G262" s="90"/>
      <c r="H262" s="90"/>
      <c r="I262" s="90"/>
      <c r="J262" s="78"/>
      <c r="Q262" s="44"/>
    </row>
    <row r="263" spans="1:17" x14ac:dyDescent="0.15">
      <c r="A263" s="89"/>
      <c r="B263" s="90"/>
      <c r="C263" s="90"/>
      <c r="D263" s="91"/>
      <c r="E263" s="90"/>
      <c r="F263" s="90"/>
      <c r="G263" s="90"/>
      <c r="H263" s="90"/>
      <c r="I263" s="90"/>
      <c r="J263" s="78"/>
      <c r="Q263" s="44"/>
    </row>
    <row r="264" spans="1:17" x14ac:dyDescent="0.15">
      <c r="A264" s="89"/>
      <c r="B264" s="90"/>
      <c r="C264" s="90"/>
      <c r="D264" s="91"/>
      <c r="E264" s="90"/>
      <c r="F264" s="90"/>
      <c r="G264" s="90"/>
      <c r="H264" s="90"/>
      <c r="I264" s="90"/>
      <c r="J264" s="78"/>
      <c r="Q264" s="44"/>
    </row>
    <row r="265" spans="1:17" x14ac:dyDescent="0.15">
      <c r="A265" s="89"/>
      <c r="B265" s="90"/>
      <c r="C265" s="90"/>
      <c r="D265" s="91"/>
      <c r="E265" s="90"/>
      <c r="F265" s="90"/>
      <c r="G265" s="90"/>
      <c r="H265" s="90"/>
      <c r="I265" s="90"/>
      <c r="J265" s="78"/>
      <c r="Q265" s="44"/>
    </row>
    <row r="266" spans="1:17" x14ac:dyDescent="0.15">
      <c r="A266" s="89"/>
      <c r="B266" s="90"/>
      <c r="C266" s="90"/>
      <c r="D266" s="91"/>
      <c r="E266" s="90"/>
      <c r="F266" s="90"/>
      <c r="G266" s="90"/>
      <c r="H266" s="90"/>
      <c r="I266" s="90"/>
      <c r="J266" s="78"/>
      <c r="Q266" s="44"/>
    </row>
    <row r="267" spans="1:17" x14ac:dyDescent="0.15">
      <c r="A267" s="89"/>
      <c r="B267" s="90"/>
      <c r="C267" s="90"/>
      <c r="D267" s="91"/>
      <c r="E267" s="90"/>
      <c r="F267" s="90"/>
      <c r="G267" s="90"/>
      <c r="H267" s="90"/>
      <c r="I267" s="90"/>
      <c r="J267" s="78"/>
      <c r="Q267" s="44"/>
    </row>
    <row r="268" spans="1:17" x14ac:dyDescent="0.15">
      <c r="A268" s="89"/>
      <c r="B268" s="90"/>
      <c r="C268" s="90"/>
      <c r="D268" s="91"/>
      <c r="E268" s="90"/>
      <c r="F268" s="90"/>
      <c r="G268" s="90"/>
      <c r="H268" s="90"/>
      <c r="I268" s="90"/>
      <c r="J268" s="78"/>
      <c r="Q268" s="44"/>
    </row>
    <row r="269" spans="1:17" x14ac:dyDescent="0.15">
      <c r="A269" s="89"/>
      <c r="B269" s="90"/>
      <c r="C269" s="90"/>
      <c r="D269" s="91"/>
      <c r="E269" s="90"/>
      <c r="F269" s="90"/>
      <c r="G269" s="90"/>
      <c r="H269" s="90"/>
      <c r="I269" s="90"/>
      <c r="J269" s="78"/>
      <c r="Q269" s="44"/>
    </row>
    <row r="270" spans="1:17" x14ac:dyDescent="0.15">
      <c r="A270" s="89"/>
      <c r="B270" s="90"/>
      <c r="C270" s="90"/>
      <c r="D270" s="91"/>
      <c r="E270" s="90"/>
      <c r="F270" s="90"/>
      <c r="G270" s="90"/>
      <c r="H270" s="90"/>
      <c r="I270" s="90"/>
      <c r="J270" s="78"/>
      <c r="Q270" s="44"/>
    </row>
    <row r="271" spans="1:17" x14ac:dyDescent="0.15">
      <c r="A271" s="89"/>
      <c r="B271" s="90"/>
      <c r="C271" s="90"/>
      <c r="D271" s="91"/>
      <c r="E271" s="90"/>
      <c r="F271" s="90"/>
      <c r="G271" s="90"/>
      <c r="H271" s="90"/>
      <c r="I271" s="90"/>
      <c r="J271" s="78"/>
      <c r="Q271" s="44"/>
    </row>
    <row r="272" spans="1:17" x14ac:dyDescent="0.15">
      <c r="A272" s="89"/>
      <c r="B272" s="90"/>
      <c r="C272" s="90"/>
      <c r="D272" s="91"/>
      <c r="E272" s="90"/>
      <c r="F272" s="90"/>
      <c r="G272" s="90"/>
      <c r="H272" s="90"/>
      <c r="I272" s="90"/>
      <c r="J272" s="78"/>
      <c r="Q272" s="44"/>
    </row>
    <row r="273" spans="1:17" x14ac:dyDescent="0.15">
      <c r="A273" s="89"/>
      <c r="B273" s="90"/>
      <c r="C273" s="90"/>
      <c r="D273" s="91"/>
      <c r="E273" s="90"/>
      <c r="F273" s="90"/>
      <c r="G273" s="90"/>
      <c r="H273" s="90"/>
      <c r="I273" s="90"/>
      <c r="J273" s="78"/>
      <c r="Q273" s="44"/>
    </row>
    <row r="274" spans="1:17" x14ac:dyDescent="0.15">
      <c r="A274" s="89"/>
      <c r="B274" s="90"/>
      <c r="C274" s="90"/>
      <c r="D274" s="91"/>
      <c r="E274" s="90"/>
      <c r="F274" s="90"/>
      <c r="G274" s="90"/>
      <c r="H274" s="90"/>
      <c r="I274" s="90"/>
      <c r="J274" s="78"/>
      <c r="Q274" s="44"/>
    </row>
    <row r="275" spans="1:17" x14ac:dyDescent="0.15">
      <c r="A275" s="89"/>
      <c r="B275" s="90"/>
      <c r="C275" s="90"/>
      <c r="D275" s="91"/>
      <c r="E275" s="90"/>
      <c r="F275" s="90"/>
      <c r="G275" s="90"/>
      <c r="H275" s="90"/>
      <c r="I275" s="90"/>
      <c r="J275" s="78"/>
      <c r="Q275" s="44"/>
    </row>
    <row r="276" spans="1:17" x14ac:dyDescent="0.15">
      <c r="A276" s="89"/>
      <c r="B276" s="90"/>
      <c r="C276" s="90"/>
      <c r="D276" s="91"/>
      <c r="E276" s="90"/>
      <c r="F276" s="90"/>
      <c r="G276" s="90"/>
      <c r="H276" s="90"/>
      <c r="I276" s="90"/>
      <c r="J276" s="78"/>
      <c r="Q276" s="44"/>
    </row>
    <row r="277" spans="1:17" x14ac:dyDescent="0.15">
      <c r="A277" s="89"/>
      <c r="B277" s="90"/>
      <c r="C277" s="90"/>
      <c r="D277" s="91"/>
      <c r="E277" s="90"/>
      <c r="F277" s="90"/>
      <c r="G277" s="90"/>
      <c r="H277" s="90"/>
      <c r="I277" s="90"/>
      <c r="J277" s="78"/>
      <c r="Q277" s="44"/>
    </row>
    <row r="278" spans="1:17" x14ac:dyDescent="0.15">
      <c r="A278" s="89"/>
      <c r="B278" s="90"/>
      <c r="C278" s="90"/>
      <c r="D278" s="91"/>
      <c r="E278" s="90"/>
      <c r="F278" s="90"/>
      <c r="G278" s="90"/>
      <c r="H278" s="90"/>
      <c r="I278" s="90"/>
      <c r="J278" s="78"/>
      <c r="Q278" s="44"/>
    </row>
    <row r="279" spans="1:17" x14ac:dyDescent="0.15">
      <c r="A279" s="89"/>
      <c r="B279" s="90"/>
      <c r="C279" s="90"/>
      <c r="D279" s="91"/>
      <c r="E279" s="90"/>
      <c r="F279" s="90"/>
      <c r="G279" s="90"/>
      <c r="H279" s="90"/>
      <c r="I279" s="90"/>
      <c r="J279" s="78"/>
      <c r="Q279" s="44"/>
    </row>
    <row r="280" spans="1:17" x14ac:dyDescent="0.15">
      <c r="A280" s="89"/>
      <c r="B280" s="90"/>
      <c r="C280" s="90"/>
      <c r="D280" s="91"/>
      <c r="E280" s="90"/>
      <c r="F280" s="90"/>
      <c r="G280" s="90"/>
      <c r="H280" s="90"/>
      <c r="I280" s="90"/>
      <c r="J280" s="78"/>
      <c r="Q280" s="44"/>
    </row>
    <row r="281" spans="1:17" x14ac:dyDescent="0.15">
      <c r="A281" s="89"/>
      <c r="B281" s="90"/>
      <c r="C281" s="90"/>
      <c r="D281" s="91"/>
      <c r="E281" s="90"/>
      <c r="F281" s="90"/>
      <c r="G281" s="90"/>
      <c r="H281" s="90"/>
      <c r="I281" s="90"/>
      <c r="J281" s="78"/>
      <c r="Q281" s="44"/>
    </row>
    <row r="282" spans="1:17" x14ac:dyDescent="0.15">
      <c r="A282" s="89"/>
      <c r="B282" s="90"/>
      <c r="C282" s="90"/>
      <c r="D282" s="91"/>
      <c r="E282" s="90"/>
      <c r="F282" s="90"/>
      <c r="G282" s="90"/>
      <c r="H282" s="90"/>
      <c r="I282" s="90"/>
      <c r="J282" s="78"/>
      <c r="Q282" s="44"/>
    </row>
    <row r="283" spans="1:17" x14ac:dyDescent="0.15">
      <c r="A283" s="89"/>
      <c r="B283" s="90"/>
      <c r="C283" s="90"/>
      <c r="D283" s="91"/>
      <c r="E283" s="90"/>
      <c r="F283" s="90"/>
      <c r="G283" s="90"/>
      <c r="H283" s="90"/>
      <c r="I283" s="90"/>
      <c r="J283" s="78"/>
      <c r="Q283" s="44"/>
    </row>
    <row r="284" spans="1:17" x14ac:dyDescent="0.15">
      <c r="A284" s="89"/>
      <c r="B284" s="90"/>
      <c r="C284" s="90"/>
      <c r="D284" s="91"/>
      <c r="E284" s="90"/>
      <c r="F284" s="90"/>
      <c r="G284" s="90"/>
      <c r="H284" s="90"/>
      <c r="I284" s="90"/>
      <c r="J284" s="78"/>
      <c r="Q284" s="44"/>
    </row>
    <row r="285" spans="1:17" x14ac:dyDescent="0.15">
      <c r="A285" s="89"/>
      <c r="B285" s="90"/>
      <c r="C285" s="90"/>
      <c r="D285" s="91"/>
      <c r="E285" s="90"/>
      <c r="F285" s="90"/>
      <c r="G285" s="90"/>
      <c r="H285" s="90"/>
      <c r="I285" s="90"/>
      <c r="J285" s="78"/>
      <c r="Q285" s="44"/>
    </row>
    <row r="286" spans="1:17" x14ac:dyDescent="0.15">
      <c r="A286" s="89"/>
      <c r="B286" s="90"/>
      <c r="C286" s="90"/>
      <c r="D286" s="91"/>
      <c r="E286" s="90"/>
      <c r="F286" s="90"/>
      <c r="G286" s="90"/>
      <c r="H286" s="90"/>
      <c r="I286" s="90"/>
      <c r="J286" s="78"/>
      <c r="Q286" s="44"/>
    </row>
    <row r="287" spans="1:17" x14ac:dyDescent="0.15">
      <c r="A287" s="89"/>
      <c r="B287" s="90"/>
      <c r="C287" s="90"/>
      <c r="D287" s="91"/>
      <c r="E287" s="90"/>
      <c r="F287" s="90"/>
      <c r="G287" s="90"/>
      <c r="H287" s="90"/>
      <c r="I287" s="90"/>
      <c r="J287" s="78"/>
      <c r="Q287" s="44"/>
    </row>
    <row r="288" spans="1:17" x14ac:dyDescent="0.15">
      <c r="A288" s="89"/>
      <c r="B288" s="90"/>
      <c r="C288" s="90"/>
      <c r="D288" s="91"/>
      <c r="E288" s="90"/>
      <c r="F288" s="90"/>
      <c r="G288" s="90"/>
      <c r="H288" s="90"/>
      <c r="I288" s="90"/>
      <c r="J288" s="78"/>
      <c r="Q288" s="44"/>
    </row>
    <row r="289" spans="1:17" x14ac:dyDescent="0.15">
      <c r="A289" s="89"/>
      <c r="B289" s="90"/>
      <c r="C289" s="90"/>
      <c r="D289" s="91"/>
      <c r="E289" s="90"/>
      <c r="F289" s="90"/>
      <c r="G289" s="90"/>
      <c r="H289" s="90"/>
      <c r="I289" s="90"/>
      <c r="J289" s="78"/>
      <c r="Q289" s="44"/>
    </row>
    <row r="290" spans="1:17" x14ac:dyDescent="0.15">
      <c r="A290" s="89"/>
      <c r="B290" s="90"/>
      <c r="C290" s="90"/>
      <c r="D290" s="91"/>
      <c r="E290" s="90"/>
      <c r="F290" s="90"/>
      <c r="G290" s="90"/>
      <c r="H290" s="90"/>
      <c r="I290" s="90"/>
      <c r="J290" s="78"/>
      <c r="Q290" s="44"/>
    </row>
    <row r="291" spans="1:17" x14ac:dyDescent="0.15">
      <c r="A291" s="89"/>
      <c r="B291" s="90"/>
      <c r="C291" s="90"/>
      <c r="D291" s="91"/>
      <c r="E291" s="90"/>
      <c r="F291" s="90"/>
      <c r="G291" s="90"/>
      <c r="H291" s="90"/>
      <c r="I291" s="90"/>
      <c r="J291" s="78"/>
      <c r="Q291" s="44"/>
    </row>
    <row r="292" spans="1:17" x14ac:dyDescent="0.15">
      <c r="A292" s="89"/>
      <c r="B292" s="90"/>
      <c r="C292" s="90"/>
      <c r="D292" s="91"/>
      <c r="E292" s="90"/>
      <c r="F292" s="90"/>
      <c r="G292" s="90"/>
      <c r="H292" s="90"/>
      <c r="I292" s="90"/>
      <c r="J292" s="78"/>
    </row>
    <row r="293" spans="1:17" x14ac:dyDescent="0.15">
      <c r="A293" s="89"/>
      <c r="B293" s="90"/>
      <c r="C293" s="90"/>
      <c r="D293" s="91"/>
      <c r="E293" s="90"/>
      <c r="F293" s="90"/>
      <c r="G293" s="90"/>
      <c r="H293" s="90"/>
      <c r="I293" s="90"/>
      <c r="J293" s="78"/>
    </row>
    <row r="294" spans="1:17" x14ac:dyDescent="0.15">
      <c r="A294" s="89"/>
      <c r="B294" s="90"/>
      <c r="C294" s="90"/>
      <c r="D294" s="91"/>
      <c r="E294" s="90"/>
      <c r="F294" s="90"/>
      <c r="G294" s="90"/>
      <c r="H294" s="90"/>
      <c r="I294" s="90"/>
      <c r="J294" s="78"/>
    </row>
    <row r="295" spans="1:17" x14ac:dyDescent="0.15">
      <c r="A295" s="89"/>
      <c r="B295" s="90"/>
      <c r="C295" s="90"/>
      <c r="D295" s="91"/>
      <c r="E295" s="90"/>
      <c r="F295" s="90"/>
      <c r="G295" s="90"/>
      <c r="H295" s="90"/>
      <c r="I295" s="90"/>
      <c r="J295" s="78"/>
    </row>
    <row r="296" spans="1:17" x14ac:dyDescent="0.15">
      <c r="A296" s="89"/>
      <c r="B296" s="90"/>
      <c r="C296" s="90"/>
      <c r="D296" s="91"/>
      <c r="E296" s="90"/>
      <c r="F296" s="90"/>
      <c r="G296" s="90"/>
      <c r="H296" s="90"/>
      <c r="I296" s="90"/>
      <c r="J296" s="78"/>
    </row>
    <row r="297" spans="1:17" x14ac:dyDescent="0.15">
      <c r="A297" s="89"/>
      <c r="B297" s="90"/>
      <c r="C297" s="90"/>
      <c r="D297" s="91"/>
      <c r="E297" s="90"/>
      <c r="F297" s="90"/>
      <c r="G297" s="90"/>
      <c r="H297" s="90"/>
      <c r="I297" s="90"/>
      <c r="J297" s="78"/>
    </row>
    <row r="298" spans="1:17" x14ac:dyDescent="0.15">
      <c r="A298" s="89"/>
      <c r="B298" s="90"/>
      <c r="C298" s="90"/>
      <c r="D298" s="91"/>
      <c r="E298" s="90"/>
      <c r="F298" s="90"/>
      <c r="G298" s="90"/>
      <c r="H298" s="90"/>
      <c r="I298" s="90"/>
      <c r="J298" s="78"/>
    </row>
    <row r="299" spans="1:17" x14ac:dyDescent="0.15">
      <c r="A299" s="89"/>
      <c r="B299" s="90"/>
      <c r="C299" s="90"/>
      <c r="D299" s="91"/>
      <c r="E299" s="90"/>
      <c r="F299" s="90"/>
      <c r="G299" s="90"/>
      <c r="H299" s="90"/>
      <c r="I299" s="90"/>
      <c r="J299" s="78"/>
    </row>
    <row r="300" spans="1:17" x14ac:dyDescent="0.15">
      <c r="A300" s="89"/>
      <c r="B300" s="90"/>
      <c r="C300" s="90"/>
      <c r="D300" s="91"/>
      <c r="E300" s="90"/>
      <c r="F300" s="90"/>
      <c r="G300" s="90"/>
      <c r="H300" s="90"/>
      <c r="I300" s="90"/>
      <c r="J300" s="78"/>
    </row>
    <row r="301" spans="1:17" x14ac:dyDescent="0.15">
      <c r="A301" s="89"/>
      <c r="B301" s="90"/>
      <c r="C301" s="90"/>
      <c r="D301" s="91"/>
      <c r="E301" s="90"/>
      <c r="F301" s="90"/>
      <c r="G301" s="90"/>
      <c r="H301" s="90"/>
      <c r="I301" s="90"/>
      <c r="J301" s="78"/>
    </row>
    <row r="302" spans="1:17" x14ac:dyDescent="0.15">
      <c r="A302" s="89"/>
      <c r="B302" s="90"/>
      <c r="C302" s="90"/>
      <c r="D302" s="91"/>
      <c r="E302" s="90"/>
      <c r="F302" s="90"/>
      <c r="G302" s="90"/>
      <c r="H302" s="90"/>
      <c r="I302" s="90"/>
      <c r="J302" s="78"/>
    </row>
    <row r="303" spans="1:17" x14ac:dyDescent="0.15">
      <c r="A303" s="89"/>
      <c r="B303" s="90"/>
      <c r="C303" s="90"/>
      <c r="D303" s="91"/>
      <c r="E303" s="90"/>
      <c r="F303" s="90"/>
      <c r="G303" s="90"/>
      <c r="H303" s="90"/>
      <c r="I303" s="90"/>
      <c r="J303" s="78"/>
    </row>
    <row r="304" spans="1:17" x14ac:dyDescent="0.15">
      <c r="A304" s="89"/>
      <c r="B304" s="90"/>
      <c r="C304" s="90"/>
      <c r="D304" s="91"/>
      <c r="E304" s="90"/>
      <c r="F304" s="90"/>
      <c r="G304" s="90"/>
      <c r="H304" s="90"/>
      <c r="I304" s="90"/>
      <c r="J304" s="78"/>
    </row>
    <row r="305" spans="1:10" x14ac:dyDescent="0.15">
      <c r="A305" s="89"/>
      <c r="B305" s="90"/>
      <c r="C305" s="90"/>
      <c r="D305" s="91"/>
      <c r="E305" s="90"/>
      <c r="F305" s="90"/>
      <c r="G305" s="90"/>
      <c r="H305" s="90"/>
      <c r="I305" s="90"/>
      <c r="J305" s="78"/>
    </row>
    <row r="306" spans="1:10" x14ac:dyDescent="0.15">
      <c r="A306" s="89"/>
      <c r="B306" s="90"/>
      <c r="C306" s="90"/>
      <c r="D306" s="91"/>
      <c r="E306" s="90"/>
      <c r="F306" s="90"/>
      <c r="G306" s="90"/>
      <c r="H306" s="90"/>
      <c r="I306" s="90"/>
      <c r="J306" s="78"/>
    </row>
    <row r="307" spans="1:10" x14ac:dyDescent="0.15">
      <c r="A307" s="89"/>
      <c r="B307" s="90"/>
      <c r="C307" s="90"/>
      <c r="D307" s="91"/>
      <c r="E307" s="90"/>
      <c r="F307" s="90"/>
      <c r="G307" s="90"/>
      <c r="H307" s="90"/>
      <c r="I307" s="90"/>
      <c r="J307" s="78"/>
    </row>
    <row r="308" spans="1:10" x14ac:dyDescent="0.15">
      <c r="A308" s="89"/>
      <c r="B308" s="90"/>
      <c r="C308" s="90"/>
      <c r="D308" s="91"/>
      <c r="E308" s="90"/>
      <c r="F308" s="90"/>
      <c r="G308" s="90"/>
      <c r="H308" s="90"/>
      <c r="I308" s="90"/>
      <c r="J308" s="78"/>
    </row>
    <row r="309" spans="1:10" x14ac:dyDescent="0.15">
      <c r="A309" s="89"/>
      <c r="B309" s="90"/>
      <c r="C309" s="90"/>
      <c r="D309" s="91"/>
      <c r="E309" s="90"/>
      <c r="F309" s="90"/>
      <c r="G309" s="90"/>
      <c r="H309" s="90"/>
      <c r="I309" s="90"/>
      <c r="J309" s="78"/>
    </row>
    <row r="310" spans="1:10" x14ac:dyDescent="0.15">
      <c r="A310" s="89"/>
      <c r="B310" s="90"/>
      <c r="C310" s="90"/>
      <c r="D310" s="91"/>
      <c r="E310" s="90"/>
      <c r="F310" s="90"/>
      <c r="G310" s="90"/>
      <c r="H310" s="90"/>
      <c r="I310" s="90"/>
      <c r="J310" s="78"/>
    </row>
    <row r="311" spans="1:10" x14ac:dyDescent="0.15">
      <c r="A311" s="89"/>
      <c r="B311" s="90"/>
      <c r="C311" s="90"/>
      <c r="D311" s="91"/>
      <c r="E311" s="90"/>
      <c r="F311" s="90"/>
      <c r="G311" s="90"/>
      <c r="H311" s="90"/>
      <c r="I311" s="90"/>
      <c r="J311" s="78"/>
    </row>
    <row r="312" spans="1:10" x14ac:dyDescent="0.15">
      <c r="A312" s="89"/>
      <c r="B312" s="90"/>
      <c r="C312" s="90"/>
      <c r="D312" s="91"/>
      <c r="E312" s="90"/>
      <c r="F312" s="90"/>
      <c r="G312" s="90"/>
      <c r="H312" s="90"/>
      <c r="I312" s="90"/>
      <c r="J312" s="78"/>
    </row>
    <row r="313" spans="1:10" x14ac:dyDescent="0.15">
      <c r="A313" s="89"/>
      <c r="B313" s="90"/>
      <c r="C313" s="90"/>
      <c r="D313" s="91"/>
      <c r="E313" s="90"/>
      <c r="F313" s="90"/>
      <c r="G313" s="90"/>
      <c r="H313" s="90"/>
      <c r="I313" s="90"/>
      <c r="J313" s="78"/>
    </row>
    <row r="314" spans="1:10" x14ac:dyDescent="0.15">
      <c r="A314" s="89"/>
      <c r="B314" s="90"/>
      <c r="C314" s="90"/>
      <c r="D314" s="91"/>
      <c r="E314" s="90"/>
      <c r="F314" s="90"/>
      <c r="G314" s="90"/>
      <c r="H314" s="90"/>
      <c r="I314" s="90"/>
      <c r="J314" s="78"/>
    </row>
    <row r="315" spans="1:10" x14ac:dyDescent="0.15">
      <c r="A315" s="89"/>
      <c r="B315" s="90"/>
      <c r="C315" s="90"/>
      <c r="D315" s="91"/>
      <c r="E315" s="90"/>
      <c r="F315" s="90"/>
      <c r="G315" s="90"/>
      <c r="H315" s="90"/>
      <c r="I315" s="90"/>
      <c r="J315" s="78"/>
    </row>
    <row r="316" spans="1:10" x14ac:dyDescent="0.15">
      <c r="A316" s="89"/>
      <c r="B316" s="90"/>
      <c r="C316" s="90"/>
      <c r="D316" s="91"/>
      <c r="E316" s="90"/>
      <c r="F316" s="90"/>
      <c r="G316" s="90"/>
      <c r="H316" s="90"/>
      <c r="I316" s="90"/>
      <c r="J316" s="78"/>
    </row>
    <row r="317" spans="1:10" x14ac:dyDescent="0.15">
      <c r="A317" s="89"/>
      <c r="B317" s="90"/>
      <c r="C317" s="90"/>
      <c r="D317" s="91"/>
      <c r="E317" s="90"/>
      <c r="F317" s="90"/>
      <c r="G317" s="90"/>
      <c r="H317" s="90"/>
      <c r="I317" s="90"/>
      <c r="J317" s="78"/>
    </row>
    <row r="318" spans="1:10" x14ac:dyDescent="0.15">
      <c r="A318" s="89"/>
      <c r="B318" s="90"/>
      <c r="C318" s="90"/>
      <c r="D318" s="91"/>
      <c r="E318" s="90"/>
      <c r="F318" s="90"/>
      <c r="G318" s="90"/>
      <c r="H318" s="90"/>
      <c r="I318" s="90"/>
      <c r="J318" s="78"/>
    </row>
    <row r="319" spans="1:10" x14ac:dyDescent="0.15">
      <c r="A319" s="89"/>
      <c r="B319" s="90"/>
      <c r="C319" s="90"/>
      <c r="D319" s="91"/>
      <c r="E319" s="90"/>
      <c r="F319" s="90"/>
      <c r="G319" s="90"/>
      <c r="H319" s="90"/>
      <c r="I319" s="90"/>
      <c r="J319" s="78"/>
    </row>
    <row r="320" spans="1:10" x14ac:dyDescent="0.15">
      <c r="A320" s="89"/>
      <c r="B320" s="90"/>
      <c r="C320" s="90"/>
      <c r="D320" s="91"/>
      <c r="E320" s="90"/>
      <c r="F320" s="90"/>
      <c r="G320" s="90"/>
      <c r="H320" s="90"/>
      <c r="I320" s="90"/>
      <c r="J320" s="78"/>
    </row>
    <row r="321" spans="1:10" x14ac:dyDescent="0.15">
      <c r="A321" s="89"/>
      <c r="B321" s="90"/>
      <c r="C321" s="90"/>
      <c r="D321" s="91"/>
      <c r="E321" s="90"/>
      <c r="F321" s="90"/>
      <c r="G321" s="90"/>
      <c r="H321" s="90"/>
      <c r="I321" s="90"/>
      <c r="J321" s="78"/>
    </row>
    <row r="322" spans="1:10" x14ac:dyDescent="0.15">
      <c r="A322" s="89"/>
      <c r="B322" s="90"/>
      <c r="C322" s="90"/>
      <c r="D322" s="91"/>
      <c r="E322" s="90"/>
      <c r="F322" s="90"/>
      <c r="G322" s="90"/>
      <c r="H322" s="90"/>
      <c r="I322" s="90"/>
      <c r="J322" s="78"/>
    </row>
    <row r="323" spans="1:10" x14ac:dyDescent="0.15">
      <c r="A323" s="89"/>
      <c r="B323" s="90"/>
      <c r="C323" s="90"/>
      <c r="D323" s="91"/>
      <c r="E323" s="90"/>
      <c r="F323" s="90"/>
      <c r="G323" s="90"/>
      <c r="H323" s="90"/>
      <c r="I323" s="90"/>
      <c r="J323" s="78"/>
    </row>
    <row r="324" spans="1:10" x14ac:dyDescent="0.15">
      <c r="A324" s="89"/>
      <c r="B324" s="90"/>
      <c r="C324" s="90"/>
      <c r="D324" s="91"/>
      <c r="E324" s="90"/>
      <c r="F324" s="90"/>
      <c r="G324" s="90"/>
      <c r="H324" s="90"/>
      <c r="I324" s="90"/>
      <c r="J324" s="78"/>
    </row>
    <row r="325" spans="1:10" x14ac:dyDescent="0.15">
      <c r="A325" s="89"/>
      <c r="B325" s="90"/>
      <c r="C325" s="90"/>
      <c r="D325" s="91"/>
      <c r="E325" s="90"/>
      <c r="F325" s="90"/>
      <c r="G325" s="90"/>
      <c r="H325" s="90"/>
      <c r="I325" s="90"/>
      <c r="J325" s="78"/>
    </row>
    <row r="326" spans="1:10" x14ac:dyDescent="0.15">
      <c r="A326" s="89"/>
      <c r="B326" s="90"/>
      <c r="C326" s="90"/>
      <c r="D326" s="91"/>
      <c r="E326" s="90"/>
      <c r="F326" s="90"/>
      <c r="G326" s="90"/>
      <c r="H326" s="90"/>
      <c r="I326" s="90"/>
      <c r="J326" s="78"/>
    </row>
    <row r="327" spans="1:10" x14ac:dyDescent="0.15">
      <c r="A327" s="89"/>
      <c r="B327" s="90"/>
      <c r="C327" s="90"/>
      <c r="D327" s="91"/>
      <c r="E327" s="90"/>
      <c r="F327" s="90"/>
      <c r="G327" s="90"/>
      <c r="H327" s="90"/>
      <c r="I327" s="90"/>
      <c r="J327" s="78"/>
    </row>
    <row r="328" spans="1:10" x14ac:dyDescent="0.15">
      <c r="A328" s="89"/>
      <c r="B328" s="90"/>
      <c r="C328" s="90"/>
      <c r="D328" s="91"/>
      <c r="E328" s="90"/>
      <c r="F328" s="90"/>
      <c r="G328" s="90"/>
      <c r="H328" s="90"/>
      <c r="I328" s="90"/>
      <c r="J328" s="78"/>
    </row>
    <row r="329" spans="1:10" x14ac:dyDescent="0.15">
      <c r="A329" s="89"/>
      <c r="B329" s="90"/>
      <c r="C329" s="90"/>
      <c r="D329" s="91"/>
      <c r="E329" s="90"/>
      <c r="F329" s="90"/>
      <c r="G329" s="90"/>
      <c r="H329" s="90"/>
      <c r="I329" s="90"/>
      <c r="J329" s="78"/>
    </row>
    <row r="330" spans="1:10" x14ac:dyDescent="0.15">
      <c r="A330" s="89"/>
      <c r="B330" s="90"/>
      <c r="C330" s="90"/>
      <c r="D330" s="91"/>
      <c r="E330" s="90"/>
      <c r="F330" s="90"/>
      <c r="G330" s="90"/>
      <c r="H330" s="90"/>
      <c r="I330" s="90"/>
      <c r="J330" s="78"/>
    </row>
    <row r="331" spans="1:10" x14ac:dyDescent="0.15">
      <c r="A331" s="89"/>
      <c r="B331" s="90"/>
      <c r="C331" s="90"/>
      <c r="D331" s="91"/>
      <c r="E331" s="90"/>
      <c r="F331" s="90"/>
      <c r="G331" s="90"/>
      <c r="H331" s="90"/>
      <c r="I331" s="90"/>
      <c r="J331" s="78"/>
    </row>
    <row r="332" spans="1:10" x14ac:dyDescent="0.15">
      <c r="A332" s="89"/>
      <c r="B332" s="90"/>
      <c r="C332" s="90"/>
      <c r="D332" s="91"/>
      <c r="E332" s="90"/>
      <c r="F332" s="90"/>
      <c r="G332" s="90"/>
      <c r="H332" s="90"/>
      <c r="I332" s="90"/>
      <c r="J332" s="78"/>
    </row>
    <row r="333" spans="1:10" x14ac:dyDescent="0.15">
      <c r="A333" s="89"/>
      <c r="B333" s="90"/>
      <c r="C333" s="90"/>
      <c r="D333" s="91"/>
      <c r="E333" s="90"/>
      <c r="F333" s="90"/>
      <c r="G333" s="90"/>
      <c r="H333" s="90"/>
      <c r="I333" s="90"/>
      <c r="J333" s="78"/>
    </row>
    <row r="334" spans="1:10" x14ac:dyDescent="0.15">
      <c r="A334" s="89"/>
      <c r="B334" s="90"/>
      <c r="C334" s="90"/>
      <c r="D334" s="91"/>
      <c r="E334" s="90"/>
      <c r="F334" s="90"/>
      <c r="G334" s="90"/>
      <c r="H334" s="90"/>
      <c r="I334" s="90"/>
      <c r="J334" s="78"/>
    </row>
    <row r="335" spans="1:10" x14ac:dyDescent="0.15">
      <c r="A335" s="89"/>
      <c r="B335" s="90"/>
      <c r="C335" s="90"/>
      <c r="D335" s="91"/>
      <c r="E335" s="90"/>
      <c r="F335" s="90"/>
      <c r="G335" s="90"/>
      <c r="H335" s="90"/>
      <c r="I335" s="90"/>
      <c r="J335" s="78"/>
    </row>
    <row r="336" spans="1:10" x14ac:dyDescent="0.15">
      <c r="A336" s="89"/>
      <c r="B336" s="90"/>
      <c r="C336" s="90"/>
      <c r="D336" s="91"/>
      <c r="E336" s="90"/>
      <c r="F336" s="90"/>
      <c r="G336" s="90"/>
      <c r="H336" s="90"/>
      <c r="I336" s="90"/>
      <c r="J336" s="78"/>
    </row>
    <row r="337" spans="1:10" x14ac:dyDescent="0.15">
      <c r="A337" s="89"/>
      <c r="B337" s="90"/>
      <c r="C337" s="90"/>
      <c r="D337" s="91"/>
      <c r="E337" s="90"/>
      <c r="F337" s="90"/>
      <c r="G337" s="90"/>
      <c r="H337" s="90"/>
      <c r="I337" s="90"/>
      <c r="J337" s="78"/>
    </row>
    <row r="338" spans="1:10" x14ac:dyDescent="0.15">
      <c r="A338" s="89"/>
      <c r="B338" s="90"/>
      <c r="C338" s="90"/>
      <c r="D338" s="91"/>
      <c r="E338" s="90"/>
      <c r="F338" s="90"/>
      <c r="G338" s="90"/>
      <c r="H338" s="90"/>
      <c r="I338" s="90"/>
      <c r="J338" s="78"/>
    </row>
    <row r="339" spans="1:10" x14ac:dyDescent="0.15">
      <c r="A339" s="89"/>
      <c r="B339" s="90"/>
      <c r="C339" s="90"/>
      <c r="D339" s="91"/>
      <c r="E339" s="90"/>
      <c r="F339" s="90"/>
      <c r="G339" s="90"/>
      <c r="H339" s="90"/>
      <c r="I339" s="90"/>
      <c r="J339" s="78"/>
    </row>
    <row r="340" spans="1:10" x14ac:dyDescent="0.15">
      <c r="A340" s="89"/>
      <c r="B340" s="90"/>
      <c r="C340" s="90"/>
      <c r="D340" s="91"/>
      <c r="E340" s="90"/>
      <c r="F340" s="90"/>
      <c r="G340" s="90"/>
      <c r="H340" s="90"/>
      <c r="I340" s="90"/>
      <c r="J340" s="78"/>
    </row>
    <row r="341" spans="1:10" x14ac:dyDescent="0.15">
      <c r="A341" s="89"/>
      <c r="B341" s="90"/>
      <c r="C341" s="90"/>
      <c r="D341" s="91"/>
      <c r="E341" s="90"/>
      <c r="F341" s="90"/>
      <c r="G341" s="90"/>
      <c r="H341" s="90"/>
      <c r="I341" s="90"/>
      <c r="J341" s="78"/>
    </row>
    <row r="342" spans="1:10" x14ac:dyDescent="0.15">
      <c r="A342" s="89"/>
      <c r="B342" s="90"/>
      <c r="C342" s="90"/>
      <c r="D342" s="91"/>
      <c r="E342" s="90"/>
      <c r="F342" s="90"/>
      <c r="G342" s="90"/>
      <c r="H342" s="90"/>
      <c r="I342" s="90"/>
      <c r="J342" s="78"/>
    </row>
    <row r="343" spans="1:10" x14ac:dyDescent="0.15">
      <c r="A343" s="89"/>
      <c r="B343" s="90"/>
      <c r="C343" s="90"/>
      <c r="D343" s="91"/>
      <c r="E343" s="90"/>
      <c r="F343" s="90"/>
      <c r="G343" s="90"/>
      <c r="H343" s="90"/>
      <c r="I343" s="90"/>
      <c r="J343" s="78"/>
    </row>
    <row r="344" spans="1:10" x14ac:dyDescent="0.15">
      <c r="A344" s="89"/>
      <c r="B344" s="90"/>
      <c r="C344" s="90"/>
      <c r="D344" s="91"/>
      <c r="E344" s="90"/>
      <c r="F344" s="90"/>
      <c r="G344" s="90"/>
      <c r="H344" s="90"/>
      <c r="I344" s="90"/>
      <c r="J344" s="78"/>
    </row>
    <row r="345" spans="1:10" x14ac:dyDescent="0.15">
      <c r="A345" s="89"/>
      <c r="B345" s="90"/>
      <c r="C345" s="90"/>
      <c r="D345" s="91"/>
      <c r="E345" s="90"/>
      <c r="F345" s="90"/>
      <c r="G345" s="90"/>
      <c r="H345" s="90"/>
      <c r="I345" s="90"/>
      <c r="J345" s="78"/>
    </row>
    <row r="346" spans="1:10" x14ac:dyDescent="0.15">
      <c r="A346" s="89"/>
      <c r="B346" s="90"/>
      <c r="C346" s="90"/>
      <c r="D346" s="91"/>
      <c r="E346" s="90"/>
      <c r="F346" s="90"/>
      <c r="G346" s="90"/>
      <c r="H346" s="90"/>
      <c r="I346" s="90"/>
      <c r="J346" s="78"/>
    </row>
    <row r="347" spans="1:10" x14ac:dyDescent="0.15">
      <c r="A347" s="89"/>
      <c r="B347" s="90"/>
      <c r="C347" s="90"/>
      <c r="D347" s="91"/>
      <c r="E347" s="90"/>
      <c r="F347" s="90"/>
      <c r="G347" s="90"/>
      <c r="H347" s="90"/>
      <c r="I347" s="90"/>
      <c r="J347" s="78"/>
    </row>
    <row r="348" spans="1:10" x14ac:dyDescent="0.15">
      <c r="A348" s="89"/>
      <c r="B348" s="90"/>
      <c r="C348" s="90"/>
      <c r="D348" s="91"/>
      <c r="E348" s="90"/>
      <c r="F348" s="90"/>
      <c r="G348" s="90"/>
      <c r="H348" s="90"/>
      <c r="I348" s="90"/>
      <c r="J348" s="78"/>
    </row>
    <row r="349" spans="1:10" x14ac:dyDescent="0.15">
      <c r="A349" s="89"/>
      <c r="B349" s="90"/>
      <c r="C349" s="90"/>
      <c r="D349" s="91"/>
      <c r="E349" s="90"/>
      <c r="F349" s="90"/>
      <c r="G349" s="90"/>
      <c r="H349" s="90"/>
      <c r="I349" s="90"/>
      <c r="J349" s="78"/>
    </row>
    <row r="350" spans="1:10" x14ac:dyDescent="0.15">
      <c r="A350" s="89"/>
      <c r="B350" s="90"/>
      <c r="C350" s="90"/>
      <c r="D350" s="91"/>
      <c r="E350" s="90"/>
      <c r="F350" s="90"/>
      <c r="G350" s="90"/>
      <c r="H350" s="90"/>
      <c r="I350" s="90"/>
      <c r="J350" s="78"/>
    </row>
    <row r="351" spans="1:10" x14ac:dyDescent="0.15">
      <c r="A351" s="89"/>
      <c r="B351" s="90"/>
      <c r="C351" s="90"/>
      <c r="D351" s="91"/>
      <c r="E351" s="90"/>
      <c r="F351" s="90"/>
      <c r="G351" s="90"/>
      <c r="H351" s="90"/>
      <c r="I351" s="90"/>
      <c r="J351" s="78"/>
    </row>
    <row r="352" spans="1:10" x14ac:dyDescent="0.15">
      <c r="A352" s="89"/>
      <c r="B352" s="90"/>
      <c r="C352" s="90"/>
      <c r="D352" s="91"/>
      <c r="E352" s="90"/>
      <c r="F352" s="90"/>
      <c r="G352" s="90"/>
      <c r="H352" s="90"/>
      <c r="I352" s="90"/>
      <c r="J352" s="78"/>
    </row>
    <row r="353" spans="1:10" x14ac:dyDescent="0.15">
      <c r="A353" s="89"/>
      <c r="B353" s="90"/>
      <c r="C353" s="90"/>
      <c r="D353" s="91"/>
      <c r="E353" s="90"/>
      <c r="F353" s="90"/>
      <c r="G353" s="90"/>
      <c r="H353" s="90"/>
      <c r="I353" s="90"/>
      <c r="J353" s="78"/>
    </row>
    <row r="354" spans="1:10" x14ac:dyDescent="0.15">
      <c r="A354" s="89"/>
      <c r="B354" s="90"/>
      <c r="C354" s="90"/>
      <c r="D354" s="91"/>
      <c r="E354" s="90"/>
      <c r="F354" s="90"/>
      <c r="G354" s="90"/>
      <c r="H354" s="90"/>
      <c r="I354" s="90"/>
      <c r="J354" s="78"/>
    </row>
    <row r="355" spans="1:10" x14ac:dyDescent="0.15">
      <c r="A355" s="89"/>
      <c r="B355" s="90"/>
      <c r="C355" s="90"/>
      <c r="D355" s="91"/>
      <c r="E355" s="90"/>
      <c r="F355" s="90"/>
      <c r="G355" s="90"/>
      <c r="H355" s="90"/>
      <c r="I355" s="90"/>
      <c r="J355" s="78"/>
    </row>
    <row r="356" spans="1:10" x14ac:dyDescent="0.15">
      <c r="A356" s="89"/>
      <c r="B356" s="90"/>
      <c r="C356" s="90"/>
      <c r="D356" s="91"/>
      <c r="E356" s="90"/>
      <c r="F356" s="90"/>
      <c r="G356" s="90"/>
      <c r="H356" s="90"/>
      <c r="I356" s="90"/>
      <c r="J356" s="78"/>
    </row>
    <row r="357" spans="1:10" x14ac:dyDescent="0.15">
      <c r="A357" s="89"/>
      <c r="B357" s="90"/>
      <c r="C357" s="90"/>
      <c r="D357" s="91"/>
      <c r="E357" s="90"/>
      <c r="F357" s="90"/>
      <c r="G357" s="90"/>
      <c r="H357" s="90"/>
      <c r="I357" s="90"/>
      <c r="J357" s="78"/>
    </row>
    <row r="358" spans="1:10" x14ac:dyDescent="0.15">
      <c r="A358" s="89"/>
      <c r="B358" s="90"/>
      <c r="C358" s="90"/>
      <c r="D358" s="91"/>
      <c r="E358" s="90"/>
      <c r="F358" s="90"/>
      <c r="G358" s="90"/>
      <c r="H358" s="90"/>
      <c r="I358" s="90"/>
      <c r="J358" s="78"/>
    </row>
    <row r="359" spans="1:10" x14ac:dyDescent="0.15">
      <c r="A359" s="89"/>
      <c r="B359" s="90"/>
      <c r="C359" s="90"/>
      <c r="D359" s="91"/>
      <c r="E359" s="90"/>
      <c r="F359" s="90"/>
      <c r="G359" s="90"/>
      <c r="H359" s="90"/>
      <c r="I359" s="90"/>
      <c r="J359" s="78"/>
    </row>
    <row r="360" spans="1:10" x14ac:dyDescent="0.15">
      <c r="A360" s="89"/>
      <c r="B360" s="90"/>
      <c r="C360" s="90"/>
      <c r="D360" s="91"/>
      <c r="E360" s="90"/>
      <c r="F360" s="90"/>
      <c r="G360" s="90"/>
      <c r="H360" s="90"/>
      <c r="I360" s="90"/>
      <c r="J360" s="78"/>
    </row>
    <row r="361" spans="1:10" x14ac:dyDescent="0.15">
      <c r="A361" s="89"/>
      <c r="B361" s="90"/>
      <c r="C361" s="90"/>
      <c r="D361" s="91"/>
      <c r="E361" s="90"/>
      <c r="F361" s="90"/>
      <c r="G361" s="90"/>
      <c r="H361" s="90"/>
      <c r="I361" s="90"/>
      <c r="J361" s="78"/>
    </row>
    <row r="362" spans="1:10" x14ac:dyDescent="0.15">
      <c r="A362" s="89"/>
      <c r="B362" s="90"/>
      <c r="C362" s="90"/>
      <c r="D362" s="91"/>
      <c r="E362" s="90"/>
      <c r="F362" s="90"/>
      <c r="G362" s="90"/>
      <c r="H362" s="90"/>
      <c r="I362" s="90"/>
      <c r="J362" s="78"/>
    </row>
    <row r="363" spans="1:10" x14ac:dyDescent="0.15">
      <c r="A363" s="89"/>
      <c r="B363" s="90"/>
      <c r="C363" s="90"/>
      <c r="D363" s="91"/>
      <c r="E363" s="90"/>
      <c r="F363" s="90"/>
      <c r="G363" s="90"/>
      <c r="H363" s="90"/>
      <c r="I363" s="90"/>
      <c r="J363" s="78"/>
    </row>
    <row r="364" spans="1:10" x14ac:dyDescent="0.15">
      <c r="A364" s="89"/>
      <c r="B364" s="90"/>
      <c r="C364" s="90"/>
      <c r="D364" s="91"/>
      <c r="E364" s="90"/>
      <c r="F364" s="90"/>
      <c r="G364" s="90"/>
      <c r="H364" s="90"/>
      <c r="I364" s="90"/>
      <c r="J364" s="78"/>
    </row>
    <row r="365" spans="1:10" x14ac:dyDescent="0.15">
      <c r="A365" s="89"/>
      <c r="B365" s="90"/>
      <c r="C365" s="90"/>
      <c r="D365" s="91"/>
      <c r="E365" s="90"/>
      <c r="F365" s="90"/>
      <c r="G365" s="90"/>
      <c r="H365" s="90"/>
      <c r="I365" s="90"/>
      <c r="J365" s="78"/>
    </row>
    <row r="366" spans="1:10" x14ac:dyDescent="0.15">
      <c r="A366" s="89"/>
      <c r="B366" s="90"/>
      <c r="C366" s="90"/>
      <c r="D366" s="91"/>
      <c r="E366" s="90"/>
      <c r="F366" s="90"/>
      <c r="G366" s="90"/>
      <c r="H366" s="90"/>
      <c r="I366" s="90"/>
      <c r="J366" s="78"/>
    </row>
    <row r="367" spans="1:10" x14ac:dyDescent="0.15">
      <c r="A367" s="89"/>
      <c r="B367" s="90"/>
      <c r="C367" s="90"/>
      <c r="D367" s="91"/>
      <c r="E367" s="90"/>
      <c r="F367" s="90"/>
      <c r="G367" s="90"/>
      <c r="H367" s="90"/>
      <c r="I367" s="90"/>
      <c r="J367" s="78"/>
    </row>
    <row r="368" spans="1:10" x14ac:dyDescent="0.15">
      <c r="A368" s="89"/>
      <c r="B368" s="90"/>
      <c r="C368" s="90"/>
      <c r="D368" s="91"/>
      <c r="E368" s="90"/>
      <c r="F368" s="90"/>
      <c r="G368" s="90"/>
      <c r="H368" s="90"/>
      <c r="I368" s="90"/>
      <c r="J368" s="78"/>
    </row>
    <row r="369" spans="1:10" x14ac:dyDescent="0.15">
      <c r="A369" s="89"/>
      <c r="B369" s="90"/>
      <c r="C369" s="90"/>
      <c r="D369" s="91"/>
      <c r="E369" s="90"/>
      <c r="F369" s="90"/>
      <c r="G369" s="90"/>
      <c r="H369" s="90"/>
      <c r="I369" s="90"/>
      <c r="J369" s="78"/>
    </row>
    <row r="370" spans="1:10" x14ac:dyDescent="0.15">
      <c r="A370" s="89"/>
      <c r="B370" s="90"/>
      <c r="C370" s="90"/>
      <c r="D370" s="91"/>
      <c r="E370" s="90"/>
      <c r="F370" s="90"/>
      <c r="G370" s="90"/>
      <c r="H370" s="90"/>
      <c r="I370" s="90"/>
      <c r="J370" s="78"/>
    </row>
    <row r="371" spans="1:10" x14ac:dyDescent="0.15">
      <c r="A371" s="89"/>
      <c r="B371" s="90"/>
      <c r="C371" s="90"/>
      <c r="D371" s="91"/>
      <c r="E371" s="90"/>
      <c r="F371" s="90"/>
      <c r="G371" s="90"/>
      <c r="H371" s="90"/>
      <c r="I371" s="90"/>
      <c r="J371" s="78"/>
    </row>
    <row r="372" spans="1:10" x14ac:dyDescent="0.15">
      <c r="A372" s="89"/>
      <c r="B372" s="90"/>
      <c r="C372" s="90"/>
      <c r="D372" s="91"/>
      <c r="E372" s="90"/>
      <c r="F372" s="90"/>
      <c r="G372" s="90"/>
      <c r="H372" s="90"/>
      <c r="I372" s="90"/>
      <c r="J372" s="78"/>
    </row>
    <row r="373" spans="1:10" x14ac:dyDescent="0.15">
      <c r="A373" s="89"/>
      <c r="B373" s="90"/>
      <c r="C373" s="90"/>
      <c r="D373" s="91"/>
      <c r="E373" s="90"/>
      <c r="F373" s="90"/>
      <c r="G373" s="90"/>
      <c r="H373" s="90"/>
      <c r="I373" s="90"/>
      <c r="J373" s="78"/>
    </row>
    <row r="374" spans="1:10" x14ac:dyDescent="0.15">
      <c r="A374" s="89"/>
      <c r="B374" s="90"/>
      <c r="C374" s="90"/>
      <c r="D374" s="91"/>
      <c r="E374" s="90"/>
      <c r="F374" s="90"/>
      <c r="G374" s="90"/>
      <c r="H374" s="90"/>
      <c r="I374" s="90"/>
      <c r="J374" s="78"/>
    </row>
    <row r="375" spans="1:10" x14ac:dyDescent="0.15">
      <c r="A375" s="89"/>
      <c r="B375" s="90"/>
      <c r="C375" s="90"/>
      <c r="D375" s="91"/>
      <c r="E375" s="90"/>
      <c r="F375" s="90"/>
      <c r="G375" s="90"/>
      <c r="H375" s="90"/>
      <c r="I375" s="90"/>
      <c r="J375" s="78"/>
    </row>
    <row r="376" spans="1:10" x14ac:dyDescent="0.15">
      <c r="A376" s="89"/>
      <c r="B376" s="90"/>
      <c r="C376" s="90"/>
      <c r="D376" s="91"/>
      <c r="E376" s="90"/>
      <c r="F376" s="90"/>
      <c r="G376" s="90"/>
      <c r="H376" s="90"/>
      <c r="I376" s="90"/>
      <c r="J376" s="78"/>
    </row>
    <row r="377" spans="1:10" x14ac:dyDescent="0.15">
      <c r="A377" s="89"/>
      <c r="B377" s="90"/>
      <c r="C377" s="90"/>
      <c r="D377" s="91"/>
      <c r="E377" s="90"/>
      <c r="F377" s="90"/>
      <c r="G377" s="90"/>
      <c r="H377" s="90"/>
      <c r="I377" s="90"/>
      <c r="J377" s="78"/>
    </row>
    <row r="378" spans="1:10" x14ac:dyDescent="0.15">
      <c r="A378" s="89"/>
      <c r="B378" s="90"/>
      <c r="C378" s="90"/>
      <c r="D378" s="91"/>
      <c r="E378" s="90"/>
      <c r="F378" s="90"/>
      <c r="G378" s="90"/>
      <c r="H378" s="90"/>
      <c r="I378" s="90"/>
      <c r="J378" s="78"/>
    </row>
    <row r="379" spans="1:10" x14ac:dyDescent="0.15">
      <c r="A379" s="89"/>
      <c r="B379" s="90"/>
      <c r="C379" s="90"/>
      <c r="D379" s="91"/>
      <c r="E379" s="90"/>
      <c r="F379" s="90"/>
      <c r="G379" s="90"/>
      <c r="H379" s="90"/>
      <c r="I379" s="90"/>
      <c r="J379" s="78"/>
    </row>
    <row r="380" spans="1:10" x14ac:dyDescent="0.15">
      <c r="A380" s="89"/>
      <c r="B380" s="90"/>
      <c r="C380" s="90"/>
      <c r="D380" s="91"/>
      <c r="E380" s="90"/>
      <c r="F380" s="90"/>
      <c r="G380" s="90"/>
      <c r="H380" s="90"/>
      <c r="I380" s="90"/>
      <c r="J380" s="78"/>
    </row>
    <row r="381" spans="1:10" x14ac:dyDescent="0.15">
      <c r="A381" s="89"/>
      <c r="B381" s="90"/>
      <c r="C381" s="90"/>
      <c r="D381" s="91"/>
      <c r="E381" s="90"/>
      <c r="F381" s="90"/>
      <c r="G381" s="90"/>
      <c r="H381" s="90"/>
      <c r="I381" s="90"/>
      <c r="J381" s="78"/>
    </row>
    <row r="382" spans="1:10" x14ac:dyDescent="0.15">
      <c r="A382" s="89"/>
      <c r="B382" s="90"/>
      <c r="C382" s="90"/>
      <c r="D382" s="91"/>
      <c r="E382" s="90"/>
      <c r="F382" s="90"/>
      <c r="G382" s="90"/>
      <c r="H382" s="90"/>
      <c r="I382" s="90"/>
      <c r="J382" s="78"/>
    </row>
    <row r="383" spans="1:10" x14ac:dyDescent="0.15">
      <c r="A383" s="89"/>
      <c r="B383" s="90"/>
      <c r="C383" s="90"/>
      <c r="D383" s="91"/>
      <c r="E383" s="90"/>
      <c r="F383" s="90"/>
      <c r="G383" s="90"/>
      <c r="H383" s="90"/>
      <c r="I383" s="90"/>
      <c r="J383" s="78"/>
    </row>
    <row r="384" spans="1:10" x14ac:dyDescent="0.15">
      <c r="A384" s="89"/>
      <c r="B384" s="90"/>
      <c r="C384" s="90"/>
      <c r="D384" s="91"/>
      <c r="E384" s="90"/>
      <c r="F384" s="90"/>
      <c r="G384" s="90"/>
      <c r="H384" s="90"/>
      <c r="I384" s="90"/>
      <c r="J384" s="78"/>
    </row>
    <row r="385" spans="1:10" x14ac:dyDescent="0.15">
      <c r="A385" s="89"/>
      <c r="B385" s="90"/>
      <c r="C385" s="90"/>
      <c r="D385" s="91"/>
      <c r="E385" s="90"/>
      <c r="F385" s="90"/>
      <c r="G385" s="90"/>
      <c r="H385" s="90"/>
      <c r="I385" s="90"/>
      <c r="J385" s="78"/>
    </row>
    <row r="386" spans="1:10" x14ac:dyDescent="0.15">
      <c r="A386" s="89"/>
      <c r="B386" s="90"/>
      <c r="C386" s="90"/>
      <c r="D386" s="91"/>
      <c r="E386" s="90"/>
      <c r="F386" s="90"/>
      <c r="G386" s="90"/>
      <c r="H386" s="90"/>
      <c r="I386" s="90"/>
      <c r="J386" s="78"/>
    </row>
    <row r="387" spans="1:10" x14ac:dyDescent="0.15">
      <c r="A387" s="89"/>
      <c r="B387" s="90"/>
      <c r="C387" s="90"/>
      <c r="D387" s="91"/>
      <c r="E387" s="90"/>
      <c r="F387" s="90"/>
      <c r="G387" s="90"/>
      <c r="H387" s="90"/>
      <c r="I387" s="90"/>
      <c r="J387" s="78"/>
    </row>
    <row r="388" spans="1:10" x14ac:dyDescent="0.15">
      <c r="A388" s="89"/>
      <c r="B388" s="90"/>
      <c r="C388" s="90"/>
      <c r="D388" s="91"/>
      <c r="E388" s="90"/>
      <c r="F388" s="90"/>
      <c r="G388" s="90"/>
      <c r="H388" s="90"/>
      <c r="I388" s="90"/>
      <c r="J388" s="78"/>
    </row>
    <row r="389" spans="1:10" x14ac:dyDescent="0.15">
      <c r="A389" s="89"/>
      <c r="B389" s="90"/>
      <c r="C389" s="90"/>
      <c r="D389" s="91"/>
      <c r="E389" s="90"/>
      <c r="F389" s="90"/>
      <c r="G389" s="90"/>
      <c r="H389" s="90"/>
      <c r="I389" s="90"/>
      <c r="J389" s="78"/>
    </row>
    <row r="390" spans="1:10" x14ac:dyDescent="0.15">
      <c r="A390" s="89"/>
      <c r="B390" s="90"/>
      <c r="C390" s="90"/>
      <c r="D390" s="91"/>
      <c r="E390" s="90"/>
      <c r="F390" s="90"/>
      <c r="G390" s="90"/>
      <c r="H390" s="90"/>
      <c r="I390" s="90"/>
      <c r="J390" s="78"/>
    </row>
    <row r="391" spans="1:10" x14ac:dyDescent="0.15">
      <c r="A391" s="89"/>
      <c r="B391" s="90"/>
      <c r="C391" s="90"/>
      <c r="D391" s="91"/>
      <c r="E391" s="90"/>
      <c r="F391" s="90"/>
      <c r="G391" s="90"/>
      <c r="H391" s="90"/>
      <c r="I391" s="90"/>
      <c r="J391" s="78"/>
    </row>
    <row r="392" spans="1:10" x14ac:dyDescent="0.15">
      <c r="A392" s="89"/>
      <c r="B392" s="90"/>
      <c r="C392" s="90"/>
      <c r="D392" s="91"/>
      <c r="E392" s="90"/>
      <c r="F392" s="90"/>
      <c r="G392" s="90"/>
      <c r="H392" s="90"/>
      <c r="I392" s="90"/>
      <c r="J392" s="78"/>
    </row>
    <row r="393" spans="1:10" x14ac:dyDescent="0.15">
      <c r="A393" s="89"/>
      <c r="B393" s="90"/>
      <c r="C393" s="90"/>
      <c r="D393" s="91"/>
      <c r="E393" s="90"/>
      <c r="F393" s="90"/>
      <c r="G393" s="90"/>
      <c r="H393" s="90"/>
      <c r="I393" s="90"/>
      <c r="J393" s="78"/>
    </row>
    <row r="394" spans="1:10" x14ac:dyDescent="0.15">
      <c r="A394" s="89"/>
      <c r="B394" s="90"/>
      <c r="C394" s="90"/>
      <c r="D394" s="91"/>
      <c r="E394" s="90"/>
      <c r="F394" s="90"/>
      <c r="G394" s="90"/>
      <c r="H394" s="90"/>
      <c r="I394" s="90"/>
      <c r="J394" s="78"/>
    </row>
    <row r="395" spans="1:10" x14ac:dyDescent="0.15">
      <c r="A395" s="89"/>
      <c r="B395" s="90"/>
      <c r="C395" s="90"/>
      <c r="D395" s="91"/>
      <c r="E395" s="90"/>
      <c r="F395" s="90"/>
      <c r="G395" s="90"/>
      <c r="H395" s="90"/>
      <c r="I395" s="90"/>
      <c r="J395" s="78"/>
    </row>
    <row r="396" spans="1:10" x14ac:dyDescent="0.15">
      <c r="A396" s="89"/>
      <c r="B396" s="90"/>
      <c r="C396" s="90"/>
      <c r="D396" s="91"/>
      <c r="E396" s="90"/>
      <c r="F396" s="90"/>
      <c r="G396" s="90"/>
      <c r="H396" s="90"/>
      <c r="I396" s="90"/>
      <c r="J396" s="78"/>
    </row>
    <row r="397" spans="1:10" x14ac:dyDescent="0.15">
      <c r="A397" s="89"/>
      <c r="B397" s="90"/>
      <c r="C397" s="90"/>
      <c r="D397" s="91"/>
      <c r="E397" s="90"/>
      <c r="F397" s="90"/>
      <c r="G397" s="90"/>
      <c r="H397" s="90"/>
      <c r="I397" s="90"/>
      <c r="J397" s="78"/>
    </row>
    <row r="398" spans="1:10" x14ac:dyDescent="0.15">
      <c r="A398" s="89"/>
      <c r="B398" s="90"/>
      <c r="C398" s="90"/>
      <c r="D398" s="91"/>
      <c r="E398" s="90"/>
      <c r="F398" s="90"/>
      <c r="G398" s="90"/>
      <c r="H398" s="90"/>
      <c r="I398" s="90"/>
      <c r="J398" s="78"/>
    </row>
    <row r="399" spans="1:10" x14ac:dyDescent="0.15">
      <c r="A399" s="89"/>
      <c r="B399" s="90"/>
      <c r="C399" s="90"/>
      <c r="D399" s="91"/>
      <c r="E399" s="90"/>
      <c r="F399" s="90"/>
      <c r="G399" s="90"/>
      <c r="H399" s="90"/>
      <c r="I399" s="90"/>
      <c r="J399" s="78"/>
    </row>
    <row r="400" spans="1:10" x14ac:dyDescent="0.15">
      <c r="A400" s="89"/>
      <c r="B400" s="90"/>
      <c r="C400" s="90"/>
      <c r="D400" s="91"/>
      <c r="E400" s="90"/>
      <c r="F400" s="90"/>
      <c r="G400" s="90"/>
      <c r="H400" s="90"/>
      <c r="I400" s="90"/>
      <c r="J400" s="78"/>
    </row>
    <row r="401" spans="1:10" x14ac:dyDescent="0.15">
      <c r="A401" s="89"/>
      <c r="B401" s="90"/>
      <c r="C401" s="90"/>
      <c r="D401" s="91"/>
      <c r="E401" s="90"/>
      <c r="F401" s="90"/>
      <c r="G401" s="90"/>
      <c r="H401" s="90"/>
      <c r="I401" s="90"/>
      <c r="J401" s="78"/>
    </row>
    <row r="402" spans="1:10" x14ac:dyDescent="0.15">
      <c r="A402" s="89"/>
      <c r="B402" s="90"/>
      <c r="C402" s="90"/>
      <c r="D402" s="91"/>
      <c r="E402" s="90"/>
      <c r="F402" s="90"/>
      <c r="G402" s="90"/>
      <c r="H402" s="90"/>
      <c r="I402" s="90"/>
      <c r="J402" s="78"/>
    </row>
    <row r="403" spans="1:10" x14ac:dyDescent="0.15">
      <c r="A403" s="89"/>
      <c r="B403" s="90"/>
      <c r="C403" s="90"/>
      <c r="D403" s="91"/>
      <c r="E403" s="90"/>
      <c r="F403" s="90"/>
      <c r="G403" s="90"/>
      <c r="H403" s="90"/>
      <c r="I403" s="90"/>
      <c r="J403" s="78"/>
    </row>
    <row r="404" spans="1:10" x14ac:dyDescent="0.15">
      <c r="A404" s="89"/>
      <c r="B404" s="90"/>
      <c r="C404" s="90"/>
      <c r="D404" s="91"/>
      <c r="E404" s="90"/>
      <c r="F404" s="90"/>
      <c r="G404" s="90"/>
      <c r="H404" s="90"/>
      <c r="I404" s="90"/>
      <c r="J404" s="78"/>
    </row>
    <row r="405" spans="1:10" x14ac:dyDescent="0.15">
      <c r="A405" s="89"/>
      <c r="B405" s="90"/>
      <c r="C405" s="90"/>
      <c r="D405" s="91"/>
      <c r="E405" s="90"/>
      <c r="F405" s="90"/>
      <c r="G405" s="90"/>
      <c r="H405" s="90"/>
      <c r="I405" s="90"/>
      <c r="J405" s="78"/>
    </row>
    <row r="406" spans="1:10" x14ac:dyDescent="0.15">
      <c r="A406" s="89"/>
      <c r="B406" s="90"/>
      <c r="C406" s="90"/>
      <c r="D406" s="91"/>
      <c r="E406" s="90"/>
      <c r="F406" s="90"/>
      <c r="G406" s="90"/>
      <c r="H406" s="90"/>
      <c r="I406" s="90"/>
      <c r="J406" s="78"/>
    </row>
    <row r="407" spans="1:10" x14ac:dyDescent="0.15">
      <c r="A407" s="89"/>
      <c r="B407" s="90"/>
      <c r="C407" s="90"/>
      <c r="D407" s="91"/>
      <c r="E407" s="90"/>
      <c r="F407" s="90"/>
      <c r="G407" s="90"/>
      <c r="H407" s="90"/>
      <c r="I407" s="90"/>
      <c r="J407" s="78"/>
    </row>
    <row r="408" spans="1:10" x14ac:dyDescent="0.15">
      <c r="A408" s="89"/>
      <c r="B408" s="90"/>
      <c r="C408" s="90"/>
      <c r="D408" s="91"/>
      <c r="E408" s="90"/>
      <c r="F408" s="90"/>
      <c r="G408" s="90"/>
      <c r="H408" s="90"/>
      <c r="I408" s="90"/>
      <c r="J408" s="78"/>
    </row>
    <row r="409" spans="1:10" x14ac:dyDescent="0.15">
      <c r="A409" s="89"/>
      <c r="B409" s="90"/>
      <c r="C409" s="90"/>
      <c r="D409" s="91"/>
      <c r="E409" s="90"/>
      <c r="F409" s="90"/>
      <c r="G409" s="90"/>
      <c r="H409" s="90"/>
      <c r="I409" s="90"/>
      <c r="J409" s="78"/>
    </row>
    <row r="410" spans="1:10" x14ac:dyDescent="0.15">
      <c r="A410" s="89"/>
      <c r="B410" s="90"/>
      <c r="C410" s="90"/>
      <c r="D410" s="91"/>
      <c r="E410" s="90"/>
      <c r="F410" s="90"/>
      <c r="G410" s="90"/>
      <c r="H410" s="90"/>
      <c r="I410" s="90"/>
      <c r="J410" s="78"/>
    </row>
    <row r="411" spans="1:10" x14ac:dyDescent="0.15">
      <c r="A411" s="89"/>
      <c r="B411" s="90"/>
      <c r="C411" s="90"/>
      <c r="D411" s="91"/>
      <c r="E411" s="90"/>
      <c r="F411" s="90"/>
      <c r="G411" s="90"/>
      <c r="H411" s="90"/>
      <c r="I411" s="90"/>
      <c r="J411" s="78"/>
    </row>
    <row r="412" spans="1:10" x14ac:dyDescent="0.15">
      <c r="A412" s="89"/>
      <c r="B412" s="90"/>
      <c r="C412" s="90"/>
      <c r="D412" s="91"/>
      <c r="E412" s="90"/>
      <c r="F412" s="90"/>
      <c r="G412" s="90"/>
      <c r="H412" s="90"/>
      <c r="I412" s="90"/>
      <c r="J412" s="78"/>
    </row>
    <row r="413" spans="1:10" x14ac:dyDescent="0.15">
      <c r="A413" s="89"/>
      <c r="B413" s="90"/>
      <c r="C413" s="90"/>
      <c r="D413" s="91"/>
      <c r="E413" s="90"/>
      <c r="F413" s="90"/>
      <c r="G413" s="90"/>
      <c r="H413" s="90"/>
      <c r="I413" s="90"/>
      <c r="J413" s="78"/>
    </row>
    <row r="414" spans="1:10" x14ac:dyDescent="0.15">
      <c r="A414" s="89"/>
      <c r="B414" s="90"/>
      <c r="C414" s="90"/>
      <c r="D414" s="91"/>
      <c r="E414" s="90"/>
      <c r="F414" s="90"/>
      <c r="G414" s="90"/>
      <c r="H414" s="90"/>
      <c r="I414" s="90"/>
      <c r="J414" s="78"/>
    </row>
    <row r="415" spans="1:10" x14ac:dyDescent="0.15">
      <c r="A415" s="89"/>
      <c r="B415" s="90"/>
      <c r="C415" s="90"/>
      <c r="D415" s="91"/>
      <c r="E415" s="90"/>
      <c r="F415" s="90"/>
      <c r="G415" s="90"/>
      <c r="H415" s="90"/>
      <c r="I415" s="90"/>
      <c r="J415" s="78"/>
    </row>
    <row r="416" spans="1:10" x14ac:dyDescent="0.15">
      <c r="A416" s="89"/>
      <c r="B416" s="90"/>
      <c r="C416" s="90"/>
      <c r="D416" s="91"/>
      <c r="E416" s="90"/>
      <c r="F416" s="90"/>
      <c r="G416" s="90"/>
      <c r="H416" s="90"/>
      <c r="I416" s="90"/>
      <c r="J416" s="78"/>
    </row>
    <row r="417" spans="1:10" x14ac:dyDescent="0.15">
      <c r="A417" s="89"/>
      <c r="B417" s="90"/>
      <c r="C417" s="90"/>
      <c r="D417" s="91"/>
      <c r="E417" s="90"/>
      <c r="F417" s="90"/>
      <c r="G417" s="90"/>
      <c r="H417" s="90"/>
      <c r="I417" s="90"/>
      <c r="J417" s="78"/>
    </row>
    <row r="418" spans="1:10" x14ac:dyDescent="0.15">
      <c r="A418" s="89"/>
      <c r="B418" s="90"/>
      <c r="C418" s="90"/>
      <c r="D418" s="91"/>
      <c r="E418" s="90"/>
      <c r="F418" s="90"/>
      <c r="G418" s="90"/>
      <c r="H418" s="90"/>
      <c r="I418" s="90"/>
      <c r="J418" s="78"/>
    </row>
    <row r="419" spans="1:10" x14ac:dyDescent="0.15">
      <c r="A419" s="89"/>
      <c r="B419" s="90"/>
      <c r="C419" s="90"/>
      <c r="D419" s="91"/>
      <c r="E419" s="90"/>
      <c r="F419" s="90"/>
      <c r="G419" s="90"/>
      <c r="H419" s="90"/>
      <c r="I419" s="90"/>
      <c r="J419" s="78"/>
    </row>
    <row r="420" spans="1:10" x14ac:dyDescent="0.15">
      <c r="A420" s="89"/>
      <c r="B420" s="90"/>
      <c r="C420" s="90"/>
      <c r="D420" s="91"/>
      <c r="E420" s="90"/>
      <c r="F420" s="90"/>
      <c r="G420" s="90"/>
      <c r="H420" s="90"/>
      <c r="I420" s="90"/>
      <c r="J420" s="78"/>
    </row>
    <row r="421" spans="1:10" x14ac:dyDescent="0.15">
      <c r="A421" s="89"/>
      <c r="B421" s="90"/>
      <c r="C421" s="90"/>
      <c r="D421" s="91"/>
      <c r="E421" s="90"/>
      <c r="F421" s="90"/>
      <c r="G421" s="90"/>
      <c r="H421" s="90"/>
      <c r="I421" s="90"/>
      <c r="J421" s="78"/>
    </row>
    <row r="422" spans="1:10" x14ac:dyDescent="0.15">
      <c r="A422" s="89"/>
      <c r="B422" s="90"/>
      <c r="C422" s="90"/>
      <c r="D422" s="91"/>
      <c r="E422" s="90"/>
      <c r="F422" s="90"/>
      <c r="G422" s="90"/>
      <c r="H422" s="90"/>
      <c r="I422" s="90"/>
      <c r="J422" s="78"/>
    </row>
    <row r="423" spans="1:10" x14ac:dyDescent="0.15">
      <c r="A423" s="89"/>
      <c r="B423" s="90"/>
      <c r="C423" s="90"/>
      <c r="D423" s="91"/>
      <c r="E423" s="90"/>
      <c r="F423" s="90"/>
      <c r="G423" s="90"/>
      <c r="H423" s="90"/>
      <c r="I423" s="90"/>
      <c r="J423" s="78"/>
    </row>
    <row r="424" spans="1:10" x14ac:dyDescent="0.15">
      <c r="A424" s="89"/>
      <c r="B424" s="90"/>
      <c r="C424" s="90"/>
      <c r="D424" s="91"/>
      <c r="E424" s="90"/>
      <c r="F424" s="90"/>
      <c r="G424" s="90"/>
      <c r="H424" s="90"/>
      <c r="I424" s="90"/>
      <c r="J424" s="78"/>
    </row>
    <row r="425" spans="1:10" x14ac:dyDescent="0.15">
      <c r="A425" s="89"/>
      <c r="B425" s="90"/>
      <c r="C425" s="90"/>
      <c r="D425" s="91"/>
      <c r="E425" s="90"/>
      <c r="F425" s="90"/>
      <c r="G425" s="90"/>
      <c r="H425" s="90"/>
      <c r="I425" s="90"/>
      <c r="J425" s="78"/>
    </row>
    <row r="426" spans="1:10" x14ac:dyDescent="0.15">
      <c r="A426" s="89"/>
      <c r="B426" s="90"/>
      <c r="C426" s="90"/>
      <c r="D426" s="91"/>
      <c r="E426" s="90"/>
      <c r="F426" s="90"/>
      <c r="G426" s="90"/>
      <c r="H426" s="90"/>
      <c r="I426" s="90"/>
      <c r="J426" s="78"/>
    </row>
    <row r="427" spans="1:10" x14ac:dyDescent="0.15">
      <c r="A427" s="89"/>
      <c r="B427" s="90"/>
      <c r="C427" s="90"/>
      <c r="D427" s="91"/>
      <c r="E427" s="90"/>
      <c r="F427" s="90"/>
      <c r="G427" s="90"/>
      <c r="H427" s="90"/>
      <c r="I427" s="90"/>
      <c r="J427" s="78"/>
    </row>
    <row r="428" spans="1:10" x14ac:dyDescent="0.15">
      <c r="A428" s="89"/>
      <c r="B428" s="90"/>
      <c r="C428" s="90"/>
      <c r="D428" s="91"/>
      <c r="E428" s="90"/>
      <c r="F428" s="90"/>
      <c r="G428" s="90"/>
      <c r="H428" s="90"/>
      <c r="I428" s="90"/>
      <c r="J428" s="78"/>
    </row>
    <row r="429" spans="1:10" x14ac:dyDescent="0.15">
      <c r="A429" s="89"/>
      <c r="B429" s="90"/>
      <c r="C429" s="90"/>
      <c r="D429" s="91"/>
      <c r="E429" s="90"/>
      <c r="F429" s="90"/>
      <c r="G429" s="90"/>
      <c r="H429" s="90"/>
      <c r="I429" s="90"/>
      <c r="J429" s="78"/>
    </row>
    <row r="430" spans="1:10" x14ac:dyDescent="0.15">
      <c r="A430" s="89"/>
      <c r="B430" s="90"/>
      <c r="C430" s="90"/>
      <c r="D430" s="91"/>
      <c r="E430" s="90"/>
      <c r="F430" s="90"/>
      <c r="G430" s="90"/>
      <c r="H430" s="90"/>
      <c r="I430" s="90"/>
      <c r="J430" s="78"/>
    </row>
    <row r="431" spans="1:10" x14ac:dyDescent="0.15">
      <c r="A431" s="89"/>
      <c r="B431" s="90"/>
      <c r="C431" s="90"/>
      <c r="D431" s="91"/>
      <c r="E431" s="90"/>
      <c r="F431" s="90"/>
      <c r="G431" s="90"/>
      <c r="H431" s="90"/>
      <c r="I431" s="90"/>
      <c r="J431" s="78"/>
    </row>
    <row r="432" spans="1:10" x14ac:dyDescent="0.15">
      <c r="A432" s="89"/>
      <c r="B432" s="90"/>
      <c r="C432" s="90"/>
      <c r="D432" s="91"/>
      <c r="E432" s="90"/>
      <c r="F432" s="90"/>
      <c r="G432" s="90"/>
      <c r="H432" s="90"/>
      <c r="I432" s="90"/>
      <c r="J432" s="78"/>
    </row>
    <row r="433" spans="1:10" x14ac:dyDescent="0.15">
      <c r="A433" s="89"/>
      <c r="B433" s="90"/>
      <c r="C433" s="90"/>
      <c r="D433" s="91"/>
      <c r="E433" s="90"/>
      <c r="F433" s="90"/>
      <c r="G433" s="90"/>
      <c r="H433" s="90"/>
      <c r="I433" s="90"/>
      <c r="J433" s="78"/>
    </row>
    <row r="434" spans="1:10" x14ac:dyDescent="0.15">
      <c r="A434" s="89"/>
      <c r="B434" s="90"/>
      <c r="C434" s="90"/>
      <c r="D434" s="91"/>
      <c r="E434" s="90"/>
      <c r="F434" s="90"/>
      <c r="G434" s="90"/>
      <c r="H434" s="90"/>
      <c r="I434" s="90"/>
      <c r="J434" s="78"/>
    </row>
    <row r="435" spans="1:10" x14ac:dyDescent="0.15">
      <c r="A435" s="89"/>
      <c r="B435" s="90"/>
      <c r="C435" s="90"/>
      <c r="D435" s="91"/>
      <c r="E435" s="90"/>
      <c r="F435" s="90"/>
      <c r="G435" s="90"/>
      <c r="H435" s="90"/>
      <c r="I435" s="90"/>
      <c r="J435" s="78"/>
    </row>
    <row r="436" spans="1:10" x14ac:dyDescent="0.15">
      <c r="A436" s="89"/>
      <c r="B436" s="90"/>
      <c r="C436" s="90"/>
      <c r="D436" s="91"/>
      <c r="E436" s="90"/>
      <c r="F436" s="90"/>
      <c r="G436" s="90"/>
      <c r="H436" s="90"/>
      <c r="I436" s="90"/>
      <c r="J436" s="78"/>
    </row>
    <row r="437" spans="1:10" x14ac:dyDescent="0.15">
      <c r="A437" s="89"/>
      <c r="B437" s="90"/>
      <c r="C437" s="90"/>
      <c r="D437" s="91"/>
      <c r="E437" s="90"/>
      <c r="F437" s="90"/>
      <c r="G437" s="90"/>
      <c r="H437" s="90"/>
      <c r="I437" s="90"/>
      <c r="J437" s="78"/>
    </row>
    <row r="438" spans="1:10" x14ac:dyDescent="0.15">
      <c r="A438" s="89"/>
      <c r="B438" s="90"/>
      <c r="C438" s="90"/>
      <c r="D438" s="91"/>
      <c r="E438" s="90"/>
      <c r="F438" s="90"/>
      <c r="G438" s="90"/>
      <c r="H438" s="90"/>
      <c r="I438" s="90"/>
      <c r="J438" s="78"/>
    </row>
    <row r="439" spans="1:10" x14ac:dyDescent="0.15">
      <c r="A439" s="89"/>
      <c r="B439" s="90"/>
      <c r="C439" s="90"/>
      <c r="D439" s="91"/>
      <c r="E439" s="90"/>
      <c r="F439" s="90"/>
      <c r="G439" s="90"/>
      <c r="H439" s="90"/>
      <c r="I439" s="90"/>
      <c r="J439" s="78"/>
    </row>
    <row r="440" spans="1:10" x14ac:dyDescent="0.15">
      <c r="A440" s="89"/>
      <c r="B440" s="90"/>
      <c r="C440" s="90"/>
      <c r="D440" s="91"/>
      <c r="E440" s="90"/>
      <c r="F440" s="90"/>
      <c r="G440" s="90"/>
      <c r="H440" s="90"/>
      <c r="I440" s="90"/>
      <c r="J440" s="78"/>
    </row>
    <row r="441" spans="1:10" x14ac:dyDescent="0.15">
      <c r="A441" s="89"/>
      <c r="B441" s="90"/>
      <c r="C441" s="90"/>
      <c r="D441" s="91"/>
      <c r="E441" s="90"/>
      <c r="F441" s="90"/>
      <c r="G441" s="90"/>
      <c r="H441" s="90"/>
      <c r="I441" s="90"/>
      <c r="J441" s="78"/>
    </row>
    <row r="442" spans="1:10" x14ac:dyDescent="0.15">
      <c r="A442" s="89"/>
      <c r="B442" s="90"/>
      <c r="C442" s="90"/>
      <c r="D442" s="91"/>
      <c r="E442" s="90"/>
      <c r="F442" s="90"/>
      <c r="G442" s="90"/>
      <c r="H442" s="90"/>
      <c r="I442" s="90"/>
      <c r="J442" s="78"/>
    </row>
    <row r="443" spans="1:10" x14ac:dyDescent="0.15">
      <c r="A443" s="89"/>
      <c r="B443" s="90"/>
      <c r="C443" s="90"/>
      <c r="D443" s="91"/>
      <c r="E443" s="90"/>
      <c r="F443" s="90"/>
      <c r="G443" s="90"/>
      <c r="H443" s="90"/>
      <c r="I443" s="90"/>
      <c r="J443" s="78"/>
    </row>
    <row r="444" spans="1:10" x14ac:dyDescent="0.15">
      <c r="A444" s="89"/>
      <c r="B444" s="90"/>
      <c r="C444" s="90"/>
      <c r="D444" s="91"/>
      <c r="E444" s="90"/>
      <c r="F444" s="90"/>
      <c r="G444" s="90"/>
      <c r="H444" s="90"/>
      <c r="I444" s="90"/>
      <c r="J444" s="78"/>
    </row>
    <row r="445" spans="1:10" x14ac:dyDescent="0.15">
      <c r="A445" s="89"/>
      <c r="B445" s="90"/>
      <c r="C445" s="90"/>
      <c r="D445" s="91"/>
      <c r="E445" s="90"/>
      <c r="F445" s="90"/>
      <c r="G445" s="90"/>
      <c r="H445" s="90"/>
      <c r="I445" s="90"/>
      <c r="J445" s="78"/>
    </row>
    <row r="446" spans="1:10" x14ac:dyDescent="0.15">
      <c r="A446" s="89"/>
      <c r="B446" s="90"/>
      <c r="C446" s="90"/>
      <c r="D446" s="91"/>
      <c r="E446" s="90"/>
      <c r="F446" s="90"/>
      <c r="G446" s="90"/>
      <c r="H446" s="90"/>
      <c r="I446" s="90"/>
      <c r="J446" s="78"/>
    </row>
    <row r="447" spans="1:10" x14ac:dyDescent="0.15">
      <c r="A447" s="89"/>
      <c r="B447" s="90"/>
      <c r="C447" s="90"/>
      <c r="D447" s="91"/>
      <c r="E447" s="90"/>
      <c r="F447" s="90"/>
      <c r="G447" s="90"/>
      <c r="H447" s="90"/>
      <c r="I447" s="90"/>
      <c r="J447" s="78"/>
    </row>
    <row r="448" spans="1:10" x14ac:dyDescent="0.15">
      <c r="A448" s="89"/>
      <c r="B448" s="90"/>
      <c r="C448" s="90"/>
      <c r="D448" s="91"/>
      <c r="E448" s="90"/>
      <c r="F448" s="90"/>
      <c r="G448" s="90"/>
      <c r="H448" s="90"/>
      <c r="I448" s="90"/>
      <c r="J448" s="78"/>
    </row>
    <row r="449" spans="1:10" x14ac:dyDescent="0.15">
      <c r="A449" s="89"/>
      <c r="B449" s="90"/>
      <c r="C449" s="90"/>
      <c r="D449" s="91"/>
      <c r="E449" s="90"/>
      <c r="F449" s="90"/>
      <c r="G449" s="90"/>
      <c r="H449" s="90"/>
      <c r="I449" s="90"/>
      <c r="J449" s="78"/>
    </row>
    <row r="450" spans="1:10" x14ac:dyDescent="0.15">
      <c r="A450" s="89"/>
      <c r="B450" s="90"/>
      <c r="C450" s="90"/>
      <c r="D450" s="91"/>
      <c r="E450" s="90"/>
      <c r="F450" s="90"/>
      <c r="G450" s="90"/>
      <c r="H450" s="90"/>
      <c r="I450" s="90"/>
      <c r="J450" s="78"/>
    </row>
    <row r="451" spans="1:10" x14ac:dyDescent="0.15">
      <c r="A451" s="89"/>
      <c r="B451" s="90"/>
      <c r="C451" s="90"/>
      <c r="D451" s="91"/>
      <c r="E451" s="90"/>
      <c r="F451" s="90"/>
      <c r="G451" s="90"/>
      <c r="H451" s="90"/>
      <c r="I451" s="90"/>
      <c r="J451" s="78"/>
    </row>
    <row r="452" spans="1:10" x14ac:dyDescent="0.15">
      <c r="A452" s="89"/>
      <c r="B452" s="90"/>
      <c r="C452" s="90"/>
      <c r="D452" s="91"/>
      <c r="E452" s="90"/>
      <c r="F452" s="90"/>
      <c r="G452" s="90"/>
      <c r="H452" s="90"/>
      <c r="I452" s="90"/>
      <c r="J452" s="78"/>
    </row>
    <row r="453" spans="1:10" x14ac:dyDescent="0.15">
      <c r="A453" s="89"/>
      <c r="B453" s="90"/>
      <c r="C453" s="90"/>
      <c r="D453" s="91"/>
      <c r="E453" s="90"/>
      <c r="F453" s="90"/>
      <c r="G453" s="90"/>
      <c r="H453" s="90"/>
      <c r="I453" s="90"/>
      <c r="J453" s="78"/>
    </row>
    <row r="454" spans="1:10" x14ac:dyDescent="0.15">
      <c r="A454" s="89"/>
      <c r="B454" s="90"/>
      <c r="C454" s="90"/>
      <c r="D454" s="91"/>
      <c r="E454" s="90"/>
      <c r="F454" s="90"/>
      <c r="G454" s="90"/>
      <c r="H454" s="90"/>
      <c r="I454" s="90"/>
      <c r="J454" s="78"/>
    </row>
    <row r="455" spans="1:10" x14ac:dyDescent="0.15">
      <c r="A455" s="89"/>
      <c r="B455" s="90"/>
      <c r="C455" s="90"/>
      <c r="D455" s="91"/>
      <c r="E455" s="90"/>
      <c r="F455" s="90"/>
      <c r="G455" s="90"/>
      <c r="H455" s="90"/>
      <c r="I455" s="90"/>
      <c r="J455" s="78"/>
    </row>
    <row r="456" spans="1:10" x14ac:dyDescent="0.15">
      <c r="A456" s="89"/>
      <c r="B456" s="90"/>
      <c r="C456" s="90"/>
      <c r="D456" s="91"/>
      <c r="E456" s="90"/>
      <c r="F456" s="90"/>
      <c r="G456" s="90"/>
      <c r="H456" s="90"/>
      <c r="I456" s="90"/>
      <c r="J456" s="78"/>
    </row>
    <row r="457" spans="1:10" x14ac:dyDescent="0.15">
      <c r="A457" s="89"/>
      <c r="B457" s="90"/>
      <c r="C457" s="90"/>
      <c r="D457" s="91"/>
      <c r="E457" s="90"/>
      <c r="F457" s="90"/>
      <c r="G457" s="90"/>
      <c r="H457" s="90"/>
      <c r="I457" s="90"/>
      <c r="J457" s="78"/>
    </row>
    <row r="458" spans="1:10" x14ac:dyDescent="0.15">
      <c r="A458" s="89"/>
      <c r="B458" s="90"/>
      <c r="C458" s="90"/>
      <c r="D458" s="91"/>
      <c r="E458" s="90"/>
      <c r="F458" s="90"/>
      <c r="G458" s="90"/>
      <c r="H458" s="90"/>
      <c r="I458" s="90"/>
      <c r="J458" s="78"/>
    </row>
    <row r="459" spans="1:10" x14ac:dyDescent="0.15">
      <c r="A459" s="89"/>
      <c r="B459" s="90"/>
      <c r="C459" s="90"/>
      <c r="D459" s="91"/>
      <c r="E459" s="90"/>
      <c r="F459" s="90"/>
      <c r="G459" s="90"/>
      <c r="H459" s="90"/>
      <c r="I459" s="90"/>
      <c r="J459" s="78"/>
    </row>
    <row r="460" spans="1:10" x14ac:dyDescent="0.15">
      <c r="A460" s="89"/>
      <c r="B460" s="90"/>
      <c r="C460" s="90"/>
      <c r="D460" s="91"/>
      <c r="E460" s="90"/>
      <c r="F460" s="90"/>
      <c r="G460" s="90"/>
      <c r="H460" s="90"/>
      <c r="I460" s="90"/>
      <c r="J460" s="78"/>
    </row>
    <row r="461" spans="1:10" x14ac:dyDescent="0.15">
      <c r="A461" s="89"/>
      <c r="B461" s="90"/>
      <c r="C461" s="90"/>
      <c r="D461" s="91"/>
      <c r="E461" s="90"/>
      <c r="F461" s="90"/>
      <c r="G461" s="90"/>
      <c r="H461" s="90"/>
      <c r="I461" s="90"/>
      <c r="J461" s="78"/>
    </row>
    <row r="462" spans="1:10" x14ac:dyDescent="0.15">
      <c r="A462" s="89"/>
      <c r="B462" s="90"/>
      <c r="C462" s="90"/>
      <c r="D462" s="91"/>
      <c r="E462" s="90"/>
      <c r="F462" s="90"/>
      <c r="G462" s="90"/>
      <c r="H462" s="90"/>
      <c r="I462" s="90"/>
      <c r="J462" s="78"/>
    </row>
    <row r="463" spans="1:10" x14ac:dyDescent="0.15">
      <c r="A463" s="89"/>
      <c r="B463" s="90"/>
      <c r="C463" s="90"/>
      <c r="D463" s="91"/>
      <c r="E463" s="90"/>
      <c r="F463" s="90"/>
      <c r="G463" s="90"/>
      <c r="H463" s="90"/>
      <c r="I463" s="90"/>
      <c r="J463" s="78"/>
    </row>
    <row r="464" spans="1:10" x14ac:dyDescent="0.15">
      <c r="A464" s="89"/>
      <c r="B464" s="90"/>
      <c r="C464" s="90"/>
      <c r="D464" s="91"/>
      <c r="E464" s="90"/>
      <c r="F464" s="90"/>
      <c r="G464" s="90"/>
      <c r="H464" s="90"/>
      <c r="I464" s="90"/>
      <c r="J464" s="78"/>
    </row>
    <row r="465" spans="1:10" x14ac:dyDescent="0.15">
      <c r="A465" s="89"/>
      <c r="B465" s="90"/>
      <c r="C465" s="90"/>
      <c r="D465" s="91"/>
      <c r="E465" s="90"/>
      <c r="F465" s="90"/>
      <c r="G465" s="90"/>
      <c r="H465" s="90"/>
      <c r="I465" s="90"/>
      <c r="J465" s="78"/>
    </row>
    <row r="466" spans="1:10" x14ac:dyDescent="0.15">
      <c r="A466" s="89"/>
      <c r="B466" s="90"/>
      <c r="C466" s="90"/>
      <c r="D466" s="91"/>
      <c r="E466" s="90"/>
      <c r="F466" s="90"/>
      <c r="G466" s="90"/>
      <c r="H466" s="90"/>
      <c r="I466" s="90"/>
      <c r="J466" s="78"/>
    </row>
    <row r="467" spans="1:10" x14ac:dyDescent="0.15">
      <c r="A467" s="89"/>
      <c r="B467" s="90"/>
      <c r="C467" s="90"/>
      <c r="D467" s="91"/>
      <c r="E467" s="90"/>
      <c r="F467" s="90"/>
      <c r="G467" s="90"/>
      <c r="H467" s="90"/>
      <c r="I467" s="90"/>
      <c r="J467" s="78"/>
    </row>
    <row r="468" spans="1:10" x14ac:dyDescent="0.15">
      <c r="A468" s="89"/>
      <c r="B468" s="90"/>
      <c r="C468" s="90"/>
      <c r="D468" s="91"/>
      <c r="E468" s="90"/>
      <c r="F468" s="90"/>
      <c r="G468" s="90"/>
      <c r="H468" s="90"/>
      <c r="I468" s="90"/>
      <c r="J468" s="78"/>
    </row>
    <row r="469" spans="1:10" x14ac:dyDescent="0.15">
      <c r="A469" s="89"/>
      <c r="B469" s="90"/>
      <c r="C469" s="90"/>
      <c r="D469" s="91"/>
      <c r="E469" s="90"/>
      <c r="F469" s="90"/>
      <c r="G469" s="90"/>
      <c r="H469" s="90"/>
      <c r="I469" s="90"/>
      <c r="J469" s="78"/>
    </row>
    <row r="470" spans="1:10" x14ac:dyDescent="0.15">
      <c r="A470" s="89"/>
      <c r="B470" s="90"/>
      <c r="C470" s="90"/>
      <c r="D470" s="91"/>
      <c r="E470" s="90"/>
      <c r="F470" s="90"/>
      <c r="G470" s="90"/>
      <c r="H470" s="90"/>
      <c r="I470" s="90"/>
      <c r="J470" s="78"/>
    </row>
    <row r="471" spans="1:10" x14ac:dyDescent="0.15">
      <c r="A471" s="89"/>
      <c r="B471" s="90"/>
      <c r="C471" s="90"/>
      <c r="D471" s="91"/>
      <c r="E471" s="90"/>
      <c r="F471" s="90"/>
      <c r="G471" s="90"/>
      <c r="H471" s="90"/>
      <c r="I471" s="90"/>
      <c r="J471" s="78"/>
    </row>
    <row r="472" spans="1:10" x14ac:dyDescent="0.15">
      <c r="A472" s="89"/>
      <c r="B472" s="90"/>
      <c r="C472" s="90"/>
      <c r="D472" s="91"/>
      <c r="E472" s="90"/>
      <c r="F472" s="90"/>
      <c r="G472" s="90"/>
      <c r="H472" s="90"/>
      <c r="I472" s="90"/>
      <c r="J472" s="78"/>
    </row>
    <row r="473" spans="1:10" x14ac:dyDescent="0.15">
      <c r="A473" s="89"/>
      <c r="B473" s="90"/>
      <c r="C473" s="90"/>
      <c r="D473" s="91"/>
      <c r="E473" s="90"/>
      <c r="F473" s="90"/>
      <c r="G473" s="90"/>
      <c r="H473" s="90"/>
      <c r="I473" s="90"/>
      <c r="J473" s="78"/>
    </row>
    <row r="474" spans="1:10" x14ac:dyDescent="0.15">
      <c r="A474" s="89"/>
      <c r="B474" s="90"/>
      <c r="C474" s="90"/>
      <c r="D474" s="91"/>
      <c r="E474" s="90"/>
      <c r="F474" s="90"/>
      <c r="G474" s="90"/>
      <c r="H474" s="90"/>
      <c r="I474" s="90"/>
      <c r="J474" s="78"/>
    </row>
    <row r="475" spans="1:10" x14ac:dyDescent="0.15">
      <c r="A475" s="89"/>
      <c r="B475" s="90"/>
      <c r="C475" s="90"/>
      <c r="D475" s="91"/>
      <c r="E475" s="90"/>
      <c r="F475" s="90"/>
      <c r="G475" s="90"/>
      <c r="H475" s="90"/>
      <c r="I475" s="90"/>
      <c r="J475" s="78"/>
    </row>
    <row r="476" spans="1:10" x14ac:dyDescent="0.15">
      <c r="A476" s="89"/>
      <c r="B476" s="90"/>
      <c r="C476" s="90"/>
      <c r="D476" s="91"/>
      <c r="E476" s="90"/>
      <c r="F476" s="90"/>
      <c r="G476" s="90"/>
      <c r="H476" s="90"/>
      <c r="I476" s="90"/>
      <c r="J476" s="78"/>
    </row>
    <row r="477" spans="1:10" x14ac:dyDescent="0.15">
      <c r="A477" s="89"/>
      <c r="B477" s="90"/>
      <c r="C477" s="90"/>
      <c r="D477" s="91"/>
      <c r="E477" s="90"/>
      <c r="F477" s="90"/>
      <c r="G477" s="90"/>
      <c r="H477" s="90"/>
      <c r="I477" s="90"/>
      <c r="J477" s="78"/>
    </row>
    <row r="478" spans="1:10" x14ac:dyDescent="0.15">
      <c r="A478" s="89"/>
      <c r="B478" s="90"/>
      <c r="C478" s="90"/>
      <c r="D478" s="91"/>
      <c r="E478" s="90"/>
      <c r="F478" s="90"/>
      <c r="G478" s="90"/>
      <c r="H478" s="90"/>
      <c r="I478" s="90"/>
      <c r="J478" s="78"/>
    </row>
    <row r="479" spans="1:10" x14ac:dyDescent="0.15">
      <c r="A479" s="89"/>
      <c r="B479" s="90"/>
      <c r="C479" s="90"/>
      <c r="D479" s="91"/>
      <c r="E479" s="90"/>
      <c r="F479" s="90"/>
      <c r="G479" s="90"/>
      <c r="H479" s="90"/>
      <c r="I479" s="90"/>
      <c r="J479" s="78"/>
    </row>
    <row r="480" spans="1:10" x14ac:dyDescent="0.15">
      <c r="A480" s="89"/>
      <c r="B480" s="90"/>
      <c r="C480" s="90"/>
      <c r="D480" s="91"/>
      <c r="E480" s="90"/>
      <c r="F480" s="90"/>
      <c r="G480" s="90"/>
      <c r="H480" s="90"/>
      <c r="I480" s="90"/>
      <c r="J480" s="78"/>
    </row>
    <row r="481" spans="1:10" x14ac:dyDescent="0.15">
      <c r="A481" s="89"/>
      <c r="B481" s="90"/>
      <c r="C481" s="90"/>
      <c r="D481" s="91"/>
      <c r="E481" s="90"/>
      <c r="F481" s="90"/>
      <c r="G481" s="90"/>
      <c r="H481" s="90"/>
      <c r="I481" s="90"/>
      <c r="J481" s="78"/>
    </row>
    <row r="482" spans="1:10" x14ac:dyDescent="0.15">
      <c r="A482" s="89"/>
      <c r="B482" s="90"/>
      <c r="C482" s="90"/>
      <c r="D482" s="91"/>
      <c r="E482" s="90"/>
      <c r="F482" s="90"/>
      <c r="G482" s="90"/>
      <c r="H482" s="90"/>
      <c r="I482" s="90"/>
      <c r="J482" s="78"/>
    </row>
    <row r="483" spans="1:10" x14ac:dyDescent="0.15">
      <c r="A483" s="89"/>
      <c r="B483" s="90"/>
      <c r="C483" s="90"/>
      <c r="D483" s="91"/>
      <c r="E483" s="90"/>
      <c r="F483" s="90"/>
      <c r="G483" s="90"/>
      <c r="H483" s="90"/>
      <c r="I483" s="90"/>
      <c r="J483" s="78"/>
    </row>
    <row r="484" spans="1:10" x14ac:dyDescent="0.15">
      <c r="A484" s="89"/>
      <c r="B484" s="90"/>
      <c r="C484" s="90"/>
      <c r="D484" s="91"/>
      <c r="E484" s="90"/>
      <c r="F484" s="90"/>
      <c r="G484" s="90"/>
      <c r="H484" s="90"/>
      <c r="I484" s="90"/>
      <c r="J484" s="78"/>
    </row>
    <row r="485" spans="1:10" x14ac:dyDescent="0.15">
      <c r="A485" s="89"/>
      <c r="B485" s="90"/>
      <c r="C485" s="90"/>
      <c r="D485" s="91"/>
      <c r="E485" s="90"/>
      <c r="F485" s="90"/>
      <c r="G485" s="90"/>
      <c r="H485" s="90"/>
      <c r="I485" s="90"/>
      <c r="J485" s="78"/>
    </row>
    <row r="486" spans="1:10" x14ac:dyDescent="0.15">
      <c r="A486" s="89"/>
      <c r="B486" s="90"/>
      <c r="C486" s="90"/>
      <c r="D486" s="91"/>
      <c r="E486" s="90"/>
      <c r="F486" s="90"/>
      <c r="G486" s="90"/>
      <c r="H486" s="90"/>
      <c r="I486" s="90"/>
      <c r="J486" s="78"/>
    </row>
    <row r="487" spans="1:10" x14ac:dyDescent="0.15">
      <c r="A487" s="89"/>
      <c r="B487" s="90"/>
      <c r="C487" s="90"/>
      <c r="D487" s="91"/>
      <c r="E487" s="90"/>
      <c r="F487" s="90"/>
      <c r="G487" s="90"/>
      <c r="H487" s="90"/>
      <c r="I487" s="90"/>
      <c r="J487" s="78"/>
    </row>
    <row r="488" spans="1:10" x14ac:dyDescent="0.15">
      <c r="A488" s="89"/>
      <c r="B488" s="90"/>
      <c r="C488" s="90"/>
      <c r="D488" s="91"/>
      <c r="E488" s="90"/>
      <c r="F488" s="90"/>
      <c r="G488" s="90"/>
      <c r="H488" s="90"/>
      <c r="I488" s="90"/>
      <c r="J488" s="78"/>
    </row>
    <row r="489" spans="1:10" x14ac:dyDescent="0.15">
      <c r="A489" s="89"/>
      <c r="B489" s="90"/>
      <c r="C489" s="90"/>
      <c r="D489" s="91"/>
      <c r="E489" s="90"/>
      <c r="F489" s="90"/>
      <c r="G489" s="90"/>
      <c r="H489" s="90"/>
      <c r="I489" s="90"/>
      <c r="J489" s="78"/>
    </row>
    <row r="490" spans="1:10" x14ac:dyDescent="0.15">
      <c r="A490" s="89"/>
      <c r="B490" s="90"/>
      <c r="C490" s="90"/>
      <c r="D490" s="91"/>
      <c r="E490" s="90"/>
      <c r="F490" s="90"/>
      <c r="G490" s="90"/>
      <c r="H490" s="90"/>
      <c r="I490" s="90"/>
      <c r="J490" s="78"/>
    </row>
    <row r="491" spans="1:10" x14ac:dyDescent="0.15">
      <c r="A491" s="89"/>
      <c r="B491" s="90"/>
      <c r="C491" s="90"/>
      <c r="D491" s="91"/>
      <c r="E491" s="90"/>
      <c r="F491" s="90"/>
      <c r="G491" s="90"/>
      <c r="H491" s="90"/>
      <c r="I491" s="90"/>
      <c r="J491" s="78"/>
    </row>
    <row r="492" spans="1:10" x14ac:dyDescent="0.15">
      <c r="A492" s="89"/>
      <c r="B492" s="90"/>
      <c r="C492" s="90"/>
      <c r="D492" s="91"/>
      <c r="E492" s="90"/>
      <c r="F492" s="90"/>
      <c r="G492" s="90"/>
      <c r="H492" s="90"/>
      <c r="I492" s="90"/>
      <c r="J492" s="78"/>
    </row>
    <row r="493" spans="1:10" x14ac:dyDescent="0.15">
      <c r="A493" s="89"/>
      <c r="B493" s="90"/>
      <c r="C493" s="90"/>
      <c r="D493" s="91"/>
      <c r="E493" s="90"/>
      <c r="F493" s="90"/>
      <c r="G493" s="90"/>
      <c r="H493" s="90"/>
      <c r="I493" s="90"/>
      <c r="J493" s="78"/>
    </row>
    <row r="494" spans="1:10" x14ac:dyDescent="0.15">
      <c r="A494" s="89"/>
      <c r="B494" s="90"/>
      <c r="C494" s="90"/>
      <c r="D494" s="91"/>
      <c r="E494" s="90"/>
      <c r="F494" s="90"/>
      <c r="G494" s="90"/>
      <c r="H494" s="90"/>
      <c r="I494" s="90"/>
      <c r="J494" s="78"/>
    </row>
    <row r="495" spans="1:10" x14ac:dyDescent="0.15">
      <c r="A495" s="89"/>
      <c r="B495" s="90"/>
      <c r="C495" s="90"/>
      <c r="D495" s="91"/>
      <c r="E495" s="90"/>
      <c r="F495" s="90"/>
      <c r="G495" s="90"/>
      <c r="H495" s="90"/>
      <c r="I495" s="90"/>
      <c r="J495" s="78"/>
    </row>
    <row r="496" spans="1:10" x14ac:dyDescent="0.15">
      <c r="A496" s="89"/>
      <c r="B496" s="90"/>
      <c r="C496" s="90"/>
      <c r="D496" s="91"/>
      <c r="E496" s="90"/>
      <c r="F496" s="90"/>
      <c r="G496" s="90"/>
      <c r="H496" s="90"/>
      <c r="I496" s="90"/>
      <c r="J496" s="78"/>
    </row>
    <row r="497" spans="1:10" x14ac:dyDescent="0.15">
      <c r="A497" s="89"/>
      <c r="B497" s="90"/>
      <c r="C497" s="90"/>
      <c r="D497" s="91"/>
      <c r="E497" s="90"/>
      <c r="F497" s="90"/>
      <c r="G497" s="90"/>
      <c r="H497" s="90"/>
      <c r="I497" s="90"/>
      <c r="J497" s="78"/>
    </row>
    <row r="498" spans="1:10" x14ac:dyDescent="0.15">
      <c r="A498" s="89"/>
      <c r="B498" s="90"/>
      <c r="C498" s="90"/>
      <c r="D498" s="91"/>
      <c r="E498" s="90"/>
      <c r="F498" s="90"/>
      <c r="G498" s="90"/>
      <c r="H498" s="90"/>
      <c r="I498" s="90"/>
      <c r="J498" s="78"/>
    </row>
    <row r="499" spans="1:10" x14ac:dyDescent="0.15">
      <c r="A499" s="89"/>
      <c r="B499" s="90"/>
      <c r="C499" s="90"/>
      <c r="D499" s="91"/>
      <c r="E499" s="90"/>
      <c r="F499" s="90"/>
      <c r="G499" s="90"/>
      <c r="H499" s="90"/>
      <c r="I499" s="90"/>
      <c r="J499" s="78"/>
    </row>
    <row r="500" spans="1:10" x14ac:dyDescent="0.15">
      <c r="A500" s="89"/>
      <c r="B500" s="90"/>
      <c r="C500" s="90"/>
      <c r="D500" s="91"/>
      <c r="E500" s="90"/>
      <c r="F500" s="90"/>
      <c r="G500" s="90"/>
      <c r="H500" s="90"/>
      <c r="I500" s="90"/>
      <c r="J500" s="78"/>
    </row>
    <row r="501" spans="1:10" x14ac:dyDescent="0.15">
      <c r="A501" s="89"/>
      <c r="B501" s="90"/>
      <c r="C501" s="90"/>
      <c r="D501" s="91"/>
      <c r="E501" s="90"/>
      <c r="F501" s="90"/>
      <c r="G501" s="90"/>
      <c r="H501" s="90"/>
      <c r="I501" s="90"/>
      <c r="J501" s="78"/>
    </row>
    <row r="502" spans="1:10" x14ac:dyDescent="0.15">
      <c r="A502" s="89"/>
      <c r="B502" s="90"/>
      <c r="C502" s="90"/>
      <c r="D502" s="91"/>
      <c r="E502" s="90"/>
      <c r="F502" s="90"/>
      <c r="G502" s="90"/>
      <c r="H502" s="90"/>
      <c r="I502" s="90"/>
      <c r="J502" s="78"/>
    </row>
    <row r="503" spans="1:10" x14ac:dyDescent="0.15">
      <c r="A503" s="89"/>
      <c r="B503" s="90"/>
      <c r="C503" s="90"/>
      <c r="D503" s="91"/>
      <c r="E503" s="90"/>
      <c r="F503" s="90"/>
      <c r="G503" s="90"/>
      <c r="H503" s="90"/>
      <c r="I503" s="90"/>
      <c r="J503" s="78"/>
    </row>
    <row r="504" spans="1:10" x14ac:dyDescent="0.15">
      <c r="A504" s="89"/>
      <c r="B504" s="90"/>
      <c r="C504" s="90"/>
      <c r="D504" s="91"/>
      <c r="E504" s="90"/>
      <c r="F504" s="90"/>
      <c r="G504" s="90"/>
      <c r="H504" s="90"/>
      <c r="I504" s="90"/>
      <c r="J504" s="78"/>
    </row>
    <row r="505" spans="1:10" x14ac:dyDescent="0.15">
      <c r="A505" s="89"/>
      <c r="B505" s="90"/>
      <c r="C505" s="90"/>
      <c r="D505" s="91"/>
      <c r="E505" s="90"/>
      <c r="F505" s="90"/>
      <c r="G505" s="90"/>
      <c r="H505" s="90"/>
      <c r="I505" s="90"/>
      <c r="J505" s="78"/>
    </row>
    <row r="506" spans="1:10" x14ac:dyDescent="0.15">
      <c r="A506" s="89"/>
      <c r="B506" s="90"/>
      <c r="C506" s="90"/>
      <c r="D506" s="91"/>
      <c r="E506" s="90"/>
      <c r="F506" s="90"/>
      <c r="G506" s="90"/>
      <c r="H506" s="90"/>
      <c r="I506" s="90"/>
      <c r="J506" s="78"/>
    </row>
    <row r="507" spans="1:10" x14ac:dyDescent="0.15">
      <c r="A507" s="89"/>
      <c r="B507" s="90"/>
      <c r="C507" s="90"/>
      <c r="D507" s="91"/>
      <c r="E507" s="90"/>
      <c r="F507" s="90"/>
      <c r="G507" s="90"/>
      <c r="H507" s="90"/>
      <c r="I507" s="90"/>
      <c r="J507" s="78"/>
    </row>
    <row r="508" spans="1:10" x14ac:dyDescent="0.15">
      <c r="A508" s="89"/>
      <c r="B508" s="90"/>
      <c r="C508" s="90"/>
      <c r="D508" s="91"/>
      <c r="E508" s="90"/>
      <c r="F508" s="90"/>
      <c r="G508" s="90"/>
      <c r="H508" s="90"/>
      <c r="I508" s="90"/>
      <c r="J508" s="78"/>
    </row>
    <row r="509" spans="1:10" x14ac:dyDescent="0.15">
      <c r="A509" s="89"/>
      <c r="B509" s="90"/>
      <c r="C509" s="90"/>
      <c r="D509" s="91"/>
      <c r="E509" s="90"/>
      <c r="F509" s="90"/>
      <c r="G509" s="90"/>
      <c r="H509" s="90"/>
      <c r="I509" s="90"/>
      <c r="J509" s="78"/>
    </row>
    <row r="510" spans="1:10" x14ac:dyDescent="0.15">
      <c r="A510" s="89"/>
      <c r="B510" s="90"/>
      <c r="C510" s="90"/>
      <c r="D510" s="91"/>
      <c r="E510" s="90"/>
      <c r="F510" s="90"/>
      <c r="G510" s="90"/>
      <c r="H510" s="90"/>
      <c r="I510" s="90"/>
      <c r="J510" s="78"/>
    </row>
    <row r="511" spans="1:10" x14ac:dyDescent="0.15">
      <c r="A511" s="89"/>
      <c r="B511" s="90"/>
      <c r="C511" s="90"/>
      <c r="D511" s="91"/>
      <c r="E511" s="90"/>
      <c r="F511" s="90"/>
      <c r="G511" s="90"/>
      <c r="H511" s="90"/>
      <c r="I511" s="90"/>
      <c r="J511" s="78"/>
    </row>
    <row r="512" spans="1:10" x14ac:dyDescent="0.15">
      <c r="A512" s="89"/>
      <c r="B512" s="90"/>
      <c r="C512" s="90"/>
      <c r="D512" s="91"/>
      <c r="E512" s="90"/>
      <c r="F512" s="90"/>
      <c r="G512" s="90"/>
      <c r="H512" s="90"/>
      <c r="I512" s="90"/>
      <c r="J512" s="78"/>
    </row>
    <row r="513" spans="1:10" x14ac:dyDescent="0.15">
      <c r="A513" s="89"/>
      <c r="B513" s="90"/>
      <c r="C513" s="90"/>
      <c r="D513" s="91"/>
      <c r="E513" s="90"/>
      <c r="F513" s="90"/>
      <c r="G513" s="90"/>
      <c r="H513" s="90"/>
      <c r="I513" s="90"/>
      <c r="J513" s="78"/>
    </row>
    <row r="514" spans="1:10" x14ac:dyDescent="0.15">
      <c r="A514" s="89"/>
      <c r="B514" s="90"/>
      <c r="C514" s="90"/>
      <c r="D514" s="91"/>
      <c r="E514" s="90"/>
      <c r="F514" s="90"/>
      <c r="G514" s="90"/>
      <c r="H514" s="90"/>
      <c r="I514" s="90"/>
      <c r="J514" s="78"/>
    </row>
    <row r="515" spans="1:10" x14ac:dyDescent="0.15">
      <c r="A515" s="89"/>
      <c r="B515" s="90"/>
      <c r="C515" s="90"/>
      <c r="D515" s="91"/>
      <c r="E515" s="90"/>
      <c r="F515" s="90"/>
      <c r="G515" s="90"/>
      <c r="H515" s="90"/>
      <c r="I515" s="90"/>
      <c r="J515" s="78"/>
    </row>
    <row r="516" spans="1:10" x14ac:dyDescent="0.15">
      <c r="A516" s="89"/>
      <c r="B516" s="90"/>
      <c r="C516" s="90"/>
      <c r="D516" s="91"/>
      <c r="E516" s="90"/>
      <c r="F516" s="90"/>
      <c r="G516" s="90"/>
      <c r="H516" s="90"/>
      <c r="I516" s="90"/>
      <c r="J516" s="78"/>
    </row>
    <row r="517" spans="1:10" x14ac:dyDescent="0.15">
      <c r="A517" s="89"/>
      <c r="B517" s="90"/>
      <c r="C517" s="90"/>
      <c r="D517" s="91"/>
      <c r="E517" s="90"/>
      <c r="F517" s="90"/>
      <c r="G517" s="90"/>
      <c r="H517" s="90"/>
      <c r="I517" s="90"/>
      <c r="J517" s="78"/>
    </row>
    <row r="518" spans="1:10" x14ac:dyDescent="0.15">
      <c r="A518" s="89"/>
      <c r="B518" s="90"/>
      <c r="C518" s="90"/>
      <c r="D518" s="91"/>
      <c r="E518" s="90"/>
      <c r="F518" s="90"/>
      <c r="G518" s="90"/>
      <c r="H518" s="90"/>
      <c r="I518" s="90"/>
      <c r="J518" s="78"/>
    </row>
    <row r="519" spans="1:10" x14ac:dyDescent="0.15">
      <c r="A519" s="89"/>
      <c r="B519" s="90"/>
      <c r="C519" s="90"/>
      <c r="D519" s="91"/>
      <c r="E519" s="90"/>
      <c r="F519" s="90"/>
      <c r="G519" s="90"/>
      <c r="H519" s="90"/>
      <c r="I519" s="90"/>
      <c r="J519" s="78"/>
    </row>
    <row r="520" spans="1:10" x14ac:dyDescent="0.15">
      <c r="A520" s="89"/>
      <c r="B520" s="90"/>
      <c r="C520" s="90"/>
      <c r="D520" s="91"/>
      <c r="E520" s="90"/>
      <c r="F520" s="90"/>
      <c r="G520" s="90"/>
      <c r="H520" s="90"/>
      <c r="I520" s="90"/>
      <c r="J520" s="78"/>
    </row>
    <row r="521" spans="1:10" x14ac:dyDescent="0.15">
      <c r="A521" s="89"/>
      <c r="B521" s="90"/>
      <c r="C521" s="90"/>
      <c r="D521" s="91"/>
      <c r="E521" s="90"/>
      <c r="F521" s="90"/>
      <c r="G521" s="90"/>
      <c r="H521" s="90"/>
      <c r="I521" s="90"/>
      <c r="J521" s="78"/>
    </row>
    <row r="522" spans="1:10" x14ac:dyDescent="0.15">
      <c r="A522" s="89"/>
      <c r="B522" s="90"/>
      <c r="C522" s="90"/>
      <c r="D522" s="91"/>
      <c r="E522" s="90"/>
      <c r="F522" s="90"/>
      <c r="G522" s="90"/>
      <c r="H522" s="90"/>
      <c r="I522" s="90"/>
      <c r="J522" s="78"/>
    </row>
    <row r="523" spans="1:10" x14ac:dyDescent="0.15">
      <c r="A523" s="89"/>
      <c r="B523" s="90"/>
      <c r="C523" s="90"/>
      <c r="D523" s="91"/>
      <c r="E523" s="90"/>
      <c r="F523" s="90"/>
      <c r="G523" s="90"/>
      <c r="H523" s="90"/>
      <c r="I523" s="90"/>
      <c r="J523" s="78"/>
    </row>
    <row r="524" spans="1:10" x14ac:dyDescent="0.15">
      <c r="A524" s="89"/>
      <c r="B524" s="90"/>
      <c r="C524" s="90"/>
      <c r="D524" s="91"/>
      <c r="E524" s="90"/>
      <c r="F524" s="90"/>
      <c r="G524" s="90"/>
      <c r="H524" s="90"/>
      <c r="I524" s="90"/>
      <c r="J524" s="78"/>
    </row>
    <row r="525" spans="1:10" x14ac:dyDescent="0.15">
      <c r="A525" s="89"/>
      <c r="B525" s="90"/>
      <c r="C525" s="90"/>
      <c r="D525" s="91"/>
      <c r="E525" s="90"/>
      <c r="F525" s="90"/>
      <c r="G525" s="90"/>
      <c r="H525" s="90"/>
      <c r="I525" s="90"/>
      <c r="J525" s="78"/>
    </row>
    <row r="526" spans="1:10" x14ac:dyDescent="0.15">
      <c r="A526" s="89"/>
      <c r="B526" s="90"/>
      <c r="C526" s="90"/>
      <c r="D526" s="91"/>
      <c r="E526" s="90"/>
      <c r="F526" s="90"/>
      <c r="G526" s="90"/>
      <c r="H526" s="90"/>
      <c r="I526" s="90"/>
      <c r="J526" s="78"/>
    </row>
    <row r="527" spans="1:10" x14ac:dyDescent="0.15">
      <c r="A527" s="89"/>
      <c r="B527" s="90"/>
      <c r="C527" s="90"/>
      <c r="D527" s="91"/>
      <c r="E527" s="90"/>
      <c r="F527" s="90"/>
      <c r="G527" s="90"/>
      <c r="H527" s="90"/>
      <c r="I527" s="90"/>
      <c r="J527" s="78"/>
    </row>
    <row r="528" spans="1:10" x14ac:dyDescent="0.15">
      <c r="A528" s="89"/>
      <c r="B528" s="90"/>
      <c r="C528" s="90"/>
      <c r="D528" s="91"/>
      <c r="E528" s="90"/>
      <c r="F528" s="90"/>
      <c r="G528" s="90"/>
      <c r="H528" s="90"/>
      <c r="I528" s="90"/>
      <c r="J528" s="78"/>
    </row>
    <row r="529" spans="1:10" x14ac:dyDescent="0.15">
      <c r="A529" s="89"/>
      <c r="B529" s="90"/>
      <c r="C529" s="90"/>
      <c r="D529" s="91"/>
      <c r="E529" s="90"/>
      <c r="F529" s="90"/>
      <c r="G529" s="90"/>
      <c r="H529" s="90"/>
      <c r="I529" s="90"/>
      <c r="J529" s="78"/>
    </row>
    <row r="530" spans="1:10" x14ac:dyDescent="0.15">
      <c r="A530" s="89"/>
      <c r="B530" s="90"/>
      <c r="C530" s="90"/>
      <c r="D530" s="91"/>
      <c r="E530" s="90"/>
      <c r="F530" s="90"/>
      <c r="G530" s="90"/>
      <c r="H530" s="90"/>
      <c r="I530" s="90"/>
      <c r="J530" s="78"/>
    </row>
    <row r="531" spans="1:10" x14ac:dyDescent="0.15">
      <c r="A531" s="89"/>
      <c r="B531" s="90"/>
      <c r="C531" s="90"/>
      <c r="D531" s="91"/>
      <c r="E531" s="90"/>
      <c r="F531" s="90"/>
      <c r="G531" s="90"/>
      <c r="H531" s="90"/>
      <c r="I531" s="90"/>
      <c r="J531" s="78"/>
    </row>
    <row r="532" spans="1:10" x14ac:dyDescent="0.15">
      <c r="A532" s="89"/>
      <c r="B532" s="90"/>
      <c r="C532" s="90"/>
      <c r="D532" s="91"/>
      <c r="E532" s="90"/>
      <c r="F532" s="90"/>
      <c r="G532" s="90"/>
      <c r="H532" s="90"/>
      <c r="I532" s="90"/>
      <c r="J532" s="78"/>
    </row>
    <row r="533" spans="1:10" x14ac:dyDescent="0.15">
      <c r="A533" s="89"/>
      <c r="B533" s="90"/>
      <c r="C533" s="90"/>
      <c r="D533" s="91"/>
      <c r="E533" s="90"/>
      <c r="F533" s="90"/>
      <c r="G533" s="90"/>
      <c r="H533" s="90"/>
      <c r="I533" s="90"/>
      <c r="J533" s="78"/>
    </row>
    <row r="534" spans="1:10" x14ac:dyDescent="0.15">
      <c r="A534" s="89"/>
      <c r="B534" s="90"/>
      <c r="C534" s="90"/>
      <c r="D534" s="91"/>
      <c r="E534" s="90"/>
      <c r="F534" s="90"/>
      <c r="G534" s="90"/>
      <c r="H534" s="90"/>
      <c r="I534" s="90"/>
      <c r="J534" s="78"/>
    </row>
    <row r="535" spans="1:10" x14ac:dyDescent="0.15">
      <c r="A535" s="89"/>
      <c r="B535" s="90"/>
      <c r="C535" s="90"/>
      <c r="D535" s="91"/>
      <c r="E535" s="90"/>
      <c r="F535" s="90"/>
      <c r="G535" s="90"/>
      <c r="H535" s="90"/>
      <c r="I535" s="90"/>
      <c r="J535" s="78"/>
    </row>
    <row r="536" spans="1:10" x14ac:dyDescent="0.15">
      <c r="A536" s="89"/>
      <c r="B536" s="90"/>
      <c r="C536" s="90"/>
      <c r="D536" s="91"/>
      <c r="E536" s="90"/>
      <c r="F536" s="90"/>
      <c r="G536" s="90"/>
      <c r="H536" s="90"/>
      <c r="I536" s="90"/>
      <c r="J536" s="78"/>
    </row>
    <row r="537" spans="1:10" x14ac:dyDescent="0.15">
      <c r="A537" s="89"/>
      <c r="B537" s="90"/>
      <c r="C537" s="90"/>
      <c r="D537" s="91"/>
      <c r="E537" s="90"/>
      <c r="F537" s="90"/>
      <c r="G537" s="90"/>
      <c r="H537" s="90"/>
      <c r="I537" s="90"/>
      <c r="J537" s="78"/>
    </row>
    <row r="538" spans="1:10" x14ac:dyDescent="0.15">
      <c r="A538" s="89"/>
      <c r="B538" s="90"/>
      <c r="C538" s="90"/>
      <c r="D538" s="91"/>
      <c r="E538" s="90"/>
      <c r="F538" s="90"/>
      <c r="G538" s="90"/>
      <c r="H538" s="90"/>
      <c r="I538" s="90"/>
      <c r="J538" s="78"/>
    </row>
    <row r="539" spans="1:10" x14ac:dyDescent="0.15">
      <c r="A539" s="89"/>
      <c r="B539" s="90"/>
      <c r="C539" s="90"/>
      <c r="D539" s="91"/>
      <c r="E539" s="90"/>
      <c r="F539" s="90"/>
      <c r="G539" s="90"/>
      <c r="H539" s="90"/>
      <c r="I539" s="90"/>
      <c r="J539" s="78"/>
    </row>
    <row r="540" spans="1:10" x14ac:dyDescent="0.15">
      <c r="A540" s="89"/>
      <c r="B540" s="90"/>
      <c r="C540" s="90"/>
      <c r="D540" s="91"/>
      <c r="E540" s="90"/>
      <c r="F540" s="90"/>
      <c r="G540" s="90"/>
      <c r="H540" s="90"/>
      <c r="I540" s="90"/>
      <c r="J540" s="78"/>
    </row>
    <row r="541" spans="1:10" x14ac:dyDescent="0.15">
      <c r="A541" s="89"/>
      <c r="B541" s="90"/>
      <c r="C541" s="90"/>
      <c r="D541" s="91"/>
      <c r="E541" s="90"/>
      <c r="F541" s="90"/>
      <c r="G541" s="90"/>
      <c r="H541" s="90"/>
      <c r="I541" s="90"/>
      <c r="J541" s="78"/>
    </row>
    <row r="542" spans="1:10" x14ac:dyDescent="0.15">
      <c r="A542" s="89"/>
      <c r="B542" s="90"/>
      <c r="C542" s="90"/>
      <c r="D542" s="91"/>
      <c r="E542" s="90"/>
      <c r="F542" s="90"/>
      <c r="G542" s="90"/>
      <c r="H542" s="90"/>
      <c r="I542" s="90"/>
      <c r="J542" s="78"/>
    </row>
    <row r="543" spans="1:10" x14ac:dyDescent="0.15">
      <c r="A543" s="89"/>
      <c r="B543" s="90"/>
      <c r="C543" s="90"/>
      <c r="D543" s="91"/>
      <c r="E543" s="90"/>
      <c r="F543" s="90"/>
      <c r="G543" s="90"/>
      <c r="H543" s="90"/>
      <c r="I543" s="90"/>
      <c r="J543" s="78"/>
    </row>
    <row r="544" spans="1:10" x14ac:dyDescent="0.15">
      <c r="A544" s="89"/>
      <c r="B544" s="90"/>
      <c r="C544" s="90"/>
      <c r="D544" s="91"/>
      <c r="E544" s="90"/>
      <c r="F544" s="90"/>
      <c r="G544" s="90"/>
      <c r="H544" s="90"/>
      <c r="I544" s="90"/>
      <c r="J544" s="78"/>
    </row>
    <row r="545" spans="1:10" x14ac:dyDescent="0.15">
      <c r="A545" s="89"/>
      <c r="B545" s="90"/>
      <c r="C545" s="90"/>
      <c r="D545" s="91"/>
      <c r="E545" s="90"/>
      <c r="F545" s="90"/>
      <c r="G545" s="90"/>
      <c r="H545" s="90"/>
      <c r="I545" s="90"/>
      <c r="J545" s="78"/>
    </row>
    <row r="546" spans="1:10" x14ac:dyDescent="0.15">
      <c r="A546" s="89"/>
      <c r="B546" s="90"/>
      <c r="C546" s="90"/>
      <c r="D546" s="91"/>
      <c r="E546" s="90"/>
      <c r="F546" s="90"/>
      <c r="G546" s="90"/>
      <c r="H546" s="90"/>
      <c r="I546" s="90"/>
      <c r="J546" s="78"/>
    </row>
    <row r="547" spans="1:10" x14ac:dyDescent="0.15">
      <c r="A547" s="89"/>
      <c r="B547" s="90"/>
      <c r="C547" s="90"/>
      <c r="D547" s="91"/>
      <c r="E547" s="90"/>
      <c r="F547" s="90"/>
      <c r="G547" s="90"/>
      <c r="H547" s="90"/>
      <c r="I547" s="90"/>
      <c r="J547" s="78"/>
    </row>
    <row r="548" spans="1:10" x14ac:dyDescent="0.15">
      <c r="A548" s="89"/>
      <c r="B548" s="90"/>
      <c r="C548" s="90"/>
      <c r="D548" s="91"/>
      <c r="E548" s="90"/>
      <c r="F548" s="90"/>
      <c r="G548" s="90"/>
      <c r="H548" s="90"/>
      <c r="I548" s="90"/>
      <c r="J548" s="78"/>
    </row>
    <row r="549" spans="1:10" x14ac:dyDescent="0.15">
      <c r="A549" s="89"/>
      <c r="B549" s="90"/>
      <c r="C549" s="90"/>
      <c r="D549" s="91"/>
      <c r="E549" s="90"/>
      <c r="F549" s="90"/>
      <c r="G549" s="90"/>
      <c r="H549" s="90"/>
      <c r="I549" s="90"/>
      <c r="J549" s="78"/>
    </row>
    <row r="550" spans="1:10" x14ac:dyDescent="0.15">
      <c r="A550" s="89"/>
      <c r="B550" s="90"/>
      <c r="C550" s="90"/>
      <c r="D550" s="91"/>
      <c r="E550" s="90"/>
      <c r="F550" s="90"/>
      <c r="G550" s="90"/>
      <c r="H550" s="90"/>
      <c r="I550" s="90"/>
      <c r="J550" s="78"/>
    </row>
    <row r="551" spans="1:10" x14ac:dyDescent="0.15">
      <c r="A551" s="89"/>
      <c r="B551" s="90"/>
      <c r="C551" s="90"/>
      <c r="D551" s="91"/>
      <c r="E551" s="90"/>
      <c r="F551" s="90"/>
      <c r="G551" s="90"/>
      <c r="H551" s="90"/>
      <c r="I551" s="90"/>
      <c r="J551" s="78"/>
    </row>
    <row r="552" spans="1:10" x14ac:dyDescent="0.15">
      <c r="A552" s="89"/>
      <c r="B552" s="90"/>
      <c r="C552" s="90"/>
      <c r="D552" s="91"/>
      <c r="E552" s="90"/>
      <c r="F552" s="90"/>
      <c r="G552" s="90"/>
      <c r="H552" s="90"/>
      <c r="I552" s="90"/>
      <c r="J552" s="78"/>
    </row>
    <row r="553" spans="1:10" x14ac:dyDescent="0.15">
      <c r="A553" s="89"/>
      <c r="B553" s="90"/>
      <c r="C553" s="90"/>
      <c r="D553" s="91"/>
      <c r="E553" s="90"/>
      <c r="F553" s="90"/>
      <c r="G553" s="90"/>
      <c r="H553" s="90"/>
      <c r="I553" s="90"/>
      <c r="J553" s="78"/>
    </row>
    <row r="554" spans="1:10" x14ac:dyDescent="0.15">
      <c r="A554" s="89"/>
      <c r="B554" s="90"/>
      <c r="C554" s="90"/>
      <c r="D554" s="91"/>
      <c r="E554" s="90"/>
      <c r="F554" s="90"/>
      <c r="G554" s="90"/>
      <c r="H554" s="90"/>
      <c r="I554" s="90"/>
      <c r="J554" s="78"/>
    </row>
    <row r="555" spans="1:10" x14ac:dyDescent="0.15">
      <c r="A555" s="89"/>
      <c r="B555" s="90"/>
      <c r="C555" s="90"/>
      <c r="D555" s="91"/>
      <c r="E555" s="90"/>
      <c r="F555" s="90"/>
      <c r="G555" s="90"/>
      <c r="H555" s="90"/>
      <c r="I555" s="90"/>
      <c r="J555" s="78"/>
    </row>
    <row r="556" spans="1:10" x14ac:dyDescent="0.15">
      <c r="A556" s="89"/>
      <c r="B556" s="90"/>
      <c r="C556" s="90"/>
      <c r="D556" s="91"/>
      <c r="E556" s="90"/>
      <c r="F556" s="90"/>
      <c r="G556" s="90"/>
      <c r="H556" s="90"/>
      <c r="I556" s="90"/>
      <c r="J556" s="78"/>
    </row>
    <row r="557" spans="1:10" x14ac:dyDescent="0.15">
      <c r="A557" s="89"/>
      <c r="B557" s="90"/>
      <c r="C557" s="90"/>
      <c r="D557" s="91"/>
      <c r="E557" s="90"/>
      <c r="F557" s="90"/>
      <c r="G557" s="90"/>
      <c r="H557" s="90"/>
      <c r="I557" s="90"/>
      <c r="J557" s="78"/>
    </row>
    <row r="558" spans="1:10" x14ac:dyDescent="0.15">
      <c r="A558" s="89"/>
      <c r="B558" s="90"/>
      <c r="C558" s="90"/>
      <c r="D558" s="91"/>
      <c r="E558" s="90"/>
      <c r="F558" s="90"/>
      <c r="G558" s="90"/>
      <c r="H558" s="90"/>
      <c r="I558" s="90"/>
      <c r="J558" s="78"/>
    </row>
    <row r="559" spans="1:10" x14ac:dyDescent="0.15">
      <c r="A559" s="89"/>
      <c r="B559" s="90"/>
      <c r="C559" s="90"/>
      <c r="D559" s="91"/>
      <c r="E559" s="90"/>
      <c r="F559" s="90"/>
      <c r="G559" s="90"/>
      <c r="H559" s="90"/>
      <c r="I559" s="90"/>
      <c r="J559" s="78"/>
    </row>
    <row r="560" spans="1:10" x14ac:dyDescent="0.15">
      <c r="A560" s="89"/>
      <c r="B560" s="90"/>
      <c r="C560" s="90"/>
      <c r="D560" s="91"/>
      <c r="E560" s="90"/>
      <c r="F560" s="90"/>
      <c r="G560" s="90"/>
      <c r="H560" s="90"/>
      <c r="I560" s="90"/>
      <c r="J560" s="78"/>
    </row>
    <row r="561" spans="1:10" x14ac:dyDescent="0.15">
      <c r="A561" s="89"/>
      <c r="B561" s="90"/>
      <c r="C561" s="90"/>
      <c r="D561" s="91"/>
      <c r="E561" s="90"/>
      <c r="F561" s="90"/>
      <c r="G561" s="90"/>
      <c r="H561" s="90"/>
      <c r="I561" s="90"/>
      <c r="J561" s="78"/>
    </row>
    <row r="562" spans="1:10" x14ac:dyDescent="0.15">
      <c r="A562" s="89"/>
      <c r="B562" s="90"/>
      <c r="C562" s="90"/>
      <c r="D562" s="91"/>
      <c r="E562" s="90"/>
      <c r="F562" s="90"/>
      <c r="G562" s="90"/>
      <c r="H562" s="90"/>
      <c r="I562" s="90"/>
      <c r="J562" s="78"/>
    </row>
    <row r="563" spans="1:10" x14ac:dyDescent="0.15">
      <c r="A563" s="89"/>
      <c r="B563" s="90"/>
      <c r="C563" s="90"/>
      <c r="D563" s="91"/>
      <c r="E563" s="90"/>
      <c r="F563" s="90"/>
      <c r="G563" s="90"/>
      <c r="H563" s="90"/>
      <c r="I563" s="90"/>
      <c r="J563" s="78"/>
    </row>
    <row r="564" spans="1:10" x14ac:dyDescent="0.15">
      <c r="A564" s="89"/>
      <c r="B564" s="90"/>
      <c r="C564" s="90"/>
      <c r="D564" s="91"/>
      <c r="E564" s="90"/>
      <c r="F564" s="90"/>
      <c r="G564" s="90"/>
      <c r="H564" s="90"/>
      <c r="I564" s="90"/>
      <c r="J564" s="78"/>
    </row>
    <row r="565" spans="1:10" x14ac:dyDescent="0.15">
      <c r="A565" s="89"/>
      <c r="B565" s="90"/>
      <c r="C565" s="90"/>
      <c r="D565" s="91"/>
      <c r="E565" s="90"/>
      <c r="F565" s="90"/>
      <c r="G565" s="90"/>
      <c r="H565" s="90"/>
      <c r="I565" s="90"/>
      <c r="J565" s="78"/>
    </row>
    <row r="566" spans="1:10" x14ac:dyDescent="0.15">
      <c r="A566" s="89"/>
      <c r="B566" s="90"/>
      <c r="C566" s="90"/>
      <c r="D566" s="91"/>
      <c r="E566" s="90"/>
      <c r="F566" s="90"/>
      <c r="G566" s="90"/>
      <c r="H566" s="90"/>
      <c r="I566" s="90"/>
      <c r="J566" s="78"/>
    </row>
    <row r="567" spans="1:10" x14ac:dyDescent="0.15">
      <c r="A567" s="89"/>
      <c r="B567" s="90"/>
      <c r="C567" s="90"/>
      <c r="D567" s="91"/>
      <c r="E567" s="90"/>
      <c r="F567" s="90"/>
      <c r="G567" s="90"/>
      <c r="H567" s="90"/>
      <c r="I567" s="90"/>
      <c r="J567" s="78"/>
    </row>
    <row r="568" spans="1:10" x14ac:dyDescent="0.15">
      <c r="A568" s="89"/>
      <c r="B568" s="90"/>
      <c r="C568" s="90"/>
      <c r="D568" s="91"/>
      <c r="E568" s="90"/>
      <c r="F568" s="90"/>
      <c r="G568" s="90"/>
      <c r="H568" s="90"/>
      <c r="I568" s="90"/>
      <c r="J568" s="78"/>
    </row>
    <row r="569" spans="1:10" x14ac:dyDescent="0.15">
      <c r="A569" s="89"/>
      <c r="B569" s="90"/>
      <c r="C569" s="90"/>
      <c r="D569" s="91"/>
      <c r="E569" s="90"/>
      <c r="F569" s="90"/>
      <c r="G569" s="90"/>
      <c r="H569" s="90"/>
      <c r="I569" s="90"/>
      <c r="J569" s="78"/>
    </row>
    <row r="570" spans="1:10" x14ac:dyDescent="0.15">
      <c r="A570" s="89"/>
      <c r="B570" s="90"/>
      <c r="C570" s="90"/>
      <c r="D570" s="91"/>
      <c r="E570" s="90"/>
      <c r="F570" s="90"/>
      <c r="G570" s="90"/>
      <c r="H570" s="90"/>
      <c r="I570" s="90"/>
      <c r="J570" s="78"/>
    </row>
    <row r="571" spans="1:10" x14ac:dyDescent="0.15">
      <c r="A571" s="89"/>
      <c r="B571" s="90"/>
      <c r="C571" s="90"/>
      <c r="D571" s="91"/>
      <c r="E571" s="90"/>
      <c r="F571" s="90"/>
      <c r="G571" s="90"/>
      <c r="H571" s="90"/>
      <c r="I571" s="90"/>
      <c r="J571" s="78"/>
    </row>
    <row r="572" spans="1:10" x14ac:dyDescent="0.15">
      <c r="A572" s="89"/>
      <c r="B572" s="90"/>
      <c r="C572" s="90"/>
      <c r="D572" s="91"/>
      <c r="E572" s="90"/>
      <c r="F572" s="90"/>
      <c r="G572" s="90"/>
      <c r="H572" s="90"/>
      <c r="I572" s="90"/>
      <c r="J572" s="78"/>
    </row>
    <row r="573" spans="1:10" x14ac:dyDescent="0.15">
      <c r="A573" s="89"/>
      <c r="B573" s="90"/>
      <c r="C573" s="90"/>
      <c r="D573" s="91"/>
      <c r="E573" s="90"/>
      <c r="F573" s="90"/>
      <c r="G573" s="90"/>
      <c r="H573" s="90"/>
      <c r="I573" s="90"/>
      <c r="J573" s="78"/>
    </row>
    <row r="574" spans="1:10" x14ac:dyDescent="0.15">
      <c r="A574" s="89"/>
      <c r="B574" s="90"/>
      <c r="C574" s="90"/>
      <c r="D574" s="91"/>
      <c r="E574" s="90"/>
      <c r="F574" s="90"/>
      <c r="G574" s="90"/>
      <c r="H574" s="90"/>
      <c r="I574" s="90"/>
      <c r="J574" s="78"/>
    </row>
    <row r="575" spans="1:10" x14ac:dyDescent="0.15">
      <c r="A575" s="89"/>
      <c r="B575" s="90"/>
      <c r="C575" s="90"/>
      <c r="D575" s="91"/>
      <c r="E575" s="90"/>
      <c r="F575" s="90"/>
      <c r="G575" s="90"/>
      <c r="H575" s="90"/>
      <c r="I575" s="90"/>
      <c r="J575" s="78"/>
    </row>
    <row r="576" spans="1:10" x14ac:dyDescent="0.15">
      <c r="A576" s="89"/>
      <c r="B576" s="90"/>
      <c r="C576" s="90"/>
      <c r="D576" s="91"/>
      <c r="E576" s="90"/>
      <c r="F576" s="90"/>
      <c r="G576" s="90"/>
      <c r="H576" s="90"/>
      <c r="I576" s="90"/>
      <c r="J576" s="78"/>
    </row>
    <row r="577" spans="1:10" x14ac:dyDescent="0.15">
      <c r="A577" s="89"/>
      <c r="B577" s="90"/>
      <c r="C577" s="90"/>
      <c r="D577" s="91"/>
      <c r="E577" s="90"/>
      <c r="F577" s="90"/>
      <c r="G577" s="90"/>
      <c r="H577" s="90"/>
      <c r="I577" s="90"/>
      <c r="J577" s="78"/>
    </row>
    <row r="578" spans="1:10" x14ac:dyDescent="0.15">
      <c r="A578" s="89"/>
      <c r="B578" s="90"/>
      <c r="C578" s="90"/>
      <c r="D578" s="91"/>
      <c r="E578" s="90"/>
      <c r="F578" s="90"/>
      <c r="G578" s="90"/>
      <c r="H578" s="90"/>
      <c r="I578" s="90"/>
      <c r="J578" s="78"/>
    </row>
    <row r="579" spans="1:10" x14ac:dyDescent="0.15">
      <c r="A579" s="89"/>
      <c r="B579" s="90"/>
      <c r="C579" s="90"/>
      <c r="D579" s="91"/>
      <c r="E579" s="90"/>
      <c r="F579" s="90"/>
      <c r="G579" s="90"/>
      <c r="H579" s="90"/>
      <c r="I579" s="90"/>
      <c r="J579" s="78"/>
    </row>
    <row r="580" spans="1:10" x14ac:dyDescent="0.15">
      <c r="A580" s="89"/>
      <c r="B580" s="90"/>
      <c r="C580" s="90"/>
      <c r="D580" s="91"/>
      <c r="E580" s="90"/>
      <c r="F580" s="90"/>
      <c r="G580" s="90"/>
      <c r="H580" s="90"/>
      <c r="I580" s="90"/>
      <c r="J580" s="78"/>
    </row>
    <row r="581" spans="1:10" x14ac:dyDescent="0.15">
      <c r="A581" s="89"/>
      <c r="B581" s="90"/>
      <c r="C581" s="90"/>
      <c r="D581" s="91"/>
      <c r="E581" s="90"/>
      <c r="F581" s="90"/>
      <c r="G581" s="90"/>
      <c r="H581" s="90"/>
      <c r="I581" s="90"/>
      <c r="J581" s="78"/>
    </row>
    <row r="582" spans="1:10" x14ac:dyDescent="0.15">
      <c r="A582" s="89"/>
      <c r="B582" s="90"/>
      <c r="C582" s="90"/>
      <c r="D582" s="91"/>
      <c r="E582" s="90"/>
      <c r="F582" s="90"/>
      <c r="G582" s="90"/>
      <c r="H582" s="90"/>
      <c r="I582" s="90"/>
      <c r="J582" s="78"/>
    </row>
    <row r="583" spans="1:10" x14ac:dyDescent="0.15">
      <c r="A583" s="89"/>
      <c r="B583" s="90"/>
      <c r="C583" s="90"/>
      <c r="D583" s="91"/>
      <c r="E583" s="90"/>
      <c r="F583" s="90"/>
      <c r="G583" s="90"/>
      <c r="H583" s="90"/>
      <c r="I583" s="90"/>
      <c r="J583" s="78"/>
    </row>
    <row r="584" spans="1:10" x14ac:dyDescent="0.15">
      <c r="A584" s="89"/>
      <c r="B584" s="90"/>
      <c r="C584" s="90"/>
      <c r="D584" s="91"/>
      <c r="E584" s="90"/>
      <c r="F584" s="90"/>
      <c r="G584" s="90"/>
      <c r="H584" s="90"/>
      <c r="I584" s="90"/>
      <c r="J584" s="78"/>
    </row>
    <row r="585" spans="1:10" x14ac:dyDescent="0.15">
      <c r="A585" s="89"/>
      <c r="B585" s="90"/>
      <c r="C585" s="90"/>
      <c r="D585" s="91"/>
      <c r="E585" s="90"/>
      <c r="F585" s="90"/>
      <c r="G585" s="90"/>
      <c r="H585" s="90"/>
      <c r="I585" s="90"/>
      <c r="J585" s="78"/>
    </row>
    <row r="586" spans="1:10" x14ac:dyDescent="0.15">
      <c r="A586" s="89"/>
      <c r="B586" s="90"/>
      <c r="C586" s="90"/>
      <c r="D586" s="91"/>
      <c r="E586" s="90"/>
      <c r="F586" s="90"/>
      <c r="G586" s="90"/>
      <c r="H586" s="90"/>
      <c r="I586" s="90"/>
      <c r="J586" s="78"/>
    </row>
    <row r="587" spans="1:10" x14ac:dyDescent="0.15">
      <c r="A587" s="89"/>
      <c r="B587" s="90"/>
      <c r="C587" s="90"/>
      <c r="D587" s="91"/>
      <c r="E587" s="90"/>
      <c r="F587" s="90"/>
      <c r="G587" s="90"/>
      <c r="H587" s="90"/>
      <c r="I587" s="90"/>
      <c r="J587" s="78"/>
    </row>
    <row r="588" spans="1:10" x14ac:dyDescent="0.15">
      <c r="A588" s="89"/>
      <c r="B588" s="90"/>
      <c r="C588" s="90"/>
      <c r="D588" s="91"/>
      <c r="E588" s="90"/>
      <c r="F588" s="90"/>
      <c r="G588" s="90"/>
      <c r="H588" s="90"/>
      <c r="I588" s="90"/>
      <c r="J588" s="78"/>
    </row>
    <row r="589" spans="1:10" x14ac:dyDescent="0.15">
      <c r="A589" s="89"/>
      <c r="B589" s="90"/>
      <c r="C589" s="90"/>
      <c r="D589" s="91"/>
      <c r="E589" s="90"/>
      <c r="F589" s="90"/>
      <c r="G589" s="90"/>
      <c r="H589" s="90"/>
      <c r="I589" s="90"/>
      <c r="J589" s="78"/>
    </row>
    <row r="590" spans="1:10" x14ac:dyDescent="0.15">
      <c r="A590" s="89"/>
      <c r="B590" s="90"/>
      <c r="C590" s="90"/>
      <c r="D590" s="91"/>
      <c r="E590" s="90"/>
      <c r="F590" s="90"/>
      <c r="G590" s="90"/>
      <c r="H590" s="90"/>
      <c r="I590" s="90"/>
      <c r="J590" s="78"/>
    </row>
    <row r="591" spans="1:10" x14ac:dyDescent="0.15">
      <c r="A591" s="89"/>
      <c r="B591" s="90"/>
      <c r="C591" s="90"/>
      <c r="D591" s="91"/>
      <c r="E591" s="90"/>
      <c r="F591" s="90"/>
      <c r="G591" s="90"/>
      <c r="H591" s="90"/>
      <c r="I591" s="90"/>
      <c r="J591" s="78"/>
    </row>
    <row r="592" spans="1:10" x14ac:dyDescent="0.15">
      <c r="A592" s="89"/>
      <c r="B592" s="90"/>
      <c r="C592" s="90"/>
      <c r="D592" s="91"/>
      <c r="E592" s="90"/>
      <c r="F592" s="90"/>
      <c r="G592" s="90"/>
      <c r="H592" s="90"/>
      <c r="I592" s="90"/>
      <c r="J592" s="78"/>
    </row>
    <row r="593" spans="1:10" x14ac:dyDescent="0.15">
      <c r="A593" s="89"/>
      <c r="B593" s="90"/>
      <c r="C593" s="90"/>
      <c r="D593" s="91"/>
      <c r="E593" s="90"/>
      <c r="F593" s="90"/>
      <c r="G593" s="90"/>
      <c r="H593" s="90"/>
      <c r="I593" s="90"/>
      <c r="J593" s="78"/>
    </row>
    <row r="594" spans="1:10" x14ac:dyDescent="0.15">
      <c r="A594" s="89"/>
      <c r="B594" s="90"/>
      <c r="C594" s="90"/>
      <c r="D594" s="91"/>
      <c r="E594" s="90"/>
      <c r="F594" s="90"/>
      <c r="G594" s="90"/>
      <c r="H594" s="90"/>
      <c r="I594" s="90"/>
      <c r="J594" s="78"/>
    </row>
    <row r="595" spans="1:10" x14ac:dyDescent="0.15">
      <c r="A595" s="89"/>
      <c r="B595" s="90"/>
      <c r="C595" s="90"/>
      <c r="D595" s="91"/>
      <c r="E595" s="90"/>
      <c r="F595" s="90"/>
      <c r="G595" s="90"/>
      <c r="H595" s="90"/>
      <c r="I595" s="90"/>
      <c r="J595" s="78"/>
    </row>
    <row r="596" spans="1:10" x14ac:dyDescent="0.15">
      <c r="A596" s="89"/>
      <c r="B596" s="90"/>
      <c r="C596" s="90"/>
      <c r="D596" s="91"/>
      <c r="E596" s="90"/>
      <c r="F596" s="90"/>
      <c r="G596" s="90"/>
      <c r="H596" s="90"/>
      <c r="I596" s="90"/>
      <c r="J596" s="78"/>
    </row>
    <row r="597" spans="1:10" x14ac:dyDescent="0.15">
      <c r="A597" s="89"/>
      <c r="B597" s="90"/>
      <c r="C597" s="90"/>
      <c r="D597" s="91"/>
      <c r="E597" s="90"/>
      <c r="F597" s="90"/>
      <c r="G597" s="90"/>
      <c r="H597" s="90"/>
      <c r="I597" s="90"/>
      <c r="J597" s="78"/>
    </row>
    <row r="598" spans="1:10" x14ac:dyDescent="0.15">
      <c r="A598" s="89"/>
      <c r="B598" s="90"/>
      <c r="C598" s="90"/>
      <c r="D598" s="91"/>
      <c r="E598" s="90"/>
      <c r="F598" s="90"/>
      <c r="G598" s="90"/>
      <c r="H598" s="90"/>
      <c r="I598" s="90"/>
      <c r="J598" s="78"/>
    </row>
    <row r="599" spans="1:10" x14ac:dyDescent="0.15">
      <c r="A599" s="89"/>
      <c r="B599" s="90"/>
      <c r="C599" s="90"/>
      <c r="D599" s="91"/>
      <c r="E599" s="90"/>
      <c r="F599" s="90"/>
      <c r="G599" s="90"/>
      <c r="H599" s="90"/>
      <c r="I599" s="90"/>
      <c r="J599" s="78"/>
    </row>
    <row r="600" spans="1:10" x14ac:dyDescent="0.15">
      <c r="A600" s="89"/>
      <c r="B600" s="90"/>
      <c r="C600" s="90"/>
      <c r="D600" s="91"/>
      <c r="E600" s="90"/>
      <c r="F600" s="90"/>
      <c r="G600" s="90"/>
      <c r="H600" s="90"/>
      <c r="I600" s="90"/>
      <c r="J600" s="78"/>
    </row>
    <row r="601" spans="1:10" x14ac:dyDescent="0.15">
      <c r="A601" s="89"/>
      <c r="B601" s="90"/>
      <c r="C601" s="90"/>
      <c r="D601" s="91"/>
      <c r="E601" s="90"/>
      <c r="F601" s="90"/>
      <c r="G601" s="90"/>
      <c r="H601" s="90"/>
      <c r="I601" s="90"/>
      <c r="J601" s="78"/>
    </row>
    <row r="602" spans="1:10" x14ac:dyDescent="0.15">
      <c r="A602" s="89"/>
      <c r="B602" s="90"/>
      <c r="C602" s="90"/>
      <c r="D602" s="91"/>
      <c r="E602" s="90"/>
      <c r="F602" s="90"/>
      <c r="G602" s="90"/>
      <c r="H602" s="90"/>
      <c r="I602" s="90"/>
      <c r="J602" s="78"/>
    </row>
    <row r="603" spans="1:10" x14ac:dyDescent="0.15">
      <c r="A603" s="89"/>
      <c r="B603" s="90"/>
      <c r="C603" s="90"/>
      <c r="D603" s="91"/>
      <c r="E603" s="90"/>
      <c r="F603" s="90"/>
      <c r="G603" s="90"/>
      <c r="H603" s="90"/>
      <c r="I603" s="90"/>
      <c r="J603" s="78"/>
    </row>
    <row r="604" spans="1:10" x14ac:dyDescent="0.15">
      <c r="A604" s="89"/>
      <c r="B604" s="90"/>
      <c r="C604" s="90"/>
      <c r="D604" s="91"/>
      <c r="E604" s="90"/>
      <c r="F604" s="90"/>
      <c r="G604" s="90"/>
      <c r="H604" s="90"/>
      <c r="I604" s="90"/>
      <c r="J604" s="78"/>
    </row>
    <row r="605" spans="1:10" x14ac:dyDescent="0.15">
      <c r="A605" s="89"/>
      <c r="B605" s="90"/>
      <c r="C605" s="90"/>
      <c r="D605" s="91"/>
      <c r="E605" s="90"/>
      <c r="F605" s="90"/>
      <c r="G605" s="90"/>
      <c r="H605" s="90"/>
      <c r="I605" s="90"/>
      <c r="J605" s="78"/>
    </row>
    <row r="606" spans="1:10" x14ac:dyDescent="0.15">
      <c r="A606" s="89"/>
      <c r="B606" s="90"/>
      <c r="C606" s="90"/>
      <c r="D606" s="91"/>
      <c r="E606" s="90"/>
      <c r="F606" s="90"/>
      <c r="G606" s="90"/>
      <c r="H606" s="90"/>
      <c r="I606" s="90"/>
      <c r="J606" s="78"/>
    </row>
    <row r="607" spans="1:10" x14ac:dyDescent="0.15">
      <c r="A607" s="89"/>
      <c r="B607" s="90"/>
      <c r="C607" s="90"/>
      <c r="D607" s="91"/>
      <c r="E607" s="90"/>
      <c r="F607" s="90"/>
      <c r="G607" s="90"/>
      <c r="H607" s="90"/>
      <c r="I607" s="90"/>
      <c r="J607" s="78"/>
    </row>
    <row r="608" spans="1:10" x14ac:dyDescent="0.15">
      <c r="A608" s="89"/>
      <c r="B608" s="90"/>
      <c r="C608" s="90"/>
      <c r="D608" s="91"/>
      <c r="E608" s="90"/>
      <c r="F608" s="90"/>
      <c r="G608" s="90"/>
      <c r="H608" s="90"/>
      <c r="I608" s="90"/>
      <c r="J608" s="78"/>
    </row>
    <row r="609" spans="1:10" x14ac:dyDescent="0.15">
      <c r="A609" s="89"/>
      <c r="B609" s="90"/>
      <c r="C609" s="90"/>
      <c r="D609" s="91"/>
      <c r="E609" s="90"/>
      <c r="F609" s="90"/>
      <c r="G609" s="90"/>
      <c r="H609" s="90"/>
      <c r="I609" s="90"/>
      <c r="J609" s="78"/>
    </row>
    <row r="610" spans="1:10" x14ac:dyDescent="0.15">
      <c r="A610" s="89"/>
      <c r="B610" s="90"/>
      <c r="C610" s="90"/>
      <c r="D610" s="91"/>
      <c r="E610" s="90"/>
      <c r="F610" s="90"/>
      <c r="G610" s="90"/>
      <c r="H610" s="90"/>
      <c r="I610" s="90"/>
      <c r="J610" s="78"/>
    </row>
    <row r="611" spans="1:10" x14ac:dyDescent="0.15">
      <c r="A611" s="89"/>
      <c r="B611" s="90"/>
      <c r="C611" s="90"/>
      <c r="D611" s="91"/>
      <c r="E611" s="90"/>
      <c r="F611" s="90"/>
      <c r="G611" s="90"/>
      <c r="H611" s="90"/>
      <c r="I611" s="90"/>
      <c r="J611" s="78"/>
    </row>
    <row r="612" spans="1:10" x14ac:dyDescent="0.15">
      <c r="A612" s="89"/>
      <c r="B612" s="90"/>
      <c r="C612" s="90"/>
      <c r="D612" s="91"/>
      <c r="E612" s="90"/>
      <c r="F612" s="90"/>
      <c r="G612" s="90"/>
      <c r="H612" s="90"/>
      <c r="I612" s="90"/>
      <c r="J612" s="78"/>
    </row>
    <row r="613" spans="1:10" x14ac:dyDescent="0.15">
      <c r="A613" s="89"/>
      <c r="B613" s="90"/>
      <c r="C613" s="90"/>
      <c r="D613" s="91"/>
      <c r="E613" s="90"/>
      <c r="F613" s="90"/>
      <c r="G613" s="90"/>
      <c r="H613" s="90"/>
      <c r="I613" s="90"/>
      <c r="J613" s="78"/>
    </row>
    <row r="614" spans="1:10" x14ac:dyDescent="0.15">
      <c r="A614" s="89"/>
      <c r="B614" s="90"/>
      <c r="C614" s="90"/>
      <c r="D614" s="91"/>
      <c r="E614" s="90"/>
      <c r="F614" s="90"/>
      <c r="G614" s="90"/>
      <c r="H614" s="90"/>
      <c r="I614" s="90"/>
      <c r="J614" s="78"/>
    </row>
    <row r="615" spans="1:10" x14ac:dyDescent="0.15">
      <c r="A615" s="89"/>
      <c r="B615" s="90"/>
      <c r="C615" s="90"/>
      <c r="D615" s="91"/>
      <c r="E615" s="90"/>
      <c r="F615" s="90"/>
      <c r="G615" s="90"/>
      <c r="H615" s="90"/>
      <c r="I615" s="90"/>
      <c r="J615" s="78"/>
    </row>
    <row r="616" spans="1:10" x14ac:dyDescent="0.15">
      <c r="A616" s="89"/>
      <c r="B616" s="90"/>
      <c r="C616" s="90"/>
      <c r="D616" s="91"/>
      <c r="E616" s="90"/>
      <c r="F616" s="90"/>
      <c r="G616" s="90"/>
      <c r="H616" s="90"/>
      <c r="I616" s="90"/>
      <c r="J616" s="78"/>
    </row>
    <row r="617" spans="1:10" x14ac:dyDescent="0.15">
      <c r="A617" s="89"/>
      <c r="B617" s="90"/>
      <c r="C617" s="90"/>
      <c r="D617" s="91"/>
      <c r="E617" s="90"/>
      <c r="F617" s="90"/>
      <c r="G617" s="90"/>
      <c r="H617" s="90"/>
      <c r="I617" s="90"/>
      <c r="J617" s="78"/>
    </row>
    <row r="618" spans="1:10" x14ac:dyDescent="0.15">
      <c r="A618" s="89"/>
      <c r="B618" s="90"/>
      <c r="C618" s="90"/>
      <c r="D618" s="91"/>
      <c r="E618" s="90"/>
      <c r="F618" s="90"/>
      <c r="G618" s="90"/>
      <c r="H618" s="90"/>
      <c r="I618" s="90"/>
      <c r="J618" s="78"/>
    </row>
    <row r="619" spans="1:10" x14ac:dyDescent="0.15">
      <c r="A619" s="89"/>
      <c r="B619" s="90"/>
      <c r="C619" s="90"/>
      <c r="D619" s="91"/>
      <c r="E619" s="90"/>
      <c r="F619" s="90"/>
      <c r="G619" s="90"/>
      <c r="H619" s="90"/>
      <c r="I619" s="90"/>
      <c r="J619" s="78"/>
    </row>
    <row r="620" spans="1:10" x14ac:dyDescent="0.15">
      <c r="A620" s="89"/>
      <c r="B620" s="90"/>
      <c r="C620" s="90"/>
      <c r="D620" s="91"/>
      <c r="E620" s="90"/>
      <c r="F620" s="90"/>
      <c r="G620" s="90"/>
      <c r="H620" s="90"/>
      <c r="I620" s="90"/>
      <c r="J620" s="78"/>
    </row>
    <row r="621" spans="1:10" x14ac:dyDescent="0.15">
      <c r="A621" s="89"/>
      <c r="B621" s="90"/>
      <c r="C621" s="90"/>
      <c r="D621" s="91"/>
      <c r="E621" s="90"/>
      <c r="F621" s="90"/>
      <c r="G621" s="90"/>
      <c r="H621" s="90"/>
      <c r="I621" s="90"/>
      <c r="J621" s="78"/>
    </row>
    <row r="622" spans="1:10" x14ac:dyDescent="0.15">
      <c r="A622" s="89"/>
      <c r="B622" s="90"/>
      <c r="C622" s="90"/>
      <c r="D622" s="91"/>
      <c r="E622" s="90"/>
      <c r="F622" s="90"/>
      <c r="G622" s="90"/>
      <c r="H622" s="90"/>
      <c r="I622" s="90"/>
      <c r="J622" s="78"/>
    </row>
    <row r="623" spans="1:10" x14ac:dyDescent="0.15">
      <c r="A623" s="89"/>
      <c r="B623" s="90"/>
      <c r="C623" s="90"/>
      <c r="D623" s="91"/>
      <c r="E623" s="90"/>
      <c r="F623" s="90"/>
      <c r="G623" s="90"/>
      <c r="H623" s="90"/>
      <c r="I623" s="90"/>
      <c r="J623" s="78"/>
    </row>
    <row r="624" spans="1:10" x14ac:dyDescent="0.15">
      <c r="A624" s="89"/>
      <c r="B624" s="90"/>
      <c r="C624" s="90"/>
      <c r="D624" s="91"/>
      <c r="E624" s="90"/>
      <c r="F624" s="90"/>
      <c r="G624" s="90"/>
      <c r="H624" s="90"/>
      <c r="I624" s="90"/>
      <c r="J624" s="78"/>
    </row>
    <row r="625" spans="1:10" x14ac:dyDescent="0.15">
      <c r="A625" s="89"/>
      <c r="B625" s="90"/>
      <c r="C625" s="90"/>
      <c r="D625" s="91"/>
      <c r="E625" s="90"/>
      <c r="F625" s="90"/>
      <c r="G625" s="90"/>
      <c r="H625" s="90"/>
      <c r="I625" s="90"/>
      <c r="J625" s="78"/>
    </row>
    <row r="626" spans="1:10" x14ac:dyDescent="0.15">
      <c r="A626" s="89"/>
      <c r="B626" s="90"/>
      <c r="C626" s="90"/>
      <c r="D626" s="91"/>
      <c r="E626" s="90"/>
      <c r="F626" s="90"/>
      <c r="G626" s="90"/>
      <c r="H626" s="90"/>
      <c r="I626" s="90"/>
      <c r="J626" s="78"/>
    </row>
    <row r="627" spans="1:10" x14ac:dyDescent="0.15">
      <c r="A627" s="89"/>
      <c r="B627" s="90"/>
      <c r="C627" s="90"/>
      <c r="D627" s="91"/>
      <c r="E627" s="90"/>
      <c r="F627" s="90"/>
      <c r="G627" s="90"/>
      <c r="H627" s="90"/>
      <c r="I627" s="90"/>
      <c r="J627" s="78"/>
    </row>
    <row r="628" spans="1:10" x14ac:dyDescent="0.15">
      <c r="A628" s="89"/>
      <c r="B628" s="90"/>
      <c r="C628" s="90"/>
      <c r="D628" s="91"/>
      <c r="E628" s="90"/>
      <c r="F628" s="90"/>
      <c r="G628" s="90"/>
      <c r="H628" s="90"/>
      <c r="I628" s="90"/>
      <c r="J628" s="78"/>
    </row>
    <row r="629" spans="1:10" x14ac:dyDescent="0.15">
      <c r="A629" s="89"/>
      <c r="B629" s="90"/>
      <c r="C629" s="90"/>
      <c r="D629" s="91"/>
      <c r="E629" s="90"/>
      <c r="F629" s="90"/>
      <c r="G629" s="90"/>
      <c r="H629" s="90"/>
      <c r="I629" s="90"/>
      <c r="J629" s="78"/>
    </row>
    <row r="630" spans="1:10" x14ac:dyDescent="0.15">
      <c r="A630" s="89"/>
      <c r="B630" s="90"/>
      <c r="C630" s="90"/>
      <c r="D630" s="91"/>
      <c r="E630" s="90"/>
      <c r="F630" s="90"/>
      <c r="G630" s="90"/>
      <c r="H630" s="90"/>
      <c r="I630" s="90"/>
      <c r="J630" s="78"/>
    </row>
    <row r="631" spans="1:10" x14ac:dyDescent="0.15">
      <c r="A631" s="89"/>
      <c r="B631" s="90"/>
      <c r="C631" s="90"/>
      <c r="D631" s="91"/>
      <c r="E631" s="90"/>
      <c r="F631" s="90"/>
      <c r="G631" s="90"/>
      <c r="H631" s="90"/>
      <c r="I631" s="90"/>
      <c r="J631" s="78"/>
    </row>
    <row r="632" spans="1:10" x14ac:dyDescent="0.15">
      <c r="A632" s="89"/>
      <c r="B632" s="90"/>
      <c r="C632" s="90"/>
      <c r="D632" s="91"/>
      <c r="E632" s="90"/>
      <c r="F632" s="90"/>
      <c r="G632" s="90"/>
      <c r="H632" s="90"/>
      <c r="I632" s="90"/>
      <c r="J632" s="78"/>
    </row>
    <row r="633" spans="1:10" x14ac:dyDescent="0.15">
      <c r="A633" s="89"/>
      <c r="B633" s="90"/>
      <c r="C633" s="90"/>
      <c r="D633" s="91"/>
      <c r="E633" s="90"/>
      <c r="F633" s="90"/>
      <c r="G633" s="90"/>
      <c r="H633" s="90"/>
      <c r="I633" s="90"/>
      <c r="J633" s="78"/>
    </row>
    <row r="634" spans="1:10" x14ac:dyDescent="0.15">
      <c r="A634" s="89"/>
      <c r="B634" s="90"/>
      <c r="C634" s="90"/>
      <c r="D634" s="91"/>
      <c r="E634" s="90"/>
      <c r="F634" s="90"/>
      <c r="G634" s="90"/>
      <c r="H634" s="90"/>
      <c r="I634" s="90"/>
      <c r="J634" s="78"/>
    </row>
    <row r="635" spans="1:10" x14ac:dyDescent="0.15">
      <c r="A635" s="89"/>
      <c r="B635" s="90"/>
      <c r="C635" s="90"/>
      <c r="D635" s="91"/>
      <c r="E635" s="90"/>
      <c r="F635" s="90"/>
      <c r="G635" s="90"/>
      <c r="H635" s="90"/>
      <c r="I635" s="90"/>
      <c r="J635" s="78"/>
    </row>
    <row r="636" spans="1:10" x14ac:dyDescent="0.15">
      <c r="A636" s="89"/>
      <c r="B636" s="90"/>
      <c r="C636" s="90"/>
      <c r="D636" s="91"/>
      <c r="E636" s="90"/>
      <c r="F636" s="90"/>
      <c r="G636" s="90"/>
      <c r="H636" s="90"/>
      <c r="I636" s="90"/>
      <c r="J636" s="78"/>
    </row>
    <row r="637" spans="1:10" x14ac:dyDescent="0.15">
      <c r="A637" s="89"/>
      <c r="B637" s="90"/>
      <c r="C637" s="90"/>
      <c r="D637" s="91"/>
      <c r="E637" s="90"/>
      <c r="F637" s="90"/>
      <c r="G637" s="90"/>
      <c r="H637" s="90"/>
      <c r="I637" s="90"/>
      <c r="J637" s="78"/>
    </row>
    <row r="638" spans="1:10" x14ac:dyDescent="0.15">
      <c r="A638" s="89"/>
      <c r="B638" s="90"/>
      <c r="C638" s="90"/>
      <c r="D638" s="91"/>
      <c r="E638" s="90"/>
      <c r="F638" s="90"/>
      <c r="G638" s="90"/>
      <c r="H638" s="90"/>
      <c r="I638" s="90"/>
      <c r="J638" s="78"/>
    </row>
    <row r="639" spans="1:10" x14ac:dyDescent="0.15">
      <c r="A639" s="89"/>
      <c r="B639" s="90"/>
      <c r="C639" s="90"/>
      <c r="D639" s="91"/>
      <c r="E639" s="90"/>
      <c r="F639" s="90"/>
      <c r="G639" s="90"/>
      <c r="H639" s="90"/>
      <c r="I639" s="90"/>
      <c r="J639" s="78"/>
    </row>
    <row r="640" spans="1:10" x14ac:dyDescent="0.15">
      <c r="A640" s="89"/>
      <c r="B640" s="90"/>
      <c r="C640" s="90"/>
      <c r="D640" s="91"/>
      <c r="E640" s="90"/>
      <c r="F640" s="90"/>
      <c r="G640" s="90"/>
      <c r="H640" s="90"/>
      <c r="I640" s="90"/>
      <c r="J640" s="78"/>
    </row>
    <row r="641" spans="1:10" x14ac:dyDescent="0.15">
      <c r="A641" s="89"/>
      <c r="B641" s="90"/>
      <c r="C641" s="90"/>
      <c r="D641" s="91"/>
      <c r="E641" s="90"/>
      <c r="F641" s="90"/>
      <c r="G641" s="90"/>
      <c r="H641" s="90"/>
      <c r="I641" s="90"/>
      <c r="J641" s="78"/>
    </row>
    <row r="642" spans="1:10" x14ac:dyDescent="0.15">
      <c r="A642" s="89"/>
      <c r="B642" s="90"/>
      <c r="C642" s="90"/>
      <c r="D642" s="91"/>
      <c r="E642" s="90"/>
      <c r="F642" s="90"/>
      <c r="G642" s="90"/>
      <c r="H642" s="90"/>
      <c r="I642" s="90"/>
      <c r="J642" s="78"/>
    </row>
    <row r="643" spans="1:10" x14ac:dyDescent="0.15">
      <c r="A643" s="89"/>
      <c r="B643" s="90"/>
      <c r="C643" s="90"/>
      <c r="D643" s="91"/>
      <c r="E643" s="90"/>
      <c r="F643" s="90"/>
      <c r="G643" s="90"/>
      <c r="H643" s="90"/>
      <c r="I643" s="90"/>
      <c r="J643" s="78"/>
    </row>
    <row r="644" spans="1:10" x14ac:dyDescent="0.15">
      <c r="A644" s="89"/>
      <c r="B644" s="90"/>
      <c r="C644" s="90"/>
      <c r="D644" s="91"/>
      <c r="E644" s="90"/>
      <c r="F644" s="90"/>
      <c r="G644" s="90"/>
      <c r="H644" s="90"/>
      <c r="I644" s="90"/>
      <c r="J644" s="78"/>
    </row>
    <row r="645" spans="1:10" x14ac:dyDescent="0.15">
      <c r="A645" s="89"/>
      <c r="B645" s="90"/>
      <c r="C645" s="90"/>
      <c r="D645" s="91"/>
      <c r="E645" s="90"/>
      <c r="F645" s="90"/>
      <c r="G645" s="90"/>
      <c r="H645" s="90"/>
      <c r="I645" s="90"/>
      <c r="J645" s="78"/>
    </row>
    <row r="646" spans="1:10" x14ac:dyDescent="0.15">
      <c r="A646" s="89"/>
      <c r="B646" s="90"/>
      <c r="C646" s="90"/>
      <c r="D646" s="91"/>
      <c r="E646" s="90"/>
      <c r="F646" s="90"/>
      <c r="G646" s="90"/>
      <c r="H646" s="90"/>
      <c r="I646" s="90"/>
      <c r="J646" s="78"/>
    </row>
    <row r="647" spans="1:10" x14ac:dyDescent="0.15">
      <c r="A647" s="89"/>
      <c r="B647" s="90"/>
      <c r="C647" s="90"/>
      <c r="D647" s="91"/>
      <c r="E647" s="90"/>
      <c r="F647" s="90"/>
      <c r="G647" s="90"/>
      <c r="H647" s="90"/>
      <c r="I647" s="90"/>
      <c r="J647" s="78"/>
    </row>
    <row r="648" spans="1:10" x14ac:dyDescent="0.15">
      <c r="A648" s="89"/>
      <c r="B648" s="90"/>
      <c r="C648" s="90"/>
      <c r="D648" s="91"/>
      <c r="E648" s="90"/>
      <c r="F648" s="90"/>
      <c r="G648" s="90"/>
      <c r="H648" s="90"/>
      <c r="I648" s="90"/>
      <c r="J648" s="78"/>
    </row>
    <row r="649" spans="1:10" x14ac:dyDescent="0.15">
      <c r="A649" s="89"/>
      <c r="B649" s="90"/>
      <c r="C649" s="90"/>
      <c r="D649" s="91"/>
      <c r="E649" s="90"/>
      <c r="F649" s="90"/>
      <c r="G649" s="90"/>
      <c r="H649" s="90"/>
      <c r="I649" s="90"/>
      <c r="J649" s="78"/>
    </row>
    <row r="650" spans="1:10" x14ac:dyDescent="0.15">
      <c r="A650" s="89"/>
      <c r="B650" s="90"/>
      <c r="C650" s="90"/>
      <c r="D650" s="91"/>
      <c r="E650" s="90"/>
      <c r="F650" s="90"/>
      <c r="G650" s="90"/>
      <c r="H650" s="90"/>
      <c r="I650" s="90"/>
      <c r="J650" s="78"/>
    </row>
    <row r="651" spans="1:10" x14ac:dyDescent="0.15">
      <c r="A651" s="89"/>
      <c r="B651" s="90"/>
      <c r="C651" s="90"/>
      <c r="D651" s="91"/>
      <c r="E651" s="90"/>
      <c r="F651" s="90"/>
      <c r="G651" s="90"/>
      <c r="H651" s="90"/>
      <c r="I651" s="90"/>
      <c r="J651" s="78"/>
    </row>
    <row r="652" spans="1:10" x14ac:dyDescent="0.15">
      <c r="A652" s="89"/>
      <c r="B652" s="90"/>
      <c r="C652" s="90"/>
      <c r="D652" s="91"/>
      <c r="E652" s="90"/>
      <c r="F652" s="90"/>
      <c r="G652" s="90"/>
      <c r="H652" s="90"/>
      <c r="I652" s="90"/>
      <c r="J652" s="78"/>
    </row>
    <row r="653" spans="1:10" x14ac:dyDescent="0.15">
      <c r="A653" s="89"/>
      <c r="B653" s="90"/>
      <c r="C653" s="90"/>
      <c r="D653" s="91"/>
      <c r="E653" s="90"/>
      <c r="F653" s="90"/>
      <c r="G653" s="90"/>
      <c r="H653" s="90"/>
      <c r="I653" s="90"/>
      <c r="J653" s="78"/>
    </row>
    <row r="654" spans="1:10" x14ac:dyDescent="0.15">
      <c r="A654" s="89"/>
      <c r="B654" s="90"/>
      <c r="C654" s="90"/>
      <c r="D654" s="91"/>
      <c r="E654" s="90"/>
      <c r="F654" s="90"/>
      <c r="G654" s="90"/>
      <c r="H654" s="90"/>
      <c r="I654" s="90"/>
      <c r="J654" s="78"/>
    </row>
    <row r="655" spans="1:10" x14ac:dyDescent="0.15">
      <c r="A655" s="89"/>
      <c r="B655" s="90"/>
      <c r="C655" s="90"/>
      <c r="D655" s="91"/>
      <c r="E655" s="90"/>
      <c r="F655" s="90"/>
      <c r="G655" s="90"/>
      <c r="H655" s="90"/>
      <c r="I655" s="90"/>
      <c r="J655" s="78"/>
    </row>
    <row r="656" spans="1:10" x14ac:dyDescent="0.15">
      <c r="A656" s="89"/>
      <c r="B656" s="90"/>
      <c r="C656" s="90"/>
      <c r="D656" s="91"/>
      <c r="E656" s="90"/>
      <c r="F656" s="90"/>
      <c r="G656" s="90"/>
      <c r="H656" s="90"/>
      <c r="I656" s="90"/>
      <c r="J656" s="78"/>
    </row>
    <row r="657" spans="1:10" x14ac:dyDescent="0.15">
      <c r="A657" s="89"/>
      <c r="B657" s="90"/>
      <c r="C657" s="90"/>
      <c r="D657" s="91"/>
      <c r="E657" s="90"/>
      <c r="F657" s="90"/>
      <c r="G657" s="90"/>
      <c r="H657" s="90"/>
      <c r="I657" s="90"/>
      <c r="J657" s="78"/>
    </row>
    <row r="658" spans="1:10" x14ac:dyDescent="0.15">
      <c r="A658" s="89"/>
      <c r="B658" s="90"/>
      <c r="C658" s="90"/>
      <c r="D658" s="91"/>
      <c r="E658" s="90"/>
      <c r="F658" s="90"/>
      <c r="G658" s="90"/>
      <c r="H658" s="90"/>
      <c r="I658" s="90"/>
      <c r="J658" s="78"/>
    </row>
    <row r="659" spans="1:10" x14ac:dyDescent="0.15">
      <c r="A659" s="89"/>
      <c r="B659" s="90"/>
      <c r="C659" s="90"/>
      <c r="D659" s="91"/>
      <c r="E659" s="90"/>
      <c r="F659" s="90"/>
      <c r="G659" s="90"/>
      <c r="H659" s="90"/>
      <c r="I659" s="90"/>
      <c r="J659" s="78"/>
    </row>
    <row r="660" spans="1:10" x14ac:dyDescent="0.15">
      <c r="A660" s="89"/>
      <c r="B660" s="90"/>
      <c r="C660" s="90"/>
      <c r="D660" s="91"/>
      <c r="E660" s="90"/>
      <c r="F660" s="90"/>
      <c r="G660" s="90"/>
      <c r="H660" s="90"/>
      <c r="I660" s="90"/>
      <c r="J660" s="78"/>
    </row>
    <row r="661" spans="1:10" x14ac:dyDescent="0.15">
      <c r="A661" s="89"/>
      <c r="B661" s="90"/>
      <c r="C661" s="90"/>
      <c r="D661" s="91"/>
      <c r="E661" s="90"/>
      <c r="F661" s="90"/>
      <c r="G661" s="90"/>
      <c r="H661" s="90"/>
      <c r="I661" s="90"/>
      <c r="J661" s="78"/>
    </row>
    <row r="662" spans="1:10" x14ac:dyDescent="0.15">
      <c r="A662" s="89"/>
      <c r="B662" s="90"/>
      <c r="C662" s="90"/>
      <c r="D662" s="91"/>
      <c r="E662" s="90"/>
      <c r="F662" s="90"/>
      <c r="G662" s="90"/>
      <c r="H662" s="90"/>
      <c r="I662" s="90"/>
      <c r="J662" s="78"/>
    </row>
    <row r="663" spans="1:10" x14ac:dyDescent="0.15">
      <c r="A663" s="89"/>
      <c r="B663" s="90"/>
      <c r="C663" s="90"/>
      <c r="D663" s="91"/>
      <c r="E663" s="90"/>
      <c r="F663" s="90"/>
      <c r="G663" s="90"/>
      <c r="H663" s="90"/>
      <c r="I663" s="90"/>
      <c r="J663" s="78"/>
    </row>
    <row r="664" spans="1:10" x14ac:dyDescent="0.15">
      <c r="A664" s="89"/>
      <c r="B664" s="90"/>
      <c r="C664" s="90"/>
      <c r="D664" s="91"/>
      <c r="E664" s="90"/>
      <c r="F664" s="90"/>
      <c r="G664" s="90"/>
      <c r="H664" s="90"/>
      <c r="I664" s="90"/>
      <c r="J664" s="78"/>
    </row>
    <row r="665" spans="1:10" x14ac:dyDescent="0.15">
      <c r="A665" s="89"/>
      <c r="B665" s="90"/>
      <c r="C665" s="90"/>
      <c r="D665" s="91"/>
      <c r="E665" s="90"/>
      <c r="F665" s="90"/>
      <c r="G665" s="90"/>
      <c r="H665" s="90"/>
      <c r="I665" s="90"/>
      <c r="J665" s="78"/>
    </row>
    <row r="666" spans="1:10" x14ac:dyDescent="0.15">
      <c r="A666" s="89"/>
      <c r="B666" s="90"/>
      <c r="C666" s="90"/>
      <c r="D666" s="91"/>
      <c r="E666" s="90"/>
      <c r="F666" s="90"/>
      <c r="G666" s="90"/>
      <c r="H666" s="90"/>
      <c r="I666" s="90"/>
      <c r="J666" s="78"/>
    </row>
    <row r="667" spans="1:10" x14ac:dyDescent="0.15">
      <c r="A667" s="89"/>
      <c r="B667" s="90"/>
      <c r="C667" s="90"/>
      <c r="D667" s="91"/>
      <c r="E667" s="90"/>
      <c r="F667" s="90"/>
      <c r="G667" s="90"/>
      <c r="H667" s="90"/>
      <c r="I667" s="90"/>
      <c r="J667" s="78"/>
    </row>
    <row r="668" spans="1:10" x14ac:dyDescent="0.15">
      <c r="A668" s="89"/>
      <c r="B668" s="90"/>
      <c r="C668" s="90"/>
      <c r="D668" s="91"/>
      <c r="E668" s="90"/>
      <c r="F668" s="90"/>
      <c r="G668" s="90"/>
      <c r="H668" s="90"/>
      <c r="I668" s="90"/>
      <c r="J668" s="78"/>
    </row>
    <row r="669" spans="1:10" x14ac:dyDescent="0.15">
      <c r="A669" s="89"/>
      <c r="B669" s="90"/>
      <c r="C669" s="90"/>
      <c r="D669" s="91"/>
      <c r="E669" s="90"/>
      <c r="F669" s="90"/>
      <c r="G669" s="90"/>
      <c r="H669" s="90"/>
      <c r="I669" s="90"/>
      <c r="J669" s="78"/>
    </row>
    <row r="670" spans="1:10" x14ac:dyDescent="0.15">
      <c r="A670" s="89"/>
      <c r="B670" s="90"/>
      <c r="C670" s="90"/>
      <c r="D670" s="91"/>
      <c r="E670" s="90"/>
      <c r="F670" s="90"/>
      <c r="G670" s="90"/>
      <c r="H670" s="90"/>
      <c r="I670" s="90"/>
      <c r="J670" s="78"/>
    </row>
    <row r="671" spans="1:10" x14ac:dyDescent="0.15">
      <c r="A671" s="89"/>
      <c r="B671" s="90"/>
      <c r="C671" s="90"/>
      <c r="D671" s="91"/>
      <c r="E671" s="90"/>
      <c r="F671" s="90"/>
      <c r="G671" s="90"/>
      <c r="H671" s="90"/>
      <c r="I671" s="90"/>
      <c r="J671" s="78"/>
    </row>
    <row r="672" spans="1:10" x14ac:dyDescent="0.15">
      <c r="A672" s="89"/>
      <c r="B672" s="90"/>
      <c r="C672" s="90"/>
      <c r="D672" s="91"/>
      <c r="E672" s="90"/>
      <c r="F672" s="90"/>
      <c r="G672" s="90"/>
      <c r="H672" s="90"/>
      <c r="I672" s="90"/>
      <c r="J672" s="78"/>
    </row>
    <row r="673" spans="1:10" x14ac:dyDescent="0.15">
      <c r="A673" s="89"/>
      <c r="B673" s="90"/>
      <c r="C673" s="90"/>
      <c r="D673" s="91"/>
      <c r="E673" s="90"/>
      <c r="F673" s="90"/>
      <c r="G673" s="90"/>
      <c r="H673" s="90"/>
      <c r="I673" s="90"/>
      <c r="J673" s="78"/>
    </row>
    <row r="674" spans="1:10" x14ac:dyDescent="0.15">
      <c r="A674" s="89"/>
      <c r="B674" s="90"/>
      <c r="C674" s="90"/>
      <c r="D674" s="91"/>
      <c r="E674" s="90"/>
      <c r="F674" s="90"/>
      <c r="G674" s="90"/>
      <c r="H674" s="90"/>
      <c r="I674" s="90"/>
      <c r="J674" s="78"/>
    </row>
    <row r="675" spans="1:10" x14ac:dyDescent="0.15">
      <c r="A675" s="89"/>
      <c r="B675" s="90"/>
      <c r="C675" s="90"/>
      <c r="D675" s="91"/>
      <c r="E675" s="90"/>
      <c r="F675" s="90"/>
      <c r="G675" s="90"/>
      <c r="H675" s="90"/>
      <c r="I675" s="90"/>
      <c r="J675" s="78"/>
    </row>
    <row r="676" spans="1:10" x14ac:dyDescent="0.15">
      <c r="A676" s="89"/>
      <c r="B676" s="90"/>
      <c r="C676" s="90"/>
      <c r="D676" s="91"/>
      <c r="E676" s="90"/>
      <c r="F676" s="90"/>
      <c r="G676" s="90"/>
      <c r="H676" s="90"/>
      <c r="I676" s="90"/>
      <c r="J676" s="78"/>
    </row>
    <row r="677" spans="1:10" x14ac:dyDescent="0.15">
      <c r="A677" s="89"/>
      <c r="B677" s="90"/>
      <c r="C677" s="90"/>
      <c r="D677" s="91"/>
      <c r="E677" s="90"/>
      <c r="F677" s="90"/>
      <c r="G677" s="90"/>
      <c r="H677" s="90"/>
      <c r="I677" s="90"/>
      <c r="J677" s="78"/>
    </row>
    <row r="678" spans="1:10" x14ac:dyDescent="0.15">
      <c r="A678" s="89"/>
      <c r="B678" s="90"/>
      <c r="C678" s="90"/>
      <c r="D678" s="91"/>
      <c r="E678" s="90"/>
      <c r="F678" s="90"/>
      <c r="G678" s="90"/>
      <c r="H678" s="90"/>
      <c r="I678" s="90"/>
      <c r="J678" s="78"/>
    </row>
    <row r="679" spans="1:10" x14ac:dyDescent="0.15">
      <c r="A679" s="89"/>
      <c r="B679" s="90"/>
      <c r="C679" s="90"/>
      <c r="D679" s="91"/>
      <c r="E679" s="90"/>
      <c r="F679" s="90"/>
      <c r="G679" s="90"/>
      <c r="H679" s="90"/>
      <c r="I679" s="90"/>
      <c r="J679" s="78"/>
    </row>
    <row r="680" spans="1:10" x14ac:dyDescent="0.15">
      <c r="A680" s="89"/>
      <c r="B680" s="90"/>
      <c r="C680" s="90"/>
      <c r="D680" s="91"/>
      <c r="E680" s="90"/>
      <c r="F680" s="90"/>
      <c r="G680" s="90"/>
      <c r="H680" s="90"/>
      <c r="I680" s="90"/>
      <c r="J680" s="78"/>
    </row>
    <row r="681" spans="1:10" x14ac:dyDescent="0.15">
      <c r="A681" s="89"/>
      <c r="B681" s="90"/>
      <c r="C681" s="90"/>
      <c r="D681" s="91"/>
      <c r="E681" s="90"/>
      <c r="F681" s="90"/>
      <c r="G681" s="90"/>
      <c r="H681" s="90"/>
      <c r="I681" s="90"/>
      <c r="J681" s="78"/>
    </row>
    <row r="682" spans="1:10" x14ac:dyDescent="0.15">
      <c r="A682" s="89"/>
      <c r="B682" s="90"/>
      <c r="C682" s="90"/>
      <c r="D682" s="91"/>
      <c r="E682" s="90"/>
      <c r="F682" s="90"/>
      <c r="G682" s="90"/>
      <c r="H682" s="90"/>
      <c r="I682" s="90"/>
      <c r="J682" s="78"/>
    </row>
    <row r="683" spans="1:10" x14ac:dyDescent="0.15">
      <c r="A683" s="89"/>
      <c r="B683" s="90"/>
      <c r="C683" s="90"/>
      <c r="D683" s="91"/>
      <c r="E683" s="90"/>
      <c r="F683" s="90"/>
      <c r="G683" s="90"/>
      <c r="H683" s="90"/>
      <c r="I683" s="90"/>
      <c r="J683" s="78"/>
    </row>
    <row r="684" spans="1:10" x14ac:dyDescent="0.15">
      <c r="A684" s="89"/>
      <c r="B684" s="90"/>
      <c r="C684" s="90"/>
      <c r="D684" s="91"/>
      <c r="E684" s="90"/>
      <c r="F684" s="90"/>
      <c r="G684" s="90"/>
      <c r="H684" s="90"/>
      <c r="I684" s="90"/>
      <c r="J684" s="78"/>
    </row>
    <row r="685" spans="1:10" x14ac:dyDescent="0.15">
      <c r="A685" s="89"/>
      <c r="B685" s="90"/>
      <c r="C685" s="90"/>
      <c r="D685" s="91"/>
      <c r="E685" s="90"/>
      <c r="F685" s="90"/>
      <c r="G685" s="90"/>
      <c r="H685" s="90"/>
      <c r="I685" s="90"/>
      <c r="J685" s="78"/>
    </row>
    <row r="686" spans="1:10" x14ac:dyDescent="0.15">
      <c r="A686" s="89"/>
      <c r="B686" s="90"/>
      <c r="C686" s="90"/>
      <c r="D686" s="91"/>
      <c r="E686" s="90"/>
      <c r="F686" s="90"/>
      <c r="G686" s="90"/>
      <c r="H686" s="90"/>
      <c r="I686" s="90"/>
      <c r="J686" s="78"/>
    </row>
    <row r="687" spans="1:10" x14ac:dyDescent="0.15">
      <c r="A687" s="89"/>
      <c r="B687" s="90"/>
      <c r="C687" s="90"/>
      <c r="D687" s="91"/>
      <c r="E687" s="90"/>
      <c r="F687" s="90"/>
      <c r="G687" s="90"/>
      <c r="H687" s="90"/>
      <c r="I687" s="90"/>
      <c r="J687" s="78"/>
    </row>
    <row r="688" spans="1:10" x14ac:dyDescent="0.15">
      <c r="A688" s="89"/>
      <c r="B688" s="90"/>
      <c r="C688" s="90"/>
      <c r="D688" s="91"/>
      <c r="E688" s="90"/>
      <c r="F688" s="90"/>
      <c r="G688" s="90"/>
      <c r="H688" s="90"/>
      <c r="I688" s="90"/>
      <c r="J688" s="78"/>
    </row>
    <row r="689" spans="1:10" x14ac:dyDescent="0.15">
      <c r="A689" s="89"/>
      <c r="B689" s="90"/>
      <c r="C689" s="90"/>
      <c r="D689" s="91"/>
      <c r="E689" s="90"/>
      <c r="F689" s="90"/>
      <c r="G689" s="90"/>
      <c r="H689" s="90"/>
      <c r="I689" s="90"/>
      <c r="J689" s="78"/>
    </row>
    <row r="690" spans="1:10" x14ac:dyDescent="0.15">
      <c r="A690" s="89"/>
      <c r="B690" s="90"/>
      <c r="C690" s="90"/>
      <c r="D690" s="91"/>
      <c r="E690" s="90"/>
      <c r="F690" s="90"/>
      <c r="G690" s="90"/>
      <c r="H690" s="90"/>
      <c r="I690" s="90"/>
      <c r="J690" s="78"/>
    </row>
    <row r="691" spans="1:10" x14ac:dyDescent="0.15">
      <c r="A691" s="89"/>
      <c r="B691" s="90"/>
      <c r="C691" s="90"/>
      <c r="D691" s="91"/>
      <c r="E691" s="90"/>
      <c r="F691" s="90"/>
      <c r="G691" s="90"/>
      <c r="H691" s="90"/>
      <c r="I691" s="90"/>
      <c r="J691" s="78"/>
    </row>
    <row r="692" spans="1:10" x14ac:dyDescent="0.15">
      <c r="A692" s="89"/>
      <c r="B692" s="90"/>
      <c r="C692" s="90"/>
      <c r="D692" s="91"/>
      <c r="E692" s="90"/>
      <c r="F692" s="90"/>
      <c r="G692" s="90"/>
      <c r="H692" s="90"/>
      <c r="I692" s="90"/>
      <c r="J692" s="78"/>
    </row>
    <row r="693" spans="1:10" x14ac:dyDescent="0.15">
      <c r="A693" s="89"/>
      <c r="B693" s="90"/>
      <c r="C693" s="90"/>
      <c r="D693" s="91"/>
      <c r="E693" s="90"/>
      <c r="F693" s="90"/>
      <c r="G693" s="90"/>
      <c r="H693" s="90"/>
      <c r="I693" s="90"/>
      <c r="J693" s="78"/>
    </row>
    <row r="694" spans="1:10" x14ac:dyDescent="0.15">
      <c r="A694" s="89"/>
      <c r="B694" s="90"/>
      <c r="C694" s="90"/>
      <c r="D694" s="91"/>
      <c r="E694" s="90"/>
      <c r="F694" s="90"/>
      <c r="G694" s="90"/>
      <c r="H694" s="90"/>
      <c r="I694" s="90"/>
      <c r="J694" s="78"/>
    </row>
    <row r="695" spans="1:10" x14ac:dyDescent="0.15">
      <c r="A695" s="89"/>
      <c r="B695" s="90"/>
      <c r="C695" s="90"/>
      <c r="D695" s="91"/>
      <c r="E695" s="90"/>
      <c r="F695" s="90"/>
      <c r="G695" s="90"/>
      <c r="H695" s="90"/>
      <c r="I695" s="90"/>
      <c r="J695" s="78"/>
    </row>
    <row r="696" spans="1:10" x14ac:dyDescent="0.15">
      <c r="A696" s="89"/>
      <c r="B696" s="90"/>
      <c r="C696" s="90"/>
      <c r="D696" s="91"/>
      <c r="E696" s="90"/>
      <c r="F696" s="90"/>
      <c r="G696" s="90"/>
      <c r="H696" s="90"/>
      <c r="I696" s="90"/>
      <c r="J696" s="78"/>
    </row>
    <row r="697" spans="1:10" x14ac:dyDescent="0.15">
      <c r="A697" s="89"/>
      <c r="B697" s="90"/>
      <c r="C697" s="90"/>
      <c r="D697" s="91"/>
      <c r="E697" s="90"/>
      <c r="F697" s="90"/>
      <c r="G697" s="90"/>
      <c r="H697" s="90"/>
      <c r="I697" s="90"/>
      <c r="J697" s="78"/>
    </row>
    <row r="698" spans="1:10" x14ac:dyDescent="0.15">
      <c r="A698" s="89"/>
      <c r="B698" s="90"/>
      <c r="C698" s="90"/>
      <c r="D698" s="91"/>
      <c r="E698" s="90"/>
      <c r="F698" s="90"/>
      <c r="G698" s="90"/>
      <c r="H698" s="90"/>
      <c r="I698" s="90"/>
      <c r="J698" s="78"/>
    </row>
    <row r="699" spans="1:10" x14ac:dyDescent="0.15">
      <c r="A699" s="89"/>
      <c r="B699" s="90"/>
      <c r="C699" s="90"/>
      <c r="D699" s="91"/>
      <c r="E699" s="90"/>
      <c r="F699" s="90"/>
      <c r="G699" s="90"/>
      <c r="H699" s="90"/>
      <c r="I699" s="90"/>
      <c r="J699" s="78"/>
    </row>
    <row r="700" spans="1:10" x14ac:dyDescent="0.15">
      <c r="A700" s="89"/>
      <c r="B700" s="90"/>
      <c r="C700" s="90"/>
      <c r="D700" s="91"/>
      <c r="E700" s="90"/>
      <c r="F700" s="90"/>
      <c r="G700" s="90"/>
      <c r="H700" s="90"/>
      <c r="I700" s="90"/>
      <c r="J700" s="78"/>
    </row>
    <row r="701" spans="1:10" x14ac:dyDescent="0.15">
      <c r="A701" s="89"/>
      <c r="B701" s="90"/>
      <c r="C701" s="90"/>
      <c r="D701" s="91"/>
      <c r="E701" s="90"/>
      <c r="F701" s="90"/>
      <c r="G701" s="90"/>
      <c r="H701" s="90"/>
      <c r="I701" s="90"/>
      <c r="J701" s="78"/>
    </row>
    <row r="702" spans="1:10" x14ac:dyDescent="0.15">
      <c r="A702" s="89"/>
      <c r="B702" s="90"/>
      <c r="C702" s="90"/>
      <c r="D702" s="91"/>
      <c r="E702" s="90"/>
      <c r="F702" s="90"/>
      <c r="G702" s="90"/>
      <c r="H702" s="90"/>
      <c r="I702" s="90"/>
      <c r="J702" s="78"/>
    </row>
    <row r="703" spans="1:10" x14ac:dyDescent="0.15">
      <c r="A703" s="89"/>
      <c r="B703" s="90"/>
      <c r="C703" s="90"/>
      <c r="D703" s="91"/>
      <c r="E703" s="90"/>
      <c r="F703" s="90"/>
      <c r="G703" s="90"/>
      <c r="H703" s="90"/>
      <c r="I703" s="90"/>
      <c r="J703" s="78"/>
    </row>
    <row r="704" spans="1:10" x14ac:dyDescent="0.15">
      <c r="A704" s="89"/>
      <c r="B704" s="90"/>
      <c r="C704" s="90"/>
      <c r="D704" s="91"/>
      <c r="E704" s="90"/>
      <c r="F704" s="90"/>
      <c r="G704" s="90"/>
      <c r="H704" s="90"/>
      <c r="I704" s="90"/>
      <c r="J704" s="78"/>
    </row>
    <row r="705" spans="1:10" x14ac:dyDescent="0.15">
      <c r="A705" s="89"/>
      <c r="B705" s="90"/>
      <c r="C705" s="90"/>
      <c r="D705" s="91"/>
      <c r="E705" s="90"/>
      <c r="F705" s="90"/>
      <c r="G705" s="90"/>
      <c r="H705" s="90"/>
      <c r="I705" s="90"/>
      <c r="J705" s="78"/>
    </row>
    <row r="706" spans="1:10" x14ac:dyDescent="0.15">
      <c r="A706" s="89"/>
      <c r="B706" s="90"/>
      <c r="C706" s="90"/>
      <c r="D706" s="91"/>
      <c r="E706" s="90"/>
      <c r="F706" s="90"/>
      <c r="G706" s="90"/>
      <c r="H706" s="90"/>
      <c r="I706" s="90"/>
      <c r="J706" s="78"/>
    </row>
    <row r="707" spans="1:10" x14ac:dyDescent="0.15">
      <c r="A707" s="89"/>
      <c r="B707" s="90"/>
      <c r="C707" s="90"/>
      <c r="D707" s="91"/>
      <c r="E707" s="90"/>
      <c r="F707" s="90"/>
      <c r="G707" s="90"/>
      <c r="H707" s="90"/>
      <c r="I707" s="90"/>
      <c r="J707" s="78"/>
    </row>
    <row r="708" spans="1:10" x14ac:dyDescent="0.15">
      <c r="A708" s="89"/>
      <c r="B708" s="90"/>
      <c r="C708" s="90"/>
      <c r="D708" s="91"/>
      <c r="E708" s="90"/>
      <c r="F708" s="90"/>
      <c r="G708" s="90"/>
      <c r="H708" s="90"/>
      <c r="I708" s="90"/>
      <c r="J708" s="78"/>
    </row>
    <row r="709" spans="1:10" x14ac:dyDescent="0.15">
      <c r="A709" s="89"/>
      <c r="B709" s="90"/>
      <c r="C709" s="90"/>
      <c r="D709" s="91"/>
      <c r="E709" s="90"/>
      <c r="F709" s="90"/>
      <c r="G709" s="90"/>
      <c r="H709" s="90"/>
      <c r="I709" s="90"/>
      <c r="J709" s="78"/>
    </row>
    <row r="710" spans="1:10" x14ac:dyDescent="0.15">
      <c r="A710" s="89"/>
      <c r="B710" s="90"/>
      <c r="C710" s="90"/>
      <c r="D710" s="91"/>
      <c r="E710" s="90"/>
      <c r="F710" s="90"/>
      <c r="G710" s="90"/>
      <c r="H710" s="90"/>
      <c r="I710" s="90"/>
      <c r="J710" s="78"/>
    </row>
    <row r="711" spans="1:10" x14ac:dyDescent="0.15">
      <c r="A711" s="89"/>
      <c r="B711" s="90"/>
      <c r="C711" s="90"/>
      <c r="D711" s="91"/>
      <c r="E711" s="90"/>
      <c r="F711" s="90"/>
      <c r="G711" s="90"/>
      <c r="H711" s="90"/>
      <c r="I711" s="90"/>
      <c r="J711" s="78"/>
    </row>
    <row r="712" spans="1:10" x14ac:dyDescent="0.15">
      <c r="A712" s="89"/>
      <c r="B712" s="90"/>
      <c r="C712" s="90"/>
      <c r="D712" s="91"/>
      <c r="E712" s="90"/>
      <c r="F712" s="90"/>
      <c r="G712" s="90"/>
      <c r="H712" s="90"/>
      <c r="I712" s="90"/>
      <c r="J712" s="78"/>
    </row>
    <row r="713" spans="1:10" x14ac:dyDescent="0.15">
      <c r="A713" s="89"/>
      <c r="B713" s="90"/>
      <c r="C713" s="90"/>
      <c r="D713" s="91"/>
      <c r="E713" s="90"/>
      <c r="F713" s="90"/>
      <c r="G713" s="90"/>
      <c r="H713" s="90"/>
      <c r="I713" s="90"/>
      <c r="J713" s="78"/>
    </row>
    <row r="714" spans="1:10" x14ac:dyDescent="0.15">
      <c r="A714" s="89"/>
      <c r="B714" s="90"/>
      <c r="C714" s="90"/>
      <c r="D714" s="91"/>
      <c r="E714" s="90"/>
      <c r="F714" s="90"/>
      <c r="G714" s="90"/>
      <c r="H714" s="90"/>
      <c r="I714" s="90"/>
      <c r="J714" s="78"/>
    </row>
    <row r="715" spans="1:10" x14ac:dyDescent="0.15">
      <c r="A715" s="89"/>
      <c r="B715" s="90"/>
      <c r="C715" s="90"/>
      <c r="D715" s="91"/>
      <c r="E715" s="90"/>
      <c r="F715" s="90"/>
      <c r="G715" s="90"/>
      <c r="H715" s="90"/>
      <c r="I715" s="90"/>
      <c r="J715" s="78"/>
    </row>
    <row r="716" spans="1:10" x14ac:dyDescent="0.15">
      <c r="A716" s="89"/>
      <c r="B716" s="90"/>
      <c r="C716" s="90"/>
      <c r="D716" s="91"/>
      <c r="E716" s="90"/>
      <c r="F716" s="90"/>
      <c r="G716" s="90"/>
      <c r="H716" s="90"/>
      <c r="I716" s="90"/>
      <c r="J716" s="78"/>
    </row>
    <row r="717" spans="1:10" x14ac:dyDescent="0.15">
      <c r="A717" s="89"/>
      <c r="B717" s="90"/>
      <c r="C717" s="90"/>
      <c r="D717" s="91"/>
      <c r="E717" s="90"/>
      <c r="F717" s="90"/>
      <c r="G717" s="90"/>
      <c r="H717" s="90"/>
      <c r="I717" s="90"/>
      <c r="J717" s="78"/>
    </row>
    <row r="718" spans="1:10" x14ac:dyDescent="0.15">
      <c r="A718" s="89"/>
      <c r="B718" s="90"/>
      <c r="C718" s="90"/>
      <c r="D718" s="91"/>
      <c r="E718" s="90"/>
      <c r="F718" s="90"/>
      <c r="G718" s="90"/>
      <c r="H718" s="90"/>
      <c r="I718" s="90"/>
      <c r="J718" s="78"/>
    </row>
    <row r="719" spans="1:10" x14ac:dyDescent="0.15">
      <c r="A719" s="89"/>
      <c r="B719" s="90"/>
      <c r="C719" s="90"/>
      <c r="D719" s="91"/>
      <c r="E719" s="90"/>
      <c r="F719" s="90"/>
      <c r="G719" s="90"/>
      <c r="H719" s="90"/>
      <c r="I719" s="90"/>
      <c r="J719" s="78"/>
    </row>
    <row r="720" spans="1:10" x14ac:dyDescent="0.15">
      <c r="A720" s="89"/>
      <c r="B720" s="90"/>
      <c r="C720" s="90"/>
      <c r="D720" s="91"/>
      <c r="E720" s="90"/>
      <c r="F720" s="90"/>
      <c r="G720" s="90"/>
      <c r="H720" s="90"/>
      <c r="I720" s="90"/>
      <c r="J720" s="78"/>
    </row>
    <row r="721" spans="1:10" x14ac:dyDescent="0.15">
      <c r="A721" s="89"/>
      <c r="B721" s="90"/>
      <c r="C721" s="90"/>
      <c r="D721" s="91"/>
      <c r="E721" s="90"/>
      <c r="F721" s="90"/>
      <c r="G721" s="90"/>
      <c r="H721" s="90"/>
      <c r="I721" s="90"/>
      <c r="J721" s="78"/>
    </row>
    <row r="722" spans="1:10" x14ac:dyDescent="0.15">
      <c r="A722" s="89"/>
      <c r="B722" s="90"/>
      <c r="C722" s="90"/>
      <c r="D722" s="91"/>
      <c r="E722" s="90"/>
      <c r="F722" s="90"/>
      <c r="G722" s="90"/>
      <c r="H722" s="90"/>
      <c r="I722" s="90"/>
      <c r="J722" s="78"/>
    </row>
    <row r="723" spans="1:10" x14ac:dyDescent="0.15">
      <c r="A723" s="89"/>
      <c r="B723" s="90"/>
      <c r="C723" s="90"/>
      <c r="D723" s="91"/>
      <c r="E723" s="90"/>
      <c r="F723" s="90"/>
      <c r="G723" s="90"/>
      <c r="H723" s="90"/>
      <c r="I723" s="90"/>
      <c r="J723" s="78"/>
    </row>
    <row r="724" spans="1:10" x14ac:dyDescent="0.15">
      <c r="A724" s="89"/>
      <c r="B724" s="90"/>
      <c r="C724" s="90"/>
      <c r="D724" s="91"/>
      <c r="E724" s="90"/>
      <c r="F724" s="90"/>
      <c r="G724" s="90"/>
      <c r="H724" s="90"/>
      <c r="I724" s="90"/>
      <c r="J724" s="78"/>
    </row>
    <row r="725" spans="1:10" x14ac:dyDescent="0.15">
      <c r="A725" s="89"/>
      <c r="B725" s="90"/>
      <c r="C725" s="90"/>
      <c r="D725" s="91"/>
      <c r="E725" s="90"/>
      <c r="F725" s="90"/>
      <c r="G725" s="90"/>
      <c r="H725" s="90"/>
      <c r="I725" s="90"/>
      <c r="J725" s="78"/>
    </row>
    <row r="726" spans="1:10" x14ac:dyDescent="0.15">
      <c r="A726" s="89"/>
      <c r="B726" s="90"/>
      <c r="C726" s="90"/>
      <c r="D726" s="91"/>
      <c r="E726" s="90"/>
      <c r="F726" s="90"/>
      <c r="G726" s="90"/>
      <c r="H726" s="90"/>
      <c r="I726" s="90"/>
      <c r="J726" s="78"/>
    </row>
    <row r="727" spans="1:10" x14ac:dyDescent="0.15">
      <c r="A727" s="89"/>
      <c r="B727" s="90"/>
      <c r="C727" s="90"/>
      <c r="D727" s="91"/>
      <c r="E727" s="90"/>
      <c r="F727" s="90"/>
      <c r="G727" s="90"/>
      <c r="H727" s="90"/>
      <c r="I727" s="90"/>
      <c r="J727" s="78"/>
    </row>
    <row r="728" spans="1:10" x14ac:dyDescent="0.15">
      <c r="A728" s="89"/>
      <c r="B728" s="90"/>
      <c r="C728" s="90"/>
      <c r="D728" s="91"/>
      <c r="E728" s="90"/>
      <c r="F728" s="90"/>
      <c r="G728" s="90"/>
      <c r="H728" s="90"/>
      <c r="I728" s="90"/>
      <c r="J728" s="78"/>
    </row>
    <row r="729" spans="1:10" x14ac:dyDescent="0.15">
      <c r="A729" s="89"/>
      <c r="B729" s="90"/>
      <c r="C729" s="90"/>
      <c r="D729" s="91"/>
      <c r="E729" s="90"/>
      <c r="F729" s="90"/>
      <c r="G729" s="90"/>
      <c r="H729" s="90"/>
      <c r="I729" s="90"/>
      <c r="J729" s="78"/>
    </row>
    <row r="730" spans="1:10" x14ac:dyDescent="0.15">
      <c r="A730" s="89"/>
      <c r="B730" s="90"/>
      <c r="C730" s="90"/>
      <c r="D730" s="91"/>
      <c r="E730" s="90"/>
      <c r="F730" s="90"/>
      <c r="G730" s="90"/>
      <c r="H730" s="90"/>
      <c r="I730" s="90"/>
      <c r="J730" s="78"/>
    </row>
    <row r="731" spans="1:10" x14ac:dyDescent="0.15">
      <c r="A731" s="89"/>
      <c r="B731" s="90"/>
      <c r="C731" s="90"/>
      <c r="D731" s="91"/>
      <c r="E731" s="90"/>
      <c r="F731" s="90"/>
      <c r="G731" s="90"/>
      <c r="H731" s="90"/>
      <c r="I731" s="90"/>
      <c r="J731" s="78"/>
    </row>
    <row r="732" spans="1:10" x14ac:dyDescent="0.15">
      <c r="A732" s="89"/>
      <c r="B732" s="90"/>
      <c r="C732" s="90"/>
      <c r="D732" s="91"/>
      <c r="E732" s="90"/>
      <c r="F732" s="90"/>
      <c r="G732" s="90"/>
      <c r="H732" s="90"/>
      <c r="I732" s="90"/>
      <c r="J732" s="78"/>
    </row>
    <row r="733" spans="1:10" x14ac:dyDescent="0.15">
      <c r="A733" s="89"/>
      <c r="B733" s="90"/>
      <c r="C733" s="90"/>
      <c r="D733" s="91"/>
      <c r="E733" s="90"/>
      <c r="F733" s="90"/>
      <c r="G733" s="90"/>
      <c r="H733" s="90"/>
      <c r="I733" s="90"/>
      <c r="J733" s="78"/>
    </row>
    <row r="734" spans="1:10" x14ac:dyDescent="0.15">
      <c r="A734" s="89"/>
      <c r="B734" s="90"/>
      <c r="C734" s="90"/>
      <c r="D734" s="91"/>
      <c r="E734" s="90"/>
      <c r="F734" s="90"/>
      <c r="G734" s="90"/>
      <c r="H734" s="90"/>
      <c r="I734" s="90"/>
      <c r="J734" s="78"/>
    </row>
    <row r="735" spans="1:10" x14ac:dyDescent="0.15">
      <c r="A735" s="89"/>
      <c r="B735" s="90"/>
      <c r="C735" s="90"/>
      <c r="D735" s="91"/>
      <c r="E735" s="90"/>
      <c r="F735" s="90"/>
      <c r="G735" s="90"/>
      <c r="H735" s="90"/>
      <c r="I735" s="90"/>
      <c r="J735" s="78"/>
    </row>
    <row r="736" spans="1:10" x14ac:dyDescent="0.15">
      <c r="A736" s="89"/>
      <c r="B736" s="90"/>
      <c r="C736" s="90"/>
      <c r="D736" s="91"/>
      <c r="E736" s="90"/>
      <c r="F736" s="90"/>
      <c r="G736" s="90"/>
      <c r="H736" s="90"/>
      <c r="I736" s="90"/>
      <c r="J736" s="78"/>
    </row>
    <row r="737" spans="1:10" x14ac:dyDescent="0.15">
      <c r="A737" s="89"/>
      <c r="B737" s="90"/>
      <c r="C737" s="90"/>
      <c r="D737" s="91"/>
      <c r="E737" s="90"/>
      <c r="F737" s="90"/>
      <c r="G737" s="90"/>
      <c r="H737" s="90"/>
      <c r="I737" s="90"/>
      <c r="J737" s="78"/>
    </row>
    <row r="738" spans="1:10" x14ac:dyDescent="0.15">
      <c r="A738" s="89"/>
      <c r="B738" s="90"/>
      <c r="C738" s="90"/>
      <c r="D738" s="91"/>
      <c r="E738" s="90"/>
      <c r="F738" s="90"/>
      <c r="G738" s="90"/>
      <c r="H738" s="90"/>
      <c r="I738" s="90"/>
      <c r="J738" s="78"/>
    </row>
    <row r="739" spans="1:10" x14ac:dyDescent="0.15">
      <c r="A739" s="89"/>
      <c r="B739" s="90"/>
      <c r="C739" s="90"/>
      <c r="D739" s="91"/>
      <c r="E739" s="90"/>
      <c r="F739" s="90"/>
      <c r="G739" s="90"/>
      <c r="H739" s="90"/>
      <c r="I739" s="90"/>
      <c r="J739" s="78"/>
    </row>
    <row r="740" spans="1:10" x14ac:dyDescent="0.15">
      <c r="A740" s="89"/>
      <c r="B740" s="90"/>
      <c r="C740" s="90"/>
      <c r="D740" s="91"/>
      <c r="E740" s="90"/>
      <c r="F740" s="90"/>
      <c r="G740" s="90"/>
      <c r="H740" s="90"/>
      <c r="I740" s="90"/>
      <c r="J740" s="78"/>
    </row>
    <row r="741" spans="1:10" x14ac:dyDescent="0.15">
      <c r="A741" s="89"/>
      <c r="B741" s="90"/>
      <c r="C741" s="90"/>
      <c r="D741" s="91"/>
      <c r="E741" s="90"/>
      <c r="F741" s="90"/>
      <c r="G741" s="90"/>
      <c r="H741" s="90"/>
      <c r="I741" s="90"/>
      <c r="J741" s="78"/>
    </row>
    <row r="742" spans="1:10" x14ac:dyDescent="0.15">
      <c r="A742" s="89"/>
      <c r="B742" s="90"/>
      <c r="C742" s="90"/>
      <c r="D742" s="91"/>
      <c r="E742" s="90"/>
      <c r="F742" s="90"/>
      <c r="G742" s="90"/>
      <c r="H742" s="90"/>
      <c r="I742" s="90"/>
      <c r="J742" s="78"/>
    </row>
    <row r="743" spans="1:10" x14ac:dyDescent="0.15">
      <c r="A743" s="89"/>
      <c r="B743" s="90"/>
      <c r="C743" s="90"/>
      <c r="D743" s="91"/>
      <c r="E743" s="90"/>
      <c r="F743" s="90"/>
      <c r="G743" s="90"/>
      <c r="H743" s="90"/>
      <c r="I743" s="90"/>
      <c r="J743" s="78"/>
    </row>
    <row r="744" spans="1:10" x14ac:dyDescent="0.15">
      <c r="A744" s="89"/>
      <c r="B744" s="90"/>
      <c r="C744" s="90"/>
      <c r="D744" s="91"/>
      <c r="E744" s="90"/>
      <c r="F744" s="90"/>
      <c r="G744" s="90"/>
      <c r="H744" s="90"/>
      <c r="I744" s="90"/>
      <c r="J744" s="78"/>
    </row>
    <row r="745" spans="1:10" x14ac:dyDescent="0.15">
      <c r="A745" s="89"/>
      <c r="B745" s="90"/>
      <c r="C745" s="90"/>
      <c r="D745" s="91"/>
      <c r="E745" s="90"/>
      <c r="F745" s="90"/>
      <c r="G745" s="90"/>
      <c r="H745" s="90"/>
      <c r="I745" s="90"/>
      <c r="J745" s="78"/>
    </row>
    <row r="746" spans="1:10" x14ac:dyDescent="0.15">
      <c r="A746" s="89"/>
      <c r="B746" s="90"/>
      <c r="C746" s="90"/>
      <c r="D746" s="91"/>
      <c r="E746" s="90"/>
      <c r="F746" s="90"/>
      <c r="G746" s="90"/>
      <c r="H746" s="90"/>
      <c r="I746" s="90"/>
      <c r="J746" s="78"/>
    </row>
    <row r="747" spans="1:10" x14ac:dyDescent="0.15">
      <c r="A747" s="89"/>
      <c r="B747" s="90"/>
      <c r="C747" s="90"/>
      <c r="D747" s="91"/>
      <c r="E747" s="90"/>
      <c r="F747" s="90"/>
      <c r="G747" s="90"/>
      <c r="H747" s="90"/>
      <c r="I747" s="90"/>
      <c r="J747" s="78"/>
    </row>
    <row r="748" spans="1:10" x14ac:dyDescent="0.15">
      <c r="A748" s="89"/>
      <c r="B748" s="90"/>
      <c r="C748" s="90"/>
      <c r="D748" s="91"/>
      <c r="E748" s="90"/>
      <c r="F748" s="90"/>
      <c r="G748" s="90"/>
      <c r="H748" s="90"/>
      <c r="I748" s="90"/>
      <c r="J748" s="78"/>
    </row>
    <row r="749" spans="1:10" x14ac:dyDescent="0.15">
      <c r="A749" s="89"/>
      <c r="B749" s="90"/>
      <c r="C749" s="90"/>
      <c r="D749" s="91"/>
      <c r="E749" s="90"/>
      <c r="F749" s="90"/>
      <c r="G749" s="90"/>
      <c r="H749" s="90"/>
      <c r="I749" s="90"/>
      <c r="J749" s="78"/>
    </row>
    <row r="750" spans="1:10" x14ac:dyDescent="0.15">
      <c r="A750" s="89"/>
      <c r="B750" s="90"/>
      <c r="C750" s="90"/>
      <c r="D750" s="91"/>
      <c r="E750" s="90"/>
      <c r="F750" s="90"/>
      <c r="G750" s="90"/>
      <c r="H750" s="90"/>
      <c r="I750" s="90"/>
      <c r="J750" s="78"/>
    </row>
    <row r="751" spans="1:10" x14ac:dyDescent="0.15">
      <c r="A751" s="89"/>
      <c r="B751" s="90"/>
      <c r="C751" s="90"/>
      <c r="D751" s="91"/>
      <c r="E751" s="90"/>
      <c r="F751" s="90"/>
      <c r="G751" s="90"/>
      <c r="H751" s="90"/>
      <c r="I751" s="90"/>
      <c r="J751" s="78"/>
    </row>
    <row r="752" spans="1:10" x14ac:dyDescent="0.15">
      <c r="A752" s="89"/>
      <c r="B752" s="90"/>
      <c r="C752" s="90"/>
      <c r="D752" s="91"/>
      <c r="E752" s="90"/>
      <c r="F752" s="90"/>
      <c r="G752" s="90"/>
      <c r="H752" s="90"/>
      <c r="I752" s="90"/>
      <c r="J752" s="78"/>
    </row>
    <row r="753" spans="1:10" x14ac:dyDescent="0.15">
      <c r="A753" s="89"/>
      <c r="B753" s="90"/>
      <c r="C753" s="90"/>
      <c r="D753" s="91"/>
      <c r="E753" s="90"/>
      <c r="F753" s="90"/>
      <c r="G753" s="90"/>
      <c r="H753" s="90"/>
      <c r="I753" s="90"/>
      <c r="J753" s="78"/>
    </row>
    <row r="754" spans="1:10" x14ac:dyDescent="0.15">
      <c r="A754" s="89"/>
      <c r="B754" s="90"/>
      <c r="C754" s="90"/>
      <c r="D754" s="91"/>
      <c r="E754" s="90"/>
      <c r="F754" s="90"/>
      <c r="G754" s="90"/>
      <c r="H754" s="90"/>
      <c r="I754" s="90"/>
      <c r="J754" s="78"/>
    </row>
    <row r="755" spans="1:10" x14ac:dyDescent="0.15">
      <c r="A755" s="89"/>
      <c r="B755" s="90"/>
      <c r="C755" s="90"/>
      <c r="D755" s="91"/>
      <c r="E755" s="90"/>
      <c r="F755" s="90"/>
      <c r="G755" s="90"/>
      <c r="H755" s="90"/>
      <c r="I755" s="90"/>
      <c r="J755" s="78"/>
    </row>
    <row r="756" spans="1:10" x14ac:dyDescent="0.15">
      <c r="A756" s="89"/>
      <c r="B756" s="90"/>
      <c r="C756" s="90"/>
      <c r="D756" s="91"/>
      <c r="E756" s="90"/>
      <c r="F756" s="90"/>
      <c r="G756" s="90"/>
      <c r="H756" s="90"/>
      <c r="I756" s="90"/>
      <c r="J756" s="78"/>
    </row>
    <row r="757" spans="1:10" x14ac:dyDescent="0.15">
      <c r="A757" s="89"/>
      <c r="B757" s="90"/>
      <c r="C757" s="90"/>
      <c r="D757" s="91"/>
      <c r="E757" s="90"/>
      <c r="F757" s="90"/>
      <c r="G757" s="90"/>
      <c r="H757" s="90"/>
      <c r="I757" s="90"/>
      <c r="J757" s="78"/>
    </row>
    <row r="758" spans="1:10" x14ac:dyDescent="0.15">
      <c r="A758" s="89"/>
      <c r="B758" s="90"/>
      <c r="C758" s="90"/>
      <c r="D758" s="91"/>
      <c r="E758" s="90"/>
      <c r="F758" s="90"/>
      <c r="G758" s="90"/>
      <c r="H758" s="90"/>
      <c r="I758" s="90"/>
      <c r="J758" s="78"/>
    </row>
    <row r="759" spans="1:10" x14ac:dyDescent="0.15">
      <c r="A759" s="89"/>
      <c r="B759" s="90"/>
      <c r="C759" s="90"/>
      <c r="D759" s="91"/>
      <c r="E759" s="90"/>
      <c r="F759" s="90"/>
      <c r="G759" s="90"/>
      <c r="H759" s="90"/>
      <c r="I759" s="90"/>
      <c r="J759" s="78"/>
    </row>
    <row r="760" spans="1:10" x14ac:dyDescent="0.15">
      <c r="A760" s="89"/>
      <c r="B760" s="90"/>
      <c r="C760" s="90"/>
      <c r="D760" s="91"/>
      <c r="E760" s="90"/>
      <c r="F760" s="90"/>
      <c r="G760" s="90"/>
      <c r="H760" s="90"/>
      <c r="I760" s="90"/>
      <c r="J760" s="78"/>
    </row>
    <row r="761" spans="1:10" x14ac:dyDescent="0.15">
      <c r="A761" s="89"/>
      <c r="B761" s="90"/>
      <c r="C761" s="90"/>
      <c r="D761" s="91"/>
      <c r="E761" s="90"/>
      <c r="F761" s="90"/>
      <c r="G761" s="90"/>
      <c r="H761" s="90"/>
      <c r="I761" s="90"/>
      <c r="J761" s="78"/>
    </row>
    <row r="762" spans="1:10" x14ac:dyDescent="0.15">
      <c r="A762" s="89"/>
      <c r="B762" s="90"/>
      <c r="C762" s="90"/>
      <c r="D762" s="91"/>
      <c r="E762" s="90"/>
      <c r="F762" s="90"/>
      <c r="G762" s="90"/>
      <c r="H762" s="90"/>
      <c r="I762" s="90"/>
      <c r="J762" s="78"/>
    </row>
    <row r="763" spans="1:10" x14ac:dyDescent="0.15">
      <c r="A763" s="89"/>
      <c r="B763" s="90"/>
      <c r="C763" s="90"/>
      <c r="D763" s="91"/>
      <c r="E763" s="90"/>
      <c r="F763" s="90"/>
      <c r="G763" s="90"/>
      <c r="H763" s="90"/>
      <c r="I763" s="90"/>
      <c r="J763" s="78"/>
    </row>
    <row r="764" spans="1:10" x14ac:dyDescent="0.15">
      <c r="A764" s="89"/>
      <c r="B764" s="90"/>
      <c r="C764" s="90"/>
      <c r="D764" s="91"/>
      <c r="E764" s="90"/>
      <c r="F764" s="90"/>
      <c r="G764" s="90"/>
      <c r="H764" s="90"/>
      <c r="I764" s="90"/>
      <c r="J764" s="78"/>
    </row>
    <row r="765" spans="1:10" x14ac:dyDescent="0.15">
      <c r="A765" s="89"/>
      <c r="B765" s="90"/>
      <c r="C765" s="90"/>
      <c r="D765" s="91"/>
      <c r="E765" s="90"/>
      <c r="F765" s="90"/>
      <c r="G765" s="90"/>
      <c r="H765" s="90"/>
      <c r="I765" s="90"/>
      <c r="J765" s="78"/>
    </row>
    <row r="766" spans="1:10" x14ac:dyDescent="0.15">
      <c r="A766" s="89"/>
      <c r="B766" s="90"/>
      <c r="C766" s="90"/>
      <c r="D766" s="91"/>
      <c r="E766" s="90"/>
      <c r="F766" s="90"/>
      <c r="G766" s="90"/>
      <c r="H766" s="90"/>
      <c r="I766" s="90"/>
      <c r="J766" s="78"/>
    </row>
    <row r="767" spans="1:10" x14ac:dyDescent="0.15">
      <c r="A767" s="89"/>
      <c r="B767" s="90"/>
      <c r="C767" s="90"/>
      <c r="D767" s="91"/>
      <c r="E767" s="90"/>
      <c r="F767" s="90"/>
      <c r="G767" s="90"/>
      <c r="H767" s="90"/>
      <c r="I767" s="90"/>
      <c r="J767" s="78"/>
    </row>
    <row r="768" spans="1:10" x14ac:dyDescent="0.15">
      <c r="A768" s="89"/>
      <c r="B768" s="90"/>
      <c r="C768" s="90"/>
      <c r="D768" s="91"/>
      <c r="E768" s="90"/>
      <c r="F768" s="90"/>
      <c r="G768" s="90"/>
      <c r="H768" s="90"/>
      <c r="I768" s="90"/>
      <c r="J768" s="78"/>
    </row>
    <row r="769" spans="1:10" x14ac:dyDescent="0.15">
      <c r="A769" s="89"/>
      <c r="B769" s="90"/>
      <c r="C769" s="90"/>
      <c r="D769" s="91"/>
      <c r="E769" s="90"/>
      <c r="F769" s="90"/>
      <c r="G769" s="90"/>
      <c r="H769" s="90"/>
      <c r="I769" s="90"/>
      <c r="J769" s="78"/>
    </row>
    <row r="770" spans="1:10" x14ac:dyDescent="0.15">
      <c r="A770" s="89"/>
      <c r="B770" s="90"/>
      <c r="C770" s="90"/>
      <c r="D770" s="91"/>
      <c r="E770" s="90"/>
      <c r="F770" s="90"/>
      <c r="G770" s="90"/>
      <c r="H770" s="90"/>
      <c r="I770" s="90"/>
      <c r="J770" s="78"/>
    </row>
    <row r="771" spans="1:10" x14ac:dyDescent="0.15">
      <c r="A771" s="89"/>
      <c r="B771" s="90"/>
      <c r="C771" s="90"/>
      <c r="D771" s="91"/>
      <c r="E771" s="90"/>
      <c r="F771" s="90"/>
      <c r="G771" s="90"/>
      <c r="H771" s="90"/>
      <c r="I771" s="90"/>
      <c r="J771" s="78"/>
    </row>
    <row r="772" spans="1:10" x14ac:dyDescent="0.15">
      <c r="A772" s="89"/>
      <c r="B772" s="90"/>
      <c r="C772" s="90"/>
      <c r="D772" s="91"/>
      <c r="E772" s="90"/>
      <c r="F772" s="90"/>
      <c r="G772" s="90"/>
      <c r="H772" s="90"/>
      <c r="I772" s="90"/>
      <c r="J772" s="78"/>
    </row>
    <row r="773" spans="1:10" x14ac:dyDescent="0.15">
      <c r="A773" s="89"/>
      <c r="B773" s="90"/>
      <c r="C773" s="90"/>
      <c r="D773" s="91"/>
      <c r="E773" s="90"/>
      <c r="F773" s="90"/>
      <c r="G773" s="90"/>
      <c r="H773" s="90"/>
      <c r="I773" s="90"/>
      <c r="J773" s="78"/>
    </row>
    <row r="774" spans="1:10" x14ac:dyDescent="0.15">
      <c r="A774" s="89"/>
      <c r="B774" s="90"/>
      <c r="C774" s="90"/>
      <c r="D774" s="91"/>
      <c r="E774" s="90"/>
      <c r="F774" s="90"/>
      <c r="G774" s="90"/>
      <c r="H774" s="90"/>
      <c r="I774" s="90"/>
      <c r="J774" s="78"/>
    </row>
    <row r="775" spans="1:10" x14ac:dyDescent="0.15">
      <c r="A775" s="89"/>
      <c r="B775" s="90"/>
      <c r="C775" s="90"/>
      <c r="D775" s="91"/>
      <c r="E775" s="90"/>
      <c r="F775" s="90"/>
      <c r="G775" s="90"/>
      <c r="H775" s="90"/>
      <c r="I775" s="90"/>
      <c r="J775" s="78"/>
    </row>
    <row r="776" spans="1:10" x14ac:dyDescent="0.15">
      <c r="A776" s="89"/>
      <c r="B776" s="90"/>
      <c r="C776" s="90"/>
      <c r="D776" s="91"/>
      <c r="E776" s="90"/>
      <c r="F776" s="90"/>
      <c r="G776" s="90"/>
      <c r="H776" s="90"/>
      <c r="I776" s="90"/>
      <c r="J776" s="78"/>
    </row>
    <row r="777" spans="1:10" x14ac:dyDescent="0.15">
      <c r="A777" s="89"/>
      <c r="B777" s="90"/>
      <c r="C777" s="90"/>
      <c r="D777" s="91"/>
      <c r="E777" s="90"/>
      <c r="F777" s="90"/>
      <c r="G777" s="90"/>
      <c r="H777" s="90"/>
      <c r="I777" s="90"/>
      <c r="J777" s="78"/>
    </row>
    <row r="778" spans="1:10" x14ac:dyDescent="0.15">
      <c r="A778" s="89"/>
      <c r="B778" s="90"/>
      <c r="C778" s="90"/>
      <c r="D778" s="91"/>
      <c r="E778" s="90"/>
      <c r="F778" s="90"/>
      <c r="G778" s="90"/>
      <c r="H778" s="90"/>
      <c r="I778" s="90"/>
      <c r="J778" s="78"/>
    </row>
    <row r="779" spans="1:10" x14ac:dyDescent="0.15">
      <c r="A779" s="89"/>
      <c r="B779" s="90"/>
      <c r="C779" s="90"/>
      <c r="D779" s="91"/>
      <c r="E779" s="90"/>
      <c r="F779" s="90"/>
      <c r="G779" s="90"/>
      <c r="H779" s="90"/>
      <c r="I779" s="90"/>
      <c r="J779" s="78"/>
    </row>
    <row r="780" spans="1:10" x14ac:dyDescent="0.15">
      <c r="A780" s="89"/>
      <c r="B780" s="90"/>
      <c r="C780" s="90"/>
      <c r="D780" s="91"/>
      <c r="E780" s="90"/>
      <c r="F780" s="90"/>
      <c r="G780" s="90"/>
      <c r="H780" s="90"/>
      <c r="I780" s="90"/>
      <c r="J780" s="78"/>
    </row>
    <row r="781" spans="1:10" x14ac:dyDescent="0.15">
      <c r="A781" s="89"/>
      <c r="B781" s="90"/>
      <c r="C781" s="90"/>
      <c r="D781" s="91"/>
      <c r="E781" s="90"/>
      <c r="F781" s="90"/>
      <c r="G781" s="90"/>
      <c r="H781" s="90"/>
      <c r="I781" s="90"/>
      <c r="J781" s="78"/>
    </row>
    <row r="782" spans="1:10" x14ac:dyDescent="0.15">
      <c r="A782" s="89"/>
      <c r="B782" s="90"/>
      <c r="C782" s="90"/>
      <c r="D782" s="91"/>
      <c r="E782" s="90"/>
      <c r="F782" s="90"/>
      <c r="G782" s="90"/>
      <c r="H782" s="90"/>
      <c r="I782" s="90"/>
      <c r="J782" s="78"/>
    </row>
    <row r="783" spans="1:10" x14ac:dyDescent="0.15">
      <c r="A783" s="89"/>
      <c r="B783" s="90"/>
      <c r="C783" s="90"/>
      <c r="D783" s="91"/>
      <c r="E783" s="90"/>
      <c r="F783" s="90"/>
      <c r="G783" s="90"/>
      <c r="H783" s="90"/>
      <c r="I783" s="90"/>
      <c r="J783" s="78"/>
    </row>
    <row r="784" spans="1:10" x14ac:dyDescent="0.15">
      <c r="A784" s="89"/>
      <c r="B784" s="90"/>
      <c r="C784" s="90"/>
      <c r="D784" s="91"/>
      <c r="E784" s="90"/>
      <c r="F784" s="90"/>
      <c r="G784" s="90"/>
      <c r="H784" s="90"/>
      <c r="I784" s="90"/>
      <c r="J784" s="78"/>
    </row>
    <row r="785" spans="1:10" x14ac:dyDescent="0.15">
      <c r="A785" s="89"/>
      <c r="B785" s="90"/>
      <c r="C785" s="90"/>
      <c r="D785" s="91"/>
      <c r="E785" s="90"/>
      <c r="F785" s="90"/>
      <c r="G785" s="90"/>
      <c r="H785" s="90"/>
      <c r="I785" s="90"/>
      <c r="J785" s="78"/>
    </row>
    <row r="786" spans="1:10" x14ac:dyDescent="0.15">
      <c r="A786" s="89"/>
      <c r="B786" s="90"/>
      <c r="C786" s="90"/>
      <c r="D786" s="91"/>
      <c r="E786" s="90"/>
      <c r="F786" s="90"/>
      <c r="G786" s="90"/>
      <c r="H786" s="90"/>
      <c r="I786" s="90"/>
      <c r="J786" s="78"/>
    </row>
    <row r="787" spans="1:10" x14ac:dyDescent="0.15">
      <c r="A787" s="89"/>
      <c r="B787" s="90"/>
      <c r="C787" s="90"/>
      <c r="D787" s="91"/>
      <c r="E787" s="90"/>
      <c r="F787" s="90"/>
      <c r="G787" s="90"/>
      <c r="H787" s="90"/>
      <c r="I787" s="90"/>
      <c r="J787" s="78"/>
    </row>
    <row r="788" spans="1:10" x14ac:dyDescent="0.15">
      <c r="A788" s="89"/>
      <c r="B788" s="90"/>
      <c r="C788" s="90"/>
      <c r="D788" s="91"/>
      <c r="E788" s="90"/>
      <c r="F788" s="90"/>
      <c r="G788" s="90"/>
      <c r="H788" s="90"/>
      <c r="I788" s="90"/>
      <c r="J788" s="78"/>
    </row>
    <row r="789" spans="1:10" x14ac:dyDescent="0.15">
      <c r="A789" s="89"/>
      <c r="B789" s="90"/>
      <c r="C789" s="90"/>
      <c r="D789" s="91"/>
      <c r="E789" s="90"/>
      <c r="F789" s="90"/>
      <c r="G789" s="90"/>
      <c r="H789" s="90"/>
      <c r="I789" s="90"/>
      <c r="J789" s="78"/>
    </row>
    <row r="790" spans="1:10" x14ac:dyDescent="0.15">
      <c r="A790" s="89"/>
      <c r="B790" s="90"/>
      <c r="C790" s="90"/>
      <c r="D790" s="91"/>
      <c r="E790" s="90"/>
      <c r="F790" s="90"/>
      <c r="G790" s="90"/>
      <c r="H790" s="90"/>
      <c r="I790" s="90"/>
      <c r="J790" s="78"/>
    </row>
    <row r="791" spans="1:10" x14ac:dyDescent="0.15">
      <c r="A791" s="89"/>
      <c r="B791" s="90"/>
      <c r="C791" s="90"/>
      <c r="D791" s="91"/>
      <c r="E791" s="90"/>
      <c r="F791" s="90"/>
      <c r="G791" s="90"/>
      <c r="H791" s="90"/>
      <c r="I791" s="90"/>
      <c r="J791" s="78"/>
    </row>
    <row r="792" spans="1:10" x14ac:dyDescent="0.15">
      <c r="A792" s="89"/>
      <c r="B792" s="90"/>
      <c r="C792" s="90"/>
      <c r="D792" s="91"/>
      <c r="E792" s="90"/>
      <c r="F792" s="90"/>
      <c r="G792" s="90"/>
      <c r="H792" s="90"/>
      <c r="I792" s="90"/>
      <c r="J792" s="78"/>
    </row>
    <row r="793" spans="1:10" x14ac:dyDescent="0.15">
      <c r="A793" s="89"/>
      <c r="B793" s="90"/>
      <c r="C793" s="90"/>
      <c r="D793" s="91"/>
      <c r="E793" s="90"/>
      <c r="F793" s="90"/>
      <c r="G793" s="90"/>
      <c r="H793" s="90"/>
      <c r="I793" s="90"/>
      <c r="J793" s="78"/>
    </row>
    <row r="794" spans="1:10" x14ac:dyDescent="0.15">
      <c r="A794" s="89"/>
      <c r="B794" s="90"/>
      <c r="C794" s="90"/>
      <c r="D794" s="91"/>
      <c r="E794" s="90"/>
      <c r="F794" s="90"/>
      <c r="G794" s="90"/>
      <c r="H794" s="90"/>
      <c r="I794" s="90"/>
      <c r="J794" s="78"/>
    </row>
    <row r="795" spans="1:10" x14ac:dyDescent="0.15">
      <c r="A795" s="89"/>
      <c r="B795" s="90"/>
      <c r="C795" s="90"/>
      <c r="D795" s="91"/>
      <c r="E795" s="90"/>
      <c r="F795" s="90"/>
      <c r="G795" s="90"/>
      <c r="H795" s="90"/>
      <c r="I795" s="90"/>
      <c r="J795" s="78"/>
    </row>
    <row r="796" spans="1:10" x14ac:dyDescent="0.15">
      <c r="A796" s="89"/>
      <c r="B796" s="90"/>
      <c r="C796" s="90"/>
      <c r="D796" s="91"/>
      <c r="E796" s="90"/>
      <c r="F796" s="90"/>
      <c r="G796" s="90"/>
      <c r="H796" s="90"/>
      <c r="I796" s="90"/>
      <c r="J796" s="78"/>
    </row>
    <row r="797" spans="1:10" x14ac:dyDescent="0.15">
      <c r="A797" s="89"/>
      <c r="B797" s="90"/>
      <c r="C797" s="90"/>
      <c r="D797" s="91"/>
      <c r="E797" s="90"/>
      <c r="F797" s="90"/>
      <c r="G797" s="90"/>
      <c r="H797" s="90"/>
      <c r="I797" s="90"/>
      <c r="J797" s="78"/>
    </row>
    <row r="798" spans="1:10" x14ac:dyDescent="0.15">
      <c r="A798" s="89"/>
      <c r="B798" s="90"/>
      <c r="C798" s="90"/>
      <c r="D798" s="91"/>
      <c r="E798" s="90"/>
      <c r="F798" s="90"/>
      <c r="G798" s="90"/>
      <c r="H798" s="90"/>
      <c r="I798" s="90"/>
      <c r="J798" s="78"/>
    </row>
    <row r="799" spans="1:10" x14ac:dyDescent="0.15">
      <c r="A799" s="89"/>
      <c r="B799" s="90"/>
      <c r="C799" s="90"/>
      <c r="D799" s="91"/>
      <c r="E799" s="90"/>
      <c r="F799" s="90"/>
      <c r="G799" s="90"/>
      <c r="H799" s="90"/>
      <c r="I799" s="90"/>
      <c r="J799" s="78"/>
    </row>
    <row r="800" spans="1:10" x14ac:dyDescent="0.15">
      <c r="A800" s="89"/>
      <c r="B800" s="90"/>
      <c r="C800" s="90"/>
      <c r="D800" s="91"/>
      <c r="E800" s="90"/>
      <c r="F800" s="90"/>
      <c r="G800" s="90"/>
      <c r="H800" s="90"/>
      <c r="I800" s="90"/>
      <c r="J800" s="78"/>
    </row>
    <row r="801" spans="1:10" x14ac:dyDescent="0.15">
      <c r="A801" s="89"/>
      <c r="B801" s="90"/>
      <c r="C801" s="90"/>
      <c r="D801" s="91"/>
      <c r="E801" s="90"/>
      <c r="F801" s="90"/>
      <c r="G801" s="90"/>
      <c r="H801" s="90"/>
      <c r="I801" s="90"/>
      <c r="J801" s="78"/>
    </row>
    <row r="802" spans="1:10" x14ac:dyDescent="0.15">
      <c r="A802" s="89"/>
      <c r="B802" s="90"/>
      <c r="C802" s="90"/>
      <c r="D802" s="91"/>
      <c r="E802" s="90"/>
      <c r="F802" s="90"/>
      <c r="G802" s="90"/>
      <c r="H802" s="90"/>
      <c r="I802" s="90"/>
      <c r="J802" s="78"/>
    </row>
    <row r="803" spans="1:10" x14ac:dyDescent="0.15">
      <c r="A803" s="89"/>
      <c r="B803" s="90"/>
      <c r="C803" s="90"/>
      <c r="D803" s="91"/>
      <c r="E803" s="90"/>
      <c r="F803" s="90"/>
      <c r="G803" s="90"/>
      <c r="H803" s="90"/>
      <c r="I803" s="90"/>
      <c r="J803" s="78"/>
    </row>
    <row r="804" spans="1:10" x14ac:dyDescent="0.15">
      <c r="A804" s="89"/>
      <c r="B804" s="90"/>
      <c r="C804" s="90"/>
      <c r="D804" s="91"/>
      <c r="E804" s="90"/>
      <c r="F804" s="90"/>
      <c r="G804" s="90"/>
      <c r="H804" s="90"/>
      <c r="I804" s="90"/>
      <c r="J804" s="78"/>
    </row>
    <row r="805" spans="1:10" x14ac:dyDescent="0.15">
      <c r="A805" s="89"/>
      <c r="B805" s="90"/>
      <c r="C805" s="90"/>
      <c r="D805" s="91"/>
      <c r="E805" s="90"/>
      <c r="F805" s="90"/>
      <c r="G805" s="90"/>
      <c r="H805" s="90"/>
      <c r="I805" s="90"/>
      <c r="J805" s="78"/>
    </row>
    <row r="806" spans="1:10" x14ac:dyDescent="0.15">
      <c r="A806" s="89"/>
      <c r="B806" s="90"/>
      <c r="C806" s="90"/>
      <c r="D806" s="91"/>
      <c r="E806" s="90"/>
      <c r="F806" s="90"/>
      <c r="G806" s="90"/>
      <c r="H806" s="90"/>
      <c r="I806" s="90"/>
      <c r="J806" s="78"/>
    </row>
    <row r="807" spans="1:10" x14ac:dyDescent="0.15">
      <c r="A807" s="89"/>
      <c r="B807" s="90"/>
      <c r="C807" s="90"/>
      <c r="D807" s="91"/>
      <c r="E807" s="90"/>
      <c r="F807" s="90"/>
      <c r="G807" s="90"/>
      <c r="H807" s="90"/>
      <c r="I807" s="90"/>
      <c r="J807" s="78"/>
    </row>
    <row r="808" spans="1:10" x14ac:dyDescent="0.15">
      <c r="A808" s="89"/>
      <c r="B808" s="90"/>
      <c r="C808" s="90"/>
      <c r="D808" s="91"/>
      <c r="E808" s="90"/>
      <c r="F808" s="90"/>
      <c r="G808" s="90"/>
      <c r="H808" s="90"/>
      <c r="I808" s="90"/>
      <c r="J808" s="78"/>
    </row>
    <row r="809" spans="1:10" x14ac:dyDescent="0.15">
      <c r="A809" s="89"/>
      <c r="B809" s="90"/>
      <c r="C809" s="90"/>
      <c r="D809" s="91"/>
      <c r="E809" s="90"/>
      <c r="F809" s="90"/>
      <c r="G809" s="90"/>
      <c r="H809" s="90"/>
      <c r="I809" s="90"/>
      <c r="J809" s="78"/>
    </row>
    <row r="810" spans="1:10" x14ac:dyDescent="0.15">
      <c r="A810" s="89"/>
      <c r="B810" s="90"/>
      <c r="C810" s="90"/>
      <c r="D810" s="91"/>
      <c r="E810" s="90"/>
      <c r="F810" s="90"/>
      <c r="G810" s="90"/>
      <c r="H810" s="90"/>
      <c r="I810" s="90"/>
      <c r="J810" s="78"/>
    </row>
    <row r="811" spans="1:10" x14ac:dyDescent="0.15">
      <c r="A811" s="89"/>
      <c r="B811" s="90"/>
      <c r="C811" s="90"/>
      <c r="D811" s="91"/>
      <c r="E811" s="90"/>
      <c r="F811" s="90"/>
      <c r="G811" s="90"/>
      <c r="H811" s="90"/>
      <c r="I811" s="90"/>
      <c r="J811" s="78"/>
    </row>
    <row r="812" spans="1:10" x14ac:dyDescent="0.15">
      <c r="A812" s="89"/>
      <c r="B812" s="90"/>
      <c r="C812" s="90"/>
      <c r="D812" s="91"/>
      <c r="E812" s="90"/>
      <c r="F812" s="90"/>
      <c r="G812" s="90"/>
      <c r="H812" s="90"/>
      <c r="I812" s="90"/>
      <c r="J812" s="78"/>
    </row>
    <row r="813" spans="1:10" x14ac:dyDescent="0.15">
      <c r="A813" s="89"/>
      <c r="B813" s="90"/>
      <c r="C813" s="90"/>
      <c r="D813" s="91"/>
      <c r="E813" s="90"/>
      <c r="F813" s="90"/>
      <c r="G813" s="90"/>
      <c r="H813" s="90"/>
      <c r="I813" s="90"/>
      <c r="J813" s="78"/>
    </row>
    <row r="814" spans="1:10" x14ac:dyDescent="0.15">
      <c r="A814" s="89"/>
      <c r="B814" s="90"/>
      <c r="C814" s="90"/>
      <c r="D814" s="91"/>
      <c r="E814" s="90"/>
      <c r="F814" s="90"/>
      <c r="G814" s="90"/>
      <c r="H814" s="90"/>
      <c r="I814" s="90"/>
      <c r="J814" s="78"/>
    </row>
    <row r="815" spans="1:10" x14ac:dyDescent="0.15">
      <c r="A815" s="89"/>
      <c r="B815" s="90"/>
      <c r="C815" s="90"/>
      <c r="D815" s="91"/>
      <c r="E815" s="90"/>
      <c r="F815" s="90"/>
      <c r="G815" s="90"/>
      <c r="H815" s="90"/>
      <c r="I815" s="90"/>
      <c r="J815" s="78"/>
    </row>
    <row r="816" spans="1:10" x14ac:dyDescent="0.15">
      <c r="A816" s="89"/>
      <c r="B816" s="90"/>
      <c r="C816" s="90"/>
      <c r="D816" s="91"/>
      <c r="E816" s="90"/>
      <c r="F816" s="90"/>
      <c r="G816" s="90"/>
      <c r="H816" s="90"/>
      <c r="I816" s="90"/>
      <c r="J816" s="78"/>
    </row>
    <row r="817" spans="1:10" x14ac:dyDescent="0.15">
      <c r="A817" s="89"/>
      <c r="B817" s="90"/>
      <c r="C817" s="90"/>
      <c r="D817" s="91"/>
      <c r="E817" s="90"/>
      <c r="F817" s="90"/>
      <c r="G817" s="90"/>
      <c r="H817" s="90"/>
      <c r="I817" s="90"/>
      <c r="J817" s="78"/>
    </row>
    <row r="818" spans="1:10" x14ac:dyDescent="0.15">
      <c r="A818" s="89"/>
      <c r="B818" s="90"/>
      <c r="C818" s="90"/>
      <c r="D818" s="91"/>
      <c r="E818" s="90"/>
      <c r="F818" s="90"/>
      <c r="G818" s="90"/>
      <c r="H818" s="90"/>
      <c r="I818" s="90"/>
      <c r="J818" s="78"/>
    </row>
    <row r="819" spans="1:10" x14ac:dyDescent="0.15">
      <c r="A819" s="89"/>
      <c r="B819" s="90"/>
      <c r="C819" s="90"/>
      <c r="D819" s="91"/>
      <c r="E819" s="90"/>
      <c r="F819" s="90"/>
      <c r="G819" s="90"/>
      <c r="H819" s="90"/>
      <c r="I819" s="90"/>
      <c r="J819" s="78"/>
    </row>
    <row r="820" spans="1:10" x14ac:dyDescent="0.15">
      <c r="A820" s="89"/>
      <c r="B820" s="90"/>
      <c r="C820" s="90"/>
      <c r="D820" s="91"/>
      <c r="E820" s="90"/>
      <c r="F820" s="90"/>
      <c r="G820" s="90"/>
      <c r="H820" s="90"/>
      <c r="I820" s="90"/>
      <c r="J820" s="78"/>
    </row>
    <row r="821" spans="1:10" x14ac:dyDescent="0.15">
      <c r="A821" s="89"/>
      <c r="B821" s="90"/>
      <c r="C821" s="90"/>
      <c r="D821" s="91"/>
      <c r="E821" s="90"/>
      <c r="F821" s="90"/>
      <c r="G821" s="90"/>
      <c r="H821" s="90"/>
      <c r="I821" s="90"/>
      <c r="J821" s="78"/>
    </row>
    <row r="822" spans="1:10" x14ac:dyDescent="0.15">
      <c r="A822" s="89"/>
      <c r="B822" s="90"/>
      <c r="C822" s="90"/>
      <c r="D822" s="91"/>
      <c r="E822" s="90"/>
      <c r="F822" s="90"/>
      <c r="G822" s="90"/>
      <c r="H822" s="90"/>
      <c r="I822" s="90"/>
      <c r="J822" s="78"/>
    </row>
    <row r="823" spans="1:10" x14ac:dyDescent="0.15">
      <c r="A823" s="89"/>
      <c r="B823" s="90"/>
      <c r="C823" s="90"/>
      <c r="D823" s="91"/>
      <c r="E823" s="90"/>
      <c r="F823" s="90"/>
      <c r="G823" s="90"/>
      <c r="H823" s="90"/>
      <c r="I823" s="90"/>
      <c r="J823" s="78"/>
    </row>
    <row r="824" spans="1:10" x14ac:dyDescent="0.15">
      <c r="A824" s="89"/>
      <c r="B824" s="90"/>
      <c r="C824" s="90"/>
      <c r="D824" s="91"/>
      <c r="E824" s="90"/>
      <c r="F824" s="90"/>
      <c r="G824" s="90"/>
      <c r="H824" s="90"/>
      <c r="I824" s="90"/>
      <c r="J824" s="78"/>
    </row>
    <row r="825" spans="1:10" x14ac:dyDescent="0.15">
      <c r="A825" s="89"/>
      <c r="B825" s="90"/>
      <c r="C825" s="90"/>
      <c r="D825" s="91"/>
      <c r="E825" s="90"/>
      <c r="F825" s="90"/>
      <c r="G825" s="90"/>
      <c r="H825" s="90"/>
      <c r="I825" s="90"/>
      <c r="J825" s="78"/>
    </row>
    <row r="826" spans="1:10" x14ac:dyDescent="0.15">
      <c r="A826" s="89"/>
      <c r="B826" s="90"/>
      <c r="C826" s="90"/>
      <c r="D826" s="91"/>
      <c r="E826" s="90"/>
      <c r="F826" s="90"/>
      <c r="G826" s="90"/>
      <c r="H826" s="90"/>
      <c r="I826" s="90"/>
      <c r="J826" s="78"/>
    </row>
    <row r="827" spans="1:10" x14ac:dyDescent="0.15">
      <c r="A827" s="89"/>
      <c r="B827" s="90"/>
      <c r="C827" s="90"/>
      <c r="D827" s="91"/>
      <c r="E827" s="90"/>
      <c r="F827" s="90"/>
      <c r="G827" s="90"/>
      <c r="H827" s="90"/>
      <c r="I827" s="90"/>
      <c r="J827" s="78"/>
    </row>
    <row r="828" spans="1:10" x14ac:dyDescent="0.15">
      <c r="A828" s="89"/>
      <c r="B828" s="90"/>
      <c r="C828" s="90"/>
      <c r="D828" s="91"/>
      <c r="E828" s="90"/>
      <c r="F828" s="90"/>
      <c r="G828" s="90"/>
      <c r="H828" s="90"/>
      <c r="I828" s="90"/>
      <c r="J828" s="78"/>
    </row>
    <row r="829" spans="1:10" x14ac:dyDescent="0.15">
      <c r="A829" s="89"/>
      <c r="B829" s="90"/>
      <c r="C829" s="90"/>
      <c r="D829" s="91"/>
      <c r="E829" s="90"/>
      <c r="F829" s="90"/>
      <c r="G829" s="90"/>
      <c r="H829" s="90"/>
      <c r="I829" s="90"/>
      <c r="J829" s="78"/>
    </row>
    <row r="830" spans="1:10" x14ac:dyDescent="0.15">
      <c r="A830" s="89"/>
      <c r="B830" s="90"/>
      <c r="C830" s="90"/>
      <c r="D830" s="91"/>
      <c r="E830" s="90"/>
      <c r="F830" s="90"/>
      <c r="G830" s="90"/>
      <c r="H830" s="90"/>
      <c r="I830" s="90"/>
      <c r="J830" s="78"/>
    </row>
    <row r="831" spans="1:10" x14ac:dyDescent="0.15">
      <c r="A831" s="89"/>
      <c r="B831" s="90"/>
      <c r="C831" s="90"/>
      <c r="D831" s="91"/>
      <c r="E831" s="90"/>
      <c r="F831" s="90"/>
      <c r="G831" s="90"/>
      <c r="H831" s="90"/>
      <c r="I831" s="90"/>
      <c r="J831" s="78"/>
    </row>
    <row r="832" spans="1:10" x14ac:dyDescent="0.15">
      <c r="A832" s="89"/>
      <c r="B832" s="90"/>
      <c r="C832" s="90"/>
      <c r="D832" s="91"/>
      <c r="E832" s="90"/>
      <c r="F832" s="90"/>
      <c r="G832" s="90"/>
      <c r="H832" s="90"/>
      <c r="I832" s="90"/>
      <c r="J832" s="78"/>
    </row>
    <row r="833" spans="1:10" x14ac:dyDescent="0.15">
      <c r="A833" s="89"/>
      <c r="B833" s="90"/>
      <c r="C833" s="90"/>
      <c r="D833" s="91"/>
      <c r="E833" s="90"/>
      <c r="F833" s="90"/>
      <c r="G833" s="90"/>
      <c r="H833" s="90"/>
      <c r="I833" s="90"/>
      <c r="J833" s="78"/>
    </row>
    <row r="834" spans="1:10" x14ac:dyDescent="0.15">
      <c r="A834" s="89"/>
      <c r="B834" s="90"/>
      <c r="C834" s="90"/>
      <c r="D834" s="91"/>
      <c r="E834" s="90"/>
      <c r="F834" s="90"/>
      <c r="G834" s="90"/>
      <c r="H834" s="90"/>
      <c r="I834" s="90"/>
      <c r="J834" s="78"/>
    </row>
    <row r="835" spans="1:10" x14ac:dyDescent="0.15">
      <c r="A835" s="89"/>
      <c r="B835" s="90"/>
      <c r="C835" s="90"/>
      <c r="D835" s="91"/>
      <c r="E835" s="90"/>
      <c r="F835" s="90"/>
      <c r="G835" s="90"/>
      <c r="H835" s="90"/>
      <c r="I835" s="90"/>
      <c r="J835" s="78"/>
    </row>
    <row r="836" spans="1:10" x14ac:dyDescent="0.15">
      <c r="A836" s="89"/>
      <c r="B836" s="90"/>
      <c r="C836" s="90"/>
      <c r="D836" s="91"/>
      <c r="E836" s="90"/>
      <c r="F836" s="90"/>
      <c r="G836" s="90"/>
      <c r="H836" s="90"/>
      <c r="I836" s="90"/>
      <c r="J836" s="78"/>
    </row>
    <row r="837" spans="1:10" x14ac:dyDescent="0.15">
      <c r="A837" s="89"/>
      <c r="B837" s="90"/>
      <c r="C837" s="90"/>
      <c r="D837" s="91"/>
      <c r="E837" s="90"/>
      <c r="F837" s="90"/>
      <c r="G837" s="90"/>
      <c r="H837" s="90"/>
      <c r="I837" s="90"/>
      <c r="J837" s="78"/>
    </row>
    <row r="838" spans="1:10" x14ac:dyDescent="0.15">
      <c r="A838" s="89"/>
      <c r="B838" s="90"/>
      <c r="C838" s="90"/>
      <c r="D838" s="91"/>
      <c r="E838" s="90"/>
      <c r="F838" s="90"/>
      <c r="G838" s="90"/>
      <c r="H838" s="90"/>
      <c r="I838" s="90"/>
      <c r="J838" s="78"/>
    </row>
    <row r="839" spans="1:10" x14ac:dyDescent="0.15">
      <c r="A839" s="89"/>
      <c r="B839" s="90"/>
      <c r="C839" s="90"/>
      <c r="D839" s="91"/>
      <c r="E839" s="90"/>
      <c r="F839" s="90"/>
      <c r="G839" s="90"/>
      <c r="H839" s="90"/>
      <c r="I839" s="90"/>
      <c r="J839" s="78"/>
    </row>
    <row r="840" spans="1:10" x14ac:dyDescent="0.15">
      <c r="A840" s="89"/>
      <c r="B840" s="90"/>
      <c r="C840" s="90"/>
      <c r="D840" s="91"/>
      <c r="E840" s="90"/>
      <c r="F840" s="90"/>
      <c r="G840" s="90"/>
      <c r="H840" s="90"/>
      <c r="I840" s="90"/>
      <c r="J840" s="78"/>
    </row>
    <row r="841" spans="1:10" x14ac:dyDescent="0.15">
      <c r="A841" s="89"/>
      <c r="B841" s="90"/>
      <c r="C841" s="90"/>
      <c r="D841" s="91"/>
      <c r="E841" s="90"/>
      <c r="F841" s="90"/>
      <c r="G841" s="90"/>
      <c r="H841" s="90"/>
      <c r="I841" s="90"/>
      <c r="J841" s="78"/>
    </row>
    <row r="842" spans="1:10" x14ac:dyDescent="0.15">
      <c r="A842" s="89"/>
      <c r="B842" s="90"/>
      <c r="C842" s="90"/>
      <c r="D842" s="91"/>
      <c r="E842" s="90"/>
      <c r="F842" s="90"/>
      <c r="G842" s="90"/>
      <c r="H842" s="90"/>
      <c r="I842" s="90"/>
      <c r="J842" s="78"/>
    </row>
    <row r="843" spans="1:10" x14ac:dyDescent="0.15">
      <c r="A843" s="89"/>
      <c r="B843" s="90"/>
      <c r="C843" s="90"/>
      <c r="D843" s="91"/>
      <c r="E843" s="90"/>
      <c r="F843" s="90"/>
      <c r="G843" s="90"/>
      <c r="H843" s="90"/>
      <c r="I843" s="90"/>
      <c r="J843" s="78"/>
    </row>
    <row r="844" spans="1:10" x14ac:dyDescent="0.15">
      <c r="A844" s="89"/>
      <c r="B844" s="90"/>
      <c r="C844" s="90"/>
      <c r="D844" s="91"/>
      <c r="E844" s="90"/>
      <c r="F844" s="90"/>
      <c r="G844" s="90"/>
      <c r="H844" s="90"/>
      <c r="I844" s="90"/>
      <c r="J844" s="78"/>
    </row>
    <row r="845" spans="1:10" x14ac:dyDescent="0.15">
      <c r="A845" s="89"/>
      <c r="B845" s="90"/>
      <c r="C845" s="90"/>
      <c r="D845" s="91"/>
      <c r="E845" s="90"/>
      <c r="F845" s="90"/>
      <c r="G845" s="90"/>
      <c r="H845" s="90"/>
      <c r="I845" s="90"/>
      <c r="J845" s="78"/>
    </row>
    <row r="846" spans="1:10" x14ac:dyDescent="0.15">
      <c r="A846" s="89"/>
      <c r="B846" s="90"/>
      <c r="C846" s="90"/>
      <c r="D846" s="91"/>
      <c r="E846" s="90"/>
      <c r="F846" s="90"/>
      <c r="G846" s="90"/>
      <c r="H846" s="90"/>
      <c r="I846" s="90"/>
      <c r="J846" s="78"/>
    </row>
    <row r="847" spans="1:10" x14ac:dyDescent="0.15">
      <c r="A847" s="89"/>
      <c r="B847" s="90"/>
      <c r="C847" s="90"/>
      <c r="D847" s="91"/>
      <c r="E847" s="90"/>
      <c r="F847" s="90"/>
      <c r="G847" s="90"/>
      <c r="H847" s="90"/>
      <c r="I847" s="90"/>
      <c r="J847" s="78"/>
    </row>
    <row r="848" spans="1:10" x14ac:dyDescent="0.15">
      <c r="A848" s="89"/>
      <c r="B848" s="90"/>
      <c r="C848" s="90"/>
      <c r="D848" s="91"/>
      <c r="E848" s="90"/>
      <c r="F848" s="90"/>
      <c r="G848" s="90"/>
      <c r="H848" s="90"/>
      <c r="I848" s="90"/>
      <c r="J848" s="78"/>
    </row>
    <row r="849" spans="1:10" x14ac:dyDescent="0.15">
      <c r="A849" s="89"/>
      <c r="B849" s="90"/>
      <c r="C849" s="90"/>
      <c r="D849" s="91"/>
      <c r="E849" s="90"/>
      <c r="F849" s="90"/>
      <c r="G849" s="90"/>
      <c r="H849" s="90"/>
      <c r="I849" s="90"/>
      <c r="J849" s="78"/>
    </row>
    <row r="850" spans="1:10" x14ac:dyDescent="0.15">
      <c r="A850" s="89"/>
      <c r="B850" s="90"/>
      <c r="C850" s="90"/>
      <c r="D850" s="91"/>
      <c r="E850" s="90"/>
      <c r="F850" s="90"/>
      <c r="G850" s="90"/>
      <c r="H850" s="90"/>
      <c r="I850" s="90"/>
      <c r="J850" s="78"/>
    </row>
    <row r="851" spans="1:10" x14ac:dyDescent="0.15">
      <c r="A851" s="89"/>
      <c r="B851" s="90"/>
      <c r="C851" s="90"/>
      <c r="D851" s="91"/>
      <c r="E851" s="90"/>
      <c r="F851" s="90"/>
      <c r="G851" s="90"/>
      <c r="H851" s="90"/>
      <c r="I851" s="90"/>
      <c r="J851" s="78"/>
    </row>
    <row r="852" spans="1:10" x14ac:dyDescent="0.15">
      <c r="A852" s="89"/>
      <c r="B852" s="90"/>
      <c r="C852" s="90"/>
      <c r="D852" s="91"/>
      <c r="E852" s="90"/>
      <c r="F852" s="90"/>
      <c r="G852" s="90"/>
      <c r="H852" s="90"/>
      <c r="I852" s="90"/>
      <c r="J852" s="78"/>
    </row>
    <row r="853" spans="1:10" x14ac:dyDescent="0.15">
      <c r="A853" s="89"/>
      <c r="B853" s="90"/>
      <c r="C853" s="90"/>
      <c r="D853" s="91"/>
      <c r="E853" s="90"/>
      <c r="F853" s="90"/>
      <c r="G853" s="90"/>
      <c r="H853" s="90"/>
      <c r="I853" s="90"/>
      <c r="J853" s="78"/>
    </row>
    <row r="854" spans="1:10" x14ac:dyDescent="0.15">
      <c r="A854" s="89"/>
      <c r="B854" s="90"/>
      <c r="C854" s="90"/>
      <c r="D854" s="91"/>
      <c r="E854" s="90"/>
      <c r="F854" s="90"/>
      <c r="G854" s="90"/>
      <c r="H854" s="90"/>
      <c r="I854" s="90"/>
      <c r="J854" s="78"/>
    </row>
    <row r="855" spans="1:10" x14ac:dyDescent="0.15">
      <c r="A855" s="89"/>
      <c r="B855" s="90"/>
      <c r="C855" s="90"/>
      <c r="D855" s="91"/>
      <c r="E855" s="90"/>
      <c r="F855" s="90"/>
      <c r="G855" s="90"/>
      <c r="H855" s="90"/>
      <c r="I855" s="90"/>
      <c r="J855" s="78"/>
    </row>
    <row r="856" spans="1:10" x14ac:dyDescent="0.15">
      <c r="A856" s="89"/>
      <c r="B856" s="90"/>
      <c r="C856" s="90"/>
      <c r="D856" s="91"/>
      <c r="E856" s="90"/>
      <c r="F856" s="90"/>
      <c r="G856" s="90"/>
      <c r="H856" s="90"/>
      <c r="I856" s="90"/>
      <c r="J856" s="78"/>
    </row>
    <row r="857" spans="1:10" x14ac:dyDescent="0.15">
      <c r="A857" s="89"/>
      <c r="B857" s="90"/>
      <c r="C857" s="90"/>
      <c r="D857" s="91"/>
      <c r="E857" s="90"/>
      <c r="F857" s="90"/>
      <c r="G857" s="90"/>
      <c r="H857" s="90"/>
      <c r="I857" s="90"/>
      <c r="J857" s="78"/>
    </row>
    <row r="858" spans="1:10" x14ac:dyDescent="0.15">
      <c r="A858" s="89"/>
      <c r="B858" s="90"/>
      <c r="C858" s="90"/>
      <c r="D858" s="91"/>
      <c r="E858" s="90"/>
      <c r="F858" s="90"/>
      <c r="G858" s="90"/>
      <c r="H858" s="90"/>
      <c r="I858" s="90"/>
      <c r="J858" s="78"/>
    </row>
    <row r="859" spans="1:10" x14ac:dyDescent="0.15">
      <c r="A859" s="89"/>
      <c r="B859" s="90"/>
      <c r="C859" s="90"/>
      <c r="D859" s="91"/>
      <c r="E859" s="90"/>
      <c r="F859" s="90"/>
      <c r="G859" s="90"/>
      <c r="H859" s="90"/>
      <c r="I859" s="90"/>
      <c r="J859" s="78"/>
    </row>
    <row r="860" spans="1:10" x14ac:dyDescent="0.15">
      <c r="A860" s="89"/>
      <c r="B860" s="90"/>
      <c r="C860" s="90"/>
      <c r="D860" s="91"/>
      <c r="E860" s="90"/>
      <c r="F860" s="90"/>
      <c r="G860" s="90"/>
      <c r="H860" s="90"/>
      <c r="I860" s="90"/>
      <c r="J860" s="78"/>
    </row>
    <row r="861" spans="1:10" x14ac:dyDescent="0.15">
      <c r="A861" s="89"/>
      <c r="B861" s="90"/>
      <c r="C861" s="90"/>
      <c r="D861" s="91"/>
      <c r="E861" s="90"/>
      <c r="F861" s="90"/>
      <c r="G861" s="90"/>
      <c r="H861" s="90"/>
      <c r="I861" s="90"/>
      <c r="J861" s="78"/>
    </row>
    <row r="862" spans="1:10" x14ac:dyDescent="0.15">
      <c r="A862" s="89"/>
      <c r="B862" s="90"/>
      <c r="C862" s="90"/>
      <c r="D862" s="91"/>
      <c r="E862" s="90"/>
      <c r="F862" s="90"/>
      <c r="G862" s="90"/>
      <c r="H862" s="90"/>
      <c r="I862" s="90"/>
      <c r="J862" s="78"/>
    </row>
    <row r="863" spans="1:10" x14ac:dyDescent="0.15">
      <c r="A863" s="89"/>
      <c r="B863" s="90"/>
      <c r="C863" s="90"/>
      <c r="D863" s="91"/>
      <c r="E863" s="90"/>
      <c r="F863" s="90"/>
      <c r="G863" s="90"/>
      <c r="H863" s="90"/>
      <c r="I863" s="90"/>
      <c r="J863" s="78"/>
    </row>
    <row r="864" spans="1:10" x14ac:dyDescent="0.15">
      <c r="A864" s="89"/>
      <c r="B864" s="90"/>
      <c r="C864" s="90"/>
      <c r="D864" s="91"/>
      <c r="E864" s="90"/>
      <c r="F864" s="90"/>
      <c r="G864" s="90"/>
      <c r="H864" s="90"/>
      <c r="I864" s="90"/>
      <c r="J864" s="78"/>
    </row>
    <row r="865" spans="1:10" x14ac:dyDescent="0.15">
      <c r="A865" s="89"/>
      <c r="B865" s="90"/>
      <c r="C865" s="90"/>
      <c r="D865" s="91"/>
      <c r="E865" s="90"/>
      <c r="F865" s="90"/>
      <c r="G865" s="90"/>
      <c r="H865" s="90"/>
      <c r="I865" s="90"/>
      <c r="J865" s="78"/>
    </row>
    <row r="866" spans="1:10" x14ac:dyDescent="0.15">
      <c r="A866" s="89"/>
      <c r="B866" s="90"/>
      <c r="C866" s="90"/>
      <c r="D866" s="91"/>
      <c r="E866" s="90"/>
      <c r="F866" s="90"/>
      <c r="G866" s="90"/>
      <c r="H866" s="90"/>
      <c r="I866" s="90"/>
      <c r="J866" s="78"/>
    </row>
    <row r="867" spans="1:10" x14ac:dyDescent="0.15">
      <c r="A867" s="89"/>
      <c r="B867" s="90"/>
      <c r="C867" s="90"/>
      <c r="D867" s="91"/>
      <c r="E867" s="90"/>
      <c r="F867" s="90"/>
      <c r="G867" s="90"/>
      <c r="H867" s="90"/>
      <c r="I867" s="90"/>
      <c r="J867" s="78"/>
    </row>
    <row r="868" spans="1:10" x14ac:dyDescent="0.15">
      <c r="A868" s="89"/>
      <c r="B868" s="90"/>
      <c r="C868" s="90"/>
      <c r="D868" s="91"/>
      <c r="E868" s="90"/>
      <c r="F868" s="90"/>
      <c r="G868" s="90"/>
      <c r="H868" s="90"/>
      <c r="I868" s="90"/>
      <c r="J868" s="78"/>
    </row>
    <row r="869" spans="1:10" x14ac:dyDescent="0.15">
      <c r="A869" s="89"/>
      <c r="B869" s="90"/>
      <c r="C869" s="90"/>
      <c r="D869" s="91"/>
      <c r="E869" s="90"/>
      <c r="F869" s="90"/>
      <c r="G869" s="90"/>
      <c r="H869" s="90"/>
      <c r="I869" s="90"/>
      <c r="J869" s="78"/>
    </row>
    <row r="870" spans="1:10" x14ac:dyDescent="0.15">
      <c r="A870" s="89"/>
      <c r="B870" s="90"/>
      <c r="C870" s="90"/>
      <c r="D870" s="91"/>
      <c r="E870" s="90"/>
      <c r="F870" s="90"/>
      <c r="G870" s="90"/>
      <c r="H870" s="90"/>
      <c r="I870" s="90"/>
      <c r="J870" s="78"/>
    </row>
    <row r="871" spans="1:10" x14ac:dyDescent="0.15">
      <c r="A871" s="89"/>
      <c r="B871" s="90"/>
      <c r="C871" s="90"/>
      <c r="D871" s="91"/>
      <c r="E871" s="90"/>
      <c r="F871" s="90"/>
      <c r="G871" s="90"/>
      <c r="H871" s="90"/>
      <c r="I871" s="90"/>
      <c r="J871" s="78"/>
    </row>
    <row r="872" spans="1:10" x14ac:dyDescent="0.15">
      <c r="A872" s="89"/>
      <c r="B872" s="90"/>
      <c r="C872" s="90"/>
      <c r="D872" s="91"/>
      <c r="E872" s="90"/>
      <c r="F872" s="90"/>
      <c r="G872" s="90"/>
      <c r="H872" s="90"/>
      <c r="I872" s="90"/>
      <c r="J872" s="78"/>
    </row>
    <row r="873" spans="1:10" x14ac:dyDescent="0.15">
      <c r="A873" s="89"/>
      <c r="B873" s="90"/>
      <c r="C873" s="90"/>
      <c r="D873" s="91"/>
      <c r="E873" s="90"/>
      <c r="F873" s="90"/>
      <c r="G873" s="90"/>
      <c r="H873" s="90"/>
      <c r="I873" s="90"/>
      <c r="J873" s="78"/>
    </row>
    <row r="874" spans="1:10" x14ac:dyDescent="0.15">
      <c r="A874" s="89"/>
      <c r="B874" s="90"/>
      <c r="C874" s="90"/>
      <c r="D874" s="91"/>
      <c r="E874" s="90"/>
      <c r="F874" s="90"/>
      <c r="G874" s="90"/>
      <c r="H874" s="90"/>
      <c r="I874" s="90"/>
      <c r="J874" s="78"/>
    </row>
    <row r="875" spans="1:10" x14ac:dyDescent="0.15">
      <c r="A875" s="89"/>
      <c r="B875" s="90"/>
      <c r="C875" s="90"/>
      <c r="D875" s="91"/>
      <c r="E875" s="90"/>
      <c r="F875" s="90"/>
      <c r="G875" s="90"/>
      <c r="H875" s="90"/>
      <c r="I875" s="90"/>
      <c r="J875" s="78"/>
    </row>
    <row r="876" spans="1:10" x14ac:dyDescent="0.15">
      <c r="A876" s="89"/>
      <c r="B876" s="90"/>
      <c r="C876" s="90"/>
      <c r="D876" s="91"/>
      <c r="E876" s="90"/>
      <c r="F876" s="90"/>
      <c r="G876" s="90"/>
      <c r="H876" s="90"/>
      <c r="I876" s="90"/>
      <c r="J876" s="78"/>
    </row>
    <row r="877" spans="1:10" x14ac:dyDescent="0.15">
      <c r="A877" s="89"/>
      <c r="B877" s="90"/>
      <c r="C877" s="90"/>
      <c r="D877" s="91"/>
      <c r="E877" s="90"/>
      <c r="F877" s="90"/>
      <c r="G877" s="90"/>
      <c r="H877" s="90"/>
      <c r="I877" s="90"/>
      <c r="J877" s="78"/>
    </row>
    <row r="878" spans="1:10" x14ac:dyDescent="0.15">
      <c r="A878" s="89"/>
      <c r="B878" s="90"/>
      <c r="C878" s="90"/>
      <c r="D878" s="91"/>
      <c r="E878" s="90"/>
      <c r="F878" s="90"/>
      <c r="G878" s="90"/>
      <c r="H878" s="90"/>
      <c r="I878" s="90"/>
      <c r="J878" s="78"/>
    </row>
    <row r="879" spans="1:10" x14ac:dyDescent="0.15">
      <c r="A879" s="89"/>
      <c r="B879" s="90"/>
      <c r="C879" s="90"/>
      <c r="D879" s="91"/>
      <c r="E879" s="90"/>
      <c r="F879" s="90"/>
      <c r="G879" s="90"/>
      <c r="H879" s="90"/>
      <c r="I879" s="90"/>
      <c r="J879" s="78"/>
    </row>
    <row r="880" spans="1:10" x14ac:dyDescent="0.15">
      <c r="A880" s="89"/>
      <c r="B880" s="90"/>
      <c r="C880" s="90"/>
      <c r="D880" s="91"/>
      <c r="E880" s="90"/>
      <c r="F880" s="90"/>
      <c r="G880" s="90"/>
      <c r="H880" s="90"/>
      <c r="I880" s="90"/>
      <c r="J880" s="78"/>
    </row>
    <row r="881" spans="1:10" x14ac:dyDescent="0.15">
      <c r="A881" s="89"/>
      <c r="B881" s="90"/>
      <c r="C881" s="90"/>
      <c r="D881" s="91"/>
      <c r="E881" s="90"/>
      <c r="F881" s="90"/>
      <c r="G881" s="90"/>
      <c r="H881" s="90"/>
      <c r="I881" s="90"/>
      <c r="J881" s="78"/>
    </row>
    <row r="882" spans="1:10" x14ac:dyDescent="0.15">
      <c r="A882" s="89"/>
      <c r="B882" s="90"/>
      <c r="C882" s="90"/>
      <c r="D882" s="91"/>
      <c r="E882" s="90"/>
      <c r="F882" s="90"/>
      <c r="G882" s="90"/>
      <c r="H882" s="90"/>
      <c r="I882" s="90"/>
      <c r="J882" s="78"/>
    </row>
    <row r="883" spans="1:10" x14ac:dyDescent="0.15">
      <c r="A883" s="89"/>
      <c r="B883" s="90"/>
      <c r="C883" s="90"/>
      <c r="D883" s="91"/>
      <c r="E883" s="90"/>
      <c r="F883" s="90"/>
      <c r="G883" s="90"/>
      <c r="H883" s="90"/>
      <c r="I883" s="90"/>
      <c r="J883" s="78"/>
    </row>
    <row r="884" spans="1:10" x14ac:dyDescent="0.15">
      <c r="A884" s="89"/>
      <c r="B884" s="90"/>
      <c r="C884" s="90"/>
      <c r="D884" s="91"/>
      <c r="E884" s="90"/>
      <c r="F884" s="90"/>
      <c r="G884" s="90"/>
      <c r="H884" s="90"/>
      <c r="I884" s="90"/>
      <c r="J884" s="78"/>
    </row>
    <row r="885" spans="1:10" x14ac:dyDescent="0.15">
      <c r="A885" s="89"/>
      <c r="B885" s="90"/>
      <c r="C885" s="90"/>
      <c r="D885" s="91"/>
      <c r="E885" s="90"/>
      <c r="F885" s="90"/>
      <c r="G885" s="90"/>
      <c r="H885" s="90"/>
      <c r="I885" s="90"/>
      <c r="J885" s="78"/>
    </row>
    <row r="886" spans="1:10" x14ac:dyDescent="0.15">
      <c r="A886" s="89"/>
      <c r="B886" s="90"/>
      <c r="C886" s="90"/>
      <c r="D886" s="91"/>
      <c r="E886" s="90"/>
      <c r="F886" s="90"/>
      <c r="G886" s="90"/>
      <c r="H886" s="90"/>
      <c r="I886" s="90"/>
      <c r="J886" s="78"/>
    </row>
    <row r="887" spans="1:10" x14ac:dyDescent="0.15">
      <c r="A887" s="89"/>
      <c r="B887" s="90"/>
      <c r="C887" s="90"/>
      <c r="D887" s="91"/>
      <c r="E887" s="90"/>
      <c r="F887" s="90"/>
      <c r="G887" s="90"/>
      <c r="H887" s="90"/>
      <c r="I887" s="90"/>
      <c r="J887" s="78"/>
    </row>
    <row r="888" spans="1:10" x14ac:dyDescent="0.15">
      <c r="A888" s="89"/>
      <c r="B888" s="90"/>
      <c r="C888" s="90"/>
      <c r="D888" s="91"/>
      <c r="E888" s="90"/>
      <c r="F888" s="90"/>
      <c r="G888" s="90"/>
      <c r="H888" s="90"/>
      <c r="I888" s="90"/>
      <c r="J888" s="78"/>
    </row>
    <row r="889" spans="1:10" x14ac:dyDescent="0.15">
      <c r="A889" s="89"/>
      <c r="B889" s="90"/>
      <c r="C889" s="90"/>
      <c r="D889" s="91"/>
      <c r="E889" s="90"/>
      <c r="F889" s="90"/>
      <c r="G889" s="90"/>
      <c r="H889" s="90"/>
      <c r="I889" s="90"/>
      <c r="J889" s="78"/>
    </row>
    <row r="890" spans="1:10" x14ac:dyDescent="0.15">
      <c r="A890" s="89"/>
      <c r="B890" s="90"/>
      <c r="C890" s="90"/>
      <c r="D890" s="91"/>
      <c r="E890" s="90"/>
      <c r="F890" s="90"/>
      <c r="G890" s="90"/>
      <c r="H890" s="90"/>
      <c r="I890" s="90"/>
      <c r="J890" s="78"/>
    </row>
    <row r="891" spans="1:10" x14ac:dyDescent="0.15">
      <c r="A891" s="89"/>
      <c r="B891" s="90"/>
      <c r="C891" s="90"/>
      <c r="D891" s="91"/>
      <c r="E891" s="90"/>
      <c r="F891" s="90"/>
      <c r="G891" s="90"/>
      <c r="H891" s="90"/>
      <c r="I891" s="90"/>
      <c r="J891" s="78"/>
    </row>
    <row r="892" spans="1:10" x14ac:dyDescent="0.15">
      <c r="A892" s="89"/>
      <c r="B892" s="90"/>
      <c r="C892" s="90"/>
      <c r="D892" s="91"/>
      <c r="E892" s="90"/>
      <c r="F892" s="90"/>
      <c r="G892" s="90"/>
      <c r="H892" s="90"/>
      <c r="I892" s="90"/>
      <c r="J892" s="78"/>
    </row>
    <row r="893" spans="1:10" x14ac:dyDescent="0.15">
      <c r="A893" s="89"/>
      <c r="B893" s="90"/>
      <c r="C893" s="90"/>
      <c r="D893" s="91"/>
      <c r="E893" s="90"/>
      <c r="F893" s="90"/>
      <c r="G893" s="90"/>
      <c r="H893" s="90"/>
      <c r="I893" s="90"/>
      <c r="J893" s="78"/>
    </row>
    <row r="894" spans="1:10" x14ac:dyDescent="0.15">
      <c r="A894" s="89"/>
      <c r="B894" s="90"/>
      <c r="C894" s="90"/>
      <c r="D894" s="91"/>
      <c r="E894" s="90"/>
      <c r="F894" s="90"/>
      <c r="G894" s="90"/>
      <c r="H894" s="90"/>
      <c r="I894" s="90"/>
      <c r="J894" s="78"/>
    </row>
    <row r="895" spans="1:10" x14ac:dyDescent="0.15">
      <c r="A895" s="89"/>
      <c r="B895" s="90"/>
      <c r="C895" s="90"/>
      <c r="D895" s="91"/>
      <c r="E895" s="90"/>
      <c r="F895" s="90"/>
      <c r="G895" s="90"/>
      <c r="H895" s="90"/>
      <c r="I895" s="90"/>
      <c r="J895" s="78"/>
    </row>
    <row r="896" spans="1:10" x14ac:dyDescent="0.15">
      <c r="A896" s="89"/>
      <c r="B896" s="90"/>
      <c r="C896" s="90"/>
      <c r="D896" s="91"/>
      <c r="E896" s="90"/>
      <c r="F896" s="90"/>
      <c r="G896" s="90"/>
      <c r="H896" s="90"/>
      <c r="I896" s="90"/>
      <c r="J896" s="78"/>
    </row>
    <row r="897" spans="1:10" x14ac:dyDescent="0.15">
      <c r="A897" s="89"/>
      <c r="B897" s="90"/>
      <c r="C897" s="90"/>
      <c r="D897" s="91"/>
      <c r="E897" s="90"/>
      <c r="F897" s="90"/>
      <c r="G897" s="90"/>
      <c r="H897" s="90"/>
      <c r="I897" s="90"/>
      <c r="J897" s="78"/>
    </row>
    <row r="898" spans="1:10" x14ac:dyDescent="0.15">
      <c r="A898" s="89"/>
      <c r="B898" s="90"/>
      <c r="C898" s="90"/>
      <c r="D898" s="91"/>
      <c r="E898" s="90"/>
      <c r="F898" s="90"/>
      <c r="G898" s="90"/>
      <c r="H898" s="90"/>
      <c r="I898" s="90"/>
      <c r="J898" s="78"/>
    </row>
    <row r="899" spans="1:10" x14ac:dyDescent="0.15">
      <c r="A899" s="89"/>
      <c r="B899" s="90"/>
      <c r="C899" s="90"/>
      <c r="D899" s="91"/>
      <c r="E899" s="90"/>
      <c r="F899" s="90"/>
      <c r="G899" s="90"/>
      <c r="H899" s="90"/>
      <c r="I899" s="90"/>
      <c r="J899" s="78"/>
    </row>
    <row r="900" spans="1:10" x14ac:dyDescent="0.15">
      <c r="A900" s="89"/>
      <c r="B900" s="90"/>
      <c r="C900" s="90"/>
      <c r="D900" s="91"/>
      <c r="E900" s="90"/>
      <c r="F900" s="90"/>
      <c r="G900" s="90"/>
      <c r="H900" s="90"/>
      <c r="I900" s="90"/>
      <c r="J900" s="78"/>
    </row>
    <row r="901" spans="1:10" x14ac:dyDescent="0.15">
      <c r="A901" s="89"/>
      <c r="B901" s="90"/>
      <c r="C901" s="90"/>
      <c r="D901" s="91"/>
      <c r="E901" s="90"/>
      <c r="F901" s="90"/>
      <c r="G901" s="90"/>
      <c r="H901" s="90"/>
      <c r="I901" s="90"/>
      <c r="J901" s="78"/>
    </row>
    <row r="902" spans="1:10" x14ac:dyDescent="0.15">
      <c r="A902" s="89"/>
      <c r="B902" s="90"/>
      <c r="C902" s="90"/>
      <c r="D902" s="91"/>
      <c r="E902" s="90"/>
      <c r="F902" s="90"/>
      <c r="G902" s="90"/>
      <c r="H902" s="90"/>
      <c r="I902" s="90"/>
      <c r="J902" s="78"/>
    </row>
    <row r="903" spans="1:10" x14ac:dyDescent="0.15">
      <c r="A903" s="89"/>
      <c r="B903" s="90"/>
      <c r="C903" s="90"/>
      <c r="D903" s="91"/>
      <c r="E903" s="90"/>
      <c r="F903" s="90"/>
      <c r="G903" s="90"/>
      <c r="H903" s="90"/>
      <c r="I903" s="90"/>
      <c r="J903" s="78"/>
    </row>
    <row r="904" spans="1:10" x14ac:dyDescent="0.15">
      <c r="A904" s="89"/>
      <c r="B904" s="90"/>
      <c r="C904" s="90"/>
      <c r="D904" s="91"/>
      <c r="E904" s="90"/>
      <c r="F904" s="90"/>
      <c r="G904" s="90"/>
      <c r="H904" s="90"/>
      <c r="I904" s="90"/>
      <c r="J904" s="78"/>
    </row>
    <row r="905" spans="1:10" x14ac:dyDescent="0.15">
      <c r="A905" s="89"/>
      <c r="B905" s="90"/>
      <c r="C905" s="90"/>
      <c r="D905" s="91"/>
      <c r="E905" s="90"/>
      <c r="F905" s="90"/>
      <c r="G905" s="90"/>
      <c r="H905" s="90"/>
      <c r="I905" s="90"/>
      <c r="J905" s="78"/>
    </row>
    <row r="906" spans="1:10" x14ac:dyDescent="0.15">
      <c r="A906" s="89"/>
      <c r="B906" s="90"/>
      <c r="C906" s="90"/>
      <c r="D906" s="91"/>
      <c r="E906" s="90"/>
      <c r="F906" s="90"/>
      <c r="G906" s="90"/>
      <c r="H906" s="90"/>
      <c r="I906" s="90"/>
      <c r="J906" s="78"/>
    </row>
    <row r="907" spans="1:10" x14ac:dyDescent="0.15">
      <c r="A907" s="89"/>
      <c r="B907" s="90"/>
      <c r="C907" s="90"/>
      <c r="D907" s="91"/>
      <c r="E907" s="90"/>
      <c r="F907" s="90"/>
      <c r="G907" s="90"/>
      <c r="H907" s="90"/>
      <c r="I907" s="90"/>
      <c r="J907" s="78"/>
    </row>
    <row r="908" spans="1:10" x14ac:dyDescent="0.15">
      <c r="A908" s="89"/>
      <c r="B908" s="90"/>
      <c r="C908" s="90"/>
      <c r="D908" s="91"/>
      <c r="E908" s="90"/>
      <c r="F908" s="90"/>
      <c r="G908" s="90"/>
      <c r="H908" s="90"/>
      <c r="I908" s="90"/>
      <c r="J908" s="78"/>
    </row>
    <row r="909" spans="1:10" x14ac:dyDescent="0.15">
      <c r="A909" s="89"/>
      <c r="B909" s="90"/>
      <c r="C909" s="90"/>
      <c r="D909" s="91"/>
      <c r="E909" s="90"/>
      <c r="F909" s="90"/>
      <c r="G909" s="90"/>
      <c r="H909" s="90"/>
      <c r="I909" s="90"/>
      <c r="J909" s="78"/>
    </row>
    <row r="910" spans="1:10" x14ac:dyDescent="0.15">
      <c r="A910" s="89"/>
      <c r="B910" s="90"/>
      <c r="C910" s="90"/>
      <c r="D910" s="91"/>
      <c r="E910" s="90"/>
      <c r="F910" s="90"/>
      <c r="G910" s="90"/>
      <c r="H910" s="90"/>
      <c r="I910" s="90"/>
      <c r="J910" s="78"/>
    </row>
    <row r="911" spans="1:10" x14ac:dyDescent="0.15">
      <c r="A911" s="89"/>
      <c r="B911" s="90"/>
      <c r="C911" s="90"/>
      <c r="D911" s="91"/>
      <c r="E911" s="90"/>
      <c r="F911" s="90"/>
      <c r="G911" s="90"/>
      <c r="H911" s="90"/>
      <c r="I911" s="90"/>
      <c r="J911" s="78"/>
    </row>
    <row r="912" spans="1:10" x14ac:dyDescent="0.15">
      <c r="A912" s="89"/>
      <c r="B912" s="90"/>
      <c r="C912" s="90"/>
      <c r="D912" s="91"/>
      <c r="E912" s="90"/>
      <c r="F912" s="90"/>
      <c r="G912" s="90"/>
      <c r="H912" s="90"/>
      <c r="I912" s="90"/>
      <c r="J912" s="78"/>
    </row>
    <row r="913" spans="1:10" x14ac:dyDescent="0.15">
      <c r="A913" s="89"/>
      <c r="B913" s="90"/>
      <c r="C913" s="90"/>
      <c r="D913" s="91"/>
      <c r="E913" s="90"/>
      <c r="F913" s="90"/>
      <c r="G913" s="90"/>
      <c r="H913" s="90"/>
      <c r="I913" s="90"/>
      <c r="J913" s="78"/>
    </row>
    <row r="914" spans="1:10" x14ac:dyDescent="0.15">
      <c r="A914" s="89"/>
      <c r="B914" s="90"/>
      <c r="C914" s="90"/>
      <c r="D914" s="91"/>
      <c r="E914" s="90"/>
      <c r="F914" s="90"/>
      <c r="G914" s="90"/>
      <c r="H914" s="90"/>
      <c r="I914" s="90"/>
      <c r="J914" s="78"/>
    </row>
    <row r="915" spans="1:10" x14ac:dyDescent="0.15">
      <c r="A915" s="89"/>
      <c r="B915" s="90"/>
      <c r="C915" s="90"/>
      <c r="D915" s="91"/>
      <c r="E915" s="90"/>
      <c r="F915" s="90"/>
      <c r="G915" s="90"/>
      <c r="H915" s="90"/>
      <c r="I915" s="90"/>
      <c r="J915" s="78"/>
    </row>
    <row r="916" spans="1:10" x14ac:dyDescent="0.15">
      <c r="A916" s="89"/>
      <c r="B916" s="90"/>
      <c r="C916" s="90"/>
      <c r="D916" s="91"/>
      <c r="E916" s="90"/>
      <c r="F916" s="90"/>
      <c r="G916" s="90"/>
      <c r="H916" s="90"/>
      <c r="I916" s="90"/>
      <c r="J916" s="78"/>
    </row>
    <row r="917" spans="1:10" x14ac:dyDescent="0.15">
      <c r="A917" s="89"/>
      <c r="B917" s="90"/>
      <c r="C917" s="90"/>
      <c r="D917" s="91"/>
      <c r="E917" s="90"/>
      <c r="F917" s="90"/>
      <c r="G917" s="90"/>
      <c r="H917" s="90"/>
      <c r="I917" s="90"/>
      <c r="J917" s="78"/>
    </row>
    <row r="918" spans="1:10" x14ac:dyDescent="0.15">
      <c r="A918" s="89"/>
      <c r="B918" s="90"/>
      <c r="C918" s="90"/>
      <c r="D918" s="91"/>
      <c r="E918" s="90"/>
      <c r="F918" s="90"/>
      <c r="G918" s="90"/>
      <c r="H918" s="90"/>
      <c r="I918" s="90"/>
      <c r="J918" s="78"/>
    </row>
    <row r="919" spans="1:10" x14ac:dyDescent="0.15">
      <c r="A919" s="89"/>
      <c r="B919" s="90"/>
      <c r="C919" s="90"/>
      <c r="D919" s="91"/>
      <c r="E919" s="90"/>
      <c r="F919" s="90"/>
      <c r="G919" s="90"/>
      <c r="H919" s="90"/>
      <c r="I919" s="90"/>
      <c r="J919" s="78"/>
    </row>
    <row r="920" spans="1:10" x14ac:dyDescent="0.15">
      <c r="A920" s="89"/>
      <c r="B920" s="90"/>
      <c r="C920" s="90"/>
      <c r="D920" s="91"/>
      <c r="E920" s="90"/>
      <c r="F920" s="90"/>
      <c r="G920" s="90"/>
      <c r="H920" s="90"/>
      <c r="I920" s="90"/>
      <c r="J920" s="78"/>
    </row>
    <row r="921" spans="1:10" x14ac:dyDescent="0.15">
      <c r="A921" s="89"/>
      <c r="B921" s="90"/>
      <c r="C921" s="90"/>
      <c r="D921" s="91"/>
      <c r="E921" s="90"/>
      <c r="F921" s="90"/>
      <c r="G921" s="90"/>
      <c r="H921" s="90"/>
      <c r="I921" s="90"/>
      <c r="J921" s="78"/>
    </row>
    <row r="922" spans="1:10" x14ac:dyDescent="0.15">
      <c r="A922" s="89"/>
      <c r="B922" s="90"/>
      <c r="C922" s="90"/>
      <c r="D922" s="91"/>
      <c r="E922" s="90"/>
      <c r="F922" s="90"/>
      <c r="G922" s="90"/>
      <c r="H922" s="90"/>
      <c r="I922" s="90"/>
      <c r="J922" s="78"/>
    </row>
    <row r="923" spans="1:10" x14ac:dyDescent="0.15">
      <c r="A923" s="89"/>
      <c r="B923" s="90"/>
      <c r="C923" s="90"/>
      <c r="D923" s="91"/>
      <c r="E923" s="90"/>
      <c r="F923" s="90"/>
      <c r="G923" s="90"/>
      <c r="H923" s="90"/>
      <c r="I923" s="90"/>
      <c r="J923" s="78"/>
    </row>
    <row r="924" spans="1:10" x14ac:dyDescent="0.15">
      <c r="A924" s="89"/>
      <c r="B924" s="90"/>
      <c r="C924" s="90"/>
      <c r="D924" s="91"/>
      <c r="E924" s="90"/>
      <c r="F924" s="90"/>
      <c r="G924" s="90"/>
      <c r="H924" s="90"/>
      <c r="I924" s="90"/>
      <c r="J924" s="78"/>
    </row>
    <row r="925" spans="1:10" x14ac:dyDescent="0.15">
      <c r="A925" s="89"/>
      <c r="B925" s="90"/>
      <c r="C925" s="90"/>
      <c r="D925" s="91"/>
      <c r="E925" s="90"/>
      <c r="F925" s="90"/>
      <c r="G925" s="90"/>
      <c r="H925" s="90"/>
      <c r="I925" s="90"/>
      <c r="J925" s="78"/>
    </row>
    <row r="926" spans="1:10" x14ac:dyDescent="0.15">
      <c r="A926" s="89"/>
      <c r="B926" s="90"/>
      <c r="C926" s="90"/>
      <c r="D926" s="91"/>
      <c r="E926" s="90"/>
      <c r="F926" s="90"/>
      <c r="G926" s="90"/>
      <c r="H926" s="90"/>
      <c r="I926" s="90"/>
      <c r="J926" s="78"/>
    </row>
    <row r="927" spans="1:10" x14ac:dyDescent="0.15">
      <c r="A927" s="89"/>
      <c r="B927" s="90"/>
      <c r="C927" s="90"/>
      <c r="D927" s="91"/>
      <c r="E927" s="90"/>
      <c r="F927" s="90"/>
      <c r="G927" s="90"/>
      <c r="H927" s="90"/>
      <c r="I927" s="90"/>
      <c r="J927" s="78"/>
    </row>
    <row r="928" spans="1:10" x14ac:dyDescent="0.15">
      <c r="A928" s="89"/>
      <c r="B928" s="90"/>
      <c r="C928" s="90"/>
      <c r="D928" s="91"/>
      <c r="E928" s="90"/>
      <c r="F928" s="90"/>
      <c r="G928" s="90"/>
      <c r="H928" s="90"/>
      <c r="I928" s="90"/>
      <c r="J928" s="78"/>
    </row>
    <row r="929" spans="1:10" x14ac:dyDescent="0.15">
      <c r="A929" s="89"/>
      <c r="B929" s="90"/>
      <c r="C929" s="90"/>
      <c r="D929" s="91"/>
      <c r="E929" s="90"/>
      <c r="F929" s="90"/>
      <c r="G929" s="90"/>
      <c r="H929" s="90"/>
      <c r="I929" s="90"/>
      <c r="J929" s="78"/>
    </row>
    <row r="930" spans="1:10" x14ac:dyDescent="0.15">
      <c r="A930" s="89"/>
      <c r="B930" s="90"/>
      <c r="C930" s="90"/>
      <c r="D930" s="91"/>
      <c r="E930" s="90"/>
      <c r="F930" s="90"/>
      <c r="G930" s="90"/>
      <c r="H930" s="90"/>
      <c r="I930" s="90"/>
      <c r="J930" s="78"/>
    </row>
    <row r="931" spans="1:10" x14ac:dyDescent="0.15">
      <c r="A931" s="89"/>
      <c r="B931" s="90"/>
      <c r="C931" s="90"/>
      <c r="D931" s="91"/>
      <c r="E931" s="90"/>
      <c r="F931" s="90"/>
      <c r="G931" s="90"/>
      <c r="H931" s="90"/>
      <c r="I931" s="90"/>
      <c r="J931" s="78"/>
    </row>
    <row r="932" spans="1:10" x14ac:dyDescent="0.15">
      <c r="A932" s="89"/>
      <c r="B932" s="90"/>
      <c r="C932" s="90"/>
      <c r="D932" s="91"/>
      <c r="E932" s="90"/>
      <c r="F932" s="90"/>
      <c r="G932" s="90"/>
      <c r="H932" s="90"/>
      <c r="I932" s="90"/>
      <c r="J932" s="78"/>
    </row>
    <row r="933" spans="1:10" x14ac:dyDescent="0.15">
      <c r="A933" s="89"/>
      <c r="B933" s="90"/>
      <c r="C933" s="90"/>
      <c r="D933" s="91"/>
      <c r="E933" s="90"/>
      <c r="F933" s="90"/>
      <c r="G933" s="90"/>
      <c r="H933" s="90"/>
      <c r="I933" s="90"/>
      <c r="J933" s="78"/>
    </row>
    <row r="934" spans="1:10" x14ac:dyDescent="0.15">
      <c r="A934" s="89"/>
      <c r="B934" s="90"/>
      <c r="C934" s="90"/>
      <c r="D934" s="91"/>
      <c r="E934" s="90"/>
      <c r="F934" s="90"/>
      <c r="G934" s="90"/>
      <c r="H934" s="90"/>
      <c r="I934" s="90"/>
      <c r="J934" s="78"/>
    </row>
    <row r="935" spans="1:10" x14ac:dyDescent="0.15">
      <c r="A935" s="89"/>
      <c r="B935" s="90"/>
      <c r="C935" s="90"/>
      <c r="D935" s="91"/>
      <c r="E935" s="90"/>
      <c r="F935" s="90"/>
      <c r="G935" s="90"/>
      <c r="H935" s="90"/>
      <c r="I935" s="90"/>
      <c r="J935" s="78"/>
    </row>
    <row r="936" spans="1:10" x14ac:dyDescent="0.15">
      <c r="A936" s="89"/>
      <c r="B936" s="90"/>
      <c r="C936" s="90"/>
      <c r="D936" s="91"/>
      <c r="E936" s="90"/>
      <c r="F936" s="90"/>
      <c r="G936" s="90"/>
      <c r="H936" s="90"/>
      <c r="I936" s="90"/>
      <c r="J936" s="78"/>
    </row>
    <row r="937" spans="1:10" x14ac:dyDescent="0.15">
      <c r="A937" s="89"/>
      <c r="B937" s="90"/>
      <c r="C937" s="90"/>
      <c r="D937" s="91"/>
      <c r="E937" s="90"/>
      <c r="F937" s="90"/>
      <c r="G937" s="90"/>
      <c r="H937" s="90"/>
      <c r="I937" s="90"/>
      <c r="J937" s="78"/>
    </row>
    <row r="938" spans="1:10" x14ac:dyDescent="0.15">
      <c r="A938" s="89"/>
      <c r="B938" s="90"/>
      <c r="C938" s="90"/>
      <c r="D938" s="91"/>
      <c r="E938" s="90"/>
      <c r="F938" s="90"/>
      <c r="G938" s="90"/>
      <c r="H938" s="90"/>
      <c r="I938" s="90"/>
      <c r="J938" s="78"/>
    </row>
    <row r="939" spans="1:10" x14ac:dyDescent="0.15">
      <c r="A939" s="89"/>
      <c r="B939" s="90"/>
      <c r="C939" s="90"/>
      <c r="D939" s="91"/>
      <c r="E939" s="90"/>
      <c r="F939" s="90"/>
      <c r="G939" s="90"/>
      <c r="H939" s="90"/>
      <c r="I939" s="90"/>
      <c r="J939" s="78"/>
    </row>
    <row r="940" spans="1:10" x14ac:dyDescent="0.15">
      <c r="A940" s="89"/>
      <c r="B940" s="90"/>
      <c r="C940" s="90"/>
      <c r="D940" s="91"/>
      <c r="E940" s="90"/>
      <c r="F940" s="90"/>
      <c r="G940" s="90"/>
      <c r="H940" s="90"/>
      <c r="I940" s="90"/>
      <c r="J940" s="78"/>
    </row>
    <row r="941" spans="1:10" x14ac:dyDescent="0.15">
      <c r="A941" s="89"/>
      <c r="B941" s="90"/>
      <c r="C941" s="90"/>
      <c r="D941" s="91"/>
      <c r="E941" s="90"/>
      <c r="F941" s="90"/>
      <c r="G941" s="90"/>
      <c r="H941" s="90"/>
      <c r="I941" s="90"/>
      <c r="J941" s="78"/>
    </row>
    <row r="942" spans="1:10" x14ac:dyDescent="0.15">
      <c r="A942" s="89"/>
      <c r="B942" s="90"/>
      <c r="C942" s="90"/>
      <c r="D942" s="91"/>
      <c r="E942" s="90"/>
      <c r="F942" s="90"/>
      <c r="G942" s="90"/>
      <c r="H942" s="90"/>
      <c r="I942" s="90"/>
      <c r="J942" s="78"/>
    </row>
    <row r="943" spans="1:10" x14ac:dyDescent="0.15">
      <c r="A943" s="89"/>
      <c r="B943" s="90"/>
      <c r="C943" s="90"/>
      <c r="D943" s="91"/>
      <c r="E943" s="90"/>
      <c r="F943" s="90"/>
      <c r="G943" s="90"/>
      <c r="H943" s="90"/>
      <c r="I943" s="90"/>
      <c r="J943" s="78"/>
    </row>
    <row r="944" spans="1:10" x14ac:dyDescent="0.15">
      <c r="A944" s="89"/>
      <c r="B944" s="90"/>
      <c r="C944" s="90"/>
      <c r="D944" s="91"/>
      <c r="E944" s="90"/>
      <c r="F944" s="90"/>
      <c r="G944" s="90"/>
      <c r="H944" s="90"/>
      <c r="I944" s="90"/>
      <c r="J944" s="78"/>
    </row>
    <row r="945" spans="1:10" x14ac:dyDescent="0.15">
      <c r="A945" s="89"/>
      <c r="B945" s="90"/>
      <c r="C945" s="90"/>
      <c r="D945" s="91"/>
      <c r="E945" s="90"/>
      <c r="F945" s="90"/>
      <c r="G945" s="90"/>
      <c r="H945" s="90"/>
      <c r="I945" s="90"/>
      <c r="J945" s="78"/>
    </row>
    <row r="946" spans="1:10" x14ac:dyDescent="0.15">
      <c r="A946" s="89"/>
      <c r="B946" s="90"/>
      <c r="C946" s="90"/>
      <c r="D946" s="91"/>
      <c r="E946" s="90"/>
      <c r="F946" s="90"/>
      <c r="G946" s="90"/>
      <c r="H946" s="90"/>
      <c r="I946" s="90"/>
      <c r="J946" s="78"/>
    </row>
    <row r="947" spans="1:10" x14ac:dyDescent="0.15">
      <c r="A947" s="89"/>
      <c r="B947" s="90"/>
      <c r="C947" s="90"/>
      <c r="D947" s="91"/>
      <c r="E947" s="90"/>
      <c r="F947" s="90"/>
      <c r="G947" s="90"/>
      <c r="H947" s="90"/>
      <c r="I947" s="90"/>
      <c r="J947" s="78"/>
    </row>
    <row r="948" spans="1:10" x14ac:dyDescent="0.15">
      <c r="A948" s="89"/>
      <c r="B948" s="90"/>
      <c r="C948" s="90"/>
      <c r="D948" s="91"/>
      <c r="E948" s="90"/>
      <c r="F948" s="90"/>
      <c r="G948" s="90"/>
      <c r="H948" s="90"/>
      <c r="I948" s="90"/>
      <c r="J948" s="78"/>
    </row>
    <row r="949" spans="1:10" x14ac:dyDescent="0.15">
      <c r="A949" s="89"/>
      <c r="B949" s="90"/>
      <c r="C949" s="90"/>
      <c r="D949" s="91"/>
      <c r="E949" s="90"/>
      <c r="F949" s="90"/>
      <c r="G949" s="90"/>
      <c r="H949" s="90"/>
      <c r="I949" s="90"/>
      <c r="J949" s="78"/>
    </row>
    <row r="950" spans="1:10" x14ac:dyDescent="0.15">
      <c r="A950" s="89"/>
      <c r="B950" s="90"/>
      <c r="C950" s="90"/>
      <c r="D950" s="91"/>
      <c r="E950" s="90"/>
      <c r="F950" s="90"/>
      <c r="G950" s="90"/>
      <c r="H950" s="90"/>
      <c r="I950" s="90"/>
      <c r="J950" s="78"/>
    </row>
    <row r="951" spans="1:10" x14ac:dyDescent="0.15">
      <c r="A951" s="89"/>
      <c r="B951" s="90"/>
      <c r="C951" s="90"/>
      <c r="D951" s="91"/>
      <c r="E951" s="90"/>
      <c r="F951" s="90"/>
      <c r="G951" s="90"/>
      <c r="H951" s="90"/>
      <c r="I951" s="90"/>
      <c r="J951" s="78"/>
    </row>
    <row r="952" spans="1:10" x14ac:dyDescent="0.15">
      <c r="A952" s="89"/>
      <c r="B952" s="90"/>
      <c r="C952" s="90"/>
      <c r="D952" s="91"/>
      <c r="E952" s="90"/>
      <c r="F952" s="90"/>
      <c r="G952" s="90"/>
      <c r="H952" s="90"/>
      <c r="I952" s="90"/>
      <c r="J952" s="78"/>
    </row>
    <row r="953" spans="1:10" x14ac:dyDescent="0.15">
      <c r="A953" s="89"/>
      <c r="B953" s="90"/>
      <c r="C953" s="90"/>
      <c r="D953" s="91"/>
      <c r="E953" s="90"/>
      <c r="F953" s="90"/>
      <c r="G953" s="90"/>
      <c r="H953" s="90"/>
      <c r="I953" s="90"/>
      <c r="J953" s="78"/>
    </row>
    <row r="954" spans="1:10" x14ac:dyDescent="0.15">
      <c r="A954" s="89"/>
      <c r="B954" s="90"/>
      <c r="C954" s="90"/>
      <c r="D954" s="91"/>
      <c r="E954" s="90"/>
      <c r="F954" s="90"/>
      <c r="G954" s="90"/>
      <c r="H954" s="90"/>
      <c r="I954" s="90"/>
      <c r="J954" s="78"/>
    </row>
    <row r="955" spans="1:10" x14ac:dyDescent="0.15">
      <c r="A955" s="89"/>
      <c r="B955" s="90"/>
      <c r="C955" s="90"/>
      <c r="D955" s="91"/>
      <c r="E955" s="90"/>
      <c r="F955" s="90"/>
      <c r="G955" s="90"/>
      <c r="H955" s="90"/>
      <c r="I955" s="90"/>
      <c r="J955" s="78"/>
    </row>
    <row r="956" spans="1:10" x14ac:dyDescent="0.15">
      <c r="A956" s="89"/>
      <c r="B956" s="90"/>
      <c r="C956" s="90"/>
      <c r="D956" s="91"/>
      <c r="E956" s="90"/>
      <c r="F956" s="90"/>
      <c r="G956" s="90"/>
      <c r="H956" s="90"/>
      <c r="I956" s="90"/>
      <c r="J956" s="78"/>
    </row>
    <row r="957" spans="1:10" x14ac:dyDescent="0.15">
      <c r="A957" s="89"/>
      <c r="B957" s="90"/>
      <c r="C957" s="90"/>
      <c r="D957" s="91"/>
      <c r="E957" s="90"/>
      <c r="F957" s="90"/>
      <c r="G957" s="90"/>
      <c r="H957" s="90"/>
      <c r="I957" s="90"/>
      <c r="J957" s="78"/>
    </row>
    <row r="958" spans="1:10" x14ac:dyDescent="0.15">
      <c r="A958" s="89"/>
      <c r="B958" s="90"/>
      <c r="C958" s="90"/>
      <c r="D958" s="91"/>
      <c r="E958" s="90"/>
      <c r="F958" s="90"/>
      <c r="G958" s="90"/>
      <c r="H958" s="90"/>
      <c r="I958" s="90"/>
      <c r="J958" s="78"/>
    </row>
    <row r="959" spans="1:10" x14ac:dyDescent="0.15">
      <c r="A959" s="89"/>
      <c r="B959" s="90"/>
      <c r="C959" s="90"/>
      <c r="D959" s="91"/>
      <c r="E959" s="90"/>
      <c r="F959" s="90"/>
      <c r="G959" s="90"/>
      <c r="H959" s="90"/>
      <c r="I959" s="90"/>
      <c r="J959" s="78"/>
    </row>
    <row r="960" spans="1:10" x14ac:dyDescent="0.15">
      <c r="A960" s="89"/>
      <c r="B960" s="90"/>
      <c r="C960" s="90"/>
      <c r="D960" s="91"/>
      <c r="E960" s="90"/>
      <c r="F960" s="90"/>
      <c r="G960" s="90"/>
      <c r="H960" s="90"/>
      <c r="I960" s="90"/>
      <c r="J960" s="78"/>
    </row>
    <row r="961" spans="1:10" x14ac:dyDescent="0.15">
      <c r="A961" s="89"/>
      <c r="B961" s="90"/>
      <c r="C961" s="90"/>
      <c r="D961" s="91"/>
      <c r="E961" s="90"/>
      <c r="F961" s="90"/>
      <c r="G961" s="90"/>
      <c r="H961" s="90"/>
      <c r="I961" s="90"/>
      <c r="J961" s="78"/>
    </row>
    <row r="962" spans="1:10" x14ac:dyDescent="0.15">
      <c r="A962" s="89"/>
      <c r="B962" s="90"/>
      <c r="C962" s="90"/>
      <c r="D962" s="91"/>
      <c r="E962" s="90"/>
      <c r="F962" s="90"/>
      <c r="G962" s="90"/>
      <c r="H962" s="90"/>
      <c r="I962" s="90"/>
      <c r="J962" s="78"/>
    </row>
    <row r="963" spans="1:10" x14ac:dyDescent="0.15">
      <c r="A963" s="89"/>
      <c r="B963" s="90"/>
      <c r="C963" s="90"/>
      <c r="D963" s="91"/>
      <c r="E963" s="90"/>
      <c r="F963" s="90"/>
      <c r="G963" s="90"/>
      <c r="H963" s="90"/>
      <c r="I963" s="90"/>
      <c r="J963" s="78"/>
    </row>
    <row r="964" spans="1:10" x14ac:dyDescent="0.15">
      <c r="A964" s="89"/>
      <c r="B964" s="90"/>
      <c r="C964" s="90"/>
      <c r="D964" s="91"/>
      <c r="E964" s="90"/>
      <c r="F964" s="90"/>
      <c r="G964" s="90"/>
      <c r="H964" s="90"/>
      <c r="I964" s="90"/>
      <c r="J964" s="78"/>
    </row>
    <row r="965" spans="1:10" x14ac:dyDescent="0.15">
      <c r="A965" s="89"/>
      <c r="B965" s="90"/>
      <c r="C965" s="90"/>
      <c r="D965" s="91"/>
      <c r="E965" s="90"/>
      <c r="F965" s="90"/>
      <c r="G965" s="90"/>
      <c r="H965" s="90"/>
      <c r="I965" s="90"/>
      <c r="J965" s="78"/>
    </row>
    <row r="966" spans="1:10" x14ac:dyDescent="0.15">
      <c r="A966" s="89"/>
      <c r="B966" s="90"/>
      <c r="C966" s="90"/>
      <c r="D966" s="91"/>
      <c r="E966" s="90"/>
      <c r="F966" s="90"/>
      <c r="G966" s="90"/>
      <c r="H966" s="90"/>
      <c r="I966" s="90"/>
      <c r="J966" s="78"/>
    </row>
    <row r="967" spans="1:10" x14ac:dyDescent="0.15">
      <c r="A967" s="89"/>
      <c r="B967" s="90"/>
      <c r="C967" s="90"/>
      <c r="D967" s="91"/>
      <c r="E967" s="90"/>
      <c r="F967" s="90"/>
      <c r="G967" s="90"/>
      <c r="H967" s="90"/>
      <c r="I967" s="90"/>
      <c r="J967" s="78"/>
    </row>
    <row r="968" spans="1:10" x14ac:dyDescent="0.15">
      <c r="A968" s="89"/>
      <c r="B968" s="90"/>
      <c r="C968" s="90"/>
      <c r="D968" s="91"/>
      <c r="E968" s="90"/>
      <c r="F968" s="90"/>
      <c r="G968" s="90"/>
      <c r="H968" s="90"/>
      <c r="I968" s="90"/>
      <c r="J968" s="78"/>
    </row>
    <row r="969" spans="1:10" x14ac:dyDescent="0.15">
      <c r="A969" s="89"/>
      <c r="B969" s="90"/>
      <c r="C969" s="90"/>
      <c r="D969" s="91"/>
      <c r="E969" s="90"/>
      <c r="F969" s="90"/>
      <c r="G969" s="90"/>
      <c r="H969" s="90"/>
      <c r="I969" s="90"/>
      <c r="J969" s="78"/>
    </row>
    <row r="970" spans="1:10" x14ac:dyDescent="0.15">
      <c r="A970" s="89"/>
      <c r="B970" s="90"/>
      <c r="C970" s="90"/>
      <c r="D970" s="91"/>
      <c r="E970" s="90"/>
      <c r="F970" s="90"/>
      <c r="G970" s="90"/>
      <c r="H970" s="90"/>
      <c r="I970" s="90"/>
      <c r="J970" s="78"/>
    </row>
    <row r="971" spans="1:10" x14ac:dyDescent="0.15">
      <c r="A971" s="89"/>
      <c r="B971" s="90"/>
      <c r="C971" s="90"/>
      <c r="D971" s="91"/>
      <c r="E971" s="90"/>
      <c r="F971" s="90"/>
      <c r="G971" s="90"/>
      <c r="H971" s="90"/>
      <c r="I971" s="90"/>
      <c r="J971" s="78"/>
    </row>
    <row r="972" spans="1:10" x14ac:dyDescent="0.15">
      <c r="A972" s="89"/>
      <c r="B972" s="90"/>
      <c r="C972" s="90"/>
      <c r="D972" s="91"/>
      <c r="E972" s="90"/>
      <c r="F972" s="90"/>
      <c r="G972" s="90"/>
      <c r="H972" s="90"/>
      <c r="I972" s="90"/>
      <c r="J972" s="78"/>
    </row>
    <row r="973" spans="1:10" x14ac:dyDescent="0.15">
      <c r="A973" s="89"/>
      <c r="B973" s="90"/>
      <c r="C973" s="90"/>
      <c r="D973" s="91"/>
      <c r="E973" s="90"/>
      <c r="F973" s="90"/>
      <c r="G973" s="90"/>
      <c r="H973" s="90"/>
      <c r="I973" s="90"/>
      <c r="J973" s="78"/>
    </row>
    <row r="974" spans="1:10" x14ac:dyDescent="0.15">
      <c r="A974" s="89"/>
      <c r="B974" s="90"/>
      <c r="C974" s="90"/>
      <c r="D974" s="91"/>
      <c r="E974" s="90"/>
      <c r="F974" s="90"/>
      <c r="G974" s="90"/>
      <c r="H974" s="90"/>
      <c r="I974" s="90"/>
      <c r="J974" s="78"/>
    </row>
    <row r="975" spans="1:10" x14ac:dyDescent="0.15">
      <c r="A975" s="89"/>
      <c r="B975" s="90"/>
      <c r="C975" s="90"/>
      <c r="D975" s="91"/>
      <c r="E975" s="90"/>
      <c r="F975" s="90"/>
      <c r="G975" s="90"/>
      <c r="H975" s="90"/>
      <c r="I975" s="90"/>
      <c r="J975" s="78"/>
    </row>
    <row r="976" spans="1:10" x14ac:dyDescent="0.15">
      <c r="A976" s="89"/>
      <c r="B976" s="90"/>
      <c r="C976" s="90"/>
      <c r="D976" s="91"/>
      <c r="E976" s="90"/>
      <c r="F976" s="90"/>
      <c r="G976" s="90"/>
      <c r="H976" s="90"/>
      <c r="I976" s="90"/>
      <c r="J976" s="78"/>
    </row>
    <row r="977" spans="1:10" x14ac:dyDescent="0.15">
      <c r="A977" s="89"/>
      <c r="B977" s="90"/>
      <c r="C977" s="90"/>
      <c r="D977" s="91"/>
      <c r="E977" s="90"/>
      <c r="F977" s="90"/>
      <c r="G977" s="90"/>
      <c r="H977" s="90"/>
      <c r="I977" s="90"/>
      <c r="J977" s="78"/>
    </row>
    <row r="978" spans="1:10" x14ac:dyDescent="0.15">
      <c r="A978" s="89"/>
      <c r="B978" s="90"/>
      <c r="C978" s="90"/>
      <c r="D978" s="91"/>
      <c r="E978" s="90"/>
      <c r="F978" s="90"/>
      <c r="G978" s="90"/>
      <c r="H978" s="90"/>
      <c r="I978" s="90"/>
      <c r="J978" s="78"/>
    </row>
    <row r="979" spans="1:10" x14ac:dyDescent="0.15">
      <c r="A979" s="89"/>
      <c r="B979" s="90"/>
      <c r="C979" s="90"/>
      <c r="D979" s="91"/>
      <c r="E979" s="90"/>
      <c r="F979" s="90"/>
      <c r="G979" s="90"/>
      <c r="H979" s="90"/>
      <c r="I979" s="90"/>
      <c r="J979" s="78"/>
    </row>
    <row r="980" spans="1:10" x14ac:dyDescent="0.15">
      <c r="A980" s="89"/>
      <c r="B980" s="90"/>
      <c r="C980" s="90"/>
      <c r="D980" s="91"/>
      <c r="E980" s="90"/>
      <c r="F980" s="90"/>
      <c r="G980" s="90"/>
      <c r="H980" s="90"/>
      <c r="I980" s="90"/>
      <c r="J980" s="78"/>
    </row>
    <row r="981" spans="1:10" x14ac:dyDescent="0.15">
      <c r="A981" s="89"/>
      <c r="B981" s="90"/>
      <c r="C981" s="90"/>
      <c r="D981" s="91"/>
      <c r="E981" s="90"/>
      <c r="F981" s="90"/>
      <c r="G981" s="90"/>
      <c r="H981" s="90"/>
      <c r="I981" s="90"/>
      <c r="J981" s="78"/>
    </row>
    <row r="982" spans="1:10" x14ac:dyDescent="0.15">
      <c r="A982" s="89"/>
      <c r="B982" s="90"/>
      <c r="C982" s="90"/>
      <c r="D982" s="91"/>
      <c r="E982" s="90"/>
      <c r="F982" s="90"/>
      <c r="G982" s="90"/>
      <c r="H982" s="90"/>
      <c r="I982" s="90"/>
      <c r="J982" s="78"/>
    </row>
    <row r="983" spans="1:10" x14ac:dyDescent="0.15">
      <c r="A983" s="89"/>
      <c r="B983" s="90"/>
      <c r="C983" s="90"/>
      <c r="D983" s="91"/>
      <c r="E983" s="90"/>
      <c r="F983" s="90"/>
      <c r="G983" s="90"/>
      <c r="H983" s="90"/>
      <c r="I983" s="90"/>
      <c r="J983" s="78"/>
    </row>
    <row r="984" spans="1:10" x14ac:dyDescent="0.15">
      <c r="A984" s="89"/>
      <c r="B984" s="90"/>
      <c r="C984" s="90"/>
      <c r="D984" s="91"/>
      <c r="E984" s="90"/>
      <c r="F984" s="90"/>
      <c r="G984" s="90"/>
      <c r="H984" s="90"/>
      <c r="I984" s="90"/>
      <c r="J984" s="78"/>
    </row>
    <row r="985" spans="1:10" x14ac:dyDescent="0.15">
      <c r="A985" s="89"/>
      <c r="B985" s="90"/>
      <c r="C985" s="90"/>
      <c r="D985" s="91"/>
      <c r="E985" s="90"/>
      <c r="F985" s="90"/>
      <c r="G985" s="90"/>
      <c r="H985" s="90"/>
      <c r="I985" s="90"/>
      <c r="J985" s="78"/>
    </row>
    <row r="986" spans="1:10" x14ac:dyDescent="0.15">
      <c r="A986" s="89"/>
      <c r="B986" s="90"/>
      <c r="C986" s="90"/>
      <c r="D986" s="91"/>
      <c r="E986" s="90"/>
      <c r="F986" s="90"/>
      <c r="G986" s="90"/>
      <c r="H986" s="90"/>
      <c r="I986" s="90"/>
      <c r="J986" s="78"/>
    </row>
    <row r="987" spans="1:10" x14ac:dyDescent="0.15">
      <c r="A987" s="89"/>
      <c r="B987" s="90"/>
      <c r="C987" s="90"/>
      <c r="D987" s="91"/>
      <c r="E987" s="90"/>
      <c r="F987" s="90"/>
      <c r="G987" s="90"/>
      <c r="H987" s="90"/>
      <c r="I987" s="90"/>
      <c r="J987" s="78"/>
    </row>
    <row r="988" spans="1:10" x14ac:dyDescent="0.15">
      <c r="A988" s="89"/>
      <c r="B988" s="90"/>
      <c r="C988" s="90"/>
      <c r="D988" s="91"/>
      <c r="E988" s="90"/>
      <c r="F988" s="90"/>
      <c r="G988" s="90"/>
      <c r="H988" s="90"/>
      <c r="I988" s="90"/>
      <c r="J988" s="78"/>
    </row>
    <row r="989" spans="1:10" x14ac:dyDescent="0.15">
      <c r="A989" s="89"/>
      <c r="B989" s="90"/>
      <c r="C989" s="90"/>
      <c r="D989" s="91"/>
      <c r="E989" s="90"/>
      <c r="F989" s="90"/>
      <c r="G989" s="90"/>
      <c r="H989" s="90"/>
      <c r="I989" s="90"/>
      <c r="J989" s="78"/>
    </row>
    <row r="990" spans="1:10" x14ac:dyDescent="0.15">
      <c r="A990" s="89"/>
      <c r="B990" s="90"/>
      <c r="C990" s="90"/>
      <c r="D990" s="91"/>
      <c r="E990" s="90"/>
      <c r="F990" s="90"/>
      <c r="G990" s="90"/>
      <c r="H990" s="90"/>
      <c r="I990" s="90"/>
      <c r="J990" s="78"/>
    </row>
    <row r="991" spans="1:10" x14ac:dyDescent="0.15">
      <c r="A991" s="89"/>
      <c r="B991" s="90"/>
      <c r="C991" s="90"/>
      <c r="D991" s="91"/>
      <c r="E991" s="90"/>
      <c r="F991" s="90"/>
      <c r="G991" s="90"/>
      <c r="H991" s="90"/>
      <c r="I991" s="90"/>
      <c r="J991" s="78"/>
    </row>
    <row r="992" spans="1:10" x14ac:dyDescent="0.15">
      <c r="A992" s="89"/>
      <c r="B992" s="90"/>
      <c r="C992" s="90"/>
      <c r="D992" s="91"/>
      <c r="E992" s="90"/>
      <c r="F992" s="90"/>
      <c r="G992" s="90"/>
      <c r="H992" s="90"/>
      <c r="I992" s="90"/>
      <c r="J992" s="78"/>
    </row>
    <row r="993" spans="1:10" x14ac:dyDescent="0.15">
      <c r="A993" s="89"/>
      <c r="B993" s="90"/>
      <c r="C993" s="90"/>
      <c r="D993" s="91"/>
      <c r="E993" s="90"/>
      <c r="F993" s="90"/>
      <c r="G993" s="90"/>
      <c r="H993" s="90"/>
      <c r="I993" s="90"/>
      <c r="J993" s="78"/>
    </row>
    <row r="994" spans="1:10" x14ac:dyDescent="0.15">
      <c r="A994" s="89"/>
      <c r="B994" s="90"/>
      <c r="C994" s="90"/>
      <c r="D994" s="91"/>
      <c r="E994" s="90"/>
      <c r="F994" s="90"/>
      <c r="G994" s="90"/>
      <c r="H994" s="90"/>
      <c r="I994" s="90"/>
      <c r="J994" s="78"/>
    </row>
    <row r="995" spans="1:10" x14ac:dyDescent="0.15">
      <c r="A995" s="89"/>
      <c r="B995" s="90"/>
      <c r="C995" s="90"/>
      <c r="D995" s="91"/>
      <c r="E995" s="90"/>
      <c r="F995" s="90"/>
      <c r="G995" s="90"/>
      <c r="H995" s="90"/>
      <c r="I995" s="90"/>
      <c r="J995" s="78"/>
    </row>
    <row r="996" spans="1:10" x14ac:dyDescent="0.15">
      <c r="A996" s="89"/>
      <c r="B996" s="90"/>
      <c r="C996" s="90"/>
      <c r="D996" s="91"/>
      <c r="E996" s="90"/>
      <c r="F996" s="90"/>
      <c r="G996" s="90"/>
      <c r="H996" s="90"/>
      <c r="I996" s="90"/>
      <c r="J996" s="78"/>
    </row>
    <row r="997" spans="1:10" x14ac:dyDescent="0.15">
      <c r="A997" s="89"/>
      <c r="B997" s="90"/>
      <c r="C997" s="90"/>
      <c r="D997" s="91"/>
      <c r="E997" s="90"/>
      <c r="F997" s="90"/>
      <c r="G997" s="90"/>
      <c r="H997" s="90"/>
      <c r="I997" s="90"/>
      <c r="J997" s="78"/>
    </row>
    <row r="998" spans="1:10" x14ac:dyDescent="0.15">
      <c r="A998" s="89"/>
      <c r="B998" s="90"/>
      <c r="C998" s="90"/>
      <c r="D998" s="91"/>
      <c r="E998" s="90"/>
      <c r="F998" s="90"/>
      <c r="G998" s="90"/>
      <c r="H998" s="90"/>
      <c r="I998" s="90"/>
      <c r="J998" s="78"/>
    </row>
    <row r="999" spans="1:10" x14ac:dyDescent="0.15">
      <c r="A999" s="89"/>
      <c r="B999" s="90"/>
      <c r="C999" s="90"/>
      <c r="D999" s="91"/>
      <c r="E999" s="90"/>
      <c r="F999" s="90"/>
      <c r="G999" s="90"/>
      <c r="H999" s="90"/>
      <c r="I999" s="90"/>
      <c r="J999" s="78"/>
    </row>
    <row r="1000" spans="1:10" x14ac:dyDescent="0.15">
      <c r="A1000" s="89"/>
      <c r="B1000" s="90"/>
      <c r="C1000" s="90"/>
      <c r="D1000" s="91"/>
      <c r="E1000" s="90"/>
      <c r="F1000" s="90"/>
      <c r="G1000" s="90"/>
      <c r="H1000" s="90"/>
      <c r="I1000" s="90"/>
      <c r="J1000" s="78"/>
    </row>
    <row r="1001" spans="1:10" x14ac:dyDescent="0.15">
      <c r="H1001" s="46"/>
    </row>
    <row r="1002" spans="1:10" x14ac:dyDescent="0.15">
      <c r="H1002" s="46"/>
    </row>
    <row r="1003" spans="1:10" x14ac:dyDescent="0.15">
      <c r="H1003" s="46"/>
    </row>
    <row r="1004" spans="1:10" x14ac:dyDescent="0.15">
      <c r="H1004" s="46"/>
    </row>
    <row r="1005" spans="1:10" x14ac:dyDescent="0.15">
      <c r="H1005" s="46"/>
    </row>
    <row r="1006" spans="1:10" x14ac:dyDescent="0.15">
      <c r="H1006" s="46"/>
    </row>
    <row r="1007" spans="1:10" x14ac:dyDescent="0.15">
      <c r="H1007" s="46"/>
    </row>
    <row r="1008" spans="1:10" x14ac:dyDescent="0.15">
      <c r="H1008" s="46"/>
    </row>
    <row r="1009" spans="8:8" x14ac:dyDescent="0.15">
      <c r="H1009" s="46"/>
    </row>
    <row r="1010" spans="8:8" x14ac:dyDescent="0.15">
      <c r="H1010" s="46"/>
    </row>
    <row r="1011" spans="8:8" x14ac:dyDescent="0.15">
      <c r="H1011" s="46"/>
    </row>
    <row r="1012" spans="8:8" x14ac:dyDescent="0.15">
      <c r="H1012" s="46"/>
    </row>
    <row r="1013" spans="8:8" x14ac:dyDescent="0.15">
      <c r="H1013" s="46"/>
    </row>
    <row r="1014" spans="8:8" x14ac:dyDescent="0.15">
      <c r="H1014" s="46"/>
    </row>
    <row r="1015" spans="8:8" x14ac:dyDescent="0.15">
      <c r="H1015" s="46"/>
    </row>
    <row r="1016" spans="8:8" x14ac:dyDescent="0.15">
      <c r="H1016" s="46"/>
    </row>
    <row r="1017" spans="8:8" x14ac:dyDescent="0.15">
      <c r="H1017" s="46"/>
    </row>
    <row r="1018" spans="8:8" x14ac:dyDescent="0.15">
      <c r="H1018" s="46"/>
    </row>
    <row r="1019" spans="8:8" x14ac:dyDescent="0.15">
      <c r="H1019" s="46"/>
    </row>
    <row r="1020" spans="8:8" x14ac:dyDescent="0.15">
      <c r="H1020" s="46"/>
    </row>
    <row r="1021" spans="8:8" x14ac:dyDescent="0.15">
      <c r="H1021" s="46"/>
    </row>
    <row r="1022" spans="8:8" x14ac:dyDescent="0.15">
      <c r="H1022" s="46"/>
    </row>
    <row r="1023" spans="8:8" x14ac:dyDescent="0.15">
      <c r="H1023" s="46"/>
    </row>
    <row r="1024" spans="8:8" x14ac:dyDescent="0.15">
      <c r="H1024" s="46"/>
    </row>
    <row r="1025" spans="8:8" x14ac:dyDescent="0.15">
      <c r="H1025" s="46"/>
    </row>
    <row r="1026" spans="8:8" x14ac:dyDescent="0.15">
      <c r="H1026" s="46"/>
    </row>
    <row r="1027" spans="8:8" x14ac:dyDescent="0.15">
      <c r="H1027" s="46"/>
    </row>
    <row r="1028" spans="8:8" x14ac:dyDescent="0.15">
      <c r="H1028" s="46"/>
    </row>
    <row r="1029" spans="8:8" x14ac:dyDescent="0.15">
      <c r="H1029" s="46"/>
    </row>
    <row r="1030" spans="8:8" x14ac:dyDescent="0.15">
      <c r="H1030" s="46"/>
    </row>
    <row r="1031" spans="8:8" x14ac:dyDescent="0.15">
      <c r="H1031" s="46"/>
    </row>
    <row r="1032" spans="8:8" x14ac:dyDescent="0.15">
      <c r="H1032" s="46"/>
    </row>
    <row r="1033" spans="8:8" x14ac:dyDescent="0.15">
      <c r="H1033" s="46"/>
    </row>
    <row r="1034" spans="8:8" x14ac:dyDescent="0.15">
      <c r="H1034" s="46"/>
    </row>
    <row r="1035" spans="8:8" x14ac:dyDescent="0.15">
      <c r="H1035" s="46"/>
    </row>
    <row r="1036" spans="8:8" x14ac:dyDescent="0.15">
      <c r="H1036" s="46"/>
    </row>
    <row r="1037" spans="8:8" x14ac:dyDescent="0.15">
      <c r="H1037" s="46"/>
    </row>
    <row r="1038" spans="8:8" x14ac:dyDescent="0.15">
      <c r="H1038" s="46"/>
    </row>
    <row r="1039" spans="8:8" x14ac:dyDescent="0.15">
      <c r="H1039" s="46"/>
    </row>
    <row r="1040" spans="8:8" x14ac:dyDescent="0.15">
      <c r="H1040" s="46"/>
    </row>
    <row r="1041" spans="8:8" x14ac:dyDescent="0.15">
      <c r="H1041" s="46"/>
    </row>
    <row r="1042" spans="8:8" x14ac:dyDescent="0.15">
      <c r="H1042" s="46"/>
    </row>
    <row r="1043" spans="8:8" x14ac:dyDescent="0.15">
      <c r="H1043" s="46"/>
    </row>
    <row r="1044" spans="8:8" x14ac:dyDescent="0.15">
      <c r="H1044" s="46"/>
    </row>
    <row r="1045" spans="8:8" x14ac:dyDescent="0.15">
      <c r="H1045" s="46"/>
    </row>
    <row r="1046" spans="8:8" x14ac:dyDescent="0.15">
      <c r="H1046" s="46"/>
    </row>
    <row r="1047" spans="8:8" x14ac:dyDescent="0.15">
      <c r="H1047" s="46"/>
    </row>
    <row r="1048" spans="8:8" x14ac:dyDescent="0.15">
      <c r="H1048" s="46"/>
    </row>
    <row r="1049" spans="8:8" x14ac:dyDescent="0.15">
      <c r="H1049" s="46"/>
    </row>
    <row r="1050" spans="8:8" x14ac:dyDescent="0.15">
      <c r="H1050" s="46"/>
    </row>
    <row r="1051" spans="8:8" x14ac:dyDescent="0.15">
      <c r="H1051" s="46"/>
    </row>
    <row r="1052" spans="8:8" x14ac:dyDescent="0.15">
      <c r="H1052" s="46"/>
    </row>
    <row r="1053" spans="8:8" x14ac:dyDescent="0.15">
      <c r="H1053" s="46"/>
    </row>
    <row r="1054" spans="8:8" x14ac:dyDescent="0.15">
      <c r="H1054" s="46"/>
    </row>
    <row r="1055" spans="8:8" x14ac:dyDescent="0.15">
      <c r="H1055" s="46"/>
    </row>
    <row r="1056" spans="8:8" x14ac:dyDescent="0.15">
      <c r="H1056" s="46"/>
    </row>
    <row r="1057" spans="8:8" x14ac:dyDescent="0.15">
      <c r="H1057" s="46"/>
    </row>
    <row r="1058" spans="8:8" x14ac:dyDescent="0.15">
      <c r="H1058" s="46"/>
    </row>
    <row r="1059" spans="8:8" x14ac:dyDescent="0.15">
      <c r="H1059" s="46"/>
    </row>
    <row r="1060" spans="8:8" x14ac:dyDescent="0.15">
      <c r="H1060" s="46"/>
    </row>
    <row r="1061" spans="8:8" x14ac:dyDescent="0.15">
      <c r="H1061" s="46"/>
    </row>
    <row r="1062" spans="8:8" x14ac:dyDescent="0.15">
      <c r="H1062" s="46"/>
    </row>
    <row r="1063" spans="8:8" x14ac:dyDescent="0.15">
      <c r="H1063" s="46"/>
    </row>
    <row r="1064" spans="8:8" x14ac:dyDescent="0.15">
      <c r="H1064" s="46"/>
    </row>
    <row r="1065" spans="8:8" x14ac:dyDescent="0.15">
      <c r="H1065" s="46"/>
    </row>
    <row r="1066" spans="8:8" x14ac:dyDescent="0.15">
      <c r="H1066" s="46"/>
    </row>
    <row r="1067" spans="8:8" x14ac:dyDescent="0.15">
      <c r="H1067" s="46"/>
    </row>
    <row r="1068" spans="8:8" x14ac:dyDescent="0.15">
      <c r="H1068" s="46"/>
    </row>
    <row r="1069" spans="8:8" x14ac:dyDescent="0.15">
      <c r="H1069" s="46"/>
    </row>
    <row r="1070" spans="8:8" x14ac:dyDescent="0.15">
      <c r="H1070" s="46"/>
    </row>
    <row r="1071" spans="8:8" x14ac:dyDescent="0.15">
      <c r="H1071" s="46"/>
    </row>
    <row r="1072" spans="8:8" x14ac:dyDescent="0.15">
      <c r="H1072" s="46"/>
    </row>
    <row r="1073" spans="8:8" x14ac:dyDescent="0.15">
      <c r="H1073" s="46"/>
    </row>
    <row r="1074" spans="8:8" x14ac:dyDescent="0.15">
      <c r="H1074" s="46"/>
    </row>
    <row r="1075" spans="8:8" x14ac:dyDescent="0.15">
      <c r="H1075" s="46"/>
    </row>
    <row r="1076" spans="8:8" x14ac:dyDescent="0.15">
      <c r="H1076" s="46"/>
    </row>
    <row r="1077" spans="8:8" x14ac:dyDescent="0.15">
      <c r="H1077" s="46"/>
    </row>
    <row r="1078" spans="8:8" x14ac:dyDescent="0.15">
      <c r="H1078" s="46"/>
    </row>
    <row r="1079" spans="8:8" x14ac:dyDescent="0.15">
      <c r="H1079" s="46"/>
    </row>
    <row r="1080" spans="8:8" x14ac:dyDescent="0.15">
      <c r="H1080" s="46"/>
    </row>
    <row r="1081" spans="8:8" x14ac:dyDescent="0.15">
      <c r="H1081" s="46"/>
    </row>
    <row r="1082" spans="8:8" x14ac:dyDescent="0.15">
      <c r="H1082" s="46"/>
    </row>
    <row r="1083" spans="8:8" x14ac:dyDescent="0.15">
      <c r="H1083" s="46"/>
    </row>
    <row r="1084" spans="8:8" x14ac:dyDescent="0.15">
      <c r="H1084" s="46"/>
    </row>
    <row r="1085" spans="8:8" x14ac:dyDescent="0.15">
      <c r="H1085" s="46"/>
    </row>
    <row r="1086" spans="8:8" x14ac:dyDescent="0.15">
      <c r="H1086" s="46"/>
    </row>
    <row r="1087" spans="8:8" x14ac:dyDescent="0.15">
      <c r="H1087" s="46"/>
    </row>
    <row r="1088" spans="8:8" x14ac:dyDescent="0.15">
      <c r="H1088" s="46"/>
    </row>
    <row r="1089" spans="8:8" x14ac:dyDescent="0.15">
      <c r="H1089" s="46"/>
    </row>
    <row r="1090" spans="8:8" x14ac:dyDescent="0.15">
      <c r="H1090" s="46"/>
    </row>
    <row r="1091" spans="8:8" x14ac:dyDescent="0.15">
      <c r="H1091" s="46"/>
    </row>
    <row r="1092" spans="8:8" x14ac:dyDescent="0.15">
      <c r="H1092" s="46"/>
    </row>
    <row r="1093" spans="8:8" x14ac:dyDescent="0.15">
      <c r="H1093" s="46"/>
    </row>
    <row r="1094" spans="8:8" x14ac:dyDescent="0.15">
      <c r="H1094" s="46"/>
    </row>
    <row r="1095" spans="8:8" x14ac:dyDescent="0.15">
      <c r="H1095" s="46"/>
    </row>
    <row r="1096" spans="8:8" x14ac:dyDescent="0.15">
      <c r="H1096" s="46"/>
    </row>
    <row r="1097" spans="8:8" x14ac:dyDescent="0.15">
      <c r="H1097" s="46"/>
    </row>
    <row r="1098" spans="8:8" x14ac:dyDescent="0.15">
      <c r="H1098" s="46"/>
    </row>
    <row r="1099" spans="8:8" x14ac:dyDescent="0.15">
      <c r="H1099" s="46"/>
    </row>
    <row r="1100" spans="8:8" x14ac:dyDescent="0.15">
      <c r="H1100" s="46"/>
    </row>
    <row r="1101" spans="8:8" x14ac:dyDescent="0.15">
      <c r="H1101" s="46"/>
    </row>
    <row r="1102" spans="8:8" x14ac:dyDescent="0.15">
      <c r="H1102" s="46"/>
    </row>
    <row r="1103" spans="8:8" x14ac:dyDescent="0.15">
      <c r="H1103" s="46"/>
    </row>
    <row r="1104" spans="8:8" x14ac:dyDescent="0.15">
      <c r="H1104" s="46"/>
    </row>
    <row r="1105" spans="8:8" x14ac:dyDescent="0.15">
      <c r="H1105" s="46"/>
    </row>
    <row r="1106" spans="8:8" x14ac:dyDescent="0.15">
      <c r="H1106" s="46"/>
    </row>
    <row r="1107" spans="8:8" x14ac:dyDescent="0.15">
      <c r="H1107" s="46"/>
    </row>
    <row r="1108" spans="8:8" x14ac:dyDescent="0.15">
      <c r="H1108" s="46"/>
    </row>
    <row r="1109" spans="8:8" x14ac:dyDescent="0.15">
      <c r="H1109" s="46"/>
    </row>
    <row r="1110" spans="8:8" x14ac:dyDescent="0.15">
      <c r="H1110" s="46"/>
    </row>
    <row r="1111" spans="8:8" x14ac:dyDescent="0.15">
      <c r="H1111" s="46"/>
    </row>
    <row r="1112" spans="8:8" x14ac:dyDescent="0.15">
      <c r="H1112" s="46"/>
    </row>
    <row r="1113" spans="8:8" x14ac:dyDescent="0.15">
      <c r="H1113" s="46"/>
    </row>
    <row r="1114" spans="8:8" x14ac:dyDescent="0.15">
      <c r="H1114" s="46"/>
    </row>
    <row r="1115" spans="8:8" x14ac:dyDescent="0.15">
      <c r="H1115" s="46"/>
    </row>
    <row r="1116" spans="8:8" x14ac:dyDescent="0.15">
      <c r="H1116" s="46"/>
    </row>
    <row r="1117" spans="8:8" x14ac:dyDescent="0.15">
      <c r="H1117" s="46"/>
    </row>
    <row r="1118" spans="8:8" x14ac:dyDescent="0.15">
      <c r="H1118" s="46"/>
    </row>
    <row r="1119" spans="8:8" x14ac:dyDescent="0.15">
      <c r="H1119" s="46"/>
    </row>
    <row r="1120" spans="8:8" x14ac:dyDescent="0.15">
      <c r="H1120" s="46"/>
    </row>
    <row r="1121" spans="8:8" x14ac:dyDescent="0.15">
      <c r="H1121" s="46"/>
    </row>
    <row r="1122" spans="8:8" x14ac:dyDescent="0.15">
      <c r="H1122" s="46"/>
    </row>
    <row r="1123" spans="8:8" x14ac:dyDescent="0.15">
      <c r="H1123" s="46"/>
    </row>
    <row r="1124" spans="8:8" x14ac:dyDescent="0.15">
      <c r="H1124" s="46"/>
    </row>
    <row r="1125" spans="8:8" x14ac:dyDescent="0.15">
      <c r="H1125" s="46"/>
    </row>
    <row r="1126" spans="8:8" x14ac:dyDescent="0.15">
      <c r="H1126" s="46"/>
    </row>
    <row r="1127" spans="8:8" x14ac:dyDescent="0.15">
      <c r="H1127" s="46"/>
    </row>
    <row r="1128" spans="8:8" x14ac:dyDescent="0.15">
      <c r="H1128" s="46"/>
    </row>
    <row r="1129" spans="8:8" x14ac:dyDescent="0.15">
      <c r="H1129" s="46"/>
    </row>
    <row r="1130" spans="8:8" x14ac:dyDescent="0.15">
      <c r="H1130" s="46"/>
    </row>
    <row r="1131" spans="8:8" x14ac:dyDescent="0.15">
      <c r="H1131" s="46"/>
    </row>
    <row r="1132" spans="8:8" x14ac:dyDescent="0.15">
      <c r="H1132" s="46"/>
    </row>
    <row r="1133" spans="8:8" x14ac:dyDescent="0.15">
      <c r="H1133" s="46"/>
    </row>
    <row r="1134" spans="8:8" x14ac:dyDescent="0.15">
      <c r="H1134" s="46"/>
    </row>
    <row r="1135" spans="8:8" x14ac:dyDescent="0.15">
      <c r="H1135" s="46"/>
    </row>
    <row r="1136" spans="8:8" x14ac:dyDescent="0.15">
      <c r="H1136" s="46"/>
    </row>
    <row r="1137" spans="8:8" x14ac:dyDescent="0.15">
      <c r="H1137" s="46"/>
    </row>
    <row r="1138" spans="8:8" x14ac:dyDescent="0.15">
      <c r="H1138" s="46"/>
    </row>
    <row r="1139" spans="8:8" x14ac:dyDescent="0.15">
      <c r="H1139" s="46"/>
    </row>
    <row r="1140" spans="8:8" x14ac:dyDescent="0.15">
      <c r="H1140" s="46"/>
    </row>
    <row r="1141" spans="8:8" x14ac:dyDescent="0.15">
      <c r="H1141" s="46"/>
    </row>
    <row r="1142" spans="8:8" x14ac:dyDescent="0.15">
      <c r="H1142" s="46"/>
    </row>
    <row r="1143" spans="8:8" x14ac:dyDescent="0.15">
      <c r="H1143" s="46"/>
    </row>
    <row r="1144" spans="8:8" x14ac:dyDescent="0.15">
      <c r="H1144" s="46"/>
    </row>
    <row r="1145" spans="8:8" x14ac:dyDescent="0.15">
      <c r="H1145" s="46"/>
    </row>
    <row r="1146" spans="8:8" x14ac:dyDescent="0.15">
      <c r="H1146" s="46"/>
    </row>
    <row r="1147" spans="8:8" x14ac:dyDescent="0.15">
      <c r="H1147" s="46"/>
    </row>
    <row r="1148" spans="8:8" x14ac:dyDescent="0.15">
      <c r="H1148" s="46"/>
    </row>
    <row r="1149" spans="8:8" x14ac:dyDescent="0.15">
      <c r="H1149" s="46"/>
    </row>
    <row r="1150" spans="8:8" x14ac:dyDescent="0.15">
      <c r="H1150" s="46"/>
    </row>
    <row r="1151" spans="8:8" x14ac:dyDescent="0.15">
      <c r="H1151" s="46"/>
    </row>
    <row r="1152" spans="8:8" x14ac:dyDescent="0.15">
      <c r="H1152" s="46"/>
    </row>
    <row r="1153" spans="8:8" x14ac:dyDescent="0.15">
      <c r="H1153" s="46"/>
    </row>
    <row r="1154" spans="8:8" x14ac:dyDescent="0.15">
      <c r="H1154" s="46"/>
    </row>
    <row r="1155" spans="8:8" x14ac:dyDescent="0.15">
      <c r="H1155" s="46"/>
    </row>
    <row r="1156" spans="8:8" x14ac:dyDescent="0.15">
      <c r="H1156" s="46"/>
    </row>
    <row r="1157" spans="8:8" x14ac:dyDescent="0.15">
      <c r="H1157" s="46"/>
    </row>
    <row r="1158" spans="8:8" x14ac:dyDescent="0.15">
      <c r="H1158" s="46"/>
    </row>
    <row r="1159" spans="8:8" x14ac:dyDescent="0.15">
      <c r="H1159" s="46"/>
    </row>
    <row r="1160" spans="8:8" x14ac:dyDescent="0.15">
      <c r="H1160" s="46"/>
    </row>
    <row r="1161" spans="8:8" x14ac:dyDescent="0.15">
      <c r="H1161" s="46"/>
    </row>
    <row r="1162" spans="8:8" x14ac:dyDescent="0.15">
      <c r="H1162" s="46"/>
    </row>
    <row r="1163" spans="8:8" x14ac:dyDescent="0.15">
      <c r="H1163" s="46"/>
    </row>
    <row r="1164" spans="8:8" x14ac:dyDescent="0.15">
      <c r="H1164" s="46"/>
    </row>
    <row r="1165" spans="8:8" x14ac:dyDescent="0.15">
      <c r="H1165" s="46"/>
    </row>
    <row r="1166" spans="8:8" x14ac:dyDescent="0.15">
      <c r="H1166" s="46"/>
    </row>
    <row r="1167" spans="8:8" x14ac:dyDescent="0.15">
      <c r="H1167" s="46"/>
    </row>
    <row r="1168" spans="8:8" x14ac:dyDescent="0.15">
      <c r="H1168" s="46"/>
    </row>
    <row r="1169" spans="8:8" x14ac:dyDescent="0.15">
      <c r="H1169" s="46"/>
    </row>
    <row r="1170" spans="8:8" x14ac:dyDescent="0.15">
      <c r="H1170" s="46"/>
    </row>
    <row r="1171" spans="8:8" x14ac:dyDescent="0.15">
      <c r="H1171" s="46"/>
    </row>
    <row r="1172" spans="8:8" x14ac:dyDescent="0.15">
      <c r="H1172" s="46"/>
    </row>
    <row r="1173" spans="8:8" x14ac:dyDescent="0.15">
      <c r="H1173" s="46"/>
    </row>
    <row r="1174" spans="8:8" x14ac:dyDescent="0.15">
      <c r="H1174" s="46"/>
    </row>
    <row r="1175" spans="8:8" x14ac:dyDescent="0.15">
      <c r="H1175" s="46"/>
    </row>
    <row r="1176" spans="8:8" x14ac:dyDescent="0.15">
      <c r="H1176" s="46"/>
    </row>
    <row r="1177" spans="8:8" x14ac:dyDescent="0.15">
      <c r="H1177" s="46"/>
    </row>
    <row r="1178" spans="8:8" x14ac:dyDescent="0.15">
      <c r="H1178" s="46"/>
    </row>
    <row r="1179" spans="8:8" x14ac:dyDescent="0.15">
      <c r="H1179" s="46"/>
    </row>
    <row r="1180" spans="8:8" x14ac:dyDescent="0.15">
      <c r="H1180" s="46"/>
    </row>
    <row r="1181" spans="8:8" x14ac:dyDescent="0.15">
      <c r="H1181" s="46"/>
    </row>
    <row r="1182" spans="8:8" x14ac:dyDescent="0.15">
      <c r="H1182" s="46"/>
    </row>
    <row r="1183" spans="8:8" x14ac:dyDescent="0.15">
      <c r="H1183" s="46"/>
    </row>
    <row r="1184" spans="8:8" x14ac:dyDescent="0.15">
      <c r="H1184" s="46"/>
    </row>
    <row r="1185" spans="8:8" x14ac:dyDescent="0.15">
      <c r="H1185" s="46"/>
    </row>
    <row r="1186" spans="8:8" x14ac:dyDescent="0.15">
      <c r="H1186" s="46"/>
    </row>
    <row r="1187" spans="8:8" x14ac:dyDescent="0.15">
      <c r="H1187" s="46"/>
    </row>
    <row r="1188" spans="8:8" x14ac:dyDescent="0.15">
      <c r="H1188" s="46"/>
    </row>
    <row r="1189" spans="8:8" x14ac:dyDescent="0.15">
      <c r="H1189" s="46"/>
    </row>
    <row r="1190" spans="8:8" x14ac:dyDescent="0.15">
      <c r="H1190" s="46"/>
    </row>
    <row r="1191" spans="8:8" x14ac:dyDescent="0.15">
      <c r="H1191" s="46"/>
    </row>
    <row r="1192" spans="8:8" x14ac:dyDescent="0.15">
      <c r="H1192" s="46"/>
    </row>
    <row r="1193" spans="8:8" x14ac:dyDescent="0.15">
      <c r="H1193" s="46"/>
    </row>
    <row r="1194" spans="8:8" x14ac:dyDescent="0.15">
      <c r="H1194" s="46"/>
    </row>
    <row r="1195" spans="8:8" x14ac:dyDescent="0.15">
      <c r="H1195" s="46"/>
    </row>
    <row r="1196" spans="8:8" x14ac:dyDescent="0.15">
      <c r="H1196" s="46"/>
    </row>
    <row r="1197" spans="8:8" x14ac:dyDescent="0.15">
      <c r="H1197" s="46"/>
    </row>
    <row r="1198" spans="8:8" x14ac:dyDescent="0.15">
      <c r="H1198" s="46"/>
    </row>
    <row r="1199" spans="8:8" x14ac:dyDescent="0.15">
      <c r="H1199" s="46"/>
    </row>
    <row r="1200" spans="8:8" x14ac:dyDescent="0.15">
      <c r="H1200" s="46"/>
    </row>
    <row r="1201" spans="8:8" x14ac:dyDescent="0.15">
      <c r="H1201" s="46"/>
    </row>
    <row r="1202" spans="8:8" x14ac:dyDescent="0.15">
      <c r="H1202" s="46"/>
    </row>
    <row r="1203" spans="8:8" x14ac:dyDescent="0.15">
      <c r="H1203" s="46"/>
    </row>
    <row r="1204" spans="8:8" x14ac:dyDescent="0.15">
      <c r="H1204" s="46"/>
    </row>
    <row r="1205" spans="8:8" x14ac:dyDescent="0.15">
      <c r="H1205" s="46"/>
    </row>
    <row r="1206" spans="8:8" x14ac:dyDescent="0.15">
      <c r="H1206" s="46"/>
    </row>
    <row r="1207" spans="8:8" x14ac:dyDescent="0.15">
      <c r="H1207" s="46"/>
    </row>
    <row r="1208" spans="8:8" x14ac:dyDescent="0.15">
      <c r="H1208" s="46"/>
    </row>
    <row r="1209" spans="8:8" x14ac:dyDescent="0.15">
      <c r="H1209" s="46"/>
    </row>
    <row r="1210" spans="8:8" x14ac:dyDescent="0.15">
      <c r="H1210" s="46"/>
    </row>
    <row r="1211" spans="8:8" x14ac:dyDescent="0.15">
      <c r="H1211" s="46"/>
    </row>
    <row r="1212" spans="8:8" x14ac:dyDescent="0.15">
      <c r="H1212" s="46"/>
    </row>
    <row r="1213" spans="8:8" x14ac:dyDescent="0.15">
      <c r="H1213" s="46"/>
    </row>
    <row r="1214" spans="8:8" x14ac:dyDescent="0.15">
      <c r="H1214" s="46"/>
    </row>
    <row r="1215" spans="8:8" x14ac:dyDescent="0.15">
      <c r="H1215" s="46"/>
    </row>
    <row r="1216" spans="8:8" x14ac:dyDescent="0.15">
      <c r="H1216" s="46"/>
    </row>
    <row r="1217" spans="8:8" x14ac:dyDescent="0.15">
      <c r="H1217" s="46"/>
    </row>
    <row r="1218" spans="8:8" x14ac:dyDescent="0.15">
      <c r="H1218" s="46"/>
    </row>
    <row r="1219" spans="8:8" x14ac:dyDescent="0.15">
      <c r="H1219" s="46"/>
    </row>
    <row r="1220" spans="8:8" x14ac:dyDescent="0.15">
      <c r="H1220" s="46"/>
    </row>
    <row r="1221" spans="8:8" x14ac:dyDescent="0.15">
      <c r="H1221" s="46"/>
    </row>
    <row r="1222" spans="8:8" x14ac:dyDescent="0.15">
      <c r="H1222" s="46"/>
    </row>
    <row r="1223" spans="8:8" x14ac:dyDescent="0.15">
      <c r="H1223" s="46"/>
    </row>
    <row r="1224" spans="8:8" x14ac:dyDescent="0.15">
      <c r="H1224" s="46"/>
    </row>
    <row r="1225" spans="8:8" x14ac:dyDescent="0.15">
      <c r="H1225" s="46"/>
    </row>
    <row r="1226" spans="8:8" x14ac:dyDescent="0.15">
      <c r="H1226" s="46"/>
    </row>
    <row r="1227" spans="8:8" x14ac:dyDescent="0.15">
      <c r="H1227" s="46"/>
    </row>
    <row r="1228" spans="8:8" x14ac:dyDescent="0.15">
      <c r="H1228" s="46"/>
    </row>
    <row r="1229" spans="8:8" x14ac:dyDescent="0.15">
      <c r="H1229" s="46"/>
    </row>
    <row r="1230" spans="8:8" x14ac:dyDescent="0.15">
      <c r="H1230" s="46"/>
    </row>
    <row r="1231" spans="8:8" x14ac:dyDescent="0.15">
      <c r="H1231" s="46"/>
    </row>
    <row r="1232" spans="8:8" x14ac:dyDescent="0.15">
      <c r="H1232" s="46"/>
    </row>
    <row r="1233" spans="8:8" x14ac:dyDescent="0.15">
      <c r="H1233" s="46"/>
    </row>
    <row r="1234" spans="8:8" x14ac:dyDescent="0.15">
      <c r="H1234" s="46"/>
    </row>
    <row r="1235" spans="8:8" x14ac:dyDescent="0.15">
      <c r="H1235" s="46"/>
    </row>
    <row r="1236" spans="8:8" x14ac:dyDescent="0.15">
      <c r="H1236" s="46"/>
    </row>
    <row r="1237" spans="8:8" x14ac:dyDescent="0.15">
      <c r="H1237" s="46"/>
    </row>
    <row r="1238" spans="8:8" x14ac:dyDescent="0.15">
      <c r="H1238" s="46"/>
    </row>
    <row r="1239" spans="8:8" x14ac:dyDescent="0.15">
      <c r="H1239" s="46"/>
    </row>
    <row r="1240" spans="8:8" x14ac:dyDescent="0.15">
      <c r="H1240" s="46"/>
    </row>
    <row r="1241" spans="8:8" x14ac:dyDescent="0.15">
      <c r="H1241" s="46"/>
    </row>
    <row r="1242" spans="8:8" x14ac:dyDescent="0.15">
      <c r="H1242" s="46"/>
    </row>
    <row r="1243" spans="8:8" x14ac:dyDescent="0.15">
      <c r="H1243" s="46"/>
    </row>
    <row r="1244" spans="8:8" x14ac:dyDescent="0.15">
      <c r="H1244" s="46"/>
    </row>
    <row r="1245" spans="8:8" x14ac:dyDescent="0.15">
      <c r="H1245" s="46"/>
    </row>
    <row r="1246" spans="8:8" x14ac:dyDescent="0.15">
      <c r="H1246" s="46"/>
    </row>
    <row r="1247" spans="8:8" x14ac:dyDescent="0.15">
      <c r="H1247" s="46"/>
    </row>
    <row r="1248" spans="8:8" x14ac:dyDescent="0.15">
      <c r="H1248" s="46"/>
    </row>
    <row r="1249" spans="8:8" x14ac:dyDescent="0.15">
      <c r="H1249" s="46"/>
    </row>
    <row r="1250" spans="8:8" x14ac:dyDescent="0.15">
      <c r="H1250" s="46"/>
    </row>
    <row r="1251" spans="8:8" x14ac:dyDescent="0.15">
      <c r="H1251" s="46"/>
    </row>
    <row r="1252" spans="8:8" x14ac:dyDescent="0.15">
      <c r="H1252" s="46"/>
    </row>
    <row r="1253" spans="8:8" x14ac:dyDescent="0.15">
      <c r="H1253" s="46"/>
    </row>
    <row r="1254" spans="8:8" x14ac:dyDescent="0.15">
      <c r="H1254" s="46"/>
    </row>
    <row r="1255" spans="8:8" x14ac:dyDescent="0.15">
      <c r="H1255" s="46"/>
    </row>
    <row r="1256" spans="8:8" x14ac:dyDescent="0.15">
      <c r="H1256" s="46"/>
    </row>
    <row r="1257" spans="8:8" x14ac:dyDescent="0.15">
      <c r="H1257" s="46"/>
    </row>
    <row r="1258" spans="8:8" x14ac:dyDescent="0.15">
      <c r="H1258" s="46"/>
    </row>
    <row r="1259" spans="8:8" x14ac:dyDescent="0.15">
      <c r="H1259" s="46"/>
    </row>
    <row r="1260" spans="8:8" x14ac:dyDescent="0.15">
      <c r="H1260" s="46"/>
    </row>
    <row r="1261" spans="8:8" x14ac:dyDescent="0.15">
      <c r="H1261" s="46"/>
    </row>
    <row r="1262" spans="8:8" x14ac:dyDescent="0.15">
      <c r="H1262" s="46"/>
    </row>
    <row r="1263" spans="8:8" x14ac:dyDescent="0.15">
      <c r="H1263" s="46"/>
    </row>
    <row r="1264" spans="8:8" x14ac:dyDescent="0.15">
      <c r="H1264" s="46"/>
    </row>
    <row r="1265" spans="8:8" x14ac:dyDescent="0.15">
      <c r="H1265" s="46"/>
    </row>
    <row r="1266" spans="8:8" x14ac:dyDescent="0.15">
      <c r="H1266" s="46"/>
    </row>
    <row r="1267" spans="8:8" x14ac:dyDescent="0.15">
      <c r="H1267" s="46"/>
    </row>
    <row r="1268" spans="8:8" x14ac:dyDescent="0.15">
      <c r="H1268" s="46"/>
    </row>
    <row r="1269" spans="8:8" x14ac:dyDescent="0.15">
      <c r="H1269" s="46"/>
    </row>
    <row r="1270" spans="8:8" x14ac:dyDescent="0.15">
      <c r="H1270" s="46"/>
    </row>
    <row r="1271" spans="8:8" x14ac:dyDescent="0.15">
      <c r="H1271" s="46"/>
    </row>
    <row r="1272" spans="8:8" x14ac:dyDescent="0.15">
      <c r="H1272" s="46"/>
    </row>
    <row r="1273" spans="8:8" x14ac:dyDescent="0.15">
      <c r="H1273" s="46"/>
    </row>
    <row r="1274" spans="8:8" x14ac:dyDescent="0.15">
      <c r="H1274" s="46"/>
    </row>
    <row r="1275" spans="8:8" x14ac:dyDescent="0.15">
      <c r="H1275" s="46"/>
    </row>
    <row r="1276" spans="8:8" x14ac:dyDescent="0.15">
      <c r="H1276" s="46"/>
    </row>
    <row r="1277" spans="8:8" x14ac:dyDescent="0.15">
      <c r="H1277" s="46"/>
    </row>
    <row r="1278" spans="8:8" x14ac:dyDescent="0.15">
      <c r="H1278" s="46"/>
    </row>
    <row r="1279" spans="8:8" x14ac:dyDescent="0.15">
      <c r="H1279" s="46"/>
    </row>
    <row r="1280" spans="8:8" x14ac:dyDescent="0.15">
      <c r="H1280" s="46"/>
    </row>
    <row r="1281" spans="8:8" x14ac:dyDescent="0.15">
      <c r="H1281" s="46"/>
    </row>
    <row r="1282" spans="8:8" x14ac:dyDescent="0.15">
      <c r="H1282" s="46"/>
    </row>
    <row r="1283" spans="8:8" x14ac:dyDescent="0.15">
      <c r="H1283" s="46"/>
    </row>
    <row r="1284" spans="8:8" x14ac:dyDescent="0.15">
      <c r="H1284" s="46"/>
    </row>
    <row r="1285" spans="8:8" x14ac:dyDescent="0.15">
      <c r="H1285" s="46"/>
    </row>
    <row r="1286" spans="8:8" x14ac:dyDescent="0.15">
      <c r="H1286" s="46"/>
    </row>
    <row r="1287" spans="8:8" x14ac:dyDescent="0.15">
      <c r="H1287" s="46"/>
    </row>
    <row r="1288" spans="8:8" x14ac:dyDescent="0.15">
      <c r="H1288" s="46"/>
    </row>
    <row r="1289" spans="8:8" x14ac:dyDescent="0.15">
      <c r="H1289" s="46"/>
    </row>
    <row r="1290" spans="8:8" x14ac:dyDescent="0.15">
      <c r="H1290" s="46"/>
    </row>
    <row r="1291" spans="8:8" x14ac:dyDescent="0.15">
      <c r="H1291" s="46"/>
    </row>
    <row r="1292" spans="8:8" x14ac:dyDescent="0.15">
      <c r="H1292" s="46"/>
    </row>
    <row r="1293" spans="8:8" x14ac:dyDescent="0.15">
      <c r="H1293" s="46"/>
    </row>
    <row r="1294" spans="8:8" x14ac:dyDescent="0.15">
      <c r="H1294" s="46"/>
    </row>
    <row r="1295" spans="8:8" x14ac:dyDescent="0.15">
      <c r="H1295" s="46"/>
    </row>
    <row r="1296" spans="8:8" x14ac:dyDescent="0.15">
      <c r="H1296" s="46"/>
    </row>
    <row r="1297" spans="8:8" x14ac:dyDescent="0.15">
      <c r="H1297" s="46"/>
    </row>
    <row r="1298" spans="8:8" x14ac:dyDescent="0.15">
      <c r="H1298" s="46"/>
    </row>
    <row r="1299" spans="8:8" x14ac:dyDescent="0.15">
      <c r="H1299" s="46"/>
    </row>
    <row r="1300" spans="8:8" x14ac:dyDescent="0.15">
      <c r="H1300" s="46"/>
    </row>
    <row r="1301" spans="8:8" x14ac:dyDescent="0.15">
      <c r="H1301" s="46"/>
    </row>
    <row r="1302" spans="8:8" x14ac:dyDescent="0.15">
      <c r="H1302" s="46"/>
    </row>
    <row r="1303" spans="8:8" x14ac:dyDescent="0.15">
      <c r="H1303" s="46"/>
    </row>
    <row r="1304" spans="8:8" x14ac:dyDescent="0.15">
      <c r="H1304" s="46"/>
    </row>
    <row r="1305" spans="8:8" x14ac:dyDescent="0.15">
      <c r="H1305" s="46"/>
    </row>
    <row r="1306" spans="8:8" x14ac:dyDescent="0.15">
      <c r="H1306" s="46"/>
    </row>
    <row r="1307" spans="8:8" x14ac:dyDescent="0.15">
      <c r="H1307" s="46"/>
    </row>
    <row r="1308" spans="8:8" x14ac:dyDescent="0.15">
      <c r="H1308" s="46"/>
    </row>
    <row r="1309" spans="8:8" x14ac:dyDescent="0.15">
      <c r="H1309" s="46"/>
    </row>
    <row r="1310" spans="8:8" x14ac:dyDescent="0.15">
      <c r="H1310" s="46"/>
    </row>
    <row r="1311" spans="8:8" x14ac:dyDescent="0.15">
      <c r="H1311" s="46"/>
    </row>
    <row r="1312" spans="8:8" x14ac:dyDescent="0.15">
      <c r="H1312" s="46"/>
    </row>
    <row r="1313" spans="8:8" x14ac:dyDescent="0.15">
      <c r="H1313" s="46"/>
    </row>
    <row r="1314" spans="8:8" x14ac:dyDescent="0.15">
      <c r="H1314" s="46"/>
    </row>
    <row r="1315" spans="8:8" x14ac:dyDescent="0.15">
      <c r="H1315" s="46"/>
    </row>
    <row r="1316" spans="8:8" x14ac:dyDescent="0.15">
      <c r="H1316" s="46"/>
    </row>
    <row r="1317" spans="8:8" x14ac:dyDescent="0.15">
      <c r="H1317" s="46"/>
    </row>
  </sheetData>
  <autoFilter ref="A1:BA133" xr:uid="{00000000-0009-0000-0000-000006000000}"/>
  <phoneticPr fontId="3"/>
  <dataValidations count="25">
    <dataValidation type="list" allowBlank="1" showInputMessage="1" showErrorMessage="1" sqref="F113:F115 F134:F1000" xr:uid="{00000000-0002-0000-0600-000000000000}">
      <formula1>$AH$2:$AH$10</formula1>
    </dataValidation>
    <dataValidation type="list" allowBlank="1" showInputMessage="1" showErrorMessage="1" sqref="E113:E115 E134:E1000" xr:uid="{00000000-0002-0000-0600-000001000000}">
      <formula1>$AG$2:$AG$10</formula1>
    </dataValidation>
    <dataValidation type="decimal" allowBlank="1" showInputMessage="1" showErrorMessage="1" error="硬度を正しく入力して下さい。" sqref="O2:P52 O55:O491 P54:P491" xr:uid="{00000000-0002-0000-0600-000002000000}">
      <formula1>0</formula1>
      <formula2>7</formula2>
    </dataValidation>
    <dataValidation type="list" allowBlank="1" showInputMessage="1" showErrorMessage="1" sqref="Y2:AA491" xr:uid="{00000000-0002-0000-0600-000003000000}">
      <formula1>$AV$2:$AV$21</formula1>
    </dataValidation>
    <dataValidation type="list" allowBlank="1" showInputMessage="1" showErrorMessage="1" sqref="I2:I1000" xr:uid="{00000000-0002-0000-0600-000005000000}">
      <formula1>$AN$5:$AN$6</formula1>
    </dataValidation>
    <dataValidation type="list" allowBlank="1" showInputMessage="1" showErrorMessage="1" sqref="A2:A1000" xr:uid="{00000000-0002-0000-0600-000007000000}">
      <formula1>$AE$2:$AE$19</formula1>
    </dataValidation>
    <dataValidation type="list" allowBlank="1" showInputMessage="1" showErrorMessage="1" sqref="X2:X491" xr:uid="{00000000-0002-0000-0600-000008000000}">
      <formula1>$AT$2:$AT$3</formula1>
    </dataValidation>
    <dataValidation type="list" allowBlank="1" showInputMessage="1" showErrorMessage="1" sqref="G2:G1000" xr:uid="{00000000-0002-0000-0600-000009000000}">
      <formula1>$AJ$2:$AJ$4</formula1>
    </dataValidation>
    <dataValidation operator="equal" allowBlank="1" showInputMessage="1" showErrorMessage="1" sqref="B125:B1000" xr:uid="{00000000-0002-0000-0600-00000B000000}"/>
    <dataValidation type="list" allowBlank="1" showInputMessage="1" showErrorMessage="1" sqref="F1001:F64242" xr:uid="{00000000-0002-0000-0600-00000C000000}">
      <formula1>$AH$2:$AH$8</formula1>
    </dataValidation>
    <dataValidation type="list" allowBlank="1" showInputMessage="1" showErrorMessage="1" sqref="E1001:E64242" xr:uid="{00000000-0002-0000-0600-00000D000000}">
      <formula1>$AG$2:$AG$9</formula1>
    </dataValidation>
    <dataValidation type="list" allowBlank="1" showInputMessage="1" showErrorMessage="1" sqref="H1318:H64242" xr:uid="{00000000-0002-0000-0600-00000E000000}">
      <formula1>$AL$2:$AL$10</formula1>
    </dataValidation>
    <dataValidation type="list" allowBlank="1" showInputMessage="1" showErrorMessage="1" sqref="Y492:AA64242" xr:uid="{00000000-0002-0000-0600-000010000000}">
      <formula1>$AV$2:$AV$26</formula1>
    </dataValidation>
    <dataValidation type="list" allowBlank="1" showInputMessage="1" showErrorMessage="1" sqref="I1001:I64242" xr:uid="{00000000-0002-0000-0600-000011000000}">
      <formula1>$AN$2:$AN$6</formula1>
    </dataValidation>
    <dataValidation type="list" allowBlank="1" showInputMessage="1" showErrorMessage="1" sqref="H1001:H1317 H2:H118" xr:uid="{AA81BB8A-F1FE-4208-85B5-1FF0FCEB4E33}">
      <formula1>$AL$2:$AL$9</formula1>
    </dataValidation>
    <dataValidation type="list" allowBlank="1" showInputMessage="1" showErrorMessage="1" sqref="H119:H1000" xr:uid="{275C054A-9B5A-41DF-84F0-3334368FCAD4}">
      <formula1>$AL$2:$AL$15</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A932097C-E062-4CBE-BED5-EC7639015DEC}">
      <formula1>$AR$2:$AR$30</formula1>
    </dataValidation>
    <dataValidation type="list" allowBlank="1" showInputMessage="1" showErrorMessage="1" sqref="J65535:J65613 J131071:J131149 J196607:J196685 J262143:J262221 J327679:J327757 J393215:J393293 J458751:J458829 J524287:J524365 J589823:J589901 J655359:J655437 J720895:J720973 J786431:J786509 J851967:J852045 J917503:J917581 J983039:J983117" xr:uid="{ACBB5488-F4F5-4D7A-B160-559CDB1F646F}">
      <formula1>$AP$2:$AP$15</formula1>
    </dataValidation>
    <dataValidation type="list" allowBlank="1" showInputMessage="1" showErrorMessage="1" sqref="J125:J1000" xr:uid="{C44CAB8E-0A7F-4B46-830A-91B0DB4FF77B}">
      <formula1>$AP$2:$AP$26</formula1>
    </dataValidation>
    <dataValidation type="list" allowBlank="1" showInputMessage="1" showErrorMessage="1" sqref="K125:K1000" xr:uid="{18452FB3-BC99-4046-A7DD-3E529B2DA4AC}">
      <formula1>$AR$2:$AR$25</formula1>
    </dataValidation>
    <dataValidation type="list" allowBlank="1" showInputMessage="1" showErrorMessage="1" sqref="K2:K124" xr:uid="{B2841F96-228D-48D0-BFD4-4E205AA6DD7C}">
      <formula1>$AR$2:$AR$28</formula1>
    </dataValidation>
    <dataValidation type="list" allowBlank="1" showInputMessage="1" showErrorMessage="1" sqref="J2:J124" xr:uid="{4EABB15A-7BD6-4AB4-B460-C5B83DB0C7BE}">
      <formula1>$AP$2:$AP$29</formula1>
    </dataValidation>
    <dataValidation allowBlank="1" showInputMessage="1" showErrorMessage="1" sqref="B2" xr:uid="{74D21918-0662-4903-A6A7-9C05CD7B07A1}"/>
    <dataValidation type="list" allowBlank="1" showInputMessage="1" showErrorMessage="1" sqref="F2:F112 F116:F133" xr:uid="{C3456C52-09EB-4E30-A9CE-8C5F7FB0F043}">
      <formula1>$AH$2:$AH$11</formula1>
    </dataValidation>
    <dataValidation type="list" allowBlank="1" showInputMessage="1" showErrorMessage="1" sqref="E2:E112 E116:E133" xr:uid="{915291FB-7F52-48A7-8BF7-D45A824F9D49}">
      <formula1>$AG$2:$AG$11</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34931-CD93-4803-8157-B443FFC68911}">
  <dimension ref="A1:BA139"/>
  <sheetViews>
    <sheetView zoomScale="85" zoomScaleNormal="85" workbookViewId="0">
      <pane ySplit="1" topLeftCell="A2" activePane="bottomLeft" state="frozen"/>
      <selection activeCell="H14" sqref="H14"/>
      <selection pane="bottomLeft" activeCell="A2" sqref="A2"/>
    </sheetView>
  </sheetViews>
  <sheetFormatPr defaultColWidth="9" defaultRowHeight="13.5" x14ac:dyDescent="0.15"/>
  <cols>
    <col min="1" max="1" width="8.5" style="77" bestFit="1" customWidth="1"/>
    <col min="2" max="2" width="7.875" style="77" bestFit="1" customWidth="1"/>
    <col min="3" max="3" width="9.25" style="77" bestFit="1" customWidth="1"/>
    <col min="4" max="4" width="10.375" style="77" customWidth="1"/>
    <col min="5" max="5" width="10.875" style="77" bestFit="1" customWidth="1"/>
    <col min="6" max="6" width="14.625" style="77" customWidth="1"/>
    <col min="7" max="7" width="7.25" style="77" customWidth="1"/>
    <col min="8" max="8" width="8.125" style="77" customWidth="1"/>
    <col min="9" max="9" width="7.875" style="77" bestFit="1" customWidth="1"/>
    <col min="10" max="11" width="9" style="77"/>
    <col min="12" max="12" width="6.5" style="77" bestFit="1" customWidth="1"/>
    <col min="13" max="13" width="9" style="77" bestFit="1" customWidth="1"/>
    <col min="14" max="14" width="9.375" style="77" bestFit="1" customWidth="1"/>
    <col min="15" max="15" width="8.5" style="77" bestFit="1" customWidth="1"/>
    <col min="16" max="16" width="9" style="77"/>
    <col min="17" max="17" width="9" style="16"/>
    <col min="18" max="19" width="9" style="77"/>
    <col min="20" max="20" width="9" style="16"/>
    <col min="21" max="21" width="9" style="77"/>
    <col min="22" max="22" width="14.25" style="16" customWidth="1"/>
    <col min="23" max="23" width="9" style="77"/>
    <col min="24" max="24" width="9.625" style="77" customWidth="1"/>
    <col min="25" max="26" width="9" style="77"/>
    <col min="27" max="27" width="12.125" style="77" customWidth="1"/>
    <col min="28" max="32" width="9" style="77"/>
    <col min="33" max="33" width="15.125" style="77" bestFit="1" customWidth="1"/>
    <col min="34" max="34" width="19.625" style="77" bestFit="1" customWidth="1"/>
    <col min="35" max="16384" width="9" style="77"/>
  </cols>
  <sheetData>
    <row r="1" spans="1:53" ht="45" x14ac:dyDescent="0.15">
      <c r="A1" s="40" t="s">
        <v>0</v>
      </c>
      <c r="B1" s="92" t="s">
        <v>1</v>
      </c>
      <c r="C1" s="92" t="s">
        <v>118</v>
      </c>
      <c r="D1" s="93" t="s">
        <v>2</v>
      </c>
      <c r="E1" s="83" t="s">
        <v>3</v>
      </c>
      <c r="F1" s="83" t="s">
        <v>4</v>
      </c>
      <c r="G1" s="83" t="s">
        <v>5</v>
      </c>
      <c r="H1" s="83" t="s">
        <v>6</v>
      </c>
      <c r="I1" s="83" t="s">
        <v>7</v>
      </c>
      <c r="J1" s="83" t="s">
        <v>8</v>
      </c>
      <c r="K1" s="83" t="s">
        <v>9</v>
      </c>
      <c r="L1" s="93" t="s">
        <v>119</v>
      </c>
      <c r="M1" s="93" t="s">
        <v>10</v>
      </c>
      <c r="N1" s="93" t="s">
        <v>11</v>
      </c>
      <c r="O1" s="93" t="s">
        <v>120</v>
      </c>
      <c r="P1" s="93" t="s">
        <v>121</v>
      </c>
      <c r="Q1" s="3" t="s">
        <v>12</v>
      </c>
      <c r="R1" s="93" t="s">
        <v>122</v>
      </c>
      <c r="S1" s="93" t="s">
        <v>123</v>
      </c>
      <c r="T1" s="3" t="s">
        <v>13</v>
      </c>
      <c r="U1" s="94" t="s">
        <v>289</v>
      </c>
      <c r="V1" s="5" t="s">
        <v>14</v>
      </c>
      <c r="W1" s="93" t="s">
        <v>15</v>
      </c>
      <c r="X1" s="83" t="s">
        <v>16</v>
      </c>
      <c r="Y1" s="83" t="s">
        <v>17</v>
      </c>
      <c r="Z1" s="83" t="s">
        <v>369</v>
      </c>
      <c r="AA1" s="42" t="s">
        <v>19</v>
      </c>
      <c r="AB1" s="95" t="s">
        <v>124</v>
      </c>
      <c r="AE1" s="96" t="s">
        <v>0</v>
      </c>
      <c r="AF1" s="97"/>
      <c r="AG1" s="192" t="s">
        <v>3</v>
      </c>
      <c r="AH1" s="96" t="s">
        <v>4</v>
      </c>
      <c r="AI1" s="97"/>
      <c r="AJ1" s="96" t="s">
        <v>5</v>
      </c>
      <c r="AK1" s="97"/>
      <c r="AL1" s="10" t="s">
        <v>6</v>
      </c>
      <c r="AM1" s="97"/>
      <c r="AN1" s="10" t="s">
        <v>7</v>
      </c>
      <c r="AO1" s="97"/>
      <c r="AP1" s="10" t="s">
        <v>20</v>
      </c>
      <c r="AQ1" s="97"/>
      <c r="AR1" s="10" t="s">
        <v>9</v>
      </c>
      <c r="AS1" s="97"/>
      <c r="AT1" s="11" t="s">
        <v>21</v>
      </c>
      <c r="AU1" s="97"/>
      <c r="AV1" s="10" t="s">
        <v>22</v>
      </c>
      <c r="AX1" s="12" t="s">
        <v>125</v>
      </c>
      <c r="AY1" s="13" t="s">
        <v>126</v>
      </c>
      <c r="AZ1" s="13" t="s">
        <v>127</v>
      </c>
      <c r="BA1" s="14" t="s">
        <v>128</v>
      </c>
    </row>
    <row r="2" spans="1:53" x14ac:dyDescent="0.15">
      <c r="A2" s="77" t="s">
        <v>23</v>
      </c>
      <c r="B2" s="77" t="s">
        <v>160</v>
      </c>
      <c r="C2" s="77">
        <v>2020</v>
      </c>
      <c r="D2" s="193" t="s">
        <v>370</v>
      </c>
      <c r="E2" s="77" t="s">
        <v>371</v>
      </c>
      <c r="F2" s="77" t="s">
        <v>372</v>
      </c>
      <c r="G2" s="77" t="s">
        <v>31</v>
      </c>
      <c r="H2" s="77" t="s">
        <v>113</v>
      </c>
      <c r="I2" s="77" t="s">
        <v>111</v>
      </c>
      <c r="J2" s="77" t="s">
        <v>27</v>
      </c>
      <c r="K2" s="77" t="s">
        <v>112</v>
      </c>
      <c r="L2" s="77">
        <v>1</v>
      </c>
      <c r="N2" s="77">
        <v>1</v>
      </c>
      <c r="O2" s="77">
        <v>0.95</v>
      </c>
      <c r="P2" s="77">
        <v>1.3</v>
      </c>
      <c r="Q2" s="44">
        <f t="shared" ref="Q2:Q82" si="0">IF(OR(O2="",P2=""),"",AVERAGE(O2,P2))</f>
        <v>1.125</v>
      </c>
      <c r="R2" s="77">
        <v>14.8</v>
      </c>
      <c r="S2" s="77">
        <v>115</v>
      </c>
      <c r="T2" s="16">
        <f t="shared" ref="T2:T91" si="1">IF(H2="","",IF(OR(H2="GREEN",H2="GK"),IF(S2&gt;=$AX$2,VLOOKUP(S2,$AX$2:$AY$9,2,1),""),IF(S2&gt;=$AZ$2,VLOOKUP(S2,$AZ$2:$BA$9,2,1),"")))</f>
        <v>30</v>
      </c>
      <c r="U2" s="77">
        <v>96</v>
      </c>
      <c r="V2" s="16">
        <f t="shared" ref="V2:V91" si="2">IF(OR(N2="",U2="",T2=""),"",U2/N2*T2)</f>
        <v>2880</v>
      </c>
      <c r="W2" s="77">
        <v>8</v>
      </c>
      <c r="X2" s="77" t="s">
        <v>35</v>
      </c>
      <c r="Y2" s="77" t="s">
        <v>43</v>
      </c>
      <c r="Z2" s="77" t="s">
        <v>55</v>
      </c>
      <c r="AA2" s="77" t="s">
        <v>36</v>
      </c>
      <c r="AB2" s="77" t="s">
        <v>162</v>
      </c>
      <c r="AE2" s="98" t="s">
        <v>24</v>
      </c>
      <c r="AG2" s="194" t="s">
        <v>373</v>
      </c>
      <c r="AH2" s="50" t="s">
        <v>372</v>
      </c>
      <c r="AJ2" s="50" t="s">
        <v>25</v>
      </c>
      <c r="AL2" s="100" t="s">
        <v>107</v>
      </c>
      <c r="AN2" s="50" t="s">
        <v>26</v>
      </c>
      <c r="AP2" s="50" t="s">
        <v>27</v>
      </c>
      <c r="AR2" s="50" t="s">
        <v>129</v>
      </c>
      <c r="AT2" s="50" t="s">
        <v>28</v>
      </c>
      <c r="AV2" s="50" t="s">
        <v>29</v>
      </c>
      <c r="AX2" s="101">
        <v>1</v>
      </c>
      <c r="AY2" s="102">
        <v>50</v>
      </c>
      <c r="AZ2" s="102">
        <v>1</v>
      </c>
      <c r="BA2" s="103">
        <v>50</v>
      </c>
    </row>
    <row r="3" spans="1:53" x14ac:dyDescent="0.15">
      <c r="A3" s="77" t="s">
        <v>23</v>
      </c>
      <c r="B3" s="77" t="s">
        <v>160</v>
      </c>
      <c r="C3" s="77">
        <v>2020</v>
      </c>
      <c r="D3" s="193" t="s">
        <v>370</v>
      </c>
      <c r="E3" s="77" t="s">
        <v>371</v>
      </c>
      <c r="F3" s="77" t="s">
        <v>372</v>
      </c>
      <c r="G3" s="77" t="s">
        <v>31</v>
      </c>
      <c r="H3" s="77" t="s">
        <v>113</v>
      </c>
      <c r="I3" s="77" t="s">
        <v>111</v>
      </c>
      <c r="J3" s="77" t="s">
        <v>27</v>
      </c>
      <c r="K3" s="77" t="s">
        <v>112</v>
      </c>
      <c r="L3" s="77">
        <v>2</v>
      </c>
      <c r="N3" s="77">
        <v>1</v>
      </c>
      <c r="O3" s="77">
        <v>0.8</v>
      </c>
      <c r="P3" s="77">
        <v>0.95</v>
      </c>
      <c r="Q3" s="44">
        <f t="shared" si="0"/>
        <v>0.875</v>
      </c>
      <c r="R3" s="77">
        <v>14.9</v>
      </c>
      <c r="S3" s="77">
        <v>111.5</v>
      </c>
      <c r="T3" s="16">
        <f t="shared" si="1"/>
        <v>33</v>
      </c>
      <c r="U3" s="77">
        <v>96</v>
      </c>
      <c r="V3" s="16">
        <f t="shared" si="2"/>
        <v>3168</v>
      </c>
      <c r="W3" s="77">
        <v>8</v>
      </c>
      <c r="X3" s="77" t="s">
        <v>35</v>
      </c>
      <c r="Y3" s="77" t="s">
        <v>43</v>
      </c>
      <c r="Z3" s="77" t="s">
        <v>55</v>
      </c>
      <c r="AA3" s="77" t="s">
        <v>36</v>
      </c>
      <c r="AB3" s="77" t="s">
        <v>162</v>
      </c>
      <c r="AE3" s="22" t="s">
        <v>30</v>
      </c>
      <c r="AG3" s="195" t="s">
        <v>374</v>
      </c>
      <c r="AH3" s="50" t="s">
        <v>375</v>
      </c>
      <c r="AJ3" s="80" t="s">
        <v>31</v>
      </c>
      <c r="AL3" s="80" t="s">
        <v>108</v>
      </c>
      <c r="AN3" s="80" t="s">
        <v>32</v>
      </c>
      <c r="AP3" s="80" t="s">
        <v>33</v>
      </c>
      <c r="AR3" s="80" t="s">
        <v>34</v>
      </c>
      <c r="AT3" s="80" t="s">
        <v>35</v>
      </c>
      <c r="AV3" s="80" t="s">
        <v>36</v>
      </c>
      <c r="AX3" s="24">
        <v>72</v>
      </c>
      <c r="AY3" s="25">
        <v>46</v>
      </c>
      <c r="AZ3" s="25">
        <v>71</v>
      </c>
      <c r="BA3" s="26">
        <v>42</v>
      </c>
    </row>
    <row r="4" spans="1:53" x14ac:dyDescent="0.15">
      <c r="A4" s="77" t="s">
        <v>23</v>
      </c>
      <c r="B4" s="77" t="s">
        <v>160</v>
      </c>
      <c r="C4" s="77">
        <v>2020</v>
      </c>
      <c r="D4" s="193" t="s">
        <v>370</v>
      </c>
      <c r="E4" s="77" t="s">
        <v>371</v>
      </c>
      <c r="F4" s="77" t="s">
        <v>372</v>
      </c>
      <c r="G4" s="77" t="s">
        <v>31</v>
      </c>
      <c r="H4" s="77" t="s">
        <v>113</v>
      </c>
      <c r="I4" s="77" t="s">
        <v>111</v>
      </c>
      <c r="J4" s="77" t="s">
        <v>27</v>
      </c>
      <c r="K4" s="77" t="s">
        <v>112</v>
      </c>
      <c r="L4" s="77">
        <v>3</v>
      </c>
      <c r="N4" s="77">
        <v>1</v>
      </c>
      <c r="O4" s="77">
        <v>1.05</v>
      </c>
      <c r="P4" s="77">
        <v>1.3</v>
      </c>
      <c r="Q4" s="44">
        <f t="shared" si="0"/>
        <v>1.175</v>
      </c>
      <c r="R4" s="77">
        <v>15.7</v>
      </c>
      <c r="S4" s="77">
        <v>113.5</v>
      </c>
      <c r="T4" s="16">
        <f t="shared" si="1"/>
        <v>30</v>
      </c>
      <c r="U4" s="77">
        <v>96</v>
      </c>
      <c r="V4" s="16">
        <f t="shared" si="2"/>
        <v>2880</v>
      </c>
      <c r="W4" s="77">
        <v>8</v>
      </c>
      <c r="X4" s="77" t="s">
        <v>35</v>
      </c>
      <c r="Y4" s="77" t="s">
        <v>43</v>
      </c>
      <c r="Z4" s="77" t="s">
        <v>55</v>
      </c>
      <c r="AA4" s="77" t="s">
        <v>36</v>
      </c>
      <c r="AB4" s="77" t="s">
        <v>162</v>
      </c>
      <c r="AE4" s="22" t="s">
        <v>23</v>
      </c>
      <c r="AG4" s="195" t="s">
        <v>376</v>
      </c>
      <c r="AH4" s="50" t="s">
        <v>375</v>
      </c>
      <c r="AJ4" s="27" t="s">
        <v>37</v>
      </c>
      <c r="AL4" s="80" t="s">
        <v>109</v>
      </c>
      <c r="AN4" s="28" t="s">
        <v>38</v>
      </c>
      <c r="AP4" s="80" t="s">
        <v>130</v>
      </c>
      <c r="AR4" s="80" t="s">
        <v>131</v>
      </c>
      <c r="AT4" s="28"/>
      <c r="AV4" s="80" t="s">
        <v>39</v>
      </c>
      <c r="AX4" s="24">
        <v>75</v>
      </c>
      <c r="AY4" s="25">
        <v>42</v>
      </c>
      <c r="AZ4" s="25">
        <v>76</v>
      </c>
      <c r="BA4" s="26">
        <v>39</v>
      </c>
    </row>
    <row r="5" spans="1:53" x14ac:dyDescent="0.15">
      <c r="A5" s="77" t="s">
        <v>23</v>
      </c>
      <c r="B5" s="77" t="s">
        <v>160</v>
      </c>
      <c r="C5" s="77">
        <v>2020</v>
      </c>
      <c r="D5" s="193" t="s">
        <v>370</v>
      </c>
      <c r="E5" s="77" t="s">
        <v>371</v>
      </c>
      <c r="F5" s="77" t="s">
        <v>372</v>
      </c>
      <c r="G5" s="77" t="s">
        <v>31</v>
      </c>
      <c r="H5" s="77" t="s">
        <v>113</v>
      </c>
      <c r="I5" s="77" t="s">
        <v>111</v>
      </c>
      <c r="J5" s="77" t="s">
        <v>27</v>
      </c>
      <c r="K5" s="77" t="s">
        <v>112</v>
      </c>
      <c r="L5" s="77">
        <v>1</v>
      </c>
      <c r="N5" s="77">
        <v>4</v>
      </c>
      <c r="O5" s="77">
        <v>0.7</v>
      </c>
      <c r="P5" s="77">
        <v>0.65</v>
      </c>
      <c r="Q5" s="44">
        <f t="shared" si="0"/>
        <v>0.67500000000000004</v>
      </c>
      <c r="R5" s="77">
        <v>15.2</v>
      </c>
      <c r="S5" s="77">
        <v>87</v>
      </c>
      <c r="T5" s="16">
        <f t="shared" si="1"/>
        <v>36</v>
      </c>
      <c r="U5" s="77">
        <v>296</v>
      </c>
      <c r="V5" s="16">
        <f t="shared" si="2"/>
        <v>2664</v>
      </c>
      <c r="W5" s="77">
        <v>8</v>
      </c>
      <c r="X5" s="77" t="s">
        <v>35</v>
      </c>
      <c r="Y5" s="77" t="s">
        <v>43</v>
      </c>
      <c r="Z5" s="77" t="s">
        <v>55</v>
      </c>
      <c r="AA5" s="77" t="s">
        <v>36</v>
      </c>
      <c r="AB5" s="77" t="s">
        <v>162</v>
      </c>
      <c r="AE5" s="22" t="s">
        <v>40</v>
      </c>
      <c r="AG5" s="195" t="s">
        <v>377</v>
      </c>
      <c r="AH5" s="50" t="s">
        <v>378</v>
      </c>
      <c r="AJ5" s="28"/>
      <c r="AL5" s="80" t="s">
        <v>132</v>
      </c>
      <c r="AN5" s="104" t="s">
        <v>133</v>
      </c>
      <c r="AP5" s="80" t="s">
        <v>134</v>
      </c>
      <c r="AR5" s="80" t="s">
        <v>42</v>
      </c>
      <c r="AV5" s="80" t="s">
        <v>43</v>
      </c>
      <c r="AX5" s="24">
        <v>84</v>
      </c>
      <c r="AY5" s="25">
        <v>39</v>
      </c>
      <c r="AZ5" s="25">
        <v>84</v>
      </c>
      <c r="BA5" s="26">
        <v>36</v>
      </c>
    </row>
    <row r="6" spans="1:53" x14ac:dyDescent="0.15">
      <c r="A6" s="77" t="s">
        <v>23</v>
      </c>
      <c r="B6" s="77" t="s">
        <v>160</v>
      </c>
      <c r="C6" s="77">
        <v>2020</v>
      </c>
      <c r="D6" s="193" t="s">
        <v>370</v>
      </c>
      <c r="E6" s="77" t="s">
        <v>371</v>
      </c>
      <c r="F6" s="77" t="s">
        <v>372</v>
      </c>
      <c r="G6" s="77" t="s">
        <v>31</v>
      </c>
      <c r="H6" s="77" t="s">
        <v>113</v>
      </c>
      <c r="I6" s="77" t="s">
        <v>111</v>
      </c>
      <c r="J6" s="77" t="s">
        <v>27</v>
      </c>
      <c r="K6" s="77" t="s">
        <v>112</v>
      </c>
      <c r="L6" s="77">
        <v>2</v>
      </c>
      <c r="N6" s="77">
        <v>4</v>
      </c>
      <c r="O6" s="77">
        <v>0.5</v>
      </c>
      <c r="P6" s="77">
        <v>0.45</v>
      </c>
      <c r="Q6" s="44">
        <f t="shared" si="0"/>
        <v>0.47499999999999998</v>
      </c>
      <c r="R6" s="77">
        <v>15.2</v>
      </c>
      <c r="S6" s="77">
        <v>84.5</v>
      </c>
      <c r="T6" s="16">
        <f t="shared" si="1"/>
        <v>36</v>
      </c>
      <c r="U6" s="77">
        <v>296</v>
      </c>
      <c r="V6" s="16">
        <f t="shared" si="2"/>
        <v>2664</v>
      </c>
      <c r="W6" s="77">
        <v>8</v>
      </c>
      <c r="X6" s="77" t="s">
        <v>35</v>
      </c>
      <c r="Y6" s="77" t="s">
        <v>43</v>
      </c>
      <c r="Z6" s="77" t="s">
        <v>55</v>
      </c>
      <c r="AA6" s="77" t="s">
        <v>36</v>
      </c>
      <c r="AB6" s="77" t="s">
        <v>162</v>
      </c>
      <c r="AE6" s="22" t="s">
        <v>44</v>
      </c>
      <c r="AG6" s="195" t="s">
        <v>379</v>
      </c>
      <c r="AH6" s="50" t="s">
        <v>380</v>
      </c>
      <c r="AL6" s="80" t="s">
        <v>135</v>
      </c>
      <c r="AN6" s="104" t="s">
        <v>136</v>
      </c>
      <c r="AP6" s="80" t="s">
        <v>41</v>
      </c>
      <c r="AR6" s="80" t="s">
        <v>46</v>
      </c>
      <c r="AV6" s="80" t="s">
        <v>47</v>
      </c>
      <c r="AX6" s="24">
        <v>97</v>
      </c>
      <c r="AY6" s="25">
        <v>36</v>
      </c>
      <c r="AZ6" s="25">
        <v>99</v>
      </c>
      <c r="BA6" s="26">
        <v>33</v>
      </c>
    </row>
    <row r="7" spans="1:53" x14ac:dyDescent="0.15">
      <c r="A7" s="77" t="s">
        <v>23</v>
      </c>
      <c r="B7" s="77" t="s">
        <v>160</v>
      </c>
      <c r="C7" s="77">
        <v>2020</v>
      </c>
      <c r="D7" s="193" t="s">
        <v>370</v>
      </c>
      <c r="E7" s="77" t="s">
        <v>371</v>
      </c>
      <c r="F7" s="77" t="s">
        <v>372</v>
      </c>
      <c r="G7" s="77" t="s">
        <v>31</v>
      </c>
      <c r="H7" s="77" t="s">
        <v>113</v>
      </c>
      <c r="I7" s="77" t="s">
        <v>111</v>
      </c>
      <c r="J7" s="77" t="s">
        <v>27</v>
      </c>
      <c r="K7" s="77" t="s">
        <v>112</v>
      </c>
      <c r="L7" s="77">
        <v>3</v>
      </c>
      <c r="N7" s="77">
        <v>4</v>
      </c>
      <c r="O7" s="77">
        <v>0.45</v>
      </c>
      <c r="P7" s="77">
        <v>0.55000000000000004</v>
      </c>
      <c r="Q7" s="44">
        <f t="shared" si="0"/>
        <v>0.5</v>
      </c>
      <c r="R7" s="77">
        <v>14.8</v>
      </c>
      <c r="S7" s="77">
        <v>86</v>
      </c>
      <c r="T7" s="16">
        <f t="shared" si="1"/>
        <v>36</v>
      </c>
      <c r="U7" s="77">
        <v>296</v>
      </c>
      <c r="V7" s="16">
        <f t="shared" si="2"/>
        <v>2664</v>
      </c>
      <c r="W7" s="77">
        <v>8</v>
      </c>
      <c r="X7" s="77" t="s">
        <v>35</v>
      </c>
      <c r="Y7" s="77" t="s">
        <v>43</v>
      </c>
      <c r="Z7" s="77" t="s">
        <v>55</v>
      </c>
      <c r="AA7" s="77" t="s">
        <v>36</v>
      </c>
      <c r="AB7" s="77" t="s">
        <v>162</v>
      </c>
      <c r="AE7" s="22" t="s">
        <v>48</v>
      </c>
      <c r="AG7" s="195" t="s">
        <v>176</v>
      </c>
      <c r="AH7" s="50" t="s">
        <v>381</v>
      </c>
      <c r="AL7" s="86" t="s">
        <v>137</v>
      </c>
      <c r="AP7" s="80" t="s">
        <v>45</v>
      </c>
      <c r="AR7" s="80" t="s">
        <v>102</v>
      </c>
      <c r="AV7" s="80" t="s">
        <v>51</v>
      </c>
      <c r="AX7" s="24">
        <v>109</v>
      </c>
      <c r="AY7" s="25">
        <v>33</v>
      </c>
      <c r="AZ7" s="25">
        <v>113</v>
      </c>
      <c r="BA7" s="26">
        <v>30</v>
      </c>
    </row>
    <row r="8" spans="1:53" x14ac:dyDescent="0.15">
      <c r="A8" s="77" t="s">
        <v>23</v>
      </c>
      <c r="B8" s="77" t="s">
        <v>160</v>
      </c>
      <c r="C8" s="77">
        <v>2020</v>
      </c>
      <c r="D8" s="193" t="s">
        <v>370</v>
      </c>
      <c r="E8" s="77" t="s">
        <v>371</v>
      </c>
      <c r="F8" s="77" t="s">
        <v>372</v>
      </c>
      <c r="G8" s="77" t="s">
        <v>31</v>
      </c>
      <c r="H8" s="77" t="s">
        <v>164</v>
      </c>
      <c r="I8" s="77" t="s">
        <v>111</v>
      </c>
      <c r="J8" s="77" t="s">
        <v>27</v>
      </c>
      <c r="K8" s="77" t="s">
        <v>112</v>
      </c>
      <c r="L8" s="77">
        <v>1</v>
      </c>
      <c r="N8" s="77">
        <v>1</v>
      </c>
      <c r="O8" s="77">
        <v>0.7</v>
      </c>
      <c r="P8" s="77">
        <v>0.7</v>
      </c>
      <c r="Q8" s="44">
        <f t="shared" si="0"/>
        <v>0.7</v>
      </c>
      <c r="R8" s="77">
        <v>15.6</v>
      </c>
      <c r="S8" s="77">
        <v>124.5</v>
      </c>
      <c r="T8" s="16">
        <f t="shared" si="1"/>
        <v>30</v>
      </c>
      <c r="U8" s="77">
        <v>96</v>
      </c>
      <c r="V8" s="16">
        <f t="shared" si="2"/>
        <v>2880</v>
      </c>
      <c r="W8" s="77">
        <v>8</v>
      </c>
      <c r="X8" s="77" t="s">
        <v>35</v>
      </c>
      <c r="Y8" s="77" t="s">
        <v>43</v>
      </c>
      <c r="Z8" s="77" t="s">
        <v>55</v>
      </c>
      <c r="AA8" s="77" t="s">
        <v>36</v>
      </c>
      <c r="AB8" s="77" t="s">
        <v>162</v>
      </c>
      <c r="AE8" s="22" t="s">
        <v>46</v>
      </c>
      <c r="AG8" s="195" t="s">
        <v>382</v>
      </c>
      <c r="AH8" s="50" t="s">
        <v>383</v>
      </c>
      <c r="AL8" s="86" t="s">
        <v>110</v>
      </c>
      <c r="AP8" s="80" t="s">
        <v>49</v>
      </c>
      <c r="AR8" s="80" t="s">
        <v>67</v>
      </c>
      <c r="AV8" s="80" t="s">
        <v>82</v>
      </c>
      <c r="AX8" s="24">
        <v>151</v>
      </c>
      <c r="AY8" s="25">
        <v>22</v>
      </c>
      <c r="AZ8" s="25">
        <v>152</v>
      </c>
      <c r="BA8" s="26">
        <v>18</v>
      </c>
    </row>
    <row r="9" spans="1:53" x14ac:dyDescent="0.15">
      <c r="A9" s="77" t="s">
        <v>23</v>
      </c>
      <c r="B9" s="77" t="s">
        <v>160</v>
      </c>
      <c r="C9" s="77">
        <v>2020</v>
      </c>
      <c r="D9" s="193" t="s">
        <v>370</v>
      </c>
      <c r="E9" s="77" t="s">
        <v>371</v>
      </c>
      <c r="F9" s="77" t="s">
        <v>372</v>
      </c>
      <c r="G9" s="77" t="s">
        <v>31</v>
      </c>
      <c r="H9" s="77" t="s">
        <v>164</v>
      </c>
      <c r="I9" s="77" t="s">
        <v>111</v>
      </c>
      <c r="J9" s="77" t="s">
        <v>27</v>
      </c>
      <c r="K9" s="77" t="s">
        <v>112</v>
      </c>
      <c r="L9" s="77">
        <v>2</v>
      </c>
      <c r="N9" s="77">
        <v>1</v>
      </c>
      <c r="O9" s="77">
        <v>0.65</v>
      </c>
      <c r="P9" s="77">
        <v>0.8</v>
      </c>
      <c r="Q9" s="44">
        <f t="shared" si="0"/>
        <v>0.72500000000000009</v>
      </c>
      <c r="R9" s="77">
        <v>16.399999999999999</v>
      </c>
      <c r="S9" s="77">
        <v>123</v>
      </c>
      <c r="T9" s="16">
        <f t="shared" si="1"/>
        <v>30</v>
      </c>
      <c r="U9" s="77">
        <v>96</v>
      </c>
      <c r="V9" s="16">
        <f t="shared" si="2"/>
        <v>2880</v>
      </c>
      <c r="W9" s="77">
        <v>8</v>
      </c>
      <c r="X9" s="77" t="s">
        <v>35</v>
      </c>
      <c r="Y9" s="77" t="s">
        <v>43</v>
      </c>
      <c r="Z9" s="77" t="s">
        <v>55</v>
      </c>
      <c r="AA9" s="77" t="s">
        <v>36</v>
      </c>
      <c r="AB9" s="77" t="s">
        <v>162</v>
      </c>
      <c r="AE9" s="22" t="s">
        <v>83</v>
      </c>
      <c r="AG9" s="195" t="s">
        <v>171</v>
      </c>
      <c r="AH9" s="50" t="s">
        <v>384</v>
      </c>
      <c r="AL9" s="80" t="s">
        <v>139</v>
      </c>
      <c r="AP9" s="80" t="s">
        <v>80</v>
      </c>
      <c r="AR9" s="80" t="s">
        <v>75</v>
      </c>
      <c r="AV9" s="80" t="s">
        <v>86</v>
      </c>
      <c r="AX9" s="31">
        <v>180</v>
      </c>
      <c r="AY9" s="32">
        <v>18</v>
      </c>
      <c r="AZ9" s="32">
        <v>181</v>
      </c>
      <c r="BA9" s="33">
        <v>16</v>
      </c>
    </row>
    <row r="10" spans="1:53" x14ac:dyDescent="0.15">
      <c r="A10" s="77" t="s">
        <v>23</v>
      </c>
      <c r="B10" s="77" t="s">
        <v>160</v>
      </c>
      <c r="C10" s="77">
        <v>2020</v>
      </c>
      <c r="D10" s="193" t="s">
        <v>370</v>
      </c>
      <c r="E10" s="77" t="s">
        <v>371</v>
      </c>
      <c r="F10" s="77" t="s">
        <v>372</v>
      </c>
      <c r="G10" s="77" t="s">
        <v>31</v>
      </c>
      <c r="H10" s="77" t="s">
        <v>164</v>
      </c>
      <c r="I10" s="77" t="s">
        <v>111</v>
      </c>
      <c r="J10" s="77" t="s">
        <v>27</v>
      </c>
      <c r="K10" s="77" t="s">
        <v>112</v>
      </c>
      <c r="L10" s="77">
        <v>3</v>
      </c>
      <c r="N10" s="77">
        <v>1</v>
      </c>
      <c r="O10" s="77">
        <v>0.7</v>
      </c>
      <c r="P10" s="77">
        <v>0.8</v>
      </c>
      <c r="Q10" s="44">
        <f t="shared" si="0"/>
        <v>0.75</v>
      </c>
      <c r="R10" s="77">
        <v>16.3</v>
      </c>
      <c r="S10" s="77">
        <v>118</v>
      </c>
      <c r="T10" s="16">
        <f t="shared" si="1"/>
        <v>30</v>
      </c>
      <c r="U10" s="77">
        <v>96</v>
      </c>
      <c r="V10" s="16">
        <f t="shared" si="2"/>
        <v>2880</v>
      </c>
      <c r="W10" s="77">
        <v>8</v>
      </c>
      <c r="X10" s="77" t="s">
        <v>35</v>
      </c>
      <c r="Y10" s="77" t="s">
        <v>43</v>
      </c>
      <c r="Z10" s="77" t="s">
        <v>55</v>
      </c>
      <c r="AA10" s="77" t="s">
        <v>36</v>
      </c>
      <c r="AB10" s="77" t="s">
        <v>162</v>
      </c>
      <c r="AE10" s="22" t="s">
        <v>87</v>
      </c>
      <c r="AG10" s="195" t="s">
        <v>385</v>
      </c>
      <c r="AH10" s="50" t="s">
        <v>386</v>
      </c>
      <c r="AL10" s="34"/>
      <c r="AP10" s="80" t="s">
        <v>84</v>
      </c>
      <c r="AR10" s="80" t="s">
        <v>103</v>
      </c>
      <c r="AV10" s="80" t="s">
        <v>90</v>
      </c>
    </row>
    <row r="11" spans="1:53" x14ac:dyDescent="0.15">
      <c r="A11" s="77" t="s">
        <v>23</v>
      </c>
      <c r="B11" s="77" t="s">
        <v>160</v>
      </c>
      <c r="C11" s="77">
        <v>2020</v>
      </c>
      <c r="D11" s="193" t="s">
        <v>370</v>
      </c>
      <c r="E11" s="77" t="s">
        <v>371</v>
      </c>
      <c r="F11" s="77" t="s">
        <v>372</v>
      </c>
      <c r="G11" s="77" t="s">
        <v>31</v>
      </c>
      <c r="H11" s="77" t="s">
        <v>164</v>
      </c>
      <c r="I11" s="77" t="s">
        <v>111</v>
      </c>
      <c r="J11" s="77" t="s">
        <v>27</v>
      </c>
      <c r="K11" s="77" t="s">
        <v>112</v>
      </c>
      <c r="L11" s="77">
        <v>1</v>
      </c>
      <c r="N11" s="77">
        <v>4</v>
      </c>
      <c r="O11" s="77">
        <v>0.45</v>
      </c>
      <c r="P11" s="77">
        <v>0.45</v>
      </c>
      <c r="Q11" s="44">
        <f t="shared" si="0"/>
        <v>0.45</v>
      </c>
      <c r="R11" s="77">
        <v>16.3</v>
      </c>
      <c r="S11" s="77">
        <v>95</v>
      </c>
      <c r="T11" s="16">
        <f t="shared" si="1"/>
        <v>36</v>
      </c>
      <c r="U11" s="77">
        <v>396</v>
      </c>
      <c r="V11" s="16">
        <f t="shared" si="2"/>
        <v>3564</v>
      </c>
      <c r="W11" s="77">
        <v>8</v>
      </c>
      <c r="X11" s="77" t="s">
        <v>35</v>
      </c>
      <c r="Y11" s="77" t="s">
        <v>43</v>
      </c>
      <c r="Z11" s="77" t="s">
        <v>55</v>
      </c>
      <c r="AA11" s="77" t="s">
        <v>36</v>
      </c>
      <c r="AB11" s="77" t="s">
        <v>162</v>
      </c>
      <c r="AE11" s="22" t="s">
        <v>52</v>
      </c>
      <c r="AG11" s="195" t="s">
        <v>387</v>
      </c>
      <c r="AH11" s="50" t="s">
        <v>388</v>
      </c>
      <c r="AL11" s="34"/>
      <c r="AP11" s="80" t="s">
        <v>88</v>
      </c>
      <c r="AR11" s="80" t="s">
        <v>73</v>
      </c>
      <c r="AV11" s="80" t="s">
        <v>55</v>
      </c>
    </row>
    <row r="12" spans="1:53" x14ac:dyDescent="0.15">
      <c r="A12" s="77" t="s">
        <v>23</v>
      </c>
      <c r="B12" s="77" t="s">
        <v>160</v>
      </c>
      <c r="C12" s="77">
        <v>2020</v>
      </c>
      <c r="D12" s="193" t="s">
        <v>370</v>
      </c>
      <c r="E12" s="77" t="s">
        <v>371</v>
      </c>
      <c r="F12" s="77" t="s">
        <v>372</v>
      </c>
      <c r="G12" s="77" t="s">
        <v>31</v>
      </c>
      <c r="H12" s="77" t="s">
        <v>164</v>
      </c>
      <c r="I12" s="77" t="s">
        <v>111</v>
      </c>
      <c r="J12" s="77" t="s">
        <v>27</v>
      </c>
      <c r="K12" s="77" t="s">
        <v>112</v>
      </c>
      <c r="L12" s="77">
        <v>2</v>
      </c>
      <c r="N12" s="77">
        <v>4</v>
      </c>
      <c r="O12" s="77">
        <v>0.45</v>
      </c>
      <c r="P12" s="77">
        <v>0.45</v>
      </c>
      <c r="Q12" s="44">
        <f t="shared" si="0"/>
        <v>0.45</v>
      </c>
      <c r="R12" s="77">
        <v>17.399999999999999</v>
      </c>
      <c r="S12" s="77">
        <v>102.5</v>
      </c>
      <c r="T12" s="16">
        <f t="shared" si="1"/>
        <v>33</v>
      </c>
      <c r="U12" s="77">
        <v>396</v>
      </c>
      <c r="V12" s="16">
        <f t="shared" si="2"/>
        <v>3267</v>
      </c>
      <c r="W12" s="77">
        <v>8</v>
      </c>
      <c r="X12" s="77" t="s">
        <v>35</v>
      </c>
      <c r="Y12" s="77" t="s">
        <v>43</v>
      </c>
      <c r="Z12" s="77" t="s">
        <v>55</v>
      </c>
      <c r="AA12" s="77" t="s">
        <v>36</v>
      </c>
      <c r="AB12" s="77" t="s">
        <v>162</v>
      </c>
      <c r="AE12" s="22" t="s">
        <v>56</v>
      </c>
      <c r="AG12" s="28"/>
      <c r="AH12" s="80"/>
      <c r="AL12" s="34"/>
      <c r="AP12" s="80" t="s">
        <v>53</v>
      </c>
      <c r="AR12" s="80" t="s">
        <v>104</v>
      </c>
      <c r="AV12" s="80" t="s">
        <v>58</v>
      </c>
    </row>
    <row r="13" spans="1:53" x14ac:dyDescent="0.15">
      <c r="A13" s="77" t="s">
        <v>23</v>
      </c>
      <c r="B13" s="77" t="s">
        <v>160</v>
      </c>
      <c r="C13" s="77">
        <v>2020</v>
      </c>
      <c r="D13" s="193" t="s">
        <v>370</v>
      </c>
      <c r="E13" s="77" t="s">
        <v>371</v>
      </c>
      <c r="F13" s="77" t="s">
        <v>372</v>
      </c>
      <c r="G13" s="77" t="s">
        <v>31</v>
      </c>
      <c r="H13" s="77" t="s">
        <v>164</v>
      </c>
      <c r="I13" s="77" t="s">
        <v>111</v>
      </c>
      <c r="J13" s="77" t="s">
        <v>27</v>
      </c>
      <c r="K13" s="77" t="s">
        <v>112</v>
      </c>
      <c r="L13" s="77">
        <v>3</v>
      </c>
      <c r="N13" s="77">
        <v>4</v>
      </c>
      <c r="O13" s="77">
        <v>0.45</v>
      </c>
      <c r="P13" s="77">
        <v>0.5</v>
      </c>
      <c r="Q13" s="44">
        <f t="shared" si="0"/>
        <v>0.47499999999999998</v>
      </c>
      <c r="R13" s="77">
        <v>16.5</v>
      </c>
      <c r="S13" s="77">
        <v>105</v>
      </c>
      <c r="T13" s="16">
        <f t="shared" si="1"/>
        <v>33</v>
      </c>
      <c r="U13" s="77">
        <v>396</v>
      </c>
      <c r="V13" s="16">
        <f t="shared" si="2"/>
        <v>3267</v>
      </c>
      <c r="W13" s="77">
        <v>8</v>
      </c>
      <c r="X13" s="77" t="s">
        <v>35</v>
      </c>
      <c r="Y13" s="77" t="s">
        <v>43</v>
      </c>
      <c r="Z13" s="77" t="s">
        <v>55</v>
      </c>
      <c r="AA13" s="77" t="s">
        <v>36</v>
      </c>
      <c r="AB13" s="77" t="s">
        <v>162</v>
      </c>
      <c r="AE13" s="22" t="s">
        <v>59</v>
      </c>
      <c r="AH13" s="28"/>
      <c r="AP13" s="80" t="s">
        <v>57</v>
      </c>
      <c r="AR13" s="80" t="s">
        <v>87</v>
      </c>
      <c r="AV13" s="80" t="s">
        <v>61</v>
      </c>
    </row>
    <row r="14" spans="1:53" x14ac:dyDescent="0.15">
      <c r="A14" s="77" t="s">
        <v>23</v>
      </c>
      <c r="B14" s="77" t="s">
        <v>160</v>
      </c>
      <c r="C14" s="77">
        <v>2020</v>
      </c>
      <c r="D14" s="193" t="s">
        <v>370</v>
      </c>
      <c r="E14" s="77" t="s">
        <v>389</v>
      </c>
      <c r="F14" s="77" t="s">
        <v>390</v>
      </c>
      <c r="G14" s="77" t="s">
        <v>25</v>
      </c>
      <c r="H14" s="77" t="s">
        <v>113</v>
      </c>
      <c r="I14" s="77" t="s">
        <v>111</v>
      </c>
      <c r="J14" s="77" t="s">
        <v>27</v>
      </c>
      <c r="K14" s="77" t="s">
        <v>112</v>
      </c>
      <c r="L14" s="77">
        <v>1</v>
      </c>
      <c r="N14" s="77">
        <v>1</v>
      </c>
      <c r="O14" s="77">
        <v>0.7</v>
      </c>
      <c r="P14" s="77">
        <v>0.75</v>
      </c>
      <c r="Q14" s="44">
        <f t="shared" si="0"/>
        <v>0.72499999999999998</v>
      </c>
      <c r="R14" s="77">
        <v>15.3</v>
      </c>
      <c r="S14" s="77">
        <v>137</v>
      </c>
      <c r="T14" s="16">
        <f t="shared" si="1"/>
        <v>30</v>
      </c>
      <c r="U14" s="77">
        <v>98</v>
      </c>
      <c r="V14" s="16">
        <f t="shared" si="2"/>
        <v>2940</v>
      </c>
      <c r="W14" s="77">
        <v>7</v>
      </c>
      <c r="X14" s="77" t="s">
        <v>35</v>
      </c>
      <c r="Y14" s="77" t="s">
        <v>64</v>
      </c>
      <c r="Z14" s="77" t="s">
        <v>55</v>
      </c>
      <c r="AA14" s="77" t="s">
        <v>43</v>
      </c>
      <c r="AB14" s="77" t="s">
        <v>162</v>
      </c>
      <c r="AE14" s="22" t="s">
        <v>62</v>
      </c>
      <c r="AG14" s="196"/>
      <c r="AP14" s="80" t="s">
        <v>60</v>
      </c>
      <c r="AR14" s="80" t="s">
        <v>105</v>
      </c>
      <c r="AV14" s="80" t="s">
        <v>64</v>
      </c>
    </row>
    <row r="15" spans="1:53" x14ac:dyDescent="0.15">
      <c r="A15" s="77" t="s">
        <v>23</v>
      </c>
      <c r="B15" s="77" t="s">
        <v>160</v>
      </c>
      <c r="C15" s="77">
        <v>2020</v>
      </c>
      <c r="D15" s="193" t="s">
        <v>370</v>
      </c>
      <c r="E15" s="77" t="s">
        <v>389</v>
      </c>
      <c r="F15" s="77" t="s">
        <v>390</v>
      </c>
      <c r="G15" s="77" t="s">
        <v>25</v>
      </c>
      <c r="H15" s="77" t="s">
        <v>113</v>
      </c>
      <c r="I15" s="77" t="s">
        <v>111</v>
      </c>
      <c r="J15" s="77" t="s">
        <v>27</v>
      </c>
      <c r="K15" s="77" t="s">
        <v>112</v>
      </c>
      <c r="L15" s="77">
        <v>2</v>
      </c>
      <c r="N15" s="77">
        <v>1</v>
      </c>
      <c r="O15" s="77">
        <v>0.75</v>
      </c>
      <c r="P15" s="77">
        <v>0.8</v>
      </c>
      <c r="Q15" s="44">
        <f t="shared" si="0"/>
        <v>0.77500000000000002</v>
      </c>
      <c r="R15" s="77">
        <v>15.4</v>
      </c>
      <c r="S15" s="77">
        <v>141</v>
      </c>
      <c r="T15" s="16">
        <f t="shared" si="1"/>
        <v>30</v>
      </c>
      <c r="U15" s="77">
        <v>98</v>
      </c>
      <c r="V15" s="16">
        <f t="shared" si="2"/>
        <v>2940</v>
      </c>
      <c r="W15" s="77">
        <v>7</v>
      </c>
      <c r="X15" s="77" t="s">
        <v>35</v>
      </c>
      <c r="Y15" s="77" t="s">
        <v>64</v>
      </c>
      <c r="Z15" s="77" t="s">
        <v>55</v>
      </c>
      <c r="AA15" s="77" t="s">
        <v>43</v>
      </c>
      <c r="AB15" s="77" t="s">
        <v>162</v>
      </c>
      <c r="AE15" s="22" t="s">
        <v>65</v>
      </c>
      <c r="AP15" s="80" t="s">
        <v>63</v>
      </c>
      <c r="AR15" s="80" t="s">
        <v>79</v>
      </c>
      <c r="AV15" s="80" t="s">
        <v>91</v>
      </c>
    </row>
    <row r="16" spans="1:53" x14ac:dyDescent="0.15">
      <c r="A16" s="77" t="s">
        <v>23</v>
      </c>
      <c r="B16" s="77" t="s">
        <v>160</v>
      </c>
      <c r="C16" s="77">
        <v>2020</v>
      </c>
      <c r="D16" s="193" t="s">
        <v>370</v>
      </c>
      <c r="E16" s="77" t="s">
        <v>389</v>
      </c>
      <c r="F16" s="77" t="s">
        <v>390</v>
      </c>
      <c r="G16" s="77" t="s">
        <v>25</v>
      </c>
      <c r="H16" s="77" t="s">
        <v>113</v>
      </c>
      <c r="I16" s="77" t="s">
        <v>111</v>
      </c>
      <c r="J16" s="77" t="s">
        <v>27</v>
      </c>
      <c r="K16" s="77" t="s">
        <v>112</v>
      </c>
      <c r="L16" s="77">
        <v>3</v>
      </c>
      <c r="N16" s="77">
        <v>1</v>
      </c>
      <c r="O16" s="77">
        <v>0.9</v>
      </c>
      <c r="P16" s="77">
        <v>0.8</v>
      </c>
      <c r="Q16" s="44">
        <f t="shared" si="0"/>
        <v>0.85000000000000009</v>
      </c>
      <c r="R16" s="77">
        <v>15.8</v>
      </c>
      <c r="S16" s="77">
        <v>140.5</v>
      </c>
      <c r="T16" s="16">
        <f t="shared" si="1"/>
        <v>30</v>
      </c>
      <c r="U16" s="77">
        <v>98</v>
      </c>
      <c r="V16" s="16">
        <f t="shared" si="2"/>
        <v>2940</v>
      </c>
      <c r="W16" s="77">
        <v>7</v>
      </c>
      <c r="X16" s="77" t="s">
        <v>35</v>
      </c>
      <c r="Y16" s="77" t="s">
        <v>64</v>
      </c>
      <c r="Z16" s="77" t="s">
        <v>55</v>
      </c>
      <c r="AA16" s="77" t="s">
        <v>43</v>
      </c>
      <c r="AB16" s="77" t="s">
        <v>162</v>
      </c>
      <c r="AE16" s="22" t="s">
        <v>68</v>
      </c>
      <c r="AP16" s="80" t="s">
        <v>66</v>
      </c>
      <c r="AR16" s="80" t="s">
        <v>50</v>
      </c>
      <c r="AV16" s="80" t="s">
        <v>70</v>
      </c>
    </row>
    <row r="17" spans="1:48" x14ac:dyDescent="0.15">
      <c r="A17" s="77" t="s">
        <v>23</v>
      </c>
      <c r="B17" s="77" t="s">
        <v>160</v>
      </c>
      <c r="C17" s="77">
        <v>2020</v>
      </c>
      <c r="D17" s="193" t="s">
        <v>370</v>
      </c>
      <c r="E17" s="77" t="s">
        <v>389</v>
      </c>
      <c r="F17" s="77" t="s">
        <v>390</v>
      </c>
      <c r="G17" s="77" t="s">
        <v>25</v>
      </c>
      <c r="H17" s="77" t="s">
        <v>228</v>
      </c>
      <c r="I17" s="77" t="s">
        <v>111</v>
      </c>
      <c r="J17" s="77" t="s">
        <v>27</v>
      </c>
      <c r="K17" s="77" t="s">
        <v>112</v>
      </c>
      <c r="L17" s="77">
        <v>1</v>
      </c>
      <c r="N17" s="77">
        <v>6</v>
      </c>
      <c r="O17" s="77">
        <v>0.7</v>
      </c>
      <c r="P17" s="77">
        <v>0.7</v>
      </c>
      <c r="Q17" s="44">
        <f t="shared" si="0"/>
        <v>0.7</v>
      </c>
      <c r="R17" s="77">
        <v>18.100000000000001</v>
      </c>
      <c r="S17" s="77">
        <v>92.5</v>
      </c>
      <c r="T17" s="16">
        <f t="shared" si="1"/>
        <v>36</v>
      </c>
      <c r="U17" s="77">
        <v>398</v>
      </c>
      <c r="V17" s="16">
        <f t="shared" si="2"/>
        <v>2388</v>
      </c>
      <c r="W17" s="77">
        <v>7</v>
      </c>
      <c r="X17" s="77" t="s">
        <v>35</v>
      </c>
      <c r="Y17" s="77" t="s">
        <v>64</v>
      </c>
      <c r="Z17" s="77" t="s">
        <v>55</v>
      </c>
      <c r="AA17" s="77" t="s">
        <v>43</v>
      </c>
      <c r="AB17" s="77" t="s">
        <v>162</v>
      </c>
      <c r="AE17" s="22" t="s">
        <v>71</v>
      </c>
      <c r="AP17" s="27" t="s">
        <v>93</v>
      </c>
      <c r="AR17" s="80" t="s">
        <v>81</v>
      </c>
      <c r="AV17" s="80" t="s">
        <v>72</v>
      </c>
    </row>
    <row r="18" spans="1:48" x14ac:dyDescent="0.15">
      <c r="A18" s="77" t="s">
        <v>23</v>
      </c>
      <c r="B18" s="77" t="s">
        <v>160</v>
      </c>
      <c r="C18" s="77">
        <v>2020</v>
      </c>
      <c r="D18" s="193" t="s">
        <v>370</v>
      </c>
      <c r="E18" s="77" t="s">
        <v>389</v>
      </c>
      <c r="F18" s="77" t="s">
        <v>390</v>
      </c>
      <c r="G18" s="77" t="s">
        <v>25</v>
      </c>
      <c r="H18" s="77" t="s">
        <v>228</v>
      </c>
      <c r="I18" s="77" t="s">
        <v>111</v>
      </c>
      <c r="J18" s="77" t="s">
        <v>27</v>
      </c>
      <c r="K18" s="77" t="s">
        <v>112</v>
      </c>
      <c r="L18" s="77">
        <v>2</v>
      </c>
      <c r="N18" s="77">
        <v>6</v>
      </c>
      <c r="O18" s="77">
        <v>0.7</v>
      </c>
      <c r="P18" s="77">
        <v>0.75</v>
      </c>
      <c r="Q18" s="44">
        <f t="shared" si="0"/>
        <v>0.72499999999999998</v>
      </c>
      <c r="R18" s="77">
        <v>19.100000000000001</v>
      </c>
      <c r="S18" s="77">
        <v>89</v>
      </c>
      <c r="T18" s="16">
        <f t="shared" si="1"/>
        <v>36</v>
      </c>
      <c r="U18" s="77">
        <v>398</v>
      </c>
      <c r="V18" s="16">
        <f t="shared" si="2"/>
        <v>2388</v>
      </c>
      <c r="W18" s="77">
        <v>7</v>
      </c>
      <c r="X18" s="77" t="s">
        <v>35</v>
      </c>
      <c r="Y18" s="77" t="s">
        <v>64</v>
      </c>
      <c r="Z18" s="77" t="s">
        <v>55</v>
      </c>
      <c r="AA18" s="77" t="s">
        <v>43</v>
      </c>
      <c r="AB18" s="77" t="s">
        <v>162</v>
      </c>
      <c r="AE18" s="22" t="s">
        <v>73</v>
      </c>
      <c r="AP18" s="27" t="s">
        <v>94</v>
      </c>
      <c r="AR18" s="80" t="s">
        <v>85</v>
      </c>
      <c r="AV18" s="80" t="s">
        <v>74</v>
      </c>
    </row>
    <row r="19" spans="1:48" x14ac:dyDescent="0.15">
      <c r="A19" s="77" t="s">
        <v>23</v>
      </c>
      <c r="B19" s="77" t="s">
        <v>160</v>
      </c>
      <c r="C19" s="77">
        <v>2020</v>
      </c>
      <c r="D19" s="193" t="s">
        <v>370</v>
      </c>
      <c r="E19" s="77" t="s">
        <v>389</v>
      </c>
      <c r="F19" s="77" t="s">
        <v>390</v>
      </c>
      <c r="G19" s="77" t="s">
        <v>25</v>
      </c>
      <c r="H19" s="77" t="s">
        <v>228</v>
      </c>
      <c r="I19" s="77" t="s">
        <v>111</v>
      </c>
      <c r="J19" s="77" t="s">
        <v>27</v>
      </c>
      <c r="K19" s="77" t="s">
        <v>112</v>
      </c>
      <c r="L19" s="77">
        <v>3</v>
      </c>
      <c r="N19" s="77">
        <v>6</v>
      </c>
      <c r="O19" s="77">
        <v>0.6</v>
      </c>
      <c r="P19" s="77">
        <v>0.75</v>
      </c>
      <c r="Q19" s="44">
        <f t="shared" si="0"/>
        <v>0.67500000000000004</v>
      </c>
      <c r="R19" s="77">
        <v>18</v>
      </c>
      <c r="S19" s="77">
        <v>92.5</v>
      </c>
      <c r="T19" s="16">
        <f t="shared" si="1"/>
        <v>36</v>
      </c>
      <c r="U19" s="77">
        <v>398</v>
      </c>
      <c r="V19" s="16">
        <f t="shared" si="2"/>
        <v>2388</v>
      </c>
      <c r="W19" s="77">
        <v>7</v>
      </c>
      <c r="X19" s="77" t="s">
        <v>35</v>
      </c>
      <c r="Y19" s="77" t="s">
        <v>64</v>
      </c>
      <c r="Z19" s="77" t="s">
        <v>55</v>
      </c>
      <c r="AA19" s="77" t="s">
        <v>43</v>
      </c>
      <c r="AB19" s="77" t="s">
        <v>162</v>
      </c>
      <c r="AE19" s="35" t="s">
        <v>75</v>
      </c>
      <c r="AP19" s="27" t="s">
        <v>95</v>
      </c>
      <c r="AR19" s="80" t="s">
        <v>106</v>
      </c>
      <c r="AV19" s="80" t="s">
        <v>76</v>
      </c>
    </row>
    <row r="20" spans="1:48" x14ac:dyDescent="0.15">
      <c r="A20" s="77" t="s">
        <v>23</v>
      </c>
      <c r="B20" s="77" t="s">
        <v>160</v>
      </c>
      <c r="C20" s="77">
        <v>2020</v>
      </c>
      <c r="D20" s="193" t="s">
        <v>370</v>
      </c>
      <c r="E20" s="77" t="s">
        <v>389</v>
      </c>
      <c r="F20" s="77" t="s">
        <v>390</v>
      </c>
      <c r="G20" s="77" t="s">
        <v>25</v>
      </c>
      <c r="H20" s="77" t="s">
        <v>164</v>
      </c>
      <c r="I20" s="77" t="s">
        <v>111</v>
      </c>
      <c r="J20" s="77" t="s">
        <v>27</v>
      </c>
      <c r="K20" s="77" t="s">
        <v>112</v>
      </c>
      <c r="L20" s="77">
        <v>1</v>
      </c>
      <c r="N20" s="77">
        <v>1</v>
      </c>
      <c r="O20" s="77">
        <v>0.2</v>
      </c>
      <c r="P20" s="77">
        <v>0.45</v>
      </c>
      <c r="Q20" s="44">
        <f t="shared" si="0"/>
        <v>0.32500000000000001</v>
      </c>
      <c r="R20" s="77">
        <v>18.600000000000001</v>
      </c>
      <c r="S20" s="77">
        <v>150</v>
      </c>
      <c r="T20" s="16">
        <f t="shared" si="1"/>
        <v>30</v>
      </c>
      <c r="U20" s="77">
        <v>98</v>
      </c>
      <c r="V20" s="16">
        <f t="shared" si="2"/>
        <v>2940</v>
      </c>
      <c r="W20" s="77">
        <v>7</v>
      </c>
      <c r="X20" s="77" t="s">
        <v>35</v>
      </c>
      <c r="Y20" s="77" t="s">
        <v>64</v>
      </c>
      <c r="Z20" s="77" t="s">
        <v>55</v>
      </c>
      <c r="AA20" s="77" t="s">
        <v>43</v>
      </c>
      <c r="AB20" s="77" t="s">
        <v>162</v>
      </c>
      <c r="AP20" s="27" t="s">
        <v>96</v>
      </c>
      <c r="AR20" s="80" t="s">
        <v>89</v>
      </c>
      <c r="AV20" s="27" t="s">
        <v>114</v>
      </c>
    </row>
    <row r="21" spans="1:48" x14ac:dyDescent="0.15">
      <c r="A21" s="77" t="s">
        <v>23</v>
      </c>
      <c r="B21" s="77" t="s">
        <v>160</v>
      </c>
      <c r="C21" s="77">
        <v>2020</v>
      </c>
      <c r="D21" s="193" t="s">
        <v>370</v>
      </c>
      <c r="E21" s="77" t="s">
        <v>389</v>
      </c>
      <c r="F21" s="77" t="s">
        <v>390</v>
      </c>
      <c r="G21" s="77" t="s">
        <v>25</v>
      </c>
      <c r="H21" s="77" t="s">
        <v>164</v>
      </c>
      <c r="I21" s="77" t="s">
        <v>111</v>
      </c>
      <c r="J21" s="77" t="s">
        <v>27</v>
      </c>
      <c r="K21" s="77" t="s">
        <v>112</v>
      </c>
      <c r="L21" s="77">
        <v>2</v>
      </c>
      <c r="N21" s="77">
        <v>1</v>
      </c>
      <c r="O21" s="77">
        <v>0.55000000000000004</v>
      </c>
      <c r="P21" s="77">
        <v>0.6</v>
      </c>
      <c r="Q21" s="44">
        <f t="shared" si="0"/>
        <v>0.57499999999999996</v>
      </c>
      <c r="R21" s="77">
        <v>17.399999999999999</v>
      </c>
      <c r="S21" s="77">
        <v>136</v>
      </c>
      <c r="T21" s="16">
        <f t="shared" si="1"/>
        <v>30</v>
      </c>
      <c r="U21" s="77">
        <v>98</v>
      </c>
      <c r="V21" s="16">
        <f t="shared" si="2"/>
        <v>2940</v>
      </c>
      <c r="W21" s="77">
        <v>7</v>
      </c>
      <c r="X21" s="77" t="s">
        <v>35</v>
      </c>
      <c r="Y21" s="77" t="s">
        <v>64</v>
      </c>
      <c r="Z21" s="77" t="s">
        <v>55</v>
      </c>
      <c r="AA21" s="77" t="s">
        <v>43</v>
      </c>
      <c r="AB21" s="77" t="s">
        <v>162</v>
      </c>
      <c r="AP21" s="27" t="s">
        <v>97</v>
      </c>
      <c r="AR21" s="80" t="s">
        <v>54</v>
      </c>
      <c r="AV21" s="27" t="s">
        <v>115</v>
      </c>
    </row>
    <row r="22" spans="1:48" x14ac:dyDescent="0.15">
      <c r="A22" s="77" t="s">
        <v>23</v>
      </c>
      <c r="B22" s="77" t="s">
        <v>160</v>
      </c>
      <c r="C22" s="77">
        <v>2020</v>
      </c>
      <c r="D22" s="193" t="s">
        <v>370</v>
      </c>
      <c r="E22" s="77" t="s">
        <v>389</v>
      </c>
      <c r="F22" s="77" t="s">
        <v>390</v>
      </c>
      <c r="G22" s="77" t="s">
        <v>25</v>
      </c>
      <c r="H22" s="77" t="s">
        <v>164</v>
      </c>
      <c r="I22" s="77" t="s">
        <v>111</v>
      </c>
      <c r="J22" s="77" t="s">
        <v>27</v>
      </c>
      <c r="K22" s="77" t="s">
        <v>112</v>
      </c>
      <c r="L22" s="77">
        <v>3</v>
      </c>
      <c r="N22" s="77">
        <v>1</v>
      </c>
      <c r="O22" s="77">
        <v>0.5</v>
      </c>
      <c r="P22" s="77">
        <v>0.45</v>
      </c>
      <c r="Q22" s="44">
        <f t="shared" si="0"/>
        <v>0.47499999999999998</v>
      </c>
      <c r="R22" s="77">
        <v>17.8</v>
      </c>
      <c r="S22" s="77">
        <v>149.5</v>
      </c>
      <c r="T22" s="16">
        <f t="shared" si="1"/>
        <v>30</v>
      </c>
      <c r="U22" s="77">
        <v>98</v>
      </c>
      <c r="V22" s="16">
        <f t="shared" si="2"/>
        <v>2940</v>
      </c>
      <c r="W22" s="77">
        <v>7</v>
      </c>
      <c r="X22" s="77" t="s">
        <v>35</v>
      </c>
      <c r="Y22" s="77" t="s">
        <v>64</v>
      </c>
      <c r="Z22" s="77" t="s">
        <v>55</v>
      </c>
      <c r="AA22" s="77" t="s">
        <v>43</v>
      </c>
      <c r="AB22" s="77" t="s">
        <v>162</v>
      </c>
      <c r="AP22" s="27" t="s">
        <v>98</v>
      </c>
      <c r="AR22" s="80" t="s">
        <v>69</v>
      </c>
      <c r="AV22" s="27"/>
    </row>
    <row r="23" spans="1:48" x14ac:dyDescent="0.15">
      <c r="A23" s="77" t="s">
        <v>23</v>
      </c>
      <c r="B23" s="77" t="s">
        <v>160</v>
      </c>
      <c r="C23" s="77">
        <v>2020</v>
      </c>
      <c r="D23" s="193" t="s">
        <v>370</v>
      </c>
      <c r="E23" s="77" t="s">
        <v>389</v>
      </c>
      <c r="F23" s="77" t="s">
        <v>390</v>
      </c>
      <c r="G23" s="77" t="s">
        <v>25</v>
      </c>
      <c r="H23" s="77" t="s">
        <v>164</v>
      </c>
      <c r="I23" s="77" t="s">
        <v>111</v>
      </c>
      <c r="J23" s="77" t="s">
        <v>27</v>
      </c>
      <c r="K23" s="77" t="s">
        <v>112</v>
      </c>
      <c r="L23" s="77">
        <v>1</v>
      </c>
      <c r="N23" s="77">
        <v>5</v>
      </c>
      <c r="O23" s="77">
        <v>1</v>
      </c>
      <c r="P23" s="77">
        <v>0.8</v>
      </c>
      <c r="Q23" s="44">
        <f t="shared" si="0"/>
        <v>0.9</v>
      </c>
      <c r="R23" s="77">
        <v>13.5</v>
      </c>
      <c r="S23" s="77">
        <v>94</v>
      </c>
      <c r="T23" s="16">
        <f t="shared" si="1"/>
        <v>36</v>
      </c>
      <c r="U23" s="77">
        <v>398</v>
      </c>
      <c r="V23" s="16">
        <f t="shared" si="2"/>
        <v>2865.6</v>
      </c>
      <c r="W23" s="77">
        <v>7</v>
      </c>
      <c r="X23" s="77" t="s">
        <v>35</v>
      </c>
      <c r="Y23" s="77" t="s">
        <v>64</v>
      </c>
      <c r="Z23" s="77" t="s">
        <v>55</v>
      </c>
      <c r="AA23" s="77" t="s">
        <v>43</v>
      </c>
      <c r="AB23" s="77" t="s">
        <v>162</v>
      </c>
      <c r="AP23" s="27" t="s">
        <v>100</v>
      </c>
      <c r="AR23" s="80" t="s">
        <v>138</v>
      </c>
    </row>
    <row r="24" spans="1:48" x14ac:dyDescent="0.15">
      <c r="A24" s="77" t="s">
        <v>23</v>
      </c>
      <c r="B24" s="77" t="s">
        <v>160</v>
      </c>
      <c r="C24" s="77">
        <v>2020</v>
      </c>
      <c r="D24" s="193" t="s">
        <v>370</v>
      </c>
      <c r="E24" s="77" t="s">
        <v>389</v>
      </c>
      <c r="F24" s="77" t="s">
        <v>390</v>
      </c>
      <c r="G24" s="77" t="s">
        <v>25</v>
      </c>
      <c r="H24" s="77" t="s">
        <v>164</v>
      </c>
      <c r="I24" s="77" t="s">
        <v>111</v>
      </c>
      <c r="J24" s="77" t="s">
        <v>27</v>
      </c>
      <c r="K24" s="77" t="s">
        <v>112</v>
      </c>
      <c r="L24" s="77">
        <v>2</v>
      </c>
      <c r="N24" s="77">
        <v>5</v>
      </c>
      <c r="O24" s="77">
        <v>0.85</v>
      </c>
      <c r="P24" s="77">
        <v>1.05</v>
      </c>
      <c r="Q24" s="44">
        <f t="shared" si="0"/>
        <v>0.95</v>
      </c>
      <c r="R24" s="77">
        <v>15.9</v>
      </c>
      <c r="S24" s="77">
        <v>104.5</v>
      </c>
      <c r="T24" s="16">
        <f t="shared" si="1"/>
        <v>33</v>
      </c>
      <c r="U24" s="77">
        <v>398</v>
      </c>
      <c r="V24" s="16">
        <f t="shared" si="2"/>
        <v>2626.7999999999997</v>
      </c>
      <c r="W24" s="77">
        <v>7</v>
      </c>
      <c r="X24" s="77" t="s">
        <v>35</v>
      </c>
      <c r="Y24" s="77" t="s">
        <v>64</v>
      </c>
      <c r="Z24" s="77" t="s">
        <v>55</v>
      </c>
      <c r="AA24" s="77" t="s">
        <v>43</v>
      </c>
      <c r="AB24" s="77" t="s">
        <v>162</v>
      </c>
      <c r="AP24" s="27" t="s">
        <v>101</v>
      </c>
      <c r="AR24" s="80" t="s">
        <v>159</v>
      </c>
    </row>
    <row r="25" spans="1:48" x14ac:dyDescent="0.15">
      <c r="A25" s="77" t="s">
        <v>23</v>
      </c>
      <c r="B25" s="77" t="s">
        <v>160</v>
      </c>
      <c r="C25" s="77">
        <v>2020</v>
      </c>
      <c r="D25" s="193" t="s">
        <v>370</v>
      </c>
      <c r="E25" s="77" t="s">
        <v>389</v>
      </c>
      <c r="F25" s="77" t="s">
        <v>390</v>
      </c>
      <c r="G25" s="77" t="s">
        <v>25</v>
      </c>
      <c r="H25" s="77" t="s">
        <v>164</v>
      </c>
      <c r="I25" s="77" t="s">
        <v>111</v>
      </c>
      <c r="J25" s="77" t="s">
        <v>27</v>
      </c>
      <c r="K25" s="77" t="s">
        <v>112</v>
      </c>
      <c r="L25" s="77">
        <v>3</v>
      </c>
      <c r="N25" s="77">
        <v>5</v>
      </c>
      <c r="O25" s="77">
        <v>0.9</v>
      </c>
      <c r="P25" s="77">
        <v>1.1499999999999999</v>
      </c>
      <c r="Q25" s="44">
        <f t="shared" si="0"/>
        <v>1.0249999999999999</v>
      </c>
      <c r="R25" s="77">
        <v>15.2</v>
      </c>
      <c r="S25" s="77">
        <v>93</v>
      </c>
      <c r="T25" s="16">
        <f t="shared" si="1"/>
        <v>36</v>
      </c>
      <c r="U25" s="77">
        <v>398</v>
      </c>
      <c r="V25" s="16">
        <f t="shared" si="2"/>
        <v>2865.6</v>
      </c>
      <c r="W25" s="77">
        <v>7</v>
      </c>
      <c r="X25" s="77" t="s">
        <v>35</v>
      </c>
      <c r="Y25" s="77" t="s">
        <v>64</v>
      </c>
      <c r="Z25" s="77" t="s">
        <v>55</v>
      </c>
      <c r="AA25" s="77" t="s">
        <v>43</v>
      </c>
      <c r="AB25" s="77" t="s">
        <v>162</v>
      </c>
      <c r="AP25" s="27" t="s">
        <v>156</v>
      </c>
      <c r="AR25" s="80" t="s">
        <v>158</v>
      </c>
    </row>
    <row r="26" spans="1:48" x14ac:dyDescent="0.15">
      <c r="A26" s="77" t="s">
        <v>23</v>
      </c>
      <c r="B26" s="77" t="s">
        <v>160</v>
      </c>
      <c r="C26" s="77">
        <v>2020</v>
      </c>
      <c r="D26" s="193" t="s">
        <v>370</v>
      </c>
      <c r="E26" s="77" t="s">
        <v>389</v>
      </c>
      <c r="F26" s="77" t="s">
        <v>390</v>
      </c>
      <c r="G26" s="77" t="s">
        <v>25</v>
      </c>
      <c r="H26" s="77" t="s">
        <v>107</v>
      </c>
      <c r="I26" s="77" t="s">
        <v>111</v>
      </c>
      <c r="J26" s="77" t="s">
        <v>66</v>
      </c>
      <c r="K26" s="77" t="s">
        <v>50</v>
      </c>
      <c r="L26" s="77">
        <v>1</v>
      </c>
      <c r="N26" s="77">
        <v>8</v>
      </c>
      <c r="O26" s="77">
        <v>0.75</v>
      </c>
      <c r="P26" s="77">
        <v>0.75</v>
      </c>
      <c r="Q26" s="44">
        <f t="shared" si="0"/>
        <v>0.75</v>
      </c>
      <c r="R26" s="77">
        <v>10.9</v>
      </c>
      <c r="S26" s="77">
        <v>86</v>
      </c>
      <c r="T26" s="16">
        <f t="shared" si="1"/>
        <v>36</v>
      </c>
      <c r="U26" s="77">
        <v>298</v>
      </c>
      <c r="V26" s="16">
        <f t="shared" si="2"/>
        <v>1341</v>
      </c>
      <c r="W26" s="77">
        <v>7</v>
      </c>
      <c r="X26" s="77" t="s">
        <v>35</v>
      </c>
      <c r="Y26" s="77" t="s">
        <v>64</v>
      </c>
      <c r="Z26" s="77" t="s">
        <v>55</v>
      </c>
      <c r="AA26" s="77" t="s">
        <v>43</v>
      </c>
      <c r="AB26" s="77" t="s">
        <v>162</v>
      </c>
      <c r="AP26" s="27" t="s">
        <v>157</v>
      </c>
      <c r="AR26" s="28"/>
    </row>
    <row r="27" spans="1:48" x14ac:dyDescent="0.15">
      <c r="A27" s="77" t="s">
        <v>23</v>
      </c>
      <c r="B27" s="77" t="s">
        <v>160</v>
      </c>
      <c r="C27" s="77">
        <v>2020</v>
      </c>
      <c r="D27" s="193" t="s">
        <v>370</v>
      </c>
      <c r="E27" s="77" t="s">
        <v>389</v>
      </c>
      <c r="F27" s="77" t="s">
        <v>390</v>
      </c>
      <c r="G27" s="77" t="s">
        <v>25</v>
      </c>
      <c r="H27" s="77" t="s">
        <v>107</v>
      </c>
      <c r="I27" s="77" t="s">
        <v>111</v>
      </c>
      <c r="J27" s="77" t="s">
        <v>66</v>
      </c>
      <c r="K27" s="77" t="s">
        <v>50</v>
      </c>
      <c r="L27" s="77">
        <v>2</v>
      </c>
      <c r="N27" s="77">
        <v>8</v>
      </c>
      <c r="O27" s="77">
        <v>0.95</v>
      </c>
      <c r="P27" s="77">
        <v>0.95</v>
      </c>
      <c r="Q27" s="44">
        <f t="shared" si="0"/>
        <v>0.95</v>
      </c>
      <c r="R27" s="77">
        <v>11</v>
      </c>
      <c r="S27" s="77">
        <v>81</v>
      </c>
      <c r="T27" s="16">
        <f t="shared" si="1"/>
        <v>39</v>
      </c>
      <c r="U27" s="77">
        <v>298</v>
      </c>
      <c r="V27" s="16">
        <f t="shared" si="2"/>
        <v>1452.75</v>
      </c>
      <c r="W27" s="77">
        <v>7</v>
      </c>
      <c r="X27" s="77" t="s">
        <v>35</v>
      </c>
      <c r="Y27" s="77" t="s">
        <v>64</v>
      </c>
      <c r="Z27" s="77" t="s">
        <v>55</v>
      </c>
      <c r="AA27" s="77" t="s">
        <v>43</v>
      </c>
      <c r="AB27" s="77" t="s">
        <v>162</v>
      </c>
    </row>
    <row r="28" spans="1:48" x14ac:dyDescent="0.15">
      <c r="A28" s="77" t="s">
        <v>23</v>
      </c>
      <c r="B28" s="77" t="s">
        <v>160</v>
      </c>
      <c r="C28" s="77">
        <v>2020</v>
      </c>
      <c r="D28" s="193" t="s">
        <v>370</v>
      </c>
      <c r="E28" s="77" t="s">
        <v>389</v>
      </c>
      <c r="F28" s="77" t="s">
        <v>390</v>
      </c>
      <c r="G28" s="77" t="s">
        <v>25</v>
      </c>
      <c r="H28" s="77" t="s">
        <v>107</v>
      </c>
      <c r="I28" s="77" t="s">
        <v>111</v>
      </c>
      <c r="J28" s="77" t="s">
        <v>66</v>
      </c>
      <c r="K28" s="77" t="s">
        <v>50</v>
      </c>
      <c r="L28" s="77">
        <v>3</v>
      </c>
      <c r="N28" s="77">
        <v>8</v>
      </c>
      <c r="O28" s="77">
        <v>0.9</v>
      </c>
      <c r="P28" s="77">
        <v>0.9</v>
      </c>
      <c r="Q28" s="44">
        <f>IF(OR(O28="",P28=""),"",AVERAGE(O28,P28))</f>
        <v>0.9</v>
      </c>
      <c r="R28" s="77">
        <v>13.4</v>
      </c>
      <c r="S28" s="77">
        <v>86.5</v>
      </c>
      <c r="T28" s="16">
        <f>IF(H28="","",IF(OR(H28="GREEN",H28="GK"),IF(S28&gt;=$AX$2,VLOOKUP(S28,$AX$2:$AY$9,2,1),""),IF(S28&gt;=$AZ$2,VLOOKUP(S28,$AZ$2:$BA$9,2,1),"")))</f>
        <v>36</v>
      </c>
      <c r="U28" s="77">
        <v>298</v>
      </c>
      <c r="V28" s="16">
        <f t="shared" si="2"/>
        <v>1341</v>
      </c>
      <c r="W28" s="77">
        <v>7</v>
      </c>
      <c r="X28" s="77" t="s">
        <v>35</v>
      </c>
      <c r="Y28" s="77" t="s">
        <v>64</v>
      </c>
      <c r="Z28" s="77" t="s">
        <v>55</v>
      </c>
      <c r="AA28" s="77" t="s">
        <v>43</v>
      </c>
      <c r="AB28" s="77" t="s">
        <v>162</v>
      </c>
    </row>
    <row r="29" spans="1:48" x14ac:dyDescent="0.15">
      <c r="A29" s="77" t="s">
        <v>23</v>
      </c>
      <c r="B29" s="77" t="s">
        <v>160</v>
      </c>
      <c r="C29" s="77">
        <v>2020</v>
      </c>
      <c r="D29" s="193" t="s">
        <v>370</v>
      </c>
      <c r="E29" s="77" t="s">
        <v>166</v>
      </c>
      <c r="F29" s="77" t="s">
        <v>372</v>
      </c>
      <c r="G29" s="77" t="s">
        <v>25</v>
      </c>
      <c r="H29" s="77" t="s">
        <v>113</v>
      </c>
      <c r="I29" s="77" t="s">
        <v>111</v>
      </c>
      <c r="J29" s="77" t="s">
        <v>27</v>
      </c>
      <c r="K29" s="77" t="s">
        <v>112</v>
      </c>
      <c r="L29" s="77">
        <v>1</v>
      </c>
      <c r="N29" s="77">
        <v>1</v>
      </c>
      <c r="O29" s="77">
        <v>0.45</v>
      </c>
      <c r="P29" s="77">
        <v>0.5</v>
      </c>
      <c r="Q29" s="44">
        <f t="shared" si="0"/>
        <v>0.47499999999999998</v>
      </c>
      <c r="R29" s="77">
        <v>19.2</v>
      </c>
      <c r="S29" s="77">
        <v>117</v>
      </c>
      <c r="T29" s="16">
        <f>IF(H29="","",IF(OR(H29="GREEN",H29="GK"),IF(S29&gt;=$AX$2,VLOOKUP(S29,$AX$2:$AY$9,2,1),""),IF(S29&gt;=$AZ$2,VLOOKUP(S29,$AZ$2:$BA$9,2,1),"")))</f>
        <v>30</v>
      </c>
      <c r="U29" s="77">
        <v>98</v>
      </c>
      <c r="V29" s="16">
        <f t="shared" si="2"/>
        <v>2940</v>
      </c>
      <c r="W29" s="77">
        <v>13</v>
      </c>
      <c r="X29" s="77" t="s">
        <v>35</v>
      </c>
      <c r="Y29" s="77" t="s">
        <v>47</v>
      </c>
      <c r="Z29" s="77" t="s">
        <v>55</v>
      </c>
      <c r="AA29" s="77" t="s">
        <v>43</v>
      </c>
      <c r="AB29" s="77" t="s">
        <v>162</v>
      </c>
    </row>
    <row r="30" spans="1:48" x14ac:dyDescent="0.15">
      <c r="A30" s="77" t="s">
        <v>23</v>
      </c>
      <c r="B30" s="77" t="s">
        <v>160</v>
      </c>
      <c r="C30" s="77">
        <v>2020</v>
      </c>
      <c r="D30" s="193" t="s">
        <v>370</v>
      </c>
      <c r="E30" s="77" t="s">
        <v>166</v>
      </c>
      <c r="F30" s="77" t="s">
        <v>372</v>
      </c>
      <c r="G30" s="77" t="s">
        <v>25</v>
      </c>
      <c r="H30" s="77" t="s">
        <v>113</v>
      </c>
      <c r="I30" s="77" t="s">
        <v>111</v>
      </c>
      <c r="J30" s="77" t="s">
        <v>27</v>
      </c>
      <c r="K30" s="77" t="s">
        <v>112</v>
      </c>
      <c r="L30" s="77">
        <v>2</v>
      </c>
      <c r="N30" s="77">
        <v>1</v>
      </c>
      <c r="O30" s="77">
        <v>0.6</v>
      </c>
      <c r="P30" s="77">
        <v>0.55000000000000004</v>
      </c>
      <c r="Q30" s="44">
        <f t="shared" si="0"/>
        <v>0.57499999999999996</v>
      </c>
      <c r="R30" s="77">
        <v>17.2</v>
      </c>
      <c r="S30" s="77">
        <v>123</v>
      </c>
      <c r="T30" s="16">
        <f t="shared" si="1"/>
        <v>30</v>
      </c>
      <c r="U30" s="77">
        <v>98</v>
      </c>
      <c r="V30" s="16">
        <f t="shared" si="2"/>
        <v>2940</v>
      </c>
      <c r="W30" s="77">
        <v>13</v>
      </c>
      <c r="X30" s="77" t="s">
        <v>35</v>
      </c>
      <c r="Y30" s="77" t="s">
        <v>47</v>
      </c>
      <c r="Z30" s="77" t="s">
        <v>55</v>
      </c>
      <c r="AA30" s="77" t="s">
        <v>43</v>
      </c>
      <c r="AB30" s="77" t="s">
        <v>162</v>
      </c>
    </row>
    <row r="31" spans="1:48" x14ac:dyDescent="0.15">
      <c r="A31" s="77" t="s">
        <v>23</v>
      </c>
      <c r="B31" s="77" t="s">
        <v>160</v>
      </c>
      <c r="C31" s="77">
        <v>2020</v>
      </c>
      <c r="D31" s="193" t="s">
        <v>370</v>
      </c>
      <c r="E31" s="77" t="s">
        <v>166</v>
      </c>
      <c r="F31" s="77" t="s">
        <v>372</v>
      </c>
      <c r="G31" s="77" t="s">
        <v>25</v>
      </c>
      <c r="H31" s="77" t="s">
        <v>113</v>
      </c>
      <c r="I31" s="77" t="s">
        <v>111</v>
      </c>
      <c r="J31" s="77" t="s">
        <v>27</v>
      </c>
      <c r="K31" s="77" t="s">
        <v>112</v>
      </c>
      <c r="L31" s="77">
        <v>3</v>
      </c>
      <c r="N31" s="77">
        <v>1</v>
      </c>
      <c r="O31" s="77">
        <v>0.6</v>
      </c>
      <c r="P31" s="77">
        <v>0.55000000000000004</v>
      </c>
      <c r="Q31" s="44">
        <f t="shared" si="0"/>
        <v>0.57499999999999996</v>
      </c>
      <c r="R31" s="77">
        <v>18</v>
      </c>
      <c r="S31" s="77">
        <v>123</v>
      </c>
      <c r="T31" s="16">
        <f t="shared" si="1"/>
        <v>30</v>
      </c>
      <c r="U31" s="77">
        <v>98</v>
      </c>
      <c r="V31" s="16">
        <f t="shared" si="2"/>
        <v>2940</v>
      </c>
      <c r="W31" s="77">
        <v>13</v>
      </c>
      <c r="X31" s="77" t="s">
        <v>35</v>
      </c>
      <c r="Y31" s="77" t="s">
        <v>47</v>
      </c>
      <c r="Z31" s="77" t="s">
        <v>55</v>
      </c>
      <c r="AA31" s="77" t="s">
        <v>43</v>
      </c>
      <c r="AB31" s="77" t="s">
        <v>162</v>
      </c>
    </row>
    <row r="32" spans="1:48" x14ac:dyDescent="0.15">
      <c r="A32" s="77" t="s">
        <v>23</v>
      </c>
      <c r="B32" s="77" t="s">
        <v>160</v>
      </c>
      <c r="C32" s="77">
        <v>2020</v>
      </c>
      <c r="D32" s="193" t="s">
        <v>370</v>
      </c>
      <c r="E32" s="77" t="s">
        <v>166</v>
      </c>
      <c r="F32" s="77" t="s">
        <v>372</v>
      </c>
      <c r="G32" s="77" t="s">
        <v>25</v>
      </c>
      <c r="H32" s="77" t="s">
        <v>113</v>
      </c>
      <c r="I32" s="77" t="s">
        <v>111</v>
      </c>
      <c r="J32" s="77" t="s">
        <v>27</v>
      </c>
      <c r="K32" s="77" t="s">
        <v>112</v>
      </c>
      <c r="L32" s="77">
        <v>1</v>
      </c>
      <c r="N32" s="77">
        <v>4</v>
      </c>
      <c r="O32" s="77">
        <v>0.8</v>
      </c>
      <c r="P32" s="77">
        <v>1</v>
      </c>
      <c r="Q32" s="44">
        <f t="shared" si="0"/>
        <v>0.9</v>
      </c>
      <c r="R32" s="77">
        <v>15</v>
      </c>
      <c r="S32" s="77">
        <v>91</v>
      </c>
      <c r="T32" s="16">
        <f t="shared" si="1"/>
        <v>36</v>
      </c>
      <c r="U32" s="77">
        <v>298</v>
      </c>
      <c r="V32" s="16">
        <f t="shared" si="2"/>
        <v>2682</v>
      </c>
      <c r="W32" s="77">
        <v>13</v>
      </c>
      <c r="X32" s="77" t="s">
        <v>35</v>
      </c>
      <c r="Y32" s="77" t="s">
        <v>47</v>
      </c>
      <c r="Z32" s="77" t="s">
        <v>55</v>
      </c>
      <c r="AA32" s="77" t="s">
        <v>43</v>
      </c>
      <c r="AB32" s="77" t="s">
        <v>162</v>
      </c>
    </row>
    <row r="33" spans="1:28" x14ac:dyDescent="0.15">
      <c r="A33" s="77" t="s">
        <v>23</v>
      </c>
      <c r="B33" s="77" t="s">
        <v>160</v>
      </c>
      <c r="C33" s="77">
        <v>2020</v>
      </c>
      <c r="D33" s="193" t="s">
        <v>370</v>
      </c>
      <c r="E33" s="77" t="s">
        <v>166</v>
      </c>
      <c r="F33" s="77" t="s">
        <v>372</v>
      </c>
      <c r="G33" s="77" t="s">
        <v>25</v>
      </c>
      <c r="H33" s="77" t="s">
        <v>113</v>
      </c>
      <c r="I33" s="77" t="s">
        <v>111</v>
      </c>
      <c r="J33" s="77" t="s">
        <v>27</v>
      </c>
      <c r="K33" s="77" t="s">
        <v>112</v>
      </c>
      <c r="L33" s="77">
        <v>2</v>
      </c>
      <c r="N33" s="77">
        <v>4</v>
      </c>
      <c r="O33" s="77">
        <v>1</v>
      </c>
      <c r="P33" s="77">
        <v>1</v>
      </c>
      <c r="Q33" s="44">
        <f t="shared" si="0"/>
        <v>1</v>
      </c>
      <c r="R33" s="77">
        <v>14.9</v>
      </c>
      <c r="S33" s="77">
        <v>88</v>
      </c>
      <c r="T33" s="16">
        <f t="shared" si="1"/>
        <v>36</v>
      </c>
      <c r="U33" s="77">
        <v>298</v>
      </c>
      <c r="V33" s="16">
        <f t="shared" si="2"/>
        <v>2682</v>
      </c>
      <c r="W33" s="77">
        <v>13</v>
      </c>
      <c r="X33" s="77" t="s">
        <v>35</v>
      </c>
      <c r="Y33" s="77" t="s">
        <v>47</v>
      </c>
      <c r="Z33" s="77" t="s">
        <v>55</v>
      </c>
      <c r="AA33" s="77" t="s">
        <v>43</v>
      </c>
      <c r="AB33" s="77" t="s">
        <v>162</v>
      </c>
    </row>
    <row r="34" spans="1:28" x14ac:dyDescent="0.15">
      <c r="A34" s="77" t="s">
        <v>23</v>
      </c>
      <c r="B34" s="77" t="s">
        <v>160</v>
      </c>
      <c r="C34" s="77">
        <v>2020</v>
      </c>
      <c r="D34" s="193" t="s">
        <v>370</v>
      </c>
      <c r="E34" s="77" t="s">
        <v>166</v>
      </c>
      <c r="F34" s="77" t="s">
        <v>372</v>
      </c>
      <c r="G34" s="77" t="s">
        <v>25</v>
      </c>
      <c r="H34" s="77" t="s">
        <v>113</v>
      </c>
      <c r="I34" s="77" t="s">
        <v>111</v>
      </c>
      <c r="J34" s="77" t="s">
        <v>27</v>
      </c>
      <c r="K34" s="77" t="s">
        <v>112</v>
      </c>
      <c r="L34" s="77">
        <v>3</v>
      </c>
      <c r="N34" s="77">
        <v>4</v>
      </c>
      <c r="O34" s="77">
        <v>0.7</v>
      </c>
      <c r="P34" s="77">
        <v>0.55000000000000004</v>
      </c>
      <c r="Q34" s="44">
        <f>IF(OR(O34="",P34=""),"",AVERAGE(O34,P34))</f>
        <v>0.625</v>
      </c>
      <c r="R34" s="77">
        <v>15</v>
      </c>
      <c r="S34" s="77">
        <v>86.5</v>
      </c>
      <c r="T34" s="16">
        <f t="shared" si="1"/>
        <v>36</v>
      </c>
      <c r="U34" s="77">
        <v>298</v>
      </c>
      <c r="V34" s="16">
        <f t="shared" si="2"/>
        <v>2682</v>
      </c>
      <c r="W34" s="77">
        <v>13</v>
      </c>
      <c r="X34" s="77" t="s">
        <v>35</v>
      </c>
      <c r="Y34" s="77" t="s">
        <v>47</v>
      </c>
      <c r="Z34" s="77" t="s">
        <v>55</v>
      </c>
      <c r="AA34" s="77" t="s">
        <v>43</v>
      </c>
      <c r="AB34" s="77" t="s">
        <v>162</v>
      </c>
    </row>
    <row r="35" spans="1:28" x14ac:dyDescent="0.15">
      <c r="A35" s="77" t="s">
        <v>23</v>
      </c>
      <c r="B35" s="77" t="s">
        <v>160</v>
      </c>
      <c r="C35" s="77">
        <v>2020</v>
      </c>
      <c r="D35" s="193" t="s">
        <v>370</v>
      </c>
      <c r="E35" s="77" t="s">
        <v>166</v>
      </c>
      <c r="F35" s="77" t="s">
        <v>372</v>
      </c>
      <c r="G35" s="77" t="s">
        <v>25</v>
      </c>
      <c r="H35" s="77" t="s">
        <v>164</v>
      </c>
      <c r="I35" s="77" t="s">
        <v>111</v>
      </c>
      <c r="J35" s="77" t="s">
        <v>27</v>
      </c>
      <c r="K35" s="77" t="s">
        <v>112</v>
      </c>
      <c r="L35" s="77">
        <v>1</v>
      </c>
      <c r="N35" s="77">
        <v>1</v>
      </c>
      <c r="O35" s="77">
        <v>0.7</v>
      </c>
      <c r="P35" s="77">
        <v>0.7</v>
      </c>
      <c r="Q35" s="44">
        <f t="shared" ref="Q35:Q36" si="3">IF(OR(O35="",P35=""),"",AVERAGE(O35,P35))</f>
        <v>0.7</v>
      </c>
      <c r="R35" s="77">
        <v>16.899999999999999</v>
      </c>
      <c r="S35" s="77">
        <v>100.5</v>
      </c>
      <c r="T35" s="16">
        <f t="shared" si="1"/>
        <v>33</v>
      </c>
      <c r="U35" s="77">
        <v>98</v>
      </c>
      <c r="V35" s="16">
        <f t="shared" si="2"/>
        <v>3234</v>
      </c>
      <c r="W35" s="77">
        <v>13</v>
      </c>
      <c r="X35" s="77" t="s">
        <v>35</v>
      </c>
      <c r="Y35" s="77" t="s">
        <v>47</v>
      </c>
      <c r="Z35" s="77" t="s">
        <v>55</v>
      </c>
      <c r="AA35" s="77" t="s">
        <v>43</v>
      </c>
      <c r="AB35" s="77" t="s">
        <v>162</v>
      </c>
    </row>
    <row r="36" spans="1:28" x14ac:dyDescent="0.15">
      <c r="A36" s="77" t="s">
        <v>23</v>
      </c>
      <c r="B36" s="77" t="s">
        <v>160</v>
      </c>
      <c r="C36" s="77">
        <v>2020</v>
      </c>
      <c r="D36" s="193" t="s">
        <v>370</v>
      </c>
      <c r="E36" s="77" t="s">
        <v>166</v>
      </c>
      <c r="F36" s="77" t="s">
        <v>372</v>
      </c>
      <c r="G36" s="77" t="s">
        <v>25</v>
      </c>
      <c r="H36" s="77" t="s">
        <v>164</v>
      </c>
      <c r="I36" s="77" t="s">
        <v>111</v>
      </c>
      <c r="J36" s="77" t="s">
        <v>27</v>
      </c>
      <c r="K36" s="77" t="s">
        <v>112</v>
      </c>
      <c r="L36" s="77">
        <v>2</v>
      </c>
      <c r="N36" s="77">
        <v>1</v>
      </c>
      <c r="O36" s="77">
        <v>0.85</v>
      </c>
      <c r="P36" s="77">
        <v>0.8</v>
      </c>
      <c r="Q36" s="44">
        <f t="shared" si="3"/>
        <v>0.82499999999999996</v>
      </c>
      <c r="R36" s="77">
        <v>14.8</v>
      </c>
      <c r="S36" s="77">
        <v>99.5</v>
      </c>
      <c r="T36" s="16">
        <f t="shared" si="1"/>
        <v>33</v>
      </c>
      <c r="U36" s="77">
        <v>98</v>
      </c>
      <c r="V36" s="16">
        <f t="shared" si="2"/>
        <v>3234</v>
      </c>
      <c r="W36" s="77">
        <v>13</v>
      </c>
      <c r="X36" s="77" t="s">
        <v>35</v>
      </c>
      <c r="Y36" s="77" t="s">
        <v>47</v>
      </c>
      <c r="Z36" s="77" t="s">
        <v>55</v>
      </c>
      <c r="AA36" s="77" t="s">
        <v>43</v>
      </c>
      <c r="AB36" s="77" t="s">
        <v>162</v>
      </c>
    </row>
    <row r="37" spans="1:28" x14ac:dyDescent="0.15">
      <c r="A37" s="77" t="s">
        <v>23</v>
      </c>
      <c r="B37" s="77" t="s">
        <v>160</v>
      </c>
      <c r="C37" s="77">
        <v>2020</v>
      </c>
      <c r="D37" s="193" t="s">
        <v>370</v>
      </c>
      <c r="E37" s="77" t="s">
        <v>166</v>
      </c>
      <c r="F37" s="77" t="s">
        <v>372</v>
      </c>
      <c r="G37" s="77" t="s">
        <v>25</v>
      </c>
      <c r="H37" s="77" t="s">
        <v>164</v>
      </c>
      <c r="I37" s="77" t="s">
        <v>111</v>
      </c>
      <c r="J37" s="77" t="s">
        <v>27</v>
      </c>
      <c r="K37" s="77" t="s">
        <v>112</v>
      </c>
      <c r="L37" s="77">
        <v>3</v>
      </c>
      <c r="N37" s="77">
        <v>1</v>
      </c>
      <c r="O37" s="77">
        <v>0.55000000000000004</v>
      </c>
      <c r="P37" s="77">
        <v>0.6</v>
      </c>
      <c r="Q37" s="44">
        <f>IF(OR(O37="",P37=""),"",AVERAGE(O37,P37))</f>
        <v>0.57499999999999996</v>
      </c>
      <c r="R37" s="77">
        <v>17.3</v>
      </c>
      <c r="S37" s="77">
        <v>100.5</v>
      </c>
      <c r="T37" s="16">
        <f t="shared" si="1"/>
        <v>33</v>
      </c>
      <c r="U37" s="77">
        <v>98</v>
      </c>
      <c r="V37" s="16">
        <f t="shared" si="2"/>
        <v>3234</v>
      </c>
      <c r="W37" s="77">
        <v>13</v>
      </c>
      <c r="X37" s="77" t="s">
        <v>35</v>
      </c>
      <c r="Y37" s="77" t="s">
        <v>47</v>
      </c>
      <c r="Z37" s="77" t="s">
        <v>55</v>
      </c>
      <c r="AA37" s="77" t="s">
        <v>43</v>
      </c>
      <c r="AB37" s="77" t="s">
        <v>162</v>
      </c>
    </row>
    <row r="38" spans="1:28" x14ac:dyDescent="0.15">
      <c r="A38" s="77" t="s">
        <v>23</v>
      </c>
      <c r="B38" s="77" t="s">
        <v>160</v>
      </c>
      <c r="C38" s="77">
        <v>2020</v>
      </c>
      <c r="D38" s="193" t="s">
        <v>370</v>
      </c>
      <c r="E38" s="77" t="s">
        <v>166</v>
      </c>
      <c r="F38" s="77" t="s">
        <v>372</v>
      </c>
      <c r="G38" s="77" t="s">
        <v>25</v>
      </c>
      <c r="H38" s="77" t="s">
        <v>164</v>
      </c>
      <c r="I38" s="77" t="s">
        <v>111</v>
      </c>
      <c r="J38" s="77" t="s">
        <v>27</v>
      </c>
      <c r="K38" s="77" t="s">
        <v>112</v>
      </c>
      <c r="L38" s="77">
        <v>1</v>
      </c>
      <c r="N38" s="77">
        <v>4</v>
      </c>
      <c r="O38" s="77">
        <v>0.65</v>
      </c>
      <c r="P38" s="77">
        <v>0.65</v>
      </c>
      <c r="Q38" s="44">
        <f t="shared" ref="Q38:Q39" si="4">IF(OR(O38="",P38=""),"",AVERAGE(O38,P38))</f>
        <v>0.65</v>
      </c>
      <c r="R38" s="77">
        <v>15.9</v>
      </c>
      <c r="S38" s="77">
        <v>97.5</v>
      </c>
      <c r="T38" s="16">
        <f t="shared" si="1"/>
        <v>36</v>
      </c>
      <c r="U38" s="77">
        <v>398</v>
      </c>
      <c r="V38" s="16">
        <f t="shared" si="2"/>
        <v>3582</v>
      </c>
      <c r="W38" s="77">
        <v>13</v>
      </c>
      <c r="X38" s="77" t="s">
        <v>35</v>
      </c>
      <c r="Y38" s="77" t="s">
        <v>47</v>
      </c>
      <c r="Z38" s="77" t="s">
        <v>55</v>
      </c>
      <c r="AA38" s="77" t="s">
        <v>43</v>
      </c>
      <c r="AB38" s="77" t="s">
        <v>162</v>
      </c>
    </row>
    <row r="39" spans="1:28" x14ac:dyDescent="0.15">
      <c r="A39" s="77" t="s">
        <v>23</v>
      </c>
      <c r="B39" s="77" t="s">
        <v>160</v>
      </c>
      <c r="C39" s="77">
        <v>2020</v>
      </c>
      <c r="D39" s="193" t="s">
        <v>370</v>
      </c>
      <c r="E39" s="77" t="s">
        <v>166</v>
      </c>
      <c r="F39" s="77" t="s">
        <v>372</v>
      </c>
      <c r="G39" s="77" t="s">
        <v>25</v>
      </c>
      <c r="H39" s="77" t="s">
        <v>164</v>
      </c>
      <c r="I39" s="77" t="s">
        <v>111</v>
      </c>
      <c r="J39" s="77" t="s">
        <v>27</v>
      </c>
      <c r="K39" s="77" t="s">
        <v>112</v>
      </c>
      <c r="L39" s="77">
        <v>2</v>
      </c>
      <c r="N39" s="77">
        <v>4</v>
      </c>
      <c r="O39" s="77">
        <v>0.45</v>
      </c>
      <c r="P39" s="77">
        <v>0.5</v>
      </c>
      <c r="Q39" s="44">
        <f t="shared" si="4"/>
        <v>0.47499999999999998</v>
      </c>
      <c r="R39" s="77">
        <v>16.3</v>
      </c>
      <c r="S39" s="77">
        <v>101</v>
      </c>
      <c r="T39" s="16">
        <f t="shared" si="1"/>
        <v>33</v>
      </c>
      <c r="U39" s="77">
        <v>398</v>
      </c>
      <c r="V39" s="16">
        <f t="shared" si="2"/>
        <v>3283.5</v>
      </c>
      <c r="W39" s="77">
        <v>13</v>
      </c>
      <c r="X39" s="77" t="s">
        <v>35</v>
      </c>
      <c r="Y39" s="77" t="s">
        <v>47</v>
      </c>
      <c r="Z39" s="77" t="s">
        <v>55</v>
      </c>
      <c r="AA39" s="77" t="s">
        <v>43</v>
      </c>
      <c r="AB39" s="77" t="s">
        <v>162</v>
      </c>
    </row>
    <row r="40" spans="1:28" x14ac:dyDescent="0.15">
      <c r="A40" s="77" t="s">
        <v>23</v>
      </c>
      <c r="B40" s="77" t="s">
        <v>160</v>
      </c>
      <c r="C40" s="77">
        <v>2020</v>
      </c>
      <c r="D40" s="193" t="s">
        <v>370</v>
      </c>
      <c r="E40" s="77" t="s">
        <v>166</v>
      </c>
      <c r="F40" s="77" t="s">
        <v>372</v>
      </c>
      <c r="G40" s="77" t="s">
        <v>25</v>
      </c>
      <c r="H40" s="77" t="s">
        <v>164</v>
      </c>
      <c r="I40" s="77" t="s">
        <v>111</v>
      </c>
      <c r="J40" s="77" t="s">
        <v>27</v>
      </c>
      <c r="K40" s="77" t="s">
        <v>112</v>
      </c>
      <c r="L40" s="77">
        <v>3</v>
      </c>
      <c r="N40" s="77">
        <v>4</v>
      </c>
      <c r="O40" s="77">
        <v>0.65</v>
      </c>
      <c r="P40" s="77">
        <v>0.75</v>
      </c>
      <c r="Q40" s="44">
        <f>IF(OR(O40="",P40=""),"",AVERAGE(O40,P40))</f>
        <v>0.7</v>
      </c>
      <c r="R40" s="77">
        <v>16.3</v>
      </c>
      <c r="S40" s="77">
        <v>101.5</v>
      </c>
      <c r="T40" s="16">
        <f t="shared" si="1"/>
        <v>33</v>
      </c>
      <c r="U40" s="77">
        <v>398</v>
      </c>
      <c r="V40" s="16">
        <f t="shared" si="2"/>
        <v>3283.5</v>
      </c>
      <c r="W40" s="77">
        <v>13</v>
      </c>
      <c r="X40" s="77" t="s">
        <v>35</v>
      </c>
      <c r="Y40" s="77" t="s">
        <v>47</v>
      </c>
      <c r="Z40" s="77" t="s">
        <v>55</v>
      </c>
      <c r="AA40" s="77" t="s">
        <v>43</v>
      </c>
      <c r="AB40" s="77" t="s">
        <v>162</v>
      </c>
    </row>
    <row r="41" spans="1:28" x14ac:dyDescent="0.15">
      <c r="A41" s="77" t="s">
        <v>23</v>
      </c>
      <c r="B41" s="77" t="s">
        <v>160</v>
      </c>
      <c r="C41" s="77">
        <v>2020</v>
      </c>
      <c r="D41" s="193" t="s">
        <v>370</v>
      </c>
      <c r="E41" s="77" t="s">
        <v>166</v>
      </c>
      <c r="F41" s="77" t="s">
        <v>372</v>
      </c>
      <c r="G41" s="77" t="s">
        <v>25</v>
      </c>
      <c r="H41" s="77" t="s">
        <v>164</v>
      </c>
      <c r="I41" s="77" t="s">
        <v>111</v>
      </c>
      <c r="J41" s="77" t="s">
        <v>27</v>
      </c>
      <c r="K41" s="77" t="s">
        <v>112</v>
      </c>
      <c r="L41" s="77">
        <v>1</v>
      </c>
      <c r="N41" s="77">
        <v>1</v>
      </c>
      <c r="O41" s="77">
        <v>0.7</v>
      </c>
      <c r="P41" s="77">
        <v>0.6</v>
      </c>
      <c r="Q41" s="44">
        <f t="shared" si="0"/>
        <v>0.64999999999999991</v>
      </c>
      <c r="R41" s="77">
        <v>17.100000000000001</v>
      </c>
      <c r="S41" s="77">
        <v>158</v>
      </c>
      <c r="T41" s="16">
        <f t="shared" si="1"/>
        <v>18</v>
      </c>
      <c r="U41" s="77">
        <v>178</v>
      </c>
      <c r="V41" s="16">
        <f t="shared" si="2"/>
        <v>3204</v>
      </c>
      <c r="W41" s="77">
        <v>13</v>
      </c>
      <c r="X41" s="77" t="s">
        <v>35</v>
      </c>
      <c r="Y41" s="77" t="s">
        <v>47</v>
      </c>
      <c r="Z41" s="77" t="s">
        <v>55</v>
      </c>
      <c r="AA41" s="77" t="s">
        <v>43</v>
      </c>
      <c r="AB41" s="77" t="s">
        <v>162</v>
      </c>
    </row>
    <row r="42" spans="1:28" x14ac:dyDescent="0.15">
      <c r="A42" s="77" t="s">
        <v>23</v>
      </c>
      <c r="B42" s="77" t="s">
        <v>160</v>
      </c>
      <c r="C42" s="77">
        <v>2020</v>
      </c>
      <c r="D42" s="193" t="s">
        <v>370</v>
      </c>
      <c r="E42" s="77" t="s">
        <v>166</v>
      </c>
      <c r="F42" s="77" t="s">
        <v>372</v>
      </c>
      <c r="G42" s="77" t="s">
        <v>25</v>
      </c>
      <c r="H42" s="77" t="s">
        <v>164</v>
      </c>
      <c r="I42" s="77" t="s">
        <v>111</v>
      </c>
      <c r="J42" s="77" t="s">
        <v>27</v>
      </c>
      <c r="K42" s="77" t="s">
        <v>112</v>
      </c>
      <c r="L42" s="77">
        <v>2</v>
      </c>
      <c r="N42" s="77">
        <v>1</v>
      </c>
      <c r="O42" s="77">
        <v>0.65</v>
      </c>
      <c r="P42" s="77">
        <v>0.85</v>
      </c>
      <c r="Q42" s="44">
        <f t="shared" si="0"/>
        <v>0.75</v>
      </c>
      <c r="R42" s="77">
        <v>19.5</v>
      </c>
      <c r="S42" s="77">
        <v>157.5</v>
      </c>
      <c r="T42" s="16">
        <f t="shared" si="1"/>
        <v>18</v>
      </c>
      <c r="U42" s="77">
        <v>178</v>
      </c>
      <c r="V42" s="16">
        <f t="shared" si="2"/>
        <v>3204</v>
      </c>
      <c r="W42" s="77">
        <v>13</v>
      </c>
      <c r="X42" s="77" t="s">
        <v>35</v>
      </c>
      <c r="Y42" s="77" t="s">
        <v>47</v>
      </c>
      <c r="Z42" s="77" t="s">
        <v>55</v>
      </c>
      <c r="AA42" s="77" t="s">
        <v>43</v>
      </c>
      <c r="AB42" s="77" t="s">
        <v>162</v>
      </c>
    </row>
    <row r="43" spans="1:28" x14ac:dyDescent="0.15">
      <c r="A43" s="77" t="s">
        <v>23</v>
      </c>
      <c r="B43" s="77" t="s">
        <v>160</v>
      </c>
      <c r="C43" s="77">
        <v>2020</v>
      </c>
      <c r="D43" s="193" t="s">
        <v>370</v>
      </c>
      <c r="E43" s="77" t="s">
        <v>166</v>
      </c>
      <c r="F43" s="77" t="s">
        <v>372</v>
      </c>
      <c r="G43" s="77" t="s">
        <v>25</v>
      </c>
      <c r="H43" s="77" t="s">
        <v>164</v>
      </c>
      <c r="I43" s="77" t="s">
        <v>111</v>
      </c>
      <c r="J43" s="77" t="s">
        <v>27</v>
      </c>
      <c r="K43" s="77" t="s">
        <v>112</v>
      </c>
      <c r="L43" s="77">
        <v>3</v>
      </c>
      <c r="N43" s="77">
        <v>1</v>
      </c>
      <c r="O43" s="77">
        <v>1</v>
      </c>
      <c r="P43" s="77">
        <v>0.75</v>
      </c>
      <c r="Q43" s="44">
        <f t="shared" si="0"/>
        <v>0.875</v>
      </c>
      <c r="R43" s="77">
        <v>17.5</v>
      </c>
      <c r="S43" s="77">
        <v>171</v>
      </c>
      <c r="T43" s="16">
        <f t="shared" si="1"/>
        <v>18</v>
      </c>
      <c r="U43" s="77">
        <v>178</v>
      </c>
      <c r="V43" s="16">
        <f t="shared" si="2"/>
        <v>3204</v>
      </c>
      <c r="W43" s="77">
        <v>13</v>
      </c>
      <c r="X43" s="77" t="s">
        <v>35</v>
      </c>
      <c r="Y43" s="77" t="s">
        <v>47</v>
      </c>
      <c r="Z43" s="77" t="s">
        <v>55</v>
      </c>
      <c r="AA43" s="77" t="s">
        <v>43</v>
      </c>
      <c r="AB43" s="77" t="s">
        <v>162</v>
      </c>
    </row>
    <row r="44" spans="1:28" x14ac:dyDescent="0.15">
      <c r="A44" s="77" t="s">
        <v>23</v>
      </c>
      <c r="B44" s="77" t="s">
        <v>160</v>
      </c>
      <c r="C44" s="77">
        <v>2020</v>
      </c>
      <c r="D44" s="193" t="s">
        <v>370</v>
      </c>
      <c r="E44" s="77" t="s">
        <v>166</v>
      </c>
      <c r="F44" s="77" t="s">
        <v>372</v>
      </c>
      <c r="G44" s="77" t="s">
        <v>25</v>
      </c>
      <c r="H44" s="77" t="s">
        <v>164</v>
      </c>
      <c r="I44" s="77" t="s">
        <v>170</v>
      </c>
      <c r="J44" s="77" t="s">
        <v>27</v>
      </c>
      <c r="K44" s="77" t="s">
        <v>112</v>
      </c>
      <c r="L44" s="77">
        <v>1</v>
      </c>
      <c r="N44" s="77">
        <v>4</v>
      </c>
      <c r="O44" s="77">
        <v>0.55000000000000004</v>
      </c>
      <c r="P44" s="77">
        <v>0.6</v>
      </c>
      <c r="Q44" s="44">
        <f t="shared" si="0"/>
        <v>0.57499999999999996</v>
      </c>
      <c r="R44" s="77">
        <v>15.2</v>
      </c>
      <c r="S44" s="77">
        <v>99</v>
      </c>
      <c r="T44" s="16">
        <f t="shared" si="1"/>
        <v>33</v>
      </c>
      <c r="U44" s="77">
        <v>498</v>
      </c>
      <c r="V44" s="16">
        <f t="shared" si="2"/>
        <v>4108.5</v>
      </c>
      <c r="W44" s="77">
        <v>13</v>
      </c>
      <c r="X44" s="77" t="s">
        <v>35</v>
      </c>
      <c r="Y44" s="77" t="s">
        <v>47</v>
      </c>
      <c r="Z44" s="77" t="s">
        <v>55</v>
      </c>
      <c r="AA44" s="77" t="s">
        <v>43</v>
      </c>
      <c r="AB44" s="77" t="s">
        <v>162</v>
      </c>
    </row>
    <row r="45" spans="1:28" x14ac:dyDescent="0.15">
      <c r="A45" s="77" t="s">
        <v>23</v>
      </c>
      <c r="B45" s="77" t="s">
        <v>160</v>
      </c>
      <c r="C45" s="77">
        <v>2020</v>
      </c>
      <c r="D45" s="193" t="s">
        <v>370</v>
      </c>
      <c r="E45" s="77" t="s">
        <v>166</v>
      </c>
      <c r="F45" s="77" t="s">
        <v>372</v>
      </c>
      <c r="G45" s="77" t="s">
        <v>25</v>
      </c>
      <c r="H45" s="77" t="s">
        <v>164</v>
      </c>
      <c r="I45" s="77" t="s">
        <v>170</v>
      </c>
      <c r="J45" s="77" t="s">
        <v>27</v>
      </c>
      <c r="K45" s="77" t="s">
        <v>112</v>
      </c>
      <c r="L45" s="77">
        <v>2</v>
      </c>
      <c r="N45" s="77">
        <v>4</v>
      </c>
      <c r="O45" s="77">
        <v>0.5</v>
      </c>
      <c r="P45" s="77">
        <v>0.5</v>
      </c>
      <c r="Q45" s="44">
        <f t="shared" si="0"/>
        <v>0.5</v>
      </c>
      <c r="R45" s="77">
        <v>16.2</v>
      </c>
      <c r="S45" s="77">
        <v>95</v>
      </c>
      <c r="T45" s="16">
        <f t="shared" si="1"/>
        <v>36</v>
      </c>
      <c r="U45" s="77">
        <v>498</v>
      </c>
      <c r="V45" s="16">
        <f t="shared" si="2"/>
        <v>4482</v>
      </c>
      <c r="W45" s="77">
        <v>13</v>
      </c>
      <c r="X45" s="77" t="s">
        <v>35</v>
      </c>
      <c r="Y45" s="77" t="s">
        <v>47</v>
      </c>
      <c r="Z45" s="77" t="s">
        <v>55</v>
      </c>
      <c r="AA45" s="77" t="s">
        <v>43</v>
      </c>
      <c r="AB45" s="77" t="s">
        <v>162</v>
      </c>
    </row>
    <row r="46" spans="1:28" x14ac:dyDescent="0.15">
      <c r="A46" s="77" t="s">
        <v>23</v>
      </c>
      <c r="B46" s="77" t="s">
        <v>160</v>
      </c>
      <c r="C46" s="77">
        <v>2020</v>
      </c>
      <c r="D46" s="193" t="s">
        <v>370</v>
      </c>
      <c r="E46" s="77" t="s">
        <v>166</v>
      </c>
      <c r="F46" s="77" t="s">
        <v>372</v>
      </c>
      <c r="G46" s="77" t="s">
        <v>25</v>
      </c>
      <c r="H46" s="77" t="s">
        <v>164</v>
      </c>
      <c r="I46" s="77" t="s">
        <v>170</v>
      </c>
      <c r="J46" s="77" t="s">
        <v>27</v>
      </c>
      <c r="K46" s="77" t="s">
        <v>112</v>
      </c>
      <c r="L46" s="77">
        <v>3</v>
      </c>
      <c r="N46" s="77">
        <v>4</v>
      </c>
      <c r="O46" s="77">
        <v>0.55000000000000004</v>
      </c>
      <c r="P46" s="77">
        <v>0.6</v>
      </c>
      <c r="Q46" s="44">
        <f t="shared" si="0"/>
        <v>0.57499999999999996</v>
      </c>
      <c r="R46" s="77">
        <v>16.2</v>
      </c>
      <c r="S46" s="77">
        <v>100.5</v>
      </c>
      <c r="T46" s="16">
        <f t="shared" si="1"/>
        <v>33</v>
      </c>
      <c r="U46" s="77">
        <v>498</v>
      </c>
      <c r="V46" s="16">
        <f t="shared" si="2"/>
        <v>4108.5</v>
      </c>
      <c r="W46" s="77">
        <v>13</v>
      </c>
      <c r="X46" s="77" t="s">
        <v>35</v>
      </c>
      <c r="Y46" s="77" t="s">
        <v>47</v>
      </c>
      <c r="Z46" s="77" t="s">
        <v>55</v>
      </c>
      <c r="AA46" s="77" t="s">
        <v>43</v>
      </c>
      <c r="AB46" s="77" t="s">
        <v>162</v>
      </c>
    </row>
    <row r="47" spans="1:28" x14ac:dyDescent="0.15">
      <c r="A47" s="77" t="s">
        <v>23</v>
      </c>
      <c r="B47" s="77" t="s">
        <v>160</v>
      </c>
      <c r="C47" s="77">
        <v>2020</v>
      </c>
      <c r="D47" s="193" t="s">
        <v>370</v>
      </c>
      <c r="E47" s="77" t="s">
        <v>391</v>
      </c>
      <c r="F47" s="77" t="s">
        <v>378</v>
      </c>
      <c r="G47" s="77" t="s">
        <v>31</v>
      </c>
      <c r="H47" s="77" t="s">
        <v>113</v>
      </c>
      <c r="I47" s="77" t="s">
        <v>111</v>
      </c>
      <c r="J47" s="77" t="s">
        <v>27</v>
      </c>
      <c r="K47" s="77" t="s">
        <v>112</v>
      </c>
      <c r="L47" s="77">
        <v>1</v>
      </c>
      <c r="N47" s="77">
        <v>1</v>
      </c>
      <c r="O47" s="77">
        <v>0.9</v>
      </c>
      <c r="P47" s="77">
        <v>0.8</v>
      </c>
      <c r="Q47" s="44">
        <f t="shared" si="0"/>
        <v>0.85000000000000009</v>
      </c>
      <c r="R47" s="77">
        <v>15.4</v>
      </c>
      <c r="S47" s="77">
        <v>132</v>
      </c>
      <c r="T47" s="16">
        <f t="shared" si="1"/>
        <v>30</v>
      </c>
      <c r="U47" s="77">
        <v>100</v>
      </c>
      <c r="V47" s="16">
        <f t="shared" si="2"/>
        <v>3000</v>
      </c>
      <c r="W47" s="77">
        <v>10</v>
      </c>
      <c r="X47" s="77" t="s">
        <v>35</v>
      </c>
      <c r="Y47" s="77" t="s">
        <v>43</v>
      </c>
      <c r="Z47" s="77" t="s">
        <v>36</v>
      </c>
      <c r="AA47" s="77" t="s">
        <v>55</v>
      </c>
      <c r="AB47" s="77" t="s">
        <v>162</v>
      </c>
    </row>
    <row r="48" spans="1:28" x14ac:dyDescent="0.15">
      <c r="A48" s="77" t="s">
        <v>23</v>
      </c>
      <c r="B48" s="77" t="s">
        <v>160</v>
      </c>
      <c r="C48" s="77">
        <v>2020</v>
      </c>
      <c r="D48" s="193" t="s">
        <v>370</v>
      </c>
      <c r="E48" s="77" t="s">
        <v>391</v>
      </c>
      <c r="F48" s="77" t="s">
        <v>378</v>
      </c>
      <c r="G48" s="77" t="s">
        <v>31</v>
      </c>
      <c r="H48" s="77" t="s">
        <v>113</v>
      </c>
      <c r="I48" s="77" t="s">
        <v>111</v>
      </c>
      <c r="J48" s="77" t="s">
        <v>27</v>
      </c>
      <c r="K48" s="77" t="s">
        <v>112</v>
      </c>
      <c r="L48" s="77">
        <v>2</v>
      </c>
      <c r="N48" s="77">
        <v>1</v>
      </c>
      <c r="O48" s="77">
        <v>1.4</v>
      </c>
      <c r="P48" s="77">
        <v>1.55</v>
      </c>
      <c r="Q48" s="44">
        <f t="shared" si="0"/>
        <v>1.4750000000000001</v>
      </c>
      <c r="R48" s="77">
        <v>10.9</v>
      </c>
      <c r="S48" s="77">
        <v>129</v>
      </c>
      <c r="T48" s="16">
        <f t="shared" si="1"/>
        <v>30</v>
      </c>
      <c r="U48" s="77">
        <v>100</v>
      </c>
      <c r="V48" s="16">
        <f t="shared" si="2"/>
        <v>3000</v>
      </c>
      <c r="W48" s="77">
        <v>10</v>
      </c>
      <c r="X48" s="77" t="s">
        <v>35</v>
      </c>
      <c r="Y48" s="77" t="s">
        <v>43</v>
      </c>
      <c r="Z48" s="77" t="s">
        <v>36</v>
      </c>
      <c r="AA48" s="77" t="s">
        <v>55</v>
      </c>
      <c r="AB48" s="77" t="s">
        <v>162</v>
      </c>
    </row>
    <row r="49" spans="1:28" x14ac:dyDescent="0.15">
      <c r="A49" s="77" t="s">
        <v>23</v>
      </c>
      <c r="B49" s="77" t="s">
        <v>160</v>
      </c>
      <c r="C49" s="77">
        <v>2020</v>
      </c>
      <c r="D49" s="193" t="s">
        <v>370</v>
      </c>
      <c r="E49" s="77" t="s">
        <v>391</v>
      </c>
      <c r="F49" s="77" t="s">
        <v>378</v>
      </c>
      <c r="G49" s="77" t="s">
        <v>31</v>
      </c>
      <c r="H49" s="77" t="s">
        <v>113</v>
      </c>
      <c r="I49" s="77" t="s">
        <v>111</v>
      </c>
      <c r="J49" s="77" t="s">
        <v>27</v>
      </c>
      <c r="K49" s="77" t="s">
        <v>112</v>
      </c>
      <c r="L49" s="77">
        <v>3</v>
      </c>
      <c r="N49" s="77">
        <v>1</v>
      </c>
      <c r="O49" s="77">
        <v>1.3</v>
      </c>
      <c r="P49" s="77">
        <v>1.35</v>
      </c>
      <c r="Q49" s="44">
        <f t="shared" si="0"/>
        <v>1.3250000000000002</v>
      </c>
      <c r="R49" s="77">
        <v>11.7</v>
      </c>
      <c r="S49" s="77">
        <v>128.5</v>
      </c>
      <c r="T49" s="16">
        <f t="shared" si="1"/>
        <v>30</v>
      </c>
      <c r="U49" s="77">
        <v>100</v>
      </c>
      <c r="V49" s="16">
        <f t="shared" si="2"/>
        <v>3000</v>
      </c>
      <c r="W49" s="77">
        <v>10</v>
      </c>
      <c r="X49" s="77" t="s">
        <v>35</v>
      </c>
      <c r="Y49" s="77" t="s">
        <v>43</v>
      </c>
      <c r="Z49" s="77" t="s">
        <v>36</v>
      </c>
      <c r="AA49" s="77" t="s">
        <v>55</v>
      </c>
      <c r="AB49" s="77" t="s">
        <v>162</v>
      </c>
    </row>
    <row r="50" spans="1:28" x14ac:dyDescent="0.15">
      <c r="A50" s="77" t="s">
        <v>23</v>
      </c>
      <c r="B50" s="77" t="s">
        <v>160</v>
      </c>
      <c r="C50" s="77">
        <v>2020</v>
      </c>
      <c r="D50" s="193" t="s">
        <v>370</v>
      </c>
      <c r="E50" s="77" t="s">
        <v>391</v>
      </c>
      <c r="F50" s="77" t="s">
        <v>378</v>
      </c>
      <c r="G50" s="77" t="s">
        <v>31</v>
      </c>
      <c r="H50" s="77" t="s">
        <v>164</v>
      </c>
      <c r="I50" s="77" t="s">
        <v>111</v>
      </c>
      <c r="J50" s="77" t="s">
        <v>27</v>
      </c>
      <c r="K50" s="77" t="s">
        <v>112</v>
      </c>
      <c r="L50" s="77">
        <v>1</v>
      </c>
      <c r="N50" s="77">
        <v>1</v>
      </c>
      <c r="O50" s="77">
        <v>0.5</v>
      </c>
      <c r="P50" s="77">
        <v>0.5</v>
      </c>
      <c r="Q50" s="44">
        <f t="shared" si="0"/>
        <v>0.5</v>
      </c>
      <c r="R50" s="77">
        <v>17.7</v>
      </c>
      <c r="S50" s="77">
        <v>136</v>
      </c>
      <c r="T50" s="16">
        <f t="shared" si="1"/>
        <v>30</v>
      </c>
      <c r="U50" s="77">
        <v>128</v>
      </c>
      <c r="V50" s="16">
        <f t="shared" si="2"/>
        <v>3840</v>
      </c>
      <c r="W50" s="77">
        <v>10</v>
      </c>
      <c r="X50" s="77" t="s">
        <v>35</v>
      </c>
      <c r="Y50" s="77" t="s">
        <v>43</v>
      </c>
      <c r="Z50" s="77" t="s">
        <v>36</v>
      </c>
      <c r="AA50" s="77" t="s">
        <v>55</v>
      </c>
      <c r="AB50" s="77" t="s">
        <v>162</v>
      </c>
    </row>
    <row r="51" spans="1:28" x14ac:dyDescent="0.15">
      <c r="A51" s="77" t="s">
        <v>23</v>
      </c>
      <c r="B51" s="77" t="s">
        <v>160</v>
      </c>
      <c r="C51" s="77">
        <v>2020</v>
      </c>
      <c r="D51" s="193" t="s">
        <v>370</v>
      </c>
      <c r="E51" s="77" t="s">
        <v>391</v>
      </c>
      <c r="F51" s="77" t="s">
        <v>378</v>
      </c>
      <c r="G51" s="77" t="s">
        <v>31</v>
      </c>
      <c r="H51" s="77" t="s">
        <v>164</v>
      </c>
      <c r="I51" s="77" t="s">
        <v>111</v>
      </c>
      <c r="J51" s="77" t="s">
        <v>27</v>
      </c>
      <c r="K51" s="77" t="s">
        <v>112</v>
      </c>
      <c r="L51" s="77">
        <v>2</v>
      </c>
      <c r="N51" s="77">
        <v>1</v>
      </c>
      <c r="O51" s="77">
        <v>0.6</v>
      </c>
      <c r="P51" s="77">
        <v>0.7</v>
      </c>
      <c r="Q51" s="44">
        <f t="shared" si="0"/>
        <v>0.64999999999999991</v>
      </c>
      <c r="R51" s="77">
        <v>17.100000000000001</v>
      </c>
      <c r="S51" s="77">
        <v>148</v>
      </c>
      <c r="T51" s="16">
        <f t="shared" si="1"/>
        <v>30</v>
      </c>
      <c r="U51" s="77">
        <v>128</v>
      </c>
      <c r="V51" s="16">
        <f t="shared" si="2"/>
        <v>3840</v>
      </c>
      <c r="W51" s="77">
        <v>10</v>
      </c>
      <c r="X51" s="77" t="s">
        <v>35</v>
      </c>
      <c r="Y51" s="77" t="s">
        <v>43</v>
      </c>
      <c r="Z51" s="77" t="s">
        <v>36</v>
      </c>
      <c r="AA51" s="77" t="s">
        <v>55</v>
      </c>
      <c r="AB51" s="77" t="s">
        <v>162</v>
      </c>
    </row>
    <row r="52" spans="1:28" x14ac:dyDescent="0.15">
      <c r="A52" s="77" t="s">
        <v>23</v>
      </c>
      <c r="B52" s="77" t="s">
        <v>160</v>
      </c>
      <c r="C52" s="77">
        <v>2020</v>
      </c>
      <c r="D52" s="193" t="s">
        <v>370</v>
      </c>
      <c r="E52" s="77" t="s">
        <v>391</v>
      </c>
      <c r="F52" s="77" t="s">
        <v>378</v>
      </c>
      <c r="G52" s="77" t="s">
        <v>31</v>
      </c>
      <c r="H52" s="77" t="s">
        <v>164</v>
      </c>
      <c r="I52" s="77" t="s">
        <v>111</v>
      </c>
      <c r="J52" s="77" t="s">
        <v>27</v>
      </c>
      <c r="K52" s="77" t="s">
        <v>112</v>
      </c>
      <c r="L52" s="77">
        <v>3</v>
      </c>
      <c r="N52" s="77">
        <v>1</v>
      </c>
      <c r="O52" s="77">
        <v>0.65</v>
      </c>
      <c r="P52" s="77">
        <v>0.65</v>
      </c>
      <c r="Q52" s="44">
        <f t="shared" si="0"/>
        <v>0.65</v>
      </c>
      <c r="R52" s="77">
        <v>16.2</v>
      </c>
      <c r="S52" s="77">
        <v>148.5</v>
      </c>
      <c r="T52" s="16">
        <f t="shared" si="1"/>
        <v>30</v>
      </c>
      <c r="U52" s="77">
        <v>128</v>
      </c>
      <c r="V52" s="16">
        <f t="shared" si="2"/>
        <v>3840</v>
      </c>
      <c r="W52" s="77">
        <v>10</v>
      </c>
      <c r="X52" s="77" t="s">
        <v>35</v>
      </c>
      <c r="Y52" s="77" t="s">
        <v>43</v>
      </c>
      <c r="Z52" s="77" t="s">
        <v>36</v>
      </c>
      <c r="AA52" s="77" t="s">
        <v>55</v>
      </c>
      <c r="AB52" s="77" t="s">
        <v>162</v>
      </c>
    </row>
    <row r="53" spans="1:28" x14ac:dyDescent="0.15">
      <c r="A53" s="77" t="s">
        <v>23</v>
      </c>
      <c r="B53" s="77" t="s">
        <v>160</v>
      </c>
      <c r="C53" s="77">
        <v>2020</v>
      </c>
      <c r="D53" s="193" t="s">
        <v>370</v>
      </c>
      <c r="E53" s="77" t="s">
        <v>391</v>
      </c>
      <c r="F53" s="77" t="s">
        <v>378</v>
      </c>
      <c r="G53" s="77" t="s">
        <v>31</v>
      </c>
      <c r="H53" s="77" t="s">
        <v>164</v>
      </c>
      <c r="I53" s="77" t="s">
        <v>111</v>
      </c>
      <c r="J53" s="77" t="s">
        <v>27</v>
      </c>
      <c r="K53" s="77" t="s">
        <v>112</v>
      </c>
      <c r="L53" s="77">
        <v>1</v>
      </c>
      <c r="N53" s="77">
        <v>4</v>
      </c>
      <c r="O53" s="77">
        <v>0.7</v>
      </c>
      <c r="P53" s="77">
        <v>0.75</v>
      </c>
      <c r="Q53" s="44">
        <f t="shared" si="0"/>
        <v>0.72499999999999998</v>
      </c>
      <c r="R53" s="77">
        <v>17.3</v>
      </c>
      <c r="S53" s="77">
        <v>115.5</v>
      </c>
      <c r="T53" s="16">
        <f t="shared" si="1"/>
        <v>30</v>
      </c>
      <c r="U53" s="77">
        <v>398</v>
      </c>
      <c r="V53" s="16">
        <f t="shared" si="2"/>
        <v>2985</v>
      </c>
      <c r="W53" s="77">
        <v>10</v>
      </c>
      <c r="X53" s="77" t="s">
        <v>35</v>
      </c>
      <c r="Y53" s="77" t="s">
        <v>43</v>
      </c>
      <c r="Z53" s="77" t="s">
        <v>36</v>
      </c>
      <c r="AA53" s="77" t="s">
        <v>55</v>
      </c>
      <c r="AB53" s="77" t="s">
        <v>162</v>
      </c>
    </row>
    <row r="54" spans="1:28" x14ac:dyDescent="0.15">
      <c r="A54" s="77" t="s">
        <v>23</v>
      </c>
      <c r="B54" s="77" t="s">
        <v>160</v>
      </c>
      <c r="C54" s="77">
        <v>2020</v>
      </c>
      <c r="D54" s="193" t="s">
        <v>370</v>
      </c>
      <c r="E54" s="77" t="s">
        <v>391</v>
      </c>
      <c r="F54" s="77" t="s">
        <v>378</v>
      </c>
      <c r="G54" s="77" t="s">
        <v>31</v>
      </c>
      <c r="H54" s="77" t="s">
        <v>164</v>
      </c>
      <c r="I54" s="77" t="s">
        <v>111</v>
      </c>
      <c r="J54" s="77" t="s">
        <v>27</v>
      </c>
      <c r="K54" s="77" t="s">
        <v>112</v>
      </c>
      <c r="L54" s="77">
        <v>2</v>
      </c>
      <c r="N54" s="77">
        <v>4</v>
      </c>
      <c r="O54" s="77">
        <v>0.5</v>
      </c>
      <c r="P54" s="77">
        <v>0.55000000000000004</v>
      </c>
      <c r="Q54" s="44">
        <f t="shared" si="0"/>
        <v>0.52500000000000002</v>
      </c>
      <c r="R54" s="77">
        <v>17.100000000000001</v>
      </c>
      <c r="S54" s="77">
        <v>125.5</v>
      </c>
      <c r="T54" s="16">
        <f t="shared" si="1"/>
        <v>30</v>
      </c>
      <c r="U54" s="77">
        <v>398</v>
      </c>
      <c r="V54" s="16">
        <f t="shared" si="2"/>
        <v>2985</v>
      </c>
      <c r="W54" s="77">
        <v>10</v>
      </c>
      <c r="X54" s="77" t="s">
        <v>35</v>
      </c>
      <c r="Y54" s="77" t="s">
        <v>43</v>
      </c>
      <c r="Z54" s="77" t="s">
        <v>36</v>
      </c>
      <c r="AA54" s="77" t="s">
        <v>55</v>
      </c>
      <c r="AB54" s="77" t="s">
        <v>162</v>
      </c>
    </row>
    <row r="55" spans="1:28" x14ac:dyDescent="0.15">
      <c r="A55" s="77" t="s">
        <v>23</v>
      </c>
      <c r="B55" s="77" t="s">
        <v>160</v>
      </c>
      <c r="C55" s="77">
        <v>2020</v>
      </c>
      <c r="D55" s="193" t="s">
        <v>370</v>
      </c>
      <c r="E55" s="77" t="s">
        <v>391</v>
      </c>
      <c r="F55" s="77" t="s">
        <v>378</v>
      </c>
      <c r="G55" s="77" t="s">
        <v>31</v>
      </c>
      <c r="H55" s="77" t="s">
        <v>164</v>
      </c>
      <c r="I55" s="77" t="s">
        <v>111</v>
      </c>
      <c r="J55" s="77" t="s">
        <v>27</v>
      </c>
      <c r="K55" s="77" t="s">
        <v>112</v>
      </c>
      <c r="L55" s="77">
        <v>3</v>
      </c>
      <c r="N55" s="77">
        <v>4</v>
      </c>
      <c r="O55" s="77">
        <v>0.5</v>
      </c>
      <c r="P55" s="77">
        <v>0.5</v>
      </c>
      <c r="Q55" s="44">
        <f t="shared" si="0"/>
        <v>0.5</v>
      </c>
      <c r="R55" s="77">
        <v>16.3</v>
      </c>
      <c r="S55" s="77">
        <v>120.5</v>
      </c>
      <c r="T55" s="16">
        <f t="shared" si="1"/>
        <v>30</v>
      </c>
      <c r="U55" s="77">
        <v>398</v>
      </c>
      <c r="V55" s="16">
        <f t="shared" si="2"/>
        <v>2985</v>
      </c>
      <c r="W55" s="77">
        <v>10</v>
      </c>
      <c r="X55" s="77" t="s">
        <v>35</v>
      </c>
      <c r="Y55" s="77" t="s">
        <v>43</v>
      </c>
      <c r="Z55" s="77" t="s">
        <v>36</v>
      </c>
      <c r="AA55" s="77" t="s">
        <v>55</v>
      </c>
      <c r="AB55" s="77" t="s">
        <v>162</v>
      </c>
    </row>
    <row r="56" spans="1:28" x14ac:dyDescent="0.15">
      <c r="A56" s="77" t="s">
        <v>23</v>
      </c>
      <c r="B56" s="77" t="s">
        <v>160</v>
      </c>
      <c r="C56" s="77">
        <v>2020</v>
      </c>
      <c r="D56" s="193" t="s">
        <v>370</v>
      </c>
      <c r="E56" s="77" t="s">
        <v>391</v>
      </c>
      <c r="F56" s="77" t="s">
        <v>378</v>
      </c>
      <c r="G56" s="77" t="s">
        <v>31</v>
      </c>
      <c r="H56" s="77" t="s">
        <v>235</v>
      </c>
      <c r="I56" s="77" t="s">
        <v>111</v>
      </c>
      <c r="J56" s="77" t="s">
        <v>27</v>
      </c>
      <c r="K56" s="77" t="s">
        <v>112</v>
      </c>
      <c r="L56" s="77">
        <v>1</v>
      </c>
      <c r="N56" s="77">
        <v>1</v>
      </c>
      <c r="O56" s="77">
        <v>0.2</v>
      </c>
      <c r="P56" s="77">
        <v>0.2</v>
      </c>
      <c r="Q56" s="44">
        <f t="shared" si="0"/>
        <v>0.2</v>
      </c>
      <c r="R56" s="77">
        <v>19.3</v>
      </c>
      <c r="S56" s="77">
        <v>106</v>
      </c>
      <c r="T56" s="16">
        <f t="shared" si="1"/>
        <v>33</v>
      </c>
      <c r="U56" s="77">
        <v>128</v>
      </c>
      <c r="V56" s="16">
        <f t="shared" si="2"/>
        <v>4224</v>
      </c>
      <c r="W56" s="77">
        <v>10</v>
      </c>
      <c r="X56" s="77" t="s">
        <v>35</v>
      </c>
      <c r="Y56" s="77" t="s">
        <v>43</v>
      </c>
      <c r="Z56" s="77" t="s">
        <v>36</v>
      </c>
      <c r="AA56" s="77" t="s">
        <v>55</v>
      </c>
      <c r="AB56" s="77" t="s">
        <v>162</v>
      </c>
    </row>
    <row r="57" spans="1:28" x14ac:dyDescent="0.15">
      <c r="A57" s="77" t="s">
        <v>23</v>
      </c>
      <c r="B57" s="77" t="s">
        <v>160</v>
      </c>
      <c r="C57" s="77">
        <v>2020</v>
      </c>
      <c r="D57" s="193" t="s">
        <v>370</v>
      </c>
      <c r="E57" s="77" t="s">
        <v>391</v>
      </c>
      <c r="F57" s="77" t="s">
        <v>378</v>
      </c>
      <c r="G57" s="77" t="s">
        <v>31</v>
      </c>
      <c r="H57" s="77" t="s">
        <v>235</v>
      </c>
      <c r="I57" s="77" t="s">
        <v>111</v>
      </c>
      <c r="J57" s="77" t="s">
        <v>27</v>
      </c>
      <c r="K57" s="77" t="s">
        <v>112</v>
      </c>
      <c r="L57" s="77">
        <v>2</v>
      </c>
      <c r="N57" s="77">
        <v>1</v>
      </c>
      <c r="O57" s="77">
        <v>0.2</v>
      </c>
      <c r="P57" s="77">
        <v>0.2</v>
      </c>
      <c r="Q57" s="44">
        <f t="shared" si="0"/>
        <v>0.2</v>
      </c>
      <c r="R57" s="77">
        <v>19.3</v>
      </c>
      <c r="S57" s="77">
        <v>112</v>
      </c>
      <c r="T57" s="16">
        <f t="shared" si="1"/>
        <v>33</v>
      </c>
      <c r="U57" s="77">
        <v>128</v>
      </c>
      <c r="V57" s="16">
        <f t="shared" si="2"/>
        <v>4224</v>
      </c>
      <c r="W57" s="77">
        <v>10</v>
      </c>
      <c r="X57" s="77" t="s">
        <v>35</v>
      </c>
      <c r="Y57" s="77" t="s">
        <v>43</v>
      </c>
      <c r="Z57" s="77" t="s">
        <v>36</v>
      </c>
      <c r="AA57" s="77" t="s">
        <v>55</v>
      </c>
      <c r="AB57" s="77" t="s">
        <v>162</v>
      </c>
    </row>
    <row r="58" spans="1:28" x14ac:dyDescent="0.15">
      <c r="A58" s="77" t="s">
        <v>23</v>
      </c>
      <c r="B58" s="77" t="s">
        <v>160</v>
      </c>
      <c r="C58" s="77">
        <v>2020</v>
      </c>
      <c r="D58" s="193" t="s">
        <v>370</v>
      </c>
      <c r="E58" s="77" t="s">
        <v>391</v>
      </c>
      <c r="F58" s="77" t="s">
        <v>378</v>
      </c>
      <c r="G58" s="77" t="s">
        <v>31</v>
      </c>
      <c r="H58" s="77" t="s">
        <v>235</v>
      </c>
      <c r="I58" s="77" t="s">
        <v>111</v>
      </c>
      <c r="J58" s="77" t="s">
        <v>27</v>
      </c>
      <c r="K58" s="77" t="s">
        <v>112</v>
      </c>
      <c r="L58" s="77">
        <v>3</v>
      </c>
      <c r="N58" s="77">
        <v>1</v>
      </c>
      <c r="O58" s="77">
        <v>0.2</v>
      </c>
      <c r="P58" s="77">
        <v>0.2</v>
      </c>
      <c r="Q58" s="44">
        <f t="shared" si="0"/>
        <v>0.2</v>
      </c>
      <c r="R58" s="77">
        <v>19.2</v>
      </c>
      <c r="S58" s="77">
        <v>109.5</v>
      </c>
      <c r="T58" s="16">
        <f t="shared" si="1"/>
        <v>33</v>
      </c>
      <c r="U58" s="77">
        <v>128</v>
      </c>
      <c r="V58" s="16">
        <f t="shared" si="2"/>
        <v>4224</v>
      </c>
      <c r="W58" s="77">
        <v>10</v>
      </c>
      <c r="X58" s="77" t="s">
        <v>35</v>
      </c>
      <c r="Y58" s="77" t="s">
        <v>43</v>
      </c>
      <c r="Z58" s="77" t="s">
        <v>36</v>
      </c>
      <c r="AA58" s="77" t="s">
        <v>55</v>
      </c>
      <c r="AB58" s="77" t="s">
        <v>162</v>
      </c>
    </row>
    <row r="59" spans="1:28" x14ac:dyDescent="0.15">
      <c r="A59" s="77" t="s">
        <v>23</v>
      </c>
      <c r="B59" s="77" t="s">
        <v>160</v>
      </c>
      <c r="C59" s="77">
        <v>2020</v>
      </c>
      <c r="D59" s="193" t="s">
        <v>370</v>
      </c>
      <c r="E59" s="77" t="s">
        <v>392</v>
      </c>
      <c r="F59" s="77" t="s">
        <v>380</v>
      </c>
      <c r="G59" s="77" t="s">
        <v>25</v>
      </c>
      <c r="H59" s="77" t="s">
        <v>113</v>
      </c>
      <c r="I59" s="77" t="s">
        <v>111</v>
      </c>
      <c r="J59" s="77" t="s">
        <v>27</v>
      </c>
      <c r="K59" s="77" t="s">
        <v>112</v>
      </c>
      <c r="L59" s="77">
        <v>1</v>
      </c>
      <c r="N59" s="77">
        <v>1</v>
      </c>
      <c r="O59" s="77">
        <v>0.55000000000000004</v>
      </c>
      <c r="P59" s="77">
        <v>0.5</v>
      </c>
      <c r="Q59" s="44">
        <f t="shared" si="0"/>
        <v>0.52500000000000002</v>
      </c>
      <c r="R59" s="77">
        <v>15.4</v>
      </c>
      <c r="S59" s="77">
        <v>114.5</v>
      </c>
      <c r="T59" s="16">
        <f t="shared" si="1"/>
        <v>30</v>
      </c>
      <c r="U59" s="77">
        <v>128</v>
      </c>
      <c r="V59" s="16">
        <f t="shared" si="2"/>
        <v>3840</v>
      </c>
      <c r="W59" s="77">
        <v>12</v>
      </c>
      <c r="X59" s="77" t="s">
        <v>35</v>
      </c>
      <c r="Y59" s="77" t="s">
        <v>43</v>
      </c>
      <c r="Z59" s="77" t="s">
        <v>55</v>
      </c>
      <c r="AA59" s="77" t="s">
        <v>36</v>
      </c>
      <c r="AB59" s="77" t="s">
        <v>162</v>
      </c>
    </row>
    <row r="60" spans="1:28" x14ac:dyDescent="0.15">
      <c r="A60" s="77" t="s">
        <v>23</v>
      </c>
      <c r="B60" s="77" t="s">
        <v>160</v>
      </c>
      <c r="C60" s="77">
        <v>2020</v>
      </c>
      <c r="D60" s="193" t="s">
        <v>370</v>
      </c>
      <c r="E60" s="77" t="s">
        <v>392</v>
      </c>
      <c r="F60" s="77" t="s">
        <v>380</v>
      </c>
      <c r="G60" s="77" t="s">
        <v>25</v>
      </c>
      <c r="H60" s="77" t="s">
        <v>113</v>
      </c>
      <c r="I60" s="77" t="s">
        <v>111</v>
      </c>
      <c r="J60" s="77" t="s">
        <v>27</v>
      </c>
      <c r="K60" s="77" t="s">
        <v>112</v>
      </c>
      <c r="L60" s="77">
        <v>2</v>
      </c>
      <c r="N60" s="77">
        <v>1</v>
      </c>
      <c r="O60" s="77">
        <v>0.55000000000000004</v>
      </c>
      <c r="P60" s="77">
        <v>0.45</v>
      </c>
      <c r="Q60" s="44">
        <f t="shared" si="0"/>
        <v>0.5</v>
      </c>
      <c r="R60" s="77">
        <v>15.4</v>
      </c>
      <c r="S60" s="77">
        <v>106.5</v>
      </c>
      <c r="T60" s="16">
        <f t="shared" si="1"/>
        <v>33</v>
      </c>
      <c r="U60" s="77">
        <v>128</v>
      </c>
      <c r="V60" s="16">
        <f t="shared" si="2"/>
        <v>4224</v>
      </c>
      <c r="W60" s="77">
        <v>12</v>
      </c>
      <c r="X60" s="77" t="s">
        <v>35</v>
      </c>
      <c r="Y60" s="77" t="s">
        <v>43</v>
      </c>
      <c r="Z60" s="77" t="s">
        <v>55</v>
      </c>
      <c r="AA60" s="77" t="s">
        <v>36</v>
      </c>
      <c r="AB60" s="77" t="s">
        <v>162</v>
      </c>
    </row>
    <row r="61" spans="1:28" x14ac:dyDescent="0.15">
      <c r="A61" s="77" t="s">
        <v>23</v>
      </c>
      <c r="B61" s="77" t="s">
        <v>160</v>
      </c>
      <c r="C61" s="77">
        <v>2020</v>
      </c>
      <c r="D61" s="193" t="s">
        <v>370</v>
      </c>
      <c r="E61" s="77" t="s">
        <v>392</v>
      </c>
      <c r="F61" s="77" t="s">
        <v>380</v>
      </c>
      <c r="G61" s="77" t="s">
        <v>25</v>
      </c>
      <c r="H61" s="77" t="s">
        <v>113</v>
      </c>
      <c r="I61" s="77" t="s">
        <v>111</v>
      </c>
      <c r="J61" s="77" t="s">
        <v>27</v>
      </c>
      <c r="K61" s="77" t="s">
        <v>112</v>
      </c>
      <c r="L61" s="77">
        <v>3</v>
      </c>
      <c r="N61" s="77">
        <v>1</v>
      </c>
      <c r="O61" s="77">
        <v>0.5</v>
      </c>
      <c r="P61" s="77">
        <v>0.5</v>
      </c>
      <c r="Q61" s="44">
        <f t="shared" si="0"/>
        <v>0.5</v>
      </c>
      <c r="R61" s="77">
        <v>16.399999999999999</v>
      </c>
      <c r="S61" s="77">
        <v>115</v>
      </c>
      <c r="T61" s="16">
        <f t="shared" si="1"/>
        <v>30</v>
      </c>
      <c r="U61" s="77">
        <v>128</v>
      </c>
      <c r="V61" s="16">
        <f t="shared" si="2"/>
        <v>3840</v>
      </c>
      <c r="W61" s="77">
        <v>12</v>
      </c>
      <c r="X61" s="77" t="s">
        <v>35</v>
      </c>
      <c r="Y61" s="77" t="s">
        <v>43</v>
      </c>
      <c r="Z61" s="77" t="s">
        <v>55</v>
      </c>
      <c r="AA61" s="77" t="s">
        <v>36</v>
      </c>
      <c r="AB61" s="77" t="s">
        <v>162</v>
      </c>
    </row>
    <row r="62" spans="1:28" x14ac:dyDescent="0.15">
      <c r="A62" s="77" t="s">
        <v>23</v>
      </c>
      <c r="B62" s="77" t="s">
        <v>160</v>
      </c>
      <c r="C62" s="77">
        <v>2020</v>
      </c>
      <c r="D62" s="193" t="s">
        <v>370</v>
      </c>
      <c r="E62" s="77" t="s">
        <v>392</v>
      </c>
      <c r="F62" s="77" t="s">
        <v>380</v>
      </c>
      <c r="G62" s="77" t="s">
        <v>25</v>
      </c>
      <c r="H62" s="77" t="s">
        <v>113</v>
      </c>
      <c r="I62" s="77" t="s">
        <v>111</v>
      </c>
      <c r="J62" s="77" t="s">
        <v>27</v>
      </c>
      <c r="K62" s="77" t="s">
        <v>112</v>
      </c>
      <c r="L62" s="77">
        <v>1</v>
      </c>
      <c r="N62" s="77">
        <v>4</v>
      </c>
      <c r="O62" s="77">
        <v>0.7</v>
      </c>
      <c r="P62" s="77">
        <v>0.7</v>
      </c>
      <c r="Q62" s="44">
        <f t="shared" si="0"/>
        <v>0.7</v>
      </c>
      <c r="R62" s="77">
        <v>16.2</v>
      </c>
      <c r="S62" s="77">
        <v>92</v>
      </c>
      <c r="T62" s="16">
        <f t="shared" si="1"/>
        <v>36</v>
      </c>
      <c r="U62" s="77">
        <v>398</v>
      </c>
      <c r="V62" s="16">
        <f t="shared" si="2"/>
        <v>3582</v>
      </c>
      <c r="W62" s="77">
        <v>12</v>
      </c>
      <c r="X62" s="77" t="s">
        <v>35</v>
      </c>
      <c r="Y62" s="77" t="s">
        <v>43</v>
      </c>
      <c r="Z62" s="77" t="s">
        <v>55</v>
      </c>
      <c r="AA62" s="77" t="s">
        <v>36</v>
      </c>
      <c r="AB62" s="77" t="s">
        <v>162</v>
      </c>
    </row>
    <row r="63" spans="1:28" x14ac:dyDescent="0.15">
      <c r="A63" s="77" t="s">
        <v>23</v>
      </c>
      <c r="B63" s="77" t="s">
        <v>160</v>
      </c>
      <c r="C63" s="77">
        <v>2020</v>
      </c>
      <c r="D63" s="193" t="s">
        <v>370</v>
      </c>
      <c r="E63" s="77" t="s">
        <v>392</v>
      </c>
      <c r="F63" s="77" t="s">
        <v>380</v>
      </c>
      <c r="G63" s="77" t="s">
        <v>25</v>
      </c>
      <c r="H63" s="77" t="s">
        <v>113</v>
      </c>
      <c r="I63" s="77" t="s">
        <v>111</v>
      </c>
      <c r="J63" s="77" t="s">
        <v>27</v>
      </c>
      <c r="K63" s="77" t="s">
        <v>112</v>
      </c>
      <c r="L63" s="77">
        <v>2</v>
      </c>
      <c r="N63" s="77">
        <v>4</v>
      </c>
      <c r="O63" s="77">
        <v>0.2</v>
      </c>
      <c r="P63" s="77">
        <v>0.2</v>
      </c>
      <c r="Q63" s="44">
        <f t="shared" si="0"/>
        <v>0.2</v>
      </c>
      <c r="R63" s="77">
        <v>15.2</v>
      </c>
      <c r="S63" s="77">
        <v>88</v>
      </c>
      <c r="T63" s="16">
        <f t="shared" si="1"/>
        <v>36</v>
      </c>
      <c r="U63" s="77">
        <v>398</v>
      </c>
      <c r="V63" s="16">
        <f t="shared" si="2"/>
        <v>3582</v>
      </c>
      <c r="W63" s="77">
        <v>12</v>
      </c>
      <c r="X63" s="77" t="s">
        <v>35</v>
      </c>
      <c r="Y63" s="77" t="s">
        <v>43</v>
      </c>
      <c r="Z63" s="77" t="s">
        <v>55</v>
      </c>
      <c r="AA63" s="77" t="s">
        <v>36</v>
      </c>
      <c r="AB63" s="77" t="s">
        <v>162</v>
      </c>
    </row>
    <row r="64" spans="1:28" x14ac:dyDescent="0.15">
      <c r="A64" s="77" t="s">
        <v>23</v>
      </c>
      <c r="B64" s="77" t="s">
        <v>160</v>
      </c>
      <c r="C64" s="77">
        <v>2020</v>
      </c>
      <c r="D64" s="193" t="s">
        <v>370</v>
      </c>
      <c r="E64" s="77" t="s">
        <v>392</v>
      </c>
      <c r="F64" s="77" t="s">
        <v>380</v>
      </c>
      <c r="G64" s="77" t="s">
        <v>25</v>
      </c>
      <c r="H64" s="77" t="s">
        <v>113</v>
      </c>
      <c r="I64" s="77" t="s">
        <v>111</v>
      </c>
      <c r="J64" s="77" t="s">
        <v>27</v>
      </c>
      <c r="K64" s="77" t="s">
        <v>112</v>
      </c>
      <c r="L64" s="77">
        <v>3</v>
      </c>
      <c r="N64" s="77">
        <v>4</v>
      </c>
      <c r="O64" s="77">
        <v>0.55000000000000004</v>
      </c>
      <c r="P64" s="77">
        <v>0.45</v>
      </c>
      <c r="Q64" s="44">
        <f t="shared" si="0"/>
        <v>0.5</v>
      </c>
      <c r="R64" s="77">
        <v>15.2</v>
      </c>
      <c r="S64" s="77">
        <v>83</v>
      </c>
      <c r="T64" s="16">
        <f t="shared" si="1"/>
        <v>39</v>
      </c>
      <c r="U64" s="77">
        <v>398</v>
      </c>
      <c r="V64" s="16">
        <f t="shared" si="2"/>
        <v>3880.5</v>
      </c>
      <c r="W64" s="77">
        <v>12</v>
      </c>
      <c r="X64" s="77" t="s">
        <v>35</v>
      </c>
      <c r="Y64" s="77" t="s">
        <v>43</v>
      </c>
      <c r="Z64" s="77" t="s">
        <v>55</v>
      </c>
      <c r="AA64" s="77" t="s">
        <v>36</v>
      </c>
      <c r="AB64" s="77" t="s">
        <v>162</v>
      </c>
    </row>
    <row r="65" spans="1:28" x14ac:dyDescent="0.15">
      <c r="A65" s="77" t="s">
        <v>23</v>
      </c>
      <c r="B65" s="77" t="s">
        <v>160</v>
      </c>
      <c r="C65" s="77">
        <v>2020</v>
      </c>
      <c r="D65" s="193" t="s">
        <v>370</v>
      </c>
      <c r="E65" s="77" t="s">
        <v>392</v>
      </c>
      <c r="F65" s="77" t="s">
        <v>380</v>
      </c>
      <c r="G65" s="77" t="s">
        <v>25</v>
      </c>
      <c r="H65" s="77" t="s">
        <v>113</v>
      </c>
      <c r="I65" s="77" t="s">
        <v>111</v>
      </c>
      <c r="J65" s="77" t="s">
        <v>27</v>
      </c>
      <c r="K65" s="77" t="s">
        <v>112</v>
      </c>
      <c r="L65" s="77">
        <v>1</v>
      </c>
      <c r="N65" s="77">
        <v>8</v>
      </c>
      <c r="O65" s="77">
        <v>0.5</v>
      </c>
      <c r="P65" s="77">
        <v>0.5</v>
      </c>
      <c r="Q65" s="44">
        <f t="shared" si="0"/>
        <v>0.5</v>
      </c>
      <c r="R65" s="77">
        <v>15.4</v>
      </c>
      <c r="S65" s="77">
        <v>81.5</v>
      </c>
      <c r="T65" s="16">
        <f t="shared" si="1"/>
        <v>39</v>
      </c>
      <c r="U65" s="77">
        <v>698</v>
      </c>
      <c r="V65" s="16">
        <f t="shared" si="2"/>
        <v>3402.75</v>
      </c>
      <c r="W65" s="77">
        <v>12</v>
      </c>
      <c r="X65" s="77" t="s">
        <v>35</v>
      </c>
      <c r="Y65" s="77" t="s">
        <v>43</v>
      </c>
      <c r="Z65" s="77" t="s">
        <v>55</v>
      </c>
      <c r="AA65" s="77" t="s">
        <v>36</v>
      </c>
      <c r="AB65" s="77" t="s">
        <v>162</v>
      </c>
    </row>
    <row r="66" spans="1:28" x14ac:dyDescent="0.15">
      <c r="A66" s="77" t="s">
        <v>23</v>
      </c>
      <c r="B66" s="77" t="s">
        <v>160</v>
      </c>
      <c r="C66" s="77">
        <v>2020</v>
      </c>
      <c r="D66" s="193" t="s">
        <v>370</v>
      </c>
      <c r="E66" s="77" t="s">
        <v>392</v>
      </c>
      <c r="F66" s="77" t="s">
        <v>380</v>
      </c>
      <c r="G66" s="77" t="s">
        <v>25</v>
      </c>
      <c r="H66" s="77" t="s">
        <v>113</v>
      </c>
      <c r="I66" s="77" t="s">
        <v>111</v>
      </c>
      <c r="J66" s="77" t="s">
        <v>27</v>
      </c>
      <c r="K66" s="77" t="s">
        <v>112</v>
      </c>
      <c r="L66" s="77">
        <v>2</v>
      </c>
      <c r="N66" s="77">
        <v>8</v>
      </c>
      <c r="O66" s="77">
        <v>0.8</v>
      </c>
      <c r="P66" s="77">
        <v>0.7</v>
      </c>
      <c r="Q66" s="44">
        <f t="shared" si="0"/>
        <v>0.75</v>
      </c>
      <c r="R66" s="77">
        <v>12.4</v>
      </c>
      <c r="S66" s="77">
        <v>88</v>
      </c>
      <c r="T66" s="16">
        <f t="shared" si="1"/>
        <v>36</v>
      </c>
      <c r="U66" s="77">
        <v>698</v>
      </c>
      <c r="V66" s="16">
        <f t="shared" si="2"/>
        <v>3141</v>
      </c>
      <c r="W66" s="77">
        <v>12</v>
      </c>
      <c r="X66" s="77" t="s">
        <v>35</v>
      </c>
      <c r="Y66" s="77" t="s">
        <v>43</v>
      </c>
      <c r="Z66" s="77" t="s">
        <v>55</v>
      </c>
      <c r="AA66" s="77" t="s">
        <v>36</v>
      </c>
      <c r="AB66" s="77" t="s">
        <v>162</v>
      </c>
    </row>
    <row r="67" spans="1:28" x14ac:dyDescent="0.15">
      <c r="A67" s="77" t="s">
        <v>23</v>
      </c>
      <c r="B67" s="77" t="s">
        <v>160</v>
      </c>
      <c r="C67" s="77">
        <v>2020</v>
      </c>
      <c r="D67" s="193" t="s">
        <v>370</v>
      </c>
      <c r="E67" s="77" t="s">
        <v>392</v>
      </c>
      <c r="F67" s="77" t="s">
        <v>380</v>
      </c>
      <c r="G67" s="77" t="s">
        <v>25</v>
      </c>
      <c r="H67" s="77" t="s">
        <v>113</v>
      </c>
      <c r="I67" s="77" t="s">
        <v>111</v>
      </c>
      <c r="J67" s="77" t="s">
        <v>27</v>
      </c>
      <c r="K67" s="77" t="s">
        <v>112</v>
      </c>
      <c r="L67" s="77">
        <v>3</v>
      </c>
      <c r="N67" s="77">
        <v>8</v>
      </c>
      <c r="O67" s="77">
        <v>0.75</v>
      </c>
      <c r="P67" s="77">
        <v>0.55000000000000004</v>
      </c>
      <c r="Q67" s="44">
        <f t="shared" si="0"/>
        <v>0.65</v>
      </c>
      <c r="R67" s="77">
        <v>12.5</v>
      </c>
      <c r="S67" s="77">
        <v>89.5</v>
      </c>
      <c r="T67" s="16">
        <f t="shared" si="1"/>
        <v>36</v>
      </c>
      <c r="U67" s="77">
        <v>698</v>
      </c>
      <c r="V67" s="16">
        <f t="shared" si="2"/>
        <v>3141</v>
      </c>
      <c r="W67" s="77">
        <v>12</v>
      </c>
      <c r="X67" s="77" t="s">
        <v>35</v>
      </c>
      <c r="Y67" s="77" t="s">
        <v>43</v>
      </c>
      <c r="Z67" s="77" t="s">
        <v>55</v>
      </c>
      <c r="AA67" s="77" t="s">
        <v>36</v>
      </c>
      <c r="AB67" s="77" t="s">
        <v>162</v>
      </c>
    </row>
    <row r="68" spans="1:28" x14ac:dyDescent="0.15">
      <c r="A68" s="77" t="s">
        <v>23</v>
      </c>
      <c r="B68" s="77" t="s">
        <v>160</v>
      </c>
      <c r="C68" s="77">
        <v>2020</v>
      </c>
      <c r="D68" s="193" t="s">
        <v>370</v>
      </c>
      <c r="E68" s="77" t="s">
        <v>392</v>
      </c>
      <c r="F68" s="77" t="s">
        <v>380</v>
      </c>
      <c r="G68" s="77" t="s">
        <v>25</v>
      </c>
      <c r="H68" s="77" t="s">
        <v>164</v>
      </c>
      <c r="I68" s="77" t="s">
        <v>111</v>
      </c>
      <c r="J68" s="77" t="s">
        <v>27</v>
      </c>
      <c r="K68" s="77" t="s">
        <v>112</v>
      </c>
      <c r="L68" s="77">
        <v>1</v>
      </c>
      <c r="N68" s="77">
        <v>1</v>
      </c>
      <c r="O68" s="77">
        <v>0.8</v>
      </c>
      <c r="P68" s="77">
        <v>0.7</v>
      </c>
      <c r="Q68" s="44">
        <f t="shared" si="0"/>
        <v>0.75</v>
      </c>
      <c r="R68" s="77">
        <v>17.2</v>
      </c>
      <c r="S68" s="77">
        <v>123</v>
      </c>
      <c r="T68" s="16">
        <f t="shared" si="1"/>
        <v>30</v>
      </c>
      <c r="U68" s="77">
        <v>138</v>
      </c>
      <c r="V68" s="16">
        <f t="shared" si="2"/>
        <v>4140</v>
      </c>
      <c r="W68" s="77">
        <v>12</v>
      </c>
      <c r="X68" s="77" t="s">
        <v>35</v>
      </c>
      <c r="Y68" s="77" t="s">
        <v>43</v>
      </c>
      <c r="Z68" s="77" t="s">
        <v>55</v>
      </c>
      <c r="AA68" s="77" t="s">
        <v>36</v>
      </c>
      <c r="AB68" s="77" t="s">
        <v>162</v>
      </c>
    </row>
    <row r="69" spans="1:28" x14ac:dyDescent="0.15">
      <c r="A69" s="77" t="s">
        <v>23</v>
      </c>
      <c r="B69" s="77" t="s">
        <v>160</v>
      </c>
      <c r="C69" s="77">
        <v>2020</v>
      </c>
      <c r="D69" s="193" t="s">
        <v>370</v>
      </c>
      <c r="E69" s="77" t="s">
        <v>392</v>
      </c>
      <c r="F69" s="77" t="s">
        <v>380</v>
      </c>
      <c r="G69" s="77" t="s">
        <v>25</v>
      </c>
      <c r="H69" s="77" t="s">
        <v>164</v>
      </c>
      <c r="I69" s="77" t="s">
        <v>111</v>
      </c>
      <c r="J69" s="77" t="s">
        <v>27</v>
      </c>
      <c r="K69" s="77" t="s">
        <v>112</v>
      </c>
      <c r="L69" s="77">
        <v>2</v>
      </c>
      <c r="N69" s="77">
        <v>1</v>
      </c>
      <c r="O69" s="77">
        <v>0.7</v>
      </c>
      <c r="P69" s="77">
        <v>0.8</v>
      </c>
      <c r="Q69" s="44">
        <f t="shared" si="0"/>
        <v>0.75</v>
      </c>
      <c r="R69" s="77">
        <v>15.7</v>
      </c>
      <c r="S69" s="77">
        <v>122.5</v>
      </c>
      <c r="T69" s="16">
        <f t="shared" si="1"/>
        <v>30</v>
      </c>
      <c r="U69" s="77">
        <v>138</v>
      </c>
      <c r="V69" s="16">
        <f t="shared" si="2"/>
        <v>4140</v>
      </c>
      <c r="W69" s="77">
        <v>12</v>
      </c>
      <c r="X69" s="77" t="s">
        <v>35</v>
      </c>
      <c r="Y69" s="77" t="s">
        <v>43</v>
      </c>
      <c r="Z69" s="77" t="s">
        <v>55</v>
      </c>
      <c r="AA69" s="77" t="s">
        <v>36</v>
      </c>
      <c r="AB69" s="77" t="s">
        <v>162</v>
      </c>
    </row>
    <row r="70" spans="1:28" x14ac:dyDescent="0.15">
      <c r="A70" s="77" t="s">
        <v>23</v>
      </c>
      <c r="B70" s="77" t="s">
        <v>160</v>
      </c>
      <c r="C70" s="77">
        <v>2020</v>
      </c>
      <c r="D70" s="193" t="s">
        <v>370</v>
      </c>
      <c r="E70" s="77" t="s">
        <v>392</v>
      </c>
      <c r="F70" s="77" t="s">
        <v>380</v>
      </c>
      <c r="G70" s="77" t="s">
        <v>25</v>
      </c>
      <c r="H70" s="77" t="s">
        <v>164</v>
      </c>
      <c r="I70" s="77" t="s">
        <v>111</v>
      </c>
      <c r="J70" s="77" t="s">
        <v>27</v>
      </c>
      <c r="K70" s="77" t="s">
        <v>112</v>
      </c>
      <c r="L70" s="77">
        <v>3</v>
      </c>
      <c r="N70" s="77">
        <v>1</v>
      </c>
      <c r="O70" s="77">
        <v>0.55000000000000004</v>
      </c>
      <c r="P70" s="77">
        <v>0.5</v>
      </c>
      <c r="Q70" s="44">
        <f t="shared" si="0"/>
        <v>0.52500000000000002</v>
      </c>
      <c r="R70" s="77">
        <v>17.3</v>
      </c>
      <c r="S70" s="77">
        <v>123</v>
      </c>
      <c r="T70" s="16">
        <f t="shared" si="1"/>
        <v>30</v>
      </c>
      <c r="U70" s="77">
        <v>138</v>
      </c>
      <c r="V70" s="16">
        <f t="shared" si="2"/>
        <v>4140</v>
      </c>
      <c r="W70" s="77">
        <v>12</v>
      </c>
      <c r="X70" s="77" t="s">
        <v>35</v>
      </c>
      <c r="Y70" s="77" t="s">
        <v>43</v>
      </c>
      <c r="Z70" s="77" t="s">
        <v>55</v>
      </c>
      <c r="AA70" s="77" t="s">
        <v>36</v>
      </c>
      <c r="AB70" s="77" t="s">
        <v>162</v>
      </c>
    </row>
    <row r="71" spans="1:28" x14ac:dyDescent="0.15">
      <c r="A71" s="77" t="s">
        <v>23</v>
      </c>
      <c r="B71" s="77" t="s">
        <v>160</v>
      </c>
      <c r="C71" s="77">
        <v>2020</v>
      </c>
      <c r="D71" s="193" t="s">
        <v>370</v>
      </c>
      <c r="E71" s="77" t="s">
        <v>392</v>
      </c>
      <c r="F71" s="77" t="s">
        <v>380</v>
      </c>
      <c r="G71" s="77" t="s">
        <v>25</v>
      </c>
      <c r="H71" s="77" t="s">
        <v>164</v>
      </c>
      <c r="I71" s="77" t="s">
        <v>111</v>
      </c>
      <c r="J71" s="77" t="s">
        <v>27</v>
      </c>
      <c r="K71" s="77" t="s">
        <v>112</v>
      </c>
      <c r="L71" s="77">
        <v>1</v>
      </c>
      <c r="N71" s="77">
        <v>8</v>
      </c>
      <c r="O71" s="77">
        <v>0.2</v>
      </c>
      <c r="P71" s="77">
        <v>0.45</v>
      </c>
      <c r="Q71" s="44">
        <f t="shared" si="0"/>
        <v>0.32500000000000001</v>
      </c>
      <c r="R71" s="77">
        <v>17.600000000000001</v>
      </c>
      <c r="S71" s="77">
        <v>93</v>
      </c>
      <c r="T71" s="16">
        <f t="shared" si="1"/>
        <v>36</v>
      </c>
      <c r="U71" s="77">
        <v>980</v>
      </c>
      <c r="V71" s="16">
        <f t="shared" si="2"/>
        <v>4410</v>
      </c>
      <c r="W71" s="77">
        <v>12</v>
      </c>
      <c r="X71" s="77" t="s">
        <v>35</v>
      </c>
      <c r="Y71" s="77" t="s">
        <v>43</v>
      </c>
      <c r="Z71" s="77" t="s">
        <v>55</v>
      </c>
      <c r="AA71" s="77" t="s">
        <v>36</v>
      </c>
      <c r="AB71" s="77" t="s">
        <v>162</v>
      </c>
    </row>
    <row r="72" spans="1:28" x14ac:dyDescent="0.15">
      <c r="A72" s="77" t="s">
        <v>23</v>
      </c>
      <c r="B72" s="77" t="s">
        <v>160</v>
      </c>
      <c r="C72" s="77">
        <v>2020</v>
      </c>
      <c r="D72" s="193" t="s">
        <v>370</v>
      </c>
      <c r="E72" s="77" t="s">
        <v>392</v>
      </c>
      <c r="F72" s="77" t="s">
        <v>380</v>
      </c>
      <c r="G72" s="77" t="s">
        <v>25</v>
      </c>
      <c r="H72" s="77" t="s">
        <v>164</v>
      </c>
      <c r="I72" s="77" t="s">
        <v>111</v>
      </c>
      <c r="J72" s="77" t="s">
        <v>27</v>
      </c>
      <c r="K72" s="77" t="s">
        <v>112</v>
      </c>
      <c r="L72" s="77">
        <v>2</v>
      </c>
      <c r="N72" s="77">
        <v>8</v>
      </c>
      <c r="O72" s="77">
        <v>0.2</v>
      </c>
      <c r="P72" s="77">
        <v>0.2</v>
      </c>
      <c r="Q72" s="44">
        <f t="shared" si="0"/>
        <v>0.2</v>
      </c>
      <c r="R72" s="77">
        <v>18</v>
      </c>
      <c r="S72" s="77">
        <v>99</v>
      </c>
      <c r="T72" s="16">
        <f t="shared" si="1"/>
        <v>33</v>
      </c>
      <c r="U72" s="77">
        <v>980</v>
      </c>
      <c r="V72" s="16">
        <f t="shared" si="2"/>
        <v>4042.5</v>
      </c>
      <c r="W72" s="77">
        <v>12</v>
      </c>
      <c r="X72" s="77" t="s">
        <v>35</v>
      </c>
      <c r="Y72" s="77" t="s">
        <v>43</v>
      </c>
      <c r="Z72" s="77" t="s">
        <v>55</v>
      </c>
      <c r="AA72" s="77" t="s">
        <v>36</v>
      </c>
      <c r="AB72" s="77" t="s">
        <v>162</v>
      </c>
    </row>
    <row r="73" spans="1:28" x14ac:dyDescent="0.15">
      <c r="A73" s="77" t="s">
        <v>23</v>
      </c>
      <c r="B73" s="77" t="s">
        <v>160</v>
      </c>
      <c r="C73" s="77">
        <v>2020</v>
      </c>
      <c r="D73" s="193" t="s">
        <v>370</v>
      </c>
      <c r="E73" s="77" t="s">
        <v>392</v>
      </c>
      <c r="F73" s="77" t="s">
        <v>380</v>
      </c>
      <c r="G73" s="77" t="s">
        <v>25</v>
      </c>
      <c r="H73" s="77" t="s">
        <v>164</v>
      </c>
      <c r="I73" s="77" t="s">
        <v>111</v>
      </c>
      <c r="J73" s="77" t="s">
        <v>27</v>
      </c>
      <c r="K73" s="77" t="s">
        <v>112</v>
      </c>
      <c r="L73" s="77">
        <v>3</v>
      </c>
      <c r="N73" s="77">
        <v>8</v>
      </c>
      <c r="O73" s="77">
        <v>0.2</v>
      </c>
      <c r="P73" s="77">
        <v>0.6</v>
      </c>
      <c r="Q73" s="44">
        <f t="shared" si="0"/>
        <v>0.4</v>
      </c>
      <c r="R73" s="77">
        <v>15</v>
      </c>
      <c r="S73" s="77">
        <v>99</v>
      </c>
      <c r="T73" s="16">
        <f t="shared" si="1"/>
        <v>33</v>
      </c>
      <c r="U73" s="77">
        <v>980</v>
      </c>
      <c r="V73" s="16">
        <f t="shared" si="2"/>
        <v>4042.5</v>
      </c>
      <c r="W73" s="77">
        <v>12</v>
      </c>
      <c r="X73" s="77" t="s">
        <v>35</v>
      </c>
      <c r="Y73" s="77" t="s">
        <v>43</v>
      </c>
      <c r="Z73" s="77" t="s">
        <v>55</v>
      </c>
      <c r="AA73" s="77" t="s">
        <v>36</v>
      </c>
      <c r="AB73" s="77" t="s">
        <v>162</v>
      </c>
    </row>
    <row r="74" spans="1:28" x14ac:dyDescent="0.15">
      <c r="A74" s="77" t="s">
        <v>23</v>
      </c>
      <c r="B74" s="77" t="s">
        <v>160</v>
      </c>
      <c r="C74" s="77">
        <v>2020</v>
      </c>
      <c r="D74" s="193" t="s">
        <v>370</v>
      </c>
      <c r="E74" s="77" t="s">
        <v>176</v>
      </c>
      <c r="F74" s="77" t="s">
        <v>381</v>
      </c>
      <c r="G74" s="77" t="s">
        <v>25</v>
      </c>
      <c r="H74" s="77" t="s">
        <v>113</v>
      </c>
      <c r="I74" s="77" t="s">
        <v>111</v>
      </c>
      <c r="J74" s="77" t="s">
        <v>27</v>
      </c>
      <c r="K74" s="77" t="s">
        <v>112</v>
      </c>
      <c r="L74" s="77">
        <v>1</v>
      </c>
      <c r="N74" s="77">
        <v>1</v>
      </c>
      <c r="O74" s="77">
        <v>0.65</v>
      </c>
      <c r="P74" s="77">
        <v>0.65</v>
      </c>
      <c r="Q74" s="44">
        <f t="shared" si="0"/>
        <v>0.65</v>
      </c>
      <c r="R74" s="77">
        <v>12.4</v>
      </c>
      <c r="S74" s="77">
        <v>119.5</v>
      </c>
      <c r="T74" s="16">
        <f t="shared" si="1"/>
        <v>30</v>
      </c>
      <c r="U74" s="77">
        <v>127</v>
      </c>
      <c r="V74" s="16">
        <f t="shared" si="2"/>
        <v>3810</v>
      </c>
      <c r="W74" s="77">
        <v>16</v>
      </c>
      <c r="X74" s="77" t="s">
        <v>35</v>
      </c>
      <c r="Y74" s="77" t="s">
        <v>43</v>
      </c>
      <c r="Z74" s="77" t="s">
        <v>36</v>
      </c>
      <c r="AA74" s="77" t="s">
        <v>55</v>
      </c>
      <c r="AB74" s="77" t="s">
        <v>162</v>
      </c>
    </row>
    <row r="75" spans="1:28" x14ac:dyDescent="0.15">
      <c r="A75" s="77" t="s">
        <v>23</v>
      </c>
      <c r="B75" s="77" t="s">
        <v>160</v>
      </c>
      <c r="C75" s="77">
        <v>2020</v>
      </c>
      <c r="D75" s="193" t="s">
        <v>370</v>
      </c>
      <c r="E75" s="77" t="s">
        <v>176</v>
      </c>
      <c r="F75" s="77" t="s">
        <v>381</v>
      </c>
      <c r="G75" s="77" t="s">
        <v>25</v>
      </c>
      <c r="H75" s="77" t="s">
        <v>113</v>
      </c>
      <c r="I75" s="77" t="s">
        <v>111</v>
      </c>
      <c r="J75" s="77" t="s">
        <v>27</v>
      </c>
      <c r="K75" s="77" t="s">
        <v>112</v>
      </c>
      <c r="L75" s="77">
        <v>2</v>
      </c>
      <c r="N75" s="77">
        <v>1</v>
      </c>
      <c r="O75" s="77">
        <v>0.2</v>
      </c>
      <c r="P75" s="77">
        <v>0.2</v>
      </c>
      <c r="Q75" s="44">
        <f t="shared" si="0"/>
        <v>0.2</v>
      </c>
      <c r="R75" s="77">
        <v>15.2</v>
      </c>
      <c r="S75" s="77">
        <v>118</v>
      </c>
      <c r="T75" s="16">
        <f t="shared" si="1"/>
        <v>30</v>
      </c>
      <c r="U75" s="77">
        <v>127</v>
      </c>
      <c r="V75" s="16">
        <f t="shared" si="2"/>
        <v>3810</v>
      </c>
      <c r="W75" s="77">
        <v>16</v>
      </c>
      <c r="X75" s="77" t="s">
        <v>35</v>
      </c>
      <c r="Y75" s="77" t="s">
        <v>43</v>
      </c>
      <c r="Z75" s="77" t="s">
        <v>36</v>
      </c>
      <c r="AA75" s="77" t="s">
        <v>55</v>
      </c>
      <c r="AB75" s="77" t="s">
        <v>162</v>
      </c>
    </row>
    <row r="76" spans="1:28" x14ac:dyDescent="0.15">
      <c r="A76" s="77" t="s">
        <v>23</v>
      </c>
      <c r="B76" s="77" t="s">
        <v>160</v>
      </c>
      <c r="C76" s="77">
        <v>2020</v>
      </c>
      <c r="D76" s="193" t="s">
        <v>370</v>
      </c>
      <c r="E76" s="77" t="s">
        <v>176</v>
      </c>
      <c r="F76" s="77" t="s">
        <v>381</v>
      </c>
      <c r="G76" s="77" t="s">
        <v>25</v>
      </c>
      <c r="H76" s="77" t="s">
        <v>113</v>
      </c>
      <c r="I76" s="77" t="s">
        <v>111</v>
      </c>
      <c r="J76" s="77" t="s">
        <v>27</v>
      </c>
      <c r="K76" s="77" t="s">
        <v>112</v>
      </c>
      <c r="L76" s="77">
        <v>3</v>
      </c>
      <c r="N76" s="77">
        <v>1</v>
      </c>
      <c r="O76" s="77">
        <v>0.2</v>
      </c>
      <c r="P76" s="77">
        <v>0.2</v>
      </c>
      <c r="Q76" s="44">
        <f t="shared" si="0"/>
        <v>0.2</v>
      </c>
      <c r="R76" s="77">
        <v>15.8</v>
      </c>
      <c r="S76" s="77">
        <v>117</v>
      </c>
      <c r="T76" s="16">
        <f t="shared" si="1"/>
        <v>30</v>
      </c>
      <c r="U76" s="77">
        <v>127</v>
      </c>
      <c r="V76" s="16">
        <f t="shared" si="2"/>
        <v>3810</v>
      </c>
      <c r="W76" s="77">
        <v>16</v>
      </c>
      <c r="X76" s="77" t="s">
        <v>35</v>
      </c>
      <c r="Y76" s="77" t="s">
        <v>43</v>
      </c>
      <c r="Z76" s="77" t="s">
        <v>36</v>
      </c>
      <c r="AA76" s="77" t="s">
        <v>55</v>
      </c>
      <c r="AB76" s="77" t="s">
        <v>162</v>
      </c>
    </row>
    <row r="77" spans="1:28" x14ac:dyDescent="0.15">
      <c r="A77" s="77" t="s">
        <v>23</v>
      </c>
      <c r="B77" s="77" t="s">
        <v>160</v>
      </c>
      <c r="C77" s="77">
        <v>2020</v>
      </c>
      <c r="D77" s="193" t="s">
        <v>370</v>
      </c>
      <c r="E77" s="77" t="s">
        <v>176</v>
      </c>
      <c r="F77" s="77" t="s">
        <v>381</v>
      </c>
      <c r="G77" s="77" t="s">
        <v>25</v>
      </c>
      <c r="H77" s="77" t="s">
        <v>164</v>
      </c>
      <c r="I77" s="77" t="s">
        <v>111</v>
      </c>
      <c r="J77" s="77" t="s">
        <v>27</v>
      </c>
      <c r="K77" s="77" t="s">
        <v>112</v>
      </c>
      <c r="L77" s="77">
        <v>1</v>
      </c>
      <c r="N77" s="77">
        <v>1</v>
      </c>
      <c r="O77" s="77">
        <v>0.7</v>
      </c>
      <c r="P77" s="77">
        <v>1</v>
      </c>
      <c r="Q77" s="44">
        <f t="shared" si="0"/>
        <v>0.85</v>
      </c>
      <c r="R77" s="77">
        <v>17.2</v>
      </c>
      <c r="S77" s="77">
        <v>155.5</v>
      </c>
      <c r="T77" s="16">
        <f t="shared" si="1"/>
        <v>18</v>
      </c>
      <c r="U77" s="77">
        <v>127</v>
      </c>
      <c r="V77" s="16">
        <f t="shared" si="2"/>
        <v>2286</v>
      </c>
      <c r="W77" s="77">
        <v>16</v>
      </c>
      <c r="X77" s="77" t="s">
        <v>35</v>
      </c>
      <c r="Y77" s="77" t="s">
        <v>43</v>
      </c>
      <c r="Z77" s="77" t="s">
        <v>36</v>
      </c>
      <c r="AA77" s="77" t="s">
        <v>55</v>
      </c>
      <c r="AB77" s="77" t="s">
        <v>162</v>
      </c>
    </row>
    <row r="78" spans="1:28" x14ac:dyDescent="0.15">
      <c r="A78" s="77" t="s">
        <v>23</v>
      </c>
      <c r="B78" s="77" t="s">
        <v>160</v>
      </c>
      <c r="C78" s="77">
        <v>2020</v>
      </c>
      <c r="D78" s="193" t="s">
        <v>370</v>
      </c>
      <c r="E78" s="77" t="s">
        <v>176</v>
      </c>
      <c r="F78" s="77" t="s">
        <v>381</v>
      </c>
      <c r="G78" s="77" t="s">
        <v>25</v>
      </c>
      <c r="H78" s="77" t="s">
        <v>164</v>
      </c>
      <c r="I78" s="77" t="s">
        <v>111</v>
      </c>
      <c r="J78" s="77" t="s">
        <v>27</v>
      </c>
      <c r="K78" s="77" t="s">
        <v>112</v>
      </c>
      <c r="L78" s="77">
        <v>2</v>
      </c>
      <c r="N78" s="77">
        <v>1</v>
      </c>
      <c r="O78" s="77">
        <v>0.7</v>
      </c>
      <c r="P78" s="77">
        <v>0.9</v>
      </c>
      <c r="Q78" s="44">
        <f t="shared" si="0"/>
        <v>0.8</v>
      </c>
      <c r="R78" s="77">
        <v>17.8</v>
      </c>
      <c r="S78" s="77">
        <v>152.5</v>
      </c>
      <c r="T78" s="16">
        <f t="shared" si="1"/>
        <v>18</v>
      </c>
      <c r="U78" s="77">
        <v>127</v>
      </c>
      <c r="V78" s="16">
        <f t="shared" si="2"/>
        <v>2286</v>
      </c>
      <c r="W78" s="77">
        <v>16</v>
      </c>
      <c r="X78" s="77" t="s">
        <v>35</v>
      </c>
      <c r="Y78" s="77" t="s">
        <v>43</v>
      </c>
      <c r="Z78" s="77" t="s">
        <v>36</v>
      </c>
      <c r="AA78" s="77" t="s">
        <v>55</v>
      </c>
      <c r="AB78" s="77" t="s">
        <v>162</v>
      </c>
    </row>
    <row r="79" spans="1:28" x14ac:dyDescent="0.15">
      <c r="A79" s="77" t="s">
        <v>23</v>
      </c>
      <c r="B79" s="77" t="s">
        <v>160</v>
      </c>
      <c r="C79" s="77">
        <v>2020</v>
      </c>
      <c r="D79" s="193" t="s">
        <v>370</v>
      </c>
      <c r="E79" s="77" t="s">
        <v>176</v>
      </c>
      <c r="F79" s="77" t="s">
        <v>381</v>
      </c>
      <c r="G79" s="77" t="s">
        <v>25</v>
      </c>
      <c r="H79" s="77" t="s">
        <v>164</v>
      </c>
      <c r="I79" s="77" t="s">
        <v>111</v>
      </c>
      <c r="J79" s="77" t="s">
        <v>27</v>
      </c>
      <c r="K79" s="77" t="s">
        <v>112</v>
      </c>
      <c r="L79" s="77">
        <v>3</v>
      </c>
      <c r="N79" s="77">
        <v>1</v>
      </c>
      <c r="O79" s="77">
        <v>0.6</v>
      </c>
      <c r="P79" s="77">
        <v>0.5</v>
      </c>
      <c r="Q79" s="44">
        <f t="shared" si="0"/>
        <v>0.55000000000000004</v>
      </c>
      <c r="R79" s="77">
        <v>16.8</v>
      </c>
      <c r="S79" s="77">
        <v>151</v>
      </c>
      <c r="T79" s="16">
        <f t="shared" si="1"/>
        <v>30</v>
      </c>
      <c r="U79" s="77">
        <v>127</v>
      </c>
      <c r="V79" s="16">
        <f t="shared" si="2"/>
        <v>3810</v>
      </c>
      <c r="W79" s="77">
        <v>16</v>
      </c>
      <c r="X79" s="77" t="s">
        <v>35</v>
      </c>
      <c r="Y79" s="77" t="s">
        <v>43</v>
      </c>
      <c r="Z79" s="77" t="s">
        <v>36</v>
      </c>
      <c r="AA79" s="77" t="s">
        <v>55</v>
      </c>
      <c r="AB79" s="77" t="s">
        <v>162</v>
      </c>
    </row>
    <row r="80" spans="1:28" x14ac:dyDescent="0.15">
      <c r="A80" s="77" t="s">
        <v>23</v>
      </c>
      <c r="B80" s="77" t="s">
        <v>160</v>
      </c>
      <c r="C80" s="77">
        <v>2020</v>
      </c>
      <c r="D80" s="193" t="s">
        <v>370</v>
      </c>
      <c r="E80" s="77" t="s">
        <v>176</v>
      </c>
      <c r="F80" s="77" t="s">
        <v>381</v>
      </c>
      <c r="G80" s="77" t="s">
        <v>25</v>
      </c>
      <c r="H80" s="77" t="s">
        <v>164</v>
      </c>
      <c r="I80" s="77" t="s">
        <v>111</v>
      </c>
      <c r="J80" s="77" t="s">
        <v>27</v>
      </c>
      <c r="K80" s="77" t="s">
        <v>112</v>
      </c>
      <c r="L80" s="77">
        <v>1</v>
      </c>
      <c r="N80" s="77">
        <v>4</v>
      </c>
      <c r="O80" s="77">
        <v>0.2</v>
      </c>
      <c r="P80" s="77">
        <v>0.2</v>
      </c>
      <c r="Q80" s="44">
        <f t="shared" si="0"/>
        <v>0.2</v>
      </c>
      <c r="R80" s="77">
        <v>17</v>
      </c>
      <c r="S80" s="77">
        <v>89</v>
      </c>
      <c r="T80" s="16">
        <f t="shared" si="1"/>
        <v>36</v>
      </c>
      <c r="U80" s="77">
        <v>397</v>
      </c>
      <c r="V80" s="16">
        <f t="shared" si="2"/>
        <v>3573</v>
      </c>
      <c r="W80" s="77">
        <v>16</v>
      </c>
      <c r="X80" s="77" t="s">
        <v>35</v>
      </c>
      <c r="Y80" s="77" t="s">
        <v>43</v>
      </c>
      <c r="Z80" s="77" t="s">
        <v>36</v>
      </c>
      <c r="AA80" s="77" t="s">
        <v>55</v>
      </c>
      <c r="AB80" s="77" t="s">
        <v>162</v>
      </c>
    </row>
    <row r="81" spans="1:28" x14ac:dyDescent="0.15">
      <c r="A81" s="77" t="s">
        <v>23</v>
      </c>
      <c r="B81" s="77" t="s">
        <v>160</v>
      </c>
      <c r="C81" s="77">
        <v>2020</v>
      </c>
      <c r="D81" s="193" t="s">
        <v>370</v>
      </c>
      <c r="E81" s="77" t="s">
        <v>176</v>
      </c>
      <c r="F81" s="77" t="s">
        <v>381</v>
      </c>
      <c r="G81" s="77" t="s">
        <v>25</v>
      </c>
      <c r="H81" s="77" t="s">
        <v>164</v>
      </c>
      <c r="I81" s="77" t="s">
        <v>111</v>
      </c>
      <c r="J81" s="77" t="s">
        <v>27</v>
      </c>
      <c r="K81" s="77" t="s">
        <v>112</v>
      </c>
      <c r="L81" s="77">
        <v>2</v>
      </c>
      <c r="N81" s="77">
        <v>4</v>
      </c>
      <c r="O81" s="77">
        <v>0.6</v>
      </c>
      <c r="P81" s="77">
        <v>0.65</v>
      </c>
      <c r="Q81" s="44">
        <f t="shared" si="0"/>
        <v>0.625</v>
      </c>
      <c r="R81" s="77">
        <v>14</v>
      </c>
      <c r="S81" s="77">
        <v>91</v>
      </c>
      <c r="T81" s="16">
        <f t="shared" si="1"/>
        <v>36</v>
      </c>
      <c r="U81" s="77">
        <v>397</v>
      </c>
      <c r="V81" s="16">
        <f t="shared" si="2"/>
        <v>3573</v>
      </c>
      <c r="W81" s="77">
        <v>16</v>
      </c>
      <c r="X81" s="77" t="s">
        <v>35</v>
      </c>
      <c r="Y81" s="77" t="s">
        <v>43</v>
      </c>
      <c r="Z81" s="77" t="s">
        <v>36</v>
      </c>
      <c r="AA81" s="77" t="s">
        <v>55</v>
      </c>
      <c r="AB81" s="77" t="s">
        <v>162</v>
      </c>
    </row>
    <row r="82" spans="1:28" x14ac:dyDescent="0.15">
      <c r="A82" s="77" t="s">
        <v>23</v>
      </c>
      <c r="B82" s="77" t="s">
        <v>160</v>
      </c>
      <c r="C82" s="77">
        <v>2020</v>
      </c>
      <c r="D82" s="193" t="s">
        <v>370</v>
      </c>
      <c r="E82" s="77" t="s">
        <v>176</v>
      </c>
      <c r="F82" s="77" t="s">
        <v>381</v>
      </c>
      <c r="G82" s="77" t="s">
        <v>25</v>
      </c>
      <c r="H82" s="77" t="s">
        <v>164</v>
      </c>
      <c r="I82" s="77" t="s">
        <v>111</v>
      </c>
      <c r="J82" s="77" t="s">
        <v>27</v>
      </c>
      <c r="K82" s="77" t="s">
        <v>112</v>
      </c>
      <c r="L82" s="77">
        <v>3</v>
      </c>
      <c r="N82" s="77">
        <v>4</v>
      </c>
      <c r="O82" s="77">
        <v>0.2</v>
      </c>
      <c r="P82" s="77">
        <v>0.65</v>
      </c>
      <c r="Q82" s="44">
        <f t="shared" si="0"/>
        <v>0.42500000000000004</v>
      </c>
      <c r="R82" s="77">
        <v>15.4</v>
      </c>
      <c r="S82" s="77">
        <v>94</v>
      </c>
      <c r="T82" s="16">
        <f t="shared" si="1"/>
        <v>36</v>
      </c>
      <c r="U82" s="77">
        <v>397</v>
      </c>
      <c r="V82" s="16">
        <f t="shared" si="2"/>
        <v>3573</v>
      </c>
      <c r="W82" s="77">
        <v>16</v>
      </c>
      <c r="X82" s="77" t="s">
        <v>35</v>
      </c>
      <c r="Y82" s="77" t="s">
        <v>43</v>
      </c>
      <c r="Z82" s="77" t="s">
        <v>36</v>
      </c>
      <c r="AA82" s="77" t="s">
        <v>55</v>
      </c>
      <c r="AB82" s="77" t="s">
        <v>162</v>
      </c>
    </row>
    <row r="83" spans="1:28" x14ac:dyDescent="0.15">
      <c r="A83" s="77" t="s">
        <v>23</v>
      </c>
      <c r="B83" s="77" t="s">
        <v>160</v>
      </c>
      <c r="C83" s="77">
        <v>2020</v>
      </c>
      <c r="D83" s="193" t="s">
        <v>370</v>
      </c>
      <c r="E83" s="77" t="s">
        <v>393</v>
      </c>
      <c r="F83" s="77" t="s">
        <v>383</v>
      </c>
      <c r="G83" s="77" t="s">
        <v>25</v>
      </c>
      <c r="H83" s="77" t="s">
        <v>113</v>
      </c>
      <c r="I83" s="77" t="s">
        <v>111</v>
      </c>
      <c r="J83" s="77" t="s">
        <v>27</v>
      </c>
      <c r="K83" s="77" t="s">
        <v>112</v>
      </c>
      <c r="L83" s="77">
        <v>1</v>
      </c>
      <c r="N83" s="77">
        <v>1</v>
      </c>
      <c r="O83" s="77">
        <v>0.2</v>
      </c>
      <c r="P83" s="77">
        <v>0.2</v>
      </c>
      <c r="Q83" s="44">
        <f t="shared" ref="Q83:Q139" si="5">IF(OR(O83="",P83=""),"",AVERAGE(O83,P83))</f>
        <v>0.2</v>
      </c>
      <c r="R83" s="77">
        <v>15.7</v>
      </c>
      <c r="S83" s="77">
        <v>114</v>
      </c>
      <c r="T83" s="16">
        <f t="shared" si="1"/>
        <v>30</v>
      </c>
      <c r="U83" s="77">
        <v>98</v>
      </c>
      <c r="V83" s="16">
        <f t="shared" si="2"/>
        <v>2940</v>
      </c>
      <c r="W83" s="77">
        <v>12</v>
      </c>
      <c r="X83" s="77" t="s">
        <v>35</v>
      </c>
      <c r="Y83" s="77" t="s">
        <v>43</v>
      </c>
      <c r="Z83" s="77" t="s">
        <v>29</v>
      </c>
      <c r="AA83" s="77" t="s">
        <v>55</v>
      </c>
      <c r="AB83" s="77" t="s">
        <v>162</v>
      </c>
    </row>
    <row r="84" spans="1:28" x14ac:dyDescent="0.15">
      <c r="A84" s="77" t="s">
        <v>23</v>
      </c>
      <c r="B84" s="77" t="s">
        <v>160</v>
      </c>
      <c r="C84" s="77">
        <v>2020</v>
      </c>
      <c r="D84" s="193" t="s">
        <v>370</v>
      </c>
      <c r="E84" s="77" t="s">
        <v>393</v>
      </c>
      <c r="F84" s="77" t="s">
        <v>383</v>
      </c>
      <c r="G84" s="77" t="s">
        <v>25</v>
      </c>
      <c r="H84" s="77" t="s">
        <v>113</v>
      </c>
      <c r="I84" s="77" t="s">
        <v>111</v>
      </c>
      <c r="J84" s="77" t="s">
        <v>27</v>
      </c>
      <c r="K84" s="77" t="s">
        <v>112</v>
      </c>
      <c r="L84" s="77">
        <v>2</v>
      </c>
      <c r="N84" s="77">
        <v>1</v>
      </c>
      <c r="O84" s="77">
        <v>1.2</v>
      </c>
      <c r="P84" s="77">
        <v>1.75</v>
      </c>
      <c r="Q84" s="44">
        <f t="shared" si="5"/>
        <v>1.4750000000000001</v>
      </c>
      <c r="R84" s="77">
        <v>13.7</v>
      </c>
      <c r="S84" s="77">
        <v>127.5</v>
      </c>
      <c r="T84" s="16">
        <f t="shared" si="1"/>
        <v>30</v>
      </c>
      <c r="U84" s="77">
        <v>98</v>
      </c>
      <c r="V84" s="16">
        <f t="shared" si="2"/>
        <v>2940</v>
      </c>
      <c r="W84" s="77">
        <v>12</v>
      </c>
      <c r="X84" s="77" t="s">
        <v>35</v>
      </c>
      <c r="Y84" s="77" t="s">
        <v>43</v>
      </c>
      <c r="Z84" s="77" t="s">
        <v>29</v>
      </c>
      <c r="AA84" s="77" t="s">
        <v>55</v>
      </c>
      <c r="AB84" s="77" t="s">
        <v>162</v>
      </c>
    </row>
    <row r="85" spans="1:28" x14ac:dyDescent="0.15">
      <c r="A85" s="77" t="s">
        <v>23</v>
      </c>
      <c r="B85" s="77" t="s">
        <v>160</v>
      </c>
      <c r="C85" s="77">
        <v>2020</v>
      </c>
      <c r="D85" s="193" t="s">
        <v>370</v>
      </c>
      <c r="E85" s="77" t="s">
        <v>393</v>
      </c>
      <c r="F85" s="77" t="s">
        <v>383</v>
      </c>
      <c r="G85" s="77" t="s">
        <v>25</v>
      </c>
      <c r="H85" s="77" t="s">
        <v>113</v>
      </c>
      <c r="I85" s="77" t="s">
        <v>111</v>
      </c>
      <c r="J85" s="77" t="s">
        <v>27</v>
      </c>
      <c r="K85" s="77" t="s">
        <v>112</v>
      </c>
      <c r="L85" s="77">
        <v>3</v>
      </c>
      <c r="N85" s="77">
        <v>1</v>
      </c>
      <c r="O85" s="77">
        <v>0.85</v>
      </c>
      <c r="P85" s="77">
        <v>1.25</v>
      </c>
      <c r="Q85" s="16">
        <f t="shared" si="5"/>
        <v>1.05</v>
      </c>
      <c r="R85" s="77">
        <v>15.7</v>
      </c>
      <c r="S85" s="77">
        <v>118</v>
      </c>
      <c r="T85" s="16">
        <f t="shared" si="1"/>
        <v>30</v>
      </c>
      <c r="U85" s="77">
        <v>98</v>
      </c>
      <c r="V85" s="16">
        <f t="shared" si="2"/>
        <v>2940</v>
      </c>
      <c r="W85" s="77">
        <v>12</v>
      </c>
      <c r="X85" s="77" t="s">
        <v>35</v>
      </c>
      <c r="Y85" s="77" t="s">
        <v>43</v>
      </c>
      <c r="Z85" s="77" t="s">
        <v>29</v>
      </c>
      <c r="AA85" s="77" t="s">
        <v>55</v>
      </c>
      <c r="AB85" s="77" t="s">
        <v>162</v>
      </c>
    </row>
    <row r="86" spans="1:28" x14ac:dyDescent="0.15">
      <c r="A86" s="77" t="s">
        <v>23</v>
      </c>
      <c r="B86" s="77" t="s">
        <v>160</v>
      </c>
      <c r="C86" s="77">
        <v>2020</v>
      </c>
      <c r="D86" s="193" t="s">
        <v>370</v>
      </c>
      <c r="E86" s="77" t="s">
        <v>393</v>
      </c>
      <c r="F86" s="77" t="s">
        <v>383</v>
      </c>
      <c r="G86" s="77" t="s">
        <v>25</v>
      </c>
      <c r="H86" s="77" t="s">
        <v>113</v>
      </c>
      <c r="I86" s="77" t="s">
        <v>111</v>
      </c>
      <c r="J86" s="77" t="s">
        <v>27</v>
      </c>
      <c r="K86" s="77" t="s">
        <v>112</v>
      </c>
      <c r="L86" s="77">
        <v>1</v>
      </c>
      <c r="N86" s="77">
        <v>5</v>
      </c>
      <c r="O86" s="77">
        <v>0.8</v>
      </c>
      <c r="P86" s="77">
        <v>0.8</v>
      </c>
      <c r="Q86" s="16">
        <f t="shared" si="5"/>
        <v>0.8</v>
      </c>
      <c r="R86" s="77">
        <v>16.899999999999999</v>
      </c>
      <c r="S86" s="77">
        <v>86</v>
      </c>
      <c r="T86" s="16">
        <f t="shared" si="1"/>
        <v>36</v>
      </c>
      <c r="U86" s="77">
        <v>398</v>
      </c>
      <c r="V86" s="16">
        <f t="shared" si="2"/>
        <v>2865.6</v>
      </c>
      <c r="W86" s="77">
        <v>12</v>
      </c>
      <c r="X86" s="77" t="s">
        <v>35</v>
      </c>
      <c r="Y86" s="77" t="s">
        <v>43</v>
      </c>
      <c r="Z86" s="77" t="s">
        <v>29</v>
      </c>
      <c r="AA86" s="77" t="s">
        <v>55</v>
      </c>
      <c r="AB86" s="77" t="s">
        <v>162</v>
      </c>
    </row>
    <row r="87" spans="1:28" x14ac:dyDescent="0.15">
      <c r="A87" s="77" t="s">
        <v>23</v>
      </c>
      <c r="B87" s="77" t="s">
        <v>160</v>
      </c>
      <c r="C87" s="77">
        <v>2020</v>
      </c>
      <c r="D87" s="193" t="s">
        <v>370</v>
      </c>
      <c r="E87" s="77" t="s">
        <v>393</v>
      </c>
      <c r="F87" s="77" t="s">
        <v>383</v>
      </c>
      <c r="G87" s="77" t="s">
        <v>25</v>
      </c>
      <c r="H87" s="77" t="s">
        <v>113</v>
      </c>
      <c r="I87" s="77" t="s">
        <v>111</v>
      </c>
      <c r="J87" s="77" t="s">
        <v>27</v>
      </c>
      <c r="K87" s="77" t="s">
        <v>112</v>
      </c>
      <c r="L87" s="77">
        <v>2</v>
      </c>
      <c r="N87" s="77">
        <v>5</v>
      </c>
      <c r="O87" s="77">
        <v>0.65</v>
      </c>
      <c r="P87" s="77">
        <v>0.75</v>
      </c>
      <c r="Q87" s="16">
        <f t="shared" si="5"/>
        <v>0.7</v>
      </c>
      <c r="R87" s="77">
        <v>15.7</v>
      </c>
      <c r="S87" s="77">
        <v>87.5</v>
      </c>
      <c r="T87" s="16">
        <f t="shared" si="1"/>
        <v>36</v>
      </c>
      <c r="U87" s="77">
        <v>398</v>
      </c>
      <c r="V87" s="16">
        <f t="shared" si="2"/>
        <v>2865.6</v>
      </c>
      <c r="W87" s="77">
        <v>12</v>
      </c>
      <c r="X87" s="77" t="s">
        <v>35</v>
      </c>
      <c r="Y87" s="77" t="s">
        <v>43</v>
      </c>
      <c r="Z87" s="77" t="s">
        <v>29</v>
      </c>
      <c r="AA87" s="77" t="s">
        <v>55</v>
      </c>
      <c r="AB87" s="77" t="s">
        <v>162</v>
      </c>
    </row>
    <row r="88" spans="1:28" x14ac:dyDescent="0.15">
      <c r="A88" s="77" t="s">
        <v>23</v>
      </c>
      <c r="B88" s="77" t="s">
        <v>160</v>
      </c>
      <c r="C88" s="77">
        <v>2020</v>
      </c>
      <c r="D88" s="193" t="s">
        <v>370</v>
      </c>
      <c r="E88" s="77" t="s">
        <v>393</v>
      </c>
      <c r="F88" s="77" t="s">
        <v>383</v>
      </c>
      <c r="G88" s="77" t="s">
        <v>25</v>
      </c>
      <c r="H88" s="77" t="s">
        <v>113</v>
      </c>
      <c r="I88" s="77" t="s">
        <v>111</v>
      </c>
      <c r="J88" s="77" t="s">
        <v>27</v>
      </c>
      <c r="K88" s="77" t="s">
        <v>112</v>
      </c>
      <c r="L88" s="77">
        <v>3</v>
      </c>
      <c r="N88" s="77">
        <v>5</v>
      </c>
      <c r="O88" s="77">
        <v>0.75</v>
      </c>
      <c r="P88" s="77">
        <v>0.75</v>
      </c>
      <c r="Q88" s="16">
        <f t="shared" si="5"/>
        <v>0.75</v>
      </c>
      <c r="R88" s="77">
        <v>15.3</v>
      </c>
      <c r="S88" s="77">
        <v>80</v>
      </c>
      <c r="T88" s="16">
        <f t="shared" si="1"/>
        <v>39</v>
      </c>
      <c r="U88" s="77">
        <v>398</v>
      </c>
      <c r="V88" s="16">
        <f t="shared" si="2"/>
        <v>3104.3999999999996</v>
      </c>
      <c r="W88" s="77">
        <v>12</v>
      </c>
      <c r="X88" s="77" t="s">
        <v>35</v>
      </c>
      <c r="Y88" s="77" t="s">
        <v>43</v>
      </c>
      <c r="Z88" s="77" t="s">
        <v>29</v>
      </c>
      <c r="AA88" s="77" t="s">
        <v>55</v>
      </c>
      <c r="AB88" s="77" t="s">
        <v>162</v>
      </c>
    </row>
    <row r="89" spans="1:28" x14ac:dyDescent="0.15">
      <c r="A89" s="77" t="s">
        <v>23</v>
      </c>
      <c r="B89" s="77" t="s">
        <v>160</v>
      </c>
      <c r="C89" s="77">
        <v>2020</v>
      </c>
      <c r="D89" s="193" t="s">
        <v>370</v>
      </c>
      <c r="E89" s="77" t="s">
        <v>393</v>
      </c>
      <c r="F89" s="77" t="s">
        <v>383</v>
      </c>
      <c r="G89" s="77" t="s">
        <v>25</v>
      </c>
      <c r="H89" s="77" t="s">
        <v>164</v>
      </c>
      <c r="I89" s="77" t="s">
        <v>111</v>
      </c>
      <c r="J89" s="77" t="s">
        <v>27</v>
      </c>
      <c r="K89" s="77" t="s">
        <v>112</v>
      </c>
      <c r="L89" s="77">
        <v>1</v>
      </c>
      <c r="N89" s="77">
        <v>1</v>
      </c>
      <c r="O89" s="77">
        <v>0.6</v>
      </c>
      <c r="P89" s="77">
        <v>0.8</v>
      </c>
      <c r="Q89" s="16">
        <f t="shared" si="5"/>
        <v>0.7</v>
      </c>
      <c r="R89" s="77">
        <v>16.2</v>
      </c>
      <c r="S89" s="77">
        <v>115.5</v>
      </c>
      <c r="T89" s="16">
        <f t="shared" si="1"/>
        <v>30</v>
      </c>
      <c r="U89" s="77">
        <v>98</v>
      </c>
      <c r="V89" s="16">
        <f t="shared" si="2"/>
        <v>2940</v>
      </c>
      <c r="W89" s="77">
        <v>12</v>
      </c>
      <c r="X89" s="77" t="s">
        <v>35</v>
      </c>
      <c r="Y89" s="77" t="s">
        <v>43</v>
      </c>
      <c r="Z89" s="77" t="s">
        <v>29</v>
      </c>
      <c r="AA89" s="77" t="s">
        <v>55</v>
      </c>
      <c r="AB89" s="77" t="s">
        <v>162</v>
      </c>
    </row>
    <row r="90" spans="1:28" x14ac:dyDescent="0.15">
      <c r="A90" s="77" t="s">
        <v>23</v>
      </c>
      <c r="B90" s="77" t="s">
        <v>160</v>
      </c>
      <c r="C90" s="77">
        <v>2020</v>
      </c>
      <c r="D90" s="193" t="s">
        <v>370</v>
      </c>
      <c r="E90" s="77" t="s">
        <v>393</v>
      </c>
      <c r="F90" s="77" t="s">
        <v>383</v>
      </c>
      <c r="G90" s="77" t="s">
        <v>25</v>
      </c>
      <c r="H90" s="77" t="s">
        <v>164</v>
      </c>
      <c r="I90" s="77" t="s">
        <v>111</v>
      </c>
      <c r="J90" s="77" t="s">
        <v>27</v>
      </c>
      <c r="K90" s="77" t="s">
        <v>112</v>
      </c>
      <c r="L90" s="77">
        <v>2</v>
      </c>
      <c r="N90" s="77">
        <v>1</v>
      </c>
      <c r="O90" s="77">
        <v>0.2</v>
      </c>
      <c r="P90" s="77">
        <v>0.2</v>
      </c>
      <c r="Q90" s="16">
        <f t="shared" si="5"/>
        <v>0.2</v>
      </c>
      <c r="R90" s="77">
        <v>18.100000000000001</v>
      </c>
      <c r="S90" s="77">
        <v>115.5</v>
      </c>
      <c r="T90" s="16">
        <f t="shared" si="1"/>
        <v>30</v>
      </c>
      <c r="U90" s="77">
        <v>98</v>
      </c>
      <c r="V90" s="16">
        <f t="shared" si="2"/>
        <v>2940</v>
      </c>
      <c r="W90" s="77">
        <v>12</v>
      </c>
      <c r="X90" s="77" t="s">
        <v>35</v>
      </c>
      <c r="Y90" s="77" t="s">
        <v>43</v>
      </c>
      <c r="Z90" s="77" t="s">
        <v>29</v>
      </c>
      <c r="AA90" s="77" t="s">
        <v>55</v>
      </c>
      <c r="AB90" s="77" t="s">
        <v>162</v>
      </c>
    </row>
    <row r="91" spans="1:28" x14ac:dyDescent="0.15">
      <c r="A91" s="77" t="s">
        <v>23</v>
      </c>
      <c r="B91" s="77" t="s">
        <v>160</v>
      </c>
      <c r="C91" s="77">
        <v>2020</v>
      </c>
      <c r="D91" s="193" t="s">
        <v>370</v>
      </c>
      <c r="E91" s="77" t="s">
        <v>393</v>
      </c>
      <c r="F91" s="77" t="s">
        <v>383</v>
      </c>
      <c r="G91" s="77" t="s">
        <v>25</v>
      </c>
      <c r="H91" s="77" t="s">
        <v>164</v>
      </c>
      <c r="I91" s="77" t="s">
        <v>111</v>
      </c>
      <c r="J91" s="77" t="s">
        <v>27</v>
      </c>
      <c r="K91" s="77" t="s">
        <v>112</v>
      </c>
      <c r="L91" s="77">
        <v>3</v>
      </c>
      <c r="N91" s="77">
        <v>1</v>
      </c>
      <c r="O91" s="77">
        <v>0.6</v>
      </c>
      <c r="P91" s="77">
        <v>0.65</v>
      </c>
      <c r="Q91" s="16">
        <f t="shared" si="5"/>
        <v>0.625</v>
      </c>
      <c r="R91" s="77">
        <v>15.4</v>
      </c>
      <c r="S91" s="77">
        <v>118.5</v>
      </c>
      <c r="T91" s="16">
        <f t="shared" si="1"/>
        <v>30</v>
      </c>
      <c r="U91" s="77">
        <v>98</v>
      </c>
      <c r="V91" s="16">
        <f t="shared" si="2"/>
        <v>2940</v>
      </c>
      <c r="W91" s="77">
        <v>12</v>
      </c>
      <c r="X91" s="77" t="s">
        <v>35</v>
      </c>
      <c r="Y91" s="77" t="s">
        <v>43</v>
      </c>
      <c r="Z91" s="77" t="s">
        <v>29</v>
      </c>
      <c r="AA91" s="77" t="s">
        <v>55</v>
      </c>
      <c r="AB91" s="77" t="s">
        <v>162</v>
      </c>
    </row>
    <row r="92" spans="1:28" x14ac:dyDescent="0.15">
      <c r="A92" s="77" t="s">
        <v>23</v>
      </c>
      <c r="B92" s="77" t="s">
        <v>160</v>
      </c>
      <c r="C92" s="77">
        <v>2020</v>
      </c>
      <c r="D92" s="193" t="s">
        <v>370</v>
      </c>
      <c r="E92" s="77" t="s">
        <v>393</v>
      </c>
      <c r="F92" s="77" t="s">
        <v>383</v>
      </c>
      <c r="G92" s="77" t="s">
        <v>25</v>
      </c>
      <c r="H92" s="77" t="s">
        <v>164</v>
      </c>
      <c r="I92" s="77" t="s">
        <v>111</v>
      </c>
      <c r="J92" s="77" t="s">
        <v>27</v>
      </c>
      <c r="K92" s="77" t="s">
        <v>112</v>
      </c>
      <c r="L92" s="77">
        <v>1</v>
      </c>
      <c r="N92" s="77">
        <v>4</v>
      </c>
      <c r="O92" s="77">
        <v>0.65</v>
      </c>
      <c r="P92" s="77">
        <v>0.65</v>
      </c>
      <c r="Q92" s="44">
        <f t="shared" si="5"/>
        <v>0.65</v>
      </c>
      <c r="R92" s="77">
        <v>17.399999999999999</v>
      </c>
      <c r="S92" s="77">
        <v>113</v>
      </c>
      <c r="T92" s="16">
        <f t="shared" ref="T92:T139" si="6">IF(H92="","",IF(OR(H92="GREEN",H92="GK"),IF(S92&gt;=$AX$2,VLOOKUP(S92,$AX$2:$AY$9,2,1),""),IF(S92&gt;=$AZ$2,VLOOKUP(S92,$AZ$2:$BA$9,2,1),"")))</f>
        <v>30</v>
      </c>
      <c r="U92" s="77">
        <v>398</v>
      </c>
      <c r="V92" s="16">
        <f t="shared" ref="V92:V139" si="7">IF(OR(N92="",U92="",T92=""),"",U92/N92*T92)</f>
        <v>2985</v>
      </c>
      <c r="W92" s="77">
        <v>12</v>
      </c>
      <c r="X92" s="77" t="s">
        <v>35</v>
      </c>
      <c r="Y92" s="77" t="s">
        <v>43</v>
      </c>
      <c r="Z92" s="77" t="s">
        <v>29</v>
      </c>
      <c r="AA92" s="77" t="s">
        <v>55</v>
      </c>
      <c r="AB92" s="77" t="s">
        <v>162</v>
      </c>
    </row>
    <row r="93" spans="1:28" x14ac:dyDescent="0.15">
      <c r="A93" s="77" t="s">
        <v>23</v>
      </c>
      <c r="B93" s="77" t="s">
        <v>160</v>
      </c>
      <c r="C93" s="77">
        <v>2020</v>
      </c>
      <c r="D93" s="193" t="s">
        <v>370</v>
      </c>
      <c r="E93" s="77" t="s">
        <v>393</v>
      </c>
      <c r="F93" s="77" t="s">
        <v>383</v>
      </c>
      <c r="G93" s="77" t="s">
        <v>25</v>
      </c>
      <c r="H93" s="77" t="s">
        <v>164</v>
      </c>
      <c r="I93" s="77" t="s">
        <v>111</v>
      </c>
      <c r="J93" s="77" t="s">
        <v>27</v>
      </c>
      <c r="K93" s="77" t="s">
        <v>112</v>
      </c>
      <c r="L93" s="77">
        <v>2</v>
      </c>
      <c r="N93" s="77">
        <v>4</v>
      </c>
      <c r="O93" s="77">
        <v>0.75</v>
      </c>
      <c r="P93" s="77">
        <v>1.05</v>
      </c>
      <c r="Q93" s="44">
        <f t="shared" si="5"/>
        <v>0.9</v>
      </c>
      <c r="R93" s="77">
        <v>16.2</v>
      </c>
      <c r="S93" s="77">
        <v>113</v>
      </c>
      <c r="T93" s="16">
        <f t="shared" si="6"/>
        <v>30</v>
      </c>
      <c r="U93" s="77">
        <v>398</v>
      </c>
      <c r="V93" s="16">
        <f t="shared" si="7"/>
        <v>2985</v>
      </c>
      <c r="W93" s="77">
        <v>12</v>
      </c>
      <c r="X93" s="77" t="s">
        <v>35</v>
      </c>
      <c r="Y93" s="77" t="s">
        <v>43</v>
      </c>
      <c r="Z93" s="77" t="s">
        <v>29</v>
      </c>
      <c r="AA93" s="77" t="s">
        <v>55</v>
      </c>
      <c r="AB93" s="77" t="s">
        <v>162</v>
      </c>
    </row>
    <row r="94" spans="1:28" x14ac:dyDescent="0.15">
      <c r="A94" s="77" t="s">
        <v>23</v>
      </c>
      <c r="B94" s="77" t="s">
        <v>160</v>
      </c>
      <c r="C94" s="77">
        <v>2020</v>
      </c>
      <c r="D94" s="193" t="s">
        <v>370</v>
      </c>
      <c r="E94" s="77" t="s">
        <v>393</v>
      </c>
      <c r="F94" s="77" t="s">
        <v>383</v>
      </c>
      <c r="G94" s="77" t="s">
        <v>25</v>
      </c>
      <c r="H94" s="77" t="s">
        <v>164</v>
      </c>
      <c r="I94" s="77" t="s">
        <v>111</v>
      </c>
      <c r="J94" s="77" t="s">
        <v>27</v>
      </c>
      <c r="K94" s="77" t="s">
        <v>112</v>
      </c>
      <c r="L94" s="77">
        <v>3</v>
      </c>
      <c r="N94" s="77">
        <v>4</v>
      </c>
      <c r="O94" s="77">
        <v>0.7</v>
      </c>
      <c r="P94" s="77">
        <v>0.8</v>
      </c>
      <c r="Q94" s="44">
        <f t="shared" si="5"/>
        <v>0.75</v>
      </c>
      <c r="R94" s="77">
        <v>16.399999999999999</v>
      </c>
      <c r="S94" s="77">
        <v>112</v>
      </c>
      <c r="T94" s="16">
        <f t="shared" si="6"/>
        <v>33</v>
      </c>
      <c r="U94" s="77">
        <v>398</v>
      </c>
      <c r="V94" s="16">
        <f t="shared" si="7"/>
        <v>3283.5</v>
      </c>
      <c r="W94" s="77">
        <v>12</v>
      </c>
      <c r="X94" s="77" t="s">
        <v>35</v>
      </c>
      <c r="Y94" s="77" t="s">
        <v>43</v>
      </c>
      <c r="Z94" s="77" t="s">
        <v>29</v>
      </c>
      <c r="AA94" s="77" t="s">
        <v>55</v>
      </c>
      <c r="AB94" s="77" t="s">
        <v>162</v>
      </c>
    </row>
    <row r="95" spans="1:28" x14ac:dyDescent="0.15">
      <c r="A95" s="77" t="s">
        <v>23</v>
      </c>
      <c r="B95" s="77" t="s">
        <v>160</v>
      </c>
      <c r="C95" s="77">
        <v>2020</v>
      </c>
      <c r="D95" s="193" t="s">
        <v>370</v>
      </c>
      <c r="E95" s="77" t="s">
        <v>393</v>
      </c>
      <c r="F95" s="77" t="s">
        <v>383</v>
      </c>
      <c r="G95" s="77" t="s">
        <v>25</v>
      </c>
      <c r="H95" s="77" t="s">
        <v>164</v>
      </c>
      <c r="I95" s="77" t="s">
        <v>111</v>
      </c>
      <c r="J95" s="77" t="s">
        <v>27</v>
      </c>
      <c r="K95" s="77" t="s">
        <v>112</v>
      </c>
      <c r="L95" s="77">
        <v>1</v>
      </c>
      <c r="N95" s="77">
        <v>4</v>
      </c>
      <c r="O95" s="77">
        <v>0.2</v>
      </c>
      <c r="P95" s="77">
        <v>0.6</v>
      </c>
      <c r="Q95" s="44">
        <f t="shared" si="5"/>
        <v>0.4</v>
      </c>
      <c r="R95" s="77">
        <v>18.5</v>
      </c>
      <c r="S95" s="77">
        <v>150</v>
      </c>
      <c r="T95" s="16">
        <f t="shared" si="6"/>
        <v>30</v>
      </c>
      <c r="U95" s="77">
        <v>680</v>
      </c>
      <c r="V95" s="16">
        <f t="shared" si="7"/>
        <v>5100</v>
      </c>
      <c r="W95" s="77">
        <v>12</v>
      </c>
      <c r="X95" s="77" t="s">
        <v>35</v>
      </c>
      <c r="Y95" s="77" t="s">
        <v>43</v>
      </c>
      <c r="Z95" s="77" t="s">
        <v>29</v>
      </c>
      <c r="AA95" s="77" t="s">
        <v>55</v>
      </c>
      <c r="AB95" s="77" t="s">
        <v>162</v>
      </c>
    </row>
    <row r="96" spans="1:28" x14ac:dyDescent="0.15">
      <c r="A96" s="77" t="s">
        <v>23</v>
      </c>
      <c r="B96" s="77" t="s">
        <v>160</v>
      </c>
      <c r="C96" s="77">
        <v>2020</v>
      </c>
      <c r="D96" s="193" t="s">
        <v>370</v>
      </c>
      <c r="E96" s="77" t="s">
        <v>393</v>
      </c>
      <c r="F96" s="77" t="s">
        <v>383</v>
      </c>
      <c r="G96" s="77" t="s">
        <v>25</v>
      </c>
      <c r="H96" s="77" t="s">
        <v>164</v>
      </c>
      <c r="I96" s="77" t="s">
        <v>111</v>
      </c>
      <c r="J96" s="77" t="s">
        <v>27</v>
      </c>
      <c r="K96" s="77" t="s">
        <v>112</v>
      </c>
      <c r="L96" s="77">
        <v>2</v>
      </c>
      <c r="N96" s="77">
        <v>4</v>
      </c>
      <c r="O96" s="77">
        <v>0.2</v>
      </c>
      <c r="P96" s="77">
        <v>0.2</v>
      </c>
      <c r="Q96" s="44">
        <f t="shared" si="5"/>
        <v>0.2</v>
      </c>
      <c r="R96" s="77">
        <v>18.8</v>
      </c>
      <c r="S96" s="77">
        <v>168.5</v>
      </c>
      <c r="T96" s="16">
        <f t="shared" si="6"/>
        <v>18</v>
      </c>
      <c r="U96" s="77">
        <v>680</v>
      </c>
      <c r="V96" s="16">
        <f t="shared" si="7"/>
        <v>3060</v>
      </c>
      <c r="W96" s="77">
        <v>12</v>
      </c>
      <c r="X96" s="77" t="s">
        <v>35</v>
      </c>
      <c r="Y96" s="77" t="s">
        <v>43</v>
      </c>
      <c r="Z96" s="77" t="s">
        <v>29</v>
      </c>
      <c r="AA96" s="77" t="s">
        <v>55</v>
      </c>
      <c r="AB96" s="77" t="s">
        <v>162</v>
      </c>
    </row>
    <row r="97" spans="1:28" x14ac:dyDescent="0.15">
      <c r="A97" s="77" t="s">
        <v>23</v>
      </c>
      <c r="B97" s="77" t="s">
        <v>160</v>
      </c>
      <c r="C97" s="77">
        <v>2020</v>
      </c>
      <c r="D97" s="193" t="s">
        <v>370</v>
      </c>
      <c r="E97" s="77" t="s">
        <v>393</v>
      </c>
      <c r="F97" s="77" t="s">
        <v>383</v>
      </c>
      <c r="G97" s="77" t="s">
        <v>25</v>
      </c>
      <c r="H97" s="77" t="s">
        <v>164</v>
      </c>
      <c r="I97" s="77" t="s">
        <v>111</v>
      </c>
      <c r="J97" s="77" t="s">
        <v>27</v>
      </c>
      <c r="K97" s="77" t="s">
        <v>112</v>
      </c>
      <c r="L97" s="77">
        <v>3</v>
      </c>
      <c r="N97" s="77">
        <v>4</v>
      </c>
      <c r="O97" s="77">
        <v>0.2</v>
      </c>
      <c r="P97" s="77">
        <v>0.2</v>
      </c>
      <c r="Q97" s="44">
        <f t="shared" si="5"/>
        <v>0.2</v>
      </c>
      <c r="R97" s="77">
        <v>16.100000000000001</v>
      </c>
      <c r="S97" s="77">
        <v>161</v>
      </c>
      <c r="T97" s="16">
        <f t="shared" si="6"/>
        <v>18</v>
      </c>
      <c r="U97" s="77">
        <v>680</v>
      </c>
      <c r="V97" s="16">
        <f t="shared" si="7"/>
        <v>3060</v>
      </c>
      <c r="W97" s="77">
        <v>12</v>
      </c>
      <c r="X97" s="77" t="s">
        <v>35</v>
      </c>
      <c r="Y97" s="77" t="s">
        <v>43</v>
      </c>
      <c r="Z97" s="77" t="s">
        <v>29</v>
      </c>
      <c r="AA97" s="77" t="s">
        <v>55</v>
      </c>
      <c r="AB97" s="77" t="s">
        <v>162</v>
      </c>
    </row>
    <row r="98" spans="1:28" x14ac:dyDescent="0.15">
      <c r="A98" s="77" t="s">
        <v>23</v>
      </c>
      <c r="B98" s="77" t="s">
        <v>160</v>
      </c>
      <c r="C98" s="77">
        <v>2020</v>
      </c>
      <c r="D98" s="193" t="s">
        <v>370</v>
      </c>
      <c r="E98" s="77" t="s">
        <v>163</v>
      </c>
      <c r="F98" s="77" t="s">
        <v>394</v>
      </c>
      <c r="G98" s="77" t="s">
        <v>25</v>
      </c>
      <c r="H98" s="77" t="s">
        <v>113</v>
      </c>
      <c r="I98" s="77" t="s">
        <v>111</v>
      </c>
      <c r="J98" s="77" t="s">
        <v>27</v>
      </c>
      <c r="K98" s="77" t="s">
        <v>112</v>
      </c>
      <c r="L98" s="77">
        <v>1</v>
      </c>
      <c r="N98" s="77">
        <v>1</v>
      </c>
      <c r="O98" s="77">
        <v>0.5</v>
      </c>
      <c r="P98" s="77">
        <v>0.55000000000000004</v>
      </c>
      <c r="Q98" s="44">
        <f t="shared" si="5"/>
        <v>0.52500000000000002</v>
      </c>
      <c r="R98" s="77">
        <v>18.3</v>
      </c>
      <c r="S98" s="77">
        <v>93.5</v>
      </c>
      <c r="T98" s="16">
        <f t="shared" si="6"/>
        <v>36</v>
      </c>
      <c r="U98" s="77">
        <v>79</v>
      </c>
      <c r="V98" s="16">
        <f t="shared" si="7"/>
        <v>2844</v>
      </c>
      <c r="W98" s="77">
        <v>8</v>
      </c>
      <c r="X98" s="77" t="s">
        <v>35</v>
      </c>
      <c r="Y98" s="77" t="s">
        <v>55</v>
      </c>
      <c r="Z98" s="77" t="s">
        <v>64</v>
      </c>
      <c r="AA98" s="77" t="s">
        <v>76</v>
      </c>
      <c r="AB98" s="77" t="s">
        <v>162</v>
      </c>
    </row>
    <row r="99" spans="1:28" x14ac:dyDescent="0.15">
      <c r="A99" s="77" t="s">
        <v>23</v>
      </c>
      <c r="B99" s="77" t="s">
        <v>160</v>
      </c>
      <c r="C99" s="77">
        <v>2020</v>
      </c>
      <c r="D99" s="193" t="s">
        <v>370</v>
      </c>
      <c r="E99" s="77" t="s">
        <v>163</v>
      </c>
      <c r="F99" s="77" t="s">
        <v>394</v>
      </c>
      <c r="G99" s="77" t="s">
        <v>25</v>
      </c>
      <c r="H99" s="77" t="s">
        <v>113</v>
      </c>
      <c r="I99" s="77" t="s">
        <v>111</v>
      </c>
      <c r="J99" s="77" t="s">
        <v>27</v>
      </c>
      <c r="K99" s="77" t="s">
        <v>112</v>
      </c>
      <c r="L99" s="77">
        <v>2</v>
      </c>
      <c r="N99" s="77">
        <v>1</v>
      </c>
      <c r="O99" s="77">
        <v>0.2</v>
      </c>
      <c r="P99" s="77">
        <v>0.2</v>
      </c>
      <c r="Q99" s="44">
        <f t="shared" si="5"/>
        <v>0.2</v>
      </c>
      <c r="R99" s="77">
        <v>15.2</v>
      </c>
      <c r="S99" s="77">
        <v>96.5</v>
      </c>
      <c r="T99" s="16">
        <f t="shared" si="6"/>
        <v>36</v>
      </c>
      <c r="U99" s="77">
        <v>79</v>
      </c>
      <c r="V99" s="16">
        <f t="shared" si="7"/>
        <v>2844</v>
      </c>
      <c r="W99" s="77">
        <v>8</v>
      </c>
      <c r="X99" s="77" t="s">
        <v>35</v>
      </c>
      <c r="Y99" s="77" t="s">
        <v>55</v>
      </c>
      <c r="Z99" s="77" t="s">
        <v>64</v>
      </c>
      <c r="AA99" s="77" t="s">
        <v>76</v>
      </c>
      <c r="AB99" s="77" t="s">
        <v>162</v>
      </c>
    </row>
    <row r="100" spans="1:28" x14ac:dyDescent="0.15">
      <c r="A100" s="77" t="s">
        <v>23</v>
      </c>
      <c r="B100" s="77" t="s">
        <v>160</v>
      </c>
      <c r="C100" s="77">
        <v>2020</v>
      </c>
      <c r="D100" s="193" t="s">
        <v>370</v>
      </c>
      <c r="E100" s="77" t="s">
        <v>163</v>
      </c>
      <c r="F100" s="77" t="s">
        <v>394</v>
      </c>
      <c r="G100" s="77" t="s">
        <v>25</v>
      </c>
      <c r="H100" s="77" t="s">
        <v>113</v>
      </c>
      <c r="I100" s="77" t="s">
        <v>111</v>
      </c>
      <c r="J100" s="77" t="s">
        <v>27</v>
      </c>
      <c r="K100" s="77" t="s">
        <v>112</v>
      </c>
      <c r="L100" s="77">
        <v>3</v>
      </c>
      <c r="N100" s="77">
        <v>1</v>
      </c>
      <c r="O100" s="77">
        <v>0.2</v>
      </c>
      <c r="P100" s="77">
        <v>0.2</v>
      </c>
      <c r="Q100" s="44">
        <f t="shared" si="5"/>
        <v>0.2</v>
      </c>
      <c r="R100" s="77">
        <v>17.100000000000001</v>
      </c>
      <c r="S100" s="77">
        <v>87.5</v>
      </c>
      <c r="T100" s="16">
        <f t="shared" si="6"/>
        <v>36</v>
      </c>
      <c r="U100" s="77">
        <v>79</v>
      </c>
      <c r="V100" s="16">
        <f t="shared" si="7"/>
        <v>2844</v>
      </c>
      <c r="W100" s="77">
        <v>8</v>
      </c>
      <c r="X100" s="77" t="s">
        <v>35</v>
      </c>
      <c r="Y100" s="77" t="s">
        <v>55</v>
      </c>
      <c r="Z100" s="77" t="s">
        <v>64</v>
      </c>
      <c r="AA100" s="77" t="s">
        <v>76</v>
      </c>
      <c r="AB100" s="77" t="s">
        <v>162</v>
      </c>
    </row>
    <row r="101" spans="1:28" x14ac:dyDescent="0.15">
      <c r="A101" s="77" t="s">
        <v>23</v>
      </c>
      <c r="B101" s="77" t="s">
        <v>160</v>
      </c>
      <c r="C101" s="77">
        <v>2020</v>
      </c>
      <c r="D101" s="193" t="s">
        <v>370</v>
      </c>
      <c r="E101" s="77" t="s">
        <v>163</v>
      </c>
      <c r="F101" s="77" t="s">
        <v>394</v>
      </c>
      <c r="G101" s="77" t="s">
        <v>25</v>
      </c>
      <c r="H101" s="77" t="s">
        <v>113</v>
      </c>
      <c r="I101" s="77" t="s">
        <v>111</v>
      </c>
      <c r="J101" s="77" t="s">
        <v>27</v>
      </c>
      <c r="K101" s="77" t="s">
        <v>112</v>
      </c>
      <c r="L101" s="77">
        <v>1</v>
      </c>
      <c r="N101" s="77">
        <v>5</v>
      </c>
      <c r="O101" s="77">
        <v>0.45</v>
      </c>
      <c r="P101" s="77">
        <v>0.45</v>
      </c>
      <c r="Q101" s="44">
        <f t="shared" si="5"/>
        <v>0.45</v>
      </c>
      <c r="R101" s="77">
        <v>16.5</v>
      </c>
      <c r="S101" s="77">
        <v>102.5</v>
      </c>
      <c r="T101" s="16">
        <f t="shared" si="6"/>
        <v>33</v>
      </c>
      <c r="U101" s="77">
        <v>398</v>
      </c>
      <c r="V101" s="16">
        <f t="shared" si="7"/>
        <v>2626.7999999999997</v>
      </c>
      <c r="W101" s="77">
        <v>8</v>
      </c>
      <c r="X101" s="77" t="s">
        <v>35</v>
      </c>
      <c r="Y101" s="77" t="s">
        <v>55</v>
      </c>
      <c r="Z101" s="77" t="s">
        <v>64</v>
      </c>
      <c r="AA101" s="77" t="s">
        <v>76</v>
      </c>
      <c r="AB101" s="77" t="s">
        <v>162</v>
      </c>
    </row>
    <row r="102" spans="1:28" x14ac:dyDescent="0.15">
      <c r="A102" s="77" t="s">
        <v>23</v>
      </c>
      <c r="B102" s="77" t="s">
        <v>160</v>
      </c>
      <c r="C102" s="77">
        <v>2020</v>
      </c>
      <c r="D102" s="193" t="s">
        <v>370</v>
      </c>
      <c r="E102" s="77" t="s">
        <v>163</v>
      </c>
      <c r="F102" s="77" t="s">
        <v>394</v>
      </c>
      <c r="G102" s="77" t="s">
        <v>25</v>
      </c>
      <c r="H102" s="77" t="s">
        <v>113</v>
      </c>
      <c r="I102" s="77" t="s">
        <v>111</v>
      </c>
      <c r="J102" s="77" t="s">
        <v>27</v>
      </c>
      <c r="K102" s="77" t="s">
        <v>112</v>
      </c>
      <c r="L102" s="77">
        <v>2</v>
      </c>
      <c r="N102" s="77">
        <v>5</v>
      </c>
      <c r="O102" s="77">
        <v>0.65</v>
      </c>
      <c r="P102" s="77">
        <v>0.7</v>
      </c>
      <c r="Q102" s="44">
        <f t="shared" si="5"/>
        <v>0.67500000000000004</v>
      </c>
      <c r="R102" s="77">
        <v>16.8</v>
      </c>
      <c r="S102" s="77">
        <v>110.5</v>
      </c>
      <c r="T102" s="16">
        <f t="shared" si="6"/>
        <v>33</v>
      </c>
      <c r="U102" s="77">
        <v>398</v>
      </c>
      <c r="V102" s="16">
        <f t="shared" si="7"/>
        <v>2626.7999999999997</v>
      </c>
      <c r="W102" s="77">
        <v>8</v>
      </c>
      <c r="X102" s="77" t="s">
        <v>35</v>
      </c>
      <c r="Y102" s="77" t="s">
        <v>55</v>
      </c>
      <c r="Z102" s="77" t="s">
        <v>64</v>
      </c>
      <c r="AA102" s="77" t="s">
        <v>76</v>
      </c>
      <c r="AB102" s="77" t="s">
        <v>162</v>
      </c>
    </row>
    <row r="103" spans="1:28" x14ac:dyDescent="0.15">
      <c r="A103" s="77" t="s">
        <v>23</v>
      </c>
      <c r="B103" s="77" t="s">
        <v>160</v>
      </c>
      <c r="C103" s="77">
        <v>2020</v>
      </c>
      <c r="D103" s="193" t="s">
        <v>370</v>
      </c>
      <c r="E103" s="77" t="s">
        <v>163</v>
      </c>
      <c r="F103" s="77" t="s">
        <v>394</v>
      </c>
      <c r="G103" s="77" t="s">
        <v>25</v>
      </c>
      <c r="H103" s="77" t="s">
        <v>113</v>
      </c>
      <c r="I103" s="77" t="s">
        <v>111</v>
      </c>
      <c r="J103" s="77" t="s">
        <v>27</v>
      </c>
      <c r="K103" s="77" t="s">
        <v>112</v>
      </c>
      <c r="L103" s="77">
        <v>3</v>
      </c>
      <c r="N103" s="77">
        <v>5</v>
      </c>
      <c r="O103" s="77">
        <v>0.2</v>
      </c>
      <c r="P103" s="77">
        <v>0.2</v>
      </c>
      <c r="Q103" s="44">
        <f t="shared" si="5"/>
        <v>0.2</v>
      </c>
      <c r="R103" s="77">
        <v>14.8</v>
      </c>
      <c r="S103" s="77">
        <v>104.5</v>
      </c>
      <c r="T103" s="16">
        <f t="shared" si="6"/>
        <v>33</v>
      </c>
      <c r="U103" s="77">
        <v>398</v>
      </c>
      <c r="V103" s="16">
        <f t="shared" si="7"/>
        <v>2626.7999999999997</v>
      </c>
      <c r="W103" s="77">
        <v>8</v>
      </c>
      <c r="X103" s="77" t="s">
        <v>35</v>
      </c>
      <c r="Y103" s="77" t="s">
        <v>55</v>
      </c>
      <c r="Z103" s="77" t="s">
        <v>64</v>
      </c>
      <c r="AA103" s="77" t="s">
        <v>76</v>
      </c>
      <c r="AB103" s="77" t="s">
        <v>162</v>
      </c>
    </row>
    <row r="104" spans="1:28" x14ac:dyDescent="0.15">
      <c r="A104" s="77" t="s">
        <v>23</v>
      </c>
      <c r="B104" s="77" t="s">
        <v>160</v>
      </c>
      <c r="C104" s="77">
        <v>2020</v>
      </c>
      <c r="D104" s="193" t="s">
        <v>370</v>
      </c>
      <c r="E104" s="77" t="s">
        <v>163</v>
      </c>
      <c r="F104" s="77" t="s">
        <v>394</v>
      </c>
      <c r="G104" s="77" t="s">
        <v>25</v>
      </c>
      <c r="H104" s="77" t="s">
        <v>164</v>
      </c>
      <c r="I104" s="77" t="s">
        <v>111</v>
      </c>
      <c r="J104" s="77" t="s">
        <v>27</v>
      </c>
      <c r="K104" s="77" t="s">
        <v>112</v>
      </c>
      <c r="L104" s="77">
        <v>1</v>
      </c>
      <c r="N104" s="77">
        <v>1</v>
      </c>
      <c r="O104" s="77">
        <v>0.7</v>
      </c>
      <c r="P104" s="77">
        <v>0.9</v>
      </c>
      <c r="Q104" s="44">
        <f t="shared" si="5"/>
        <v>0.8</v>
      </c>
      <c r="R104" s="77">
        <v>16.100000000000001</v>
      </c>
      <c r="S104" s="77">
        <v>153</v>
      </c>
      <c r="T104" s="16">
        <f t="shared" si="6"/>
        <v>18</v>
      </c>
      <c r="U104" s="77">
        <v>98</v>
      </c>
      <c r="V104" s="16">
        <f t="shared" si="7"/>
        <v>1764</v>
      </c>
      <c r="W104" s="77">
        <v>8</v>
      </c>
      <c r="X104" s="77" t="s">
        <v>35</v>
      </c>
      <c r="Y104" s="77" t="s">
        <v>55</v>
      </c>
      <c r="Z104" s="77" t="s">
        <v>64</v>
      </c>
      <c r="AA104" s="77" t="s">
        <v>76</v>
      </c>
      <c r="AB104" s="77" t="s">
        <v>162</v>
      </c>
    </row>
    <row r="105" spans="1:28" x14ac:dyDescent="0.15">
      <c r="A105" s="77" t="s">
        <v>23</v>
      </c>
      <c r="B105" s="77" t="s">
        <v>160</v>
      </c>
      <c r="C105" s="77">
        <v>2020</v>
      </c>
      <c r="D105" s="193" t="s">
        <v>370</v>
      </c>
      <c r="E105" s="77" t="s">
        <v>163</v>
      </c>
      <c r="F105" s="77" t="s">
        <v>394</v>
      </c>
      <c r="G105" s="77" t="s">
        <v>25</v>
      </c>
      <c r="H105" s="77" t="s">
        <v>164</v>
      </c>
      <c r="I105" s="77" t="s">
        <v>111</v>
      </c>
      <c r="J105" s="77" t="s">
        <v>27</v>
      </c>
      <c r="K105" s="77" t="s">
        <v>112</v>
      </c>
      <c r="L105" s="77">
        <v>2</v>
      </c>
      <c r="N105" s="77">
        <v>1</v>
      </c>
      <c r="O105" s="77">
        <v>0.6</v>
      </c>
      <c r="P105" s="77">
        <v>0.65</v>
      </c>
      <c r="Q105" s="44">
        <f t="shared" si="5"/>
        <v>0.625</v>
      </c>
      <c r="R105" s="77">
        <v>14</v>
      </c>
      <c r="S105" s="77">
        <v>136.5</v>
      </c>
      <c r="T105" s="16">
        <f t="shared" si="6"/>
        <v>30</v>
      </c>
      <c r="U105" s="77">
        <v>98</v>
      </c>
      <c r="V105" s="16">
        <f t="shared" si="7"/>
        <v>2940</v>
      </c>
      <c r="W105" s="77">
        <v>8</v>
      </c>
      <c r="X105" s="77" t="s">
        <v>35</v>
      </c>
      <c r="Y105" s="77" t="s">
        <v>55</v>
      </c>
      <c r="Z105" s="77" t="s">
        <v>64</v>
      </c>
      <c r="AA105" s="77" t="s">
        <v>76</v>
      </c>
      <c r="AB105" s="77" t="s">
        <v>162</v>
      </c>
    </row>
    <row r="106" spans="1:28" x14ac:dyDescent="0.15">
      <c r="A106" s="77" t="s">
        <v>23</v>
      </c>
      <c r="B106" s="77" t="s">
        <v>160</v>
      </c>
      <c r="C106" s="77">
        <v>2020</v>
      </c>
      <c r="D106" s="193" t="s">
        <v>370</v>
      </c>
      <c r="E106" s="77" t="s">
        <v>163</v>
      </c>
      <c r="F106" s="77" t="s">
        <v>394</v>
      </c>
      <c r="G106" s="77" t="s">
        <v>25</v>
      </c>
      <c r="H106" s="77" t="s">
        <v>164</v>
      </c>
      <c r="I106" s="77" t="s">
        <v>111</v>
      </c>
      <c r="J106" s="77" t="s">
        <v>27</v>
      </c>
      <c r="K106" s="77" t="s">
        <v>112</v>
      </c>
      <c r="L106" s="77">
        <v>3</v>
      </c>
      <c r="N106" s="77">
        <v>1</v>
      </c>
      <c r="O106" s="77">
        <v>0.5</v>
      </c>
      <c r="P106" s="77">
        <v>0.7</v>
      </c>
      <c r="Q106" s="16">
        <f t="shared" si="5"/>
        <v>0.6</v>
      </c>
      <c r="R106" s="77">
        <v>15.2</v>
      </c>
      <c r="S106" s="77">
        <v>151</v>
      </c>
      <c r="T106" s="16">
        <f t="shared" si="6"/>
        <v>30</v>
      </c>
      <c r="U106" s="77">
        <v>98</v>
      </c>
      <c r="V106" s="16">
        <f t="shared" si="7"/>
        <v>2940</v>
      </c>
      <c r="W106" s="77">
        <v>8</v>
      </c>
      <c r="X106" s="77" t="s">
        <v>35</v>
      </c>
      <c r="Y106" s="77" t="s">
        <v>55</v>
      </c>
      <c r="Z106" s="77" t="s">
        <v>64</v>
      </c>
      <c r="AA106" s="77" t="s">
        <v>76</v>
      </c>
      <c r="AB106" s="77" t="s">
        <v>162</v>
      </c>
    </row>
    <row r="107" spans="1:28" x14ac:dyDescent="0.15">
      <c r="A107" s="77" t="s">
        <v>23</v>
      </c>
      <c r="B107" s="77" t="s">
        <v>160</v>
      </c>
      <c r="C107" s="77">
        <v>2020</v>
      </c>
      <c r="D107" s="193" t="s">
        <v>370</v>
      </c>
      <c r="E107" s="77" t="s">
        <v>163</v>
      </c>
      <c r="F107" s="77" t="s">
        <v>394</v>
      </c>
      <c r="G107" s="77" t="s">
        <v>25</v>
      </c>
      <c r="H107" s="77" t="s">
        <v>164</v>
      </c>
      <c r="I107" s="77" t="s">
        <v>111</v>
      </c>
      <c r="J107" s="77" t="s">
        <v>27</v>
      </c>
      <c r="K107" s="77" t="s">
        <v>112</v>
      </c>
      <c r="L107" s="77">
        <v>1</v>
      </c>
      <c r="N107" s="77">
        <v>4</v>
      </c>
      <c r="O107" s="77">
        <v>0.2</v>
      </c>
      <c r="P107" s="77">
        <v>0.2</v>
      </c>
      <c r="Q107" s="16">
        <f t="shared" si="5"/>
        <v>0.2</v>
      </c>
      <c r="R107" s="77">
        <v>16.8</v>
      </c>
      <c r="S107" s="77">
        <v>94.5</v>
      </c>
      <c r="T107" s="16">
        <f t="shared" si="6"/>
        <v>36</v>
      </c>
      <c r="U107" s="77">
        <v>498</v>
      </c>
      <c r="V107" s="16">
        <f t="shared" si="7"/>
        <v>4482</v>
      </c>
      <c r="W107" s="77">
        <v>8</v>
      </c>
      <c r="X107" s="77" t="s">
        <v>35</v>
      </c>
      <c r="Y107" s="77" t="s">
        <v>55</v>
      </c>
      <c r="Z107" s="77" t="s">
        <v>64</v>
      </c>
      <c r="AA107" s="77" t="s">
        <v>76</v>
      </c>
      <c r="AB107" s="77" t="s">
        <v>162</v>
      </c>
    </row>
    <row r="108" spans="1:28" x14ac:dyDescent="0.15">
      <c r="A108" s="77" t="s">
        <v>23</v>
      </c>
      <c r="B108" s="77" t="s">
        <v>160</v>
      </c>
      <c r="C108" s="77">
        <v>2020</v>
      </c>
      <c r="D108" s="193" t="s">
        <v>370</v>
      </c>
      <c r="E108" s="77" t="s">
        <v>163</v>
      </c>
      <c r="F108" s="77" t="s">
        <v>394</v>
      </c>
      <c r="G108" s="77" t="s">
        <v>25</v>
      </c>
      <c r="H108" s="77" t="s">
        <v>164</v>
      </c>
      <c r="I108" s="77" t="s">
        <v>111</v>
      </c>
      <c r="J108" s="77" t="s">
        <v>27</v>
      </c>
      <c r="K108" s="77" t="s">
        <v>112</v>
      </c>
      <c r="L108" s="77">
        <v>2</v>
      </c>
      <c r="N108" s="77">
        <v>4</v>
      </c>
      <c r="O108" s="77">
        <v>0.2</v>
      </c>
      <c r="P108" s="77">
        <v>0.2</v>
      </c>
      <c r="Q108" s="16">
        <f t="shared" si="5"/>
        <v>0.2</v>
      </c>
      <c r="R108" s="77">
        <v>17.8</v>
      </c>
      <c r="S108" s="77">
        <v>94</v>
      </c>
      <c r="T108" s="16">
        <f t="shared" si="6"/>
        <v>36</v>
      </c>
      <c r="U108" s="77">
        <v>498</v>
      </c>
      <c r="V108" s="16">
        <f t="shared" si="7"/>
        <v>4482</v>
      </c>
      <c r="W108" s="77">
        <v>8</v>
      </c>
      <c r="X108" s="77" t="s">
        <v>35</v>
      </c>
      <c r="Y108" s="77" t="s">
        <v>55</v>
      </c>
      <c r="Z108" s="77" t="s">
        <v>64</v>
      </c>
      <c r="AA108" s="77" t="s">
        <v>76</v>
      </c>
      <c r="AB108" s="77" t="s">
        <v>162</v>
      </c>
    </row>
    <row r="109" spans="1:28" x14ac:dyDescent="0.15">
      <c r="A109" s="77" t="s">
        <v>23</v>
      </c>
      <c r="B109" s="77" t="s">
        <v>160</v>
      </c>
      <c r="C109" s="77">
        <v>2020</v>
      </c>
      <c r="D109" s="193" t="s">
        <v>370</v>
      </c>
      <c r="E109" s="77" t="s">
        <v>163</v>
      </c>
      <c r="F109" s="77" t="s">
        <v>394</v>
      </c>
      <c r="G109" s="77" t="s">
        <v>25</v>
      </c>
      <c r="H109" s="77" t="s">
        <v>164</v>
      </c>
      <c r="I109" s="77" t="s">
        <v>111</v>
      </c>
      <c r="J109" s="77" t="s">
        <v>27</v>
      </c>
      <c r="K109" s="77" t="s">
        <v>112</v>
      </c>
      <c r="L109" s="77">
        <v>3</v>
      </c>
      <c r="N109" s="77">
        <v>4</v>
      </c>
      <c r="O109" s="77">
        <v>0.2</v>
      </c>
      <c r="P109" s="77">
        <v>0.2</v>
      </c>
      <c r="Q109" s="16">
        <f t="shared" si="5"/>
        <v>0.2</v>
      </c>
      <c r="R109" s="77">
        <v>18.8</v>
      </c>
      <c r="S109" s="77">
        <v>103.5</v>
      </c>
      <c r="T109" s="16">
        <f t="shared" si="6"/>
        <v>33</v>
      </c>
      <c r="U109" s="77">
        <v>498</v>
      </c>
      <c r="V109" s="16">
        <f t="shared" si="7"/>
        <v>4108.5</v>
      </c>
      <c r="W109" s="77">
        <v>8</v>
      </c>
      <c r="X109" s="77" t="s">
        <v>35</v>
      </c>
      <c r="Y109" s="77" t="s">
        <v>55</v>
      </c>
      <c r="Z109" s="77" t="s">
        <v>64</v>
      </c>
      <c r="AA109" s="77" t="s">
        <v>76</v>
      </c>
      <c r="AB109" s="77" t="s">
        <v>162</v>
      </c>
    </row>
    <row r="110" spans="1:28" x14ac:dyDescent="0.15">
      <c r="A110" s="77" t="s">
        <v>23</v>
      </c>
      <c r="B110" s="77" t="s">
        <v>160</v>
      </c>
      <c r="C110" s="77">
        <v>2020</v>
      </c>
      <c r="D110" s="193" t="s">
        <v>370</v>
      </c>
      <c r="E110" s="77" t="s">
        <v>395</v>
      </c>
      <c r="F110" s="77" t="s">
        <v>386</v>
      </c>
      <c r="G110" s="77" t="s">
        <v>31</v>
      </c>
      <c r="H110" s="77" t="s">
        <v>113</v>
      </c>
      <c r="I110" s="77" t="s">
        <v>111</v>
      </c>
      <c r="J110" s="77" t="s">
        <v>27</v>
      </c>
      <c r="K110" s="77" t="s">
        <v>112</v>
      </c>
      <c r="L110" s="77">
        <v>1</v>
      </c>
      <c r="N110" s="77">
        <v>4</v>
      </c>
      <c r="O110" s="77">
        <v>0.5</v>
      </c>
      <c r="P110" s="77">
        <v>0.55000000000000004</v>
      </c>
      <c r="Q110" s="16">
        <f t="shared" si="5"/>
        <v>0.52500000000000002</v>
      </c>
      <c r="R110" s="77">
        <v>15.2</v>
      </c>
      <c r="S110" s="77">
        <v>95.5</v>
      </c>
      <c r="T110" s="16">
        <f t="shared" si="6"/>
        <v>36</v>
      </c>
      <c r="U110" s="77">
        <v>498</v>
      </c>
      <c r="V110" s="16">
        <f t="shared" si="7"/>
        <v>4482</v>
      </c>
      <c r="W110" s="77">
        <v>14</v>
      </c>
      <c r="X110" s="77" t="s">
        <v>35</v>
      </c>
      <c r="Y110" s="77" t="s">
        <v>43</v>
      </c>
      <c r="Z110" s="77" t="s">
        <v>55</v>
      </c>
      <c r="AA110" s="77" t="s">
        <v>64</v>
      </c>
      <c r="AB110" s="77" t="s">
        <v>162</v>
      </c>
    </row>
    <row r="111" spans="1:28" x14ac:dyDescent="0.15">
      <c r="A111" s="77" t="s">
        <v>23</v>
      </c>
      <c r="B111" s="77" t="s">
        <v>160</v>
      </c>
      <c r="C111" s="77">
        <v>2020</v>
      </c>
      <c r="D111" s="193" t="s">
        <v>370</v>
      </c>
      <c r="E111" s="77" t="s">
        <v>395</v>
      </c>
      <c r="F111" s="77" t="s">
        <v>386</v>
      </c>
      <c r="G111" s="77" t="s">
        <v>31</v>
      </c>
      <c r="H111" s="77" t="s">
        <v>113</v>
      </c>
      <c r="I111" s="77" t="s">
        <v>111</v>
      </c>
      <c r="J111" s="77" t="s">
        <v>27</v>
      </c>
      <c r="K111" s="77" t="s">
        <v>112</v>
      </c>
      <c r="L111" s="77">
        <v>2</v>
      </c>
      <c r="N111" s="77">
        <v>4</v>
      </c>
      <c r="O111" s="77">
        <v>0.75</v>
      </c>
      <c r="P111" s="77">
        <v>0.95</v>
      </c>
      <c r="Q111" s="16">
        <f t="shared" si="5"/>
        <v>0.85</v>
      </c>
      <c r="R111" s="77">
        <v>11.1</v>
      </c>
      <c r="S111" s="77">
        <v>99.5</v>
      </c>
      <c r="T111" s="16">
        <f t="shared" si="6"/>
        <v>33</v>
      </c>
      <c r="U111" s="77">
        <v>498</v>
      </c>
      <c r="V111" s="16">
        <f t="shared" si="7"/>
        <v>4108.5</v>
      </c>
      <c r="W111" s="77">
        <v>14</v>
      </c>
      <c r="X111" s="77" t="s">
        <v>35</v>
      </c>
      <c r="Y111" s="77" t="s">
        <v>43</v>
      </c>
      <c r="Z111" s="77" t="s">
        <v>55</v>
      </c>
      <c r="AA111" s="77" t="s">
        <v>64</v>
      </c>
      <c r="AB111" s="77" t="s">
        <v>162</v>
      </c>
    </row>
    <row r="112" spans="1:28" x14ac:dyDescent="0.15">
      <c r="A112" s="77" t="s">
        <v>23</v>
      </c>
      <c r="B112" s="77" t="s">
        <v>160</v>
      </c>
      <c r="C112" s="77">
        <v>2020</v>
      </c>
      <c r="D112" s="193" t="s">
        <v>370</v>
      </c>
      <c r="E112" s="77" t="s">
        <v>395</v>
      </c>
      <c r="F112" s="77" t="s">
        <v>386</v>
      </c>
      <c r="G112" s="77" t="s">
        <v>31</v>
      </c>
      <c r="H112" s="77" t="s">
        <v>113</v>
      </c>
      <c r="I112" s="77" t="s">
        <v>111</v>
      </c>
      <c r="J112" s="77" t="s">
        <v>27</v>
      </c>
      <c r="K112" s="77" t="s">
        <v>112</v>
      </c>
      <c r="L112" s="77">
        <v>3</v>
      </c>
      <c r="N112" s="77">
        <v>4</v>
      </c>
      <c r="O112" s="77">
        <v>0.9</v>
      </c>
      <c r="P112" s="77">
        <v>0.85</v>
      </c>
      <c r="Q112" s="16">
        <f t="shared" si="5"/>
        <v>0.875</v>
      </c>
      <c r="R112" s="77">
        <v>16.600000000000001</v>
      </c>
      <c r="S112" s="77">
        <v>96</v>
      </c>
      <c r="T112" s="16">
        <f t="shared" si="6"/>
        <v>36</v>
      </c>
      <c r="U112" s="77">
        <v>498</v>
      </c>
      <c r="V112" s="16">
        <f t="shared" si="7"/>
        <v>4482</v>
      </c>
      <c r="W112" s="77">
        <v>14</v>
      </c>
      <c r="X112" s="77" t="s">
        <v>35</v>
      </c>
      <c r="Y112" s="77" t="s">
        <v>43</v>
      </c>
      <c r="Z112" s="77" t="s">
        <v>55</v>
      </c>
      <c r="AA112" s="77" t="s">
        <v>64</v>
      </c>
      <c r="AB112" s="77" t="s">
        <v>162</v>
      </c>
    </row>
    <row r="113" spans="1:28" x14ac:dyDescent="0.15">
      <c r="A113" s="77" t="s">
        <v>23</v>
      </c>
      <c r="B113" s="77" t="s">
        <v>160</v>
      </c>
      <c r="C113" s="77">
        <v>2020</v>
      </c>
      <c r="D113" s="193" t="s">
        <v>370</v>
      </c>
      <c r="E113" s="77" t="s">
        <v>395</v>
      </c>
      <c r="F113" s="77" t="s">
        <v>386</v>
      </c>
      <c r="G113" s="77" t="s">
        <v>31</v>
      </c>
      <c r="H113" s="77" t="s">
        <v>164</v>
      </c>
      <c r="I113" s="77" t="s">
        <v>111</v>
      </c>
      <c r="J113" s="77" t="s">
        <v>27</v>
      </c>
      <c r="K113" s="77" t="s">
        <v>112</v>
      </c>
      <c r="L113" s="77">
        <v>1</v>
      </c>
      <c r="N113" s="77">
        <v>1</v>
      </c>
      <c r="O113" s="77">
        <v>0.7</v>
      </c>
      <c r="P113" s="77">
        <v>0.7</v>
      </c>
      <c r="Q113" s="44">
        <f t="shared" si="5"/>
        <v>0.7</v>
      </c>
      <c r="R113" s="77">
        <v>16.2</v>
      </c>
      <c r="S113" s="77">
        <v>125</v>
      </c>
      <c r="T113" s="16">
        <f t="shared" si="6"/>
        <v>30</v>
      </c>
      <c r="U113" s="77">
        <v>138</v>
      </c>
      <c r="V113" s="16">
        <f t="shared" si="7"/>
        <v>4140</v>
      </c>
      <c r="W113" s="77">
        <v>14</v>
      </c>
      <c r="X113" s="77" t="s">
        <v>35</v>
      </c>
      <c r="Y113" s="77" t="s">
        <v>43</v>
      </c>
      <c r="Z113" s="77" t="s">
        <v>55</v>
      </c>
      <c r="AA113" s="77" t="s">
        <v>64</v>
      </c>
      <c r="AB113" s="77" t="s">
        <v>162</v>
      </c>
    </row>
    <row r="114" spans="1:28" x14ac:dyDescent="0.15">
      <c r="A114" s="77" t="s">
        <v>23</v>
      </c>
      <c r="B114" s="77" t="s">
        <v>160</v>
      </c>
      <c r="C114" s="77">
        <v>2020</v>
      </c>
      <c r="D114" s="193" t="s">
        <v>370</v>
      </c>
      <c r="E114" s="77" t="s">
        <v>395</v>
      </c>
      <c r="F114" s="77" t="s">
        <v>386</v>
      </c>
      <c r="G114" s="77" t="s">
        <v>31</v>
      </c>
      <c r="H114" s="77" t="s">
        <v>164</v>
      </c>
      <c r="I114" s="77" t="s">
        <v>111</v>
      </c>
      <c r="J114" s="77" t="s">
        <v>27</v>
      </c>
      <c r="K114" s="77" t="s">
        <v>112</v>
      </c>
      <c r="L114" s="77">
        <v>2</v>
      </c>
      <c r="N114" s="77">
        <v>1</v>
      </c>
      <c r="O114" s="77">
        <v>0.2</v>
      </c>
      <c r="P114" s="77">
        <v>0.2</v>
      </c>
      <c r="Q114" s="44">
        <f t="shared" si="5"/>
        <v>0.2</v>
      </c>
      <c r="R114" s="77">
        <v>18.5</v>
      </c>
      <c r="S114" s="77">
        <v>122</v>
      </c>
      <c r="T114" s="16">
        <f t="shared" si="6"/>
        <v>30</v>
      </c>
      <c r="U114" s="77">
        <v>138</v>
      </c>
      <c r="V114" s="16">
        <f t="shared" si="7"/>
        <v>4140</v>
      </c>
      <c r="W114" s="77">
        <v>14</v>
      </c>
      <c r="X114" s="77" t="s">
        <v>35</v>
      </c>
      <c r="Y114" s="77" t="s">
        <v>43</v>
      </c>
      <c r="Z114" s="77" t="s">
        <v>55</v>
      </c>
      <c r="AA114" s="77" t="s">
        <v>64</v>
      </c>
      <c r="AB114" s="77" t="s">
        <v>162</v>
      </c>
    </row>
    <row r="115" spans="1:28" x14ac:dyDescent="0.15">
      <c r="A115" s="77" t="s">
        <v>23</v>
      </c>
      <c r="B115" s="77" t="s">
        <v>160</v>
      </c>
      <c r="C115" s="77">
        <v>2020</v>
      </c>
      <c r="D115" s="193" t="s">
        <v>370</v>
      </c>
      <c r="E115" s="77" t="s">
        <v>395</v>
      </c>
      <c r="F115" s="77" t="s">
        <v>386</v>
      </c>
      <c r="G115" s="77" t="s">
        <v>31</v>
      </c>
      <c r="H115" s="77" t="s">
        <v>164</v>
      </c>
      <c r="I115" s="77" t="s">
        <v>111</v>
      </c>
      <c r="J115" s="77" t="s">
        <v>27</v>
      </c>
      <c r="K115" s="77" t="s">
        <v>112</v>
      </c>
      <c r="L115" s="77">
        <v>3</v>
      </c>
      <c r="N115" s="77">
        <v>1</v>
      </c>
      <c r="O115" s="77">
        <v>0.45</v>
      </c>
      <c r="P115" s="77">
        <v>0.6</v>
      </c>
      <c r="Q115" s="44">
        <f t="shared" si="5"/>
        <v>0.52500000000000002</v>
      </c>
      <c r="R115" s="77">
        <v>16.8</v>
      </c>
      <c r="S115" s="77">
        <v>125</v>
      </c>
      <c r="T115" s="16">
        <f t="shared" si="6"/>
        <v>30</v>
      </c>
      <c r="U115" s="77">
        <v>138</v>
      </c>
      <c r="V115" s="16">
        <f t="shared" si="7"/>
        <v>4140</v>
      </c>
      <c r="W115" s="77">
        <v>14</v>
      </c>
      <c r="X115" s="77" t="s">
        <v>35</v>
      </c>
      <c r="Y115" s="77" t="s">
        <v>43</v>
      </c>
      <c r="Z115" s="77" t="s">
        <v>55</v>
      </c>
      <c r="AA115" s="77" t="s">
        <v>64</v>
      </c>
      <c r="AB115" s="77" t="s">
        <v>162</v>
      </c>
    </row>
    <row r="116" spans="1:28" x14ac:dyDescent="0.15">
      <c r="A116" s="77" t="s">
        <v>23</v>
      </c>
      <c r="B116" s="77" t="s">
        <v>160</v>
      </c>
      <c r="C116" s="77">
        <v>2020</v>
      </c>
      <c r="D116" s="193" t="s">
        <v>370</v>
      </c>
      <c r="E116" s="77" t="s">
        <v>395</v>
      </c>
      <c r="F116" s="77" t="s">
        <v>386</v>
      </c>
      <c r="G116" s="77" t="s">
        <v>31</v>
      </c>
      <c r="H116" s="77" t="s">
        <v>164</v>
      </c>
      <c r="I116" s="77" t="s">
        <v>111</v>
      </c>
      <c r="J116" s="77" t="s">
        <v>27</v>
      </c>
      <c r="K116" s="77" t="s">
        <v>112</v>
      </c>
      <c r="L116" s="77">
        <v>1</v>
      </c>
      <c r="N116" s="77">
        <v>4</v>
      </c>
      <c r="O116" s="77">
        <v>0.5</v>
      </c>
      <c r="P116" s="77">
        <v>0.6</v>
      </c>
      <c r="Q116" s="44">
        <f t="shared" si="5"/>
        <v>0.55000000000000004</v>
      </c>
      <c r="R116" s="77">
        <v>14.9</v>
      </c>
      <c r="S116" s="77">
        <v>88</v>
      </c>
      <c r="T116" s="16">
        <f t="shared" si="6"/>
        <v>36</v>
      </c>
      <c r="U116" s="77">
        <v>398</v>
      </c>
      <c r="V116" s="16">
        <f t="shared" si="7"/>
        <v>3582</v>
      </c>
      <c r="W116" s="77">
        <v>14</v>
      </c>
      <c r="X116" s="77" t="s">
        <v>35</v>
      </c>
      <c r="Y116" s="77" t="s">
        <v>43</v>
      </c>
      <c r="Z116" s="77" t="s">
        <v>55</v>
      </c>
      <c r="AA116" s="77" t="s">
        <v>64</v>
      </c>
      <c r="AB116" s="77" t="s">
        <v>162</v>
      </c>
    </row>
    <row r="117" spans="1:28" x14ac:dyDescent="0.15">
      <c r="A117" s="77" t="s">
        <v>23</v>
      </c>
      <c r="B117" s="77" t="s">
        <v>160</v>
      </c>
      <c r="C117" s="77">
        <v>2020</v>
      </c>
      <c r="D117" s="193" t="s">
        <v>370</v>
      </c>
      <c r="E117" s="77" t="s">
        <v>395</v>
      </c>
      <c r="F117" s="77" t="s">
        <v>386</v>
      </c>
      <c r="G117" s="77" t="s">
        <v>31</v>
      </c>
      <c r="H117" s="77" t="s">
        <v>164</v>
      </c>
      <c r="I117" s="77" t="s">
        <v>111</v>
      </c>
      <c r="J117" s="77" t="s">
        <v>27</v>
      </c>
      <c r="K117" s="77" t="s">
        <v>112</v>
      </c>
      <c r="L117" s="77">
        <v>2</v>
      </c>
      <c r="N117" s="77">
        <v>4</v>
      </c>
      <c r="O117" s="77">
        <v>0.2</v>
      </c>
      <c r="P117" s="77">
        <v>0.55000000000000004</v>
      </c>
      <c r="Q117" s="44">
        <f t="shared" si="5"/>
        <v>0.375</v>
      </c>
      <c r="R117" s="77">
        <v>16.3</v>
      </c>
      <c r="S117" s="77">
        <v>99</v>
      </c>
      <c r="T117" s="16">
        <f t="shared" si="6"/>
        <v>33</v>
      </c>
      <c r="U117" s="77">
        <v>398</v>
      </c>
      <c r="V117" s="16">
        <f t="shared" si="7"/>
        <v>3283.5</v>
      </c>
      <c r="W117" s="77">
        <v>14</v>
      </c>
      <c r="X117" s="77" t="s">
        <v>35</v>
      </c>
      <c r="Y117" s="77" t="s">
        <v>43</v>
      </c>
      <c r="Z117" s="77" t="s">
        <v>55</v>
      </c>
      <c r="AA117" s="77" t="s">
        <v>64</v>
      </c>
      <c r="AB117" s="77" t="s">
        <v>162</v>
      </c>
    </row>
    <row r="118" spans="1:28" x14ac:dyDescent="0.15">
      <c r="A118" s="77" t="s">
        <v>23</v>
      </c>
      <c r="B118" s="77" t="s">
        <v>160</v>
      </c>
      <c r="C118" s="77">
        <v>2020</v>
      </c>
      <c r="D118" s="193" t="s">
        <v>370</v>
      </c>
      <c r="E118" s="77" t="s">
        <v>395</v>
      </c>
      <c r="F118" s="77" t="s">
        <v>386</v>
      </c>
      <c r="G118" s="77" t="s">
        <v>31</v>
      </c>
      <c r="H118" s="77" t="s">
        <v>164</v>
      </c>
      <c r="I118" s="77" t="s">
        <v>111</v>
      </c>
      <c r="J118" s="77" t="s">
        <v>27</v>
      </c>
      <c r="K118" s="77" t="s">
        <v>112</v>
      </c>
      <c r="L118" s="77">
        <v>3</v>
      </c>
      <c r="N118" s="77">
        <v>4</v>
      </c>
      <c r="O118" s="77">
        <v>0.2</v>
      </c>
      <c r="P118" s="77">
        <v>0.2</v>
      </c>
      <c r="Q118" s="44">
        <f t="shared" si="5"/>
        <v>0.2</v>
      </c>
      <c r="R118" s="77">
        <v>16.5</v>
      </c>
      <c r="S118" s="77">
        <v>97.5</v>
      </c>
      <c r="T118" s="16">
        <f t="shared" si="6"/>
        <v>36</v>
      </c>
      <c r="U118" s="77">
        <v>398</v>
      </c>
      <c r="V118" s="16">
        <f t="shared" si="7"/>
        <v>3582</v>
      </c>
      <c r="W118" s="77">
        <v>14</v>
      </c>
      <c r="X118" s="77" t="s">
        <v>35</v>
      </c>
      <c r="Y118" s="77" t="s">
        <v>43</v>
      </c>
      <c r="Z118" s="77" t="s">
        <v>55</v>
      </c>
      <c r="AA118" s="77" t="s">
        <v>64</v>
      </c>
      <c r="AB118" s="77" t="s">
        <v>162</v>
      </c>
    </row>
    <row r="119" spans="1:28" x14ac:dyDescent="0.15">
      <c r="A119" s="77" t="s">
        <v>23</v>
      </c>
      <c r="B119" s="77" t="s">
        <v>160</v>
      </c>
      <c r="C119" s="77">
        <v>2020</v>
      </c>
      <c r="D119" s="193" t="s">
        <v>370</v>
      </c>
      <c r="E119" s="77" t="s">
        <v>395</v>
      </c>
      <c r="F119" s="77" t="s">
        <v>386</v>
      </c>
      <c r="G119" s="77" t="s">
        <v>31</v>
      </c>
      <c r="H119" s="77" t="s">
        <v>164</v>
      </c>
      <c r="I119" s="77" t="s">
        <v>111</v>
      </c>
      <c r="J119" s="77" t="s">
        <v>27</v>
      </c>
      <c r="K119" s="77" t="s">
        <v>112</v>
      </c>
      <c r="L119" s="77">
        <v>1</v>
      </c>
      <c r="N119" s="77">
        <v>8</v>
      </c>
      <c r="O119" s="77">
        <v>0.5</v>
      </c>
      <c r="P119" s="77">
        <v>0.2</v>
      </c>
      <c r="Q119" s="44">
        <f t="shared" si="5"/>
        <v>0.35</v>
      </c>
      <c r="R119" s="77">
        <v>17</v>
      </c>
      <c r="S119" s="77">
        <v>93.5</v>
      </c>
      <c r="T119" s="16">
        <f t="shared" si="6"/>
        <v>36</v>
      </c>
      <c r="U119" s="77">
        <v>680</v>
      </c>
      <c r="V119" s="16">
        <f t="shared" si="7"/>
        <v>3060</v>
      </c>
      <c r="W119" s="77">
        <v>14</v>
      </c>
      <c r="X119" s="77" t="s">
        <v>35</v>
      </c>
      <c r="Y119" s="77" t="s">
        <v>43</v>
      </c>
      <c r="Z119" s="77" t="s">
        <v>55</v>
      </c>
      <c r="AA119" s="77" t="s">
        <v>64</v>
      </c>
      <c r="AB119" s="77" t="s">
        <v>162</v>
      </c>
    </row>
    <row r="120" spans="1:28" x14ac:dyDescent="0.15">
      <c r="A120" s="77" t="s">
        <v>23</v>
      </c>
      <c r="B120" s="77" t="s">
        <v>160</v>
      </c>
      <c r="C120" s="77">
        <v>2020</v>
      </c>
      <c r="D120" s="193" t="s">
        <v>370</v>
      </c>
      <c r="E120" s="77" t="s">
        <v>395</v>
      </c>
      <c r="F120" s="77" t="s">
        <v>386</v>
      </c>
      <c r="G120" s="77" t="s">
        <v>31</v>
      </c>
      <c r="H120" s="77" t="s">
        <v>164</v>
      </c>
      <c r="I120" s="77" t="s">
        <v>111</v>
      </c>
      <c r="J120" s="77" t="s">
        <v>27</v>
      </c>
      <c r="K120" s="77" t="s">
        <v>112</v>
      </c>
      <c r="L120" s="77">
        <v>2</v>
      </c>
      <c r="N120" s="77">
        <v>8</v>
      </c>
      <c r="O120" s="77">
        <v>0.5</v>
      </c>
      <c r="P120" s="77">
        <v>0.45</v>
      </c>
      <c r="Q120" s="44">
        <f t="shared" si="5"/>
        <v>0.47499999999999998</v>
      </c>
      <c r="R120" s="77">
        <v>16.5</v>
      </c>
      <c r="S120" s="77">
        <v>97.5</v>
      </c>
      <c r="T120" s="16">
        <f t="shared" si="6"/>
        <v>36</v>
      </c>
      <c r="U120" s="77">
        <v>680</v>
      </c>
      <c r="V120" s="16">
        <f t="shared" si="7"/>
        <v>3060</v>
      </c>
      <c r="W120" s="77">
        <v>14</v>
      </c>
      <c r="X120" s="77" t="s">
        <v>35</v>
      </c>
      <c r="Y120" s="77" t="s">
        <v>43</v>
      </c>
      <c r="Z120" s="77" t="s">
        <v>55</v>
      </c>
      <c r="AA120" s="77" t="s">
        <v>64</v>
      </c>
      <c r="AB120" s="77" t="s">
        <v>162</v>
      </c>
    </row>
    <row r="121" spans="1:28" x14ac:dyDescent="0.15">
      <c r="A121" s="77" t="s">
        <v>23</v>
      </c>
      <c r="B121" s="77" t="s">
        <v>160</v>
      </c>
      <c r="C121" s="77">
        <v>2020</v>
      </c>
      <c r="D121" s="193" t="s">
        <v>370</v>
      </c>
      <c r="E121" s="77" t="s">
        <v>395</v>
      </c>
      <c r="F121" s="77" t="s">
        <v>386</v>
      </c>
      <c r="G121" s="77" t="s">
        <v>31</v>
      </c>
      <c r="H121" s="77" t="s">
        <v>164</v>
      </c>
      <c r="I121" s="77" t="s">
        <v>111</v>
      </c>
      <c r="J121" s="77" t="s">
        <v>27</v>
      </c>
      <c r="K121" s="77" t="s">
        <v>112</v>
      </c>
      <c r="L121" s="77">
        <v>3</v>
      </c>
      <c r="N121" s="77">
        <v>8</v>
      </c>
      <c r="O121" s="77">
        <v>0.2</v>
      </c>
      <c r="P121" s="77">
        <v>0.55000000000000004</v>
      </c>
      <c r="Q121" s="16">
        <f t="shared" si="5"/>
        <v>0.375</v>
      </c>
      <c r="R121" s="77">
        <v>16.8</v>
      </c>
      <c r="S121" s="77">
        <v>94.5</v>
      </c>
      <c r="T121" s="16">
        <f t="shared" si="6"/>
        <v>36</v>
      </c>
      <c r="U121" s="77">
        <v>680</v>
      </c>
      <c r="V121" s="16">
        <f t="shared" si="7"/>
        <v>3060</v>
      </c>
      <c r="W121" s="77">
        <v>14</v>
      </c>
      <c r="X121" s="77" t="s">
        <v>35</v>
      </c>
      <c r="Y121" s="77" t="s">
        <v>43</v>
      </c>
      <c r="Z121" s="77" t="s">
        <v>55</v>
      </c>
      <c r="AA121" s="77" t="s">
        <v>64</v>
      </c>
      <c r="AB121" s="77" t="s">
        <v>162</v>
      </c>
    </row>
    <row r="122" spans="1:28" x14ac:dyDescent="0.15">
      <c r="A122" s="77" t="s">
        <v>23</v>
      </c>
      <c r="B122" s="77" t="s">
        <v>160</v>
      </c>
      <c r="C122" s="77">
        <v>2020</v>
      </c>
      <c r="D122" s="193" t="s">
        <v>370</v>
      </c>
      <c r="E122" s="77" t="s">
        <v>396</v>
      </c>
      <c r="F122" s="77" t="s">
        <v>388</v>
      </c>
      <c r="G122" s="77" t="s">
        <v>25</v>
      </c>
      <c r="H122" s="77" t="s">
        <v>113</v>
      </c>
      <c r="I122" s="77" t="s">
        <v>111</v>
      </c>
      <c r="J122" s="77" t="s">
        <v>27</v>
      </c>
      <c r="K122" s="77" t="s">
        <v>112</v>
      </c>
      <c r="L122" s="77">
        <v>1</v>
      </c>
      <c r="N122" s="77">
        <v>1</v>
      </c>
      <c r="O122" s="77">
        <v>0.75</v>
      </c>
      <c r="P122" s="77">
        <v>0.85</v>
      </c>
      <c r="Q122" s="16">
        <f t="shared" si="5"/>
        <v>0.8</v>
      </c>
      <c r="R122" s="77">
        <v>15.3</v>
      </c>
      <c r="S122" s="77">
        <v>115.5</v>
      </c>
      <c r="T122" s="16">
        <f t="shared" si="6"/>
        <v>30</v>
      </c>
      <c r="U122" s="77">
        <v>94</v>
      </c>
      <c r="V122" s="16">
        <f t="shared" si="7"/>
        <v>2820</v>
      </c>
      <c r="W122" s="77">
        <v>14</v>
      </c>
      <c r="X122" s="77" t="s">
        <v>35</v>
      </c>
      <c r="Y122" s="77" t="s">
        <v>43</v>
      </c>
      <c r="Z122" s="77" t="s">
        <v>55</v>
      </c>
      <c r="AA122" s="77" t="s">
        <v>47</v>
      </c>
      <c r="AB122" s="77" t="s">
        <v>162</v>
      </c>
    </row>
    <row r="123" spans="1:28" x14ac:dyDescent="0.15">
      <c r="A123" s="77" t="s">
        <v>23</v>
      </c>
      <c r="B123" s="77" t="s">
        <v>160</v>
      </c>
      <c r="C123" s="77">
        <v>2020</v>
      </c>
      <c r="D123" s="193" t="s">
        <v>370</v>
      </c>
      <c r="E123" s="77" t="s">
        <v>396</v>
      </c>
      <c r="F123" s="77" t="s">
        <v>388</v>
      </c>
      <c r="G123" s="77" t="s">
        <v>25</v>
      </c>
      <c r="H123" s="77" t="s">
        <v>113</v>
      </c>
      <c r="I123" s="77" t="s">
        <v>111</v>
      </c>
      <c r="J123" s="77" t="s">
        <v>27</v>
      </c>
      <c r="K123" s="77" t="s">
        <v>112</v>
      </c>
      <c r="L123" s="77">
        <v>2</v>
      </c>
      <c r="N123" s="77">
        <v>1</v>
      </c>
      <c r="O123" s="77">
        <v>0.6</v>
      </c>
      <c r="P123" s="77">
        <v>0.7</v>
      </c>
      <c r="Q123" s="16">
        <f t="shared" si="5"/>
        <v>0.64999999999999991</v>
      </c>
      <c r="R123" s="77">
        <v>15.8</v>
      </c>
      <c r="S123" s="77">
        <v>107.5</v>
      </c>
      <c r="T123" s="16">
        <f t="shared" si="6"/>
        <v>33</v>
      </c>
      <c r="U123" s="77">
        <v>94</v>
      </c>
      <c r="V123" s="16">
        <f t="shared" si="7"/>
        <v>3102</v>
      </c>
      <c r="W123" s="77">
        <v>14</v>
      </c>
      <c r="X123" s="77" t="s">
        <v>35</v>
      </c>
      <c r="Y123" s="77" t="s">
        <v>43</v>
      </c>
      <c r="Z123" s="77" t="s">
        <v>55</v>
      </c>
      <c r="AA123" s="77" t="s">
        <v>47</v>
      </c>
      <c r="AB123" s="77" t="s">
        <v>162</v>
      </c>
    </row>
    <row r="124" spans="1:28" x14ac:dyDescent="0.15">
      <c r="A124" s="77" t="s">
        <v>23</v>
      </c>
      <c r="B124" s="77" t="s">
        <v>160</v>
      </c>
      <c r="C124" s="77">
        <v>2020</v>
      </c>
      <c r="D124" s="193" t="s">
        <v>370</v>
      </c>
      <c r="E124" s="77" t="s">
        <v>396</v>
      </c>
      <c r="F124" s="77" t="s">
        <v>388</v>
      </c>
      <c r="G124" s="77" t="s">
        <v>25</v>
      </c>
      <c r="H124" s="77" t="s">
        <v>113</v>
      </c>
      <c r="I124" s="77" t="s">
        <v>111</v>
      </c>
      <c r="J124" s="77" t="s">
        <v>27</v>
      </c>
      <c r="K124" s="77" t="s">
        <v>112</v>
      </c>
      <c r="L124" s="77">
        <v>3</v>
      </c>
      <c r="N124" s="77">
        <v>1</v>
      </c>
      <c r="O124" s="77">
        <v>0.75</v>
      </c>
      <c r="P124" s="77">
        <v>0.6</v>
      </c>
      <c r="Q124" s="16">
        <f t="shared" si="5"/>
        <v>0.67500000000000004</v>
      </c>
      <c r="R124" s="77">
        <v>16.100000000000001</v>
      </c>
      <c r="S124" s="77">
        <v>110</v>
      </c>
      <c r="T124" s="16">
        <f t="shared" si="6"/>
        <v>33</v>
      </c>
      <c r="U124" s="77">
        <v>94</v>
      </c>
      <c r="V124" s="16">
        <f t="shared" si="7"/>
        <v>3102</v>
      </c>
      <c r="W124" s="77">
        <v>14</v>
      </c>
      <c r="X124" s="77" t="s">
        <v>35</v>
      </c>
      <c r="Y124" s="77" t="s">
        <v>43</v>
      </c>
      <c r="Z124" s="77" t="s">
        <v>55</v>
      </c>
      <c r="AA124" s="77" t="s">
        <v>47</v>
      </c>
      <c r="AB124" s="77" t="s">
        <v>162</v>
      </c>
    </row>
    <row r="125" spans="1:28" x14ac:dyDescent="0.15">
      <c r="A125" s="77" t="s">
        <v>23</v>
      </c>
      <c r="B125" s="77" t="s">
        <v>160</v>
      </c>
      <c r="C125" s="77">
        <v>2020</v>
      </c>
      <c r="D125" s="193" t="s">
        <v>370</v>
      </c>
      <c r="E125" s="77" t="s">
        <v>396</v>
      </c>
      <c r="F125" s="77" t="s">
        <v>388</v>
      </c>
      <c r="G125" s="77" t="s">
        <v>25</v>
      </c>
      <c r="H125" s="77" t="s">
        <v>113</v>
      </c>
      <c r="I125" s="77" t="s">
        <v>111</v>
      </c>
      <c r="J125" s="77" t="s">
        <v>27</v>
      </c>
      <c r="K125" s="77" t="s">
        <v>112</v>
      </c>
      <c r="L125" s="77">
        <v>1</v>
      </c>
      <c r="N125" s="77">
        <v>5</v>
      </c>
      <c r="O125" s="77">
        <v>0.2</v>
      </c>
      <c r="P125" s="77">
        <v>0.2</v>
      </c>
      <c r="Q125" s="16">
        <f t="shared" si="5"/>
        <v>0.2</v>
      </c>
      <c r="R125" s="77">
        <v>15.1</v>
      </c>
      <c r="S125" s="77">
        <v>100</v>
      </c>
      <c r="T125" s="16">
        <f t="shared" si="6"/>
        <v>33</v>
      </c>
      <c r="U125" s="77">
        <v>380</v>
      </c>
      <c r="V125" s="16">
        <f t="shared" si="7"/>
        <v>2508</v>
      </c>
      <c r="W125" s="77">
        <v>14</v>
      </c>
      <c r="X125" s="77" t="s">
        <v>35</v>
      </c>
      <c r="Y125" s="77" t="s">
        <v>43</v>
      </c>
      <c r="Z125" s="77" t="s">
        <v>55</v>
      </c>
      <c r="AA125" s="77" t="s">
        <v>47</v>
      </c>
      <c r="AB125" s="77" t="s">
        <v>162</v>
      </c>
    </row>
    <row r="126" spans="1:28" x14ac:dyDescent="0.15">
      <c r="A126" s="77" t="s">
        <v>23</v>
      </c>
      <c r="B126" s="77" t="s">
        <v>160</v>
      </c>
      <c r="C126" s="77">
        <v>2020</v>
      </c>
      <c r="D126" s="193" t="s">
        <v>370</v>
      </c>
      <c r="E126" s="77" t="s">
        <v>396</v>
      </c>
      <c r="F126" s="77" t="s">
        <v>388</v>
      </c>
      <c r="G126" s="77" t="s">
        <v>25</v>
      </c>
      <c r="H126" s="77" t="s">
        <v>113</v>
      </c>
      <c r="I126" s="77" t="s">
        <v>111</v>
      </c>
      <c r="J126" s="77" t="s">
        <v>27</v>
      </c>
      <c r="K126" s="77" t="s">
        <v>112</v>
      </c>
      <c r="L126" s="77">
        <v>2</v>
      </c>
      <c r="N126" s="77">
        <v>5</v>
      </c>
      <c r="O126" s="77">
        <v>0.2</v>
      </c>
      <c r="P126" s="77">
        <v>0.2</v>
      </c>
      <c r="Q126" s="16">
        <f t="shared" si="5"/>
        <v>0.2</v>
      </c>
      <c r="R126" s="77">
        <v>15.6</v>
      </c>
      <c r="S126" s="77">
        <v>99.5</v>
      </c>
      <c r="T126" s="16">
        <f t="shared" si="6"/>
        <v>33</v>
      </c>
      <c r="U126" s="77">
        <v>380</v>
      </c>
      <c r="V126" s="16">
        <f t="shared" si="7"/>
        <v>2508</v>
      </c>
      <c r="W126" s="77">
        <v>14</v>
      </c>
      <c r="X126" s="77" t="s">
        <v>35</v>
      </c>
      <c r="Y126" s="77" t="s">
        <v>43</v>
      </c>
      <c r="Z126" s="77" t="s">
        <v>55</v>
      </c>
      <c r="AA126" s="77" t="s">
        <v>47</v>
      </c>
      <c r="AB126" s="77" t="s">
        <v>162</v>
      </c>
    </row>
    <row r="127" spans="1:28" x14ac:dyDescent="0.15">
      <c r="A127" s="77" t="s">
        <v>23</v>
      </c>
      <c r="B127" s="77" t="s">
        <v>160</v>
      </c>
      <c r="C127" s="77">
        <v>2020</v>
      </c>
      <c r="D127" s="193" t="s">
        <v>370</v>
      </c>
      <c r="E127" s="77" t="s">
        <v>396</v>
      </c>
      <c r="F127" s="77" t="s">
        <v>388</v>
      </c>
      <c r="G127" s="77" t="s">
        <v>25</v>
      </c>
      <c r="H127" s="77" t="s">
        <v>113</v>
      </c>
      <c r="I127" s="77" t="s">
        <v>111</v>
      </c>
      <c r="J127" s="77" t="s">
        <v>27</v>
      </c>
      <c r="K127" s="77" t="s">
        <v>112</v>
      </c>
      <c r="L127" s="77">
        <v>3</v>
      </c>
      <c r="N127" s="77">
        <v>5</v>
      </c>
      <c r="O127" s="77">
        <v>0.2</v>
      </c>
      <c r="P127" s="77">
        <v>0.2</v>
      </c>
      <c r="Q127" s="16">
        <f t="shared" si="5"/>
        <v>0.2</v>
      </c>
      <c r="R127" s="77">
        <v>15.5</v>
      </c>
      <c r="S127" s="77">
        <v>102</v>
      </c>
      <c r="T127" s="16">
        <f t="shared" si="6"/>
        <v>33</v>
      </c>
      <c r="U127" s="77">
        <v>380</v>
      </c>
      <c r="V127" s="16">
        <f t="shared" si="7"/>
        <v>2508</v>
      </c>
      <c r="W127" s="77">
        <v>14</v>
      </c>
      <c r="X127" s="77" t="s">
        <v>35</v>
      </c>
      <c r="Y127" s="77" t="s">
        <v>43</v>
      </c>
      <c r="Z127" s="77" t="s">
        <v>55</v>
      </c>
      <c r="AA127" s="77" t="s">
        <v>47</v>
      </c>
      <c r="AB127" s="77" t="s">
        <v>162</v>
      </c>
    </row>
    <row r="128" spans="1:28" x14ac:dyDescent="0.15">
      <c r="A128" s="77" t="s">
        <v>23</v>
      </c>
      <c r="B128" s="77" t="s">
        <v>160</v>
      </c>
      <c r="C128" s="77">
        <v>2020</v>
      </c>
      <c r="D128" s="193" t="s">
        <v>370</v>
      </c>
      <c r="E128" s="77" t="s">
        <v>396</v>
      </c>
      <c r="F128" s="77" t="s">
        <v>388</v>
      </c>
      <c r="G128" s="77" t="s">
        <v>25</v>
      </c>
      <c r="H128" s="77" t="s">
        <v>113</v>
      </c>
      <c r="I128" s="77" t="s">
        <v>111</v>
      </c>
      <c r="J128" s="77" t="s">
        <v>27</v>
      </c>
      <c r="K128" s="77" t="s">
        <v>112</v>
      </c>
      <c r="L128" s="77">
        <v>1</v>
      </c>
      <c r="N128" s="77">
        <v>8</v>
      </c>
      <c r="O128" s="77">
        <v>0.5</v>
      </c>
      <c r="P128" s="77">
        <v>0.55000000000000004</v>
      </c>
      <c r="Q128" s="44">
        <f t="shared" si="5"/>
        <v>0.52500000000000002</v>
      </c>
      <c r="R128" s="77">
        <v>14.9</v>
      </c>
      <c r="S128" s="77">
        <v>107</v>
      </c>
      <c r="T128" s="16">
        <f t="shared" si="6"/>
        <v>33</v>
      </c>
      <c r="U128" s="77">
        <v>540</v>
      </c>
      <c r="V128" s="16">
        <f t="shared" si="7"/>
        <v>2227.5</v>
      </c>
      <c r="W128" s="77">
        <v>14</v>
      </c>
      <c r="X128" s="77" t="s">
        <v>35</v>
      </c>
      <c r="Y128" s="77" t="s">
        <v>43</v>
      </c>
      <c r="Z128" s="77" t="s">
        <v>55</v>
      </c>
      <c r="AA128" s="77" t="s">
        <v>47</v>
      </c>
      <c r="AB128" s="77" t="s">
        <v>162</v>
      </c>
    </row>
    <row r="129" spans="1:28" x14ac:dyDescent="0.15">
      <c r="A129" s="77" t="s">
        <v>23</v>
      </c>
      <c r="B129" s="77" t="s">
        <v>160</v>
      </c>
      <c r="C129" s="77">
        <v>2020</v>
      </c>
      <c r="D129" s="193" t="s">
        <v>370</v>
      </c>
      <c r="E129" s="77" t="s">
        <v>396</v>
      </c>
      <c r="F129" s="77" t="s">
        <v>388</v>
      </c>
      <c r="G129" s="77" t="s">
        <v>25</v>
      </c>
      <c r="H129" s="77" t="s">
        <v>113</v>
      </c>
      <c r="I129" s="77" t="s">
        <v>111</v>
      </c>
      <c r="J129" s="77" t="s">
        <v>27</v>
      </c>
      <c r="K129" s="77" t="s">
        <v>112</v>
      </c>
      <c r="L129" s="77">
        <v>2</v>
      </c>
      <c r="N129" s="77">
        <v>8</v>
      </c>
      <c r="O129" s="77">
        <v>0.7</v>
      </c>
      <c r="P129" s="77">
        <v>0.5</v>
      </c>
      <c r="Q129" s="44">
        <f t="shared" si="5"/>
        <v>0.6</v>
      </c>
      <c r="R129" s="77">
        <v>14.9</v>
      </c>
      <c r="S129" s="77">
        <v>103</v>
      </c>
      <c r="T129" s="16">
        <f t="shared" si="6"/>
        <v>33</v>
      </c>
      <c r="U129" s="77">
        <v>540</v>
      </c>
      <c r="V129" s="16">
        <f t="shared" si="7"/>
        <v>2227.5</v>
      </c>
      <c r="W129" s="77">
        <v>14</v>
      </c>
      <c r="X129" s="77" t="s">
        <v>35</v>
      </c>
      <c r="Y129" s="77" t="s">
        <v>43</v>
      </c>
      <c r="Z129" s="77" t="s">
        <v>55</v>
      </c>
      <c r="AA129" s="77" t="s">
        <v>47</v>
      </c>
      <c r="AB129" s="77" t="s">
        <v>162</v>
      </c>
    </row>
    <row r="130" spans="1:28" x14ac:dyDescent="0.15">
      <c r="A130" s="77" t="s">
        <v>23</v>
      </c>
      <c r="B130" s="77" t="s">
        <v>160</v>
      </c>
      <c r="C130" s="77">
        <v>2020</v>
      </c>
      <c r="D130" s="193" t="s">
        <v>370</v>
      </c>
      <c r="E130" s="77" t="s">
        <v>396</v>
      </c>
      <c r="F130" s="77" t="s">
        <v>388</v>
      </c>
      <c r="G130" s="77" t="s">
        <v>25</v>
      </c>
      <c r="H130" s="77" t="s">
        <v>113</v>
      </c>
      <c r="I130" s="77" t="s">
        <v>111</v>
      </c>
      <c r="J130" s="77" t="s">
        <v>27</v>
      </c>
      <c r="K130" s="77" t="s">
        <v>112</v>
      </c>
      <c r="L130" s="77">
        <v>3</v>
      </c>
      <c r="N130" s="77">
        <v>8</v>
      </c>
      <c r="O130" s="77">
        <v>0.7</v>
      </c>
      <c r="P130" s="77">
        <v>0.75</v>
      </c>
      <c r="Q130" s="44">
        <f t="shared" si="5"/>
        <v>0.72499999999999998</v>
      </c>
      <c r="R130" s="77">
        <v>13.2</v>
      </c>
      <c r="S130" s="77">
        <v>105.5</v>
      </c>
      <c r="T130" s="16">
        <f t="shared" si="6"/>
        <v>33</v>
      </c>
      <c r="U130" s="77">
        <v>540</v>
      </c>
      <c r="V130" s="16">
        <f t="shared" si="7"/>
        <v>2227.5</v>
      </c>
      <c r="W130" s="77">
        <v>14</v>
      </c>
      <c r="X130" s="77" t="s">
        <v>35</v>
      </c>
      <c r="Y130" s="77" t="s">
        <v>43</v>
      </c>
      <c r="Z130" s="77" t="s">
        <v>55</v>
      </c>
      <c r="AA130" s="77" t="s">
        <v>47</v>
      </c>
      <c r="AB130" s="77" t="s">
        <v>162</v>
      </c>
    </row>
    <row r="131" spans="1:28" x14ac:dyDescent="0.15">
      <c r="A131" s="77" t="s">
        <v>23</v>
      </c>
      <c r="B131" s="77" t="s">
        <v>160</v>
      </c>
      <c r="C131" s="77">
        <v>2020</v>
      </c>
      <c r="D131" s="193" t="s">
        <v>370</v>
      </c>
      <c r="E131" s="77" t="s">
        <v>396</v>
      </c>
      <c r="F131" s="77" t="s">
        <v>388</v>
      </c>
      <c r="G131" s="77" t="s">
        <v>25</v>
      </c>
      <c r="H131" s="77" t="s">
        <v>164</v>
      </c>
      <c r="I131" s="77" t="s">
        <v>111</v>
      </c>
      <c r="J131" s="77" t="s">
        <v>27</v>
      </c>
      <c r="K131" s="77" t="s">
        <v>112</v>
      </c>
      <c r="L131" s="77">
        <v>1</v>
      </c>
      <c r="N131" s="77">
        <v>1</v>
      </c>
      <c r="O131" s="77">
        <v>0.8</v>
      </c>
      <c r="P131" s="77">
        <v>0.85</v>
      </c>
      <c r="Q131" s="44">
        <f t="shared" si="5"/>
        <v>0.82499999999999996</v>
      </c>
      <c r="R131" s="77">
        <v>15.9</v>
      </c>
      <c r="S131" s="77">
        <v>107</v>
      </c>
      <c r="T131" s="16">
        <f t="shared" si="6"/>
        <v>33</v>
      </c>
      <c r="U131" s="77">
        <v>94</v>
      </c>
      <c r="V131" s="16">
        <f t="shared" si="7"/>
        <v>3102</v>
      </c>
      <c r="W131" s="77">
        <v>14</v>
      </c>
      <c r="X131" s="77" t="s">
        <v>35</v>
      </c>
      <c r="Y131" s="77" t="s">
        <v>43</v>
      </c>
      <c r="Z131" s="77" t="s">
        <v>55</v>
      </c>
      <c r="AA131" s="77" t="s">
        <v>47</v>
      </c>
      <c r="AB131" s="77" t="s">
        <v>162</v>
      </c>
    </row>
    <row r="132" spans="1:28" x14ac:dyDescent="0.15">
      <c r="A132" s="77" t="s">
        <v>23</v>
      </c>
      <c r="B132" s="77" t="s">
        <v>160</v>
      </c>
      <c r="C132" s="77">
        <v>2020</v>
      </c>
      <c r="D132" s="193" t="s">
        <v>370</v>
      </c>
      <c r="E132" s="77" t="s">
        <v>396</v>
      </c>
      <c r="F132" s="77" t="s">
        <v>388</v>
      </c>
      <c r="G132" s="77" t="s">
        <v>25</v>
      </c>
      <c r="H132" s="77" t="s">
        <v>164</v>
      </c>
      <c r="I132" s="77" t="s">
        <v>111</v>
      </c>
      <c r="J132" s="77" t="s">
        <v>27</v>
      </c>
      <c r="K132" s="77" t="s">
        <v>112</v>
      </c>
      <c r="L132" s="77">
        <v>2</v>
      </c>
      <c r="N132" s="77">
        <v>1</v>
      </c>
      <c r="O132" s="77">
        <v>1.35</v>
      </c>
      <c r="P132" s="77">
        <v>1.25</v>
      </c>
      <c r="Q132" s="44">
        <f t="shared" si="5"/>
        <v>1.3</v>
      </c>
      <c r="R132" s="77">
        <v>16.399999999999999</v>
      </c>
      <c r="S132" s="77">
        <v>110</v>
      </c>
      <c r="T132" s="16">
        <f t="shared" si="6"/>
        <v>33</v>
      </c>
      <c r="U132" s="77">
        <v>94</v>
      </c>
      <c r="V132" s="16">
        <f t="shared" si="7"/>
        <v>3102</v>
      </c>
      <c r="W132" s="77">
        <v>14</v>
      </c>
      <c r="X132" s="77" t="s">
        <v>35</v>
      </c>
      <c r="Y132" s="77" t="s">
        <v>43</v>
      </c>
      <c r="Z132" s="77" t="s">
        <v>55</v>
      </c>
      <c r="AA132" s="77" t="s">
        <v>47</v>
      </c>
      <c r="AB132" s="77" t="s">
        <v>162</v>
      </c>
    </row>
    <row r="133" spans="1:28" x14ac:dyDescent="0.15">
      <c r="A133" s="77" t="s">
        <v>23</v>
      </c>
      <c r="B133" s="77" t="s">
        <v>160</v>
      </c>
      <c r="C133" s="77">
        <v>2020</v>
      </c>
      <c r="D133" s="193" t="s">
        <v>370</v>
      </c>
      <c r="E133" s="77" t="s">
        <v>396</v>
      </c>
      <c r="F133" s="77" t="s">
        <v>388</v>
      </c>
      <c r="G133" s="77" t="s">
        <v>25</v>
      </c>
      <c r="H133" s="77" t="s">
        <v>164</v>
      </c>
      <c r="I133" s="77" t="s">
        <v>111</v>
      </c>
      <c r="J133" s="77" t="s">
        <v>27</v>
      </c>
      <c r="K133" s="77" t="s">
        <v>112</v>
      </c>
      <c r="L133" s="77">
        <v>3</v>
      </c>
      <c r="N133" s="77">
        <v>1</v>
      </c>
      <c r="O133" s="77">
        <v>0.95</v>
      </c>
      <c r="P133" s="77">
        <v>1.25</v>
      </c>
      <c r="Q133" s="44">
        <f t="shared" si="5"/>
        <v>1.1000000000000001</v>
      </c>
      <c r="R133" s="77">
        <v>15.9</v>
      </c>
      <c r="S133" s="77">
        <v>107</v>
      </c>
      <c r="T133" s="16">
        <f t="shared" si="6"/>
        <v>33</v>
      </c>
      <c r="U133" s="77">
        <v>94</v>
      </c>
      <c r="V133" s="16">
        <f t="shared" si="7"/>
        <v>3102</v>
      </c>
      <c r="W133" s="77">
        <v>14</v>
      </c>
      <c r="X133" s="77" t="s">
        <v>35</v>
      </c>
      <c r="Y133" s="77" t="s">
        <v>43</v>
      </c>
      <c r="Z133" s="77" t="s">
        <v>55</v>
      </c>
      <c r="AA133" s="77" t="s">
        <v>47</v>
      </c>
      <c r="AB133" s="77" t="s">
        <v>162</v>
      </c>
    </row>
    <row r="134" spans="1:28" x14ac:dyDescent="0.15">
      <c r="A134" s="77" t="s">
        <v>23</v>
      </c>
      <c r="B134" s="77" t="s">
        <v>160</v>
      </c>
      <c r="C134" s="77">
        <v>2020</v>
      </c>
      <c r="D134" s="193" t="s">
        <v>370</v>
      </c>
      <c r="E134" s="77" t="s">
        <v>396</v>
      </c>
      <c r="F134" s="77" t="s">
        <v>388</v>
      </c>
      <c r="G134" s="77" t="s">
        <v>25</v>
      </c>
      <c r="H134" s="77" t="s">
        <v>164</v>
      </c>
      <c r="I134" s="77" t="s">
        <v>111</v>
      </c>
      <c r="J134" s="77" t="s">
        <v>27</v>
      </c>
      <c r="K134" s="77" t="s">
        <v>112</v>
      </c>
      <c r="L134" s="77">
        <v>1</v>
      </c>
      <c r="N134" s="77">
        <v>4</v>
      </c>
      <c r="O134" s="77">
        <v>0.2</v>
      </c>
      <c r="P134" s="77">
        <v>0.6</v>
      </c>
      <c r="Q134" s="44">
        <f t="shared" si="5"/>
        <v>0.4</v>
      </c>
      <c r="R134" s="77">
        <v>15.8</v>
      </c>
      <c r="S134" s="77">
        <v>104.5</v>
      </c>
      <c r="T134" s="16">
        <f t="shared" si="6"/>
        <v>33</v>
      </c>
      <c r="U134" s="77">
        <v>368</v>
      </c>
      <c r="V134" s="16">
        <f t="shared" si="7"/>
        <v>3036</v>
      </c>
      <c r="W134" s="77">
        <v>14</v>
      </c>
      <c r="X134" s="77" t="s">
        <v>35</v>
      </c>
      <c r="Y134" s="77" t="s">
        <v>43</v>
      </c>
      <c r="Z134" s="77" t="s">
        <v>55</v>
      </c>
      <c r="AA134" s="77" t="s">
        <v>47</v>
      </c>
      <c r="AB134" s="77" t="s">
        <v>162</v>
      </c>
    </row>
    <row r="135" spans="1:28" x14ac:dyDescent="0.15">
      <c r="A135" s="77" t="s">
        <v>23</v>
      </c>
      <c r="B135" s="77" t="s">
        <v>160</v>
      </c>
      <c r="C135" s="77">
        <v>2020</v>
      </c>
      <c r="D135" s="193" t="s">
        <v>370</v>
      </c>
      <c r="E135" s="77" t="s">
        <v>396</v>
      </c>
      <c r="F135" s="77" t="s">
        <v>388</v>
      </c>
      <c r="G135" s="77" t="s">
        <v>25</v>
      </c>
      <c r="H135" s="77" t="s">
        <v>164</v>
      </c>
      <c r="I135" s="77" t="s">
        <v>111</v>
      </c>
      <c r="J135" s="77" t="s">
        <v>27</v>
      </c>
      <c r="K135" s="77" t="s">
        <v>112</v>
      </c>
      <c r="L135" s="77">
        <v>2</v>
      </c>
      <c r="N135" s="77">
        <v>4</v>
      </c>
      <c r="O135" s="77">
        <v>0.6</v>
      </c>
      <c r="P135" s="77">
        <v>0.55000000000000004</v>
      </c>
      <c r="Q135" s="44">
        <f t="shared" si="5"/>
        <v>0.57499999999999996</v>
      </c>
      <c r="R135" s="77">
        <v>16.899999999999999</v>
      </c>
      <c r="S135" s="77">
        <v>113</v>
      </c>
      <c r="T135" s="16">
        <f t="shared" si="6"/>
        <v>30</v>
      </c>
      <c r="U135" s="77">
        <v>368</v>
      </c>
      <c r="V135" s="16">
        <f t="shared" si="7"/>
        <v>2760</v>
      </c>
      <c r="W135" s="77">
        <v>14</v>
      </c>
      <c r="X135" s="77" t="s">
        <v>35</v>
      </c>
      <c r="Y135" s="77" t="s">
        <v>43</v>
      </c>
      <c r="Z135" s="77" t="s">
        <v>55</v>
      </c>
      <c r="AA135" s="77" t="s">
        <v>47</v>
      </c>
      <c r="AB135" s="77" t="s">
        <v>162</v>
      </c>
    </row>
    <row r="136" spans="1:28" x14ac:dyDescent="0.15">
      <c r="A136" s="77" t="s">
        <v>23</v>
      </c>
      <c r="B136" s="77" t="s">
        <v>160</v>
      </c>
      <c r="C136" s="77">
        <v>2020</v>
      </c>
      <c r="D136" s="193" t="s">
        <v>370</v>
      </c>
      <c r="E136" s="77" t="s">
        <v>396</v>
      </c>
      <c r="F136" s="77" t="s">
        <v>388</v>
      </c>
      <c r="G136" s="77" t="s">
        <v>25</v>
      </c>
      <c r="H136" s="77" t="s">
        <v>164</v>
      </c>
      <c r="I136" s="77" t="s">
        <v>111</v>
      </c>
      <c r="J136" s="77" t="s">
        <v>27</v>
      </c>
      <c r="K136" s="77" t="s">
        <v>112</v>
      </c>
      <c r="L136" s="77">
        <v>3</v>
      </c>
      <c r="N136" s="77">
        <v>4</v>
      </c>
      <c r="O136" s="77">
        <v>0.55000000000000004</v>
      </c>
      <c r="P136" s="77">
        <v>0.7</v>
      </c>
      <c r="Q136" s="16">
        <f t="shared" si="5"/>
        <v>0.625</v>
      </c>
      <c r="R136" s="77">
        <v>16.2</v>
      </c>
      <c r="S136" s="77">
        <v>112.5</v>
      </c>
      <c r="T136" s="16">
        <f t="shared" si="6"/>
        <v>33</v>
      </c>
      <c r="U136" s="77">
        <v>368</v>
      </c>
      <c r="V136" s="16">
        <f t="shared" si="7"/>
        <v>3036</v>
      </c>
      <c r="W136" s="77">
        <v>14</v>
      </c>
      <c r="X136" s="77" t="s">
        <v>35</v>
      </c>
      <c r="Y136" s="77" t="s">
        <v>43</v>
      </c>
      <c r="Z136" s="77" t="s">
        <v>55</v>
      </c>
      <c r="AA136" s="77" t="s">
        <v>47</v>
      </c>
      <c r="AB136" s="77" t="s">
        <v>162</v>
      </c>
    </row>
    <row r="137" spans="1:28" x14ac:dyDescent="0.15">
      <c r="A137" s="77" t="s">
        <v>23</v>
      </c>
      <c r="B137" s="77" t="s">
        <v>160</v>
      </c>
      <c r="C137" s="77">
        <v>2020</v>
      </c>
      <c r="D137" s="193" t="s">
        <v>370</v>
      </c>
      <c r="E137" s="77" t="s">
        <v>396</v>
      </c>
      <c r="F137" s="77" t="s">
        <v>388</v>
      </c>
      <c r="G137" s="77" t="s">
        <v>25</v>
      </c>
      <c r="H137" s="77" t="s">
        <v>164</v>
      </c>
      <c r="I137" s="77" t="s">
        <v>111</v>
      </c>
      <c r="J137" s="77" t="s">
        <v>27</v>
      </c>
      <c r="K137" s="77" t="s">
        <v>112</v>
      </c>
      <c r="L137" s="77">
        <v>1</v>
      </c>
      <c r="N137" s="77">
        <v>6</v>
      </c>
      <c r="O137" s="77">
        <v>1.1000000000000001</v>
      </c>
      <c r="P137" s="77">
        <v>1.1499999999999999</v>
      </c>
      <c r="Q137" s="16">
        <f t="shared" si="5"/>
        <v>1.125</v>
      </c>
      <c r="R137" s="77">
        <v>15</v>
      </c>
      <c r="S137" s="77">
        <v>110</v>
      </c>
      <c r="T137" s="16">
        <f t="shared" si="6"/>
        <v>33</v>
      </c>
      <c r="U137" s="77">
        <v>550</v>
      </c>
      <c r="V137" s="16">
        <f t="shared" si="7"/>
        <v>3025</v>
      </c>
      <c r="W137" s="77">
        <v>14</v>
      </c>
      <c r="X137" s="77" t="s">
        <v>35</v>
      </c>
      <c r="Y137" s="77" t="s">
        <v>43</v>
      </c>
      <c r="Z137" s="77" t="s">
        <v>55</v>
      </c>
      <c r="AA137" s="77" t="s">
        <v>47</v>
      </c>
      <c r="AB137" s="77" t="s">
        <v>162</v>
      </c>
    </row>
    <row r="138" spans="1:28" x14ac:dyDescent="0.15">
      <c r="A138" s="77" t="s">
        <v>23</v>
      </c>
      <c r="B138" s="77" t="s">
        <v>160</v>
      </c>
      <c r="C138" s="77">
        <v>2020</v>
      </c>
      <c r="D138" s="193" t="s">
        <v>370</v>
      </c>
      <c r="E138" s="77" t="s">
        <v>396</v>
      </c>
      <c r="F138" s="77" t="s">
        <v>388</v>
      </c>
      <c r="G138" s="77" t="s">
        <v>25</v>
      </c>
      <c r="H138" s="77" t="s">
        <v>164</v>
      </c>
      <c r="I138" s="77" t="s">
        <v>111</v>
      </c>
      <c r="J138" s="77" t="s">
        <v>27</v>
      </c>
      <c r="K138" s="77" t="s">
        <v>112</v>
      </c>
      <c r="L138" s="77">
        <v>2</v>
      </c>
      <c r="N138" s="77">
        <v>6</v>
      </c>
      <c r="O138" s="77">
        <v>1</v>
      </c>
      <c r="P138" s="77">
        <v>1.05</v>
      </c>
      <c r="Q138" s="16">
        <f t="shared" si="5"/>
        <v>1.0249999999999999</v>
      </c>
      <c r="R138" s="77">
        <v>15.3</v>
      </c>
      <c r="S138" s="77">
        <v>116.5</v>
      </c>
      <c r="T138" s="16">
        <f t="shared" si="6"/>
        <v>30</v>
      </c>
      <c r="U138" s="77">
        <v>550</v>
      </c>
      <c r="V138" s="16">
        <f t="shared" si="7"/>
        <v>2750</v>
      </c>
      <c r="W138" s="77">
        <v>14</v>
      </c>
      <c r="X138" s="77" t="s">
        <v>35</v>
      </c>
      <c r="Y138" s="77" t="s">
        <v>43</v>
      </c>
      <c r="Z138" s="77" t="s">
        <v>55</v>
      </c>
      <c r="AA138" s="77" t="s">
        <v>47</v>
      </c>
      <c r="AB138" s="77" t="s">
        <v>162</v>
      </c>
    </row>
    <row r="139" spans="1:28" x14ac:dyDescent="0.15">
      <c r="A139" s="77" t="s">
        <v>23</v>
      </c>
      <c r="B139" s="77" t="s">
        <v>160</v>
      </c>
      <c r="C139" s="77">
        <v>2020</v>
      </c>
      <c r="D139" s="193" t="s">
        <v>370</v>
      </c>
      <c r="E139" s="77" t="s">
        <v>396</v>
      </c>
      <c r="F139" s="77" t="s">
        <v>388</v>
      </c>
      <c r="G139" s="77" t="s">
        <v>25</v>
      </c>
      <c r="H139" s="77" t="s">
        <v>164</v>
      </c>
      <c r="I139" s="77" t="s">
        <v>111</v>
      </c>
      <c r="J139" s="77" t="s">
        <v>27</v>
      </c>
      <c r="K139" s="77" t="s">
        <v>112</v>
      </c>
      <c r="L139" s="77">
        <v>3</v>
      </c>
      <c r="N139" s="77">
        <v>6</v>
      </c>
      <c r="O139" s="77">
        <v>1</v>
      </c>
      <c r="P139" s="77">
        <v>1.25</v>
      </c>
      <c r="Q139" s="16">
        <f t="shared" si="5"/>
        <v>1.125</v>
      </c>
      <c r="R139" s="77">
        <v>15</v>
      </c>
      <c r="S139" s="77">
        <v>117</v>
      </c>
      <c r="T139" s="16">
        <f t="shared" si="6"/>
        <v>30</v>
      </c>
      <c r="U139" s="77">
        <v>550</v>
      </c>
      <c r="V139" s="16">
        <f t="shared" si="7"/>
        <v>2750</v>
      </c>
      <c r="W139" s="77">
        <v>14</v>
      </c>
      <c r="X139" s="77" t="s">
        <v>35</v>
      </c>
      <c r="Y139" s="77" t="s">
        <v>43</v>
      </c>
      <c r="Z139" s="77" t="s">
        <v>55</v>
      </c>
      <c r="AA139" s="77" t="s">
        <v>47</v>
      </c>
      <c r="AB139" s="77" t="s">
        <v>162</v>
      </c>
    </row>
  </sheetData>
  <autoFilter ref="A1:BA139" xr:uid="{00000000-0009-0000-0000-000000000000}"/>
  <phoneticPr fontId="3"/>
  <dataValidations count="15">
    <dataValidation type="list" allowBlank="1" showInputMessage="1" showErrorMessage="1" sqref="J65452:J65530 J130988:J131066 J196524:J196602 J262060:J262138 J327596:J327674 J393132:J393210 J458668:J458746 J524204:J524282 J589740:J589818 J655276:J655354 J720812:J720890 J786348:J786426 J851884:J851962 J917420:J917498 J982956:J983034" xr:uid="{6E53F91F-4E92-4B5B-B590-802C59033BC0}">
      <formula1>$AP$2:$AP$15</formula1>
    </dataValidation>
    <dataValidation type="list" allowBlank="1" showInputMessage="1" showErrorMessage="1" sqref="K65452:K65530 K130988:K131066 K196524:K196602 K262060:K262138 K327596:K327674 K393132:K393210 K458668:K458746 K524204:K524282 K589740:K589818 K655276:K655354 K720812:K720890 K786348:K786426 K851884:K851962 K917420:K917498 K982956:K983034" xr:uid="{77CCA848-D26E-407D-85BF-DD470775FDE9}">
      <formula1>$AR$2:$AR$30</formula1>
    </dataValidation>
    <dataValidation type="list" allowBlank="1" showInputMessage="1" showErrorMessage="1" sqref="H2:H28" xr:uid="{9DD6E3FC-DDE8-4CF6-9BD8-8846AF325A96}">
      <formula1>$AL$2:$AL$20</formula1>
    </dataValidation>
    <dataValidation operator="equal" allowBlank="1" showInputMessage="1" showErrorMessage="1" sqref="B2:B139" xr:uid="{2ED5BDBD-CA71-41EB-8708-B3F483B0CD2A}"/>
    <dataValidation type="decimal" allowBlank="1" showInputMessage="1" showErrorMessage="1" error="硬度を正しく入力して下さい。" sqref="O2:P49 O59:P387" xr:uid="{E2CB9C8C-714B-4BC1-86A7-0EF0204CD87A}">
      <formula1>0</formula1>
      <formula2>7</formula2>
    </dataValidation>
    <dataValidation type="list" allowBlank="1" showInputMessage="1" showErrorMessage="1" sqref="E2:E387" xr:uid="{D80A0405-ACC1-4834-B4EC-D4CC932F0D42}">
      <formula1>$AG$2:$AG$11</formula1>
    </dataValidation>
    <dataValidation type="list" allowBlank="1" showInputMessage="1" showErrorMessage="1" sqref="K2:K917" xr:uid="{4A3B8BA0-028B-4EE3-8C06-CBC59FF9789D}">
      <formula1>$AR$2:$AR$25</formula1>
    </dataValidation>
    <dataValidation type="list" allowBlank="1" showInputMessage="1" showErrorMessage="1" sqref="J2:J917" xr:uid="{BD38D655-B30C-41E9-BE0C-990CD41C8361}">
      <formula1>$AP$2:$AP$26</formula1>
    </dataValidation>
    <dataValidation type="list" allowBlank="1" showInputMessage="1" showErrorMessage="1" sqref="H29:H1010" xr:uid="{DC9D89A5-8359-491F-BABD-28365FF3CE31}">
      <formula1>$AL$2:$AL$9</formula1>
    </dataValidation>
    <dataValidation type="list" allowBlank="1" showInputMessage="1" showErrorMessage="1" sqref="F2:F387" xr:uid="{BC0F362F-B318-4DF2-8E54-5D518E841093}">
      <formula1>$AH$2:$AH$11</formula1>
    </dataValidation>
    <dataValidation type="list" allowBlank="1" showInputMessage="1" showErrorMessage="1" sqref="I2:I387" xr:uid="{52376C09-70AF-4A4B-A2F8-E3CE4C8EF58A}">
      <formula1>$AN$5:$AN$6</formula1>
    </dataValidation>
    <dataValidation type="list" allowBlank="1" showInputMessage="1" showErrorMessage="1" sqref="G2:G387" xr:uid="{EB469875-64AD-45AC-AF04-669749425352}">
      <formula1>$AJ$2:$AJ$4</formula1>
    </dataValidation>
    <dataValidation type="list" allowBlank="1" showInputMessage="1" showErrorMessage="1" sqref="X2:X387" xr:uid="{1345207B-E42E-4F13-A79A-B5016EC034EB}">
      <formula1>$AT$2:$AT$3</formula1>
    </dataValidation>
    <dataValidation type="list" allowBlank="1" showInputMessage="1" showErrorMessage="1" sqref="Y2:AA387" xr:uid="{7CF5C798-56B0-4570-A329-6BE62A65C41C}">
      <formula1>$AV$2:$AV$21</formula1>
    </dataValidation>
    <dataValidation type="list" allowBlank="1" showInputMessage="1" showErrorMessage="1" sqref="A2:A386" xr:uid="{F35618C3-E3CC-44E5-BD8C-3636F5C01B07}">
      <formula1>$AE$2:$AE$19</formula1>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7D6B80A-BFB5-4A1E-AE90-2CC31FEC9E80}">
  <ds:schemaRefs>
    <ds:schemaRef ds:uri="http://schemas.microsoft.com/DataMashup"/>
  </ds:schemaRefs>
</ds:datastoreItem>
</file>

<file path=customXml/itemProps2.xml><?xml version="1.0" encoding="utf-8"?>
<ds:datastoreItem xmlns:ds="http://schemas.openxmlformats.org/officeDocument/2006/customXml" ds:itemID="{6F7D4FEF-680A-42B4-BC28-FBC2D05455B9}"/>
</file>

<file path=customXml/itemProps3.xml><?xml version="1.0" encoding="utf-8"?>
<ds:datastoreItem xmlns:ds="http://schemas.openxmlformats.org/officeDocument/2006/customXml" ds:itemID="{89A4CA2F-ABA4-4529-9350-3B20F410C8CF}"/>
</file>

<file path=customXml/itemProps4.xml><?xml version="1.0" encoding="utf-8"?>
<ds:datastoreItem xmlns:ds="http://schemas.openxmlformats.org/officeDocument/2006/customXml" ds:itemID="{C8D04E5B-130E-43E8-AED4-6661566DA71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3</vt:i4>
      </vt:variant>
    </vt:vector>
  </HeadingPairs>
  <TitlesOfParts>
    <vt:vector size="11" baseType="lpstr">
      <vt:lpstr>sapporo</vt:lpstr>
      <vt:lpstr>miyagi</vt:lpstr>
      <vt:lpstr>nagoya</vt:lpstr>
      <vt:lpstr>osaka</vt:lpstr>
      <vt:lpstr>hiroshima</vt:lpstr>
      <vt:lpstr>fukuoka</vt:lpstr>
      <vt:lpstr>tokyo-west(ota)</vt:lpstr>
      <vt:lpstr>tokyo-east(konishi)</vt:lpstr>
      <vt:lpstr>hiroshima!Print_Area</vt:lpstr>
      <vt:lpstr>'tokyo-west(ota)'!Print_Area</vt:lpstr>
      <vt:lpstr>nagoya!栽培方法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aspeuser</cp:lastModifiedBy>
  <dcterms:created xsi:type="dcterms:W3CDTF">2012-06-11T10:59:48Z</dcterms:created>
  <dcterms:modified xsi:type="dcterms:W3CDTF">2020-05-21T06:24:10Z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