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miyagi!$A$1:$BA$127</definedName>
    <definedName name="_xlnm._FilterDatabase" localSheetId="2" hidden="1">nagoya!$A$1:$BA$52</definedName>
    <definedName name="_xlnm._FilterDatabase" localSheetId="3" hidden="1">osaka!$A$1:$BA$88</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00" i="32" l="1"/>
  <c r="V100" i="32" s="1"/>
  <c r="Q100" i="32"/>
  <c r="T99" i="32"/>
  <c r="V99" i="32" s="1"/>
  <c r="Q99" i="32"/>
  <c r="T98" i="32"/>
  <c r="V98" i="32" s="1"/>
  <c r="Q98" i="32"/>
  <c r="T97" i="32"/>
  <c r="V97" i="32" s="1"/>
  <c r="Q97" i="32"/>
  <c r="V96" i="32"/>
  <c r="T96" i="32"/>
  <c r="Q96" i="32"/>
  <c r="V95" i="32"/>
  <c r="T95" i="32"/>
  <c r="Q95" i="32"/>
  <c r="V94" i="32"/>
  <c r="T94" i="32"/>
  <c r="Q94" i="32"/>
  <c r="T93" i="32"/>
  <c r="V93" i="32" s="1"/>
  <c r="Q93" i="32"/>
  <c r="T92" i="32"/>
  <c r="V92" i="32" s="1"/>
  <c r="Q92" i="32"/>
  <c r="T91" i="32"/>
  <c r="V91" i="32" s="1"/>
  <c r="Q91" i="32"/>
  <c r="T90" i="32"/>
  <c r="V90" i="32" s="1"/>
  <c r="Q90" i="32"/>
  <c r="T89" i="32"/>
  <c r="V89" i="32" s="1"/>
  <c r="Q89" i="32"/>
  <c r="V88" i="32"/>
  <c r="T88" i="32"/>
  <c r="Q88" i="32"/>
  <c r="V87" i="32"/>
  <c r="T87" i="32"/>
  <c r="Q87" i="32"/>
  <c r="V86" i="32"/>
  <c r="T86" i="32"/>
  <c r="Q86" i="32"/>
  <c r="T85" i="32"/>
  <c r="V85" i="32" s="1"/>
  <c r="Q85" i="32"/>
  <c r="T84" i="32"/>
  <c r="V84" i="32" s="1"/>
  <c r="Q84" i="32"/>
  <c r="T83" i="32"/>
  <c r="V83" i="32" s="1"/>
  <c r="Q83" i="32"/>
  <c r="T82" i="32"/>
  <c r="V82" i="32" s="1"/>
  <c r="Q82" i="32"/>
  <c r="T81" i="32"/>
  <c r="V81" i="32" s="1"/>
  <c r="Q81" i="32"/>
  <c r="V80" i="32"/>
  <c r="T80" i="32"/>
  <c r="Q80" i="32"/>
  <c r="V79" i="32"/>
  <c r="T79" i="32"/>
  <c r="Q79" i="32"/>
  <c r="V78" i="32"/>
  <c r="T78" i="32"/>
  <c r="Q78" i="32"/>
  <c r="T77" i="32"/>
  <c r="V77" i="32" s="1"/>
  <c r="Q77" i="32"/>
  <c r="T76" i="32"/>
  <c r="V76" i="32" s="1"/>
  <c r="Q76" i="32"/>
  <c r="T75" i="32"/>
  <c r="V75" i="32" s="1"/>
  <c r="Q75" i="32"/>
  <c r="T74" i="32"/>
  <c r="V74" i="32" s="1"/>
  <c r="Q74" i="32"/>
  <c r="T73" i="32"/>
  <c r="V73" i="32" s="1"/>
  <c r="Q73" i="32"/>
  <c r="V72" i="32"/>
  <c r="T72" i="32"/>
  <c r="Q72" i="32"/>
  <c r="V71" i="32"/>
  <c r="T71" i="32"/>
  <c r="Q71" i="32"/>
  <c r="V70" i="32"/>
  <c r="T70" i="32"/>
  <c r="Q70" i="32"/>
  <c r="T69" i="32"/>
  <c r="V69" i="32" s="1"/>
  <c r="Q69" i="32"/>
  <c r="T68" i="32"/>
  <c r="V68" i="32" s="1"/>
  <c r="Q68" i="32"/>
  <c r="T67" i="32"/>
  <c r="V67" i="32" s="1"/>
  <c r="Q67" i="32"/>
  <c r="T66" i="32"/>
  <c r="V66" i="32" s="1"/>
  <c r="Q66" i="32"/>
  <c r="T65" i="32"/>
  <c r="V65" i="32" s="1"/>
  <c r="Q65" i="32"/>
  <c r="V64" i="32"/>
  <c r="T64" i="32"/>
  <c r="Q64" i="32"/>
  <c r="V63" i="32"/>
  <c r="T63" i="32"/>
  <c r="Q63" i="32"/>
  <c r="V62" i="32"/>
  <c r="T62" i="32"/>
  <c r="Q62" i="32"/>
  <c r="T61" i="32"/>
  <c r="V61" i="32" s="1"/>
  <c r="Q61" i="32"/>
  <c r="T60" i="32"/>
  <c r="V60" i="32" s="1"/>
  <c r="Q60" i="32"/>
  <c r="T59" i="32"/>
  <c r="V59" i="32" s="1"/>
  <c r="Q59" i="32"/>
  <c r="T58" i="32"/>
  <c r="V58" i="32" s="1"/>
  <c r="Q58" i="32"/>
  <c r="T57" i="32"/>
  <c r="V57" i="32" s="1"/>
  <c r="Q57" i="32"/>
  <c r="V56" i="32"/>
  <c r="T56" i="32"/>
  <c r="Q56" i="32"/>
  <c r="V55" i="32"/>
  <c r="T55" i="32"/>
  <c r="Q55" i="32"/>
  <c r="V54" i="32"/>
  <c r="T54" i="32"/>
  <c r="Q54" i="32"/>
  <c r="T53" i="32"/>
  <c r="V53" i="32" s="1"/>
  <c r="Q53" i="32"/>
  <c r="T52" i="32"/>
  <c r="V52" i="32" s="1"/>
  <c r="Q52" i="32"/>
  <c r="T51" i="32"/>
  <c r="V51" i="32" s="1"/>
  <c r="Q51" i="32"/>
  <c r="T50" i="32"/>
  <c r="V50" i="32" s="1"/>
  <c r="Q50" i="32"/>
  <c r="T49" i="32"/>
  <c r="V49" i="32" s="1"/>
  <c r="Q49" i="32"/>
  <c r="V48" i="32"/>
  <c r="T48" i="32"/>
  <c r="Q48" i="32"/>
  <c r="V47" i="32"/>
  <c r="T47" i="32"/>
  <c r="Q47" i="32"/>
  <c r="V46" i="32"/>
  <c r="T46" i="32"/>
  <c r="Q46" i="32"/>
  <c r="T45" i="32"/>
  <c r="V45" i="32" s="1"/>
  <c r="Q45" i="32"/>
  <c r="T44" i="32"/>
  <c r="V44" i="32" s="1"/>
  <c r="Q44" i="32"/>
  <c r="T43" i="32"/>
  <c r="V43" i="32" s="1"/>
  <c r="Q43" i="32"/>
  <c r="T42" i="32"/>
  <c r="V42" i="32" s="1"/>
  <c r="Q42" i="32"/>
  <c r="T41" i="32"/>
  <c r="V41" i="32" s="1"/>
  <c r="Q41" i="32"/>
  <c r="V40" i="32"/>
  <c r="T40" i="32"/>
  <c r="Q40" i="32"/>
  <c r="V39" i="32"/>
  <c r="T39" i="32"/>
  <c r="Q39" i="32"/>
  <c r="V38" i="32"/>
  <c r="T38" i="32"/>
  <c r="Q38" i="32"/>
  <c r="T37" i="32"/>
  <c r="V37" i="32" s="1"/>
  <c r="Q37" i="32"/>
  <c r="T36" i="32"/>
  <c r="V36" i="32" s="1"/>
  <c r="Q36" i="32"/>
  <c r="T35" i="32"/>
  <c r="V35" i="32" s="1"/>
  <c r="Q35" i="32"/>
  <c r="T34" i="32"/>
  <c r="V34" i="32" s="1"/>
  <c r="Q34" i="32"/>
  <c r="T33" i="32"/>
  <c r="V33" i="32" s="1"/>
  <c r="Q33" i="32"/>
  <c r="V32" i="32"/>
  <c r="T32" i="32"/>
  <c r="Q32" i="32"/>
  <c r="V31" i="32"/>
  <c r="T31" i="32"/>
  <c r="Q31" i="32"/>
  <c r="V30" i="32"/>
  <c r="T30" i="32"/>
  <c r="Q30" i="32"/>
  <c r="T29" i="32"/>
  <c r="V29" i="32" s="1"/>
  <c r="Q29" i="32"/>
  <c r="T28" i="32"/>
  <c r="V28" i="32" s="1"/>
  <c r="Q28" i="32"/>
  <c r="T27" i="32"/>
  <c r="V27" i="32" s="1"/>
  <c r="Q27" i="32"/>
  <c r="T26" i="32"/>
  <c r="V26" i="32" s="1"/>
  <c r="Q26" i="32"/>
  <c r="T25" i="32"/>
  <c r="V25" i="32" s="1"/>
  <c r="Q25" i="32"/>
  <c r="V24" i="32"/>
  <c r="T24" i="32"/>
  <c r="Q24" i="32"/>
  <c r="V23" i="32"/>
  <c r="T23" i="32"/>
  <c r="Q23" i="32"/>
  <c r="V22" i="32"/>
  <c r="T22" i="32"/>
  <c r="Q22" i="32"/>
  <c r="T21" i="32"/>
  <c r="V21" i="32" s="1"/>
  <c r="Q21" i="32"/>
  <c r="T20" i="32"/>
  <c r="V20" i="32" s="1"/>
  <c r="Q20" i="32"/>
  <c r="T19" i="32"/>
  <c r="V19" i="32" s="1"/>
  <c r="Q19" i="32"/>
  <c r="T18" i="32"/>
  <c r="V18" i="32" s="1"/>
  <c r="Q18" i="32"/>
  <c r="T17" i="32"/>
  <c r="V17" i="32" s="1"/>
  <c r="Q17" i="32"/>
  <c r="V16" i="32"/>
  <c r="T16" i="32"/>
  <c r="Q16" i="32"/>
  <c r="V15" i="32"/>
  <c r="T15" i="32"/>
  <c r="Q15" i="32"/>
  <c r="V14" i="32"/>
  <c r="T14" i="32"/>
  <c r="Q14" i="32"/>
  <c r="T13" i="32"/>
  <c r="V13" i="32" s="1"/>
  <c r="Q13" i="32"/>
  <c r="T12" i="32"/>
  <c r="V12" i="32" s="1"/>
  <c r="Q12" i="32"/>
  <c r="T11" i="32"/>
  <c r="V11" i="32" s="1"/>
  <c r="Q11" i="32"/>
  <c r="T10" i="32"/>
  <c r="V10" i="32" s="1"/>
  <c r="Q10" i="32"/>
  <c r="T9" i="32"/>
  <c r="V9" i="32" s="1"/>
  <c r="Q9" i="32"/>
  <c r="V8" i="32"/>
  <c r="T8" i="32"/>
  <c r="Q8" i="32"/>
  <c r="V7" i="32"/>
  <c r="T7" i="32"/>
  <c r="Q7" i="32"/>
  <c r="V6" i="32"/>
  <c r="T6" i="32"/>
  <c r="Q6" i="32"/>
  <c r="T5" i="32"/>
  <c r="V5" i="32" s="1"/>
  <c r="Q5" i="32"/>
  <c r="T4" i="32"/>
  <c r="V4" i="32" s="1"/>
  <c r="Q4" i="32"/>
  <c r="T3" i="32"/>
  <c r="V3" i="32" s="1"/>
  <c r="Q3" i="32"/>
  <c r="T2" i="32"/>
  <c r="V2" i="32" s="1"/>
  <c r="Q2" i="32"/>
  <c r="T91" i="31" l="1"/>
  <c r="V91" i="31" s="1"/>
  <c r="Q91" i="31"/>
  <c r="T90" i="31"/>
  <c r="V90" i="31" s="1"/>
  <c r="Q90" i="31"/>
  <c r="T89" i="31"/>
  <c r="V89" i="31" s="1"/>
  <c r="Q89" i="31"/>
  <c r="T88" i="31"/>
  <c r="V88" i="31" s="1"/>
  <c r="Q88" i="31"/>
  <c r="T87" i="31"/>
  <c r="V87" i="31" s="1"/>
  <c r="Q87" i="31"/>
  <c r="V86" i="31"/>
  <c r="T86" i="31"/>
  <c r="Q86" i="31"/>
  <c r="V85" i="31"/>
  <c r="T85" i="31"/>
  <c r="Q85" i="31"/>
  <c r="T84" i="31"/>
  <c r="V84" i="31" s="1"/>
  <c r="Q84" i="31"/>
  <c r="T83" i="31"/>
  <c r="V83" i="31" s="1"/>
  <c r="Q83" i="31"/>
  <c r="T82" i="31"/>
  <c r="V82" i="31" s="1"/>
  <c r="Q82" i="31"/>
  <c r="T81" i="31"/>
  <c r="V81" i="31" s="1"/>
  <c r="Q81" i="31"/>
  <c r="T80" i="31"/>
  <c r="V80" i="31" s="1"/>
  <c r="Q80" i="31"/>
  <c r="T79" i="31"/>
  <c r="V79" i="31" s="1"/>
  <c r="Q79" i="31"/>
  <c r="V78" i="31"/>
  <c r="T78" i="31"/>
  <c r="Q78" i="31"/>
  <c r="V77" i="31"/>
  <c r="T77" i="31"/>
  <c r="Q77" i="31"/>
  <c r="T76" i="31"/>
  <c r="V76" i="31" s="1"/>
  <c r="Q76" i="31"/>
  <c r="T75" i="31"/>
  <c r="V75" i="31" s="1"/>
  <c r="Q75" i="31"/>
  <c r="T74" i="31"/>
  <c r="V74" i="31" s="1"/>
  <c r="Q74" i="31"/>
  <c r="T73" i="31"/>
  <c r="V73" i="31" s="1"/>
  <c r="Q73" i="31"/>
  <c r="T72" i="31"/>
  <c r="V72" i="31" s="1"/>
  <c r="Q72" i="31"/>
  <c r="T71" i="31"/>
  <c r="V71" i="31" s="1"/>
  <c r="Q71" i="31"/>
  <c r="V70" i="31"/>
  <c r="T70" i="31"/>
  <c r="Q70" i="31"/>
  <c r="V69" i="31"/>
  <c r="T69" i="31"/>
  <c r="Q69" i="31"/>
  <c r="T68" i="31"/>
  <c r="V68" i="31" s="1"/>
  <c r="Q68" i="31"/>
  <c r="T67" i="31"/>
  <c r="V67" i="31" s="1"/>
  <c r="Q67" i="31"/>
  <c r="T66" i="31"/>
  <c r="V66" i="31" s="1"/>
  <c r="Q66" i="31"/>
  <c r="T65" i="31"/>
  <c r="V65" i="31" s="1"/>
  <c r="Q65" i="31"/>
  <c r="T64" i="31"/>
  <c r="V64" i="31" s="1"/>
  <c r="Q64" i="31"/>
  <c r="T63" i="31"/>
  <c r="V63" i="31" s="1"/>
  <c r="Q63" i="31"/>
  <c r="V62" i="31"/>
  <c r="T62" i="31"/>
  <c r="Q62" i="31"/>
  <c r="V61" i="31"/>
  <c r="T61" i="31"/>
  <c r="Q61" i="31"/>
  <c r="T60" i="31"/>
  <c r="V60" i="31" s="1"/>
  <c r="Q60" i="31"/>
  <c r="T59" i="31"/>
  <c r="V59" i="31" s="1"/>
  <c r="Q59" i="31"/>
  <c r="T58" i="31"/>
  <c r="V58" i="31" s="1"/>
  <c r="Q58" i="31"/>
  <c r="T57" i="31"/>
  <c r="V57" i="31" s="1"/>
  <c r="Q57" i="31"/>
  <c r="T56" i="31"/>
  <c r="V56" i="31" s="1"/>
  <c r="Q56" i="31"/>
  <c r="T55" i="31"/>
  <c r="V55" i="31" s="1"/>
  <c r="Q55" i="31"/>
  <c r="V54" i="31"/>
  <c r="T54" i="31"/>
  <c r="Q54" i="31"/>
  <c r="V53" i="31"/>
  <c r="T53" i="31"/>
  <c r="Q53" i="31"/>
  <c r="T52" i="31"/>
  <c r="V52" i="31" s="1"/>
  <c r="Q52" i="31"/>
  <c r="T51" i="31"/>
  <c r="V51" i="31" s="1"/>
  <c r="Q51" i="31"/>
  <c r="T50" i="31"/>
  <c r="V50" i="31" s="1"/>
  <c r="Q50" i="31"/>
  <c r="T49" i="31"/>
  <c r="V49" i="31" s="1"/>
  <c r="Q49" i="31"/>
  <c r="T48" i="31"/>
  <c r="V48" i="31" s="1"/>
  <c r="Q48" i="31"/>
  <c r="T47" i="31"/>
  <c r="V47" i="31" s="1"/>
  <c r="Q47" i="31"/>
  <c r="V46" i="31"/>
  <c r="T46" i="31"/>
  <c r="Q46" i="31"/>
  <c r="V45" i="31"/>
  <c r="T45" i="31"/>
  <c r="Q45" i="31"/>
  <c r="T44" i="31"/>
  <c r="V44" i="31" s="1"/>
  <c r="Q44" i="31"/>
  <c r="T43" i="31"/>
  <c r="V43" i="31" s="1"/>
  <c r="Q43" i="31"/>
  <c r="T42" i="31"/>
  <c r="V42" i="31" s="1"/>
  <c r="Q42" i="31"/>
  <c r="T41" i="31"/>
  <c r="V41" i="31" s="1"/>
  <c r="Q41" i="31"/>
  <c r="T40" i="31"/>
  <c r="V40" i="31" s="1"/>
  <c r="Q40" i="31"/>
  <c r="T39" i="31"/>
  <c r="V39" i="31" s="1"/>
  <c r="Q39" i="31"/>
  <c r="V38" i="31"/>
  <c r="T38" i="31"/>
  <c r="Q38" i="31"/>
  <c r="V37" i="31"/>
  <c r="T37" i="31"/>
  <c r="Q37" i="31"/>
  <c r="T36" i="31"/>
  <c r="V36" i="31" s="1"/>
  <c r="Q36" i="31"/>
  <c r="T35" i="31"/>
  <c r="V35" i="31" s="1"/>
  <c r="Q35" i="31"/>
  <c r="T34" i="31"/>
  <c r="V34" i="31" s="1"/>
  <c r="Q34" i="31"/>
  <c r="T33" i="31"/>
  <c r="V33" i="31" s="1"/>
  <c r="Q33" i="31"/>
  <c r="T32" i="31"/>
  <c r="V32" i="31" s="1"/>
  <c r="Q32" i="31"/>
  <c r="T31" i="31"/>
  <c r="V31" i="31" s="1"/>
  <c r="Q31" i="31"/>
  <c r="V30" i="31"/>
  <c r="T30" i="31"/>
  <c r="Q30" i="31"/>
  <c r="V29" i="31"/>
  <c r="T29" i="31"/>
  <c r="Q29" i="31"/>
  <c r="T28" i="31"/>
  <c r="V28" i="31" s="1"/>
  <c r="Q28" i="31"/>
  <c r="T27" i="31"/>
  <c r="V27" i="31" s="1"/>
  <c r="Q27" i="31"/>
  <c r="T26" i="31"/>
  <c r="V26" i="31" s="1"/>
  <c r="Q26" i="31"/>
  <c r="T25" i="31"/>
  <c r="V25" i="31" s="1"/>
  <c r="Q25" i="31"/>
  <c r="T24" i="31"/>
  <c r="V24" i="31" s="1"/>
  <c r="Q24" i="31"/>
  <c r="T23" i="31"/>
  <c r="V23" i="31" s="1"/>
  <c r="Q23" i="31"/>
  <c r="V22" i="31"/>
  <c r="T22" i="31"/>
  <c r="Q22" i="31"/>
  <c r="V21" i="31"/>
  <c r="T21" i="31"/>
  <c r="Q21" i="31"/>
  <c r="T20" i="31"/>
  <c r="V20" i="31" s="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V11" i="31"/>
  <c r="T11" i="31"/>
  <c r="Q11" i="31"/>
  <c r="V10" i="31"/>
  <c r="T10" i="31"/>
  <c r="Q10" i="31"/>
  <c r="T9" i="31"/>
  <c r="V9" i="31" s="1"/>
  <c r="Q9" i="31"/>
  <c r="T8" i="31"/>
  <c r="V8" i="31" s="1"/>
  <c r="Q8" i="31"/>
  <c r="T7" i="31"/>
  <c r="V7" i="31" s="1"/>
  <c r="Q7" i="31"/>
  <c r="T6" i="31"/>
  <c r="V6" i="31" s="1"/>
  <c r="Q6" i="31"/>
  <c r="T5" i="31"/>
  <c r="V5" i="31" s="1"/>
  <c r="Q5" i="31"/>
  <c r="T4" i="31"/>
  <c r="V4" i="31" s="1"/>
  <c r="Q4" i="31"/>
  <c r="V3" i="31"/>
  <c r="T3" i="31"/>
  <c r="Q3" i="31"/>
  <c r="V2" i="31"/>
  <c r="T2" i="3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5" i="29" l="1"/>
  <c r="V85" i="29" s="1"/>
  <c r="Q85" i="29"/>
  <c r="V84" i="29"/>
  <c r="T84" i="29"/>
  <c r="Q84" i="29"/>
  <c r="T83" i="29"/>
  <c r="V83" i="29" s="1"/>
  <c r="Q83" i="29"/>
  <c r="T82" i="29"/>
  <c r="V82" i="29" s="1"/>
  <c r="Q82" i="29"/>
  <c r="T81" i="29"/>
  <c r="V81" i="29" s="1"/>
  <c r="Q81" i="29"/>
  <c r="V80" i="29"/>
  <c r="T80" i="29"/>
  <c r="Q80" i="29"/>
  <c r="T70" i="29"/>
  <c r="V70" i="29" s="1"/>
  <c r="Q70" i="29"/>
  <c r="T69" i="29"/>
  <c r="V69" i="29" s="1"/>
  <c r="Q69" i="29"/>
  <c r="T68" i="29"/>
  <c r="V68" i="29" s="1"/>
  <c r="Q68" i="29"/>
  <c r="V67" i="29"/>
  <c r="T67" i="29"/>
  <c r="Q67" i="29"/>
  <c r="T66" i="29"/>
  <c r="V66" i="29" s="1"/>
  <c r="Q66" i="29"/>
  <c r="T65" i="29"/>
  <c r="V65" i="29" s="1"/>
  <c r="Q65" i="29"/>
  <c r="T64" i="29"/>
  <c r="V64" i="29" s="1"/>
  <c r="Q64" i="29"/>
  <c r="V63" i="29"/>
  <c r="T63" i="29"/>
  <c r="Q63" i="29"/>
  <c r="T62" i="29"/>
  <c r="V62" i="29" s="1"/>
  <c r="Q62" i="29"/>
  <c r="T61" i="29"/>
  <c r="V61" i="29" s="1"/>
  <c r="Q61" i="29"/>
  <c r="T60" i="29"/>
  <c r="V60" i="29" s="1"/>
  <c r="Q60" i="29"/>
  <c r="V59" i="29"/>
  <c r="T59" i="29"/>
  <c r="Q59" i="29"/>
  <c r="T58" i="29"/>
  <c r="V58" i="29" s="1"/>
  <c r="Q58" i="29"/>
  <c r="T57" i="29"/>
  <c r="V57" i="29" s="1"/>
  <c r="Q57" i="29"/>
  <c r="T56" i="29"/>
  <c r="V56" i="29" s="1"/>
  <c r="Q56" i="29"/>
  <c r="V55" i="29"/>
  <c r="T55" i="29"/>
  <c r="Q55" i="29"/>
  <c r="T54" i="29"/>
  <c r="V54" i="29" s="1"/>
  <c r="Q54" i="29"/>
  <c r="T53" i="29"/>
  <c r="V53" i="29" s="1"/>
  <c r="Q53" i="29"/>
  <c r="T52" i="29"/>
  <c r="V52" i="29" s="1"/>
  <c r="Q52" i="29"/>
  <c r="V51" i="29"/>
  <c r="T51" i="29"/>
  <c r="Q51" i="29"/>
  <c r="T50" i="29"/>
  <c r="V50" i="29" s="1"/>
  <c r="Q50" i="29"/>
  <c r="T49" i="29"/>
  <c r="V49" i="29" s="1"/>
  <c r="Q49" i="29"/>
  <c r="T48" i="29"/>
  <c r="V48" i="29" s="1"/>
  <c r="Q48" i="29"/>
  <c r="V47" i="29"/>
  <c r="T47" i="29"/>
  <c r="Q47" i="29"/>
  <c r="T46" i="29"/>
  <c r="V46" i="29" s="1"/>
  <c r="Q46" i="29"/>
  <c r="T45" i="29"/>
  <c r="V45" i="29" s="1"/>
  <c r="Q45" i="29"/>
  <c r="T44" i="29"/>
  <c r="V44" i="29" s="1"/>
  <c r="Q44" i="29"/>
  <c r="V43" i="29"/>
  <c r="T43" i="29"/>
  <c r="Q43" i="29"/>
  <c r="T42" i="29"/>
  <c r="V42" i="29" s="1"/>
  <c r="Q42" i="29"/>
  <c r="T41" i="29"/>
  <c r="V41" i="29" s="1"/>
  <c r="Q41" i="29"/>
  <c r="T40" i="29"/>
  <c r="V40" i="29" s="1"/>
  <c r="Q40" i="29"/>
  <c r="V39" i="29"/>
  <c r="T39" i="29"/>
  <c r="Q39" i="29"/>
  <c r="T38" i="29"/>
  <c r="V38" i="29" s="1"/>
  <c r="Q38" i="29"/>
  <c r="T37" i="29"/>
  <c r="V37" i="29" s="1"/>
  <c r="Q37" i="29"/>
  <c r="T36" i="29"/>
  <c r="V36" i="29" s="1"/>
  <c r="Q36" i="29"/>
  <c r="V35" i="29"/>
  <c r="T35" i="29"/>
  <c r="Q35" i="29"/>
  <c r="T34" i="29"/>
  <c r="V34" i="29" s="1"/>
  <c r="Q34" i="29"/>
  <c r="T33" i="29"/>
  <c r="V33" i="29" s="1"/>
  <c r="Q33" i="29"/>
  <c r="T32" i="29"/>
  <c r="V32" i="29" s="1"/>
  <c r="Q32" i="29"/>
  <c r="V31" i="29"/>
  <c r="T31" i="29"/>
  <c r="Q31" i="29"/>
  <c r="T30" i="29"/>
  <c r="V30" i="29" s="1"/>
  <c r="Q30" i="29"/>
  <c r="T29" i="29"/>
  <c r="V29" i="29" s="1"/>
  <c r="Q29" i="29"/>
  <c r="T28" i="29"/>
  <c r="V28" i="29" s="1"/>
  <c r="Q28" i="29"/>
  <c r="V27" i="29"/>
  <c r="T27" i="29"/>
  <c r="Q27" i="29"/>
  <c r="T26" i="29"/>
  <c r="V26" i="29" s="1"/>
  <c r="Q26" i="29"/>
  <c r="T25" i="29"/>
  <c r="V25" i="29" s="1"/>
  <c r="Q25" i="29"/>
  <c r="T24" i="29"/>
  <c r="V24" i="29" s="1"/>
  <c r="Q24" i="29"/>
  <c r="V23" i="29"/>
  <c r="T23" i="29"/>
  <c r="Q23" i="29"/>
  <c r="T22" i="29"/>
  <c r="V22" i="29" s="1"/>
  <c r="Q22" i="29"/>
  <c r="T21" i="29"/>
  <c r="V21" i="29" s="1"/>
  <c r="Q21" i="29"/>
  <c r="T20" i="29"/>
  <c r="V20" i="29" s="1"/>
  <c r="Q20" i="29"/>
  <c r="V19" i="29"/>
  <c r="T19" i="29"/>
  <c r="Q19" i="29"/>
  <c r="T18" i="29"/>
  <c r="V18" i="29" s="1"/>
  <c r="Q18" i="29"/>
  <c r="T17" i="29"/>
  <c r="V17" i="29" s="1"/>
  <c r="Q17" i="29"/>
  <c r="T16" i="29"/>
  <c r="V16" i="29" s="1"/>
  <c r="Q16" i="29"/>
  <c r="V15" i="29"/>
  <c r="T15" i="29"/>
  <c r="Q15" i="29"/>
  <c r="T14" i="29"/>
  <c r="V14" i="29" s="1"/>
  <c r="Q14" i="29"/>
  <c r="T13" i="29"/>
  <c r="V13" i="29" s="1"/>
  <c r="Q13" i="29"/>
  <c r="T12" i="29"/>
  <c r="V12" i="29" s="1"/>
  <c r="Q12" i="29"/>
  <c r="V11" i="29"/>
  <c r="T11" i="29"/>
  <c r="Q11" i="29"/>
  <c r="T10" i="29"/>
  <c r="V10" i="29" s="1"/>
  <c r="Q10" i="29"/>
  <c r="T9" i="29"/>
  <c r="V9" i="29" s="1"/>
  <c r="Q9" i="29"/>
  <c r="T8" i="29"/>
  <c r="V8" i="29" s="1"/>
  <c r="Q8" i="29"/>
  <c r="V7" i="29"/>
  <c r="T7" i="29"/>
  <c r="Q7" i="29"/>
  <c r="T6" i="29"/>
  <c r="V6" i="29" s="1"/>
  <c r="Q6" i="29"/>
  <c r="T5" i="29"/>
  <c r="V5" i="29" s="1"/>
  <c r="Q5" i="29"/>
  <c r="T4" i="29"/>
  <c r="V4" i="29" s="1"/>
  <c r="Q4" i="29"/>
  <c r="V3" i="29"/>
  <c r="T3" i="29"/>
  <c r="Q3" i="29"/>
  <c r="T2" i="29"/>
  <c r="V2" i="29" s="1"/>
  <c r="Q2" i="29"/>
  <c r="T88" i="28" l="1"/>
  <c r="V88" i="28" s="1"/>
  <c r="Q88" i="28"/>
  <c r="V87" i="28"/>
  <c r="T87" i="28"/>
  <c r="Q87" i="28"/>
  <c r="V86" i="28"/>
  <c r="T86" i="28"/>
  <c r="Q86" i="28"/>
  <c r="T85" i="28"/>
  <c r="V85" i="28" s="1"/>
  <c r="Q85" i="28"/>
  <c r="T84" i="28"/>
  <c r="V84" i="28" s="1"/>
  <c r="Q84" i="28"/>
  <c r="T83" i="28"/>
  <c r="V83" i="28" s="1"/>
  <c r="Q83" i="28"/>
  <c r="T82" i="28"/>
  <c r="V82" i="28" s="1"/>
  <c r="Q82" i="28"/>
  <c r="T81" i="28"/>
  <c r="V81" i="28" s="1"/>
  <c r="Q81" i="28"/>
  <c r="T80" i="28"/>
  <c r="V80" i="28" s="1"/>
  <c r="Q80" i="28"/>
  <c r="V79" i="28"/>
  <c r="T79" i="28"/>
  <c r="Q79" i="28"/>
  <c r="V78" i="28"/>
  <c r="T78" i="28"/>
  <c r="Q78" i="28"/>
  <c r="T77" i="28"/>
  <c r="V77" i="28" s="1"/>
  <c r="Q77" i="28"/>
  <c r="T76" i="28"/>
  <c r="V76" i="28" s="1"/>
  <c r="Q76" i="28"/>
  <c r="T75" i="28"/>
  <c r="V75" i="28" s="1"/>
  <c r="Q75" i="28"/>
  <c r="T74" i="28"/>
  <c r="V74" i="28" s="1"/>
  <c r="Q74" i="28"/>
  <c r="T73" i="28"/>
  <c r="V73" i="28" s="1"/>
  <c r="Q73" i="28"/>
  <c r="T72" i="28"/>
  <c r="V72" i="28" s="1"/>
  <c r="Q72" i="28"/>
  <c r="V71" i="28"/>
  <c r="T71" i="28"/>
  <c r="Q71" i="28"/>
  <c r="V70" i="28"/>
  <c r="T70" i="28"/>
  <c r="Q70" i="28"/>
  <c r="T69" i="28"/>
  <c r="V69" i="28" s="1"/>
  <c r="Q69" i="28"/>
  <c r="T68" i="28"/>
  <c r="V68" i="28" s="1"/>
  <c r="Q68" i="28"/>
  <c r="T67" i="28"/>
  <c r="V67" i="28" s="1"/>
  <c r="Q67" i="28"/>
  <c r="T66" i="28"/>
  <c r="V66" i="28" s="1"/>
  <c r="Q66" i="28"/>
  <c r="T65" i="28"/>
  <c r="V65" i="28" s="1"/>
  <c r="Q65" i="28"/>
  <c r="T64" i="28"/>
  <c r="V64" i="28" s="1"/>
  <c r="Q64" i="28"/>
  <c r="V63" i="28"/>
  <c r="T63" i="28"/>
  <c r="Q63" i="28"/>
  <c r="V62" i="28"/>
  <c r="T62" i="28"/>
  <c r="Q62" i="28"/>
  <c r="T61" i="28"/>
  <c r="V61" i="28" s="1"/>
  <c r="Q61" i="28"/>
  <c r="T60" i="28"/>
  <c r="V60" i="28" s="1"/>
  <c r="Q60" i="28"/>
  <c r="T59" i="28"/>
  <c r="V59" i="28" s="1"/>
  <c r="Q59" i="28"/>
  <c r="T58" i="28"/>
  <c r="V58" i="28" s="1"/>
  <c r="Q58" i="28"/>
  <c r="T57" i="28"/>
  <c r="V57" i="28" s="1"/>
  <c r="Q57" i="28"/>
  <c r="T56" i="28"/>
  <c r="V56" i="28" s="1"/>
  <c r="Q56" i="28"/>
  <c r="V55" i="28"/>
  <c r="T55" i="28"/>
  <c r="Q55" i="28"/>
  <c r="V54" i="28"/>
  <c r="T54" i="28"/>
  <c r="Q54" i="28"/>
  <c r="T53" i="28"/>
  <c r="V53" i="28" s="1"/>
  <c r="Q53" i="28"/>
  <c r="T52" i="28"/>
  <c r="V52" i="28" s="1"/>
  <c r="Q52" i="28"/>
  <c r="T51" i="28"/>
  <c r="V51" i="28" s="1"/>
  <c r="Q51" i="28"/>
  <c r="T50" i="28"/>
  <c r="V50" i="28" s="1"/>
  <c r="Q50" i="28"/>
  <c r="T49" i="28"/>
  <c r="V49" i="28" s="1"/>
  <c r="Q49" i="28"/>
  <c r="T48" i="28"/>
  <c r="V48" i="28" s="1"/>
  <c r="Q48" i="28"/>
  <c r="V47" i="28"/>
  <c r="T47" i="28"/>
  <c r="Q47" i="28"/>
  <c r="V46" i="28"/>
  <c r="T46" i="28"/>
  <c r="Q46" i="28"/>
  <c r="T45" i="28"/>
  <c r="V45" i="28" s="1"/>
  <c r="Q45" i="28"/>
  <c r="T44" i="28"/>
  <c r="V44" i="28" s="1"/>
  <c r="Q44" i="28"/>
  <c r="T43" i="28"/>
  <c r="V43" i="28" s="1"/>
  <c r="Q43" i="28"/>
  <c r="T42" i="28"/>
  <c r="V42" i="28" s="1"/>
  <c r="Q42" i="28"/>
  <c r="T41" i="28"/>
  <c r="V41" i="28" s="1"/>
  <c r="Q41" i="28"/>
  <c r="T40" i="28"/>
  <c r="V40" i="28" s="1"/>
  <c r="Q40" i="28"/>
  <c r="V39" i="28"/>
  <c r="T39" i="28"/>
  <c r="Q39" i="28"/>
  <c r="V38" i="28"/>
  <c r="T38" i="28"/>
  <c r="Q38" i="28"/>
  <c r="T37" i="28"/>
  <c r="V37" i="28" s="1"/>
  <c r="Q37" i="28"/>
  <c r="T36" i="28"/>
  <c r="V36" i="28" s="1"/>
  <c r="Q36" i="28"/>
  <c r="T35" i="28"/>
  <c r="V35" i="28" s="1"/>
  <c r="Q35" i="28"/>
  <c r="T34" i="28"/>
  <c r="V34" i="28" s="1"/>
  <c r="Q34" i="28"/>
  <c r="T33" i="28"/>
  <c r="V33" i="28" s="1"/>
  <c r="Q33" i="28"/>
  <c r="T32" i="28"/>
  <c r="V32" i="28" s="1"/>
  <c r="Q32" i="28"/>
  <c r="V31" i="28"/>
  <c r="T31" i="28"/>
  <c r="Q31" i="28"/>
  <c r="V30" i="28"/>
  <c r="T30" i="28"/>
  <c r="Q30" i="28"/>
  <c r="T29" i="28"/>
  <c r="V29" i="28" s="1"/>
  <c r="Q29" i="28"/>
  <c r="T28" i="28"/>
  <c r="V28" i="28" s="1"/>
  <c r="Q28" i="28"/>
  <c r="T27" i="28"/>
  <c r="V27" i="28" s="1"/>
  <c r="Q27" i="28"/>
  <c r="T26" i="28"/>
  <c r="V26" i="28" s="1"/>
  <c r="Q26" i="28"/>
  <c r="T25" i="28"/>
  <c r="V25" i="28" s="1"/>
  <c r="Q25" i="28"/>
  <c r="T24" i="28"/>
  <c r="V24" i="28" s="1"/>
  <c r="Q24" i="28"/>
  <c r="V23" i="28"/>
  <c r="T23" i="28"/>
  <c r="Q23" i="28"/>
  <c r="V22" i="28"/>
  <c r="T22" i="28"/>
  <c r="Q22" i="28"/>
  <c r="T21" i="28"/>
  <c r="V21" i="28" s="1"/>
  <c r="Q21" i="28"/>
  <c r="T20" i="28"/>
  <c r="V20" i="28" s="1"/>
  <c r="Q20" i="28"/>
  <c r="T19" i="28"/>
  <c r="V19" i="28" s="1"/>
  <c r="Q19" i="28"/>
  <c r="T18" i="28"/>
  <c r="V18" i="28" s="1"/>
  <c r="Q18" i="28"/>
  <c r="T17" i="28"/>
  <c r="V17" i="28" s="1"/>
  <c r="Q17" i="28"/>
  <c r="T16" i="28"/>
  <c r="V16" i="28" s="1"/>
  <c r="Q16" i="28"/>
  <c r="V15" i="28"/>
  <c r="T15" i="28"/>
  <c r="Q15" i="28"/>
  <c r="V14" i="28"/>
  <c r="T14" i="28"/>
  <c r="Q14" i="28"/>
  <c r="T13" i="28"/>
  <c r="V13" i="28" s="1"/>
  <c r="Q13" i="28"/>
  <c r="T12" i="28"/>
  <c r="V12" i="28" s="1"/>
  <c r="Q12" i="28"/>
  <c r="T11" i="28"/>
  <c r="V11" i="28" s="1"/>
  <c r="Q11" i="28"/>
  <c r="T10" i="28"/>
  <c r="V10" i="28" s="1"/>
  <c r="Q10" i="28"/>
  <c r="T9" i="28"/>
  <c r="V9" i="28" s="1"/>
  <c r="Q9" i="28"/>
  <c r="T8" i="28"/>
  <c r="V8" i="28" s="1"/>
  <c r="Q8" i="28"/>
  <c r="V7" i="28"/>
  <c r="T7" i="28"/>
  <c r="Q7" i="28"/>
  <c r="V6" i="28"/>
  <c r="T6" i="28"/>
  <c r="Q6" i="28"/>
  <c r="T5" i="28"/>
  <c r="V5" i="28" s="1"/>
  <c r="Q5" i="28"/>
  <c r="T4" i="28"/>
  <c r="V4" i="28" s="1"/>
  <c r="Q4" i="28"/>
  <c r="T3" i="28"/>
  <c r="V3" i="28" s="1"/>
  <c r="Q3" i="28"/>
  <c r="T2" i="28"/>
  <c r="V2" i="28" s="1"/>
  <c r="Q2" i="28"/>
  <c r="T67" i="27"/>
  <c r="V67" i="27" s="1"/>
  <c r="Q67" i="27"/>
  <c r="V66" i="27"/>
  <c r="T66" i="27"/>
  <c r="Q66" i="27"/>
  <c r="T65" i="27"/>
  <c r="V65" i="27" s="1"/>
  <c r="Q65" i="27"/>
  <c r="T64" i="27"/>
  <c r="V64" i="27" s="1"/>
  <c r="Q64" i="27"/>
  <c r="T63" i="27"/>
  <c r="V63" i="27" s="1"/>
  <c r="Q63" i="27"/>
  <c r="V62" i="27"/>
  <c r="T62" i="27"/>
  <c r="Q62" i="27"/>
  <c r="T61" i="27"/>
  <c r="V61" i="27" s="1"/>
  <c r="Q61" i="27"/>
  <c r="T60" i="27"/>
  <c r="V60" i="27" s="1"/>
  <c r="Q60" i="27"/>
  <c r="T59" i="27"/>
  <c r="V59" i="27" s="1"/>
  <c r="Q59" i="27"/>
  <c r="V58" i="27"/>
  <c r="T58" i="27"/>
  <c r="Q58" i="27"/>
  <c r="T57" i="27"/>
  <c r="V57" i="27" s="1"/>
  <c r="Q57" i="27"/>
  <c r="T56" i="27"/>
  <c r="V56" i="27" s="1"/>
  <c r="Q56" i="27"/>
  <c r="T55" i="27"/>
  <c r="V55" i="27" s="1"/>
  <c r="Q55" i="27"/>
  <c r="V54" i="27"/>
  <c r="T54" i="27"/>
  <c r="Q54" i="27"/>
  <c r="T53" i="27"/>
  <c r="V53" i="27" s="1"/>
  <c r="Q53" i="27"/>
  <c r="T52" i="27"/>
  <c r="V52" i="27" s="1"/>
  <c r="Q52" i="27"/>
  <c r="T51" i="27"/>
  <c r="V51" i="27" s="1"/>
  <c r="Q51" i="27"/>
  <c r="V50" i="27"/>
  <c r="T50" i="27"/>
  <c r="Q50" i="27"/>
  <c r="T49" i="27"/>
  <c r="V49" i="27" s="1"/>
  <c r="Q49" i="27"/>
  <c r="T48" i="27"/>
  <c r="V48" i="27" s="1"/>
  <c r="Q48" i="27"/>
  <c r="T47" i="27"/>
  <c r="V47" i="27" s="1"/>
  <c r="Q47" i="27"/>
  <c r="V46" i="27"/>
  <c r="T46" i="27"/>
  <c r="Q46" i="27"/>
  <c r="T45" i="27"/>
  <c r="V45" i="27" s="1"/>
  <c r="Q45" i="27"/>
  <c r="T44" i="27"/>
  <c r="V44" i="27" s="1"/>
  <c r="Q44" i="27"/>
  <c r="T43" i="27"/>
  <c r="V43" i="27" s="1"/>
  <c r="Q43" i="27"/>
  <c r="V42" i="27"/>
  <c r="T42" i="27"/>
  <c r="Q42" i="27"/>
  <c r="T41" i="27"/>
  <c r="V41" i="27" s="1"/>
  <c r="Q41" i="27"/>
  <c r="T40" i="27"/>
  <c r="V40" i="27" s="1"/>
  <c r="Q40" i="27"/>
  <c r="T39" i="27"/>
  <c r="V39" i="27" s="1"/>
  <c r="Q39" i="27"/>
  <c r="V38" i="27"/>
  <c r="T38" i="27"/>
  <c r="Q38" i="27"/>
  <c r="T37" i="27"/>
  <c r="V37" i="27" s="1"/>
  <c r="Q37" i="27"/>
  <c r="T36" i="27"/>
  <c r="V36" i="27" s="1"/>
  <c r="Q36" i="27"/>
  <c r="T35" i="27"/>
  <c r="V35" i="27" s="1"/>
  <c r="Q35" i="27"/>
  <c r="V34" i="27"/>
  <c r="T34" i="27"/>
  <c r="Q34" i="27"/>
  <c r="T33" i="27"/>
  <c r="V33" i="27" s="1"/>
  <c r="Q33" i="27"/>
  <c r="T32" i="27"/>
  <c r="V32" i="27" s="1"/>
  <c r="Q32" i="27"/>
  <c r="T31" i="27"/>
  <c r="V31" i="27" s="1"/>
  <c r="Q31" i="27"/>
  <c r="V30" i="27"/>
  <c r="T30" i="27"/>
  <c r="Q30" i="27"/>
  <c r="T29" i="27"/>
  <c r="V29" i="27" s="1"/>
  <c r="Q29" i="27"/>
  <c r="T28" i="27"/>
  <c r="V28" i="27" s="1"/>
  <c r="Q28" i="27"/>
  <c r="T27" i="27"/>
  <c r="V27" i="27" s="1"/>
  <c r="Q27" i="27"/>
  <c r="V26" i="27"/>
  <c r="T26" i="27"/>
  <c r="Q26" i="27"/>
  <c r="T25" i="27"/>
  <c r="V25" i="27" s="1"/>
  <c r="Q25" i="27"/>
  <c r="V24" i="27"/>
  <c r="T24" i="27"/>
  <c r="Q24" i="27"/>
  <c r="T23" i="27"/>
  <c r="V23" i="27" s="1"/>
  <c r="Q23" i="27"/>
  <c r="V22" i="27"/>
  <c r="T22" i="27"/>
  <c r="Q22" i="27"/>
  <c r="T21" i="27"/>
  <c r="V21" i="27" s="1"/>
  <c r="Q21" i="27"/>
  <c r="T20" i="27"/>
  <c r="V20" i="27" s="1"/>
  <c r="Q20" i="27"/>
  <c r="T19" i="27"/>
  <c r="V19" i="27" s="1"/>
  <c r="Q19" i="27"/>
  <c r="V18" i="27"/>
  <c r="T18" i="27"/>
  <c r="Q18" i="27"/>
  <c r="T17" i="27"/>
  <c r="V17" i="27" s="1"/>
  <c r="Q17" i="27"/>
  <c r="V16" i="27"/>
  <c r="T16" i="27"/>
  <c r="Q16" i="27"/>
  <c r="T15" i="27"/>
  <c r="V15" i="27" s="1"/>
  <c r="Q15" i="27"/>
  <c r="V14" i="27"/>
  <c r="T14" i="27"/>
  <c r="Q14" i="27"/>
  <c r="T13" i="27"/>
  <c r="V13" i="27" s="1"/>
  <c r="Q13" i="27"/>
  <c r="T12" i="27"/>
  <c r="V12" i="27" s="1"/>
  <c r="Q12" i="27"/>
  <c r="T11" i="27"/>
  <c r="V11" i="27" s="1"/>
  <c r="Q11" i="27"/>
  <c r="V10" i="27"/>
  <c r="T10" i="27"/>
  <c r="Q10" i="27"/>
  <c r="T9" i="27"/>
  <c r="V9" i="27" s="1"/>
  <c r="Q9" i="27"/>
  <c r="T8" i="27"/>
  <c r="V8" i="27" s="1"/>
  <c r="Q8" i="27"/>
  <c r="T7" i="27"/>
  <c r="V7" i="27" s="1"/>
  <c r="Q7" i="27"/>
  <c r="V6" i="27"/>
  <c r="T6" i="27"/>
  <c r="Q6" i="27"/>
  <c r="T5" i="27"/>
  <c r="V5" i="27" s="1"/>
  <c r="Q5" i="27"/>
  <c r="T4" i="27"/>
  <c r="V4" i="27" s="1"/>
  <c r="Q4" i="27"/>
  <c r="T3" i="27"/>
  <c r="V3" i="27" s="1"/>
  <c r="Q3" i="27"/>
  <c r="V2" i="27"/>
  <c r="T2" i="27"/>
  <c r="Q2" i="27"/>
  <c r="T124" i="26" l="1"/>
  <c r="V124" i="26" s="1"/>
  <c r="Q124" i="26"/>
  <c r="V123" i="26"/>
  <c r="T123" i="26"/>
  <c r="Q123" i="26"/>
  <c r="T122" i="26"/>
  <c r="V122" i="26" s="1"/>
  <c r="Q122" i="26"/>
  <c r="V121" i="26"/>
  <c r="T121" i="26"/>
  <c r="Q121" i="26"/>
  <c r="T120" i="26"/>
  <c r="V120" i="26" s="1"/>
  <c r="Q120" i="26"/>
  <c r="V119" i="26"/>
  <c r="T119" i="26"/>
  <c r="Q119" i="26"/>
  <c r="T118" i="26"/>
  <c r="V118" i="26" s="1"/>
  <c r="Q118" i="26"/>
  <c r="T117" i="26"/>
  <c r="V117" i="26" s="1"/>
  <c r="Q117" i="26"/>
  <c r="T116" i="26"/>
  <c r="V116" i="26" s="1"/>
  <c r="Q116" i="26"/>
  <c r="V115" i="26"/>
  <c r="T115" i="26"/>
  <c r="Q115" i="26"/>
  <c r="T114" i="26"/>
  <c r="V114" i="26" s="1"/>
  <c r="Q114" i="26"/>
  <c r="V113" i="26"/>
  <c r="T113" i="26"/>
  <c r="Q113" i="26"/>
  <c r="T112" i="26"/>
  <c r="V112" i="26" s="1"/>
  <c r="Q112" i="26"/>
  <c r="V111" i="26"/>
  <c r="T111" i="26"/>
  <c r="Q111" i="26"/>
  <c r="T110" i="26"/>
  <c r="V110" i="26" s="1"/>
  <c r="Q110" i="26"/>
  <c r="T109" i="26"/>
  <c r="V109" i="26" s="1"/>
  <c r="Q109" i="26"/>
  <c r="T108" i="26"/>
  <c r="V108" i="26" s="1"/>
  <c r="Q108" i="26"/>
  <c r="V107" i="26"/>
  <c r="T107" i="26"/>
  <c r="Q107" i="26"/>
  <c r="T106" i="26"/>
  <c r="V106" i="26" s="1"/>
  <c r="Q106" i="26"/>
  <c r="V105" i="26"/>
  <c r="T105" i="26"/>
  <c r="Q105" i="26"/>
  <c r="T104" i="26"/>
  <c r="V104" i="26" s="1"/>
  <c r="Q104" i="26"/>
  <c r="V103" i="26"/>
  <c r="T103" i="26"/>
  <c r="Q103" i="26"/>
  <c r="T102" i="26"/>
  <c r="V102" i="26" s="1"/>
  <c r="Q102" i="26"/>
  <c r="T101" i="26"/>
  <c r="V101" i="26" s="1"/>
  <c r="Q101" i="26"/>
  <c r="T100" i="26"/>
  <c r="V100" i="26" s="1"/>
  <c r="Q100" i="26"/>
  <c r="V99" i="26"/>
  <c r="T99" i="26"/>
  <c r="Q99" i="26"/>
  <c r="T98" i="26"/>
  <c r="V98" i="26" s="1"/>
  <c r="Q98" i="26"/>
  <c r="V97" i="26"/>
  <c r="T97" i="26"/>
  <c r="Q97" i="26"/>
  <c r="T96" i="26"/>
  <c r="V96" i="26" s="1"/>
  <c r="Q96" i="26"/>
  <c r="V95" i="26"/>
  <c r="T95" i="26"/>
  <c r="Q95" i="26"/>
  <c r="T94" i="26"/>
  <c r="V94" i="26" s="1"/>
  <c r="Q94" i="26"/>
  <c r="T93" i="26"/>
  <c r="V93" i="26" s="1"/>
  <c r="Q93" i="26"/>
  <c r="T92" i="26"/>
  <c r="V92" i="26" s="1"/>
  <c r="Q92" i="26"/>
  <c r="V91" i="26"/>
  <c r="T91" i="26"/>
  <c r="Q91" i="26"/>
  <c r="T90" i="26"/>
  <c r="V90" i="26" s="1"/>
  <c r="Q90" i="26"/>
  <c r="V89" i="26"/>
  <c r="T89" i="26"/>
  <c r="Q89" i="26"/>
  <c r="T88" i="26"/>
  <c r="V88" i="26" s="1"/>
  <c r="Q88" i="26"/>
  <c r="V87" i="26"/>
  <c r="T87" i="26"/>
  <c r="Q87" i="26"/>
  <c r="T86" i="26"/>
  <c r="V86" i="26" s="1"/>
  <c r="Q86" i="26"/>
  <c r="T85" i="26"/>
  <c r="V85" i="26" s="1"/>
  <c r="Q85" i="26"/>
  <c r="T84" i="26"/>
  <c r="V84" i="26" s="1"/>
  <c r="Q84" i="26"/>
  <c r="V83" i="26"/>
  <c r="T83" i="26"/>
  <c r="Q83" i="26"/>
  <c r="T82" i="26"/>
  <c r="V82" i="26" s="1"/>
  <c r="Q82" i="26"/>
  <c r="V81" i="26"/>
  <c r="T81" i="26"/>
  <c r="Q81" i="26"/>
  <c r="T80" i="26"/>
  <c r="V80" i="26" s="1"/>
  <c r="Q80" i="26"/>
  <c r="V79" i="26"/>
  <c r="T79" i="26"/>
  <c r="Q79" i="26"/>
  <c r="T78" i="26"/>
  <c r="V78" i="26" s="1"/>
  <c r="Q78" i="26"/>
  <c r="T77" i="26"/>
  <c r="V77" i="26" s="1"/>
  <c r="Q77" i="26"/>
  <c r="T76" i="26"/>
  <c r="V76" i="26" s="1"/>
  <c r="Q76" i="26"/>
  <c r="V75" i="26"/>
  <c r="T75" i="26"/>
  <c r="Q75" i="26"/>
  <c r="T74" i="26"/>
  <c r="V74" i="26" s="1"/>
  <c r="Q74" i="26"/>
  <c r="V73" i="26"/>
  <c r="T73" i="26"/>
  <c r="Q73" i="26"/>
  <c r="T72" i="26"/>
  <c r="V72" i="26" s="1"/>
  <c r="Q72" i="26"/>
  <c r="V71" i="26"/>
  <c r="T71" i="26"/>
  <c r="Q71" i="26"/>
  <c r="T70" i="26"/>
  <c r="V70" i="26" s="1"/>
  <c r="Q70" i="26"/>
  <c r="T69" i="26"/>
  <c r="V69" i="26" s="1"/>
  <c r="Q69" i="26"/>
  <c r="T68" i="26"/>
  <c r="V68" i="26" s="1"/>
  <c r="Q68" i="26"/>
  <c r="V67" i="26"/>
  <c r="T67" i="26"/>
  <c r="Q67" i="26"/>
  <c r="T66" i="26"/>
  <c r="V66" i="26" s="1"/>
  <c r="Q66" i="26"/>
  <c r="V65" i="26"/>
  <c r="T65" i="26"/>
  <c r="Q65" i="26"/>
  <c r="T64" i="26"/>
  <c r="V64" i="26" s="1"/>
  <c r="Q64" i="26"/>
  <c r="V63" i="26"/>
  <c r="T63" i="26"/>
  <c r="Q63" i="26"/>
  <c r="T62" i="26"/>
  <c r="V62" i="26" s="1"/>
  <c r="Q62" i="26"/>
  <c r="T61" i="26"/>
  <c r="V61" i="26" s="1"/>
  <c r="Q61" i="26"/>
  <c r="T60" i="26"/>
  <c r="V60" i="26" s="1"/>
  <c r="Q60" i="26"/>
  <c r="V59" i="26"/>
  <c r="T59" i="26"/>
  <c r="Q59" i="26"/>
  <c r="T58" i="26"/>
  <c r="V58" i="26" s="1"/>
  <c r="Q58" i="26"/>
  <c r="V57" i="26"/>
  <c r="T57" i="26"/>
  <c r="Q57" i="26"/>
  <c r="T56" i="26"/>
  <c r="V56" i="26" s="1"/>
  <c r="Q56" i="26"/>
  <c r="V55" i="26"/>
  <c r="T55" i="26"/>
  <c r="Q55" i="26"/>
  <c r="T54" i="26"/>
  <c r="V54" i="26" s="1"/>
  <c r="Q54" i="26"/>
  <c r="T53" i="26"/>
  <c r="V53" i="26" s="1"/>
  <c r="Q53" i="26"/>
  <c r="T52" i="26"/>
  <c r="V52" i="26" s="1"/>
  <c r="Q52" i="26"/>
  <c r="V51" i="26"/>
  <c r="T51" i="26"/>
  <c r="Q51" i="26"/>
  <c r="T50" i="26"/>
  <c r="V50" i="26" s="1"/>
  <c r="Q50" i="26"/>
  <c r="V49" i="26"/>
  <c r="T49" i="26"/>
  <c r="Q49" i="26"/>
  <c r="T48" i="26"/>
  <c r="V48" i="26" s="1"/>
  <c r="Q48" i="26"/>
  <c r="V47" i="26"/>
  <c r="T47" i="26"/>
  <c r="Q47" i="26"/>
  <c r="T46" i="26"/>
  <c r="V46" i="26" s="1"/>
  <c r="Q46" i="26"/>
  <c r="T45" i="26"/>
  <c r="V45" i="26" s="1"/>
  <c r="Q45" i="26"/>
  <c r="T44" i="26"/>
  <c r="V44" i="26" s="1"/>
  <c r="Q44" i="26"/>
  <c r="V43" i="26"/>
  <c r="T43" i="26"/>
  <c r="Q43" i="26"/>
  <c r="T42" i="26"/>
  <c r="V42" i="26" s="1"/>
  <c r="Q42" i="26"/>
  <c r="V41" i="26"/>
  <c r="T41" i="26"/>
  <c r="Q41" i="26"/>
  <c r="T40" i="26"/>
  <c r="V40" i="26" s="1"/>
  <c r="Q40" i="26"/>
  <c r="V39" i="26"/>
  <c r="T39" i="26"/>
  <c r="Q39" i="26"/>
  <c r="T38" i="26"/>
  <c r="V38" i="26" s="1"/>
  <c r="Q38" i="26"/>
  <c r="T37" i="26"/>
  <c r="V37" i="26" s="1"/>
  <c r="Q37" i="26"/>
  <c r="T36" i="26"/>
  <c r="V36" i="26" s="1"/>
  <c r="Q36" i="26"/>
  <c r="V35" i="26"/>
  <c r="T35" i="26"/>
  <c r="Q35" i="26"/>
  <c r="T34" i="26"/>
  <c r="V34" i="26" s="1"/>
  <c r="Q34" i="26"/>
  <c r="V33" i="26"/>
  <c r="T33" i="26"/>
  <c r="Q33" i="26"/>
  <c r="T32" i="26"/>
  <c r="V32" i="26" s="1"/>
  <c r="Q32" i="26"/>
  <c r="V31" i="26"/>
  <c r="T31" i="26"/>
  <c r="Q31" i="26"/>
  <c r="T30" i="26"/>
  <c r="V30" i="26" s="1"/>
  <c r="Q30" i="26"/>
  <c r="T29" i="26"/>
  <c r="V29" i="26" s="1"/>
  <c r="Q29" i="26"/>
  <c r="T28" i="26"/>
  <c r="V28" i="26" s="1"/>
  <c r="Q28" i="26"/>
  <c r="V27" i="26"/>
  <c r="T27" i="26"/>
  <c r="Q27" i="26"/>
  <c r="T26" i="26"/>
  <c r="V26" i="26" s="1"/>
  <c r="Q26" i="26"/>
  <c r="V25" i="26"/>
  <c r="T25" i="26"/>
  <c r="Q25" i="26"/>
  <c r="T24" i="26"/>
  <c r="V24" i="26" s="1"/>
  <c r="Q24" i="26"/>
  <c r="V23" i="26"/>
  <c r="T23" i="26"/>
  <c r="Q23" i="26"/>
  <c r="T22" i="26"/>
  <c r="V22" i="26" s="1"/>
  <c r="Q22" i="26"/>
  <c r="T21" i="26"/>
  <c r="V21" i="26" s="1"/>
  <c r="Q21" i="26"/>
  <c r="T20" i="26"/>
  <c r="V20" i="26" s="1"/>
  <c r="Q20" i="26"/>
  <c r="V19" i="26"/>
  <c r="T19" i="26"/>
  <c r="Q19" i="26"/>
  <c r="T18" i="26"/>
  <c r="V18" i="26" s="1"/>
  <c r="Q18" i="26"/>
  <c r="V17" i="26"/>
  <c r="T17" i="26"/>
  <c r="Q17" i="26"/>
  <c r="T16" i="26"/>
  <c r="V16" i="26" s="1"/>
  <c r="Q16" i="26"/>
  <c r="V15" i="26"/>
  <c r="T15" i="26"/>
  <c r="Q15" i="26"/>
  <c r="T14" i="26"/>
  <c r="V14" i="26" s="1"/>
  <c r="Q14" i="26"/>
  <c r="T13" i="26"/>
  <c r="V13" i="26" s="1"/>
  <c r="Q13" i="26"/>
  <c r="T12" i="26"/>
  <c r="V12" i="26" s="1"/>
  <c r="Q12" i="26"/>
  <c r="V11" i="26"/>
  <c r="T11" i="26"/>
  <c r="Q11" i="26"/>
  <c r="T10" i="26"/>
  <c r="V10" i="26" s="1"/>
  <c r="Q10" i="26"/>
  <c r="V9" i="26"/>
  <c r="T9" i="26"/>
  <c r="Q9" i="26"/>
  <c r="T8" i="26"/>
  <c r="V8" i="26" s="1"/>
  <c r="Q8" i="26"/>
  <c r="V7" i="26"/>
  <c r="T7" i="26"/>
  <c r="Q7" i="26"/>
  <c r="T6" i="26"/>
  <c r="V6" i="26" s="1"/>
  <c r="Q6" i="26"/>
  <c r="T5" i="26"/>
  <c r="V5" i="26" s="1"/>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<sst xmlns="http://schemas.openxmlformats.org/spreadsheetml/2006/main" count="10293" uniqueCount="551">
  <si>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</si>
  <si>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</si>
  <si>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</si>
  <si>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</si>
  <si>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</si>
  <si>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</si>
  <si>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</si>
  <si>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</si>
  <si>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</si>
  <si>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</si>
  <si>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</si>
  <si>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</si>
  <si>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</si>
  <si>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</si>
  <si>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</si>
  <si>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</si>
  <si>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</si>
  <si>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</si>
  <si>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</si>
  <si>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</si>
  <si>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</si>
  <si>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</si>
  <si>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</si>
  <si>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</si>
  <si>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</si>
  <si>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</si>
  <si>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</si>
  <si>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</si>
  <si>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</si>
  <si>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</si>
  <si>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</si>
  <si>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</si>
  <si>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</si>
  <si>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</si>
  <si>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</si>
  <si>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</si>
  <si>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</si>
  <si>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</si>
  <si>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</si>
  <si>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</si>
  <si>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</si>
  <si>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</si>
  <si>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</si>
  <si>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</si>
  <si>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</si>
  <si>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</si>
  <si>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</si>
  <si>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</si>
  <si>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</si>
  <si>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</si>
  <si>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</si>
  <si>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</si>
  <si>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</si>
  <si>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</si>
  <si>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</si>
  <si>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</si>
  <si>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</si>
  <si>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</si>
  <si>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</si>
  <si>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</si>
  <si>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</si>
  <si>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</si>
  <si>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</si>
  <si>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</si>
  <si>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</si>
  <si>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</si>
  <si>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</si>
  <si>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</si>
  <si>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</si>
  <si>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</si>
  <si>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</si>
  <si>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</si>
  <si>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</si>
  <si>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</si>
  <si>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</si>
  <si>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</si>
  <si>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</si>
  <si>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</si>
  <si>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</si>
  <si>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</si>
  <si>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</si>
  <si>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</si>
  <si>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</si>
  <si>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</si>
  <si>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</si>
  <si>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</si>
  <si>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</si>
  <si>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</si>
  <si>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</si>
  <si>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</si>
  <si>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</si>
  <si>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</si>
  <si>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</si>
  <si>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</si>
  <si>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</si>
  <si>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</si>
  <si>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</si>
  <si>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</si>
  <si>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</si>
  <si>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</si>
  <si>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</si>
  <si>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</si>
  <si>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</si>
  <si>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</si>
  <si>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</si>
  <si>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</si>
  <si>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</si>
  <si>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</si>
  <si>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</si>
  <si>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</si>
  <si>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</si>
  <si>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</si>
  <si>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</si>
  <si>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</si>
  <si>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</si>
  <si>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</si>
  <si>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</si>
  <si>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</si>
  <si>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</si>
  <si>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</si>
  <si>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</si>
  <si>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</si>
  <si>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</si>
  <si>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</si>
  <si>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</si>
  <si>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</si>
  <si>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</si>
  <si>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</si>
  <si>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</si>
  <si>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</si>
  <si>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</si>
  <si>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</si>
  <si>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</si>
  <si>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</si>
  <si>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</si>
  <si>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</si>
  <si>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</si>
  <si>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</si>
  <si>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</si>
  <si>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</si>
  <si>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</si>
  <si>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</si>
  <si>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</si>
  <si>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</si>
  <si>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</si>
  <si>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</si>
  <si>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</si>
  <si>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</si>
  <si>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</si>
  <si>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</si>
  <si>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</si>
  <si>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</si>
  <si>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</si>
  <si>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</si>
  <si>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</si>
  <si>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</si>
  <si>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</si>
  <si>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</si>
  <si>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</si>
  <si>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</si>
  <si>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</si>
  <si>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</si>
  <si>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</si>
  <si>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</si>
  <si>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</si>
  <si>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t>Gold
SIZE</t>
    <phoneticPr fontId="4"/>
  </si>
  <si>
    <t>GA</t>
  </si>
  <si>
    <t>佐賀</t>
    <rPh sb="0" eb="2">
      <t>サガ</t>
    </rPh>
    <phoneticPr fontId="3"/>
  </si>
  <si>
    <t>ラフランス</t>
  </si>
  <si>
    <t>西友</t>
  </si>
  <si>
    <r>
      <t xml:space="preserve">Gold
</t>
    </r>
    <r>
      <rPr>
        <b/>
        <sz val="8"/>
        <rFont val="ＭＳ Ｐゴシック"/>
        <family val="3"/>
        <charset val="128"/>
      </rPr>
      <t>最低重量</t>
    </r>
    <phoneticPr fontId="4"/>
  </si>
  <si>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</si>
  <si>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</si>
  <si>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</si>
  <si>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</si>
  <si>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</si>
  <si>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</si>
  <si>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</si>
  <si>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</si>
  <si>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</si>
  <si>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</si>
  <si>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</si>
  <si>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</si>
  <si>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</si>
  <si>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</si>
  <si>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</si>
  <si>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</si>
  <si>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</si>
  <si>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</si>
  <si>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</si>
  <si>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</si>
  <si>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</si>
  <si>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</si>
  <si>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</si>
  <si>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</si>
  <si>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</si>
  <si>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</si>
  <si>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</si>
  <si>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</si>
  <si>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</si>
  <si>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</si>
  <si>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</si>
  <si>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</si>
  <si>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</si>
  <si>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</si>
  <si>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</si>
  <si>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</si>
  <si>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</si>
  <si>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</si>
  <si>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</si>
  <si>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</si>
  <si>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</si>
  <si>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</si>
  <si>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</si>
  <si>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</si>
  <si>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</si>
  <si>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</si>
  <si>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</si>
  <si>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</si>
  <si>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</si>
  <si>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</si>
  <si>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</si>
  <si>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</si>
  <si>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</si>
  <si>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</si>
  <si>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</si>
  <si>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</si>
  <si>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</si>
  <si>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</si>
  <si>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</si>
  <si>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</si>
  <si>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</si>
  <si>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</si>
  <si>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</si>
  <si>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</si>
  <si>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</si>
  <si>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</si>
  <si>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</si>
  <si>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</si>
  <si>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</si>
  <si>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</si>
  <si>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</si>
  <si>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</si>
  <si>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</si>
  <si>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</si>
  <si>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</si>
  <si>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</si>
  <si>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</si>
  <si>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</si>
  <si>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</si>
  <si>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</si>
  <si>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</si>
  <si>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</si>
  <si>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</si>
  <si>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</si>
  <si>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</si>
  <si>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</si>
  <si>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</si>
  <si>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</si>
  <si>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</si>
  <si>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</si>
  <si>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</si>
  <si>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福岡</t>
    <rPh sb="0" eb="2">
      <t>フクオカ</t>
    </rPh>
    <phoneticPr fontId="4"/>
  </si>
  <si>
    <t>西鉄ストア</t>
    <rPh sb="0" eb="2">
      <t>ニシテツ</t>
    </rPh>
    <phoneticPr fontId="3"/>
  </si>
  <si>
    <t>GK</t>
    <phoneticPr fontId="4"/>
  </si>
  <si>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</si>
  <si>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</si>
  <si>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</si>
  <si>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</si>
  <si>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</si>
  <si>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</si>
  <si>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</si>
  <si>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</si>
  <si>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</si>
  <si>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</si>
  <si>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</si>
  <si>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</si>
  <si>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Gold
SIZE</t>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</si>
  <si>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</si>
  <si>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</si>
  <si>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</si>
  <si>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</si>
  <si>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</si>
  <si>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</si>
  <si>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</si>
  <si>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</si>
  <si>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</si>
  <si>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</si>
  <si>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</si>
  <si>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</si>
  <si>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</si>
  <si>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</si>
  <si>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</si>
  <si>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</si>
  <si>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</si>
  <si>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</si>
  <si>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</si>
  <si>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</si>
  <si>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</si>
  <si>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</si>
  <si>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</si>
  <si>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</si>
  <si>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</si>
  <si>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</si>
  <si>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</si>
  <si>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</si>
  <si>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</si>
  <si>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</si>
  <si>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</si>
  <si>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</si>
  <si>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</si>
  <si>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</si>
  <si>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</si>
  <si>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</si>
  <si>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</si>
  <si>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</si>
  <si>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</si>
  <si>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</si>
  <si>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</si>
  <si>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</si>
  <si>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U/P JPY</t>
    <phoneticPr fontId="4"/>
  </si>
  <si>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</si>
  <si>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</si>
  <si>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</si>
  <si>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</si>
  <si>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</si>
  <si>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</si>
  <si>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</si>
  <si>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</si>
  <si>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</si>
  <si>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</si>
  <si>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</si>
  <si>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</si>
  <si>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</si>
  <si>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</si>
  <si>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</si>
  <si>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</si>
  <si>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</si>
  <si>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</si>
  <si>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</si>
  <si>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</si>
  <si>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</si>
  <si>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01.08.2018</t>
  </si>
  <si>
    <t>01.08.2018</t>
    <phoneticPr fontId="3"/>
  </si>
  <si>
    <t>30.07.2018</t>
    <phoneticPr fontId="3"/>
  </si>
  <si>
    <t>30.07.2018</t>
  </si>
  <si>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</si>
  <si>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</si>
  <si>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</si>
  <si>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</si>
  <si>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</si>
  <si>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</si>
  <si>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</si>
  <si>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</si>
  <si>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</si>
  <si>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</si>
  <si>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</si>
  <si>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</si>
  <si>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</si>
  <si>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</si>
  <si>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</si>
  <si>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</si>
  <si>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</si>
  <si>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</si>
  <si>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</si>
  <si>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</si>
  <si>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JP</t>
    <phoneticPr fontId="3"/>
  </si>
  <si>
    <t>01.08.2018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</si>
  <si>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</si>
  <si>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</si>
  <si>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</si>
  <si>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</si>
  <si>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</si>
  <si>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</si>
  <si>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</si>
  <si>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</si>
  <si>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</si>
  <si>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</si>
  <si>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</si>
  <si>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</si>
  <si>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</si>
  <si>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</si>
  <si>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</si>
  <si>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</si>
  <si>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</si>
  <si>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</si>
  <si>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01.08.2018</t>
    <phoneticPr fontId="3"/>
  </si>
  <si>
    <t>カネトク</t>
    <phoneticPr fontId="4"/>
  </si>
  <si>
    <t>JP</t>
    <phoneticPr fontId="3"/>
  </si>
  <si>
    <t>01.08.2018</t>
    <phoneticPr fontId="3"/>
  </si>
  <si>
    <t>マックスバリュ</t>
    <phoneticPr fontId="4"/>
  </si>
  <si>
    <t>長久手店</t>
    <phoneticPr fontId="4"/>
  </si>
  <si>
    <t>アピタ</t>
    <phoneticPr fontId="4"/>
  </si>
  <si>
    <t>JP</t>
    <phoneticPr fontId="3"/>
  </si>
  <si>
    <t>01.08.2018</t>
    <phoneticPr fontId="3"/>
  </si>
  <si>
    <t>アオキスーパー</t>
    <phoneticPr fontId="4"/>
  </si>
  <si>
    <t>長久手店</t>
    <phoneticPr fontId="4"/>
  </si>
  <si>
    <t>JP</t>
    <phoneticPr fontId="3"/>
  </si>
  <si>
    <t>01.08.2018</t>
    <phoneticPr fontId="3"/>
  </si>
  <si>
    <t>JP</t>
    <phoneticPr fontId="3"/>
  </si>
  <si>
    <t>01.08.2018</t>
    <phoneticPr fontId="3"/>
  </si>
  <si>
    <t>JP</t>
    <phoneticPr fontId="3"/>
  </si>
  <si>
    <t>01.08.2018</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</si>
  <si>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</si>
  <si>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</si>
  <si>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</si>
  <si>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</si>
  <si>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</si>
  <si>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</si>
  <si>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</si>
  <si>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</si>
  <si>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</si>
  <si>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03.08.2018</t>
  </si>
  <si>
    <t>津久野店</t>
  </si>
  <si>
    <t>宮崎</t>
  </si>
  <si>
    <t>チェーン名</t>
    <phoneticPr fontId="3"/>
  </si>
  <si>
    <t>JP</t>
    <phoneticPr fontId="3"/>
  </si>
  <si>
    <t>02.08.2018</t>
    <phoneticPr fontId="3"/>
  </si>
  <si>
    <t>JPY</t>
    <phoneticPr fontId="3"/>
  </si>
  <si>
    <t>ﾆｭｰｼﾞｰﾗﾝﾄﾞ</t>
    <phoneticPr fontId="4"/>
  </si>
  <si>
    <t>JP</t>
    <phoneticPr fontId="3"/>
  </si>
  <si>
    <t>02.08.2018</t>
    <phoneticPr fontId="3"/>
  </si>
  <si>
    <t>D'lish</t>
    <phoneticPr fontId="4"/>
  </si>
  <si>
    <t>中国</t>
    <phoneticPr fontId="4"/>
  </si>
  <si>
    <t>HW</t>
    <phoneticPr fontId="4"/>
  </si>
  <si>
    <t>CK</t>
    <phoneticPr fontId="4"/>
  </si>
  <si>
    <t>Del Monte</t>
    <phoneticPr fontId="3"/>
  </si>
  <si>
    <t>OB</t>
    <phoneticPr fontId="4"/>
  </si>
  <si>
    <t>HE</t>
    <phoneticPr fontId="4"/>
  </si>
  <si>
    <t>02.08.2018</t>
    <phoneticPr fontId="3"/>
  </si>
  <si>
    <t>JPY</t>
    <phoneticPr fontId="3"/>
  </si>
  <si>
    <t>02.08.2018</t>
    <phoneticPr fontId="3"/>
  </si>
  <si>
    <t>JPY</t>
    <phoneticPr fontId="3"/>
  </si>
  <si>
    <t>広島</t>
    <phoneticPr fontId="3"/>
  </si>
  <si>
    <t>バナナ</t>
    <phoneticPr fontId="4"/>
  </si>
  <si>
    <t>02.08.2018</t>
    <phoneticPr fontId="3"/>
  </si>
  <si>
    <t>JPY</t>
    <phoneticPr fontId="3"/>
  </si>
  <si>
    <t>パパイヤ</t>
    <phoneticPr fontId="4"/>
  </si>
  <si>
    <t>02.08.2018</t>
    <phoneticPr fontId="3"/>
  </si>
  <si>
    <t>JPY</t>
    <phoneticPr fontId="3"/>
  </si>
  <si>
    <t>びわ</t>
    <phoneticPr fontId="4"/>
  </si>
  <si>
    <t>02.08.2018</t>
    <phoneticPr fontId="3"/>
  </si>
  <si>
    <t>JPY</t>
    <phoneticPr fontId="3"/>
  </si>
  <si>
    <t>メロン</t>
    <phoneticPr fontId="4"/>
  </si>
  <si>
    <t>桃</t>
    <phoneticPr fontId="4"/>
  </si>
  <si>
    <t>02.08.2018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</si>
  <si>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</si>
  <si>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</si>
  <si>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</si>
  <si>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</si>
  <si>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</si>
  <si>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</si>
  <si>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</si>
  <si>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マルショク</t>
    <phoneticPr fontId="3"/>
  </si>
  <si>
    <t>JPY</t>
    <phoneticPr fontId="4"/>
  </si>
  <si>
    <t>一般栽培</t>
    <phoneticPr fontId="4"/>
  </si>
  <si>
    <t>ﾆｭｰｼﾞｰﾗﾝﾄﾞ</t>
    <phoneticPr fontId="4"/>
  </si>
  <si>
    <t>JP</t>
    <phoneticPr fontId="3"/>
  </si>
  <si>
    <t>01.08.2018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</si>
  <si>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</si>
  <si>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</si>
  <si>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</si>
  <si>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</si>
  <si>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</si>
  <si>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</si>
  <si>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</si>
  <si>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</si>
  <si>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</si>
  <si>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</si>
  <si>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</si>
  <si>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</si>
  <si>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</si>
  <si>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</si>
  <si>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</si>
  <si>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</si>
  <si>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01.08.2018</t>
    <phoneticPr fontId="3"/>
  </si>
  <si>
    <t>GA</t>
    <phoneticPr fontId="4"/>
  </si>
  <si>
    <t>オレンジ</t>
    <phoneticPr fontId="3"/>
  </si>
  <si>
    <t>JP</t>
    <phoneticPr fontId="3"/>
  </si>
  <si>
    <t>01.08.2018</t>
    <phoneticPr fontId="3"/>
  </si>
  <si>
    <t>JPY</t>
    <phoneticPr fontId="4"/>
  </si>
  <si>
    <t>JPY</t>
    <phoneticPr fontId="4"/>
  </si>
  <si>
    <t>JP</t>
    <phoneticPr fontId="3"/>
  </si>
  <si>
    <t>01.08.2018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</si>
  <si>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</si>
  <si>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</si>
  <si>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</si>
  <si>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</si>
  <si>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</si>
  <si>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</si>
  <si>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</si>
  <si>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</si>
  <si>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</si>
  <si>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</si>
  <si>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</si>
  <si>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</si>
  <si>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</si>
  <si>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</si>
  <si>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</si>
  <si>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</si>
  <si>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</si>
  <si>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</si>
  <si>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</si>
  <si>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</si>
  <si>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</si>
  <si>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02.08.2018</t>
    <phoneticPr fontId="3"/>
  </si>
  <si>
    <t>サミット</t>
  </si>
  <si>
    <t>JPY</t>
    <phoneticPr fontId="3"/>
  </si>
  <si>
    <t>カドヤ</t>
    <phoneticPr fontId="4"/>
  </si>
  <si>
    <t>ﾆｭｰｼﾞｰﾗﾝﾄﾞ</t>
    <phoneticPr fontId="4"/>
  </si>
  <si>
    <t>02.08.2018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</si>
  <si>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</si>
  <si>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</si>
  <si>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</si>
  <si>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</si>
  <si>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</si>
  <si>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</si>
  <si>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</si>
  <si>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</si>
  <si>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</si>
  <si>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</si>
  <si>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</si>
  <si>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</si>
  <si>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</si>
  <si>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</si>
  <si>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</si>
  <si>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</si>
  <si>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</si>
  <si>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</si>
  <si>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</si>
  <si>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</si>
  <si>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</si>
  <si>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</si>
  <si>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</si>
  <si>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</si>
  <si>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30.07.2018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</si>
  <si>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</si>
  <si>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</si>
  <si>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</si>
  <si>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</si>
  <si>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</si>
  <si>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</si>
  <si>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</si>
  <si>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</si>
  <si>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</si>
  <si>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30.07.2018</t>
    <phoneticPr fontId="3"/>
  </si>
  <si>
    <t>30.07.2018</t>
    <phoneticPr fontId="3"/>
  </si>
  <si>
    <t>30.07.2018</t>
    <phoneticPr fontId="3"/>
  </si>
  <si>
    <t>30.07.2018</t>
    <phoneticPr fontId="3"/>
  </si>
  <si>
    <t>30.07.2018</t>
    <phoneticPr fontId="3"/>
  </si>
  <si>
    <t>30.07.2018</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</si>
</sst>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9" sqref="AB9"/>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337</v>
      </c>
      <c r="B2" s="15" t="s">
        <v>339</v>
      </c>
      <c r="C2" s="15">
        <v>2018</v>
      </c>
      <c r="D2" s="50" t="s">
        <v>343</v>
      </c>
      <c r="E2" s="15" t="s">
        <v>142</v>
      </c>
      <c r="F2" s="15" t="s">
        <v>151</v>
      </c>
      <c r="G2" s="15" t="s">
        <v>36</v>
      </c>
      <c r="H2" s="15" t="s">
        <v>157</v>
      </c>
      <c r="I2" s="15" t="s">
        <v>155</v>
      </c>
      <c r="J2" s="15" t="s">
        <v>38</v>
      </c>
      <c r="K2" s="7" t="s">
        <v>156</v>
      </c>
      <c r="L2" s="7">
        <v>1</v>
      </c>
      <c r="N2" s="47">
        <v>1</v>
      </c>
      <c r="O2" s="15">
        <v>0.6</v>
      </c>
      <c r="P2" s="15">
        <v>0.7</v>
      </c>
      <c r="Q2" s="51">
        <f t="shared" ref="Q2:Q65" si="0">IF(OR(O2="",P2=""),"",AVERAGE(O2,P2))</f>
        <v>0.64999999999999991</v>
      </c>
      <c r="R2" s="15">
        <v>14.7</v>
      </c>
      <c r="S2" s="15">
        <v>119</v>
      </c>
      <c r="T2" s="38">
        <f t="shared" ref="T2:T59" si="1">IF(H2="","",IF(OR(H2="GREEN",H2="GK"),IF(S2&gt;=$AX$2,VLOOKUP(S2,$AX$2:$AY$12,2,1),""),IF(S2&gt;=$AZ$2,VLOOKUP(S2,$AZ$2:$BA$12,2,1),"")))</f>
        <v>30</v>
      </c>
      <c r="U2" s="15">
        <v>105</v>
      </c>
      <c r="V2" s="38">
        <f t="shared" ref="V2:V65" si="2">IF(OR(N2="",U2="",T2=""),"",U2/N2*T2)</f>
        <v>3150</v>
      </c>
      <c r="W2" s="15">
        <v>3</v>
      </c>
      <c r="X2" s="15" t="s">
        <v>46</v>
      </c>
      <c r="Y2" s="15" t="s">
        <v>88</v>
      </c>
      <c r="Z2" s="15" t="s">
        <v>86</v>
      </c>
      <c r="AA2" s="15" t="s">
        <v>78</v>
      </c>
      <c r="AB2" s="39" t="s">
        <v>341</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337</v>
      </c>
      <c r="B3" s="15" t="s">
        <v>338</v>
      </c>
      <c r="C3" s="15">
        <v>2018</v>
      </c>
      <c r="D3" s="37" t="s">
        <v>342</v>
      </c>
      <c r="E3" s="15" t="s">
        <v>142</v>
      </c>
      <c r="F3" s="7" t="s">
        <v>151</v>
      </c>
      <c r="G3" s="7" t="s">
        <v>36</v>
      </c>
      <c r="H3" s="15" t="s">
        <v>157</v>
      </c>
      <c r="I3" s="7" t="s">
        <v>155</v>
      </c>
      <c r="J3" s="15" t="s">
        <v>38</v>
      </c>
      <c r="K3" s="7" t="s">
        <v>156</v>
      </c>
      <c r="L3" s="7">
        <v>2</v>
      </c>
      <c r="N3" s="7">
        <v>1</v>
      </c>
      <c r="O3" s="34">
        <v>0.7</v>
      </c>
      <c r="P3" s="7">
        <v>0.55000000000000004</v>
      </c>
      <c r="Q3" s="52">
        <f t="shared" si="0"/>
        <v>0.625</v>
      </c>
      <c r="R3" s="7">
        <v>14.8</v>
      </c>
      <c r="S3" s="7">
        <v>126</v>
      </c>
      <c r="T3" s="16">
        <f t="shared" si="1"/>
        <v>27</v>
      </c>
      <c r="U3" s="15">
        <v>105</v>
      </c>
      <c r="V3" s="16">
        <f t="shared" si="2"/>
        <v>2835</v>
      </c>
      <c r="W3" s="15">
        <v>3</v>
      </c>
      <c r="X3" s="15" t="s">
        <v>46</v>
      </c>
      <c r="Y3" s="216" t="s">
        <v>88</v>
      </c>
      <c r="Z3" s="216" t="s">
        <v>86</v>
      </c>
      <c r="AA3" s="216" t="s">
        <v>78</v>
      </c>
      <c r="AB3" s="39" t="s">
        <v>340</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337</v>
      </c>
      <c r="B4" s="15" t="s">
        <v>338</v>
      </c>
      <c r="C4" s="15">
        <v>2018</v>
      </c>
      <c r="D4" s="37" t="s">
        <v>342</v>
      </c>
      <c r="E4" s="15" t="s">
        <v>142</v>
      </c>
      <c r="F4" s="7" t="s">
        <v>151</v>
      </c>
      <c r="G4" s="7" t="s">
        <v>36</v>
      </c>
      <c r="H4" s="15" t="s">
        <v>157</v>
      </c>
      <c r="I4" s="208" t="s">
        <v>155</v>
      </c>
      <c r="J4" s="15" t="s">
        <v>38</v>
      </c>
      <c r="K4" s="7" t="s">
        <v>156</v>
      </c>
      <c r="L4" s="7">
        <v>3</v>
      </c>
      <c r="N4" s="7">
        <v>1</v>
      </c>
      <c r="O4" s="7">
        <v>0.5</v>
      </c>
      <c r="P4" s="7">
        <v>0.65</v>
      </c>
      <c r="Q4" s="52">
        <f t="shared" si="0"/>
        <v>0.57499999999999996</v>
      </c>
      <c r="R4" s="7">
        <v>13.3</v>
      </c>
      <c r="S4" s="7">
        <v>119</v>
      </c>
      <c r="T4" s="16">
        <f t="shared" si="1"/>
        <v>30</v>
      </c>
      <c r="U4" s="15">
        <v>105</v>
      </c>
      <c r="V4" s="16">
        <f t="shared" si="2"/>
        <v>3150</v>
      </c>
      <c r="W4" s="15">
        <v>3</v>
      </c>
      <c r="X4" s="15" t="s">
        <v>46</v>
      </c>
      <c r="Y4" s="216" t="s">
        <v>88</v>
      </c>
      <c r="Z4" s="216" t="s">
        <v>86</v>
      </c>
      <c r="AA4" s="216" t="s">
        <v>78</v>
      </c>
      <c r="AB4" s="39" t="s">
        <v>340</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337</v>
      </c>
      <c r="B5" s="15" t="s">
        <v>338</v>
      </c>
      <c r="C5" s="15">
        <v>2018</v>
      </c>
      <c r="D5" s="37" t="s">
        <v>342</v>
      </c>
      <c r="E5" s="15" t="s">
        <v>142</v>
      </c>
      <c r="F5" s="15" t="s">
        <v>151</v>
      </c>
      <c r="G5" s="7" t="s">
        <v>36</v>
      </c>
      <c r="H5" s="15" t="s">
        <v>166</v>
      </c>
      <c r="I5" s="208" t="s">
        <v>155</v>
      </c>
      <c r="J5" s="15" t="s">
        <v>38</v>
      </c>
      <c r="K5" s="7" t="s">
        <v>156</v>
      </c>
      <c r="L5" s="7">
        <v>1</v>
      </c>
      <c r="N5" s="7">
        <v>1</v>
      </c>
      <c r="O5" s="7">
        <v>0.6</v>
      </c>
      <c r="P5" s="7">
        <v>0.65</v>
      </c>
      <c r="Q5" s="52">
        <f t="shared" si="0"/>
        <v>0.625</v>
      </c>
      <c r="R5" s="7">
        <v>19.100000000000001</v>
      </c>
      <c r="S5" s="7">
        <v>129</v>
      </c>
      <c r="T5" s="16">
        <f t="shared" si="1"/>
        <v>25</v>
      </c>
      <c r="U5" s="15">
        <v>145</v>
      </c>
      <c r="V5" s="16">
        <f t="shared" si="2"/>
        <v>3625</v>
      </c>
      <c r="W5" s="15">
        <v>3</v>
      </c>
      <c r="X5" s="15" t="s">
        <v>46</v>
      </c>
      <c r="Y5" s="216" t="s">
        <v>88</v>
      </c>
      <c r="Z5" s="216" t="s">
        <v>86</v>
      </c>
      <c r="AA5" s="216" t="s">
        <v>78</v>
      </c>
      <c r="AB5" s="39" t="s">
        <v>340</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337</v>
      </c>
      <c r="B6" s="15" t="s">
        <v>338</v>
      </c>
      <c r="C6" s="15">
        <v>2018</v>
      </c>
      <c r="D6" s="37" t="s">
        <v>342</v>
      </c>
      <c r="E6" s="15" t="s">
        <v>142</v>
      </c>
      <c r="F6" s="7" t="s">
        <v>151</v>
      </c>
      <c r="G6" s="7" t="s">
        <v>36</v>
      </c>
      <c r="H6" s="216" t="s">
        <v>166</v>
      </c>
      <c r="I6" s="208" t="s">
        <v>155</v>
      </c>
      <c r="J6" s="216" t="s">
        <v>38</v>
      </c>
      <c r="K6" s="208" t="s">
        <v>156</v>
      </c>
      <c r="L6" s="7">
        <v>2</v>
      </c>
      <c r="N6" s="7">
        <v>1</v>
      </c>
      <c r="O6" s="7">
        <v>0.55000000000000004</v>
      </c>
      <c r="P6" s="7">
        <v>0.65</v>
      </c>
      <c r="Q6" s="52">
        <f t="shared" si="0"/>
        <v>0.60000000000000009</v>
      </c>
      <c r="R6" s="7">
        <v>19.2</v>
      </c>
      <c r="S6" s="7">
        <v>128</v>
      </c>
      <c r="T6" s="16">
        <f t="shared" si="1"/>
        <v>27</v>
      </c>
      <c r="U6" s="216">
        <v>145</v>
      </c>
      <c r="V6" s="16">
        <f t="shared" si="2"/>
        <v>3915</v>
      </c>
      <c r="W6" s="15">
        <v>3</v>
      </c>
      <c r="X6" s="15" t="s">
        <v>46</v>
      </c>
      <c r="Y6" s="216" t="s">
        <v>88</v>
      </c>
      <c r="Z6" s="216" t="s">
        <v>86</v>
      </c>
      <c r="AA6" s="216" t="s">
        <v>78</v>
      </c>
      <c r="AB6" s="39" t="s">
        <v>340</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337</v>
      </c>
      <c r="B7" s="15" t="s">
        <v>338</v>
      </c>
      <c r="C7" s="15">
        <v>2018</v>
      </c>
      <c r="D7" s="37" t="s">
        <v>342</v>
      </c>
      <c r="E7" s="15" t="s">
        <v>142</v>
      </c>
      <c r="F7" s="7" t="s">
        <v>151</v>
      </c>
      <c r="G7" s="7" t="s">
        <v>36</v>
      </c>
      <c r="H7" s="216" t="s">
        <v>166</v>
      </c>
      <c r="I7" s="208" t="s">
        <v>155</v>
      </c>
      <c r="J7" s="216" t="s">
        <v>38</v>
      </c>
      <c r="K7" s="208" t="s">
        <v>156</v>
      </c>
      <c r="L7" s="7">
        <v>3</v>
      </c>
      <c r="N7" s="7">
        <v>1</v>
      </c>
      <c r="O7" s="7">
        <v>0.6</v>
      </c>
      <c r="P7" s="7">
        <v>0.6</v>
      </c>
      <c r="Q7" s="52">
        <f t="shared" si="0"/>
        <v>0.6</v>
      </c>
      <c r="R7" s="34">
        <v>18.3</v>
      </c>
      <c r="S7" s="7">
        <v>134</v>
      </c>
      <c r="T7" s="16">
        <f t="shared" si="1"/>
        <v>25</v>
      </c>
      <c r="U7" s="216">
        <v>145</v>
      </c>
      <c r="V7" s="16">
        <f t="shared" si="2"/>
        <v>3625</v>
      </c>
      <c r="W7" s="15">
        <v>3</v>
      </c>
      <c r="X7" s="15" t="s">
        <v>46</v>
      </c>
      <c r="Y7" s="216" t="s">
        <v>88</v>
      </c>
      <c r="Z7" s="216" t="s">
        <v>86</v>
      </c>
      <c r="AA7" s="216" t="s">
        <v>78</v>
      </c>
      <c r="AB7" s="39" t="s">
        <v>340</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337</v>
      </c>
      <c r="B8" s="15" t="s">
        <v>338</v>
      </c>
      <c r="C8" s="15">
        <v>2018</v>
      </c>
      <c r="D8" s="37" t="s">
        <v>342</v>
      </c>
      <c r="E8" s="15" t="s">
        <v>133</v>
      </c>
      <c r="F8" s="7" t="s">
        <v>152</v>
      </c>
      <c r="G8" s="7" t="s">
        <v>36</v>
      </c>
      <c r="H8" s="15" t="s">
        <v>166</v>
      </c>
      <c r="I8" s="208" t="s">
        <v>155</v>
      </c>
      <c r="J8" s="15" t="s">
        <v>38</v>
      </c>
      <c r="K8" s="7" t="s">
        <v>156</v>
      </c>
      <c r="L8" s="7">
        <v>1</v>
      </c>
      <c r="N8" s="7">
        <v>1</v>
      </c>
      <c r="O8" s="7">
        <v>0.6</v>
      </c>
      <c r="P8" s="7">
        <v>0.5</v>
      </c>
      <c r="Q8" s="52">
        <f t="shared" si="0"/>
        <v>0.55000000000000004</v>
      </c>
      <c r="R8" s="34">
        <v>19.7</v>
      </c>
      <c r="S8" s="7">
        <v>124</v>
      </c>
      <c r="T8" s="16">
        <f t="shared" si="1"/>
        <v>27</v>
      </c>
      <c r="U8" s="15">
        <v>105</v>
      </c>
      <c r="V8" s="16">
        <f t="shared" si="2"/>
        <v>2835</v>
      </c>
      <c r="W8" s="15">
        <v>18</v>
      </c>
      <c r="X8" s="15" t="s">
        <v>46</v>
      </c>
      <c r="Y8" s="216" t="s">
        <v>86</v>
      </c>
      <c r="Z8" s="216" t="s">
        <v>69</v>
      </c>
      <c r="AA8" s="216" t="s">
        <v>88</v>
      </c>
      <c r="AB8" s="39" t="s">
        <v>340</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337</v>
      </c>
      <c r="B9" s="15" t="s">
        <v>338</v>
      </c>
      <c r="C9" s="15">
        <v>2018</v>
      </c>
      <c r="D9" s="37" t="s">
        <v>342</v>
      </c>
      <c r="E9" s="15" t="s">
        <v>133</v>
      </c>
      <c r="F9" s="7" t="s">
        <v>152</v>
      </c>
      <c r="G9" s="7" t="s">
        <v>36</v>
      </c>
      <c r="H9" s="216" t="s">
        <v>166</v>
      </c>
      <c r="I9" s="208" t="s">
        <v>155</v>
      </c>
      <c r="J9" s="216" t="s">
        <v>38</v>
      </c>
      <c r="K9" s="208" t="s">
        <v>156</v>
      </c>
      <c r="L9" s="7">
        <v>2</v>
      </c>
      <c r="N9" s="7">
        <v>1</v>
      </c>
      <c r="O9" s="7">
        <v>0.5</v>
      </c>
      <c r="P9" s="7">
        <v>0.55000000000000004</v>
      </c>
      <c r="Q9" s="52">
        <f t="shared" si="0"/>
        <v>0.52500000000000002</v>
      </c>
      <c r="R9" s="7">
        <v>16.399999999999999</v>
      </c>
      <c r="S9" s="7">
        <v>125</v>
      </c>
      <c r="T9" s="16">
        <f t="shared" si="1"/>
        <v>27</v>
      </c>
      <c r="U9" s="216">
        <v>105</v>
      </c>
      <c r="V9" s="16">
        <f t="shared" si="2"/>
        <v>2835</v>
      </c>
      <c r="W9" s="15">
        <v>18</v>
      </c>
      <c r="X9" s="15" t="s">
        <v>46</v>
      </c>
      <c r="Y9" s="216" t="s">
        <v>86</v>
      </c>
      <c r="Z9" s="216" t="s">
        <v>69</v>
      </c>
      <c r="AA9" s="216" t="s">
        <v>88</v>
      </c>
      <c r="AB9" s="39" t="s">
        <v>340</v>
      </c>
      <c r="AE9" s="22" t="s">
        <v>98</v>
      </c>
      <c r="AG9" s="49" t="s">
        <v>133</v>
      </c>
      <c r="AH9" s="49" t="s">
        <v>152</v>
      </c>
      <c r="AL9" s="34"/>
      <c r="AP9" s="23" t="s">
        <v>95</v>
      </c>
      <c r="AR9" s="30" t="s">
        <v>89</v>
      </c>
      <c r="AV9" s="23" t="s">
        <v>102</v>
      </c>
      <c r="AX9" s="24">
        <v>128</v>
      </c>
      <c r="AY9" s="25">
        <v>27</v>
      </c>
      <c r="AZ9" s="25">
        <v>129</v>
      </c>
      <c r="BA9" s="26">
        <v>25</v>
      </c>
    </row>
    <row r="10" spans="1:53" x14ac:dyDescent="0.15">
      <c r="A10" s="15" t="s">
        <v>337</v>
      </c>
      <c r="B10" s="15" t="s">
        <v>338</v>
      </c>
      <c r="C10" s="15">
        <v>2018</v>
      </c>
      <c r="D10" s="37" t="s">
        <v>342</v>
      </c>
      <c r="E10" s="15" t="s">
        <v>133</v>
      </c>
      <c r="F10" s="7" t="s">
        <v>152</v>
      </c>
      <c r="G10" s="7" t="s">
        <v>36</v>
      </c>
      <c r="H10" s="216" t="s">
        <v>166</v>
      </c>
      <c r="I10" s="208" t="s">
        <v>155</v>
      </c>
      <c r="J10" s="216" t="s">
        <v>38</v>
      </c>
      <c r="K10" s="208" t="s">
        <v>156</v>
      </c>
      <c r="L10" s="7">
        <v>3</v>
      </c>
      <c r="N10" s="7">
        <v>1</v>
      </c>
      <c r="O10" s="7">
        <v>0.5</v>
      </c>
      <c r="P10" s="7">
        <v>0.5</v>
      </c>
      <c r="Q10" s="52">
        <f t="shared" si="0"/>
        <v>0.5</v>
      </c>
      <c r="R10" s="7">
        <v>17.899999999999999</v>
      </c>
      <c r="S10" s="7">
        <v>118</v>
      </c>
      <c r="T10" s="16">
        <f t="shared" si="1"/>
        <v>30</v>
      </c>
      <c r="U10" s="216">
        <v>105</v>
      </c>
      <c r="V10" s="16">
        <f t="shared" si="2"/>
        <v>3150</v>
      </c>
      <c r="W10" s="15">
        <v>18</v>
      </c>
      <c r="X10" s="15" t="s">
        <v>46</v>
      </c>
      <c r="Y10" s="216" t="s">
        <v>86</v>
      </c>
      <c r="Z10" s="216" t="s">
        <v>69</v>
      </c>
      <c r="AA10" s="216" t="s">
        <v>88</v>
      </c>
      <c r="AB10" s="39" t="s">
        <v>340</v>
      </c>
      <c r="AE10" s="22" t="s">
        <v>103</v>
      </c>
      <c r="AG10" s="49" t="s">
        <v>143</v>
      </c>
      <c r="AH10" s="49" t="s">
        <v>153</v>
      </c>
      <c r="AP10" s="23" t="s">
        <v>100</v>
      </c>
      <c r="AR10" s="30" t="s">
        <v>123</v>
      </c>
      <c r="AV10" s="23" t="s">
        <v>106</v>
      </c>
      <c r="AX10" s="24">
        <v>138</v>
      </c>
      <c r="AY10" s="25">
        <v>25</v>
      </c>
      <c r="AZ10" s="25">
        <v>138</v>
      </c>
      <c r="BA10" s="26">
        <v>22</v>
      </c>
    </row>
    <row r="11" spans="1:53" x14ac:dyDescent="0.15">
      <c r="A11" s="15" t="s">
        <v>337</v>
      </c>
      <c r="B11" s="15" t="s">
        <v>338</v>
      </c>
      <c r="C11" s="15">
        <v>2018</v>
      </c>
      <c r="D11" s="37" t="s">
        <v>342</v>
      </c>
      <c r="E11" s="15" t="s">
        <v>143</v>
      </c>
      <c r="F11" s="7" t="s">
        <v>153</v>
      </c>
      <c r="G11" s="7" t="s">
        <v>36</v>
      </c>
      <c r="H11" s="216" t="s">
        <v>157</v>
      </c>
      <c r="I11" s="7" t="s">
        <v>155</v>
      </c>
      <c r="J11" s="15" t="s">
        <v>38</v>
      </c>
      <c r="K11" s="7" t="s">
        <v>156</v>
      </c>
      <c r="L11" s="7">
        <v>1</v>
      </c>
      <c r="N11" s="7">
        <v>1</v>
      </c>
      <c r="O11" s="7">
        <v>0.55000000000000004</v>
      </c>
      <c r="P11" s="7">
        <v>0.55000000000000004</v>
      </c>
      <c r="Q11" s="52">
        <f t="shared" si="0"/>
        <v>0.55000000000000004</v>
      </c>
      <c r="R11" s="7">
        <v>16</v>
      </c>
      <c r="S11" s="7">
        <v>120</v>
      </c>
      <c r="T11" s="16">
        <f t="shared" si="1"/>
        <v>30</v>
      </c>
      <c r="U11" s="7">
        <v>149</v>
      </c>
      <c r="V11" s="16">
        <f t="shared" si="2"/>
        <v>4470</v>
      </c>
      <c r="W11" s="7">
        <v>5</v>
      </c>
      <c r="X11" s="15" t="s">
        <v>46</v>
      </c>
      <c r="Y11" s="216" t="s">
        <v>88</v>
      </c>
      <c r="Z11" s="216" t="s">
        <v>86</v>
      </c>
      <c r="AA11" s="216" t="s">
        <v>69</v>
      </c>
      <c r="AB11" s="39" t="s">
        <v>340</v>
      </c>
      <c r="AE11" s="22" t="s">
        <v>65</v>
      </c>
      <c r="AG11" s="49" t="s">
        <v>144</v>
      </c>
      <c r="AH11" s="49" t="s">
        <v>154</v>
      </c>
      <c r="AP11" s="23" t="s">
        <v>104</v>
      </c>
      <c r="AR11" s="30" t="s">
        <v>87</v>
      </c>
      <c r="AV11" s="23" t="s">
        <v>69</v>
      </c>
      <c r="AX11" s="24">
        <v>151</v>
      </c>
      <c r="AY11" s="25">
        <v>22</v>
      </c>
      <c r="AZ11" s="25">
        <v>152</v>
      </c>
      <c r="BA11" s="26">
        <v>18</v>
      </c>
    </row>
    <row r="12" spans="1:53" x14ac:dyDescent="0.15">
      <c r="A12" s="15" t="s">
        <v>337</v>
      </c>
      <c r="B12" s="15" t="s">
        <v>338</v>
      </c>
      <c r="C12" s="15">
        <v>2018</v>
      </c>
      <c r="D12" s="37" t="s">
        <v>342</v>
      </c>
      <c r="E12" s="15" t="s">
        <v>143</v>
      </c>
      <c r="F12" s="7" t="s">
        <v>153</v>
      </c>
      <c r="G12" s="7" t="s">
        <v>36</v>
      </c>
      <c r="H12" s="216" t="s">
        <v>157</v>
      </c>
      <c r="I12" s="208" t="s">
        <v>155</v>
      </c>
      <c r="J12" s="216" t="s">
        <v>38</v>
      </c>
      <c r="K12" s="208" t="s">
        <v>156</v>
      </c>
      <c r="L12" s="7">
        <v>2</v>
      </c>
      <c r="N12" s="7">
        <v>1</v>
      </c>
      <c r="O12" s="7">
        <v>0.8</v>
      </c>
      <c r="P12" s="7">
        <v>0.75</v>
      </c>
      <c r="Q12" s="52">
        <f t="shared" si="0"/>
        <v>0.77500000000000002</v>
      </c>
      <c r="R12" s="34">
        <v>14.6</v>
      </c>
      <c r="S12" s="7">
        <v>120</v>
      </c>
      <c r="T12" s="16">
        <f t="shared" si="1"/>
        <v>30</v>
      </c>
      <c r="U12" s="208">
        <v>149</v>
      </c>
      <c r="V12" s="16">
        <f t="shared" si="2"/>
        <v>4470</v>
      </c>
      <c r="W12" s="7">
        <v>5</v>
      </c>
      <c r="X12" s="15" t="s">
        <v>46</v>
      </c>
      <c r="Y12" s="216" t="s">
        <v>88</v>
      </c>
      <c r="Z12" s="216" t="s">
        <v>86</v>
      </c>
      <c r="AA12" s="216" t="s">
        <v>69</v>
      </c>
      <c r="AB12" s="39" t="s">
        <v>340</v>
      </c>
      <c r="AE12" s="22" t="s">
        <v>70</v>
      </c>
      <c r="AG12" s="40"/>
      <c r="AH12" s="40"/>
      <c r="AP12" s="23" t="s">
        <v>67</v>
      </c>
      <c r="AR12" s="30" t="s">
        <v>124</v>
      </c>
      <c r="AV12" s="23" t="s">
        <v>72</v>
      </c>
      <c r="AX12" s="31">
        <v>180</v>
      </c>
      <c r="AY12" s="32">
        <v>18</v>
      </c>
      <c r="AZ12" s="32">
        <v>181</v>
      </c>
      <c r="BA12" s="33">
        <v>16</v>
      </c>
    </row>
    <row r="13" spans="1:53" x14ac:dyDescent="0.15">
      <c r="A13" s="15" t="s">
        <v>337</v>
      </c>
      <c r="B13" s="15" t="s">
        <v>338</v>
      </c>
      <c r="C13" s="15">
        <v>2018</v>
      </c>
      <c r="D13" s="37" t="s">
        <v>342</v>
      </c>
      <c r="E13" s="15" t="s">
        <v>143</v>
      </c>
      <c r="F13" s="7" t="s">
        <v>153</v>
      </c>
      <c r="G13" s="7" t="s">
        <v>36</v>
      </c>
      <c r="H13" s="216" t="s">
        <v>157</v>
      </c>
      <c r="I13" s="208" t="s">
        <v>155</v>
      </c>
      <c r="J13" s="216" t="s">
        <v>38</v>
      </c>
      <c r="K13" s="208" t="s">
        <v>156</v>
      </c>
      <c r="L13" s="7">
        <v>3</v>
      </c>
      <c r="N13" s="7">
        <v>1</v>
      </c>
      <c r="O13" s="7">
        <v>0.65</v>
      </c>
      <c r="P13" s="7">
        <v>0.8</v>
      </c>
      <c r="Q13" s="52">
        <f t="shared" si="0"/>
        <v>0.72500000000000009</v>
      </c>
      <c r="R13" s="7">
        <v>15.5</v>
      </c>
      <c r="S13" s="7">
        <v>1024</v>
      </c>
      <c r="T13" s="16">
        <f t="shared" si="1"/>
        <v>16</v>
      </c>
      <c r="U13" s="208">
        <v>149</v>
      </c>
      <c r="V13" s="16">
        <f t="shared" si="2"/>
        <v>2384</v>
      </c>
      <c r="W13" s="7">
        <v>5</v>
      </c>
      <c r="X13" s="15" t="s">
        <v>46</v>
      </c>
      <c r="Y13" s="216" t="s">
        <v>88</v>
      </c>
      <c r="Z13" s="216" t="s">
        <v>86</v>
      </c>
      <c r="AA13" s="216" t="s">
        <v>69</v>
      </c>
      <c r="AB13" s="39" t="s">
        <v>340</v>
      </c>
      <c r="AE13" s="22" t="s">
        <v>73</v>
      </c>
      <c r="AG13" s="23"/>
      <c r="AH13" s="23"/>
      <c r="AP13" s="23" t="s">
        <v>71</v>
      </c>
      <c r="AR13" s="30" t="s">
        <v>103</v>
      </c>
      <c r="AV13" s="23" t="s">
        <v>75</v>
      </c>
    </row>
    <row r="14" spans="1:53" x14ac:dyDescent="0.15">
      <c r="A14" s="15" t="s">
        <v>337</v>
      </c>
      <c r="B14" s="15" t="s">
        <v>338</v>
      </c>
      <c r="C14" s="15">
        <v>2018</v>
      </c>
      <c r="D14" s="37" t="s">
        <v>342</v>
      </c>
      <c r="E14" s="15" t="s">
        <v>143</v>
      </c>
      <c r="F14" s="7" t="s">
        <v>153</v>
      </c>
      <c r="G14" s="7" t="s">
        <v>36</v>
      </c>
      <c r="H14" s="15" t="s">
        <v>166</v>
      </c>
      <c r="I14" s="7" t="s">
        <v>155</v>
      </c>
      <c r="J14" s="15" t="s">
        <v>38</v>
      </c>
      <c r="K14" s="7" t="s">
        <v>156</v>
      </c>
      <c r="L14" s="7">
        <v>1</v>
      </c>
      <c r="N14" s="7">
        <v>1</v>
      </c>
      <c r="O14" s="7">
        <v>0.6</v>
      </c>
      <c r="P14" s="7">
        <v>0.7</v>
      </c>
      <c r="Q14" s="52">
        <f t="shared" si="0"/>
        <v>0.64999999999999991</v>
      </c>
      <c r="R14" s="7">
        <v>16.2</v>
      </c>
      <c r="S14" s="7">
        <v>145</v>
      </c>
      <c r="T14" s="16">
        <f t="shared" si="1"/>
        <v>22</v>
      </c>
      <c r="U14" s="7">
        <v>170</v>
      </c>
      <c r="V14" s="16">
        <f t="shared" si="2"/>
        <v>3740</v>
      </c>
      <c r="W14" s="7">
        <v>3</v>
      </c>
      <c r="X14" s="15" t="s">
        <v>46</v>
      </c>
      <c r="Y14" s="216" t="s">
        <v>88</v>
      </c>
      <c r="Z14" s="216" t="s">
        <v>86</v>
      </c>
      <c r="AA14" s="216" t="s">
        <v>69</v>
      </c>
      <c r="AB14" s="39" t="s">
        <v>340</v>
      </c>
      <c r="AE14" s="22" t="s">
        <v>76</v>
      </c>
      <c r="AG14" s="23"/>
      <c r="AH14" s="23"/>
      <c r="AP14" s="23" t="s">
        <v>74</v>
      </c>
      <c r="AR14" s="30" t="s">
        <v>125</v>
      </c>
      <c r="AV14" s="23" t="s">
        <v>78</v>
      </c>
    </row>
    <row r="15" spans="1:53" x14ac:dyDescent="0.15">
      <c r="A15" s="15" t="s">
        <v>337</v>
      </c>
      <c r="B15" s="15" t="s">
        <v>338</v>
      </c>
      <c r="C15" s="15">
        <v>2018</v>
      </c>
      <c r="D15" s="37" t="s">
        <v>342</v>
      </c>
      <c r="E15" s="15" t="s">
        <v>143</v>
      </c>
      <c r="F15" s="7" t="s">
        <v>153</v>
      </c>
      <c r="G15" s="7" t="s">
        <v>36</v>
      </c>
      <c r="H15" s="216" t="s">
        <v>166</v>
      </c>
      <c r="I15" s="208" t="s">
        <v>155</v>
      </c>
      <c r="J15" s="216" t="s">
        <v>38</v>
      </c>
      <c r="K15" s="208" t="s">
        <v>156</v>
      </c>
      <c r="L15" s="7">
        <v>2</v>
      </c>
      <c r="N15" s="7">
        <v>1</v>
      </c>
      <c r="O15" s="7">
        <v>0.65</v>
      </c>
      <c r="P15" s="7">
        <v>0.6</v>
      </c>
      <c r="Q15" s="52">
        <f t="shared" si="0"/>
        <v>0.625</v>
      </c>
      <c r="R15" s="7">
        <v>15</v>
      </c>
      <c r="S15" s="7">
        <v>141</v>
      </c>
      <c r="T15" s="16">
        <f t="shared" si="1"/>
        <v>22</v>
      </c>
      <c r="U15" s="208">
        <v>170</v>
      </c>
      <c r="V15" s="16">
        <f t="shared" si="2"/>
        <v>3740</v>
      </c>
      <c r="W15" s="7">
        <v>3</v>
      </c>
      <c r="X15" s="15" t="s">
        <v>46</v>
      </c>
      <c r="Y15" s="216" t="s">
        <v>88</v>
      </c>
      <c r="Z15" s="216" t="s">
        <v>86</v>
      </c>
      <c r="AA15" s="216" t="s">
        <v>69</v>
      </c>
      <c r="AB15" s="39" t="s">
        <v>340</v>
      </c>
      <c r="AE15" s="22" t="s">
        <v>79</v>
      </c>
      <c r="AG15" s="23"/>
      <c r="AH15" s="23"/>
      <c r="AP15" s="23" t="s">
        <v>77</v>
      </c>
      <c r="AR15" s="30" t="s">
        <v>94</v>
      </c>
      <c r="AV15" s="23" t="s">
        <v>107</v>
      </c>
    </row>
    <row r="16" spans="1:53" x14ac:dyDescent="0.15">
      <c r="A16" s="15" t="s">
        <v>337</v>
      </c>
      <c r="B16" s="15" t="s">
        <v>338</v>
      </c>
      <c r="C16" s="15">
        <v>2018</v>
      </c>
      <c r="D16" s="37" t="s">
        <v>342</v>
      </c>
      <c r="E16" s="15" t="s">
        <v>143</v>
      </c>
      <c r="F16" s="7" t="s">
        <v>153</v>
      </c>
      <c r="G16" s="7" t="s">
        <v>36</v>
      </c>
      <c r="H16" s="216" t="s">
        <v>166</v>
      </c>
      <c r="I16" s="208" t="s">
        <v>155</v>
      </c>
      <c r="J16" s="216" t="s">
        <v>38</v>
      </c>
      <c r="K16" s="208" t="s">
        <v>156</v>
      </c>
      <c r="L16" s="7">
        <v>3</v>
      </c>
      <c r="N16" s="7">
        <v>1</v>
      </c>
      <c r="O16" s="7">
        <v>0.5</v>
      </c>
      <c r="P16" s="7">
        <v>0.55000000000000004</v>
      </c>
      <c r="Q16" s="52">
        <f t="shared" si="0"/>
        <v>0.52500000000000002</v>
      </c>
      <c r="R16" s="7">
        <v>19.7</v>
      </c>
      <c r="S16" s="7">
        <v>140</v>
      </c>
      <c r="T16" s="16">
        <f t="shared" si="1"/>
        <v>22</v>
      </c>
      <c r="U16" s="208">
        <v>170</v>
      </c>
      <c r="V16" s="16">
        <f t="shared" si="2"/>
        <v>3740</v>
      </c>
      <c r="W16" s="7">
        <v>3</v>
      </c>
      <c r="X16" s="15" t="s">
        <v>46</v>
      </c>
      <c r="Y16" s="216" t="s">
        <v>88</v>
      </c>
      <c r="Z16" s="216" t="s">
        <v>86</v>
      </c>
      <c r="AA16" s="216" t="s">
        <v>69</v>
      </c>
      <c r="AB16" s="39" t="s">
        <v>340</v>
      </c>
      <c r="AE16" s="22" t="s">
        <v>82</v>
      </c>
      <c r="AG16" s="28"/>
      <c r="AH16" s="28"/>
      <c r="AP16" s="23" t="s">
        <v>80</v>
      </c>
      <c r="AR16" s="41" t="s">
        <v>63</v>
      </c>
      <c r="AV16" s="23" t="s">
        <v>84</v>
      </c>
    </row>
    <row r="17" spans="1:48" x14ac:dyDescent="0.15">
      <c r="A17" s="15" t="s">
        <v>337</v>
      </c>
      <c r="B17" s="15" t="s">
        <v>338</v>
      </c>
      <c r="C17" s="15">
        <v>2018</v>
      </c>
      <c r="D17" s="37" t="s">
        <v>342</v>
      </c>
      <c r="E17" s="15" t="s">
        <v>144</v>
      </c>
      <c r="F17" s="7" t="s">
        <v>154</v>
      </c>
      <c r="G17" s="7" t="s">
        <v>36</v>
      </c>
      <c r="H17" s="15" t="s">
        <v>157</v>
      </c>
      <c r="I17" s="208" t="s">
        <v>155</v>
      </c>
      <c r="J17" s="216" t="s">
        <v>38</v>
      </c>
      <c r="K17" s="208" t="s">
        <v>156</v>
      </c>
      <c r="L17" s="7">
        <v>1</v>
      </c>
      <c r="N17" s="7">
        <v>1</v>
      </c>
      <c r="O17" s="7">
        <v>0.85</v>
      </c>
      <c r="P17" s="7">
        <v>0.8</v>
      </c>
      <c r="Q17" s="52">
        <f t="shared" si="0"/>
        <v>0.82499999999999996</v>
      </c>
      <c r="R17" s="7">
        <v>12.5</v>
      </c>
      <c r="S17" s="7">
        <v>118</v>
      </c>
      <c r="T17" s="16">
        <f t="shared" si="1"/>
        <v>30</v>
      </c>
      <c r="U17" s="7">
        <v>105</v>
      </c>
      <c r="V17" s="16">
        <f t="shared" si="2"/>
        <v>3150</v>
      </c>
      <c r="W17" s="7">
        <v>2</v>
      </c>
      <c r="X17" s="15" t="s">
        <v>39</v>
      </c>
      <c r="Y17" s="216" t="s">
        <v>86</v>
      </c>
      <c r="Z17" s="216" t="s">
        <v>88</v>
      </c>
      <c r="AA17" s="216" t="s">
        <v>78</v>
      </c>
      <c r="AB17" s="39" t="s">
        <v>340</v>
      </c>
      <c r="AE17" s="22" t="s">
        <v>85</v>
      </c>
      <c r="AP17" s="43" t="s">
        <v>110</v>
      </c>
      <c r="AR17" s="41" t="s">
        <v>96</v>
      </c>
      <c r="AV17" s="23" t="s">
        <v>86</v>
      </c>
    </row>
    <row r="18" spans="1:48" x14ac:dyDescent="0.15">
      <c r="A18" s="15" t="s">
        <v>337</v>
      </c>
      <c r="B18" s="15" t="s">
        <v>338</v>
      </c>
      <c r="C18" s="15">
        <v>2018</v>
      </c>
      <c r="D18" s="37" t="s">
        <v>342</v>
      </c>
      <c r="E18" s="15" t="s">
        <v>144</v>
      </c>
      <c r="F18" s="7" t="s">
        <v>154</v>
      </c>
      <c r="G18" s="7" t="s">
        <v>36</v>
      </c>
      <c r="H18" s="216" t="s">
        <v>157</v>
      </c>
      <c r="I18" s="208" t="s">
        <v>155</v>
      </c>
      <c r="J18" s="216" t="s">
        <v>38</v>
      </c>
      <c r="K18" s="208" t="s">
        <v>156</v>
      </c>
      <c r="L18" s="7">
        <v>2</v>
      </c>
      <c r="N18" s="7">
        <v>1</v>
      </c>
      <c r="O18" s="7">
        <v>0.65</v>
      </c>
      <c r="P18" s="7">
        <v>0.55000000000000004</v>
      </c>
      <c r="Q18" s="52">
        <f t="shared" si="0"/>
        <v>0.60000000000000009</v>
      </c>
      <c r="R18" s="7">
        <v>14.4</v>
      </c>
      <c r="S18" s="7">
        <v>119</v>
      </c>
      <c r="T18" s="16">
        <f t="shared" si="1"/>
        <v>30</v>
      </c>
      <c r="U18" s="208">
        <v>105</v>
      </c>
      <c r="V18" s="16">
        <f t="shared" si="2"/>
        <v>3150</v>
      </c>
      <c r="W18" s="7">
        <v>2</v>
      </c>
      <c r="X18" s="216" t="s">
        <v>39</v>
      </c>
      <c r="Y18" s="216" t="s">
        <v>86</v>
      </c>
      <c r="Z18" s="216" t="s">
        <v>88</v>
      </c>
      <c r="AA18" s="216" t="s">
        <v>78</v>
      </c>
      <c r="AB18" s="39" t="s">
        <v>340</v>
      </c>
      <c r="AE18" s="22" t="s">
        <v>87</v>
      </c>
      <c r="AP18" s="43" t="s">
        <v>111</v>
      </c>
      <c r="AR18" s="41" t="s">
        <v>101</v>
      </c>
      <c r="AV18" s="23" t="s">
        <v>88</v>
      </c>
    </row>
    <row r="19" spans="1:48" x14ac:dyDescent="0.15">
      <c r="A19" s="15" t="s">
        <v>337</v>
      </c>
      <c r="B19" s="15" t="s">
        <v>338</v>
      </c>
      <c r="C19" s="15">
        <v>2018</v>
      </c>
      <c r="D19" s="37" t="s">
        <v>342</v>
      </c>
      <c r="E19" s="15" t="s">
        <v>144</v>
      </c>
      <c r="F19" s="7" t="s">
        <v>154</v>
      </c>
      <c r="G19" s="7" t="s">
        <v>36</v>
      </c>
      <c r="H19" s="216" t="s">
        <v>157</v>
      </c>
      <c r="I19" s="208" t="s">
        <v>155</v>
      </c>
      <c r="J19" s="216" t="s">
        <v>38</v>
      </c>
      <c r="K19" s="208" t="s">
        <v>156</v>
      </c>
      <c r="L19" s="7">
        <v>3</v>
      </c>
      <c r="N19" s="7">
        <v>1</v>
      </c>
      <c r="O19" s="7">
        <v>0.55000000000000004</v>
      </c>
      <c r="P19" s="7">
        <v>0.55000000000000004</v>
      </c>
      <c r="Q19" s="52">
        <f t="shared" si="0"/>
        <v>0.55000000000000004</v>
      </c>
      <c r="R19" s="7">
        <v>14.3</v>
      </c>
      <c r="S19" s="7">
        <v>117</v>
      </c>
      <c r="T19" s="16">
        <f t="shared" si="1"/>
        <v>30</v>
      </c>
      <c r="U19" s="208">
        <v>105</v>
      </c>
      <c r="V19" s="16">
        <f t="shared" si="2"/>
        <v>3150</v>
      </c>
      <c r="W19" s="7">
        <v>2</v>
      </c>
      <c r="X19" s="216" t="s">
        <v>39</v>
      </c>
      <c r="Y19" s="216" t="s">
        <v>86</v>
      </c>
      <c r="Z19" s="216" t="s">
        <v>88</v>
      </c>
      <c r="AA19" s="216" t="s">
        <v>78</v>
      </c>
      <c r="AB19" s="39" t="s">
        <v>340</v>
      </c>
      <c r="AE19" s="35" t="s">
        <v>89</v>
      </c>
      <c r="AP19" s="43" t="s">
        <v>112</v>
      </c>
      <c r="AR19" s="30" t="s">
        <v>126</v>
      </c>
      <c r="AV19" s="23" t="s">
        <v>90</v>
      </c>
    </row>
    <row r="20" spans="1:48" x14ac:dyDescent="0.15">
      <c r="A20" s="15" t="s">
        <v>337</v>
      </c>
      <c r="B20" s="15" t="s">
        <v>338</v>
      </c>
      <c r="C20" s="15">
        <v>2018</v>
      </c>
      <c r="D20" s="37" t="s">
        <v>342</v>
      </c>
      <c r="E20" s="15" t="s">
        <v>144</v>
      </c>
      <c r="F20" s="7" t="s">
        <v>154</v>
      </c>
      <c r="G20" s="7" t="s">
        <v>36</v>
      </c>
      <c r="H20" s="15" t="s">
        <v>166</v>
      </c>
      <c r="I20" s="208" t="s">
        <v>155</v>
      </c>
      <c r="J20" s="15" t="s">
        <v>38</v>
      </c>
      <c r="K20" s="7" t="s">
        <v>156</v>
      </c>
      <c r="L20" s="7">
        <v>1</v>
      </c>
      <c r="N20" s="7">
        <v>1</v>
      </c>
      <c r="O20" s="7">
        <v>0.5</v>
      </c>
      <c r="P20" s="34">
        <v>0.5</v>
      </c>
      <c r="Q20" s="52">
        <f t="shared" si="0"/>
        <v>0.5</v>
      </c>
      <c r="R20" s="7">
        <v>18.8</v>
      </c>
      <c r="S20" s="7">
        <v>127</v>
      </c>
      <c r="T20" s="16">
        <f t="shared" si="1"/>
        <v>27</v>
      </c>
      <c r="U20" s="7">
        <v>105</v>
      </c>
      <c r="V20" s="16">
        <f t="shared" si="2"/>
        <v>2835</v>
      </c>
      <c r="W20" s="7">
        <v>2</v>
      </c>
      <c r="X20" s="216" t="s">
        <v>39</v>
      </c>
      <c r="Y20" s="216" t="s">
        <v>86</v>
      </c>
      <c r="Z20" s="216" t="s">
        <v>88</v>
      </c>
      <c r="AA20" s="216" t="s">
        <v>78</v>
      </c>
      <c r="AB20" s="39" t="s">
        <v>340</v>
      </c>
      <c r="AE20" s="22"/>
      <c r="AP20" s="43" t="s">
        <v>113</v>
      </c>
      <c r="AR20" s="41" t="s">
        <v>105</v>
      </c>
      <c r="AV20" s="27" t="s">
        <v>135</v>
      </c>
    </row>
    <row r="21" spans="1:48" x14ac:dyDescent="0.15">
      <c r="A21" s="15" t="s">
        <v>337</v>
      </c>
      <c r="B21" s="15" t="s">
        <v>338</v>
      </c>
      <c r="C21" s="15">
        <v>2018</v>
      </c>
      <c r="D21" s="37" t="s">
        <v>342</v>
      </c>
      <c r="E21" s="15" t="s">
        <v>144</v>
      </c>
      <c r="F21" s="7" t="s">
        <v>154</v>
      </c>
      <c r="G21" s="7" t="s">
        <v>36</v>
      </c>
      <c r="H21" s="216" t="s">
        <v>166</v>
      </c>
      <c r="I21" s="208" t="s">
        <v>155</v>
      </c>
      <c r="J21" s="216" t="s">
        <v>38</v>
      </c>
      <c r="K21" s="208" t="s">
        <v>156</v>
      </c>
      <c r="L21" s="7">
        <v>2</v>
      </c>
      <c r="N21" s="7">
        <v>1</v>
      </c>
      <c r="O21" s="7">
        <v>0.5</v>
      </c>
      <c r="P21" s="7">
        <v>0.5</v>
      </c>
      <c r="Q21" s="52">
        <f t="shared" si="0"/>
        <v>0.5</v>
      </c>
      <c r="R21" s="7">
        <v>19.7</v>
      </c>
      <c r="S21" s="7">
        <v>131</v>
      </c>
      <c r="T21" s="16">
        <f t="shared" si="1"/>
        <v>25</v>
      </c>
      <c r="U21" s="208">
        <v>105</v>
      </c>
      <c r="V21" s="16">
        <f t="shared" si="2"/>
        <v>2625</v>
      </c>
      <c r="W21" s="7">
        <v>2</v>
      </c>
      <c r="X21" s="216" t="s">
        <v>39</v>
      </c>
      <c r="Y21" s="216" t="s">
        <v>86</v>
      </c>
      <c r="Z21" s="216" t="s">
        <v>88</v>
      </c>
      <c r="AA21" s="216" t="s">
        <v>78</v>
      </c>
      <c r="AB21" s="39" t="s">
        <v>340</v>
      </c>
      <c r="AE21" s="22"/>
      <c r="AP21" s="43" t="s">
        <v>114</v>
      </c>
      <c r="AR21" s="41" t="s">
        <v>68</v>
      </c>
      <c r="AV21" s="27" t="s">
        <v>136</v>
      </c>
    </row>
    <row r="22" spans="1:48" x14ac:dyDescent="0.15">
      <c r="A22" s="15" t="s">
        <v>337</v>
      </c>
      <c r="B22" s="15" t="s">
        <v>338</v>
      </c>
      <c r="C22" s="15">
        <v>2018</v>
      </c>
      <c r="D22" s="37" t="s">
        <v>342</v>
      </c>
      <c r="E22" s="15" t="s">
        <v>144</v>
      </c>
      <c r="F22" s="7" t="s">
        <v>154</v>
      </c>
      <c r="G22" s="7" t="s">
        <v>36</v>
      </c>
      <c r="H22" s="216" t="s">
        <v>166</v>
      </c>
      <c r="I22" s="208" t="s">
        <v>155</v>
      </c>
      <c r="J22" s="216" t="s">
        <v>38</v>
      </c>
      <c r="K22" s="208" t="s">
        <v>156</v>
      </c>
      <c r="L22" s="7">
        <v>3</v>
      </c>
      <c r="N22" s="7">
        <v>1</v>
      </c>
      <c r="O22" s="34">
        <v>0.5</v>
      </c>
      <c r="P22" s="7">
        <v>0.5</v>
      </c>
      <c r="Q22" s="52">
        <f t="shared" si="0"/>
        <v>0.5</v>
      </c>
      <c r="R22" s="7">
        <v>19.8</v>
      </c>
      <c r="S22" s="7">
        <v>132</v>
      </c>
      <c r="T22" s="16">
        <f t="shared" si="1"/>
        <v>25</v>
      </c>
      <c r="U22" s="208">
        <v>105</v>
      </c>
      <c r="V22" s="16">
        <f t="shared" si="2"/>
        <v>2625</v>
      </c>
      <c r="W22" s="7">
        <v>2</v>
      </c>
      <c r="X22" s="216" t="s">
        <v>39</v>
      </c>
      <c r="Y22" s="216" t="s">
        <v>86</v>
      </c>
      <c r="Z22" s="216" t="s">
        <v>88</v>
      </c>
      <c r="AA22" s="216" t="s">
        <v>78</v>
      </c>
      <c r="AB22" s="39" t="s">
        <v>340</v>
      </c>
      <c r="AE22" s="35"/>
      <c r="AP22" s="43" t="s">
        <v>115</v>
      </c>
      <c r="AR22" s="41" t="s">
        <v>83</v>
      </c>
      <c r="AV22" s="27"/>
    </row>
    <row r="23" spans="1:48" x14ac:dyDescent="0.15">
      <c r="A23" s="15" t="s">
        <v>337</v>
      </c>
      <c r="B23" s="15" t="s">
        <v>338</v>
      </c>
      <c r="C23" s="15">
        <v>2018</v>
      </c>
      <c r="D23" s="37" t="s">
        <v>342</v>
      </c>
      <c r="E23" s="7" t="s">
        <v>131</v>
      </c>
      <c r="F23" s="7" t="s">
        <v>145</v>
      </c>
      <c r="G23" s="7" t="s">
        <v>36</v>
      </c>
      <c r="H23" s="15" t="s">
        <v>157</v>
      </c>
      <c r="I23" s="208" t="s">
        <v>155</v>
      </c>
      <c r="J23" s="15" t="s">
        <v>38</v>
      </c>
      <c r="K23" s="7" t="s">
        <v>156</v>
      </c>
      <c r="L23" s="7">
        <v>1</v>
      </c>
      <c r="N23" s="7">
        <v>1</v>
      </c>
      <c r="O23" s="34">
        <v>0.6</v>
      </c>
      <c r="P23" s="7">
        <v>0.75</v>
      </c>
      <c r="Q23" s="52">
        <f t="shared" si="0"/>
        <v>0.67500000000000004</v>
      </c>
      <c r="R23" s="7">
        <v>15</v>
      </c>
      <c r="S23" s="7">
        <v>155</v>
      </c>
      <c r="T23" s="16">
        <f t="shared" si="1"/>
        <v>18</v>
      </c>
      <c r="U23" s="7">
        <v>107</v>
      </c>
      <c r="V23" s="16">
        <f t="shared" si="2"/>
        <v>1926</v>
      </c>
      <c r="W23" s="7">
        <v>4</v>
      </c>
      <c r="X23" s="15" t="s">
        <v>46</v>
      </c>
      <c r="Y23" s="216" t="s">
        <v>86</v>
      </c>
      <c r="Z23" s="216" t="s">
        <v>55</v>
      </c>
      <c r="AA23" s="216" t="s">
        <v>88</v>
      </c>
      <c r="AB23" s="39" t="s">
        <v>340</v>
      </c>
      <c r="AE23" s="22"/>
      <c r="AP23" s="43" t="s">
        <v>137</v>
      </c>
      <c r="AR23" s="41" t="s">
        <v>61</v>
      </c>
      <c r="AV23" s="27"/>
    </row>
    <row r="24" spans="1:48" x14ac:dyDescent="0.15">
      <c r="A24" s="15" t="s">
        <v>337</v>
      </c>
      <c r="B24" s="15" t="s">
        <v>338</v>
      </c>
      <c r="C24" s="15">
        <v>2018</v>
      </c>
      <c r="D24" s="37" t="s">
        <v>342</v>
      </c>
      <c r="E24" s="7" t="s">
        <v>131</v>
      </c>
      <c r="F24" s="7" t="s">
        <v>145</v>
      </c>
      <c r="G24" s="7" t="s">
        <v>36</v>
      </c>
      <c r="H24" s="216" t="s">
        <v>157</v>
      </c>
      <c r="I24" s="208" t="s">
        <v>155</v>
      </c>
      <c r="J24" s="15" t="s">
        <v>38</v>
      </c>
      <c r="K24" s="7" t="s">
        <v>156</v>
      </c>
      <c r="L24" s="7">
        <v>2</v>
      </c>
      <c r="N24" s="7">
        <v>1</v>
      </c>
      <c r="O24" s="7">
        <v>0.75</v>
      </c>
      <c r="P24" s="7">
        <v>0.75</v>
      </c>
      <c r="Q24" s="52">
        <f t="shared" si="0"/>
        <v>0.75</v>
      </c>
      <c r="R24" s="7">
        <v>15.1</v>
      </c>
      <c r="S24" s="7">
        <v>162</v>
      </c>
      <c r="T24" s="16">
        <f t="shared" si="1"/>
        <v>18</v>
      </c>
      <c r="U24" s="208">
        <v>107</v>
      </c>
      <c r="V24" s="16">
        <f t="shared" si="2"/>
        <v>1926</v>
      </c>
      <c r="W24" s="7">
        <v>4</v>
      </c>
      <c r="X24" s="15" t="s">
        <v>46</v>
      </c>
      <c r="Y24" s="216" t="s">
        <v>86</v>
      </c>
      <c r="Z24" s="216" t="s">
        <v>55</v>
      </c>
      <c r="AA24" s="216" t="s">
        <v>88</v>
      </c>
      <c r="AB24" s="39" t="s">
        <v>340</v>
      </c>
      <c r="AE24" s="22"/>
      <c r="AP24" s="43" t="s">
        <v>138</v>
      </c>
      <c r="AR24" s="41" t="s">
        <v>91</v>
      </c>
      <c r="AV24" s="27"/>
    </row>
    <row r="25" spans="1:48" x14ac:dyDescent="0.15">
      <c r="A25" s="15" t="s">
        <v>337</v>
      </c>
      <c r="B25" s="15" t="s">
        <v>338</v>
      </c>
      <c r="C25" s="15">
        <v>2018</v>
      </c>
      <c r="D25" s="37" t="s">
        <v>342</v>
      </c>
      <c r="E25" s="7" t="s">
        <v>131</v>
      </c>
      <c r="F25" s="7" t="s">
        <v>145</v>
      </c>
      <c r="G25" s="7" t="s">
        <v>36</v>
      </c>
      <c r="H25" s="216" t="s">
        <v>157</v>
      </c>
      <c r="I25" s="208" t="s">
        <v>155</v>
      </c>
      <c r="J25" s="15" t="s">
        <v>38</v>
      </c>
      <c r="K25" s="7" t="s">
        <v>156</v>
      </c>
      <c r="L25" s="7">
        <v>3</v>
      </c>
      <c r="N25" s="7">
        <v>1</v>
      </c>
      <c r="O25" s="7">
        <v>0.55000000000000004</v>
      </c>
      <c r="P25" s="7">
        <v>0.55000000000000004</v>
      </c>
      <c r="Q25" s="52">
        <f t="shared" si="0"/>
        <v>0.55000000000000004</v>
      </c>
      <c r="R25" s="7">
        <v>14.6</v>
      </c>
      <c r="S25" s="7">
        <v>173</v>
      </c>
      <c r="T25" s="16">
        <f t="shared" si="1"/>
        <v>18</v>
      </c>
      <c r="U25" s="208">
        <v>107</v>
      </c>
      <c r="V25" s="16">
        <f t="shared" si="2"/>
        <v>1926</v>
      </c>
      <c r="W25" s="7">
        <v>4</v>
      </c>
      <c r="X25" s="15" t="s">
        <v>46</v>
      </c>
      <c r="Y25" s="216" t="s">
        <v>86</v>
      </c>
      <c r="Z25" s="216" t="s">
        <v>55</v>
      </c>
      <c r="AA25" s="216" t="s">
        <v>88</v>
      </c>
      <c r="AB25" s="39" t="s">
        <v>340</v>
      </c>
      <c r="AE25" s="35"/>
      <c r="AP25" s="43" t="s">
        <v>116</v>
      </c>
      <c r="AR25" s="42" t="s">
        <v>92</v>
      </c>
      <c r="AV25" s="27"/>
    </row>
    <row r="26" spans="1:48" x14ac:dyDescent="0.15">
      <c r="A26" s="15" t="s">
        <v>337</v>
      </c>
      <c r="B26" s="15" t="s">
        <v>338</v>
      </c>
      <c r="C26" s="15">
        <v>2018</v>
      </c>
      <c r="D26" s="37" t="s">
        <v>342</v>
      </c>
      <c r="E26" s="7" t="s">
        <v>131</v>
      </c>
      <c r="F26" s="7" t="s">
        <v>145</v>
      </c>
      <c r="G26" s="7" t="s">
        <v>36</v>
      </c>
      <c r="H26" s="15" t="s">
        <v>166</v>
      </c>
      <c r="I26" s="208" t="s">
        <v>155</v>
      </c>
      <c r="J26" s="15" t="s">
        <v>38</v>
      </c>
      <c r="K26" s="7" t="s">
        <v>156</v>
      </c>
      <c r="L26" s="7">
        <v>1</v>
      </c>
      <c r="N26" s="7">
        <v>1</v>
      </c>
      <c r="O26" s="7">
        <v>0.5</v>
      </c>
      <c r="P26" s="7">
        <v>0.6</v>
      </c>
      <c r="Q26" s="52">
        <f t="shared" si="0"/>
        <v>0.55000000000000004</v>
      </c>
      <c r="R26" s="7">
        <v>14.6</v>
      </c>
      <c r="S26" s="7">
        <v>130</v>
      </c>
      <c r="T26" s="16">
        <f t="shared" si="1"/>
        <v>25</v>
      </c>
      <c r="U26" s="7">
        <v>107</v>
      </c>
      <c r="V26" s="16">
        <f t="shared" si="2"/>
        <v>2675</v>
      </c>
      <c r="W26" s="7">
        <v>8</v>
      </c>
      <c r="X26" s="15" t="s">
        <v>46</v>
      </c>
      <c r="Y26" s="216" t="s">
        <v>86</v>
      </c>
      <c r="Z26" s="216" t="s">
        <v>55</v>
      </c>
      <c r="AA26" s="216" t="s">
        <v>88</v>
      </c>
      <c r="AB26" s="39" t="s">
        <v>340</v>
      </c>
      <c r="AE26" s="35"/>
      <c r="AP26" s="43" t="s">
        <v>117</v>
      </c>
      <c r="AR26" s="23" t="s">
        <v>290</v>
      </c>
      <c r="AV26" s="28"/>
    </row>
    <row r="27" spans="1:48" x14ac:dyDescent="0.15">
      <c r="A27" s="15" t="s">
        <v>337</v>
      </c>
      <c r="B27" s="15" t="s">
        <v>338</v>
      </c>
      <c r="C27" s="15">
        <v>2018</v>
      </c>
      <c r="D27" s="37" t="s">
        <v>342</v>
      </c>
      <c r="E27" s="7" t="s">
        <v>131</v>
      </c>
      <c r="F27" s="7" t="s">
        <v>145</v>
      </c>
      <c r="G27" s="7" t="s">
        <v>36</v>
      </c>
      <c r="H27" s="216" t="s">
        <v>166</v>
      </c>
      <c r="I27" s="208" t="s">
        <v>155</v>
      </c>
      <c r="J27" s="15" t="s">
        <v>38</v>
      </c>
      <c r="K27" s="7" t="s">
        <v>156</v>
      </c>
      <c r="L27" s="7">
        <v>2</v>
      </c>
      <c r="N27" s="7">
        <v>1</v>
      </c>
      <c r="O27" s="7">
        <v>0.65</v>
      </c>
      <c r="P27" s="7">
        <v>0.6</v>
      </c>
      <c r="Q27" s="52">
        <f t="shared" si="0"/>
        <v>0.625</v>
      </c>
      <c r="R27" s="7">
        <v>14.6</v>
      </c>
      <c r="S27" s="7">
        <v>127</v>
      </c>
      <c r="T27" s="16">
        <f t="shared" si="1"/>
        <v>27</v>
      </c>
      <c r="U27" s="208">
        <v>107</v>
      </c>
      <c r="V27" s="16">
        <f t="shared" si="2"/>
        <v>2889</v>
      </c>
      <c r="W27" s="7">
        <v>8</v>
      </c>
      <c r="X27" s="15" t="s">
        <v>46</v>
      </c>
      <c r="Y27" s="216" t="s">
        <v>86</v>
      </c>
      <c r="Z27" s="216" t="s">
        <v>55</v>
      </c>
      <c r="AA27" s="216" t="s">
        <v>88</v>
      </c>
      <c r="AB27" s="39" t="s">
        <v>340</v>
      </c>
      <c r="AE27" s="28"/>
      <c r="AP27" s="43" t="s">
        <v>118</v>
      </c>
      <c r="AR27" s="23"/>
    </row>
    <row r="28" spans="1:48" x14ac:dyDescent="0.15">
      <c r="A28" s="15" t="s">
        <v>337</v>
      </c>
      <c r="B28" s="15" t="s">
        <v>338</v>
      </c>
      <c r="C28" s="15">
        <v>2018</v>
      </c>
      <c r="D28" s="37" t="s">
        <v>342</v>
      </c>
      <c r="E28" s="7" t="s">
        <v>131</v>
      </c>
      <c r="F28" s="7" t="s">
        <v>145</v>
      </c>
      <c r="G28" s="7" t="s">
        <v>36</v>
      </c>
      <c r="H28" s="216" t="s">
        <v>166</v>
      </c>
      <c r="I28" s="208" t="s">
        <v>155</v>
      </c>
      <c r="J28" s="15" t="s">
        <v>38</v>
      </c>
      <c r="K28" s="7" t="s">
        <v>156</v>
      </c>
      <c r="L28" s="7">
        <v>3</v>
      </c>
      <c r="N28" s="7">
        <v>1</v>
      </c>
      <c r="O28" s="7">
        <v>0.6</v>
      </c>
      <c r="P28" s="7">
        <v>0.65</v>
      </c>
      <c r="Q28" s="52">
        <f t="shared" si="0"/>
        <v>0.625</v>
      </c>
      <c r="R28" s="7">
        <v>15</v>
      </c>
      <c r="S28" s="7">
        <v>128</v>
      </c>
      <c r="T28" s="16">
        <f t="shared" si="1"/>
        <v>27</v>
      </c>
      <c r="U28" s="208">
        <v>107</v>
      </c>
      <c r="V28" s="16">
        <f t="shared" si="2"/>
        <v>2889</v>
      </c>
      <c r="W28" s="7">
        <v>8</v>
      </c>
      <c r="X28" s="15" t="s">
        <v>46</v>
      </c>
      <c r="Y28" s="216" t="s">
        <v>86</v>
      </c>
      <c r="Z28" s="216" t="s">
        <v>55</v>
      </c>
      <c r="AA28" s="216" t="s">
        <v>88</v>
      </c>
      <c r="AB28" s="39" t="s">
        <v>340</v>
      </c>
      <c r="AP28" s="27"/>
      <c r="AR28" s="23"/>
    </row>
    <row r="29" spans="1:48" x14ac:dyDescent="0.15">
      <c r="A29" s="15" t="s">
        <v>337</v>
      </c>
      <c r="B29" s="15" t="s">
        <v>338</v>
      </c>
      <c r="C29" s="15">
        <v>2018</v>
      </c>
      <c r="D29" s="37" t="s">
        <v>342</v>
      </c>
      <c r="E29" s="7" t="s">
        <v>139</v>
      </c>
      <c r="F29" s="7" t="s">
        <v>146</v>
      </c>
      <c r="G29" s="7" t="s">
        <v>36</v>
      </c>
      <c r="H29" s="15" t="s">
        <v>157</v>
      </c>
      <c r="I29" s="208" t="s">
        <v>155</v>
      </c>
      <c r="J29" s="15" t="s">
        <v>38</v>
      </c>
      <c r="K29" s="7" t="s">
        <v>156</v>
      </c>
      <c r="L29" s="7">
        <v>1</v>
      </c>
      <c r="N29" s="7">
        <v>1</v>
      </c>
      <c r="O29" s="7">
        <v>0.5</v>
      </c>
      <c r="P29" s="7">
        <v>0.6</v>
      </c>
      <c r="Q29" s="52">
        <f t="shared" si="0"/>
        <v>0.55000000000000004</v>
      </c>
      <c r="R29" s="7">
        <v>14.8</v>
      </c>
      <c r="S29" s="7">
        <v>141</v>
      </c>
      <c r="T29" s="16">
        <f t="shared" si="1"/>
        <v>22</v>
      </c>
      <c r="U29" s="7">
        <v>139</v>
      </c>
      <c r="V29" s="16">
        <f t="shared" si="2"/>
        <v>3058</v>
      </c>
      <c r="W29" s="7">
        <v>5</v>
      </c>
      <c r="X29" s="15" t="s">
        <v>46</v>
      </c>
      <c r="Y29" s="216" t="s">
        <v>97</v>
      </c>
      <c r="Z29" s="216" t="s">
        <v>86</v>
      </c>
      <c r="AA29" s="216" t="s">
        <v>55</v>
      </c>
      <c r="AB29" s="39" t="s">
        <v>340</v>
      </c>
      <c r="AP29" s="27"/>
      <c r="AR29" s="27"/>
      <c r="AV29" s="28"/>
    </row>
    <row r="30" spans="1:48" x14ac:dyDescent="0.15">
      <c r="A30" s="15" t="s">
        <v>337</v>
      </c>
      <c r="B30" s="15" t="s">
        <v>338</v>
      </c>
      <c r="C30" s="15">
        <v>2018</v>
      </c>
      <c r="D30" s="37" t="s">
        <v>342</v>
      </c>
      <c r="E30" s="7" t="s">
        <v>139</v>
      </c>
      <c r="F30" s="7" t="s">
        <v>146</v>
      </c>
      <c r="G30" s="7" t="s">
        <v>36</v>
      </c>
      <c r="H30" s="216" t="s">
        <v>157</v>
      </c>
      <c r="I30" s="208" t="s">
        <v>155</v>
      </c>
      <c r="J30" s="15" t="s">
        <v>38</v>
      </c>
      <c r="K30" s="7" t="s">
        <v>156</v>
      </c>
      <c r="L30" s="7">
        <v>2</v>
      </c>
      <c r="N30" s="7">
        <v>1</v>
      </c>
      <c r="O30" s="7">
        <v>0.55000000000000004</v>
      </c>
      <c r="P30" s="7">
        <v>0.7</v>
      </c>
      <c r="Q30" s="52">
        <f t="shared" si="0"/>
        <v>0.625</v>
      </c>
      <c r="R30" s="7">
        <v>14</v>
      </c>
      <c r="S30" s="7">
        <v>139</v>
      </c>
      <c r="T30" s="16">
        <f t="shared" si="1"/>
        <v>22</v>
      </c>
      <c r="U30" s="208">
        <v>139</v>
      </c>
      <c r="V30" s="16">
        <f t="shared" si="2"/>
        <v>3058</v>
      </c>
      <c r="W30" s="7">
        <v>5</v>
      </c>
      <c r="X30" s="15" t="s">
        <v>46</v>
      </c>
      <c r="Y30" s="216" t="s">
        <v>97</v>
      </c>
      <c r="Z30" s="216" t="s">
        <v>86</v>
      </c>
      <c r="AA30" s="216" t="s">
        <v>55</v>
      </c>
      <c r="AB30" s="39" t="s">
        <v>340</v>
      </c>
      <c r="AP30" s="27"/>
      <c r="AR30" s="27"/>
    </row>
    <row r="31" spans="1:48" x14ac:dyDescent="0.15">
      <c r="A31" s="15" t="s">
        <v>337</v>
      </c>
      <c r="B31" s="15" t="s">
        <v>338</v>
      </c>
      <c r="C31" s="15">
        <v>2018</v>
      </c>
      <c r="D31" s="37" t="s">
        <v>342</v>
      </c>
      <c r="E31" s="7" t="s">
        <v>139</v>
      </c>
      <c r="F31" s="7" t="s">
        <v>146</v>
      </c>
      <c r="G31" s="7" t="s">
        <v>36</v>
      </c>
      <c r="H31" s="216" t="s">
        <v>157</v>
      </c>
      <c r="I31" s="208" t="s">
        <v>155</v>
      </c>
      <c r="J31" s="15" t="s">
        <v>38</v>
      </c>
      <c r="K31" s="7" t="s">
        <v>156</v>
      </c>
      <c r="L31" s="7">
        <v>3</v>
      </c>
      <c r="N31" s="7">
        <v>1</v>
      </c>
      <c r="O31" s="7">
        <v>0.5</v>
      </c>
      <c r="P31" s="7">
        <v>0.5</v>
      </c>
      <c r="Q31" s="52">
        <f t="shared" si="0"/>
        <v>0.5</v>
      </c>
      <c r="R31" s="7">
        <v>17</v>
      </c>
      <c r="S31" s="7">
        <v>137</v>
      </c>
      <c r="T31" s="16">
        <f t="shared" si="1"/>
        <v>25</v>
      </c>
      <c r="U31" s="208">
        <v>139</v>
      </c>
      <c r="V31" s="16">
        <f t="shared" si="2"/>
        <v>3475</v>
      </c>
      <c r="W31" s="7">
        <v>5</v>
      </c>
      <c r="X31" s="15" t="s">
        <v>46</v>
      </c>
      <c r="Y31" s="216" t="s">
        <v>97</v>
      </c>
      <c r="Z31" s="216" t="s">
        <v>86</v>
      </c>
      <c r="AA31" s="216" t="s">
        <v>55</v>
      </c>
      <c r="AB31" s="39" t="s">
        <v>340</v>
      </c>
      <c r="AP31" s="27"/>
      <c r="AR31" s="27"/>
    </row>
    <row r="32" spans="1:48" x14ac:dyDescent="0.15">
      <c r="A32" s="15" t="s">
        <v>337</v>
      </c>
      <c r="B32" s="15" t="s">
        <v>338</v>
      </c>
      <c r="C32" s="15">
        <v>2018</v>
      </c>
      <c r="D32" s="37" t="s">
        <v>342</v>
      </c>
      <c r="E32" s="7" t="s">
        <v>139</v>
      </c>
      <c r="F32" s="7" t="s">
        <v>146</v>
      </c>
      <c r="G32" s="7" t="s">
        <v>36</v>
      </c>
      <c r="H32" s="15" t="s">
        <v>166</v>
      </c>
      <c r="I32" s="208" t="s">
        <v>155</v>
      </c>
      <c r="J32" s="15" t="s">
        <v>38</v>
      </c>
      <c r="K32" s="7" t="s">
        <v>156</v>
      </c>
      <c r="L32" s="7">
        <v>1</v>
      </c>
      <c r="N32" s="7">
        <v>1</v>
      </c>
      <c r="O32" s="7">
        <v>0.5</v>
      </c>
      <c r="P32" s="7">
        <v>0.6</v>
      </c>
      <c r="Q32" s="52">
        <f t="shared" si="0"/>
        <v>0.55000000000000004</v>
      </c>
      <c r="R32" s="7">
        <v>19.7</v>
      </c>
      <c r="S32" s="7">
        <v>173</v>
      </c>
      <c r="T32" s="16">
        <f t="shared" si="1"/>
        <v>18</v>
      </c>
      <c r="U32" s="7">
        <v>171</v>
      </c>
      <c r="V32" s="16">
        <f t="shared" si="2"/>
        <v>3078</v>
      </c>
      <c r="W32" s="7">
        <v>15</v>
      </c>
      <c r="X32" s="15" t="s">
        <v>46</v>
      </c>
      <c r="Y32" s="216" t="s">
        <v>97</v>
      </c>
      <c r="Z32" s="216" t="s">
        <v>86</v>
      </c>
      <c r="AA32" s="216" t="s">
        <v>55</v>
      </c>
      <c r="AB32" s="39" t="s">
        <v>340</v>
      </c>
      <c r="AP32" s="28"/>
      <c r="AR32" s="28"/>
    </row>
    <row r="33" spans="1:44" x14ac:dyDescent="0.15">
      <c r="A33" s="15" t="s">
        <v>337</v>
      </c>
      <c r="B33" s="15" t="s">
        <v>338</v>
      </c>
      <c r="C33" s="15">
        <v>2018</v>
      </c>
      <c r="D33" s="37" t="s">
        <v>342</v>
      </c>
      <c r="E33" s="7" t="s">
        <v>139</v>
      </c>
      <c r="F33" s="7" t="s">
        <v>146</v>
      </c>
      <c r="G33" s="7" t="s">
        <v>36</v>
      </c>
      <c r="H33" s="216" t="s">
        <v>166</v>
      </c>
      <c r="I33" s="208" t="s">
        <v>155</v>
      </c>
      <c r="J33" s="15" t="s">
        <v>38</v>
      </c>
      <c r="K33" s="7" t="s">
        <v>156</v>
      </c>
      <c r="L33" s="7">
        <v>2</v>
      </c>
      <c r="N33" s="7">
        <v>1</v>
      </c>
      <c r="O33" s="7">
        <v>0.5</v>
      </c>
      <c r="P33" s="7">
        <v>0.55000000000000004</v>
      </c>
      <c r="Q33" s="52">
        <f t="shared" si="0"/>
        <v>0.52500000000000002</v>
      </c>
      <c r="R33" s="7">
        <v>20.3</v>
      </c>
      <c r="S33" s="7">
        <v>167</v>
      </c>
      <c r="T33" s="16">
        <f t="shared" si="1"/>
        <v>18</v>
      </c>
      <c r="U33" s="208">
        <v>171</v>
      </c>
      <c r="V33" s="16">
        <f t="shared" si="2"/>
        <v>3078</v>
      </c>
      <c r="W33" s="7">
        <v>15</v>
      </c>
      <c r="X33" s="15" t="s">
        <v>46</v>
      </c>
      <c r="Y33" s="216" t="s">
        <v>97</v>
      </c>
      <c r="Z33" s="216" t="s">
        <v>86</v>
      </c>
      <c r="AA33" s="216" t="s">
        <v>55</v>
      </c>
      <c r="AB33" s="39" t="s">
        <v>340</v>
      </c>
    </row>
    <row r="34" spans="1:44" x14ac:dyDescent="0.15">
      <c r="A34" s="15" t="s">
        <v>337</v>
      </c>
      <c r="B34" s="15" t="s">
        <v>338</v>
      </c>
      <c r="C34" s="15">
        <v>2018</v>
      </c>
      <c r="D34" s="37" t="s">
        <v>342</v>
      </c>
      <c r="E34" s="7" t="s">
        <v>139</v>
      </c>
      <c r="F34" s="7" t="s">
        <v>146</v>
      </c>
      <c r="G34" s="7" t="s">
        <v>36</v>
      </c>
      <c r="H34" s="216" t="s">
        <v>166</v>
      </c>
      <c r="I34" s="208" t="s">
        <v>155</v>
      </c>
      <c r="J34" s="15" t="s">
        <v>38</v>
      </c>
      <c r="K34" s="7" t="s">
        <v>156</v>
      </c>
      <c r="L34" s="7">
        <v>3</v>
      </c>
      <c r="N34" s="7">
        <v>1</v>
      </c>
      <c r="O34" s="7">
        <v>0.5</v>
      </c>
      <c r="P34" s="7">
        <v>0.6</v>
      </c>
      <c r="Q34" s="52">
        <f t="shared" si="0"/>
        <v>0.55000000000000004</v>
      </c>
      <c r="R34" s="7">
        <v>16.3</v>
      </c>
      <c r="S34" s="7">
        <v>159</v>
      </c>
      <c r="T34" s="16">
        <f t="shared" si="1"/>
        <v>18</v>
      </c>
      <c r="U34" s="208">
        <v>171</v>
      </c>
      <c r="V34" s="16">
        <f t="shared" si="2"/>
        <v>3078</v>
      </c>
      <c r="W34" s="7">
        <v>15</v>
      </c>
      <c r="X34" s="15" t="s">
        <v>46</v>
      </c>
      <c r="Y34" s="216" t="s">
        <v>97</v>
      </c>
      <c r="Z34" s="216" t="s">
        <v>86</v>
      </c>
      <c r="AA34" s="216" t="s">
        <v>55</v>
      </c>
      <c r="AB34" s="39" t="s">
        <v>340</v>
      </c>
    </row>
    <row r="35" spans="1:44" x14ac:dyDescent="0.15">
      <c r="A35" s="15" t="s">
        <v>337</v>
      </c>
      <c r="B35" s="15" t="s">
        <v>338</v>
      </c>
      <c r="C35" s="15">
        <v>2018</v>
      </c>
      <c r="D35" s="37" t="s">
        <v>342</v>
      </c>
      <c r="E35" s="7" t="s">
        <v>140</v>
      </c>
      <c r="F35" s="7" t="s">
        <v>147</v>
      </c>
      <c r="G35" s="7" t="s">
        <v>36</v>
      </c>
      <c r="H35" s="216" t="s">
        <v>157</v>
      </c>
      <c r="I35" s="208" t="s">
        <v>155</v>
      </c>
      <c r="J35" s="15" t="s">
        <v>38</v>
      </c>
      <c r="K35" s="7" t="s">
        <v>156</v>
      </c>
      <c r="L35" s="7">
        <v>1</v>
      </c>
      <c r="N35" s="7">
        <v>1</v>
      </c>
      <c r="O35" s="7">
        <v>0.55000000000000004</v>
      </c>
      <c r="P35" s="7">
        <v>0.7</v>
      </c>
      <c r="Q35" s="52">
        <f t="shared" si="0"/>
        <v>0.625</v>
      </c>
      <c r="R35" s="7">
        <v>16.399999999999999</v>
      </c>
      <c r="S35" s="7">
        <v>118</v>
      </c>
      <c r="T35" s="16">
        <f t="shared" si="1"/>
        <v>30</v>
      </c>
      <c r="U35" s="7">
        <v>99</v>
      </c>
      <c r="V35" s="16">
        <f t="shared" si="2"/>
        <v>2970</v>
      </c>
      <c r="W35" s="7">
        <v>3</v>
      </c>
      <c r="X35" s="15" t="s">
        <v>46</v>
      </c>
      <c r="Y35" s="216" t="s">
        <v>97</v>
      </c>
      <c r="Z35" s="216" t="s">
        <v>86</v>
      </c>
      <c r="AA35" s="216" t="s">
        <v>69</v>
      </c>
      <c r="AB35" s="39" t="s">
        <v>340</v>
      </c>
      <c r="AP35" s="28"/>
      <c r="AR35" s="28"/>
    </row>
    <row r="36" spans="1:44" x14ac:dyDescent="0.15">
      <c r="A36" s="15" t="s">
        <v>337</v>
      </c>
      <c r="B36" s="15" t="s">
        <v>338</v>
      </c>
      <c r="C36" s="15">
        <v>2018</v>
      </c>
      <c r="D36" s="37" t="s">
        <v>342</v>
      </c>
      <c r="E36" s="7" t="s">
        <v>140</v>
      </c>
      <c r="F36" s="7" t="s">
        <v>147</v>
      </c>
      <c r="G36" s="7" t="s">
        <v>36</v>
      </c>
      <c r="H36" s="216" t="s">
        <v>157</v>
      </c>
      <c r="I36" s="208" t="s">
        <v>155</v>
      </c>
      <c r="J36" s="15" t="s">
        <v>38</v>
      </c>
      <c r="K36" s="7" t="s">
        <v>156</v>
      </c>
      <c r="L36" s="7">
        <v>2</v>
      </c>
      <c r="N36" s="7">
        <v>1</v>
      </c>
      <c r="O36" s="7">
        <v>0.5</v>
      </c>
      <c r="P36" s="7">
        <v>0.55000000000000004</v>
      </c>
      <c r="Q36" s="52">
        <f t="shared" si="0"/>
        <v>0.52500000000000002</v>
      </c>
      <c r="R36" s="7">
        <v>16.5</v>
      </c>
      <c r="S36" s="7">
        <v>123</v>
      </c>
      <c r="T36" s="16">
        <f t="shared" si="1"/>
        <v>27</v>
      </c>
      <c r="U36" s="208">
        <v>99</v>
      </c>
      <c r="V36" s="16">
        <f t="shared" si="2"/>
        <v>2673</v>
      </c>
      <c r="W36" s="7">
        <v>3</v>
      </c>
      <c r="X36" s="15" t="s">
        <v>46</v>
      </c>
      <c r="Y36" s="216" t="s">
        <v>97</v>
      </c>
      <c r="Z36" s="216" t="s">
        <v>86</v>
      </c>
      <c r="AA36" s="216" t="s">
        <v>69</v>
      </c>
      <c r="AB36" s="39" t="s">
        <v>340</v>
      </c>
    </row>
    <row r="37" spans="1:44" x14ac:dyDescent="0.15">
      <c r="A37" s="15" t="s">
        <v>337</v>
      </c>
      <c r="B37" s="15" t="s">
        <v>338</v>
      </c>
      <c r="C37" s="15">
        <v>2018</v>
      </c>
      <c r="D37" s="37" t="s">
        <v>342</v>
      </c>
      <c r="E37" s="7" t="s">
        <v>140</v>
      </c>
      <c r="F37" s="7" t="s">
        <v>147</v>
      </c>
      <c r="G37" s="7" t="s">
        <v>36</v>
      </c>
      <c r="H37" s="216" t="s">
        <v>157</v>
      </c>
      <c r="I37" s="208" t="s">
        <v>155</v>
      </c>
      <c r="J37" s="15" t="s">
        <v>38</v>
      </c>
      <c r="K37" s="7" t="s">
        <v>156</v>
      </c>
      <c r="L37" s="7">
        <v>3</v>
      </c>
      <c r="N37" s="7">
        <v>1</v>
      </c>
      <c r="O37" s="34">
        <v>0.65</v>
      </c>
      <c r="P37" s="34">
        <v>0.65</v>
      </c>
      <c r="Q37" s="52">
        <f t="shared" si="0"/>
        <v>0.65</v>
      </c>
      <c r="R37" s="7">
        <v>15.2</v>
      </c>
      <c r="S37" s="7">
        <v>121</v>
      </c>
      <c r="T37" s="16">
        <f t="shared" si="1"/>
        <v>27</v>
      </c>
      <c r="U37" s="208">
        <v>99</v>
      </c>
      <c r="V37" s="16">
        <f t="shared" si="2"/>
        <v>2673</v>
      </c>
      <c r="W37" s="7">
        <v>3</v>
      </c>
      <c r="X37" s="15" t="s">
        <v>46</v>
      </c>
      <c r="Y37" s="216" t="s">
        <v>97</v>
      </c>
      <c r="Z37" s="216" t="s">
        <v>86</v>
      </c>
      <c r="AA37" s="216" t="s">
        <v>69</v>
      </c>
      <c r="AB37" s="39" t="s">
        <v>340</v>
      </c>
    </row>
    <row r="38" spans="1:44" x14ac:dyDescent="0.15">
      <c r="A38" s="15" t="s">
        <v>337</v>
      </c>
      <c r="B38" s="15" t="s">
        <v>338</v>
      </c>
      <c r="C38" s="15">
        <v>2018</v>
      </c>
      <c r="D38" s="37" t="s">
        <v>342</v>
      </c>
      <c r="E38" s="7" t="s">
        <v>140</v>
      </c>
      <c r="F38" s="7" t="s">
        <v>147</v>
      </c>
      <c r="G38" s="7" t="s">
        <v>36</v>
      </c>
      <c r="H38" s="216" t="s">
        <v>211</v>
      </c>
      <c r="I38" s="7" t="s">
        <v>155</v>
      </c>
      <c r="J38" s="216" t="s">
        <v>38</v>
      </c>
      <c r="K38" s="208" t="s">
        <v>156</v>
      </c>
      <c r="L38" s="7">
        <v>1</v>
      </c>
      <c r="N38" s="7">
        <v>5</v>
      </c>
      <c r="O38" s="34">
        <v>0.5</v>
      </c>
      <c r="P38" s="34">
        <v>0.5</v>
      </c>
      <c r="Q38" s="52">
        <f t="shared" si="0"/>
        <v>0.5</v>
      </c>
      <c r="R38" s="7">
        <v>14.6</v>
      </c>
      <c r="S38" s="7">
        <v>89</v>
      </c>
      <c r="T38" s="16">
        <f t="shared" si="1"/>
        <v>36</v>
      </c>
      <c r="U38" s="7">
        <v>399</v>
      </c>
      <c r="V38" s="16">
        <f t="shared" si="2"/>
        <v>2872.7999999999997</v>
      </c>
      <c r="W38" s="7">
        <v>1</v>
      </c>
      <c r="X38" s="15" t="s">
        <v>46</v>
      </c>
      <c r="Y38" s="216" t="s">
        <v>97</v>
      </c>
      <c r="Z38" s="216" t="s">
        <v>86</v>
      </c>
      <c r="AA38" s="216" t="s">
        <v>69</v>
      </c>
      <c r="AB38" s="39" t="s">
        <v>340</v>
      </c>
    </row>
    <row r="39" spans="1:44" x14ac:dyDescent="0.15">
      <c r="A39" s="15" t="s">
        <v>337</v>
      </c>
      <c r="B39" s="15" t="s">
        <v>338</v>
      </c>
      <c r="C39" s="15">
        <v>2018</v>
      </c>
      <c r="D39" s="37" t="s">
        <v>342</v>
      </c>
      <c r="E39" s="7" t="s">
        <v>140</v>
      </c>
      <c r="F39" s="7" t="s">
        <v>147</v>
      </c>
      <c r="G39" s="7" t="s">
        <v>36</v>
      </c>
      <c r="H39" s="216" t="s">
        <v>211</v>
      </c>
      <c r="I39" s="208" t="s">
        <v>155</v>
      </c>
      <c r="J39" s="216" t="s">
        <v>38</v>
      </c>
      <c r="K39" s="208" t="s">
        <v>156</v>
      </c>
      <c r="L39" s="7">
        <v>2</v>
      </c>
      <c r="N39" s="7">
        <v>5</v>
      </c>
      <c r="O39" s="7">
        <v>0.5</v>
      </c>
      <c r="P39" s="7">
        <v>0.5</v>
      </c>
      <c r="Q39" s="52">
        <f t="shared" si="0"/>
        <v>0.5</v>
      </c>
      <c r="R39" s="34">
        <v>17.100000000000001</v>
      </c>
      <c r="S39" s="7">
        <v>87</v>
      </c>
      <c r="T39" s="16">
        <f t="shared" si="1"/>
        <v>36</v>
      </c>
      <c r="U39" s="208">
        <v>399</v>
      </c>
      <c r="V39" s="16">
        <f t="shared" si="2"/>
        <v>2872.7999999999997</v>
      </c>
      <c r="W39" s="7">
        <v>1</v>
      </c>
      <c r="X39" s="15" t="s">
        <v>46</v>
      </c>
      <c r="Y39" s="216" t="s">
        <v>97</v>
      </c>
      <c r="Z39" s="216" t="s">
        <v>86</v>
      </c>
      <c r="AA39" s="216" t="s">
        <v>69</v>
      </c>
      <c r="AB39" s="39" t="s">
        <v>340</v>
      </c>
    </row>
    <row r="40" spans="1:44" x14ac:dyDescent="0.15">
      <c r="A40" s="15" t="s">
        <v>337</v>
      </c>
      <c r="B40" s="15" t="s">
        <v>338</v>
      </c>
      <c r="C40" s="15">
        <v>2018</v>
      </c>
      <c r="D40" s="37" t="s">
        <v>342</v>
      </c>
      <c r="E40" s="7" t="s">
        <v>140</v>
      </c>
      <c r="F40" s="7" t="s">
        <v>147</v>
      </c>
      <c r="G40" s="7" t="s">
        <v>36</v>
      </c>
      <c r="H40" s="216" t="s">
        <v>211</v>
      </c>
      <c r="I40" s="208" t="s">
        <v>155</v>
      </c>
      <c r="J40" s="216" t="s">
        <v>38</v>
      </c>
      <c r="K40" s="208" t="s">
        <v>156</v>
      </c>
      <c r="L40" s="7">
        <v>3</v>
      </c>
      <c r="N40" s="7">
        <v>5</v>
      </c>
      <c r="O40" s="7">
        <v>0.5</v>
      </c>
      <c r="P40" s="7">
        <v>0.5</v>
      </c>
      <c r="Q40" s="52">
        <f t="shared" si="0"/>
        <v>0.5</v>
      </c>
      <c r="R40" s="7">
        <v>16.399999999999999</v>
      </c>
      <c r="S40" s="7">
        <v>86</v>
      </c>
      <c r="T40" s="16">
        <f t="shared" si="1"/>
        <v>36</v>
      </c>
      <c r="U40" s="208">
        <v>399</v>
      </c>
      <c r="V40" s="16">
        <f t="shared" si="2"/>
        <v>2872.7999999999997</v>
      </c>
      <c r="W40" s="7">
        <v>1</v>
      </c>
      <c r="X40" s="15" t="s">
        <v>46</v>
      </c>
      <c r="Y40" s="216" t="s">
        <v>97</v>
      </c>
      <c r="Z40" s="216" t="s">
        <v>86</v>
      </c>
      <c r="AA40" s="216" t="s">
        <v>69</v>
      </c>
      <c r="AB40" s="39" t="s">
        <v>340</v>
      </c>
    </row>
    <row r="41" spans="1:44" ht="12.75" customHeight="1" x14ac:dyDescent="0.15">
      <c r="A41" s="15" t="s">
        <v>337</v>
      </c>
      <c r="B41" s="15" t="s">
        <v>338</v>
      </c>
      <c r="C41" s="15">
        <v>2018</v>
      </c>
      <c r="D41" s="37" t="s">
        <v>342</v>
      </c>
      <c r="E41" s="7" t="s">
        <v>140</v>
      </c>
      <c r="F41" s="7" t="s">
        <v>147</v>
      </c>
      <c r="G41" s="7" t="s">
        <v>36</v>
      </c>
      <c r="H41" s="15" t="s">
        <v>166</v>
      </c>
      <c r="I41" s="7" t="s">
        <v>155</v>
      </c>
      <c r="J41" s="15" t="s">
        <v>38</v>
      </c>
      <c r="K41" s="7" t="s">
        <v>156</v>
      </c>
      <c r="L41" s="7">
        <v>1</v>
      </c>
      <c r="N41" s="7">
        <v>4</v>
      </c>
      <c r="O41" s="7">
        <v>0.5</v>
      </c>
      <c r="P41" s="7">
        <v>0.5</v>
      </c>
      <c r="Q41" s="52">
        <f t="shared" si="0"/>
        <v>0.5</v>
      </c>
      <c r="R41" s="7">
        <v>14.9</v>
      </c>
      <c r="S41" s="7">
        <v>107</v>
      </c>
      <c r="T41" s="16">
        <f t="shared" si="1"/>
        <v>33</v>
      </c>
      <c r="U41" s="7">
        <v>459</v>
      </c>
      <c r="V41" s="16">
        <f t="shared" si="2"/>
        <v>3786.75</v>
      </c>
      <c r="W41" s="7">
        <v>2</v>
      </c>
      <c r="X41" s="15" t="s">
        <v>46</v>
      </c>
      <c r="Y41" s="216" t="s">
        <v>97</v>
      </c>
      <c r="Z41" s="216" t="s">
        <v>86</v>
      </c>
      <c r="AA41" s="216" t="s">
        <v>69</v>
      </c>
      <c r="AB41" s="39" t="s">
        <v>340</v>
      </c>
    </row>
    <row r="42" spans="1:44" x14ac:dyDescent="0.15">
      <c r="A42" s="15" t="s">
        <v>337</v>
      </c>
      <c r="B42" s="15" t="s">
        <v>338</v>
      </c>
      <c r="C42" s="15">
        <v>2018</v>
      </c>
      <c r="D42" s="37" t="s">
        <v>342</v>
      </c>
      <c r="E42" s="7" t="s">
        <v>140</v>
      </c>
      <c r="F42" s="7" t="s">
        <v>147</v>
      </c>
      <c r="G42" s="7" t="s">
        <v>36</v>
      </c>
      <c r="H42" s="216" t="s">
        <v>166</v>
      </c>
      <c r="I42" s="208" t="s">
        <v>155</v>
      </c>
      <c r="J42" s="15" t="s">
        <v>38</v>
      </c>
      <c r="K42" s="7" t="s">
        <v>156</v>
      </c>
      <c r="L42" s="7">
        <v>2</v>
      </c>
      <c r="N42" s="7">
        <v>4</v>
      </c>
      <c r="O42" s="7">
        <v>0.5</v>
      </c>
      <c r="P42" s="7">
        <v>0.5</v>
      </c>
      <c r="Q42" s="52">
        <f t="shared" si="0"/>
        <v>0.5</v>
      </c>
      <c r="R42" s="7">
        <v>14.6</v>
      </c>
      <c r="S42" s="7">
        <v>110</v>
      </c>
      <c r="T42" s="16">
        <f t="shared" si="1"/>
        <v>33</v>
      </c>
      <c r="U42" s="208">
        <v>459</v>
      </c>
      <c r="V42" s="16">
        <f t="shared" si="2"/>
        <v>3786.75</v>
      </c>
      <c r="W42" s="7">
        <v>2</v>
      </c>
      <c r="X42" s="15" t="s">
        <v>46</v>
      </c>
      <c r="Y42" s="216" t="s">
        <v>97</v>
      </c>
      <c r="Z42" s="216" t="s">
        <v>86</v>
      </c>
      <c r="AA42" s="216" t="s">
        <v>69</v>
      </c>
      <c r="AB42" s="39" t="s">
        <v>340</v>
      </c>
    </row>
    <row r="43" spans="1:44" x14ac:dyDescent="0.15">
      <c r="A43" s="15" t="s">
        <v>337</v>
      </c>
      <c r="B43" s="15" t="s">
        <v>338</v>
      </c>
      <c r="C43" s="15">
        <v>2018</v>
      </c>
      <c r="D43" s="37" t="s">
        <v>342</v>
      </c>
      <c r="E43" s="7" t="s">
        <v>140</v>
      </c>
      <c r="F43" s="7" t="s">
        <v>147</v>
      </c>
      <c r="G43" s="7" t="s">
        <v>36</v>
      </c>
      <c r="H43" s="216" t="s">
        <v>166</v>
      </c>
      <c r="I43" s="208" t="s">
        <v>155</v>
      </c>
      <c r="J43" s="15" t="s">
        <v>38</v>
      </c>
      <c r="K43" s="7" t="s">
        <v>156</v>
      </c>
      <c r="L43" s="7">
        <v>3</v>
      </c>
      <c r="N43" s="7">
        <v>4</v>
      </c>
      <c r="O43" s="7">
        <v>0.5</v>
      </c>
      <c r="P43" s="7">
        <v>0.5</v>
      </c>
      <c r="Q43" s="52">
        <f t="shared" si="0"/>
        <v>0.5</v>
      </c>
      <c r="R43" s="7">
        <v>15.2</v>
      </c>
      <c r="S43" s="7">
        <v>108</v>
      </c>
      <c r="T43" s="16">
        <f t="shared" si="1"/>
        <v>33</v>
      </c>
      <c r="U43" s="208">
        <v>459</v>
      </c>
      <c r="V43" s="16">
        <f t="shared" si="2"/>
        <v>3786.75</v>
      </c>
      <c r="W43" s="7">
        <v>2</v>
      </c>
      <c r="X43" s="15" t="s">
        <v>46</v>
      </c>
      <c r="Y43" s="216" t="s">
        <v>97</v>
      </c>
      <c r="Z43" s="216" t="s">
        <v>86</v>
      </c>
      <c r="AA43" s="216" t="s">
        <v>69</v>
      </c>
      <c r="AB43" s="39" t="s">
        <v>340</v>
      </c>
    </row>
    <row r="44" spans="1:44" x14ac:dyDescent="0.15">
      <c r="A44" s="15" t="s">
        <v>337</v>
      </c>
      <c r="B44" s="15" t="s">
        <v>338</v>
      </c>
      <c r="C44" s="15">
        <v>2018</v>
      </c>
      <c r="D44" s="37" t="s">
        <v>342</v>
      </c>
      <c r="E44" s="7" t="s">
        <v>130</v>
      </c>
      <c r="F44" s="7" t="s">
        <v>148</v>
      </c>
      <c r="G44" s="7" t="s">
        <v>36</v>
      </c>
      <c r="H44" s="15" t="s">
        <v>157</v>
      </c>
      <c r="I44" s="208" t="s">
        <v>155</v>
      </c>
      <c r="J44" s="15" t="s">
        <v>38</v>
      </c>
      <c r="K44" s="7" t="s">
        <v>156</v>
      </c>
      <c r="L44" s="7">
        <v>1</v>
      </c>
      <c r="N44" s="7">
        <v>1</v>
      </c>
      <c r="O44" s="7">
        <v>0.6</v>
      </c>
      <c r="P44" s="7">
        <v>0.5</v>
      </c>
      <c r="Q44" s="52">
        <f t="shared" si="0"/>
        <v>0.55000000000000004</v>
      </c>
      <c r="R44" s="7">
        <v>14.4</v>
      </c>
      <c r="S44" s="7">
        <v>147</v>
      </c>
      <c r="T44" s="16">
        <f t="shared" si="1"/>
        <v>22</v>
      </c>
      <c r="U44" s="7">
        <v>105</v>
      </c>
      <c r="V44" s="16">
        <f t="shared" si="2"/>
        <v>2310</v>
      </c>
      <c r="W44" s="7">
        <v>6</v>
      </c>
      <c r="X44" s="15" t="s">
        <v>46</v>
      </c>
      <c r="Y44" s="216" t="s">
        <v>88</v>
      </c>
      <c r="Z44" s="216" t="s">
        <v>86</v>
      </c>
      <c r="AA44" s="216" t="s">
        <v>78</v>
      </c>
      <c r="AB44" s="39" t="s">
        <v>340</v>
      </c>
    </row>
    <row r="45" spans="1:44" x14ac:dyDescent="0.15">
      <c r="A45" s="15" t="s">
        <v>337</v>
      </c>
      <c r="B45" s="15" t="s">
        <v>338</v>
      </c>
      <c r="C45" s="15">
        <v>2018</v>
      </c>
      <c r="D45" s="37" t="s">
        <v>342</v>
      </c>
      <c r="E45" s="7" t="s">
        <v>130</v>
      </c>
      <c r="F45" s="7" t="s">
        <v>148</v>
      </c>
      <c r="G45" s="7" t="s">
        <v>36</v>
      </c>
      <c r="H45" s="216" t="s">
        <v>157</v>
      </c>
      <c r="I45" s="208" t="s">
        <v>155</v>
      </c>
      <c r="J45" s="15" t="s">
        <v>38</v>
      </c>
      <c r="K45" s="7" t="s">
        <v>156</v>
      </c>
      <c r="L45" s="7">
        <v>2</v>
      </c>
      <c r="N45" s="7">
        <v>1</v>
      </c>
      <c r="O45" s="7">
        <v>0.5</v>
      </c>
      <c r="P45" s="7">
        <v>0.6</v>
      </c>
      <c r="Q45" s="52">
        <f t="shared" si="0"/>
        <v>0.55000000000000004</v>
      </c>
      <c r="R45" s="7">
        <v>13.4</v>
      </c>
      <c r="S45" s="7">
        <v>145</v>
      </c>
      <c r="T45" s="16">
        <f t="shared" si="1"/>
        <v>22</v>
      </c>
      <c r="U45" s="208">
        <v>105</v>
      </c>
      <c r="V45" s="16">
        <f t="shared" si="2"/>
        <v>2310</v>
      </c>
      <c r="W45" s="7">
        <v>6</v>
      </c>
      <c r="X45" s="15" t="s">
        <v>46</v>
      </c>
      <c r="Y45" s="216" t="s">
        <v>88</v>
      </c>
      <c r="Z45" s="216" t="s">
        <v>86</v>
      </c>
      <c r="AA45" s="216" t="s">
        <v>78</v>
      </c>
      <c r="AB45" s="39" t="s">
        <v>340</v>
      </c>
    </row>
    <row r="46" spans="1:44" x14ac:dyDescent="0.15">
      <c r="A46" s="15" t="s">
        <v>337</v>
      </c>
      <c r="B46" s="15" t="s">
        <v>338</v>
      </c>
      <c r="C46" s="15">
        <v>2018</v>
      </c>
      <c r="D46" s="37" t="s">
        <v>342</v>
      </c>
      <c r="E46" s="7" t="s">
        <v>130</v>
      </c>
      <c r="F46" s="7" t="s">
        <v>148</v>
      </c>
      <c r="G46" s="7" t="s">
        <v>36</v>
      </c>
      <c r="H46" s="216" t="s">
        <v>157</v>
      </c>
      <c r="I46" s="208" t="s">
        <v>155</v>
      </c>
      <c r="J46" s="15" t="s">
        <v>38</v>
      </c>
      <c r="K46" s="7" t="s">
        <v>156</v>
      </c>
      <c r="L46" s="7">
        <v>3</v>
      </c>
      <c r="N46" s="7">
        <v>1</v>
      </c>
      <c r="O46" s="7">
        <v>0.8</v>
      </c>
      <c r="P46" s="34">
        <v>0.85</v>
      </c>
      <c r="Q46" s="52">
        <f t="shared" si="0"/>
        <v>0.82499999999999996</v>
      </c>
      <c r="R46" s="7">
        <v>14.6</v>
      </c>
      <c r="S46" s="7">
        <v>137</v>
      </c>
      <c r="T46" s="16">
        <f t="shared" si="1"/>
        <v>25</v>
      </c>
      <c r="U46" s="208">
        <v>105</v>
      </c>
      <c r="V46" s="16">
        <f t="shared" si="2"/>
        <v>2625</v>
      </c>
      <c r="W46" s="7">
        <v>6</v>
      </c>
      <c r="X46" s="15" t="s">
        <v>46</v>
      </c>
      <c r="Y46" s="216" t="s">
        <v>88</v>
      </c>
      <c r="Z46" s="216" t="s">
        <v>86</v>
      </c>
      <c r="AA46" s="216" t="s">
        <v>78</v>
      </c>
      <c r="AB46" s="39" t="s">
        <v>340</v>
      </c>
    </row>
    <row r="47" spans="1:44" x14ac:dyDescent="0.15">
      <c r="A47" s="15" t="s">
        <v>337</v>
      </c>
      <c r="B47" s="15" t="s">
        <v>338</v>
      </c>
      <c r="C47" s="15">
        <v>2018</v>
      </c>
      <c r="D47" s="37" t="s">
        <v>342</v>
      </c>
      <c r="E47" s="7" t="s">
        <v>130</v>
      </c>
      <c r="F47" s="7" t="s">
        <v>148</v>
      </c>
      <c r="G47" s="7" t="s">
        <v>36</v>
      </c>
      <c r="H47" s="15" t="s">
        <v>166</v>
      </c>
      <c r="I47" s="208" t="s">
        <v>155</v>
      </c>
      <c r="J47" s="15" t="s">
        <v>38</v>
      </c>
      <c r="K47" s="7" t="s">
        <v>156</v>
      </c>
      <c r="L47" s="7">
        <v>1</v>
      </c>
      <c r="N47" s="7">
        <v>1</v>
      </c>
      <c r="O47" s="7">
        <v>0.5</v>
      </c>
      <c r="P47" s="7">
        <v>0.5</v>
      </c>
      <c r="Q47" s="52">
        <f t="shared" si="0"/>
        <v>0.5</v>
      </c>
      <c r="R47" s="7">
        <v>17.8</v>
      </c>
      <c r="S47" s="7">
        <v>133</v>
      </c>
      <c r="T47" s="16">
        <f t="shared" si="1"/>
        <v>25</v>
      </c>
      <c r="U47" s="7">
        <v>145</v>
      </c>
      <c r="V47" s="16">
        <f t="shared" si="2"/>
        <v>3625</v>
      </c>
      <c r="W47" s="7">
        <v>12</v>
      </c>
      <c r="X47" s="15" t="s">
        <v>46</v>
      </c>
      <c r="Y47" s="216" t="s">
        <v>88</v>
      </c>
      <c r="Z47" s="216" t="s">
        <v>86</v>
      </c>
      <c r="AA47" s="216" t="s">
        <v>78</v>
      </c>
      <c r="AB47" s="39" t="s">
        <v>340</v>
      </c>
    </row>
    <row r="48" spans="1:44" x14ac:dyDescent="0.15">
      <c r="A48" s="15" t="s">
        <v>337</v>
      </c>
      <c r="B48" s="15" t="s">
        <v>338</v>
      </c>
      <c r="C48" s="15">
        <v>2018</v>
      </c>
      <c r="D48" s="37" t="s">
        <v>342</v>
      </c>
      <c r="E48" s="7" t="s">
        <v>130</v>
      </c>
      <c r="F48" s="7" t="s">
        <v>148</v>
      </c>
      <c r="G48" s="7" t="s">
        <v>36</v>
      </c>
      <c r="H48" s="216" t="s">
        <v>166</v>
      </c>
      <c r="I48" s="208" t="s">
        <v>155</v>
      </c>
      <c r="J48" s="15" t="s">
        <v>38</v>
      </c>
      <c r="K48" s="7" t="s">
        <v>156</v>
      </c>
      <c r="L48" s="7">
        <v>2</v>
      </c>
      <c r="N48" s="7">
        <v>1</v>
      </c>
      <c r="O48" s="7">
        <v>0.5</v>
      </c>
      <c r="P48" s="7">
        <v>0.5</v>
      </c>
      <c r="Q48" s="52">
        <f t="shared" si="0"/>
        <v>0.5</v>
      </c>
      <c r="R48" s="7">
        <v>19.100000000000001</v>
      </c>
      <c r="S48" s="7">
        <v>130</v>
      </c>
      <c r="T48" s="16">
        <f t="shared" si="1"/>
        <v>25</v>
      </c>
      <c r="U48" s="208">
        <v>145</v>
      </c>
      <c r="V48" s="16">
        <f t="shared" si="2"/>
        <v>3625</v>
      </c>
      <c r="W48" s="7">
        <v>12</v>
      </c>
      <c r="X48" s="15" t="s">
        <v>46</v>
      </c>
      <c r="Y48" s="216" t="s">
        <v>88</v>
      </c>
      <c r="Z48" s="216" t="s">
        <v>86</v>
      </c>
      <c r="AA48" s="216" t="s">
        <v>78</v>
      </c>
      <c r="AB48" s="39" t="s">
        <v>340</v>
      </c>
    </row>
    <row r="49" spans="1:29" x14ac:dyDescent="0.15">
      <c r="A49" s="15" t="s">
        <v>337</v>
      </c>
      <c r="B49" s="15" t="s">
        <v>338</v>
      </c>
      <c r="C49" s="15">
        <v>2018</v>
      </c>
      <c r="D49" s="37" t="s">
        <v>342</v>
      </c>
      <c r="E49" s="7" t="s">
        <v>130</v>
      </c>
      <c r="F49" s="7" t="s">
        <v>148</v>
      </c>
      <c r="G49" s="7" t="s">
        <v>36</v>
      </c>
      <c r="H49" s="216" t="s">
        <v>166</v>
      </c>
      <c r="I49" s="208" t="s">
        <v>155</v>
      </c>
      <c r="J49" s="15" t="s">
        <v>38</v>
      </c>
      <c r="K49" s="7" t="s">
        <v>156</v>
      </c>
      <c r="L49" s="7">
        <v>3</v>
      </c>
      <c r="N49" s="7">
        <v>1</v>
      </c>
      <c r="O49" s="7">
        <v>0.5</v>
      </c>
      <c r="P49" s="34">
        <v>0.5</v>
      </c>
      <c r="Q49" s="52">
        <f t="shared" si="0"/>
        <v>0.5</v>
      </c>
      <c r="R49" s="7">
        <v>15.3</v>
      </c>
      <c r="S49" s="7">
        <v>126</v>
      </c>
      <c r="T49" s="16">
        <f t="shared" si="1"/>
        <v>27</v>
      </c>
      <c r="U49" s="208">
        <v>145</v>
      </c>
      <c r="V49" s="16">
        <f t="shared" si="2"/>
        <v>3915</v>
      </c>
      <c r="W49" s="7">
        <v>12</v>
      </c>
      <c r="X49" s="15" t="s">
        <v>46</v>
      </c>
      <c r="Y49" s="216" t="s">
        <v>88</v>
      </c>
      <c r="Z49" s="216" t="s">
        <v>86</v>
      </c>
      <c r="AA49" s="216" t="s">
        <v>78</v>
      </c>
      <c r="AB49" s="39" t="s">
        <v>340</v>
      </c>
    </row>
    <row r="50" spans="1:29" x14ac:dyDescent="0.15">
      <c r="A50" s="15" t="s">
        <v>337</v>
      </c>
      <c r="B50" s="15" t="s">
        <v>338</v>
      </c>
      <c r="C50" s="15">
        <v>2018</v>
      </c>
      <c r="D50" s="37" t="s">
        <v>342</v>
      </c>
      <c r="E50" s="7" t="s">
        <v>132</v>
      </c>
      <c r="F50" s="7" t="s">
        <v>149</v>
      </c>
      <c r="G50" s="7" t="s">
        <v>36</v>
      </c>
      <c r="H50" s="15" t="s">
        <v>157</v>
      </c>
      <c r="I50" s="208" t="s">
        <v>155</v>
      </c>
      <c r="J50" s="15" t="s">
        <v>38</v>
      </c>
      <c r="K50" s="7" t="s">
        <v>156</v>
      </c>
      <c r="L50" s="7">
        <v>1</v>
      </c>
      <c r="N50" s="7">
        <v>1</v>
      </c>
      <c r="O50" s="7">
        <v>0.65</v>
      </c>
      <c r="P50" s="7">
        <v>0.8</v>
      </c>
      <c r="Q50" s="52">
        <f t="shared" si="0"/>
        <v>0.72500000000000009</v>
      </c>
      <c r="R50" s="7">
        <v>14.3</v>
      </c>
      <c r="S50" s="7">
        <v>151</v>
      </c>
      <c r="T50" s="16">
        <f t="shared" si="1"/>
        <v>22</v>
      </c>
      <c r="U50" s="208">
        <v>105</v>
      </c>
      <c r="V50" s="16">
        <f t="shared" si="2"/>
        <v>2310</v>
      </c>
      <c r="W50" s="7">
        <v>6</v>
      </c>
      <c r="X50" s="15" t="s">
        <v>46</v>
      </c>
      <c r="Y50" s="216" t="s">
        <v>88</v>
      </c>
      <c r="Z50" s="216" t="s">
        <v>55</v>
      </c>
      <c r="AA50" s="216" t="s">
        <v>78</v>
      </c>
      <c r="AB50" s="39" t="s">
        <v>340</v>
      </c>
    </row>
    <row r="51" spans="1:29" x14ac:dyDescent="0.15">
      <c r="A51" s="15" t="s">
        <v>337</v>
      </c>
      <c r="B51" s="15" t="s">
        <v>338</v>
      </c>
      <c r="C51" s="15">
        <v>2018</v>
      </c>
      <c r="D51" s="37" t="s">
        <v>342</v>
      </c>
      <c r="E51" s="7" t="s">
        <v>132</v>
      </c>
      <c r="F51" s="7" t="s">
        <v>149</v>
      </c>
      <c r="G51" s="7" t="s">
        <v>36</v>
      </c>
      <c r="H51" s="216" t="s">
        <v>157</v>
      </c>
      <c r="I51" s="208" t="s">
        <v>155</v>
      </c>
      <c r="J51" s="15" t="s">
        <v>38</v>
      </c>
      <c r="K51" s="7" t="s">
        <v>156</v>
      </c>
      <c r="L51" s="7">
        <v>2</v>
      </c>
      <c r="N51" s="7">
        <v>1</v>
      </c>
      <c r="O51" s="7">
        <v>0.6</v>
      </c>
      <c r="P51" s="7">
        <v>0.7</v>
      </c>
      <c r="Q51" s="52">
        <f t="shared" si="0"/>
        <v>0.64999999999999991</v>
      </c>
      <c r="R51" s="7">
        <v>17.100000000000001</v>
      </c>
      <c r="S51" s="7">
        <v>151</v>
      </c>
      <c r="T51" s="16">
        <f t="shared" si="1"/>
        <v>22</v>
      </c>
      <c r="U51" s="208">
        <v>105</v>
      </c>
      <c r="V51" s="16">
        <f t="shared" si="2"/>
        <v>2310</v>
      </c>
      <c r="W51" s="7">
        <v>6</v>
      </c>
      <c r="X51" s="15" t="s">
        <v>46</v>
      </c>
      <c r="Y51" s="216" t="s">
        <v>88</v>
      </c>
      <c r="Z51" s="216" t="s">
        <v>55</v>
      </c>
      <c r="AA51" s="216" t="s">
        <v>78</v>
      </c>
      <c r="AB51" s="39" t="s">
        <v>340</v>
      </c>
    </row>
    <row r="52" spans="1:29" x14ac:dyDescent="0.15">
      <c r="A52" s="15" t="s">
        <v>337</v>
      </c>
      <c r="B52" s="15" t="s">
        <v>338</v>
      </c>
      <c r="C52" s="15">
        <v>2018</v>
      </c>
      <c r="D52" s="37" t="s">
        <v>342</v>
      </c>
      <c r="E52" s="7" t="s">
        <v>132</v>
      </c>
      <c r="F52" s="7" t="s">
        <v>149</v>
      </c>
      <c r="G52" s="7" t="s">
        <v>36</v>
      </c>
      <c r="H52" s="216" t="s">
        <v>157</v>
      </c>
      <c r="I52" s="208" t="s">
        <v>155</v>
      </c>
      <c r="J52" s="15" t="s">
        <v>38</v>
      </c>
      <c r="K52" s="7" t="s">
        <v>156</v>
      </c>
      <c r="L52" s="7">
        <v>3</v>
      </c>
      <c r="N52" s="7">
        <v>1</v>
      </c>
      <c r="O52" s="7">
        <v>0.7</v>
      </c>
      <c r="P52" s="7">
        <v>0.85</v>
      </c>
      <c r="Q52" s="52">
        <f t="shared" si="0"/>
        <v>0.77499999999999991</v>
      </c>
      <c r="R52" s="7">
        <v>14.8</v>
      </c>
      <c r="S52" s="7">
        <v>147</v>
      </c>
      <c r="T52" s="16">
        <f t="shared" si="1"/>
        <v>22</v>
      </c>
      <c r="U52" s="208">
        <v>105</v>
      </c>
      <c r="V52" s="16">
        <f t="shared" si="2"/>
        <v>2310</v>
      </c>
      <c r="W52" s="7">
        <v>6</v>
      </c>
      <c r="X52" s="15" t="s">
        <v>46</v>
      </c>
      <c r="Y52" s="216" t="s">
        <v>88</v>
      </c>
      <c r="Z52" s="216" t="s">
        <v>55</v>
      </c>
      <c r="AA52" s="216" t="s">
        <v>78</v>
      </c>
      <c r="AB52" s="39" t="s">
        <v>340</v>
      </c>
    </row>
    <row r="53" spans="1:29" x14ac:dyDescent="0.15">
      <c r="A53" s="15" t="s">
        <v>337</v>
      </c>
      <c r="B53" s="15" t="s">
        <v>338</v>
      </c>
      <c r="C53" s="15">
        <v>2018</v>
      </c>
      <c r="D53" s="37" t="s">
        <v>342</v>
      </c>
      <c r="E53" s="7" t="s">
        <v>132</v>
      </c>
      <c r="F53" s="7" t="s">
        <v>149</v>
      </c>
      <c r="G53" s="7" t="s">
        <v>36</v>
      </c>
      <c r="H53" s="15" t="s">
        <v>166</v>
      </c>
      <c r="I53" s="208" t="s">
        <v>155</v>
      </c>
      <c r="J53" s="15" t="s">
        <v>38</v>
      </c>
      <c r="K53" s="7" t="s">
        <v>156</v>
      </c>
      <c r="L53" s="7">
        <v>1</v>
      </c>
      <c r="N53" s="7">
        <v>1</v>
      </c>
      <c r="O53" s="7">
        <v>0.75</v>
      </c>
      <c r="P53" s="7">
        <v>0.7</v>
      </c>
      <c r="Q53" s="52">
        <f t="shared" si="0"/>
        <v>0.72499999999999998</v>
      </c>
      <c r="R53" s="7">
        <v>18.5</v>
      </c>
      <c r="S53" s="7">
        <v>145</v>
      </c>
      <c r="T53" s="16">
        <f t="shared" si="1"/>
        <v>22</v>
      </c>
      <c r="U53" s="7">
        <v>138</v>
      </c>
      <c r="V53" s="16">
        <f t="shared" si="2"/>
        <v>3036</v>
      </c>
      <c r="W53" s="7">
        <v>9</v>
      </c>
      <c r="X53" s="15" t="s">
        <v>46</v>
      </c>
      <c r="Y53" s="216" t="s">
        <v>88</v>
      </c>
      <c r="Z53" s="216" t="s">
        <v>55</v>
      </c>
      <c r="AA53" s="216" t="s">
        <v>78</v>
      </c>
      <c r="AB53" s="39" t="s">
        <v>340</v>
      </c>
      <c r="AC53" s="36"/>
    </row>
    <row r="54" spans="1:29" x14ac:dyDescent="0.15">
      <c r="A54" s="15" t="s">
        <v>337</v>
      </c>
      <c r="B54" s="15" t="s">
        <v>338</v>
      </c>
      <c r="C54" s="15">
        <v>2018</v>
      </c>
      <c r="D54" s="37" t="s">
        <v>342</v>
      </c>
      <c r="E54" s="7" t="s">
        <v>132</v>
      </c>
      <c r="F54" s="7" t="s">
        <v>149</v>
      </c>
      <c r="G54" s="7" t="s">
        <v>36</v>
      </c>
      <c r="H54" s="216" t="s">
        <v>166</v>
      </c>
      <c r="I54" s="208" t="s">
        <v>155</v>
      </c>
      <c r="J54" s="216" t="s">
        <v>38</v>
      </c>
      <c r="K54" s="7" t="s">
        <v>156</v>
      </c>
      <c r="L54" s="7">
        <v>2</v>
      </c>
      <c r="N54" s="7">
        <v>1</v>
      </c>
      <c r="O54" s="7">
        <v>0.5</v>
      </c>
      <c r="P54" s="7">
        <v>0.5</v>
      </c>
      <c r="Q54" s="52">
        <f t="shared" si="0"/>
        <v>0.5</v>
      </c>
      <c r="R54" s="7">
        <v>15.3</v>
      </c>
      <c r="S54" s="7">
        <v>138</v>
      </c>
      <c r="T54" s="16">
        <f t="shared" si="1"/>
        <v>22</v>
      </c>
      <c r="U54" s="208">
        <v>138</v>
      </c>
      <c r="V54" s="16">
        <f t="shared" si="2"/>
        <v>3036</v>
      </c>
      <c r="W54" s="7">
        <v>9</v>
      </c>
      <c r="X54" s="15" t="s">
        <v>46</v>
      </c>
      <c r="Y54" s="216" t="s">
        <v>88</v>
      </c>
      <c r="Z54" s="216" t="s">
        <v>55</v>
      </c>
      <c r="AA54" s="216" t="s">
        <v>78</v>
      </c>
      <c r="AB54" s="39" t="s">
        <v>340</v>
      </c>
      <c r="AC54" s="36"/>
    </row>
    <row r="55" spans="1:29" x14ac:dyDescent="0.15">
      <c r="A55" s="15" t="s">
        <v>337</v>
      </c>
      <c r="B55" s="15" t="s">
        <v>338</v>
      </c>
      <c r="C55" s="15">
        <v>2018</v>
      </c>
      <c r="D55" s="37" t="s">
        <v>342</v>
      </c>
      <c r="E55" s="7" t="s">
        <v>132</v>
      </c>
      <c r="F55" s="7" t="s">
        <v>149</v>
      </c>
      <c r="G55" s="7" t="s">
        <v>36</v>
      </c>
      <c r="H55" s="216" t="s">
        <v>166</v>
      </c>
      <c r="I55" s="208" t="s">
        <v>155</v>
      </c>
      <c r="J55" s="216" t="s">
        <v>38</v>
      </c>
      <c r="K55" s="7" t="s">
        <v>156</v>
      </c>
      <c r="L55" s="7">
        <v>3</v>
      </c>
      <c r="N55" s="208">
        <v>1</v>
      </c>
      <c r="O55" s="7">
        <v>0.7</v>
      </c>
      <c r="P55" s="7">
        <v>0.6</v>
      </c>
      <c r="Q55" s="52">
        <f t="shared" si="0"/>
        <v>0.64999999999999991</v>
      </c>
      <c r="R55" s="7">
        <v>18.7</v>
      </c>
      <c r="S55" s="7">
        <v>141</v>
      </c>
      <c r="T55" s="16">
        <f t="shared" si="1"/>
        <v>22</v>
      </c>
      <c r="U55" s="208">
        <v>138</v>
      </c>
      <c r="V55" s="16">
        <f t="shared" si="2"/>
        <v>3036</v>
      </c>
      <c r="W55" s="7">
        <v>9</v>
      </c>
      <c r="X55" s="15" t="s">
        <v>46</v>
      </c>
      <c r="Y55" s="216" t="s">
        <v>88</v>
      </c>
      <c r="Z55" s="216" t="s">
        <v>55</v>
      </c>
      <c r="AA55" s="216" t="s">
        <v>78</v>
      </c>
      <c r="AB55" s="39" t="s">
        <v>340</v>
      </c>
      <c r="AC55" s="36"/>
    </row>
    <row r="56" spans="1:29" x14ac:dyDescent="0.15">
      <c r="A56" s="15" t="s">
        <v>337</v>
      </c>
      <c r="B56" s="15" t="s">
        <v>338</v>
      </c>
      <c r="C56" s="15">
        <v>2018</v>
      </c>
      <c r="D56" s="37" t="s">
        <v>342</v>
      </c>
      <c r="E56" s="7" t="s">
        <v>141</v>
      </c>
      <c r="F56" s="7" t="s">
        <v>150</v>
      </c>
      <c r="G56" s="7" t="s">
        <v>36</v>
      </c>
      <c r="H56" s="15" t="s">
        <v>157</v>
      </c>
      <c r="I56" s="208" t="s">
        <v>155</v>
      </c>
      <c r="J56" s="15" t="s">
        <v>38</v>
      </c>
      <c r="K56" s="7" t="s">
        <v>156</v>
      </c>
      <c r="L56" s="7">
        <v>1</v>
      </c>
      <c r="N56" s="208">
        <v>1</v>
      </c>
      <c r="O56" s="7">
        <v>0.55000000000000004</v>
      </c>
      <c r="P56" s="7">
        <v>0.5</v>
      </c>
      <c r="Q56" s="52">
        <f t="shared" si="0"/>
        <v>0.52500000000000002</v>
      </c>
      <c r="R56" s="7">
        <v>14.1</v>
      </c>
      <c r="S56" s="7">
        <v>112</v>
      </c>
      <c r="T56" s="16">
        <f t="shared" si="1"/>
        <v>33</v>
      </c>
      <c r="U56" s="208">
        <v>95</v>
      </c>
      <c r="V56" s="16">
        <f t="shared" si="2"/>
        <v>3135</v>
      </c>
      <c r="W56" s="7">
        <v>9</v>
      </c>
      <c r="X56" s="15" t="s">
        <v>46</v>
      </c>
      <c r="Y56" s="216" t="s">
        <v>88</v>
      </c>
      <c r="Z56" s="216" t="s">
        <v>86</v>
      </c>
      <c r="AA56" s="216" t="s">
        <v>55</v>
      </c>
      <c r="AB56" s="39" t="s">
        <v>340</v>
      </c>
    </row>
    <row r="57" spans="1:29" x14ac:dyDescent="0.15">
      <c r="A57" s="15" t="s">
        <v>337</v>
      </c>
      <c r="B57" s="15" t="s">
        <v>338</v>
      </c>
      <c r="C57" s="15">
        <v>2018</v>
      </c>
      <c r="D57" s="37" t="s">
        <v>342</v>
      </c>
      <c r="E57" s="7" t="s">
        <v>141</v>
      </c>
      <c r="F57" s="7" t="s">
        <v>150</v>
      </c>
      <c r="G57" s="7" t="s">
        <v>36</v>
      </c>
      <c r="H57" s="216" t="s">
        <v>157</v>
      </c>
      <c r="I57" s="208" t="s">
        <v>155</v>
      </c>
      <c r="J57" s="15" t="s">
        <v>38</v>
      </c>
      <c r="K57" s="7" t="s">
        <v>156</v>
      </c>
      <c r="L57" s="7">
        <v>2</v>
      </c>
      <c r="N57" s="208">
        <v>1</v>
      </c>
      <c r="O57" s="7">
        <v>0.95</v>
      </c>
      <c r="P57" s="7">
        <v>0.95</v>
      </c>
      <c r="Q57" s="52">
        <f t="shared" si="0"/>
        <v>0.95</v>
      </c>
      <c r="R57" s="7">
        <v>13.4</v>
      </c>
      <c r="S57" s="7">
        <v>130</v>
      </c>
      <c r="T57" s="16">
        <f t="shared" si="1"/>
        <v>25</v>
      </c>
      <c r="U57" s="208">
        <v>95</v>
      </c>
      <c r="V57" s="16">
        <f t="shared" si="2"/>
        <v>2375</v>
      </c>
      <c r="W57" s="7">
        <v>9</v>
      </c>
      <c r="X57" s="15" t="s">
        <v>46</v>
      </c>
      <c r="Y57" s="216" t="s">
        <v>88</v>
      </c>
      <c r="Z57" s="216" t="s">
        <v>86</v>
      </c>
      <c r="AA57" s="216" t="s">
        <v>55</v>
      </c>
      <c r="AB57" s="39" t="s">
        <v>340</v>
      </c>
    </row>
    <row r="58" spans="1:29" x14ac:dyDescent="0.15">
      <c r="A58" s="15" t="s">
        <v>337</v>
      </c>
      <c r="B58" s="15" t="s">
        <v>338</v>
      </c>
      <c r="C58" s="15">
        <v>2018</v>
      </c>
      <c r="D58" s="37" t="s">
        <v>342</v>
      </c>
      <c r="E58" s="7" t="s">
        <v>141</v>
      </c>
      <c r="F58" s="7" t="s">
        <v>150</v>
      </c>
      <c r="G58" s="7" t="s">
        <v>36</v>
      </c>
      <c r="H58" s="216" t="s">
        <v>157</v>
      </c>
      <c r="I58" s="208" t="s">
        <v>155</v>
      </c>
      <c r="J58" s="15" t="s">
        <v>38</v>
      </c>
      <c r="K58" s="7" t="s">
        <v>156</v>
      </c>
      <c r="L58" s="7">
        <v>3</v>
      </c>
      <c r="N58" s="208">
        <v>1</v>
      </c>
      <c r="O58" s="7">
        <v>0.5</v>
      </c>
      <c r="P58" s="7">
        <v>0.55000000000000004</v>
      </c>
      <c r="Q58" s="52">
        <f t="shared" si="0"/>
        <v>0.52500000000000002</v>
      </c>
      <c r="R58" s="7">
        <v>13.6</v>
      </c>
      <c r="S58" s="7">
        <v>123</v>
      </c>
      <c r="T58" s="16">
        <f t="shared" si="1"/>
        <v>27</v>
      </c>
      <c r="U58" s="208">
        <v>95</v>
      </c>
      <c r="V58" s="16">
        <f t="shared" si="2"/>
        <v>2565</v>
      </c>
      <c r="W58" s="7">
        <v>9</v>
      </c>
      <c r="X58" s="15" t="s">
        <v>46</v>
      </c>
      <c r="Y58" s="216" t="s">
        <v>88</v>
      </c>
      <c r="Z58" s="216" t="s">
        <v>86</v>
      </c>
      <c r="AA58" s="216" t="s">
        <v>55</v>
      </c>
      <c r="AB58" s="39" t="s">
        <v>340</v>
      </c>
    </row>
    <row r="59" spans="1:29" x14ac:dyDescent="0.15">
      <c r="A59" s="15" t="s">
        <v>337</v>
      </c>
      <c r="B59" s="15" t="s">
        <v>338</v>
      </c>
      <c r="C59" s="15">
        <v>2018</v>
      </c>
      <c r="D59" s="37" t="s">
        <v>342</v>
      </c>
      <c r="E59" s="7" t="s">
        <v>141</v>
      </c>
      <c r="F59" s="7" t="s">
        <v>150</v>
      </c>
      <c r="G59" s="7" t="s">
        <v>36</v>
      </c>
      <c r="H59" s="15" t="s">
        <v>166</v>
      </c>
      <c r="I59" s="208" t="s">
        <v>155</v>
      </c>
      <c r="J59" s="15" t="s">
        <v>38</v>
      </c>
      <c r="K59" s="7" t="s">
        <v>156</v>
      </c>
      <c r="L59" s="7">
        <v>1</v>
      </c>
      <c r="N59" s="208">
        <v>1</v>
      </c>
      <c r="O59" s="7">
        <v>0.65</v>
      </c>
      <c r="P59" s="7">
        <v>0.5</v>
      </c>
      <c r="Q59" s="52">
        <f t="shared" si="0"/>
        <v>0.57499999999999996</v>
      </c>
      <c r="R59" s="7">
        <v>18.8</v>
      </c>
      <c r="S59" s="7">
        <v>135</v>
      </c>
      <c r="T59" s="16">
        <f t="shared" si="1"/>
        <v>25</v>
      </c>
      <c r="U59" s="7">
        <v>138</v>
      </c>
      <c r="V59" s="16">
        <f t="shared" si="2"/>
        <v>3450</v>
      </c>
      <c r="W59" s="7">
        <v>4</v>
      </c>
      <c r="X59" s="15" t="s">
        <v>46</v>
      </c>
      <c r="Y59" s="216" t="s">
        <v>88</v>
      </c>
      <c r="Z59" s="216" t="s">
        <v>86</v>
      </c>
      <c r="AA59" s="216" t="s">
        <v>55</v>
      </c>
      <c r="AB59" s="39" t="s">
        <v>340</v>
      </c>
    </row>
    <row r="60" spans="1:29" x14ac:dyDescent="0.15">
      <c r="A60" s="15" t="s">
        <v>337</v>
      </c>
      <c r="B60" s="15" t="s">
        <v>338</v>
      </c>
      <c r="C60" s="15">
        <v>2018</v>
      </c>
      <c r="D60" s="37" t="s">
        <v>342</v>
      </c>
      <c r="E60" s="7" t="s">
        <v>141</v>
      </c>
      <c r="F60" s="7" t="s">
        <v>150</v>
      </c>
      <c r="G60" s="7" t="s">
        <v>36</v>
      </c>
      <c r="H60" s="216" t="s">
        <v>166</v>
      </c>
      <c r="I60" s="208" t="s">
        <v>155</v>
      </c>
      <c r="J60" s="15" t="s">
        <v>38</v>
      </c>
      <c r="K60" s="7" t="s">
        <v>156</v>
      </c>
      <c r="L60" s="7">
        <v>2</v>
      </c>
      <c r="N60" s="7">
        <v>1</v>
      </c>
      <c r="O60" s="7">
        <v>0.6</v>
      </c>
      <c r="P60" s="7">
        <v>0.65</v>
      </c>
      <c r="Q60" s="52">
        <f t="shared" si="0"/>
        <v>0.625</v>
      </c>
      <c r="R60" s="7">
        <v>15.5</v>
      </c>
      <c r="S60" s="7">
        <v>127</v>
      </c>
      <c r="T60" s="16">
        <f>IF(H60="","",IF(OR(H60="GREEN",H60="GK"),IF(S60&gt;=$AX$2,VLOOKUP(S60,$AX$2:$AY$12,2,1),""),IF(S60&gt;=$AZ$2,VLOOKUP(S60,$AZ$2:$BA$12,2,1),"")))</f>
        <v>27</v>
      </c>
      <c r="U60" s="208">
        <v>138</v>
      </c>
      <c r="V60" s="16">
        <f t="shared" si="2"/>
        <v>3726</v>
      </c>
      <c r="W60" s="7">
        <v>4</v>
      </c>
      <c r="X60" s="15" t="s">
        <v>46</v>
      </c>
      <c r="Y60" s="216" t="s">
        <v>88</v>
      </c>
      <c r="Z60" s="216" t="s">
        <v>86</v>
      </c>
      <c r="AA60" s="216" t="s">
        <v>55</v>
      </c>
      <c r="AB60" s="39" t="s">
        <v>340</v>
      </c>
    </row>
    <row r="61" spans="1:29" x14ac:dyDescent="0.15">
      <c r="A61" s="15" t="s">
        <v>337</v>
      </c>
      <c r="B61" s="15" t="s">
        <v>338</v>
      </c>
      <c r="C61" s="15">
        <v>2018</v>
      </c>
      <c r="D61" s="37" t="s">
        <v>342</v>
      </c>
      <c r="E61" s="7" t="s">
        <v>141</v>
      </c>
      <c r="F61" s="7" t="s">
        <v>150</v>
      </c>
      <c r="G61" s="7" t="s">
        <v>36</v>
      </c>
      <c r="H61" s="216" t="s">
        <v>166</v>
      </c>
      <c r="I61" s="208" t="s">
        <v>155</v>
      </c>
      <c r="J61" s="15" t="s">
        <v>38</v>
      </c>
      <c r="K61" s="7" t="s">
        <v>156</v>
      </c>
      <c r="L61" s="7">
        <v>3</v>
      </c>
      <c r="N61" s="7">
        <v>1</v>
      </c>
      <c r="O61" s="7">
        <v>0.5</v>
      </c>
      <c r="P61" s="7">
        <v>0.55000000000000004</v>
      </c>
      <c r="Q61" s="52">
        <f t="shared" si="0"/>
        <v>0.52500000000000002</v>
      </c>
      <c r="R61" s="7">
        <v>19.3</v>
      </c>
      <c r="S61" s="7">
        <v>132</v>
      </c>
      <c r="T61" s="16">
        <f>IF(H61="","",IF(OR(H61="GREEN",H61="GK"),IF(S61&gt;=$AX$2,VLOOKUP(S61,$AX$2:$AY$12,2,1),""),IF(S61&gt;=$AZ$2,VLOOKUP(S61,$AZ$2:$BA$12,2,1),"")))</f>
        <v>25</v>
      </c>
      <c r="U61" s="208">
        <v>138</v>
      </c>
      <c r="V61" s="16">
        <f t="shared" si="2"/>
        <v>3450</v>
      </c>
      <c r="W61" s="7">
        <v>4</v>
      </c>
      <c r="X61" s="15" t="s">
        <v>46</v>
      </c>
      <c r="Y61" s="216" t="s">
        <v>88</v>
      </c>
      <c r="Z61" s="216" t="s">
        <v>86</v>
      </c>
      <c r="AA61" s="216" t="s">
        <v>55</v>
      </c>
      <c r="AB61" s="39" t="s">
        <v>340</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5"/>
  <sheetViews>
    <sheetView zoomScale="70" zoomScaleNormal="70" workbookViewId="0">
      <selection activeCell="AB55" sqref="AB55"/>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53" t="s">
        <v>16</v>
      </c>
      <c r="R1" s="203" t="s">
        <v>17</v>
      </c>
      <c r="S1" s="203" t="s">
        <v>18</v>
      </c>
      <c r="T1" s="53" t="s">
        <v>19</v>
      </c>
      <c r="U1" s="205" t="s">
        <v>108</v>
      </c>
      <c r="V1" s="54" t="s">
        <v>20</v>
      </c>
      <c r="W1" s="203" t="s">
        <v>21</v>
      </c>
      <c r="X1" s="241" t="s">
        <v>22</v>
      </c>
      <c r="Y1" s="241" t="s">
        <v>23</v>
      </c>
      <c r="Z1" s="241" t="s">
        <v>24</v>
      </c>
      <c r="AA1" s="241" t="s">
        <v>25</v>
      </c>
      <c r="AB1" s="242"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170</v>
      </c>
      <c r="BA1" s="215" t="s">
        <v>165</v>
      </c>
    </row>
    <row r="2" spans="1:53" s="55" customFormat="1" x14ac:dyDescent="0.15">
      <c r="A2" s="55" t="s">
        <v>41</v>
      </c>
      <c r="B2" s="237" t="s">
        <v>338</v>
      </c>
      <c r="C2" s="152">
        <v>2018</v>
      </c>
      <c r="D2" s="56" t="s">
        <v>344</v>
      </c>
      <c r="E2" s="237" t="s">
        <v>133</v>
      </c>
      <c r="F2" s="237" t="s">
        <v>296</v>
      </c>
      <c r="G2" s="55" t="s">
        <v>42</v>
      </c>
      <c r="H2" s="55" t="s">
        <v>157</v>
      </c>
      <c r="I2" s="55" t="s">
        <v>155</v>
      </c>
      <c r="J2" s="55" t="s">
        <v>38</v>
      </c>
      <c r="K2" s="55" t="s">
        <v>156</v>
      </c>
      <c r="L2" s="237">
        <v>1</v>
      </c>
      <c r="M2" s="237"/>
      <c r="N2" s="55">
        <v>1</v>
      </c>
      <c r="O2" s="55">
        <v>0.6</v>
      </c>
      <c r="P2" s="55">
        <v>0.6</v>
      </c>
      <c r="Q2" s="57">
        <f t="shared" ref="Q2:Q65" si="0">IF(OR(O2="",P2=""),"",AVERAGE(O2,P2))</f>
        <v>0.6</v>
      </c>
      <c r="R2" s="237">
        <v>16.5</v>
      </c>
      <c r="S2" s="237">
        <v>137</v>
      </c>
      <c r="T2" s="57">
        <f t="shared" ref="T2:T65" si="1">IF(H2="","",IF(OR(H2="GREEN",H2="GK"),IF(S2&gt;=$AX$2,VLOOKUP(S2,$AX$2:$AY$10,2,1),""),IF(S2&gt;=$AZ$2,VLOOKUP(S2,$AZ$2:$BA$10,2,1),"")))</f>
        <v>25</v>
      </c>
      <c r="U2" s="237">
        <v>105</v>
      </c>
      <c r="V2" s="58">
        <f t="shared" ref="V2:V65" si="2">IF(OR(N2="",U2="",T2=""),"",U2/N2*T2)</f>
        <v>2625</v>
      </c>
      <c r="W2" s="237">
        <v>4</v>
      </c>
      <c r="X2" s="55" t="s">
        <v>46</v>
      </c>
      <c r="Y2" s="55" t="s">
        <v>55</v>
      </c>
      <c r="Z2" s="55" t="s">
        <v>69</v>
      </c>
      <c r="AA2" s="55" t="s">
        <v>97</v>
      </c>
      <c r="AB2" s="39" t="s">
        <v>340</v>
      </c>
      <c r="AE2" s="218" t="s">
        <v>35</v>
      </c>
      <c r="AG2" s="59" t="s">
        <v>133</v>
      </c>
      <c r="AH2" s="60" t="s">
        <v>296</v>
      </c>
      <c r="AJ2" s="243" t="s">
        <v>36</v>
      </c>
      <c r="AL2" s="243" t="s">
        <v>127</v>
      </c>
      <c r="AN2" s="243" t="s">
        <v>37</v>
      </c>
      <c r="AP2" s="243" t="s">
        <v>38</v>
      </c>
      <c r="AR2" s="243" t="s">
        <v>120</v>
      </c>
      <c r="AT2" s="243" t="s">
        <v>39</v>
      </c>
      <c r="AV2" s="243" t="s">
        <v>40</v>
      </c>
      <c r="AX2" s="61">
        <v>1</v>
      </c>
      <c r="AY2" s="62">
        <v>50</v>
      </c>
      <c r="AZ2" s="62">
        <v>1</v>
      </c>
      <c r="BA2" s="63">
        <v>50</v>
      </c>
    </row>
    <row r="3" spans="1:53" x14ac:dyDescent="0.15">
      <c r="A3" s="55" t="s">
        <v>41</v>
      </c>
      <c r="B3" s="237" t="s">
        <v>338</v>
      </c>
      <c r="C3" s="152">
        <v>2018</v>
      </c>
      <c r="D3" s="56" t="s">
        <v>344</v>
      </c>
      <c r="E3" s="237" t="s">
        <v>133</v>
      </c>
      <c r="F3" s="237" t="s">
        <v>296</v>
      </c>
      <c r="G3" s="55" t="s">
        <v>42</v>
      </c>
      <c r="H3" s="55" t="s">
        <v>157</v>
      </c>
      <c r="I3" s="55" t="s">
        <v>155</v>
      </c>
      <c r="J3" s="55" t="s">
        <v>38</v>
      </c>
      <c r="K3" s="55" t="s">
        <v>156</v>
      </c>
      <c r="L3" s="237">
        <v>2</v>
      </c>
      <c r="N3" s="55">
        <v>1</v>
      </c>
      <c r="O3" s="237">
        <v>0.5</v>
      </c>
      <c r="P3" s="237">
        <v>0.5</v>
      </c>
      <c r="Q3" s="57">
        <f t="shared" si="0"/>
        <v>0.5</v>
      </c>
      <c r="R3" s="237">
        <v>12.8</v>
      </c>
      <c r="S3" s="237">
        <v>142</v>
      </c>
      <c r="T3" s="57">
        <f t="shared" si="1"/>
        <v>22</v>
      </c>
      <c r="U3" s="237">
        <v>105</v>
      </c>
      <c r="V3" s="58">
        <f t="shared" si="2"/>
        <v>2310</v>
      </c>
      <c r="W3" s="237">
        <v>4</v>
      </c>
      <c r="X3" s="55" t="s">
        <v>46</v>
      </c>
      <c r="Y3" s="55" t="s">
        <v>55</v>
      </c>
      <c r="Z3" s="55" t="s">
        <v>69</v>
      </c>
      <c r="AA3" s="55" t="s">
        <v>97</v>
      </c>
      <c r="AB3" s="39" t="s">
        <v>340</v>
      </c>
      <c r="AE3" s="223" t="s">
        <v>41</v>
      </c>
      <c r="AG3" s="64" t="s">
        <v>291</v>
      </c>
      <c r="AH3" s="64" t="s">
        <v>296</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338</v>
      </c>
      <c r="C4" s="152">
        <v>2018</v>
      </c>
      <c r="D4" s="56" t="s">
        <v>345</v>
      </c>
      <c r="E4" s="237" t="s">
        <v>133</v>
      </c>
      <c r="F4" s="237" t="s">
        <v>296</v>
      </c>
      <c r="G4" s="55" t="s">
        <v>42</v>
      </c>
      <c r="H4" s="55" t="s">
        <v>157</v>
      </c>
      <c r="I4" s="55" t="s">
        <v>155</v>
      </c>
      <c r="J4" s="55" t="s">
        <v>38</v>
      </c>
      <c r="K4" s="55" t="s">
        <v>156</v>
      </c>
      <c r="L4" s="237">
        <v>3</v>
      </c>
      <c r="N4" s="55">
        <v>1</v>
      </c>
      <c r="O4" s="237">
        <v>0.5</v>
      </c>
      <c r="P4" s="237">
        <v>0.4</v>
      </c>
      <c r="Q4" s="57">
        <f t="shared" si="0"/>
        <v>0.45</v>
      </c>
      <c r="R4" s="237">
        <v>14.5</v>
      </c>
      <c r="S4" s="237">
        <v>139</v>
      </c>
      <c r="T4" s="57">
        <f t="shared" si="1"/>
        <v>22</v>
      </c>
      <c r="U4" s="237">
        <v>105</v>
      </c>
      <c r="V4" s="58">
        <f t="shared" si="2"/>
        <v>2310</v>
      </c>
      <c r="W4" s="237">
        <v>4</v>
      </c>
      <c r="X4" s="55" t="s">
        <v>46</v>
      </c>
      <c r="Y4" s="55" t="s">
        <v>55</v>
      </c>
      <c r="Z4" s="55" t="s">
        <v>69</v>
      </c>
      <c r="AA4" s="55" t="s">
        <v>97</v>
      </c>
      <c r="AB4" s="39" t="s">
        <v>340</v>
      </c>
      <c r="AE4" s="223" t="s">
        <v>34</v>
      </c>
      <c r="AG4" s="64" t="s">
        <v>291</v>
      </c>
      <c r="AH4" s="64" t="s">
        <v>297</v>
      </c>
      <c r="AJ4" s="69" t="s">
        <v>48</v>
      </c>
      <c r="AL4" s="69" t="s">
        <v>129</v>
      </c>
      <c r="AN4" s="244" t="s">
        <v>49</v>
      </c>
      <c r="AP4" s="65" t="s">
        <v>93</v>
      </c>
      <c r="AR4" s="231" t="s">
        <v>121</v>
      </c>
      <c r="AT4" s="244"/>
      <c r="AV4" s="65" t="s">
        <v>50</v>
      </c>
      <c r="AX4" s="66">
        <v>75</v>
      </c>
      <c r="AY4" s="67">
        <v>42</v>
      </c>
      <c r="AZ4" s="67">
        <v>76</v>
      </c>
      <c r="BA4" s="68">
        <v>39</v>
      </c>
    </row>
    <row r="5" spans="1:53" s="55" customFormat="1" ht="13.5" customHeight="1" x14ac:dyDescent="0.15">
      <c r="A5" s="55" t="s">
        <v>41</v>
      </c>
      <c r="B5" s="237" t="s">
        <v>338</v>
      </c>
      <c r="C5" s="152">
        <v>2018</v>
      </c>
      <c r="D5" s="56" t="s">
        <v>345</v>
      </c>
      <c r="E5" s="237" t="s">
        <v>133</v>
      </c>
      <c r="F5" s="237" t="s">
        <v>296</v>
      </c>
      <c r="G5" s="55" t="s">
        <v>42</v>
      </c>
      <c r="H5" s="55" t="s">
        <v>166</v>
      </c>
      <c r="I5" s="55" t="s">
        <v>155</v>
      </c>
      <c r="J5" s="55" t="s">
        <v>38</v>
      </c>
      <c r="K5" s="55" t="s">
        <v>156</v>
      </c>
      <c r="L5" s="237">
        <v>1</v>
      </c>
      <c r="N5" s="55">
        <v>1</v>
      </c>
      <c r="O5" s="55">
        <v>0.35</v>
      </c>
      <c r="P5" s="55">
        <v>0.4</v>
      </c>
      <c r="Q5" s="82">
        <f t="shared" si="0"/>
        <v>0.375</v>
      </c>
      <c r="R5" s="55">
        <v>15.5</v>
      </c>
      <c r="S5" s="55">
        <v>141</v>
      </c>
      <c r="T5" s="77">
        <f t="shared" si="1"/>
        <v>22</v>
      </c>
      <c r="U5" s="55">
        <v>149</v>
      </c>
      <c r="V5" s="78">
        <f t="shared" si="2"/>
        <v>3278</v>
      </c>
      <c r="W5" s="55">
        <v>3</v>
      </c>
      <c r="X5" s="55" t="s">
        <v>46</v>
      </c>
      <c r="Y5" s="55" t="s">
        <v>55</v>
      </c>
      <c r="Z5" s="55" t="s">
        <v>69</v>
      </c>
      <c r="AA5" s="55" t="s">
        <v>97</v>
      </c>
      <c r="AB5" s="39" t="s">
        <v>340</v>
      </c>
      <c r="AC5" s="237"/>
      <c r="AD5" s="237"/>
      <c r="AE5" s="70" t="s">
        <v>346</v>
      </c>
      <c r="AG5" s="64" t="s">
        <v>292</v>
      </c>
      <c r="AH5" s="64" t="s">
        <v>296</v>
      </c>
      <c r="AJ5" s="71"/>
      <c r="AL5" s="72" t="s">
        <v>347</v>
      </c>
      <c r="AN5" s="72" t="s">
        <v>348</v>
      </c>
      <c r="AP5" s="231" t="s">
        <v>349</v>
      </c>
      <c r="AR5" s="231" t="s">
        <v>54</v>
      </c>
      <c r="AV5" s="231" t="s">
        <v>55</v>
      </c>
      <c r="AX5" s="73">
        <v>84</v>
      </c>
      <c r="AY5" s="74">
        <v>39</v>
      </c>
      <c r="AZ5" s="74">
        <v>84</v>
      </c>
      <c r="BA5" s="75">
        <v>36</v>
      </c>
    </row>
    <row r="6" spans="1:53" x14ac:dyDescent="0.15">
      <c r="A6" s="55" t="s">
        <v>41</v>
      </c>
      <c r="B6" s="237" t="s">
        <v>338</v>
      </c>
      <c r="C6" s="152">
        <v>2018</v>
      </c>
      <c r="D6" s="56" t="s">
        <v>345</v>
      </c>
      <c r="E6" s="237" t="s">
        <v>133</v>
      </c>
      <c r="F6" s="237" t="s">
        <v>296</v>
      </c>
      <c r="G6" s="55" t="s">
        <v>42</v>
      </c>
      <c r="H6" s="55" t="s">
        <v>166</v>
      </c>
      <c r="I6" s="55" t="s">
        <v>155</v>
      </c>
      <c r="J6" s="55" t="s">
        <v>38</v>
      </c>
      <c r="K6" s="55" t="s">
        <v>156</v>
      </c>
      <c r="L6" s="237">
        <v>2</v>
      </c>
      <c r="N6" s="55">
        <v>1</v>
      </c>
      <c r="O6" s="55">
        <v>0.25</v>
      </c>
      <c r="P6" s="55">
        <v>0.3</v>
      </c>
      <c r="Q6" s="82">
        <f t="shared" si="0"/>
        <v>0.27500000000000002</v>
      </c>
      <c r="R6" s="55">
        <v>14.7</v>
      </c>
      <c r="S6" s="55">
        <v>140</v>
      </c>
      <c r="T6" s="77">
        <f t="shared" si="1"/>
        <v>22</v>
      </c>
      <c r="U6" s="55">
        <v>149</v>
      </c>
      <c r="V6" s="58">
        <f t="shared" si="2"/>
        <v>3278</v>
      </c>
      <c r="W6" s="237">
        <v>3</v>
      </c>
      <c r="X6" s="55" t="s">
        <v>46</v>
      </c>
      <c r="Y6" s="55" t="s">
        <v>55</v>
      </c>
      <c r="Z6" s="55" t="s">
        <v>69</v>
      </c>
      <c r="AA6" s="55" t="s">
        <v>97</v>
      </c>
      <c r="AB6" s="39" t="s">
        <v>340</v>
      </c>
      <c r="AE6" s="223" t="s">
        <v>56</v>
      </c>
      <c r="AG6" s="64" t="s">
        <v>292</v>
      </c>
      <c r="AH6" s="64" t="s">
        <v>298</v>
      </c>
      <c r="AL6" s="72" t="s">
        <v>350</v>
      </c>
      <c r="AN6" s="72" t="s">
        <v>351</v>
      </c>
      <c r="AP6" s="65" t="s">
        <v>53</v>
      </c>
      <c r="AR6" s="231" t="s">
        <v>59</v>
      </c>
      <c r="AV6" s="65" t="s">
        <v>60</v>
      </c>
      <c r="AX6" s="66">
        <v>97</v>
      </c>
      <c r="AY6" s="67">
        <v>36</v>
      </c>
      <c r="AZ6" s="67">
        <v>99</v>
      </c>
      <c r="BA6" s="68">
        <v>33</v>
      </c>
    </row>
    <row r="7" spans="1:53" x14ac:dyDescent="0.15">
      <c r="A7" s="55" t="s">
        <v>41</v>
      </c>
      <c r="B7" s="237" t="s">
        <v>338</v>
      </c>
      <c r="C7" s="152">
        <v>2018</v>
      </c>
      <c r="D7" s="56" t="s">
        <v>345</v>
      </c>
      <c r="E7" s="237" t="s">
        <v>133</v>
      </c>
      <c r="F7" s="237" t="s">
        <v>296</v>
      </c>
      <c r="G7" s="55" t="s">
        <v>42</v>
      </c>
      <c r="H7" s="55" t="s">
        <v>166</v>
      </c>
      <c r="I7" s="55" t="s">
        <v>155</v>
      </c>
      <c r="J7" s="55" t="s">
        <v>38</v>
      </c>
      <c r="K7" s="55" t="s">
        <v>156</v>
      </c>
      <c r="L7" s="237">
        <v>3</v>
      </c>
      <c r="N7" s="55">
        <v>1</v>
      </c>
      <c r="O7" s="55">
        <v>0.3</v>
      </c>
      <c r="P7" s="55">
        <v>0.35</v>
      </c>
      <c r="Q7" s="82">
        <f t="shared" si="0"/>
        <v>0.32499999999999996</v>
      </c>
      <c r="R7" s="55">
        <v>15.1</v>
      </c>
      <c r="S7" s="55">
        <v>137</v>
      </c>
      <c r="T7" s="77">
        <f t="shared" si="1"/>
        <v>25</v>
      </c>
      <c r="U7" s="55">
        <v>149</v>
      </c>
      <c r="V7" s="58">
        <f t="shared" si="2"/>
        <v>3725</v>
      </c>
      <c r="W7" s="237">
        <v>3</v>
      </c>
      <c r="X7" s="55" t="s">
        <v>46</v>
      </c>
      <c r="Y7" s="55" t="s">
        <v>55</v>
      </c>
      <c r="Z7" s="55" t="s">
        <v>69</v>
      </c>
      <c r="AA7" s="55" t="s">
        <v>97</v>
      </c>
      <c r="AB7" s="39" t="s">
        <v>340</v>
      </c>
      <c r="AE7" s="223" t="s">
        <v>61</v>
      </c>
      <c r="AG7" s="64" t="s">
        <v>293</v>
      </c>
      <c r="AH7" s="64" t="s">
        <v>298</v>
      </c>
      <c r="AL7" s="76" t="s">
        <v>352</v>
      </c>
      <c r="AP7" s="65" t="s">
        <v>58</v>
      </c>
      <c r="AR7" s="231" t="s">
        <v>122</v>
      </c>
      <c r="AV7" s="65" t="s">
        <v>64</v>
      </c>
      <c r="AX7" s="66">
        <v>109</v>
      </c>
      <c r="AY7" s="67">
        <v>33</v>
      </c>
      <c r="AZ7" s="67">
        <v>113</v>
      </c>
      <c r="BA7" s="68">
        <v>30</v>
      </c>
    </row>
    <row r="8" spans="1:53" x14ac:dyDescent="0.15">
      <c r="A8" s="55" t="s">
        <v>41</v>
      </c>
      <c r="B8" s="237" t="s">
        <v>338</v>
      </c>
      <c r="C8" s="152">
        <v>2018</v>
      </c>
      <c r="D8" s="56" t="s">
        <v>345</v>
      </c>
      <c r="E8" s="237" t="s">
        <v>133</v>
      </c>
      <c r="F8" s="237" t="s">
        <v>296</v>
      </c>
      <c r="G8" s="55" t="s">
        <v>42</v>
      </c>
      <c r="H8" s="55" t="s">
        <v>166</v>
      </c>
      <c r="I8" s="55" t="s">
        <v>155</v>
      </c>
      <c r="J8" s="55" t="s">
        <v>38</v>
      </c>
      <c r="K8" s="55" t="s">
        <v>156</v>
      </c>
      <c r="L8" s="237">
        <v>1</v>
      </c>
      <c r="M8" s="55"/>
      <c r="N8" s="55">
        <v>8</v>
      </c>
      <c r="O8" s="237">
        <v>0.45</v>
      </c>
      <c r="P8" s="237">
        <v>0.3</v>
      </c>
      <c r="Q8" s="57">
        <f t="shared" si="0"/>
        <v>0.375</v>
      </c>
      <c r="R8" s="237">
        <v>13.7</v>
      </c>
      <c r="S8" s="237">
        <v>138</v>
      </c>
      <c r="T8" s="77">
        <f t="shared" si="1"/>
        <v>22</v>
      </c>
      <c r="U8" s="55">
        <v>1080</v>
      </c>
      <c r="V8" s="78">
        <f t="shared" si="2"/>
        <v>2970</v>
      </c>
      <c r="W8" s="55">
        <v>9</v>
      </c>
      <c r="X8" s="55" t="s">
        <v>46</v>
      </c>
      <c r="Y8" s="55" t="s">
        <v>55</v>
      </c>
      <c r="Z8" s="55" t="s">
        <v>69</v>
      </c>
      <c r="AA8" s="55" t="s">
        <v>97</v>
      </c>
      <c r="AB8" s="39" t="s">
        <v>340</v>
      </c>
      <c r="AC8" s="55"/>
      <c r="AD8" s="55"/>
      <c r="AE8" s="223" t="s">
        <v>59</v>
      </c>
      <c r="AG8" s="64" t="s">
        <v>294</v>
      </c>
      <c r="AH8" s="64" t="s">
        <v>299</v>
      </c>
      <c r="AL8" s="76" t="s">
        <v>353</v>
      </c>
      <c r="AP8" s="65" t="s">
        <v>62</v>
      </c>
      <c r="AR8" s="231" t="s">
        <v>81</v>
      </c>
      <c r="AV8" s="65" t="s">
        <v>97</v>
      </c>
      <c r="AX8" s="66">
        <v>119</v>
      </c>
      <c r="AY8" s="67">
        <v>30</v>
      </c>
      <c r="AZ8" s="67">
        <v>121</v>
      </c>
      <c r="BA8" s="68">
        <v>27</v>
      </c>
    </row>
    <row r="9" spans="1:53" x14ac:dyDescent="0.15">
      <c r="A9" s="55" t="s">
        <v>41</v>
      </c>
      <c r="B9" s="237" t="s">
        <v>338</v>
      </c>
      <c r="C9" s="152">
        <v>2018</v>
      </c>
      <c r="D9" s="56" t="s">
        <v>345</v>
      </c>
      <c r="E9" s="237" t="s">
        <v>133</v>
      </c>
      <c r="F9" s="237" t="s">
        <v>296</v>
      </c>
      <c r="G9" s="55" t="s">
        <v>42</v>
      </c>
      <c r="H9" s="55" t="s">
        <v>166</v>
      </c>
      <c r="I9" s="55" t="s">
        <v>155</v>
      </c>
      <c r="J9" s="55" t="s">
        <v>38</v>
      </c>
      <c r="K9" s="55" t="s">
        <v>156</v>
      </c>
      <c r="L9" s="237">
        <v>2</v>
      </c>
      <c r="N9" s="55">
        <v>8</v>
      </c>
      <c r="O9" s="237">
        <v>0.65</v>
      </c>
      <c r="P9" s="237">
        <v>0.45</v>
      </c>
      <c r="Q9" s="57">
        <f t="shared" si="0"/>
        <v>0.55000000000000004</v>
      </c>
      <c r="R9" s="237">
        <v>15.1</v>
      </c>
      <c r="S9" s="237">
        <v>142</v>
      </c>
      <c r="T9" s="77">
        <f t="shared" si="1"/>
        <v>22</v>
      </c>
      <c r="U9" s="55">
        <v>1080</v>
      </c>
      <c r="V9" s="58">
        <f t="shared" si="2"/>
        <v>2970</v>
      </c>
      <c r="W9" s="237">
        <v>9</v>
      </c>
      <c r="X9" s="55" t="s">
        <v>46</v>
      </c>
      <c r="Y9" s="55" t="s">
        <v>55</v>
      </c>
      <c r="Z9" s="55" t="s">
        <v>69</v>
      </c>
      <c r="AA9" s="55" t="s">
        <v>97</v>
      </c>
      <c r="AB9" s="39" t="s">
        <v>340</v>
      </c>
      <c r="AE9" s="223" t="s">
        <v>98</v>
      </c>
      <c r="AG9" s="64" t="s">
        <v>294</v>
      </c>
      <c r="AH9" s="64" t="s">
        <v>300</v>
      </c>
      <c r="AL9" s="72"/>
      <c r="AP9" s="65" t="s">
        <v>95</v>
      </c>
      <c r="AR9" s="231" t="s">
        <v>89</v>
      </c>
      <c r="AV9" s="65" t="s">
        <v>102</v>
      </c>
      <c r="AX9" s="66">
        <v>128</v>
      </c>
      <c r="AY9" s="67">
        <v>27</v>
      </c>
      <c r="AZ9" s="67">
        <v>129</v>
      </c>
      <c r="BA9" s="68">
        <v>25</v>
      </c>
    </row>
    <row r="10" spans="1:53" x14ac:dyDescent="0.15">
      <c r="A10" s="55" t="s">
        <v>41</v>
      </c>
      <c r="B10" s="237" t="s">
        <v>338</v>
      </c>
      <c r="C10" s="152">
        <v>2018</v>
      </c>
      <c r="D10" s="56" t="s">
        <v>345</v>
      </c>
      <c r="E10" s="237" t="s">
        <v>133</v>
      </c>
      <c r="F10" s="237" t="s">
        <v>296</v>
      </c>
      <c r="G10" s="55" t="s">
        <v>42</v>
      </c>
      <c r="H10" s="55" t="s">
        <v>166</v>
      </c>
      <c r="I10" s="55" t="s">
        <v>155</v>
      </c>
      <c r="J10" s="55" t="s">
        <v>38</v>
      </c>
      <c r="K10" s="55" t="s">
        <v>156</v>
      </c>
      <c r="L10" s="237">
        <v>3</v>
      </c>
      <c r="N10" s="55">
        <v>8</v>
      </c>
      <c r="O10" s="237">
        <v>0.5</v>
      </c>
      <c r="P10" s="237">
        <v>0.4</v>
      </c>
      <c r="Q10" s="57">
        <f t="shared" si="0"/>
        <v>0.45</v>
      </c>
      <c r="R10" s="237">
        <v>16.8</v>
      </c>
      <c r="S10" s="237">
        <v>144</v>
      </c>
      <c r="T10" s="77">
        <f t="shared" si="1"/>
        <v>22</v>
      </c>
      <c r="U10" s="55">
        <v>1080</v>
      </c>
      <c r="V10" s="58">
        <f t="shared" si="2"/>
        <v>2970</v>
      </c>
      <c r="W10" s="237">
        <v>9</v>
      </c>
      <c r="X10" s="55" t="s">
        <v>46</v>
      </c>
      <c r="Y10" s="55" t="s">
        <v>55</v>
      </c>
      <c r="Z10" s="55" t="s">
        <v>69</v>
      </c>
      <c r="AA10" s="55" t="s">
        <v>97</v>
      </c>
      <c r="AB10" s="39" t="s">
        <v>340</v>
      </c>
      <c r="AE10" s="223" t="s">
        <v>103</v>
      </c>
      <c r="AG10" s="64" t="s">
        <v>295</v>
      </c>
      <c r="AH10" s="64" t="s">
        <v>301</v>
      </c>
      <c r="AL10" s="76"/>
      <c r="AP10" s="65" t="s">
        <v>100</v>
      </c>
      <c r="AR10" s="231" t="s">
        <v>123</v>
      </c>
      <c r="AV10" s="65" t="s">
        <v>106</v>
      </c>
      <c r="AX10" s="66">
        <v>138</v>
      </c>
      <c r="AY10" s="67">
        <v>25</v>
      </c>
      <c r="AZ10" s="67">
        <v>138</v>
      </c>
      <c r="BA10" s="68">
        <v>22</v>
      </c>
    </row>
    <row r="11" spans="1:53" x14ac:dyDescent="0.15">
      <c r="A11" s="55" t="s">
        <v>41</v>
      </c>
      <c r="B11" s="237" t="s">
        <v>338</v>
      </c>
      <c r="C11" s="152">
        <v>2018</v>
      </c>
      <c r="D11" s="56" t="s">
        <v>345</v>
      </c>
      <c r="E11" s="237" t="s">
        <v>133</v>
      </c>
      <c r="F11" s="237" t="s">
        <v>296</v>
      </c>
      <c r="G11" s="55" t="s">
        <v>42</v>
      </c>
      <c r="H11" s="55" t="s">
        <v>157</v>
      </c>
      <c r="I11" s="55" t="s">
        <v>155</v>
      </c>
      <c r="J11" s="55" t="s">
        <v>38</v>
      </c>
      <c r="K11" s="55" t="s">
        <v>156</v>
      </c>
      <c r="L11" s="237">
        <v>1</v>
      </c>
      <c r="M11" s="55"/>
      <c r="N11" s="55">
        <v>9</v>
      </c>
      <c r="O11" s="55">
        <v>0.7</v>
      </c>
      <c r="P11" s="55">
        <v>0.65</v>
      </c>
      <c r="Q11" s="57">
        <f t="shared" si="0"/>
        <v>0.67500000000000004</v>
      </c>
      <c r="R11" s="237">
        <v>17.100000000000001</v>
      </c>
      <c r="S11" s="237">
        <v>148</v>
      </c>
      <c r="T11" s="77">
        <f t="shared" si="1"/>
        <v>22</v>
      </c>
      <c r="U11" s="55">
        <v>753</v>
      </c>
      <c r="V11" s="78">
        <f t="shared" si="2"/>
        <v>1840.6666666666667</v>
      </c>
      <c r="W11" s="55">
        <v>8</v>
      </c>
      <c r="X11" s="55" t="s">
        <v>46</v>
      </c>
      <c r="Y11" s="55" t="s">
        <v>55</v>
      </c>
      <c r="Z11" s="55" t="s">
        <v>69</v>
      </c>
      <c r="AA11" s="55" t="s">
        <v>97</v>
      </c>
      <c r="AB11" s="39" t="s">
        <v>340</v>
      </c>
      <c r="AE11" s="223" t="s">
        <v>65</v>
      </c>
      <c r="AG11" s="64" t="s">
        <v>169</v>
      </c>
      <c r="AH11" s="64" t="s">
        <v>302</v>
      </c>
      <c r="AL11" s="76"/>
      <c r="AP11" s="65" t="s">
        <v>104</v>
      </c>
      <c r="AR11" s="231" t="s">
        <v>87</v>
      </c>
      <c r="AV11" s="65" t="s">
        <v>69</v>
      </c>
      <c r="AX11" s="66">
        <v>151</v>
      </c>
      <c r="AY11" s="67">
        <v>22</v>
      </c>
      <c r="AZ11" s="67">
        <v>152</v>
      </c>
      <c r="BA11" s="68">
        <v>18</v>
      </c>
    </row>
    <row r="12" spans="1:53" x14ac:dyDescent="0.15">
      <c r="A12" s="55" t="s">
        <v>41</v>
      </c>
      <c r="B12" s="237" t="s">
        <v>338</v>
      </c>
      <c r="C12" s="152">
        <v>2018</v>
      </c>
      <c r="D12" s="56" t="s">
        <v>345</v>
      </c>
      <c r="E12" s="237" t="s">
        <v>133</v>
      </c>
      <c r="F12" s="237" t="s">
        <v>296</v>
      </c>
      <c r="G12" s="55" t="s">
        <v>42</v>
      </c>
      <c r="H12" s="55" t="s">
        <v>157</v>
      </c>
      <c r="I12" s="55" t="s">
        <v>155</v>
      </c>
      <c r="J12" s="55" t="s">
        <v>38</v>
      </c>
      <c r="K12" s="55" t="s">
        <v>156</v>
      </c>
      <c r="L12" s="237">
        <v>2</v>
      </c>
      <c r="N12" s="55">
        <v>9</v>
      </c>
      <c r="O12" s="55">
        <v>0.6</v>
      </c>
      <c r="P12" s="55">
        <v>0.6</v>
      </c>
      <c r="Q12" s="57">
        <f t="shared" si="0"/>
        <v>0.6</v>
      </c>
      <c r="R12" s="237">
        <v>12.8</v>
      </c>
      <c r="S12" s="237">
        <v>144</v>
      </c>
      <c r="T12" s="77">
        <f t="shared" si="1"/>
        <v>22</v>
      </c>
      <c r="U12" s="55">
        <v>753</v>
      </c>
      <c r="V12" s="78">
        <f t="shared" si="2"/>
        <v>1840.6666666666667</v>
      </c>
      <c r="W12" s="55">
        <v>8</v>
      </c>
      <c r="X12" s="55" t="s">
        <v>46</v>
      </c>
      <c r="Y12" s="55" t="s">
        <v>55</v>
      </c>
      <c r="Z12" s="55" t="s">
        <v>69</v>
      </c>
      <c r="AA12" s="55" t="s">
        <v>97</v>
      </c>
      <c r="AB12" s="39" t="s">
        <v>340</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338</v>
      </c>
      <c r="C13" s="152">
        <v>2018</v>
      </c>
      <c r="D13" s="56" t="s">
        <v>345</v>
      </c>
      <c r="E13" s="237" t="s">
        <v>133</v>
      </c>
      <c r="F13" s="237" t="s">
        <v>296</v>
      </c>
      <c r="G13" s="55" t="s">
        <v>42</v>
      </c>
      <c r="H13" s="55" t="s">
        <v>157</v>
      </c>
      <c r="I13" s="55" t="s">
        <v>155</v>
      </c>
      <c r="J13" s="55" t="s">
        <v>38</v>
      </c>
      <c r="K13" s="55" t="s">
        <v>156</v>
      </c>
      <c r="L13" s="237">
        <v>3</v>
      </c>
      <c r="N13" s="55">
        <v>9</v>
      </c>
      <c r="O13" s="55">
        <v>0.5</v>
      </c>
      <c r="P13" s="55">
        <v>0.65</v>
      </c>
      <c r="Q13" s="57">
        <f t="shared" si="0"/>
        <v>0.57499999999999996</v>
      </c>
      <c r="R13" s="237">
        <v>14.5</v>
      </c>
      <c r="S13" s="237">
        <v>140</v>
      </c>
      <c r="T13" s="77">
        <f t="shared" si="1"/>
        <v>22</v>
      </c>
      <c r="U13" s="55">
        <v>753</v>
      </c>
      <c r="V13" s="78">
        <f t="shared" si="2"/>
        <v>1840.6666666666667</v>
      </c>
      <c r="W13" s="237">
        <v>8</v>
      </c>
      <c r="X13" s="55" t="s">
        <v>46</v>
      </c>
      <c r="Y13" s="55" t="s">
        <v>55</v>
      </c>
      <c r="Z13" s="55" t="s">
        <v>69</v>
      </c>
      <c r="AA13" s="55" t="s">
        <v>97</v>
      </c>
      <c r="AB13" s="39" t="s">
        <v>340</v>
      </c>
      <c r="AE13" s="223" t="s">
        <v>73</v>
      </c>
      <c r="AG13" s="231"/>
      <c r="AH13" s="231"/>
      <c r="AP13" s="65" t="s">
        <v>71</v>
      </c>
      <c r="AR13" s="231" t="s">
        <v>103</v>
      </c>
      <c r="AV13" s="65" t="s">
        <v>75</v>
      </c>
    </row>
    <row r="14" spans="1:53" x14ac:dyDescent="0.15">
      <c r="A14" s="55" t="s">
        <v>41</v>
      </c>
      <c r="B14" s="237" t="s">
        <v>338</v>
      </c>
      <c r="C14" s="152">
        <v>2018</v>
      </c>
      <c r="D14" s="56" t="s">
        <v>345</v>
      </c>
      <c r="E14" s="237" t="s">
        <v>291</v>
      </c>
      <c r="F14" s="55" t="s">
        <v>296</v>
      </c>
      <c r="G14" s="55" t="s">
        <v>42</v>
      </c>
      <c r="H14" s="55" t="s">
        <v>166</v>
      </c>
      <c r="I14" s="55" t="s">
        <v>155</v>
      </c>
      <c r="J14" s="55" t="s">
        <v>38</v>
      </c>
      <c r="K14" s="55" t="s">
        <v>156</v>
      </c>
      <c r="L14" s="237">
        <v>1</v>
      </c>
      <c r="M14" s="55"/>
      <c r="N14" s="55">
        <v>6</v>
      </c>
      <c r="O14" s="237">
        <v>0.75</v>
      </c>
      <c r="P14" s="237">
        <v>0.75</v>
      </c>
      <c r="Q14" s="57">
        <f t="shared" si="0"/>
        <v>0.75</v>
      </c>
      <c r="R14" s="237">
        <v>18.5</v>
      </c>
      <c r="S14" s="237">
        <v>108</v>
      </c>
      <c r="T14" s="77">
        <f t="shared" si="1"/>
        <v>33</v>
      </c>
      <c r="U14" s="55">
        <v>645</v>
      </c>
      <c r="V14" s="78">
        <f t="shared" si="2"/>
        <v>3547.5</v>
      </c>
      <c r="W14" s="55">
        <v>1</v>
      </c>
      <c r="X14" s="55" t="s">
        <v>46</v>
      </c>
      <c r="Y14" s="55" t="s">
        <v>97</v>
      </c>
      <c r="Z14" s="55" t="s">
        <v>69</v>
      </c>
      <c r="AA14" s="55" t="s">
        <v>88</v>
      </c>
      <c r="AB14" s="39" t="s">
        <v>340</v>
      </c>
      <c r="AE14" s="223" t="s">
        <v>76</v>
      </c>
      <c r="AG14" s="231"/>
      <c r="AH14" s="231"/>
      <c r="AP14" s="65" t="s">
        <v>74</v>
      </c>
      <c r="AR14" s="231" t="s">
        <v>125</v>
      </c>
      <c r="AV14" s="65" t="s">
        <v>78</v>
      </c>
    </row>
    <row r="15" spans="1:53" x14ac:dyDescent="0.15">
      <c r="A15" s="55" t="s">
        <v>41</v>
      </c>
      <c r="B15" s="237" t="s">
        <v>338</v>
      </c>
      <c r="C15" s="152">
        <v>2018</v>
      </c>
      <c r="D15" s="56" t="s">
        <v>345</v>
      </c>
      <c r="E15" s="237" t="s">
        <v>291</v>
      </c>
      <c r="F15" s="55" t="s">
        <v>296</v>
      </c>
      <c r="G15" s="55" t="s">
        <v>42</v>
      </c>
      <c r="H15" s="55" t="s">
        <v>166</v>
      </c>
      <c r="I15" s="55" t="s">
        <v>155</v>
      </c>
      <c r="J15" s="55" t="s">
        <v>38</v>
      </c>
      <c r="K15" s="55" t="s">
        <v>156</v>
      </c>
      <c r="L15" s="237">
        <v>2</v>
      </c>
      <c r="N15" s="55">
        <v>6</v>
      </c>
      <c r="O15" s="237">
        <v>0.45</v>
      </c>
      <c r="P15" s="237">
        <v>0.5</v>
      </c>
      <c r="Q15" s="57">
        <f t="shared" si="0"/>
        <v>0.47499999999999998</v>
      </c>
      <c r="R15" s="237">
        <v>14.9</v>
      </c>
      <c r="S15" s="237">
        <v>110</v>
      </c>
      <c r="T15" s="77">
        <f t="shared" si="1"/>
        <v>33</v>
      </c>
      <c r="U15" s="55">
        <v>645</v>
      </c>
      <c r="V15" s="78">
        <f t="shared" si="2"/>
        <v>3547.5</v>
      </c>
      <c r="W15" s="55">
        <v>1</v>
      </c>
      <c r="X15" s="55" t="s">
        <v>46</v>
      </c>
      <c r="Y15" s="55" t="s">
        <v>97</v>
      </c>
      <c r="Z15" s="55" t="s">
        <v>69</v>
      </c>
      <c r="AA15" s="55" t="s">
        <v>88</v>
      </c>
      <c r="AB15" s="39" t="s">
        <v>340</v>
      </c>
      <c r="AE15" s="223" t="s">
        <v>79</v>
      </c>
      <c r="AG15" s="231"/>
      <c r="AH15" s="231"/>
      <c r="AP15" s="65" t="s">
        <v>77</v>
      </c>
      <c r="AR15" s="231" t="s">
        <v>94</v>
      </c>
      <c r="AV15" s="65" t="s">
        <v>107</v>
      </c>
    </row>
    <row r="16" spans="1:53" x14ac:dyDescent="0.15">
      <c r="A16" s="55" t="s">
        <v>41</v>
      </c>
      <c r="B16" s="237" t="s">
        <v>338</v>
      </c>
      <c r="C16" s="152">
        <v>2018</v>
      </c>
      <c r="D16" s="56" t="s">
        <v>345</v>
      </c>
      <c r="E16" s="237" t="s">
        <v>291</v>
      </c>
      <c r="F16" s="55" t="s">
        <v>296</v>
      </c>
      <c r="G16" s="55" t="s">
        <v>42</v>
      </c>
      <c r="H16" s="55" t="s">
        <v>166</v>
      </c>
      <c r="I16" s="55" t="s">
        <v>155</v>
      </c>
      <c r="J16" s="55" t="s">
        <v>38</v>
      </c>
      <c r="K16" s="55" t="s">
        <v>156</v>
      </c>
      <c r="L16" s="237">
        <v>3</v>
      </c>
      <c r="N16" s="55">
        <v>6</v>
      </c>
      <c r="O16" s="237">
        <v>0.6</v>
      </c>
      <c r="P16" s="237">
        <v>0.5</v>
      </c>
      <c r="Q16" s="57">
        <f t="shared" si="0"/>
        <v>0.55000000000000004</v>
      </c>
      <c r="R16" s="237">
        <v>16.7</v>
      </c>
      <c r="S16" s="237">
        <v>110</v>
      </c>
      <c r="T16" s="77">
        <f t="shared" si="1"/>
        <v>33</v>
      </c>
      <c r="U16" s="55">
        <v>645</v>
      </c>
      <c r="V16" s="78">
        <f t="shared" si="2"/>
        <v>3547.5</v>
      </c>
      <c r="W16" s="237">
        <v>1</v>
      </c>
      <c r="X16" s="55" t="s">
        <v>46</v>
      </c>
      <c r="Y16" s="55" t="s">
        <v>97</v>
      </c>
      <c r="Z16" s="55" t="s">
        <v>69</v>
      </c>
      <c r="AA16" s="55" t="s">
        <v>88</v>
      </c>
      <c r="AB16" s="39" t="s">
        <v>340</v>
      </c>
      <c r="AE16" s="223" t="s">
        <v>82</v>
      </c>
      <c r="AG16" s="71"/>
      <c r="AH16" s="71"/>
      <c r="AP16" s="65" t="s">
        <v>80</v>
      </c>
      <c r="AR16" s="231" t="s">
        <v>63</v>
      </c>
      <c r="AV16" s="65" t="s">
        <v>84</v>
      </c>
    </row>
    <row r="17" spans="1:49" x14ac:dyDescent="0.15">
      <c r="A17" s="55" t="s">
        <v>41</v>
      </c>
      <c r="B17" s="237" t="s">
        <v>338</v>
      </c>
      <c r="C17" s="152">
        <v>2018</v>
      </c>
      <c r="D17" s="56" t="s">
        <v>345</v>
      </c>
      <c r="E17" s="237" t="s">
        <v>291</v>
      </c>
      <c r="F17" s="55" t="s">
        <v>296</v>
      </c>
      <c r="G17" s="55" t="s">
        <v>42</v>
      </c>
      <c r="H17" s="55" t="s">
        <v>166</v>
      </c>
      <c r="I17" s="55" t="s">
        <v>155</v>
      </c>
      <c r="J17" s="55" t="s">
        <v>38</v>
      </c>
      <c r="K17" s="55" t="s">
        <v>156</v>
      </c>
      <c r="L17" s="237">
        <v>1</v>
      </c>
      <c r="M17" s="55"/>
      <c r="N17" s="55">
        <v>1</v>
      </c>
      <c r="O17" s="237">
        <v>0.95</v>
      </c>
      <c r="P17" s="237">
        <v>0.85</v>
      </c>
      <c r="Q17" s="57">
        <f t="shared" si="0"/>
        <v>0.89999999999999991</v>
      </c>
      <c r="R17" s="237">
        <v>15.4</v>
      </c>
      <c r="S17" s="237">
        <v>128</v>
      </c>
      <c r="T17" s="77">
        <f t="shared" si="1"/>
        <v>27</v>
      </c>
      <c r="U17" s="55">
        <v>105</v>
      </c>
      <c r="V17" s="78">
        <f t="shared" si="2"/>
        <v>2835</v>
      </c>
      <c r="W17" s="55">
        <v>2</v>
      </c>
      <c r="X17" s="55" t="s">
        <v>46</v>
      </c>
      <c r="Y17" s="55" t="s">
        <v>97</v>
      </c>
      <c r="Z17" s="55" t="s">
        <v>69</v>
      </c>
      <c r="AA17" s="55" t="s">
        <v>88</v>
      </c>
      <c r="AB17" s="39" t="s">
        <v>340</v>
      </c>
      <c r="AE17" s="223" t="s">
        <v>85</v>
      </c>
      <c r="AP17" s="239" t="s">
        <v>110</v>
      </c>
      <c r="AR17" s="231" t="s">
        <v>96</v>
      </c>
      <c r="AV17" s="65" t="s">
        <v>86</v>
      </c>
    </row>
    <row r="18" spans="1:49" x14ac:dyDescent="0.15">
      <c r="A18" s="55" t="s">
        <v>41</v>
      </c>
      <c r="B18" s="237" t="s">
        <v>338</v>
      </c>
      <c r="C18" s="152">
        <v>2018</v>
      </c>
      <c r="D18" s="56" t="s">
        <v>345</v>
      </c>
      <c r="E18" s="237" t="s">
        <v>291</v>
      </c>
      <c r="F18" s="55" t="s">
        <v>296</v>
      </c>
      <c r="G18" s="55" t="s">
        <v>42</v>
      </c>
      <c r="H18" s="55" t="s">
        <v>166</v>
      </c>
      <c r="I18" s="55" t="s">
        <v>155</v>
      </c>
      <c r="J18" s="55" t="s">
        <v>38</v>
      </c>
      <c r="K18" s="55" t="s">
        <v>156</v>
      </c>
      <c r="L18" s="237">
        <v>2</v>
      </c>
      <c r="N18" s="55">
        <v>1</v>
      </c>
      <c r="O18" s="237">
        <v>0.85</v>
      </c>
      <c r="P18" s="237">
        <v>0.9</v>
      </c>
      <c r="Q18" s="57">
        <f t="shared" si="0"/>
        <v>0.875</v>
      </c>
      <c r="R18" s="237">
        <v>15.2</v>
      </c>
      <c r="S18" s="237">
        <v>128</v>
      </c>
      <c r="T18" s="77">
        <f t="shared" si="1"/>
        <v>27</v>
      </c>
      <c r="U18" s="55">
        <v>105</v>
      </c>
      <c r="V18" s="58">
        <f t="shared" si="2"/>
        <v>2835</v>
      </c>
      <c r="W18" s="237">
        <v>2</v>
      </c>
      <c r="X18" s="55" t="s">
        <v>46</v>
      </c>
      <c r="Y18" s="55" t="s">
        <v>97</v>
      </c>
      <c r="Z18" s="55" t="s">
        <v>69</v>
      </c>
      <c r="AA18" s="55" t="s">
        <v>88</v>
      </c>
      <c r="AB18" s="39" t="s">
        <v>340</v>
      </c>
      <c r="AE18" s="223" t="s">
        <v>87</v>
      </c>
      <c r="AP18" s="239" t="s">
        <v>111</v>
      </c>
      <c r="AR18" s="231" t="s">
        <v>101</v>
      </c>
      <c r="AV18" s="65" t="s">
        <v>88</v>
      </c>
    </row>
    <row r="19" spans="1:49" x14ac:dyDescent="0.15">
      <c r="A19" s="55" t="s">
        <v>41</v>
      </c>
      <c r="B19" s="237" t="s">
        <v>338</v>
      </c>
      <c r="C19" s="152">
        <v>2018</v>
      </c>
      <c r="D19" s="56" t="s">
        <v>345</v>
      </c>
      <c r="E19" s="237" t="s">
        <v>291</v>
      </c>
      <c r="F19" s="55" t="s">
        <v>296</v>
      </c>
      <c r="G19" s="55" t="s">
        <v>42</v>
      </c>
      <c r="H19" s="55" t="s">
        <v>166</v>
      </c>
      <c r="I19" s="55" t="s">
        <v>155</v>
      </c>
      <c r="J19" s="55" t="s">
        <v>38</v>
      </c>
      <c r="K19" s="55" t="s">
        <v>156</v>
      </c>
      <c r="L19" s="237">
        <v>3</v>
      </c>
      <c r="N19" s="55">
        <v>1</v>
      </c>
      <c r="O19" s="237">
        <v>0.7</v>
      </c>
      <c r="P19" s="237">
        <v>0.8</v>
      </c>
      <c r="Q19" s="57">
        <f t="shared" si="0"/>
        <v>0.75</v>
      </c>
      <c r="R19" s="237">
        <v>17.100000000000001</v>
      </c>
      <c r="S19" s="237">
        <v>131</v>
      </c>
      <c r="T19" s="77">
        <f t="shared" si="1"/>
        <v>25</v>
      </c>
      <c r="U19" s="55">
        <v>105</v>
      </c>
      <c r="V19" s="58">
        <f t="shared" si="2"/>
        <v>2625</v>
      </c>
      <c r="W19" s="237">
        <v>2</v>
      </c>
      <c r="X19" s="55" t="s">
        <v>46</v>
      </c>
      <c r="Y19" s="55" t="s">
        <v>97</v>
      </c>
      <c r="Z19" s="55" t="s">
        <v>69</v>
      </c>
      <c r="AA19" s="55" t="s">
        <v>88</v>
      </c>
      <c r="AB19" s="39" t="s">
        <v>340</v>
      </c>
      <c r="AE19" s="236" t="s">
        <v>89</v>
      </c>
      <c r="AP19" s="239" t="s">
        <v>112</v>
      </c>
      <c r="AR19" s="231" t="s">
        <v>126</v>
      </c>
      <c r="AV19" s="65" t="s">
        <v>90</v>
      </c>
    </row>
    <row r="20" spans="1:49" x14ac:dyDescent="0.15">
      <c r="A20" s="55" t="s">
        <v>41</v>
      </c>
      <c r="B20" s="237" t="s">
        <v>338</v>
      </c>
      <c r="C20" s="152">
        <v>2018</v>
      </c>
      <c r="D20" s="56" t="s">
        <v>345</v>
      </c>
      <c r="E20" s="237" t="s">
        <v>291</v>
      </c>
      <c r="F20" s="55" t="s">
        <v>296</v>
      </c>
      <c r="G20" s="55" t="s">
        <v>42</v>
      </c>
      <c r="H20" s="55" t="s">
        <v>166</v>
      </c>
      <c r="I20" s="55" t="s">
        <v>155</v>
      </c>
      <c r="J20" s="55" t="s">
        <v>38</v>
      </c>
      <c r="K20" s="55" t="s">
        <v>156</v>
      </c>
      <c r="L20" s="237">
        <v>1</v>
      </c>
      <c r="N20" s="55">
        <v>3</v>
      </c>
      <c r="O20" s="237">
        <v>0.75</v>
      </c>
      <c r="P20" s="237">
        <v>0.8</v>
      </c>
      <c r="Q20" s="57">
        <f t="shared" si="0"/>
        <v>0.77500000000000002</v>
      </c>
      <c r="R20" s="237">
        <v>15.7</v>
      </c>
      <c r="S20" s="237">
        <v>132</v>
      </c>
      <c r="T20" s="57">
        <f t="shared" si="1"/>
        <v>25</v>
      </c>
      <c r="U20" s="55">
        <v>429</v>
      </c>
      <c r="V20" s="58">
        <f t="shared" si="2"/>
        <v>3575</v>
      </c>
      <c r="W20" s="237">
        <v>1</v>
      </c>
      <c r="X20" s="55" t="s">
        <v>46</v>
      </c>
      <c r="Y20" s="55" t="s">
        <v>97</v>
      </c>
      <c r="Z20" s="55" t="s">
        <v>69</v>
      </c>
      <c r="AA20" s="55" t="s">
        <v>88</v>
      </c>
      <c r="AB20" s="39" t="s">
        <v>340</v>
      </c>
      <c r="AE20" s="236"/>
      <c r="AP20" s="239" t="s">
        <v>113</v>
      </c>
      <c r="AR20" s="231" t="s">
        <v>105</v>
      </c>
      <c r="AV20" s="69" t="s">
        <v>354</v>
      </c>
    </row>
    <row r="21" spans="1:49" x14ac:dyDescent="0.15">
      <c r="A21" s="55" t="s">
        <v>41</v>
      </c>
      <c r="B21" s="237" t="s">
        <v>338</v>
      </c>
      <c r="C21" s="152">
        <v>2018</v>
      </c>
      <c r="D21" s="56" t="s">
        <v>345</v>
      </c>
      <c r="E21" s="237" t="s">
        <v>291</v>
      </c>
      <c r="F21" s="55" t="s">
        <v>296</v>
      </c>
      <c r="G21" s="55" t="s">
        <v>42</v>
      </c>
      <c r="H21" s="55" t="s">
        <v>166</v>
      </c>
      <c r="I21" s="55" t="s">
        <v>155</v>
      </c>
      <c r="J21" s="55" t="s">
        <v>38</v>
      </c>
      <c r="K21" s="55" t="s">
        <v>156</v>
      </c>
      <c r="L21" s="237">
        <v>2</v>
      </c>
      <c r="N21" s="55">
        <v>3</v>
      </c>
      <c r="O21" s="237">
        <v>0.65</v>
      </c>
      <c r="P21" s="237">
        <v>0.7</v>
      </c>
      <c r="Q21" s="57">
        <f t="shared" si="0"/>
        <v>0.67500000000000004</v>
      </c>
      <c r="R21" s="237">
        <v>15.9</v>
      </c>
      <c r="S21" s="237">
        <v>127</v>
      </c>
      <c r="T21" s="57">
        <f t="shared" si="1"/>
        <v>27</v>
      </c>
      <c r="U21" s="55">
        <v>429</v>
      </c>
      <c r="V21" s="58">
        <f t="shared" si="2"/>
        <v>3861</v>
      </c>
      <c r="W21" s="237">
        <v>1</v>
      </c>
      <c r="X21" s="55" t="s">
        <v>46</v>
      </c>
      <c r="Y21" s="55" t="s">
        <v>97</v>
      </c>
      <c r="Z21" s="55" t="s">
        <v>69</v>
      </c>
      <c r="AA21" s="55" t="s">
        <v>88</v>
      </c>
      <c r="AB21" s="39" t="s">
        <v>340</v>
      </c>
      <c r="AE21" s="244"/>
      <c r="AP21" s="239" t="s">
        <v>114</v>
      </c>
      <c r="AR21" s="231" t="s">
        <v>68</v>
      </c>
      <c r="AV21" s="69" t="s">
        <v>355</v>
      </c>
    </row>
    <row r="22" spans="1:49" x14ac:dyDescent="0.15">
      <c r="A22" s="55" t="s">
        <v>41</v>
      </c>
      <c r="B22" s="237" t="s">
        <v>338</v>
      </c>
      <c r="C22" s="152">
        <v>2018</v>
      </c>
      <c r="D22" s="56" t="s">
        <v>345</v>
      </c>
      <c r="E22" s="237" t="s">
        <v>291</v>
      </c>
      <c r="F22" s="55" t="s">
        <v>296</v>
      </c>
      <c r="G22" s="55" t="s">
        <v>42</v>
      </c>
      <c r="H22" s="55" t="s">
        <v>166</v>
      </c>
      <c r="I22" s="55" t="s">
        <v>155</v>
      </c>
      <c r="J22" s="55" t="s">
        <v>38</v>
      </c>
      <c r="K22" s="55" t="s">
        <v>156</v>
      </c>
      <c r="L22" s="237">
        <v>3</v>
      </c>
      <c r="N22" s="55">
        <v>3</v>
      </c>
      <c r="O22" s="237">
        <v>0.5</v>
      </c>
      <c r="P22" s="237">
        <v>0.7</v>
      </c>
      <c r="Q22" s="57">
        <f t="shared" si="0"/>
        <v>0.6</v>
      </c>
      <c r="R22" s="237">
        <v>12.9</v>
      </c>
      <c r="S22" s="237">
        <v>125</v>
      </c>
      <c r="T22" s="57">
        <f t="shared" si="1"/>
        <v>27</v>
      </c>
      <c r="U22" s="55">
        <v>429</v>
      </c>
      <c r="V22" s="58">
        <f t="shared" si="2"/>
        <v>3861</v>
      </c>
      <c r="W22" s="237">
        <v>1</v>
      </c>
      <c r="X22" s="55" t="s">
        <v>46</v>
      </c>
      <c r="Y22" s="55" t="s">
        <v>97</v>
      </c>
      <c r="Z22" s="55" t="s">
        <v>69</v>
      </c>
      <c r="AA22" s="55" t="s">
        <v>88</v>
      </c>
      <c r="AB22" s="39" t="s">
        <v>340</v>
      </c>
      <c r="AP22" s="239" t="s">
        <v>115</v>
      </c>
      <c r="AR22" s="231" t="s">
        <v>83</v>
      </c>
      <c r="AV22" s="69"/>
    </row>
    <row r="23" spans="1:49" x14ac:dyDescent="0.15">
      <c r="A23" s="55" t="s">
        <v>41</v>
      </c>
      <c r="B23" s="237" t="s">
        <v>338</v>
      </c>
      <c r="C23" s="152">
        <v>2018</v>
      </c>
      <c r="D23" s="56" t="s">
        <v>345</v>
      </c>
      <c r="E23" s="237" t="s">
        <v>291</v>
      </c>
      <c r="F23" s="55" t="s">
        <v>296</v>
      </c>
      <c r="G23" s="55" t="s">
        <v>42</v>
      </c>
      <c r="H23" s="55" t="s">
        <v>157</v>
      </c>
      <c r="I23" s="55" t="s">
        <v>155</v>
      </c>
      <c r="J23" s="55" t="s">
        <v>38</v>
      </c>
      <c r="K23" s="55" t="s">
        <v>156</v>
      </c>
      <c r="L23" s="237">
        <v>1</v>
      </c>
      <c r="M23" s="55"/>
      <c r="N23" s="55">
        <v>7</v>
      </c>
      <c r="O23" s="237">
        <v>0.65</v>
      </c>
      <c r="P23" s="237">
        <v>0.5</v>
      </c>
      <c r="Q23" s="57">
        <f t="shared" si="0"/>
        <v>0.57499999999999996</v>
      </c>
      <c r="R23" s="237">
        <v>15.7</v>
      </c>
      <c r="S23" s="237">
        <v>100</v>
      </c>
      <c r="T23" s="77">
        <f t="shared" si="1"/>
        <v>33</v>
      </c>
      <c r="U23" s="55">
        <v>429</v>
      </c>
      <c r="V23" s="78">
        <f t="shared" si="2"/>
        <v>2022.4285714285713</v>
      </c>
      <c r="W23" s="55">
        <v>1</v>
      </c>
      <c r="X23" s="55" t="s">
        <v>46</v>
      </c>
      <c r="Y23" s="55" t="s">
        <v>97</v>
      </c>
      <c r="Z23" s="55" t="s">
        <v>69</v>
      </c>
      <c r="AA23" s="55" t="s">
        <v>88</v>
      </c>
      <c r="AB23" s="39" t="s">
        <v>340</v>
      </c>
      <c r="AP23" s="239" t="s">
        <v>117</v>
      </c>
      <c r="AR23" s="244" t="s">
        <v>290</v>
      </c>
      <c r="AV23" s="244"/>
    </row>
    <row r="24" spans="1:49" x14ac:dyDescent="0.15">
      <c r="A24" s="55" t="s">
        <v>41</v>
      </c>
      <c r="B24" s="237" t="s">
        <v>338</v>
      </c>
      <c r="C24" s="152">
        <v>2018</v>
      </c>
      <c r="D24" s="56" t="s">
        <v>345</v>
      </c>
      <c r="E24" s="237" t="s">
        <v>291</v>
      </c>
      <c r="F24" s="55" t="s">
        <v>296</v>
      </c>
      <c r="G24" s="55" t="s">
        <v>42</v>
      </c>
      <c r="H24" s="55" t="s">
        <v>157</v>
      </c>
      <c r="I24" s="55" t="s">
        <v>155</v>
      </c>
      <c r="J24" s="55" t="s">
        <v>38</v>
      </c>
      <c r="K24" s="55" t="s">
        <v>156</v>
      </c>
      <c r="L24" s="237">
        <v>2</v>
      </c>
      <c r="N24" s="55">
        <v>7</v>
      </c>
      <c r="O24" s="237">
        <v>0.35</v>
      </c>
      <c r="P24" s="237">
        <v>0.3</v>
      </c>
      <c r="Q24" s="57">
        <f t="shared" si="0"/>
        <v>0.32499999999999996</v>
      </c>
      <c r="R24" s="237">
        <v>14.1</v>
      </c>
      <c r="S24" s="237">
        <v>104</v>
      </c>
      <c r="T24" s="77">
        <f t="shared" si="1"/>
        <v>33</v>
      </c>
      <c r="U24" s="55">
        <v>429</v>
      </c>
      <c r="V24" s="58">
        <f t="shared" si="2"/>
        <v>2022.4285714285713</v>
      </c>
      <c r="W24" s="237">
        <v>1</v>
      </c>
      <c r="X24" s="55" t="s">
        <v>46</v>
      </c>
      <c r="Y24" s="55" t="s">
        <v>97</v>
      </c>
      <c r="Z24" s="55" t="s">
        <v>69</v>
      </c>
      <c r="AA24" s="55" t="s">
        <v>88</v>
      </c>
      <c r="AB24" s="39" t="s">
        <v>340</v>
      </c>
      <c r="AP24" s="239" t="s">
        <v>118</v>
      </c>
    </row>
    <row r="25" spans="1:49" x14ac:dyDescent="0.15">
      <c r="A25" s="55" t="s">
        <v>41</v>
      </c>
      <c r="B25" s="237" t="s">
        <v>338</v>
      </c>
      <c r="C25" s="152">
        <v>2018</v>
      </c>
      <c r="D25" s="56" t="s">
        <v>345</v>
      </c>
      <c r="E25" s="237" t="s">
        <v>291</v>
      </c>
      <c r="F25" s="55" t="s">
        <v>296</v>
      </c>
      <c r="G25" s="55" t="s">
        <v>42</v>
      </c>
      <c r="H25" s="55" t="s">
        <v>157</v>
      </c>
      <c r="I25" s="55" t="s">
        <v>155</v>
      </c>
      <c r="J25" s="55" t="s">
        <v>38</v>
      </c>
      <c r="K25" s="55" t="s">
        <v>156</v>
      </c>
      <c r="L25" s="237">
        <v>3</v>
      </c>
      <c r="N25" s="55">
        <v>7</v>
      </c>
      <c r="O25" s="237">
        <v>0.4</v>
      </c>
      <c r="P25" s="237">
        <v>0.4</v>
      </c>
      <c r="Q25" s="57">
        <f t="shared" si="0"/>
        <v>0.4</v>
      </c>
      <c r="R25" s="237">
        <v>14.2</v>
      </c>
      <c r="S25" s="237">
        <v>102</v>
      </c>
      <c r="T25" s="77">
        <f t="shared" si="1"/>
        <v>33</v>
      </c>
      <c r="U25" s="55">
        <v>429</v>
      </c>
      <c r="V25" s="58">
        <f t="shared" si="2"/>
        <v>2022.4285714285713</v>
      </c>
      <c r="W25" s="237">
        <v>1</v>
      </c>
      <c r="X25" s="55" t="s">
        <v>46</v>
      </c>
      <c r="Y25" s="55" t="s">
        <v>97</v>
      </c>
      <c r="Z25" s="55" t="s">
        <v>69</v>
      </c>
      <c r="AA25" s="55" t="s">
        <v>88</v>
      </c>
      <c r="AB25" s="39" t="s">
        <v>340</v>
      </c>
    </row>
    <row r="26" spans="1:49" x14ac:dyDescent="0.15">
      <c r="A26" s="55" t="s">
        <v>41</v>
      </c>
      <c r="B26" s="237" t="s">
        <v>338</v>
      </c>
      <c r="C26" s="152">
        <v>2018</v>
      </c>
      <c r="D26" s="56" t="s">
        <v>345</v>
      </c>
      <c r="E26" s="237" t="s">
        <v>291</v>
      </c>
      <c r="F26" s="55" t="s">
        <v>296</v>
      </c>
      <c r="G26" s="55" t="s">
        <v>42</v>
      </c>
      <c r="H26" s="55" t="s">
        <v>157</v>
      </c>
      <c r="I26" s="55" t="s">
        <v>155</v>
      </c>
      <c r="J26" s="55" t="s">
        <v>38</v>
      </c>
      <c r="K26" s="55" t="s">
        <v>156</v>
      </c>
      <c r="L26" s="237">
        <v>1</v>
      </c>
      <c r="M26" s="55"/>
      <c r="N26" s="55">
        <v>3</v>
      </c>
      <c r="O26" s="55">
        <v>0.6</v>
      </c>
      <c r="P26" s="55">
        <v>0.7</v>
      </c>
      <c r="Q26" s="82">
        <f t="shared" si="0"/>
        <v>0.64999999999999991</v>
      </c>
      <c r="R26" s="55">
        <v>15.8</v>
      </c>
      <c r="S26" s="55">
        <v>121</v>
      </c>
      <c r="T26" s="77">
        <f t="shared" si="1"/>
        <v>27</v>
      </c>
      <c r="U26" s="55">
        <v>429</v>
      </c>
      <c r="V26" s="78">
        <f t="shared" si="2"/>
        <v>3861</v>
      </c>
      <c r="W26" s="55">
        <v>1</v>
      </c>
      <c r="X26" s="55" t="s">
        <v>46</v>
      </c>
      <c r="Y26" s="55" t="s">
        <v>97</v>
      </c>
      <c r="Z26" s="55" t="s">
        <v>69</v>
      </c>
      <c r="AA26" s="55" t="s">
        <v>88</v>
      </c>
      <c r="AB26" s="39" t="s">
        <v>340</v>
      </c>
    </row>
    <row r="27" spans="1:49" x14ac:dyDescent="0.15">
      <c r="A27" s="55" t="s">
        <v>41</v>
      </c>
      <c r="B27" s="237" t="s">
        <v>338</v>
      </c>
      <c r="C27" s="152">
        <v>2018</v>
      </c>
      <c r="D27" s="56" t="s">
        <v>345</v>
      </c>
      <c r="E27" s="237" t="s">
        <v>291</v>
      </c>
      <c r="F27" s="55" t="s">
        <v>296</v>
      </c>
      <c r="G27" s="55" t="s">
        <v>42</v>
      </c>
      <c r="H27" s="55" t="s">
        <v>157</v>
      </c>
      <c r="I27" s="55" t="s">
        <v>155</v>
      </c>
      <c r="J27" s="55" t="s">
        <v>38</v>
      </c>
      <c r="K27" s="55" t="s">
        <v>156</v>
      </c>
      <c r="L27" s="237">
        <v>2</v>
      </c>
      <c r="N27" s="55">
        <v>3</v>
      </c>
      <c r="O27" s="55">
        <v>0.4</v>
      </c>
      <c r="P27" s="55">
        <v>0.55000000000000004</v>
      </c>
      <c r="Q27" s="82">
        <f t="shared" si="0"/>
        <v>0.47500000000000003</v>
      </c>
      <c r="R27" s="55">
        <v>13.1</v>
      </c>
      <c r="S27" s="55">
        <v>124</v>
      </c>
      <c r="T27" s="77">
        <f t="shared" si="1"/>
        <v>27</v>
      </c>
      <c r="U27" s="55">
        <v>429</v>
      </c>
      <c r="V27" s="78">
        <f t="shared" si="2"/>
        <v>3861</v>
      </c>
      <c r="W27" s="55">
        <v>1</v>
      </c>
      <c r="X27" s="55" t="s">
        <v>46</v>
      </c>
      <c r="Y27" s="55" t="s">
        <v>97</v>
      </c>
      <c r="Z27" s="55" t="s">
        <v>69</v>
      </c>
      <c r="AA27" s="55" t="s">
        <v>88</v>
      </c>
      <c r="AB27" s="39" t="s">
        <v>340</v>
      </c>
    </row>
    <row r="28" spans="1:49" x14ac:dyDescent="0.15">
      <c r="A28" s="55" t="s">
        <v>41</v>
      </c>
      <c r="B28" s="237" t="s">
        <v>338</v>
      </c>
      <c r="C28" s="152">
        <v>2018</v>
      </c>
      <c r="D28" s="56" t="s">
        <v>345</v>
      </c>
      <c r="E28" s="237" t="s">
        <v>291</v>
      </c>
      <c r="F28" s="55" t="s">
        <v>296</v>
      </c>
      <c r="G28" s="55" t="s">
        <v>42</v>
      </c>
      <c r="H28" s="55" t="s">
        <v>157</v>
      </c>
      <c r="I28" s="55" t="s">
        <v>155</v>
      </c>
      <c r="J28" s="55" t="s">
        <v>38</v>
      </c>
      <c r="K28" s="55" t="s">
        <v>156</v>
      </c>
      <c r="L28" s="237">
        <v>3</v>
      </c>
      <c r="N28" s="55">
        <v>3</v>
      </c>
      <c r="O28" s="55">
        <v>0.35</v>
      </c>
      <c r="P28" s="55">
        <v>0.3</v>
      </c>
      <c r="Q28" s="82">
        <f t="shared" si="0"/>
        <v>0.32499999999999996</v>
      </c>
      <c r="R28" s="55">
        <v>15.2</v>
      </c>
      <c r="S28" s="55">
        <v>125</v>
      </c>
      <c r="T28" s="77">
        <f t="shared" si="1"/>
        <v>27</v>
      </c>
      <c r="U28" s="55">
        <v>429</v>
      </c>
      <c r="V28" s="78">
        <f t="shared" si="2"/>
        <v>3861</v>
      </c>
      <c r="W28" s="237">
        <v>1</v>
      </c>
      <c r="X28" s="55" t="s">
        <v>46</v>
      </c>
      <c r="Y28" s="55" t="s">
        <v>97</v>
      </c>
      <c r="Z28" s="55" t="s">
        <v>69</v>
      </c>
      <c r="AA28" s="55" t="s">
        <v>88</v>
      </c>
      <c r="AB28" s="39" t="s">
        <v>340</v>
      </c>
    </row>
    <row r="29" spans="1:49" x14ac:dyDescent="0.15">
      <c r="A29" s="55" t="s">
        <v>41</v>
      </c>
      <c r="B29" s="237" t="s">
        <v>338</v>
      </c>
      <c r="C29" s="152">
        <v>2018</v>
      </c>
      <c r="D29" s="56" t="s">
        <v>345</v>
      </c>
      <c r="E29" s="237" t="s">
        <v>291</v>
      </c>
      <c r="F29" s="237" t="s">
        <v>296</v>
      </c>
      <c r="G29" s="55" t="s">
        <v>42</v>
      </c>
      <c r="H29" s="55" t="s">
        <v>157</v>
      </c>
      <c r="I29" s="55" t="s">
        <v>155</v>
      </c>
      <c r="J29" s="55" t="s">
        <v>38</v>
      </c>
      <c r="K29" s="55" t="s">
        <v>156</v>
      </c>
      <c r="L29" s="237">
        <v>1</v>
      </c>
      <c r="M29" s="55"/>
      <c r="N29" s="55">
        <v>1</v>
      </c>
      <c r="O29" s="237">
        <v>0.4</v>
      </c>
      <c r="P29" s="237">
        <v>0.4</v>
      </c>
      <c r="Q29" s="57">
        <f t="shared" si="0"/>
        <v>0.4</v>
      </c>
      <c r="R29" s="237">
        <v>13.8</v>
      </c>
      <c r="S29" s="237">
        <v>131</v>
      </c>
      <c r="T29" s="77">
        <f t="shared" si="1"/>
        <v>25</v>
      </c>
      <c r="U29" s="55">
        <v>105</v>
      </c>
      <c r="V29" s="78">
        <f t="shared" si="2"/>
        <v>2625</v>
      </c>
      <c r="W29" s="55">
        <v>2</v>
      </c>
      <c r="X29" s="55" t="s">
        <v>46</v>
      </c>
      <c r="Y29" s="55" t="s">
        <v>97</v>
      </c>
      <c r="Z29" s="55" t="s">
        <v>69</v>
      </c>
      <c r="AA29" s="55" t="s">
        <v>88</v>
      </c>
      <c r="AB29" s="39" t="s">
        <v>340</v>
      </c>
    </row>
    <row r="30" spans="1:49" x14ac:dyDescent="0.15">
      <c r="A30" s="55" t="s">
        <v>41</v>
      </c>
      <c r="B30" s="237" t="s">
        <v>338</v>
      </c>
      <c r="C30" s="152">
        <v>2018</v>
      </c>
      <c r="D30" s="56" t="s">
        <v>345</v>
      </c>
      <c r="E30" s="237" t="s">
        <v>291</v>
      </c>
      <c r="F30" s="237" t="s">
        <v>296</v>
      </c>
      <c r="G30" s="55" t="s">
        <v>42</v>
      </c>
      <c r="H30" s="55" t="s">
        <v>157</v>
      </c>
      <c r="I30" s="55" t="s">
        <v>155</v>
      </c>
      <c r="J30" s="55" t="s">
        <v>38</v>
      </c>
      <c r="K30" s="55" t="s">
        <v>156</v>
      </c>
      <c r="L30" s="237">
        <v>2</v>
      </c>
      <c r="N30" s="55">
        <v>1</v>
      </c>
      <c r="O30" s="237">
        <v>0.25</v>
      </c>
      <c r="P30" s="237">
        <v>0.25</v>
      </c>
      <c r="Q30" s="57">
        <f t="shared" si="0"/>
        <v>0.25</v>
      </c>
      <c r="R30" s="237">
        <v>13.4</v>
      </c>
      <c r="S30" s="237">
        <v>124</v>
      </c>
      <c r="T30" s="77">
        <f t="shared" si="1"/>
        <v>27</v>
      </c>
      <c r="U30" s="55">
        <v>105</v>
      </c>
      <c r="V30" s="58">
        <f t="shared" si="2"/>
        <v>2835</v>
      </c>
      <c r="W30" s="237">
        <v>2</v>
      </c>
      <c r="X30" s="55" t="s">
        <v>46</v>
      </c>
      <c r="Y30" s="55" t="s">
        <v>97</v>
      </c>
      <c r="Z30" s="55" t="s">
        <v>69</v>
      </c>
      <c r="AA30" s="55" t="s">
        <v>88</v>
      </c>
      <c r="AB30" s="39" t="s">
        <v>340</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338</v>
      </c>
      <c r="C31" s="152">
        <v>2018</v>
      </c>
      <c r="D31" s="56" t="s">
        <v>345</v>
      </c>
      <c r="E31" s="237" t="s">
        <v>291</v>
      </c>
      <c r="F31" s="237" t="s">
        <v>296</v>
      </c>
      <c r="G31" s="55" t="s">
        <v>42</v>
      </c>
      <c r="H31" s="55" t="s">
        <v>157</v>
      </c>
      <c r="I31" s="55" t="s">
        <v>155</v>
      </c>
      <c r="J31" s="55" t="s">
        <v>38</v>
      </c>
      <c r="K31" s="55" t="s">
        <v>156</v>
      </c>
      <c r="L31" s="237">
        <v>3</v>
      </c>
      <c r="N31" s="55">
        <v>1</v>
      </c>
      <c r="O31" s="237">
        <v>0.4</v>
      </c>
      <c r="P31" s="237">
        <v>0.4</v>
      </c>
      <c r="Q31" s="57">
        <f t="shared" si="0"/>
        <v>0.4</v>
      </c>
      <c r="R31" s="237">
        <v>13.3</v>
      </c>
      <c r="S31" s="237">
        <v>125</v>
      </c>
      <c r="T31" s="77">
        <f t="shared" si="1"/>
        <v>27</v>
      </c>
      <c r="U31" s="55">
        <v>105</v>
      </c>
      <c r="V31" s="58">
        <f t="shared" si="2"/>
        <v>2835</v>
      </c>
      <c r="W31" s="237">
        <v>2</v>
      </c>
      <c r="X31" s="55" t="s">
        <v>46</v>
      </c>
      <c r="Y31" s="55" t="s">
        <v>97</v>
      </c>
      <c r="Z31" s="55" t="s">
        <v>69</v>
      </c>
      <c r="AA31" s="55" t="s">
        <v>88</v>
      </c>
      <c r="AB31" s="39" t="s">
        <v>340</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338</v>
      </c>
      <c r="C32" s="152">
        <v>2018</v>
      </c>
      <c r="D32" s="56" t="s">
        <v>345</v>
      </c>
      <c r="E32" s="237" t="s">
        <v>291</v>
      </c>
      <c r="F32" s="237" t="s">
        <v>297</v>
      </c>
      <c r="G32" s="55" t="s">
        <v>42</v>
      </c>
      <c r="H32" s="55" t="s">
        <v>157</v>
      </c>
      <c r="I32" s="55" t="s">
        <v>155</v>
      </c>
      <c r="J32" s="55" t="s">
        <v>38</v>
      </c>
      <c r="K32" s="55" t="s">
        <v>156</v>
      </c>
      <c r="L32" s="237">
        <v>1</v>
      </c>
      <c r="M32" s="55"/>
      <c r="N32" s="55">
        <v>1</v>
      </c>
      <c r="O32" s="55">
        <v>1</v>
      </c>
      <c r="P32" s="55">
        <v>0.85</v>
      </c>
      <c r="Q32" s="82">
        <f t="shared" si="0"/>
        <v>0.92500000000000004</v>
      </c>
      <c r="R32" s="55">
        <v>13.3</v>
      </c>
      <c r="S32" s="55">
        <v>120</v>
      </c>
      <c r="T32" s="77">
        <f t="shared" si="1"/>
        <v>30</v>
      </c>
      <c r="U32" s="55">
        <v>105</v>
      </c>
      <c r="V32" s="78">
        <f t="shared" si="2"/>
        <v>3150</v>
      </c>
      <c r="W32" s="55">
        <v>2</v>
      </c>
      <c r="X32" s="55" t="s">
        <v>46</v>
      </c>
      <c r="Y32" s="55" t="s">
        <v>97</v>
      </c>
      <c r="Z32" s="55" t="s">
        <v>86</v>
      </c>
      <c r="AA32" s="55" t="s">
        <v>69</v>
      </c>
      <c r="AB32" s="39" t="s">
        <v>340</v>
      </c>
      <c r="AE32" s="256"/>
      <c r="AF32" s="253"/>
      <c r="AG32" s="257"/>
      <c r="AH32" s="257"/>
      <c r="AI32" s="253"/>
      <c r="AJ32" s="253"/>
      <c r="AK32" s="253"/>
      <c r="AL32" s="253"/>
      <c r="AM32" s="253"/>
      <c r="AN32" s="253"/>
      <c r="AO32" s="253"/>
      <c r="AP32" s="253"/>
      <c r="AQ32" s="253"/>
      <c r="AR32" s="257"/>
      <c r="AS32" s="253"/>
      <c r="AT32" s="253"/>
      <c r="AU32" s="253"/>
      <c r="AV32" s="253"/>
      <c r="AW32" s="253"/>
    </row>
    <row r="33" spans="1:49" x14ac:dyDescent="0.15">
      <c r="A33" s="55" t="s">
        <v>41</v>
      </c>
      <c r="B33" s="237" t="s">
        <v>338</v>
      </c>
      <c r="C33" s="152">
        <v>2018</v>
      </c>
      <c r="D33" s="56" t="s">
        <v>345</v>
      </c>
      <c r="E33" s="237" t="s">
        <v>291</v>
      </c>
      <c r="F33" s="237" t="s">
        <v>297</v>
      </c>
      <c r="G33" s="55" t="s">
        <v>42</v>
      </c>
      <c r="H33" s="55" t="s">
        <v>157</v>
      </c>
      <c r="I33" s="55" t="s">
        <v>155</v>
      </c>
      <c r="J33" s="55" t="s">
        <v>38</v>
      </c>
      <c r="K33" s="55" t="s">
        <v>156</v>
      </c>
      <c r="L33" s="237">
        <v>2</v>
      </c>
      <c r="N33" s="55">
        <v>1</v>
      </c>
      <c r="O33" s="55">
        <v>1.05</v>
      </c>
      <c r="P33" s="55">
        <v>0.9</v>
      </c>
      <c r="Q33" s="82">
        <f t="shared" si="0"/>
        <v>0.97500000000000009</v>
      </c>
      <c r="R33" s="55">
        <v>14.1</v>
      </c>
      <c r="S33" s="55">
        <v>127</v>
      </c>
      <c r="T33" s="77">
        <f t="shared" si="1"/>
        <v>27</v>
      </c>
      <c r="U33" s="55">
        <v>105</v>
      </c>
      <c r="V33" s="58">
        <f t="shared" si="2"/>
        <v>2835</v>
      </c>
      <c r="W33" s="237">
        <v>2</v>
      </c>
      <c r="X33" s="55" t="s">
        <v>46</v>
      </c>
      <c r="Y33" s="55" t="s">
        <v>97</v>
      </c>
      <c r="Z33" s="55" t="s">
        <v>86</v>
      </c>
      <c r="AA33" s="55" t="s">
        <v>69</v>
      </c>
      <c r="AB33" s="39" t="s">
        <v>340</v>
      </c>
      <c r="AE33" s="256"/>
      <c r="AF33" s="253"/>
      <c r="AG33" s="257"/>
      <c r="AH33" s="257"/>
      <c r="AI33" s="253"/>
      <c r="AJ33" s="253"/>
      <c r="AK33" s="253"/>
      <c r="AL33" s="253"/>
      <c r="AM33" s="253"/>
      <c r="AN33" s="253"/>
      <c r="AO33" s="253"/>
      <c r="AP33" s="253"/>
      <c r="AQ33" s="253"/>
      <c r="AR33" s="257"/>
      <c r="AS33" s="253"/>
      <c r="AT33" s="253"/>
      <c r="AU33" s="253"/>
      <c r="AV33" s="253"/>
      <c r="AW33" s="253"/>
    </row>
    <row r="34" spans="1:49" x14ac:dyDescent="0.15">
      <c r="A34" s="55" t="s">
        <v>41</v>
      </c>
      <c r="B34" s="237" t="s">
        <v>338</v>
      </c>
      <c r="C34" s="152">
        <v>2018</v>
      </c>
      <c r="D34" s="56" t="s">
        <v>345</v>
      </c>
      <c r="E34" s="237" t="s">
        <v>291</v>
      </c>
      <c r="F34" s="237" t="s">
        <v>297</v>
      </c>
      <c r="G34" s="55" t="s">
        <v>42</v>
      </c>
      <c r="H34" s="55" t="s">
        <v>157</v>
      </c>
      <c r="I34" s="55" t="s">
        <v>155</v>
      </c>
      <c r="J34" s="55" t="s">
        <v>38</v>
      </c>
      <c r="K34" s="55" t="s">
        <v>156</v>
      </c>
      <c r="L34" s="237">
        <v>3</v>
      </c>
      <c r="N34" s="55">
        <v>1</v>
      </c>
      <c r="O34" s="55">
        <v>0.9</v>
      </c>
      <c r="P34" s="55">
        <v>0.95</v>
      </c>
      <c r="Q34" s="82">
        <f t="shared" si="0"/>
        <v>0.92500000000000004</v>
      </c>
      <c r="R34" s="55">
        <v>14.8</v>
      </c>
      <c r="S34" s="55">
        <v>124</v>
      </c>
      <c r="T34" s="77">
        <f t="shared" si="1"/>
        <v>27</v>
      </c>
      <c r="U34" s="55">
        <v>105</v>
      </c>
      <c r="V34" s="58">
        <f t="shared" si="2"/>
        <v>2835</v>
      </c>
      <c r="W34" s="237">
        <v>2</v>
      </c>
      <c r="X34" s="55" t="s">
        <v>46</v>
      </c>
      <c r="Y34" s="55" t="s">
        <v>97</v>
      </c>
      <c r="Z34" s="55" t="s">
        <v>86</v>
      </c>
      <c r="AA34" s="55" t="s">
        <v>69</v>
      </c>
      <c r="AB34" s="39" t="s">
        <v>340</v>
      </c>
      <c r="AE34" s="256"/>
      <c r="AF34" s="253"/>
      <c r="AG34" s="257"/>
      <c r="AH34" s="257"/>
      <c r="AI34" s="253"/>
      <c r="AJ34" s="253"/>
      <c r="AK34" s="253"/>
      <c r="AL34" s="253"/>
      <c r="AM34" s="253"/>
      <c r="AN34" s="253"/>
      <c r="AO34" s="253"/>
      <c r="AP34" s="253"/>
      <c r="AQ34" s="253"/>
      <c r="AR34" s="257"/>
      <c r="AS34" s="253"/>
      <c r="AT34" s="253"/>
      <c r="AU34" s="253"/>
      <c r="AV34" s="253"/>
      <c r="AW34" s="253"/>
    </row>
    <row r="35" spans="1:49" x14ac:dyDescent="0.15">
      <c r="A35" s="55" t="s">
        <v>41</v>
      </c>
      <c r="B35" s="237" t="s">
        <v>338</v>
      </c>
      <c r="C35" s="152">
        <v>2018</v>
      </c>
      <c r="D35" s="56" t="s">
        <v>345</v>
      </c>
      <c r="E35" s="237" t="s">
        <v>291</v>
      </c>
      <c r="F35" s="237" t="s">
        <v>297</v>
      </c>
      <c r="G35" s="55" t="s">
        <v>42</v>
      </c>
      <c r="H35" s="55" t="s">
        <v>157</v>
      </c>
      <c r="I35" s="55" t="s">
        <v>155</v>
      </c>
      <c r="J35" s="55" t="s">
        <v>38</v>
      </c>
      <c r="K35" s="55" t="s">
        <v>156</v>
      </c>
      <c r="L35" s="237">
        <v>1</v>
      </c>
      <c r="M35" s="55"/>
      <c r="N35" s="55">
        <v>6</v>
      </c>
      <c r="O35" s="55">
        <v>1.3</v>
      </c>
      <c r="P35" s="55">
        <v>1.1000000000000001</v>
      </c>
      <c r="Q35" s="82">
        <f t="shared" si="0"/>
        <v>1.2000000000000002</v>
      </c>
      <c r="R35" s="55">
        <v>12.1</v>
      </c>
      <c r="S35" s="55">
        <v>110</v>
      </c>
      <c r="T35" s="77">
        <f t="shared" si="1"/>
        <v>33</v>
      </c>
      <c r="U35" s="55">
        <v>537</v>
      </c>
      <c r="V35" s="78">
        <f t="shared" si="2"/>
        <v>2953.5</v>
      </c>
      <c r="W35" s="55">
        <v>1</v>
      </c>
      <c r="X35" s="55" t="s">
        <v>46</v>
      </c>
      <c r="Y35" s="55" t="s">
        <v>97</v>
      </c>
      <c r="Z35" s="55" t="s">
        <v>86</v>
      </c>
      <c r="AA35" s="55" t="s">
        <v>69</v>
      </c>
      <c r="AB35" s="39" t="s">
        <v>340</v>
      </c>
      <c r="AE35" s="253"/>
      <c r="AF35" s="253"/>
      <c r="AG35" s="253"/>
      <c r="AH35" s="253"/>
      <c r="AI35" s="253"/>
      <c r="AJ35" s="253"/>
      <c r="AK35" s="253"/>
      <c r="AL35" s="253"/>
      <c r="AM35" s="253"/>
      <c r="AN35" s="253"/>
      <c r="AO35" s="253"/>
      <c r="AP35" s="253"/>
      <c r="AQ35" s="253"/>
      <c r="AR35" s="253"/>
      <c r="AS35" s="253"/>
      <c r="AT35" s="253"/>
      <c r="AU35" s="253"/>
      <c r="AV35" s="253"/>
      <c r="AW35" s="253"/>
    </row>
    <row r="36" spans="1:49" x14ac:dyDescent="0.15">
      <c r="A36" s="55" t="s">
        <v>41</v>
      </c>
      <c r="B36" s="237" t="s">
        <v>338</v>
      </c>
      <c r="C36" s="152">
        <v>2018</v>
      </c>
      <c r="D36" s="56" t="s">
        <v>345</v>
      </c>
      <c r="E36" s="237" t="s">
        <v>291</v>
      </c>
      <c r="F36" s="237" t="s">
        <v>297</v>
      </c>
      <c r="G36" s="55" t="s">
        <v>42</v>
      </c>
      <c r="H36" s="55" t="s">
        <v>157</v>
      </c>
      <c r="I36" s="55" t="s">
        <v>155</v>
      </c>
      <c r="J36" s="55" t="s">
        <v>38</v>
      </c>
      <c r="K36" s="55" t="s">
        <v>156</v>
      </c>
      <c r="L36" s="237">
        <v>2</v>
      </c>
      <c r="N36" s="55">
        <v>6</v>
      </c>
      <c r="O36" s="55">
        <v>1</v>
      </c>
      <c r="P36" s="55">
        <v>1.1499999999999999</v>
      </c>
      <c r="Q36" s="82">
        <f t="shared" si="0"/>
        <v>1.075</v>
      </c>
      <c r="R36" s="55">
        <v>13.4</v>
      </c>
      <c r="S36" s="55">
        <v>113</v>
      </c>
      <c r="T36" s="77">
        <f t="shared" si="1"/>
        <v>30</v>
      </c>
      <c r="U36" s="55">
        <v>537</v>
      </c>
      <c r="V36" s="78">
        <f t="shared" si="2"/>
        <v>2685</v>
      </c>
      <c r="W36" s="55">
        <v>1</v>
      </c>
      <c r="X36" s="55" t="s">
        <v>46</v>
      </c>
      <c r="Y36" s="55" t="s">
        <v>97</v>
      </c>
      <c r="Z36" s="55" t="s">
        <v>86</v>
      </c>
      <c r="AA36" s="55" t="s">
        <v>69</v>
      </c>
      <c r="AB36" s="39" t="s">
        <v>340</v>
      </c>
    </row>
    <row r="37" spans="1:49" x14ac:dyDescent="0.15">
      <c r="A37" s="55" t="s">
        <v>41</v>
      </c>
      <c r="B37" s="237" t="s">
        <v>338</v>
      </c>
      <c r="C37" s="152">
        <v>2018</v>
      </c>
      <c r="D37" s="56" t="s">
        <v>345</v>
      </c>
      <c r="E37" s="237" t="s">
        <v>291</v>
      </c>
      <c r="F37" s="237" t="s">
        <v>297</v>
      </c>
      <c r="G37" s="55" t="s">
        <v>42</v>
      </c>
      <c r="H37" s="55" t="s">
        <v>157</v>
      </c>
      <c r="I37" s="55" t="s">
        <v>155</v>
      </c>
      <c r="J37" s="55" t="s">
        <v>38</v>
      </c>
      <c r="K37" s="55" t="s">
        <v>156</v>
      </c>
      <c r="L37" s="237">
        <v>3</v>
      </c>
      <c r="N37" s="55">
        <v>6</v>
      </c>
      <c r="O37" s="55">
        <v>1.05</v>
      </c>
      <c r="P37" s="55">
        <v>0.9</v>
      </c>
      <c r="Q37" s="82">
        <f t="shared" si="0"/>
        <v>0.97500000000000009</v>
      </c>
      <c r="R37" s="55">
        <v>13.5</v>
      </c>
      <c r="S37" s="55">
        <v>115</v>
      </c>
      <c r="T37" s="77">
        <f t="shared" si="1"/>
        <v>30</v>
      </c>
      <c r="U37" s="55">
        <v>537</v>
      </c>
      <c r="V37" s="78">
        <f t="shared" si="2"/>
        <v>2685</v>
      </c>
      <c r="W37" s="237">
        <v>1</v>
      </c>
      <c r="X37" s="55" t="s">
        <v>46</v>
      </c>
      <c r="Y37" s="55" t="s">
        <v>97</v>
      </c>
      <c r="Z37" s="55" t="s">
        <v>86</v>
      </c>
      <c r="AA37" s="55" t="s">
        <v>69</v>
      </c>
      <c r="AB37" s="39" t="s">
        <v>340</v>
      </c>
    </row>
    <row r="38" spans="1:49" x14ac:dyDescent="0.15">
      <c r="A38" s="55" t="s">
        <v>41</v>
      </c>
      <c r="B38" s="237" t="s">
        <v>338</v>
      </c>
      <c r="C38" s="152">
        <v>2018</v>
      </c>
      <c r="D38" s="56" t="s">
        <v>345</v>
      </c>
      <c r="E38" s="237" t="s">
        <v>291</v>
      </c>
      <c r="F38" s="237" t="s">
        <v>297</v>
      </c>
      <c r="G38" s="55" t="s">
        <v>42</v>
      </c>
      <c r="H38" s="55" t="s">
        <v>166</v>
      </c>
      <c r="I38" s="55" t="s">
        <v>155</v>
      </c>
      <c r="J38" s="55" t="s">
        <v>38</v>
      </c>
      <c r="K38" s="55" t="s">
        <v>156</v>
      </c>
      <c r="L38" s="237">
        <v>1</v>
      </c>
      <c r="M38" s="55"/>
      <c r="N38" s="55">
        <v>1</v>
      </c>
      <c r="O38" s="55">
        <v>0.85</v>
      </c>
      <c r="P38" s="55">
        <v>0.95</v>
      </c>
      <c r="Q38" s="57">
        <f t="shared" si="0"/>
        <v>0.89999999999999991</v>
      </c>
      <c r="R38" s="237">
        <v>16.8</v>
      </c>
      <c r="S38" s="55">
        <v>129</v>
      </c>
      <c r="T38" s="77">
        <f t="shared" si="1"/>
        <v>25</v>
      </c>
      <c r="U38" s="55">
        <v>105</v>
      </c>
      <c r="V38" s="78">
        <f t="shared" si="2"/>
        <v>2625</v>
      </c>
      <c r="W38" s="55">
        <v>2</v>
      </c>
      <c r="X38" s="55" t="s">
        <v>46</v>
      </c>
      <c r="Y38" s="55" t="s">
        <v>97</v>
      </c>
      <c r="Z38" s="55" t="s">
        <v>86</v>
      </c>
      <c r="AA38" s="55" t="s">
        <v>69</v>
      </c>
      <c r="AB38" s="39" t="s">
        <v>340</v>
      </c>
      <c r="AE38" s="253"/>
      <c r="AF38" s="253"/>
      <c r="AG38" s="253"/>
      <c r="AH38" s="253"/>
      <c r="AI38" s="253"/>
      <c r="AJ38" s="253"/>
      <c r="AK38" s="253"/>
      <c r="AL38" s="253"/>
      <c r="AM38" s="253"/>
      <c r="AN38" s="253"/>
      <c r="AO38" s="253"/>
      <c r="AP38" s="253"/>
      <c r="AQ38" s="253"/>
      <c r="AR38" s="253"/>
      <c r="AS38" s="253"/>
      <c r="AT38" s="253"/>
      <c r="AU38" s="253"/>
      <c r="AV38" s="253"/>
      <c r="AW38" s="253"/>
    </row>
    <row r="39" spans="1:49" x14ac:dyDescent="0.15">
      <c r="A39" s="55" t="s">
        <v>41</v>
      </c>
      <c r="B39" s="237" t="s">
        <v>338</v>
      </c>
      <c r="C39" s="152">
        <v>2018</v>
      </c>
      <c r="D39" s="56" t="s">
        <v>345</v>
      </c>
      <c r="E39" s="237" t="s">
        <v>291</v>
      </c>
      <c r="F39" s="237" t="s">
        <v>297</v>
      </c>
      <c r="G39" s="55" t="s">
        <v>42</v>
      </c>
      <c r="H39" s="55" t="s">
        <v>166</v>
      </c>
      <c r="I39" s="55" t="s">
        <v>155</v>
      </c>
      <c r="J39" s="55" t="s">
        <v>38</v>
      </c>
      <c r="K39" s="55" t="s">
        <v>156</v>
      </c>
      <c r="L39" s="237">
        <v>2</v>
      </c>
      <c r="N39" s="55">
        <v>1</v>
      </c>
      <c r="O39" s="55">
        <v>0.8</v>
      </c>
      <c r="P39" s="55">
        <v>0.8</v>
      </c>
      <c r="Q39" s="57">
        <f t="shared" si="0"/>
        <v>0.8</v>
      </c>
      <c r="R39" s="237">
        <v>15.9</v>
      </c>
      <c r="S39" s="55">
        <v>124</v>
      </c>
      <c r="T39" s="77">
        <f t="shared" si="1"/>
        <v>27</v>
      </c>
      <c r="U39" s="55">
        <v>105</v>
      </c>
      <c r="V39" s="58">
        <f t="shared" si="2"/>
        <v>2835</v>
      </c>
      <c r="W39" s="237">
        <v>2</v>
      </c>
      <c r="X39" s="55" t="s">
        <v>46</v>
      </c>
      <c r="Y39" s="55" t="s">
        <v>97</v>
      </c>
      <c r="Z39" s="55" t="s">
        <v>86</v>
      </c>
      <c r="AA39" s="55" t="s">
        <v>69</v>
      </c>
      <c r="AB39" s="39" t="s">
        <v>340</v>
      </c>
    </row>
    <row r="40" spans="1:49" x14ac:dyDescent="0.15">
      <c r="A40" s="55" t="s">
        <v>41</v>
      </c>
      <c r="B40" s="237" t="s">
        <v>338</v>
      </c>
      <c r="C40" s="152">
        <v>2018</v>
      </c>
      <c r="D40" s="56" t="s">
        <v>345</v>
      </c>
      <c r="E40" s="237" t="s">
        <v>291</v>
      </c>
      <c r="F40" s="237" t="s">
        <v>297</v>
      </c>
      <c r="G40" s="55" t="s">
        <v>42</v>
      </c>
      <c r="H40" s="55" t="s">
        <v>166</v>
      </c>
      <c r="I40" s="55" t="s">
        <v>155</v>
      </c>
      <c r="J40" s="55" t="s">
        <v>38</v>
      </c>
      <c r="K40" s="55" t="s">
        <v>156</v>
      </c>
      <c r="L40" s="237">
        <v>3</v>
      </c>
      <c r="N40" s="55">
        <v>1</v>
      </c>
      <c r="O40" s="55">
        <v>0.9</v>
      </c>
      <c r="P40" s="55">
        <v>0.75</v>
      </c>
      <c r="Q40" s="57">
        <f t="shared" si="0"/>
        <v>0.82499999999999996</v>
      </c>
      <c r="R40" s="55">
        <v>15.8</v>
      </c>
      <c r="S40" s="55">
        <v>125</v>
      </c>
      <c r="T40" s="77">
        <f t="shared" si="1"/>
        <v>27</v>
      </c>
      <c r="U40" s="55">
        <v>105</v>
      </c>
      <c r="V40" s="58">
        <f t="shared" si="2"/>
        <v>2835</v>
      </c>
      <c r="W40" s="237">
        <v>2</v>
      </c>
      <c r="X40" s="55" t="s">
        <v>46</v>
      </c>
      <c r="Y40" s="55" t="s">
        <v>97</v>
      </c>
      <c r="Z40" s="55" t="s">
        <v>86</v>
      </c>
      <c r="AA40" s="55" t="s">
        <v>69</v>
      </c>
      <c r="AB40" s="39" t="s">
        <v>340</v>
      </c>
    </row>
    <row r="41" spans="1:49" x14ac:dyDescent="0.15">
      <c r="A41" s="55" t="s">
        <v>41</v>
      </c>
      <c r="B41" s="237" t="s">
        <v>338</v>
      </c>
      <c r="C41" s="152">
        <v>2018</v>
      </c>
      <c r="D41" s="56" t="s">
        <v>345</v>
      </c>
      <c r="E41" s="237" t="s">
        <v>291</v>
      </c>
      <c r="F41" s="237" t="s">
        <v>297</v>
      </c>
      <c r="G41" s="55" t="s">
        <v>42</v>
      </c>
      <c r="H41" s="55" t="s">
        <v>166</v>
      </c>
      <c r="I41" s="55" t="s">
        <v>155</v>
      </c>
      <c r="J41" s="55" t="s">
        <v>38</v>
      </c>
      <c r="K41" s="55" t="s">
        <v>156</v>
      </c>
      <c r="L41" s="237">
        <v>1</v>
      </c>
      <c r="N41" s="55">
        <v>5</v>
      </c>
      <c r="O41" s="237">
        <v>0.35</v>
      </c>
      <c r="P41" s="237">
        <v>0.3</v>
      </c>
      <c r="Q41" s="57">
        <f t="shared" si="0"/>
        <v>0.32499999999999996</v>
      </c>
      <c r="R41" s="237">
        <v>14.1</v>
      </c>
      <c r="S41" s="237">
        <v>104</v>
      </c>
      <c r="T41" s="57">
        <f t="shared" si="1"/>
        <v>33</v>
      </c>
      <c r="U41" s="55">
        <v>645</v>
      </c>
      <c r="V41" s="58">
        <f t="shared" si="2"/>
        <v>4257</v>
      </c>
      <c r="W41" s="237">
        <v>1</v>
      </c>
      <c r="X41" s="55" t="s">
        <v>46</v>
      </c>
      <c r="Y41" s="55" t="s">
        <v>97</v>
      </c>
      <c r="Z41" s="55" t="s">
        <v>86</v>
      </c>
      <c r="AA41" s="55" t="s">
        <v>69</v>
      </c>
      <c r="AB41" s="39" t="s">
        <v>340</v>
      </c>
    </row>
    <row r="42" spans="1:49" x14ac:dyDescent="0.15">
      <c r="A42" s="55" t="s">
        <v>41</v>
      </c>
      <c r="B42" s="237" t="s">
        <v>338</v>
      </c>
      <c r="C42" s="152">
        <v>2018</v>
      </c>
      <c r="D42" s="56" t="s">
        <v>345</v>
      </c>
      <c r="E42" s="237" t="s">
        <v>291</v>
      </c>
      <c r="F42" s="237" t="s">
        <v>297</v>
      </c>
      <c r="G42" s="55" t="s">
        <v>42</v>
      </c>
      <c r="H42" s="55" t="s">
        <v>166</v>
      </c>
      <c r="I42" s="55" t="s">
        <v>155</v>
      </c>
      <c r="J42" s="55" t="s">
        <v>38</v>
      </c>
      <c r="K42" s="55" t="s">
        <v>156</v>
      </c>
      <c r="L42" s="237">
        <v>2</v>
      </c>
      <c r="N42" s="55">
        <v>5</v>
      </c>
      <c r="O42" s="237">
        <v>0.3</v>
      </c>
      <c r="P42" s="237">
        <v>0.25</v>
      </c>
      <c r="Q42" s="57">
        <f t="shared" si="0"/>
        <v>0.27500000000000002</v>
      </c>
      <c r="R42" s="237">
        <v>13.8</v>
      </c>
      <c r="S42" s="237">
        <v>105</v>
      </c>
      <c r="T42" s="57">
        <f t="shared" si="1"/>
        <v>33</v>
      </c>
      <c r="U42" s="55">
        <v>645</v>
      </c>
      <c r="V42" s="58">
        <f t="shared" si="2"/>
        <v>4257</v>
      </c>
      <c r="W42" s="237">
        <v>1</v>
      </c>
      <c r="X42" s="55" t="s">
        <v>46</v>
      </c>
      <c r="Y42" s="55" t="s">
        <v>97</v>
      </c>
      <c r="Z42" s="55" t="s">
        <v>86</v>
      </c>
      <c r="AA42" s="55" t="s">
        <v>69</v>
      </c>
      <c r="AB42" s="39" t="s">
        <v>340</v>
      </c>
    </row>
    <row r="43" spans="1:49" x14ac:dyDescent="0.15">
      <c r="A43" s="55" t="s">
        <v>41</v>
      </c>
      <c r="B43" s="237" t="s">
        <v>338</v>
      </c>
      <c r="C43" s="152">
        <v>2018</v>
      </c>
      <c r="D43" s="56" t="s">
        <v>345</v>
      </c>
      <c r="E43" s="237" t="s">
        <v>291</v>
      </c>
      <c r="F43" s="237" t="s">
        <v>297</v>
      </c>
      <c r="G43" s="55" t="s">
        <v>42</v>
      </c>
      <c r="H43" s="55" t="s">
        <v>166</v>
      </c>
      <c r="I43" s="55" t="s">
        <v>155</v>
      </c>
      <c r="J43" s="55" t="s">
        <v>38</v>
      </c>
      <c r="K43" s="55" t="s">
        <v>156</v>
      </c>
      <c r="L43" s="237">
        <v>3</v>
      </c>
      <c r="N43" s="55">
        <v>5</v>
      </c>
      <c r="O43" s="237">
        <v>0.25</v>
      </c>
      <c r="P43" s="237">
        <v>0.25</v>
      </c>
      <c r="Q43" s="57">
        <f t="shared" si="0"/>
        <v>0.25</v>
      </c>
      <c r="R43" s="237">
        <v>16.399999999999999</v>
      </c>
      <c r="S43" s="237">
        <v>105</v>
      </c>
      <c r="T43" s="57">
        <f t="shared" si="1"/>
        <v>33</v>
      </c>
      <c r="U43" s="55">
        <v>645</v>
      </c>
      <c r="V43" s="58">
        <f t="shared" si="2"/>
        <v>4257</v>
      </c>
      <c r="W43" s="237">
        <v>1</v>
      </c>
      <c r="X43" s="55" t="s">
        <v>46</v>
      </c>
      <c r="Y43" s="55" t="s">
        <v>97</v>
      </c>
      <c r="Z43" s="55" t="s">
        <v>86</v>
      </c>
      <c r="AA43" s="55" t="s">
        <v>69</v>
      </c>
      <c r="AB43" s="39" t="s">
        <v>340</v>
      </c>
    </row>
    <row r="44" spans="1:49" x14ac:dyDescent="0.15">
      <c r="A44" s="55" t="s">
        <v>41</v>
      </c>
      <c r="B44" s="237" t="s">
        <v>338</v>
      </c>
      <c r="C44" s="152">
        <v>2018</v>
      </c>
      <c r="D44" s="56" t="s">
        <v>345</v>
      </c>
      <c r="E44" s="237" t="s">
        <v>292</v>
      </c>
      <c r="F44" s="237" t="s">
        <v>296</v>
      </c>
      <c r="G44" s="55" t="s">
        <v>42</v>
      </c>
      <c r="H44" s="55" t="s">
        <v>157</v>
      </c>
      <c r="I44" s="55" t="s">
        <v>155</v>
      </c>
      <c r="J44" s="55" t="s">
        <v>38</v>
      </c>
      <c r="K44" s="55" t="s">
        <v>156</v>
      </c>
      <c r="L44" s="237">
        <v>1</v>
      </c>
      <c r="N44" s="55">
        <v>1</v>
      </c>
      <c r="O44" s="55">
        <v>0.65</v>
      </c>
      <c r="P44" s="55">
        <v>0.45</v>
      </c>
      <c r="Q44" s="82">
        <f t="shared" si="0"/>
        <v>0.55000000000000004</v>
      </c>
      <c r="R44" s="55">
        <v>13.8</v>
      </c>
      <c r="S44" s="55">
        <v>121</v>
      </c>
      <c r="T44" s="57">
        <f t="shared" si="1"/>
        <v>27</v>
      </c>
      <c r="U44" s="237">
        <v>108</v>
      </c>
      <c r="V44" s="58">
        <f t="shared" si="2"/>
        <v>2916</v>
      </c>
      <c r="W44" s="237">
        <v>3</v>
      </c>
      <c r="X44" s="55" t="s">
        <v>46</v>
      </c>
      <c r="Y44" s="55" t="s">
        <v>97</v>
      </c>
      <c r="Z44" s="55" t="s">
        <v>78</v>
      </c>
      <c r="AA44" s="55" t="s">
        <v>88</v>
      </c>
      <c r="AB44" s="39" t="s">
        <v>340</v>
      </c>
    </row>
    <row r="45" spans="1:49" x14ac:dyDescent="0.15">
      <c r="A45" s="55" t="s">
        <v>41</v>
      </c>
      <c r="B45" s="237" t="s">
        <v>338</v>
      </c>
      <c r="C45" s="152">
        <v>2018</v>
      </c>
      <c r="D45" s="56" t="s">
        <v>345</v>
      </c>
      <c r="E45" s="237" t="s">
        <v>292</v>
      </c>
      <c r="F45" s="237" t="s">
        <v>296</v>
      </c>
      <c r="G45" s="55" t="s">
        <v>42</v>
      </c>
      <c r="H45" s="55" t="s">
        <v>157</v>
      </c>
      <c r="I45" s="55" t="s">
        <v>155</v>
      </c>
      <c r="J45" s="55" t="s">
        <v>38</v>
      </c>
      <c r="K45" s="55" t="s">
        <v>156</v>
      </c>
      <c r="L45" s="237">
        <v>2</v>
      </c>
      <c r="N45" s="55">
        <v>1</v>
      </c>
      <c r="O45" s="55">
        <v>0.75</v>
      </c>
      <c r="P45" s="55">
        <v>0.7</v>
      </c>
      <c r="Q45" s="82">
        <f t="shared" si="0"/>
        <v>0.72499999999999998</v>
      </c>
      <c r="R45" s="55">
        <v>13.4</v>
      </c>
      <c r="S45" s="55">
        <v>124</v>
      </c>
      <c r="T45" s="57">
        <f t="shared" si="1"/>
        <v>27</v>
      </c>
      <c r="U45" s="237">
        <v>108</v>
      </c>
      <c r="V45" s="58">
        <f t="shared" si="2"/>
        <v>2916</v>
      </c>
      <c r="W45" s="237">
        <v>3</v>
      </c>
      <c r="X45" s="55" t="s">
        <v>46</v>
      </c>
      <c r="Y45" s="55" t="s">
        <v>97</v>
      </c>
      <c r="Z45" s="55" t="s">
        <v>78</v>
      </c>
      <c r="AA45" s="55" t="s">
        <v>88</v>
      </c>
      <c r="AB45" s="39" t="s">
        <v>340</v>
      </c>
    </row>
    <row r="46" spans="1:49" x14ac:dyDescent="0.15">
      <c r="A46" s="55" t="s">
        <v>41</v>
      </c>
      <c r="B46" s="237" t="s">
        <v>338</v>
      </c>
      <c r="C46" s="152">
        <v>2018</v>
      </c>
      <c r="D46" s="56" t="s">
        <v>345</v>
      </c>
      <c r="E46" s="237" t="s">
        <v>292</v>
      </c>
      <c r="F46" s="237" t="s">
        <v>296</v>
      </c>
      <c r="G46" s="55" t="s">
        <v>42</v>
      </c>
      <c r="H46" s="55" t="s">
        <v>157</v>
      </c>
      <c r="I46" s="55" t="s">
        <v>155</v>
      </c>
      <c r="J46" s="55" t="s">
        <v>38</v>
      </c>
      <c r="K46" s="55" t="s">
        <v>156</v>
      </c>
      <c r="L46" s="237">
        <v>3</v>
      </c>
      <c r="N46" s="55">
        <v>1</v>
      </c>
      <c r="O46" s="55">
        <v>0.65</v>
      </c>
      <c r="P46" s="55">
        <v>0.65</v>
      </c>
      <c r="Q46" s="82">
        <f t="shared" si="0"/>
        <v>0.65</v>
      </c>
      <c r="R46" s="55">
        <v>14.5</v>
      </c>
      <c r="S46" s="55">
        <v>125</v>
      </c>
      <c r="T46" s="57">
        <f t="shared" si="1"/>
        <v>27</v>
      </c>
      <c r="U46" s="55">
        <v>108</v>
      </c>
      <c r="V46" s="58">
        <f t="shared" si="2"/>
        <v>2916</v>
      </c>
      <c r="W46" s="237">
        <v>3</v>
      </c>
      <c r="X46" s="55" t="s">
        <v>46</v>
      </c>
      <c r="Y46" s="55" t="s">
        <v>97</v>
      </c>
      <c r="Z46" s="55" t="s">
        <v>78</v>
      </c>
      <c r="AA46" s="55" t="s">
        <v>88</v>
      </c>
      <c r="AB46" s="39" t="s">
        <v>340</v>
      </c>
    </row>
    <row r="47" spans="1:49" x14ac:dyDescent="0.15">
      <c r="A47" s="55" t="s">
        <v>41</v>
      </c>
      <c r="B47" s="237" t="s">
        <v>338</v>
      </c>
      <c r="C47" s="152">
        <v>2018</v>
      </c>
      <c r="D47" s="56" t="s">
        <v>345</v>
      </c>
      <c r="E47" s="237" t="s">
        <v>292</v>
      </c>
      <c r="F47" s="237" t="s">
        <v>296</v>
      </c>
      <c r="G47" s="55" t="s">
        <v>42</v>
      </c>
      <c r="H47" s="55" t="s">
        <v>166</v>
      </c>
      <c r="I47" s="55" t="s">
        <v>155</v>
      </c>
      <c r="J47" s="55" t="s">
        <v>38</v>
      </c>
      <c r="K47" s="55" t="s">
        <v>156</v>
      </c>
      <c r="L47" s="237">
        <v>1</v>
      </c>
      <c r="N47" s="55">
        <v>1</v>
      </c>
      <c r="O47" s="237">
        <v>0.25</v>
      </c>
      <c r="P47" s="237">
        <v>0.3</v>
      </c>
      <c r="Q47" s="57">
        <f t="shared" si="0"/>
        <v>0.27500000000000002</v>
      </c>
      <c r="R47" s="237">
        <v>15.8</v>
      </c>
      <c r="S47" s="237">
        <v>124</v>
      </c>
      <c r="T47" s="57">
        <f t="shared" si="1"/>
        <v>27</v>
      </c>
      <c r="U47" s="237">
        <v>170</v>
      </c>
      <c r="V47" s="58">
        <f t="shared" si="2"/>
        <v>4590</v>
      </c>
      <c r="W47" s="237">
        <v>1</v>
      </c>
      <c r="X47" s="55" t="s">
        <v>46</v>
      </c>
      <c r="Y47" s="55" t="s">
        <v>97</v>
      </c>
      <c r="Z47" s="55" t="s">
        <v>78</v>
      </c>
      <c r="AA47" s="55" t="s">
        <v>88</v>
      </c>
      <c r="AB47" s="39" t="s">
        <v>340</v>
      </c>
      <c r="AC47" s="55"/>
      <c r="AD47" s="55"/>
    </row>
    <row r="48" spans="1:49" x14ac:dyDescent="0.15">
      <c r="A48" s="55" t="s">
        <v>41</v>
      </c>
      <c r="B48" s="237" t="s">
        <v>338</v>
      </c>
      <c r="C48" s="152">
        <v>2018</v>
      </c>
      <c r="D48" s="56" t="s">
        <v>345</v>
      </c>
      <c r="E48" s="237" t="s">
        <v>292</v>
      </c>
      <c r="F48" s="237" t="s">
        <v>296</v>
      </c>
      <c r="G48" s="55" t="s">
        <v>42</v>
      </c>
      <c r="H48" s="55" t="s">
        <v>166</v>
      </c>
      <c r="I48" s="55" t="s">
        <v>155</v>
      </c>
      <c r="J48" s="55" t="s">
        <v>38</v>
      </c>
      <c r="K48" s="55" t="s">
        <v>156</v>
      </c>
      <c r="L48" s="237">
        <v>2</v>
      </c>
      <c r="N48" s="55">
        <v>1</v>
      </c>
      <c r="O48" s="237">
        <v>0.3</v>
      </c>
      <c r="P48" s="237">
        <v>0.35</v>
      </c>
      <c r="Q48" s="57">
        <f t="shared" si="0"/>
        <v>0.32499999999999996</v>
      </c>
      <c r="R48" s="237">
        <v>17.399999999999999</v>
      </c>
      <c r="S48" s="237">
        <v>126</v>
      </c>
      <c r="T48" s="57">
        <f t="shared" si="1"/>
        <v>27</v>
      </c>
      <c r="U48" s="237">
        <v>170</v>
      </c>
      <c r="V48" s="58">
        <f t="shared" si="2"/>
        <v>4590</v>
      </c>
      <c r="W48" s="237">
        <v>1</v>
      </c>
      <c r="X48" s="55" t="s">
        <v>46</v>
      </c>
      <c r="Y48" s="55" t="s">
        <v>97</v>
      </c>
      <c r="Z48" s="55" t="s">
        <v>78</v>
      </c>
      <c r="AA48" s="55" t="s">
        <v>88</v>
      </c>
      <c r="AB48" s="39" t="s">
        <v>340</v>
      </c>
      <c r="AC48" s="55"/>
      <c r="AD48" s="55"/>
    </row>
    <row r="49" spans="1:30" x14ac:dyDescent="0.15">
      <c r="A49" s="55" t="s">
        <v>41</v>
      </c>
      <c r="B49" s="237" t="s">
        <v>338</v>
      </c>
      <c r="C49" s="152">
        <v>2018</v>
      </c>
      <c r="D49" s="56" t="s">
        <v>345</v>
      </c>
      <c r="E49" s="237" t="s">
        <v>292</v>
      </c>
      <c r="F49" s="237" t="s">
        <v>296</v>
      </c>
      <c r="G49" s="55" t="s">
        <v>42</v>
      </c>
      <c r="H49" s="55" t="s">
        <v>166</v>
      </c>
      <c r="I49" s="55" t="s">
        <v>155</v>
      </c>
      <c r="J49" s="55" t="s">
        <v>38</v>
      </c>
      <c r="K49" s="55" t="s">
        <v>156</v>
      </c>
      <c r="L49" s="237">
        <v>3</v>
      </c>
      <c r="N49" s="55">
        <v>1</v>
      </c>
      <c r="O49" s="237">
        <v>0.35</v>
      </c>
      <c r="P49" s="237">
        <v>0.45</v>
      </c>
      <c r="Q49" s="57">
        <f t="shared" si="0"/>
        <v>0.4</v>
      </c>
      <c r="R49" s="237">
        <v>13.5</v>
      </c>
      <c r="S49" s="237">
        <v>120</v>
      </c>
      <c r="T49" s="57">
        <f t="shared" si="1"/>
        <v>30</v>
      </c>
      <c r="U49" s="55">
        <v>170</v>
      </c>
      <c r="V49" s="58">
        <f t="shared" si="2"/>
        <v>5100</v>
      </c>
      <c r="W49" s="237">
        <v>1</v>
      </c>
      <c r="X49" s="55" t="s">
        <v>46</v>
      </c>
      <c r="Y49" s="55" t="s">
        <v>97</v>
      </c>
      <c r="Z49" s="55" t="s">
        <v>78</v>
      </c>
      <c r="AA49" s="55" t="s">
        <v>88</v>
      </c>
      <c r="AB49" s="39" t="s">
        <v>340</v>
      </c>
      <c r="AC49" s="55"/>
      <c r="AD49" s="55"/>
    </row>
    <row r="50" spans="1:30" x14ac:dyDescent="0.15">
      <c r="A50" s="55" t="s">
        <v>41</v>
      </c>
      <c r="B50" s="237" t="s">
        <v>338</v>
      </c>
      <c r="C50" s="152">
        <v>2018</v>
      </c>
      <c r="D50" s="56" t="s">
        <v>345</v>
      </c>
      <c r="E50" s="237" t="s">
        <v>292</v>
      </c>
      <c r="F50" s="237" t="s">
        <v>296</v>
      </c>
      <c r="G50" s="55" t="s">
        <v>42</v>
      </c>
      <c r="H50" s="55" t="s">
        <v>166</v>
      </c>
      <c r="I50" s="55" t="s">
        <v>155</v>
      </c>
      <c r="J50" s="55" t="s">
        <v>38</v>
      </c>
      <c r="K50" s="55" t="s">
        <v>156</v>
      </c>
      <c r="L50" s="237">
        <v>1</v>
      </c>
      <c r="N50" s="55">
        <v>4</v>
      </c>
      <c r="O50" s="55">
        <v>0.85</v>
      </c>
      <c r="P50" s="258">
        <v>0.7</v>
      </c>
      <c r="Q50" s="57">
        <f t="shared" si="0"/>
        <v>0.77499999999999991</v>
      </c>
      <c r="R50" s="237">
        <v>16.100000000000001</v>
      </c>
      <c r="S50" s="237">
        <v>120</v>
      </c>
      <c r="T50" s="57">
        <f t="shared" si="1"/>
        <v>30</v>
      </c>
      <c r="U50" s="237">
        <v>645</v>
      </c>
      <c r="V50" s="58">
        <f t="shared" si="2"/>
        <v>4837.5</v>
      </c>
      <c r="W50" s="237">
        <v>2</v>
      </c>
      <c r="X50" s="55" t="s">
        <v>46</v>
      </c>
      <c r="Y50" s="55" t="s">
        <v>97</v>
      </c>
      <c r="Z50" s="55" t="s">
        <v>78</v>
      </c>
      <c r="AA50" s="55" t="s">
        <v>88</v>
      </c>
      <c r="AB50" s="39" t="s">
        <v>340</v>
      </c>
      <c r="AC50" s="55"/>
      <c r="AD50" s="55"/>
    </row>
    <row r="51" spans="1:30" x14ac:dyDescent="0.15">
      <c r="A51" s="55" t="s">
        <v>41</v>
      </c>
      <c r="B51" s="237" t="s">
        <v>338</v>
      </c>
      <c r="C51" s="152">
        <v>2018</v>
      </c>
      <c r="D51" s="56" t="s">
        <v>345</v>
      </c>
      <c r="E51" s="237" t="s">
        <v>292</v>
      </c>
      <c r="F51" s="237" t="s">
        <v>296</v>
      </c>
      <c r="G51" s="55" t="s">
        <v>42</v>
      </c>
      <c r="H51" s="55" t="s">
        <v>166</v>
      </c>
      <c r="I51" s="55" t="s">
        <v>155</v>
      </c>
      <c r="J51" s="55" t="s">
        <v>38</v>
      </c>
      <c r="K51" s="55" t="s">
        <v>156</v>
      </c>
      <c r="L51" s="237">
        <v>2</v>
      </c>
      <c r="N51" s="55">
        <v>4</v>
      </c>
      <c r="O51" s="55">
        <v>0.65</v>
      </c>
      <c r="P51" s="55">
        <v>0.6</v>
      </c>
      <c r="Q51" s="57">
        <f t="shared" si="0"/>
        <v>0.625</v>
      </c>
      <c r="R51" s="237">
        <v>16.8</v>
      </c>
      <c r="S51" s="237">
        <v>119</v>
      </c>
      <c r="T51" s="57">
        <f t="shared" si="1"/>
        <v>30</v>
      </c>
      <c r="U51" s="237">
        <v>645</v>
      </c>
      <c r="V51" s="58">
        <f t="shared" si="2"/>
        <v>4837.5</v>
      </c>
      <c r="W51" s="237">
        <v>2</v>
      </c>
      <c r="X51" s="55" t="s">
        <v>46</v>
      </c>
      <c r="Y51" s="55" t="s">
        <v>97</v>
      </c>
      <c r="Z51" s="55" t="s">
        <v>78</v>
      </c>
      <c r="AA51" s="55" t="s">
        <v>88</v>
      </c>
      <c r="AB51" s="39" t="s">
        <v>340</v>
      </c>
      <c r="AC51" s="55"/>
      <c r="AD51" s="55"/>
    </row>
    <row r="52" spans="1:30" x14ac:dyDescent="0.15">
      <c r="A52" s="55" t="s">
        <v>41</v>
      </c>
      <c r="B52" s="237" t="s">
        <v>338</v>
      </c>
      <c r="C52" s="152">
        <v>2018</v>
      </c>
      <c r="D52" s="56" t="s">
        <v>345</v>
      </c>
      <c r="E52" s="237" t="s">
        <v>292</v>
      </c>
      <c r="F52" s="237" t="s">
        <v>296</v>
      </c>
      <c r="G52" s="55" t="s">
        <v>42</v>
      </c>
      <c r="H52" s="55" t="s">
        <v>166</v>
      </c>
      <c r="I52" s="55" t="s">
        <v>155</v>
      </c>
      <c r="J52" s="55" t="s">
        <v>38</v>
      </c>
      <c r="K52" s="55" t="s">
        <v>156</v>
      </c>
      <c r="L52" s="237">
        <v>3</v>
      </c>
      <c r="N52" s="55">
        <v>4</v>
      </c>
      <c r="O52" s="55">
        <v>0.5</v>
      </c>
      <c r="P52" s="55">
        <v>0.65</v>
      </c>
      <c r="Q52" s="57">
        <f t="shared" si="0"/>
        <v>0.57499999999999996</v>
      </c>
      <c r="R52" s="237">
        <v>15.1</v>
      </c>
      <c r="S52" s="237">
        <v>117</v>
      </c>
      <c r="T52" s="57">
        <f t="shared" si="1"/>
        <v>30</v>
      </c>
      <c r="U52" s="55">
        <v>645</v>
      </c>
      <c r="V52" s="58">
        <f t="shared" si="2"/>
        <v>4837.5</v>
      </c>
      <c r="W52" s="237">
        <v>2</v>
      </c>
      <c r="X52" s="55" t="s">
        <v>46</v>
      </c>
      <c r="Y52" s="55" t="s">
        <v>97</v>
      </c>
      <c r="Z52" s="55" t="s">
        <v>78</v>
      </c>
      <c r="AA52" s="55" t="s">
        <v>88</v>
      </c>
      <c r="AB52" s="39" t="s">
        <v>340</v>
      </c>
      <c r="AC52" s="55"/>
      <c r="AD52" s="55"/>
    </row>
    <row r="53" spans="1:30" x14ac:dyDescent="0.15">
      <c r="A53" s="55" t="s">
        <v>41</v>
      </c>
      <c r="B53" s="237" t="s">
        <v>338</v>
      </c>
      <c r="C53" s="152">
        <v>2018</v>
      </c>
      <c r="D53" s="56" t="s">
        <v>345</v>
      </c>
      <c r="E53" s="237" t="s">
        <v>292</v>
      </c>
      <c r="F53" s="237" t="s">
        <v>296</v>
      </c>
      <c r="G53" s="55" t="s">
        <v>42</v>
      </c>
      <c r="H53" s="55" t="s">
        <v>166</v>
      </c>
      <c r="I53" s="55" t="s">
        <v>155</v>
      </c>
      <c r="J53" s="55" t="s">
        <v>38</v>
      </c>
      <c r="K53" s="55" t="s">
        <v>156</v>
      </c>
      <c r="L53" s="237">
        <v>1</v>
      </c>
      <c r="N53" s="55">
        <v>8</v>
      </c>
      <c r="O53" s="55">
        <v>0.65</v>
      </c>
      <c r="P53" s="55">
        <v>0.8</v>
      </c>
      <c r="Q53" s="82">
        <f t="shared" si="0"/>
        <v>0.72500000000000009</v>
      </c>
      <c r="R53" s="55">
        <v>14.9</v>
      </c>
      <c r="S53" s="55">
        <v>109</v>
      </c>
      <c r="T53" s="57">
        <f t="shared" si="1"/>
        <v>33</v>
      </c>
      <c r="U53" s="237">
        <v>1058</v>
      </c>
      <c r="V53" s="58">
        <f t="shared" si="2"/>
        <v>4364.25</v>
      </c>
      <c r="W53" s="237">
        <v>1</v>
      </c>
      <c r="X53" s="55" t="s">
        <v>46</v>
      </c>
      <c r="Y53" s="55" t="s">
        <v>97</v>
      </c>
      <c r="Z53" s="55" t="s">
        <v>78</v>
      </c>
      <c r="AA53" s="55" t="s">
        <v>88</v>
      </c>
      <c r="AB53" s="39" t="s">
        <v>340</v>
      </c>
      <c r="AC53" s="55"/>
      <c r="AD53" s="55"/>
    </row>
    <row r="54" spans="1:30" x14ac:dyDescent="0.15">
      <c r="A54" s="55" t="s">
        <v>41</v>
      </c>
      <c r="B54" s="237" t="s">
        <v>338</v>
      </c>
      <c r="C54" s="152">
        <v>2018</v>
      </c>
      <c r="D54" s="56" t="s">
        <v>345</v>
      </c>
      <c r="E54" s="237" t="s">
        <v>292</v>
      </c>
      <c r="F54" s="237" t="s">
        <v>296</v>
      </c>
      <c r="G54" s="55" t="s">
        <v>42</v>
      </c>
      <c r="H54" s="55" t="s">
        <v>166</v>
      </c>
      <c r="I54" s="55" t="s">
        <v>155</v>
      </c>
      <c r="J54" s="55" t="s">
        <v>38</v>
      </c>
      <c r="K54" s="55" t="s">
        <v>156</v>
      </c>
      <c r="L54" s="237">
        <v>2</v>
      </c>
      <c r="N54" s="55">
        <v>8</v>
      </c>
      <c r="O54" s="55">
        <v>0.5</v>
      </c>
      <c r="P54" s="55">
        <v>0.75</v>
      </c>
      <c r="Q54" s="82">
        <f t="shared" si="0"/>
        <v>0.625</v>
      </c>
      <c r="R54" s="55">
        <v>14.7</v>
      </c>
      <c r="S54" s="55">
        <v>109</v>
      </c>
      <c r="T54" s="57">
        <f t="shared" si="1"/>
        <v>33</v>
      </c>
      <c r="U54" s="237">
        <v>1058</v>
      </c>
      <c r="V54" s="58">
        <f t="shared" si="2"/>
        <v>4364.25</v>
      </c>
      <c r="W54" s="237">
        <v>1</v>
      </c>
      <c r="X54" s="55" t="s">
        <v>46</v>
      </c>
      <c r="Y54" s="55" t="s">
        <v>97</v>
      </c>
      <c r="Z54" s="55" t="s">
        <v>78</v>
      </c>
      <c r="AA54" s="55" t="s">
        <v>88</v>
      </c>
      <c r="AB54" s="39" t="s">
        <v>340</v>
      </c>
      <c r="AC54" s="55"/>
      <c r="AD54" s="55"/>
    </row>
    <row r="55" spans="1:30" x14ac:dyDescent="0.15">
      <c r="A55" s="55" t="s">
        <v>41</v>
      </c>
      <c r="B55" s="237" t="s">
        <v>338</v>
      </c>
      <c r="C55" s="152">
        <v>2018</v>
      </c>
      <c r="D55" s="56" t="s">
        <v>345</v>
      </c>
      <c r="E55" s="237" t="s">
        <v>292</v>
      </c>
      <c r="F55" s="237" t="s">
        <v>296</v>
      </c>
      <c r="G55" s="55" t="s">
        <v>42</v>
      </c>
      <c r="H55" s="55" t="s">
        <v>166</v>
      </c>
      <c r="I55" s="55" t="s">
        <v>155</v>
      </c>
      <c r="J55" s="55" t="s">
        <v>38</v>
      </c>
      <c r="K55" s="55" t="s">
        <v>156</v>
      </c>
      <c r="L55" s="237">
        <v>3</v>
      </c>
      <c r="N55" s="55">
        <v>8</v>
      </c>
      <c r="O55" s="55">
        <v>0.85</v>
      </c>
      <c r="P55" s="55">
        <v>0.7</v>
      </c>
      <c r="Q55" s="82">
        <f t="shared" si="0"/>
        <v>0.77499999999999991</v>
      </c>
      <c r="R55" s="55">
        <v>16.600000000000001</v>
      </c>
      <c r="S55" s="55">
        <v>104</v>
      </c>
      <c r="T55" s="57">
        <f t="shared" si="1"/>
        <v>33</v>
      </c>
      <c r="U55" s="55">
        <v>1058</v>
      </c>
      <c r="V55" s="58">
        <f t="shared" si="2"/>
        <v>4364.25</v>
      </c>
      <c r="W55" s="237">
        <v>1</v>
      </c>
      <c r="X55" s="55" t="s">
        <v>46</v>
      </c>
      <c r="Y55" s="55" t="s">
        <v>97</v>
      </c>
      <c r="Z55" s="55" t="s">
        <v>78</v>
      </c>
      <c r="AA55" s="55" t="s">
        <v>88</v>
      </c>
      <c r="AB55" s="39" t="s">
        <v>340</v>
      </c>
      <c r="AC55" s="55"/>
      <c r="AD55" s="55"/>
    </row>
    <row r="56" spans="1:30" x14ac:dyDescent="0.15">
      <c r="A56" s="55" t="s">
        <v>41</v>
      </c>
      <c r="B56" s="237" t="s">
        <v>338</v>
      </c>
      <c r="C56" s="152">
        <v>2018</v>
      </c>
      <c r="D56" s="56" t="s">
        <v>345</v>
      </c>
      <c r="E56" s="237" t="s">
        <v>292</v>
      </c>
      <c r="F56" s="237" t="s">
        <v>296</v>
      </c>
      <c r="G56" s="55" t="s">
        <v>42</v>
      </c>
      <c r="H56" s="55" t="s">
        <v>157</v>
      </c>
      <c r="I56" s="55" t="s">
        <v>155</v>
      </c>
      <c r="J56" s="55" t="s">
        <v>38</v>
      </c>
      <c r="K56" s="55" t="s">
        <v>156</v>
      </c>
      <c r="L56" s="237">
        <v>1</v>
      </c>
      <c r="N56" s="237">
        <v>4</v>
      </c>
      <c r="O56" s="237">
        <v>0.95</v>
      </c>
      <c r="P56" s="237">
        <v>0.8</v>
      </c>
      <c r="Q56" s="57">
        <f t="shared" si="0"/>
        <v>0.875</v>
      </c>
      <c r="R56" s="237">
        <v>13.7</v>
      </c>
      <c r="S56" s="237">
        <v>118</v>
      </c>
      <c r="T56" s="57">
        <f t="shared" si="1"/>
        <v>30</v>
      </c>
      <c r="U56" s="237">
        <v>429</v>
      </c>
      <c r="V56" s="58">
        <f t="shared" si="2"/>
        <v>3217.5</v>
      </c>
      <c r="W56" s="237">
        <v>2</v>
      </c>
      <c r="X56" s="55" t="s">
        <v>46</v>
      </c>
      <c r="Y56" s="55" t="s">
        <v>97</v>
      </c>
      <c r="Z56" s="55" t="s">
        <v>78</v>
      </c>
      <c r="AA56" s="55" t="s">
        <v>88</v>
      </c>
      <c r="AB56" s="39" t="s">
        <v>340</v>
      </c>
    </row>
    <row r="57" spans="1:30" x14ac:dyDescent="0.15">
      <c r="A57" s="55" t="s">
        <v>41</v>
      </c>
      <c r="B57" s="237" t="s">
        <v>338</v>
      </c>
      <c r="C57" s="152">
        <v>2018</v>
      </c>
      <c r="D57" s="56" t="s">
        <v>345</v>
      </c>
      <c r="E57" s="237" t="s">
        <v>292</v>
      </c>
      <c r="F57" s="237" t="s">
        <v>296</v>
      </c>
      <c r="G57" s="55" t="s">
        <v>42</v>
      </c>
      <c r="H57" s="55" t="s">
        <v>157</v>
      </c>
      <c r="I57" s="55" t="s">
        <v>155</v>
      </c>
      <c r="J57" s="55" t="s">
        <v>38</v>
      </c>
      <c r="K57" s="55" t="s">
        <v>156</v>
      </c>
      <c r="L57" s="237">
        <v>2</v>
      </c>
      <c r="N57" s="237">
        <v>4</v>
      </c>
      <c r="O57" s="237">
        <v>0.8</v>
      </c>
      <c r="P57" s="237">
        <v>0.55000000000000004</v>
      </c>
      <c r="Q57" s="57">
        <f t="shared" si="0"/>
        <v>0.67500000000000004</v>
      </c>
      <c r="R57" s="237">
        <v>14.4</v>
      </c>
      <c r="S57" s="237">
        <v>115</v>
      </c>
      <c r="T57" s="57">
        <f t="shared" si="1"/>
        <v>30</v>
      </c>
      <c r="U57" s="237">
        <v>429</v>
      </c>
      <c r="V57" s="58">
        <f t="shared" si="2"/>
        <v>3217.5</v>
      </c>
      <c r="W57" s="237">
        <v>2</v>
      </c>
      <c r="X57" s="55" t="s">
        <v>46</v>
      </c>
      <c r="Y57" s="55" t="s">
        <v>97</v>
      </c>
      <c r="Z57" s="55" t="s">
        <v>78</v>
      </c>
      <c r="AA57" s="55" t="s">
        <v>88</v>
      </c>
      <c r="AB57" s="39" t="s">
        <v>340</v>
      </c>
    </row>
    <row r="58" spans="1:30" x14ac:dyDescent="0.15">
      <c r="A58" s="55" t="s">
        <v>41</v>
      </c>
      <c r="B58" s="237" t="s">
        <v>338</v>
      </c>
      <c r="C58" s="152">
        <v>2018</v>
      </c>
      <c r="D58" s="56" t="s">
        <v>345</v>
      </c>
      <c r="E58" s="237" t="s">
        <v>292</v>
      </c>
      <c r="F58" s="237" t="s">
        <v>296</v>
      </c>
      <c r="G58" s="55" t="s">
        <v>42</v>
      </c>
      <c r="H58" s="55" t="s">
        <v>157</v>
      </c>
      <c r="I58" s="55" t="s">
        <v>155</v>
      </c>
      <c r="J58" s="55" t="s">
        <v>38</v>
      </c>
      <c r="K58" s="55" t="s">
        <v>156</v>
      </c>
      <c r="L58" s="237">
        <v>3</v>
      </c>
      <c r="N58" s="237">
        <v>4</v>
      </c>
      <c r="O58" s="237">
        <v>0.6</v>
      </c>
      <c r="P58" s="237">
        <v>0.65</v>
      </c>
      <c r="Q58" s="57">
        <f t="shared" si="0"/>
        <v>0.625</v>
      </c>
      <c r="R58" s="237">
        <v>12.4</v>
      </c>
      <c r="S58" s="237">
        <v>115</v>
      </c>
      <c r="T58" s="57">
        <f t="shared" si="1"/>
        <v>30</v>
      </c>
      <c r="U58" s="237">
        <v>429</v>
      </c>
      <c r="V58" s="58">
        <f t="shared" si="2"/>
        <v>3217.5</v>
      </c>
      <c r="W58" s="237">
        <v>2</v>
      </c>
      <c r="X58" s="55" t="s">
        <v>46</v>
      </c>
      <c r="Y58" s="55" t="s">
        <v>97</v>
      </c>
      <c r="Z58" s="55" t="s">
        <v>78</v>
      </c>
      <c r="AA58" s="55" t="s">
        <v>88</v>
      </c>
      <c r="AB58" s="39" t="s">
        <v>340</v>
      </c>
    </row>
    <row r="59" spans="1:30" x14ac:dyDescent="0.15">
      <c r="A59" s="55" t="s">
        <v>41</v>
      </c>
      <c r="B59" s="237" t="s">
        <v>338</v>
      </c>
      <c r="C59" s="152">
        <v>2018</v>
      </c>
      <c r="D59" s="56" t="s">
        <v>345</v>
      </c>
      <c r="E59" s="237" t="s">
        <v>292</v>
      </c>
      <c r="F59" s="237" t="s">
        <v>298</v>
      </c>
      <c r="G59" s="55" t="s">
        <v>42</v>
      </c>
      <c r="H59" s="55" t="s">
        <v>157</v>
      </c>
      <c r="I59" s="55" t="s">
        <v>155</v>
      </c>
      <c r="J59" s="55" t="s">
        <v>38</v>
      </c>
      <c r="K59" s="55" t="s">
        <v>156</v>
      </c>
      <c r="L59" s="237">
        <v>1</v>
      </c>
      <c r="N59" s="55">
        <v>1</v>
      </c>
      <c r="O59" s="237">
        <v>0.85</v>
      </c>
      <c r="P59" s="237">
        <v>0.75</v>
      </c>
      <c r="Q59" s="57">
        <f t="shared" si="0"/>
        <v>0.8</v>
      </c>
      <c r="R59" s="237">
        <v>15.8</v>
      </c>
      <c r="S59" s="237">
        <v>124</v>
      </c>
      <c r="T59" s="57">
        <f t="shared" si="1"/>
        <v>27</v>
      </c>
      <c r="U59" s="237">
        <v>108</v>
      </c>
      <c r="V59" s="58">
        <f t="shared" si="2"/>
        <v>2916</v>
      </c>
      <c r="W59" s="237">
        <v>1</v>
      </c>
      <c r="X59" s="55" t="s">
        <v>46</v>
      </c>
      <c r="Y59" s="55" t="s">
        <v>78</v>
      </c>
      <c r="Z59" s="55" t="s">
        <v>97</v>
      </c>
      <c r="AA59" s="55" t="s">
        <v>69</v>
      </c>
      <c r="AB59" s="39" t="s">
        <v>340</v>
      </c>
    </row>
    <row r="60" spans="1:30" x14ac:dyDescent="0.15">
      <c r="A60" s="55" t="s">
        <v>41</v>
      </c>
      <c r="B60" s="237" t="s">
        <v>338</v>
      </c>
      <c r="C60" s="152">
        <v>2018</v>
      </c>
      <c r="D60" s="56" t="s">
        <v>345</v>
      </c>
      <c r="E60" s="237" t="s">
        <v>292</v>
      </c>
      <c r="F60" s="237" t="s">
        <v>298</v>
      </c>
      <c r="G60" s="55" t="s">
        <v>42</v>
      </c>
      <c r="H60" s="55" t="s">
        <v>157</v>
      </c>
      <c r="I60" s="55" t="s">
        <v>155</v>
      </c>
      <c r="J60" s="55" t="s">
        <v>38</v>
      </c>
      <c r="K60" s="55" t="s">
        <v>156</v>
      </c>
      <c r="L60" s="237">
        <v>2</v>
      </c>
      <c r="N60" s="55">
        <v>1</v>
      </c>
      <c r="O60" s="237">
        <v>0.65</v>
      </c>
      <c r="P60" s="237">
        <v>0.8</v>
      </c>
      <c r="Q60" s="57">
        <f t="shared" si="0"/>
        <v>0.72500000000000009</v>
      </c>
      <c r="R60" s="237">
        <v>13.5</v>
      </c>
      <c r="S60" s="237">
        <v>119</v>
      </c>
      <c r="T60" s="57">
        <f t="shared" si="1"/>
        <v>30</v>
      </c>
      <c r="U60" s="237">
        <v>108</v>
      </c>
      <c r="V60" s="58">
        <f t="shared" si="2"/>
        <v>3240</v>
      </c>
      <c r="W60" s="237">
        <v>1</v>
      </c>
      <c r="X60" s="55" t="s">
        <v>46</v>
      </c>
      <c r="Y60" s="55" t="s">
        <v>78</v>
      </c>
      <c r="Z60" s="55" t="s">
        <v>97</v>
      </c>
      <c r="AA60" s="55" t="s">
        <v>69</v>
      </c>
      <c r="AB60" s="39" t="s">
        <v>340</v>
      </c>
    </row>
    <row r="61" spans="1:30" x14ac:dyDescent="0.15">
      <c r="A61" s="55" t="s">
        <v>41</v>
      </c>
      <c r="B61" s="237" t="s">
        <v>338</v>
      </c>
      <c r="C61" s="152">
        <v>2018</v>
      </c>
      <c r="D61" s="56" t="s">
        <v>345</v>
      </c>
      <c r="E61" s="237" t="s">
        <v>292</v>
      </c>
      <c r="F61" s="237" t="s">
        <v>298</v>
      </c>
      <c r="G61" s="55" t="s">
        <v>42</v>
      </c>
      <c r="H61" s="55" t="s">
        <v>157</v>
      </c>
      <c r="I61" s="55" t="s">
        <v>155</v>
      </c>
      <c r="J61" s="55" t="s">
        <v>38</v>
      </c>
      <c r="K61" s="55" t="s">
        <v>156</v>
      </c>
      <c r="L61" s="237">
        <v>3</v>
      </c>
      <c r="N61" s="55">
        <v>1</v>
      </c>
      <c r="O61" s="237">
        <v>0.6</v>
      </c>
      <c r="P61" s="237">
        <v>0.8</v>
      </c>
      <c r="Q61" s="57">
        <f t="shared" si="0"/>
        <v>0.7</v>
      </c>
      <c r="R61" s="237">
        <v>14.8</v>
      </c>
      <c r="S61" s="237">
        <v>123</v>
      </c>
      <c r="T61" s="57">
        <f t="shared" si="1"/>
        <v>27</v>
      </c>
      <c r="U61" s="55">
        <v>108</v>
      </c>
      <c r="V61" s="58">
        <f t="shared" si="2"/>
        <v>2916</v>
      </c>
      <c r="W61" s="237">
        <v>1</v>
      </c>
      <c r="X61" s="55" t="s">
        <v>46</v>
      </c>
      <c r="Y61" s="55" t="s">
        <v>78</v>
      </c>
      <c r="Z61" s="55" t="s">
        <v>97</v>
      </c>
      <c r="AA61" s="55" t="s">
        <v>69</v>
      </c>
      <c r="AB61" s="39" t="s">
        <v>340</v>
      </c>
    </row>
    <row r="62" spans="1:30" x14ac:dyDescent="0.15">
      <c r="A62" s="55" t="s">
        <v>41</v>
      </c>
      <c r="B62" s="237" t="s">
        <v>338</v>
      </c>
      <c r="C62" s="152">
        <v>2018</v>
      </c>
      <c r="D62" s="56" t="s">
        <v>345</v>
      </c>
      <c r="E62" s="237" t="s">
        <v>292</v>
      </c>
      <c r="F62" s="237" t="s">
        <v>298</v>
      </c>
      <c r="G62" s="55" t="s">
        <v>42</v>
      </c>
      <c r="H62" s="55" t="s">
        <v>166</v>
      </c>
      <c r="I62" s="55" t="s">
        <v>155</v>
      </c>
      <c r="J62" s="55" t="s">
        <v>38</v>
      </c>
      <c r="K62" s="55" t="s">
        <v>156</v>
      </c>
      <c r="L62" s="237">
        <v>1</v>
      </c>
      <c r="N62" s="55">
        <v>1</v>
      </c>
      <c r="O62" s="55">
        <v>0.4</v>
      </c>
      <c r="P62" s="55">
        <v>0.4</v>
      </c>
      <c r="Q62" s="259">
        <f t="shared" si="0"/>
        <v>0.4</v>
      </c>
      <c r="R62" s="55">
        <v>16.8</v>
      </c>
      <c r="S62" s="55">
        <v>129</v>
      </c>
      <c r="T62" s="57">
        <f t="shared" si="1"/>
        <v>25</v>
      </c>
      <c r="U62" s="237">
        <v>159</v>
      </c>
      <c r="V62" s="58">
        <f t="shared" si="2"/>
        <v>3975</v>
      </c>
      <c r="W62" s="237">
        <v>1</v>
      </c>
      <c r="X62" s="55" t="s">
        <v>46</v>
      </c>
      <c r="Y62" s="55" t="s">
        <v>78</v>
      </c>
      <c r="Z62" s="55" t="s">
        <v>97</v>
      </c>
      <c r="AA62" s="55" t="s">
        <v>69</v>
      </c>
      <c r="AB62" s="39" t="s">
        <v>340</v>
      </c>
      <c r="AC62" s="55"/>
      <c r="AD62" s="55"/>
    </row>
    <row r="63" spans="1:30" x14ac:dyDescent="0.15">
      <c r="A63" s="55" t="s">
        <v>41</v>
      </c>
      <c r="B63" s="237" t="s">
        <v>338</v>
      </c>
      <c r="C63" s="152">
        <v>2018</v>
      </c>
      <c r="D63" s="56" t="s">
        <v>345</v>
      </c>
      <c r="E63" s="237" t="s">
        <v>292</v>
      </c>
      <c r="F63" s="237" t="s">
        <v>298</v>
      </c>
      <c r="G63" s="55" t="s">
        <v>42</v>
      </c>
      <c r="H63" s="55" t="s">
        <v>166</v>
      </c>
      <c r="I63" s="55" t="s">
        <v>155</v>
      </c>
      <c r="J63" s="55" t="s">
        <v>38</v>
      </c>
      <c r="K63" s="55" t="s">
        <v>156</v>
      </c>
      <c r="L63" s="237">
        <v>2</v>
      </c>
      <c r="N63" s="55">
        <v>1</v>
      </c>
      <c r="O63" s="55">
        <v>0.4</v>
      </c>
      <c r="P63" s="55">
        <v>0.5</v>
      </c>
      <c r="Q63" s="57">
        <f t="shared" si="0"/>
        <v>0.45</v>
      </c>
      <c r="R63" s="55">
        <v>17.399999999999999</v>
      </c>
      <c r="S63" s="55">
        <v>124</v>
      </c>
      <c r="T63" s="57">
        <f t="shared" si="1"/>
        <v>27</v>
      </c>
      <c r="U63" s="237">
        <v>159</v>
      </c>
      <c r="V63" s="58">
        <f t="shared" si="2"/>
        <v>4293</v>
      </c>
      <c r="W63" s="237">
        <v>1</v>
      </c>
      <c r="X63" s="55" t="s">
        <v>46</v>
      </c>
      <c r="Y63" s="55" t="s">
        <v>78</v>
      </c>
      <c r="Z63" s="55" t="s">
        <v>97</v>
      </c>
      <c r="AA63" s="55" t="s">
        <v>69</v>
      </c>
      <c r="AB63" s="39" t="s">
        <v>340</v>
      </c>
      <c r="AC63" s="55"/>
      <c r="AD63" s="55"/>
    </row>
    <row r="64" spans="1:30" x14ac:dyDescent="0.15">
      <c r="A64" s="55" t="s">
        <v>41</v>
      </c>
      <c r="B64" s="237" t="s">
        <v>338</v>
      </c>
      <c r="C64" s="152">
        <v>2018</v>
      </c>
      <c r="D64" s="56" t="s">
        <v>345</v>
      </c>
      <c r="E64" s="237" t="s">
        <v>292</v>
      </c>
      <c r="F64" s="237" t="s">
        <v>298</v>
      </c>
      <c r="G64" s="55" t="s">
        <v>42</v>
      </c>
      <c r="H64" s="55" t="s">
        <v>166</v>
      </c>
      <c r="I64" s="55" t="s">
        <v>155</v>
      </c>
      <c r="J64" s="55" t="s">
        <v>38</v>
      </c>
      <c r="K64" s="55" t="s">
        <v>156</v>
      </c>
      <c r="L64" s="237">
        <v>3</v>
      </c>
      <c r="N64" s="55">
        <v>1</v>
      </c>
      <c r="O64" s="55">
        <v>0.25</v>
      </c>
      <c r="P64" s="55">
        <v>0.3</v>
      </c>
      <c r="Q64" s="57">
        <f t="shared" si="0"/>
        <v>0.27500000000000002</v>
      </c>
      <c r="R64" s="55">
        <v>15</v>
      </c>
      <c r="S64" s="55">
        <v>125</v>
      </c>
      <c r="T64" s="57">
        <f t="shared" si="1"/>
        <v>27</v>
      </c>
      <c r="U64" s="55">
        <v>159</v>
      </c>
      <c r="V64" s="58">
        <f t="shared" si="2"/>
        <v>4293</v>
      </c>
      <c r="W64" s="237">
        <v>1</v>
      </c>
      <c r="X64" s="55" t="s">
        <v>46</v>
      </c>
      <c r="Y64" s="55" t="s">
        <v>78</v>
      </c>
      <c r="Z64" s="55" t="s">
        <v>97</v>
      </c>
      <c r="AA64" s="55" t="s">
        <v>69</v>
      </c>
      <c r="AB64" s="39" t="s">
        <v>340</v>
      </c>
      <c r="AC64" s="55"/>
      <c r="AD64" s="55"/>
    </row>
    <row r="65" spans="1:30" x14ac:dyDescent="0.15">
      <c r="A65" s="55" t="s">
        <v>41</v>
      </c>
      <c r="B65" s="237" t="s">
        <v>338</v>
      </c>
      <c r="C65" s="152">
        <v>2018</v>
      </c>
      <c r="D65" s="56" t="s">
        <v>345</v>
      </c>
      <c r="E65" s="237" t="s">
        <v>292</v>
      </c>
      <c r="F65" s="237" t="s">
        <v>298</v>
      </c>
      <c r="G65" s="55" t="s">
        <v>42</v>
      </c>
      <c r="H65" s="55" t="s">
        <v>166</v>
      </c>
      <c r="I65" s="55" t="s">
        <v>155</v>
      </c>
      <c r="J65" s="55" t="s">
        <v>38</v>
      </c>
      <c r="K65" s="55" t="s">
        <v>156</v>
      </c>
      <c r="L65" s="237">
        <v>1</v>
      </c>
      <c r="N65" s="237">
        <v>8</v>
      </c>
      <c r="O65" s="55">
        <v>0.3</v>
      </c>
      <c r="P65" s="55">
        <v>0.4</v>
      </c>
      <c r="Q65" s="57">
        <f t="shared" si="0"/>
        <v>0.35</v>
      </c>
      <c r="R65" s="55">
        <v>13.9</v>
      </c>
      <c r="S65" s="55">
        <v>115</v>
      </c>
      <c r="T65" s="57">
        <f t="shared" si="1"/>
        <v>30</v>
      </c>
      <c r="U65" s="237">
        <v>1058</v>
      </c>
      <c r="V65" s="58">
        <f t="shared" si="2"/>
        <v>3967.5</v>
      </c>
      <c r="W65" s="237">
        <v>1</v>
      </c>
      <c r="X65" s="55" t="s">
        <v>46</v>
      </c>
      <c r="Y65" s="55" t="s">
        <v>78</v>
      </c>
      <c r="Z65" s="55" t="s">
        <v>97</v>
      </c>
      <c r="AA65" s="55" t="s">
        <v>69</v>
      </c>
      <c r="AB65" s="39" t="s">
        <v>340</v>
      </c>
    </row>
    <row r="66" spans="1:30" x14ac:dyDescent="0.15">
      <c r="A66" s="55" t="s">
        <v>41</v>
      </c>
      <c r="B66" s="237" t="s">
        <v>338</v>
      </c>
      <c r="C66" s="152">
        <v>2018</v>
      </c>
      <c r="D66" s="56" t="s">
        <v>345</v>
      </c>
      <c r="E66" s="237" t="s">
        <v>292</v>
      </c>
      <c r="F66" s="237" t="s">
        <v>298</v>
      </c>
      <c r="G66" s="55" t="s">
        <v>42</v>
      </c>
      <c r="H66" s="55" t="s">
        <v>166</v>
      </c>
      <c r="I66" s="55" t="s">
        <v>155</v>
      </c>
      <c r="J66" s="55" t="s">
        <v>38</v>
      </c>
      <c r="K66" s="55" t="s">
        <v>156</v>
      </c>
      <c r="L66" s="237">
        <v>2</v>
      </c>
      <c r="N66" s="237">
        <v>8</v>
      </c>
      <c r="O66" s="55">
        <v>0.4</v>
      </c>
      <c r="P66" s="55">
        <v>0.4</v>
      </c>
      <c r="Q66" s="82">
        <f t="shared" ref="Q66:Q124" si="3">IF(OR(O66="",P66=""),"",AVERAGE(O66,P66))</f>
        <v>0.4</v>
      </c>
      <c r="R66" s="55">
        <v>12.4</v>
      </c>
      <c r="S66" s="55">
        <v>110</v>
      </c>
      <c r="T66" s="57">
        <f t="shared" ref="T66:T126" si="4">IF(H66="","",IF(OR(H66="GREEN",H66="GK"),IF(S66&gt;=$AX$2,VLOOKUP(S66,$AX$2:$AY$10,2,1),""),IF(S66&gt;=$AZ$2,VLOOKUP(S66,$AZ$2:$BA$10,2,1),"")))</f>
        <v>33</v>
      </c>
      <c r="U66" s="237">
        <v>1058</v>
      </c>
      <c r="V66" s="58">
        <f t="shared" ref="V66:V126" si="5">IF(OR(N66="",U66="",T66=""),"",U66/N66*T66)</f>
        <v>4364.25</v>
      </c>
      <c r="W66" s="237">
        <v>1</v>
      </c>
      <c r="X66" s="55" t="s">
        <v>46</v>
      </c>
      <c r="Y66" s="55" t="s">
        <v>78</v>
      </c>
      <c r="Z66" s="55" t="s">
        <v>97</v>
      </c>
      <c r="AA66" s="55" t="s">
        <v>69</v>
      </c>
      <c r="AB66" s="39" t="s">
        <v>340</v>
      </c>
    </row>
    <row r="67" spans="1:30" x14ac:dyDescent="0.15">
      <c r="A67" s="55" t="s">
        <v>41</v>
      </c>
      <c r="B67" s="237" t="s">
        <v>338</v>
      </c>
      <c r="C67" s="152">
        <v>2018</v>
      </c>
      <c r="D67" s="56" t="s">
        <v>345</v>
      </c>
      <c r="E67" s="237" t="s">
        <v>292</v>
      </c>
      <c r="F67" s="237" t="s">
        <v>298</v>
      </c>
      <c r="G67" s="55" t="s">
        <v>42</v>
      </c>
      <c r="H67" s="55" t="s">
        <v>166</v>
      </c>
      <c r="I67" s="55" t="s">
        <v>155</v>
      </c>
      <c r="J67" s="55" t="s">
        <v>38</v>
      </c>
      <c r="K67" s="55" t="s">
        <v>156</v>
      </c>
      <c r="L67" s="237">
        <v>3</v>
      </c>
      <c r="N67" s="237">
        <v>8</v>
      </c>
      <c r="O67" s="55">
        <v>0.5</v>
      </c>
      <c r="P67" s="55">
        <v>0.35</v>
      </c>
      <c r="Q67" s="82">
        <f t="shared" si="3"/>
        <v>0.42499999999999999</v>
      </c>
      <c r="R67" s="55">
        <v>15.5</v>
      </c>
      <c r="S67" s="55">
        <v>117</v>
      </c>
      <c r="T67" s="57">
        <f t="shared" si="4"/>
        <v>30</v>
      </c>
      <c r="U67" s="237">
        <v>1058</v>
      </c>
      <c r="V67" s="58">
        <f t="shared" si="5"/>
        <v>3967.5</v>
      </c>
      <c r="W67" s="237">
        <v>1</v>
      </c>
      <c r="X67" s="55" t="s">
        <v>46</v>
      </c>
      <c r="Y67" s="55" t="s">
        <v>78</v>
      </c>
      <c r="Z67" s="55" t="s">
        <v>97</v>
      </c>
      <c r="AA67" s="55" t="s">
        <v>69</v>
      </c>
      <c r="AB67" s="39" t="s">
        <v>340</v>
      </c>
    </row>
    <row r="68" spans="1:30" x14ac:dyDescent="0.15">
      <c r="A68" s="55" t="s">
        <v>41</v>
      </c>
      <c r="B68" s="237" t="s">
        <v>338</v>
      </c>
      <c r="C68" s="152">
        <v>2018</v>
      </c>
      <c r="D68" s="56" t="s">
        <v>345</v>
      </c>
      <c r="E68" s="237" t="s">
        <v>292</v>
      </c>
      <c r="F68" s="237" t="s">
        <v>298</v>
      </c>
      <c r="G68" s="55" t="s">
        <v>42</v>
      </c>
      <c r="H68" s="55" t="s">
        <v>157</v>
      </c>
      <c r="I68" s="55" t="s">
        <v>155</v>
      </c>
      <c r="J68" s="55" t="s">
        <v>38</v>
      </c>
      <c r="K68" s="55" t="s">
        <v>156</v>
      </c>
      <c r="L68" s="237">
        <v>1</v>
      </c>
      <c r="N68" s="55">
        <v>4</v>
      </c>
      <c r="O68" s="237">
        <v>0.45</v>
      </c>
      <c r="P68" s="237">
        <v>0.6</v>
      </c>
      <c r="Q68" s="57">
        <f t="shared" si="3"/>
        <v>0.52500000000000002</v>
      </c>
      <c r="R68" s="237">
        <v>15.1</v>
      </c>
      <c r="S68" s="237">
        <v>121</v>
      </c>
      <c r="T68" s="57">
        <f t="shared" si="4"/>
        <v>27</v>
      </c>
      <c r="U68" s="237">
        <v>429</v>
      </c>
      <c r="V68" s="58">
        <f t="shared" si="5"/>
        <v>2895.75</v>
      </c>
      <c r="W68" s="237">
        <v>2</v>
      </c>
      <c r="X68" s="55" t="s">
        <v>46</v>
      </c>
      <c r="Y68" s="55" t="s">
        <v>78</v>
      </c>
      <c r="Z68" s="55" t="s">
        <v>97</v>
      </c>
      <c r="AA68" s="55" t="s">
        <v>69</v>
      </c>
      <c r="AB68" s="39" t="s">
        <v>340</v>
      </c>
      <c r="AC68" s="55"/>
      <c r="AD68" s="55"/>
    </row>
    <row r="69" spans="1:30" x14ac:dyDescent="0.15">
      <c r="A69" s="55" t="s">
        <v>41</v>
      </c>
      <c r="B69" s="237" t="s">
        <v>338</v>
      </c>
      <c r="C69" s="152">
        <v>2018</v>
      </c>
      <c r="D69" s="56" t="s">
        <v>345</v>
      </c>
      <c r="E69" s="237" t="s">
        <v>292</v>
      </c>
      <c r="F69" s="237" t="s">
        <v>298</v>
      </c>
      <c r="G69" s="55" t="s">
        <v>42</v>
      </c>
      <c r="H69" s="55" t="s">
        <v>157</v>
      </c>
      <c r="I69" s="55" t="s">
        <v>155</v>
      </c>
      <c r="J69" s="55" t="s">
        <v>38</v>
      </c>
      <c r="K69" s="55" t="s">
        <v>156</v>
      </c>
      <c r="L69" s="237">
        <v>2</v>
      </c>
      <c r="N69" s="55">
        <v>4</v>
      </c>
      <c r="O69" s="237">
        <v>0.6</v>
      </c>
      <c r="P69" s="237">
        <v>0.75</v>
      </c>
      <c r="Q69" s="57">
        <f t="shared" si="3"/>
        <v>0.67500000000000004</v>
      </c>
      <c r="R69" s="237">
        <v>15.3</v>
      </c>
      <c r="S69" s="237">
        <v>119</v>
      </c>
      <c r="T69" s="57">
        <f t="shared" si="4"/>
        <v>30</v>
      </c>
      <c r="U69" s="237">
        <v>429</v>
      </c>
      <c r="V69" s="58">
        <f t="shared" si="5"/>
        <v>3217.5</v>
      </c>
      <c r="W69" s="237">
        <v>2</v>
      </c>
      <c r="X69" s="55" t="s">
        <v>46</v>
      </c>
      <c r="Y69" s="55" t="s">
        <v>78</v>
      </c>
      <c r="Z69" s="55" t="s">
        <v>97</v>
      </c>
      <c r="AA69" s="55" t="s">
        <v>69</v>
      </c>
      <c r="AB69" s="39" t="s">
        <v>340</v>
      </c>
      <c r="AC69" s="55"/>
      <c r="AD69" s="55"/>
    </row>
    <row r="70" spans="1:30" x14ac:dyDescent="0.15">
      <c r="A70" s="55" t="s">
        <v>41</v>
      </c>
      <c r="B70" s="237" t="s">
        <v>338</v>
      </c>
      <c r="C70" s="152">
        <v>2018</v>
      </c>
      <c r="D70" s="56" t="s">
        <v>345</v>
      </c>
      <c r="E70" s="237" t="s">
        <v>292</v>
      </c>
      <c r="F70" s="237" t="s">
        <v>298</v>
      </c>
      <c r="G70" s="55" t="s">
        <v>42</v>
      </c>
      <c r="H70" s="55" t="s">
        <v>157</v>
      </c>
      <c r="I70" s="55" t="s">
        <v>155</v>
      </c>
      <c r="J70" s="55" t="s">
        <v>38</v>
      </c>
      <c r="K70" s="55" t="s">
        <v>156</v>
      </c>
      <c r="L70" s="237">
        <v>3</v>
      </c>
      <c r="N70" s="55">
        <v>4</v>
      </c>
      <c r="O70" s="237">
        <v>0.7</v>
      </c>
      <c r="P70" s="237">
        <v>0.7</v>
      </c>
      <c r="Q70" s="57">
        <f t="shared" si="3"/>
        <v>0.7</v>
      </c>
      <c r="R70" s="237">
        <v>16.600000000000001</v>
      </c>
      <c r="S70" s="237">
        <v>118</v>
      </c>
      <c r="T70" s="57">
        <f t="shared" si="4"/>
        <v>30</v>
      </c>
      <c r="U70" s="55">
        <v>429</v>
      </c>
      <c r="V70" s="58">
        <f t="shared" si="5"/>
        <v>3217.5</v>
      </c>
      <c r="W70" s="237">
        <v>2</v>
      </c>
      <c r="X70" s="55" t="s">
        <v>46</v>
      </c>
      <c r="Y70" s="55" t="s">
        <v>78</v>
      </c>
      <c r="Z70" s="55" t="s">
        <v>97</v>
      </c>
      <c r="AA70" s="55" t="s">
        <v>69</v>
      </c>
      <c r="AB70" s="39" t="s">
        <v>340</v>
      </c>
      <c r="AC70" s="55"/>
      <c r="AD70" s="55"/>
    </row>
    <row r="71" spans="1:30" x14ac:dyDescent="0.15">
      <c r="A71" s="55" t="s">
        <v>41</v>
      </c>
      <c r="B71" s="237" t="s">
        <v>338</v>
      </c>
      <c r="C71" s="152">
        <v>2018</v>
      </c>
      <c r="D71" s="56" t="s">
        <v>345</v>
      </c>
      <c r="E71" s="237" t="s">
        <v>292</v>
      </c>
      <c r="F71" s="237" t="s">
        <v>298</v>
      </c>
      <c r="G71" s="55" t="s">
        <v>42</v>
      </c>
      <c r="H71" s="55" t="s">
        <v>166</v>
      </c>
      <c r="I71" s="55" t="s">
        <v>155</v>
      </c>
      <c r="J71" s="55" t="s">
        <v>38</v>
      </c>
      <c r="K71" s="55" t="s">
        <v>156</v>
      </c>
      <c r="L71" s="237">
        <v>1</v>
      </c>
      <c r="N71" s="237">
        <v>4</v>
      </c>
      <c r="O71" s="237">
        <v>0.3</v>
      </c>
      <c r="P71" s="237">
        <v>0.25</v>
      </c>
      <c r="Q71" s="57">
        <f t="shared" si="3"/>
        <v>0.27500000000000002</v>
      </c>
      <c r="R71" s="237">
        <v>16.8</v>
      </c>
      <c r="S71" s="237">
        <v>124</v>
      </c>
      <c r="T71" s="57">
        <f t="shared" si="4"/>
        <v>27</v>
      </c>
      <c r="U71" s="237">
        <v>626</v>
      </c>
      <c r="V71" s="58">
        <f t="shared" si="5"/>
        <v>4225.5</v>
      </c>
      <c r="W71" s="237">
        <v>2</v>
      </c>
      <c r="X71" s="55" t="s">
        <v>46</v>
      </c>
      <c r="Y71" s="55" t="s">
        <v>78</v>
      </c>
      <c r="Z71" s="55" t="s">
        <v>97</v>
      </c>
      <c r="AA71" s="55" t="s">
        <v>69</v>
      </c>
      <c r="AB71" s="39" t="s">
        <v>340</v>
      </c>
      <c r="AC71" s="55"/>
      <c r="AD71" s="55"/>
    </row>
    <row r="72" spans="1:30" x14ac:dyDescent="0.15">
      <c r="A72" s="55" t="s">
        <v>41</v>
      </c>
      <c r="B72" s="237" t="s">
        <v>338</v>
      </c>
      <c r="C72" s="152">
        <v>2018</v>
      </c>
      <c r="D72" s="56" t="s">
        <v>345</v>
      </c>
      <c r="E72" s="237" t="s">
        <v>292</v>
      </c>
      <c r="F72" s="237" t="s">
        <v>298</v>
      </c>
      <c r="G72" s="55" t="s">
        <v>42</v>
      </c>
      <c r="H72" s="55" t="s">
        <v>166</v>
      </c>
      <c r="I72" s="55" t="s">
        <v>155</v>
      </c>
      <c r="J72" s="55" t="s">
        <v>38</v>
      </c>
      <c r="K72" s="55" t="s">
        <v>156</v>
      </c>
      <c r="L72" s="237">
        <v>2</v>
      </c>
      <c r="N72" s="237">
        <v>4</v>
      </c>
      <c r="O72" s="237">
        <v>0.5</v>
      </c>
      <c r="P72" s="237">
        <v>0.5</v>
      </c>
      <c r="Q72" s="57">
        <f t="shared" si="3"/>
        <v>0.5</v>
      </c>
      <c r="R72" s="237">
        <v>14.7</v>
      </c>
      <c r="S72" s="237">
        <v>120</v>
      </c>
      <c r="T72" s="57">
        <f t="shared" si="4"/>
        <v>30</v>
      </c>
      <c r="U72" s="237">
        <v>626</v>
      </c>
      <c r="V72" s="58">
        <f t="shared" si="5"/>
        <v>4695</v>
      </c>
      <c r="W72" s="237">
        <v>2</v>
      </c>
      <c r="X72" s="55" t="s">
        <v>46</v>
      </c>
      <c r="Y72" s="55" t="s">
        <v>78</v>
      </c>
      <c r="Z72" s="55" t="s">
        <v>97</v>
      </c>
      <c r="AA72" s="55" t="s">
        <v>69</v>
      </c>
      <c r="AB72" s="39" t="s">
        <v>340</v>
      </c>
      <c r="AC72" s="55"/>
      <c r="AD72" s="55"/>
    </row>
    <row r="73" spans="1:30" x14ac:dyDescent="0.15">
      <c r="A73" s="55" t="s">
        <v>41</v>
      </c>
      <c r="B73" s="237" t="s">
        <v>338</v>
      </c>
      <c r="C73" s="152">
        <v>2018</v>
      </c>
      <c r="D73" s="56" t="s">
        <v>345</v>
      </c>
      <c r="E73" s="237" t="s">
        <v>292</v>
      </c>
      <c r="F73" s="237" t="s">
        <v>298</v>
      </c>
      <c r="G73" s="55" t="s">
        <v>42</v>
      </c>
      <c r="H73" s="55" t="s">
        <v>166</v>
      </c>
      <c r="I73" s="55" t="s">
        <v>155</v>
      </c>
      <c r="J73" s="55" t="s">
        <v>38</v>
      </c>
      <c r="K73" s="55" t="s">
        <v>156</v>
      </c>
      <c r="L73" s="237">
        <v>3</v>
      </c>
      <c r="N73" s="237">
        <v>4</v>
      </c>
      <c r="O73" s="237">
        <v>0.4</v>
      </c>
      <c r="P73" s="237">
        <v>0.45</v>
      </c>
      <c r="Q73" s="57">
        <f t="shared" si="3"/>
        <v>0.42500000000000004</v>
      </c>
      <c r="R73" s="237">
        <v>15.2</v>
      </c>
      <c r="S73" s="237">
        <v>118</v>
      </c>
      <c r="T73" s="57">
        <f t="shared" si="4"/>
        <v>30</v>
      </c>
      <c r="U73" s="237">
        <v>626</v>
      </c>
      <c r="V73" s="58">
        <f t="shared" si="5"/>
        <v>4695</v>
      </c>
      <c r="W73" s="237">
        <v>2</v>
      </c>
      <c r="X73" s="55" t="s">
        <v>46</v>
      </c>
      <c r="Y73" s="55" t="s">
        <v>78</v>
      </c>
      <c r="Z73" s="55" t="s">
        <v>97</v>
      </c>
      <c r="AA73" s="55" t="s">
        <v>69</v>
      </c>
      <c r="AB73" s="39" t="s">
        <v>340</v>
      </c>
      <c r="AC73" s="55"/>
      <c r="AD73" s="55"/>
    </row>
    <row r="74" spans="1:30" x14ac:dyDescent="0.15">
      <c r="A74" s="55" t="s">
        <v>41</v>
      </c>
      <c r="B74" s="237" t="s">
        <v>338</v>
      </c>
      <c r="C74" s="152">
        <v>2018</v>
      </c>
      <c r="D74" s="56" t="s">
        <v>345</v>
      </c>
      <c r="E74" s="55" t="s">
        <v>294</v>
      </c>
      <c r="F74" s="237" t="s">
        <v>299</v>
      </c>
      <c r="G74" s="55" t="s">
        <v>42</v>
      </c>
      <c r="H74" s="55" t="s">
        <v>157</v>
      </c>
      <c r="I74" s="55" t="s">
        <v>155</v>
      </c>
      <c r="J74" s="55" t="s">
        <v>38</v>
      </c>
      <c r="K74" s="55" t="s">
        <v>156</v>
      </c>
      <c r="L74" s="237">
        <v>1</v>
      </c>
      <c r="N74" s="237">
        <v>1</v>
      </c>
      <c r="O74" s="55">
        <v>0.85</v>
      </c>
      <c r="P74" s="55">
        <v>1</v>
      </c>
      <c r="Q74" s="82">
        <f t="shared" si="3"/>
        <v>0.92500000000000004</v>
      </c>
      <c r="R74" s="55">
        <v>14.6</v>
      </c>
      <c r="S74" s="55">
        <v>121</v>
      </c>
      <c r="T74" s="57">
        <f t="shared" si="4"/>
        <v>27</v>
      </c>
      <c r="U74" s="237">
        <v>105</v>
      </c>
      <c r="V74" s="58">
        <f t="shared" si="5"/>
        <v>2835</v>
      </c>
      <c r="W74" s="237">
        <v>2</v>
      </c>
      <c r="X74" s="55" t="s">
        <v>46</v>
      </c>
      <c r="Y74" s="55" t="s">
        <v>88</v>
      </c>
      <c r="Z74" s="55" t="s">
        <v>97</v>
      </c>
      <c r="AA74" s="55" t="s">
        <v>78</v>
      </c>
      <c r="AB74" s="39" t="s">
        <v>340</v>
      </c>
      <c r="AC74" s="55"/>
      <c r="AD74" s="55"/>
    </row>
    <row r="75" spans="1:30" x14ac:dyDescent="0.15">
      <c r="A75" s="55" t="s">
        <v>41</v>
      </c>
      <c r="B75" s="237" t="s">
        <v>338</v>
      </c>
      <c r="C75" s="152">
        <v>2018</v>
      </c>
      <c r="D75" s="56" t="s">
        <v>345</v>
      </c>
      <c r="E75" s="55" t="s">
        <v>294</v>
      </c>
      <c r="F75" s="237" t="s">
        <v>299</v>
      </c>
      <c r="G75" s="55" t="s">
        <v>42</v>
      </c>
      <c r="H75" s="55" t="s">
        <v>157</v>
      </c>
      <c r="I75" s="55" t="s">
        <v>155</v>
      </c>
      <c r="J75" s="55" t="s">
        <v>38</v>
      </c>
      <c r="K75" s="55" t="s">
        <v>156</v>
      </c>
      <c r="L75" s="237">
        <v>2</v>
      </c>
      <c r="N75" s="237">
        <v>1</v>
      </c>
      <c r="O75" s="55">
        <v>1</v>
      </c>
      <c r="P75" s="55">
        <v>0.85</v>
      </c>
      <c r="Q75" s="82">
        <f t="shared" si="3"/>
        <v>0.92500000000000004</v>
      </c>
      <c r="R75" s="55">
        <v>13.7</v>
      </c>
      <c r="S75" s="55">
        <v>124</v>
      </c>
      <c r="T75" s="57">
        <f t="shared" si="4"/>
        <v>27</v>
      </c>
      <c r="U75" s="237">
        <v>105</v>
      </c>
      <c r="V75" s="58">
        <f t="shared" si="5"/>
        <v>2835</v>
      </c>
      <c r="W75" s="237">
        <v>2</v>
      </c>
      <c r="X75" s="55" t="s">
        <v>46</v>
      </c>
      <c r="Y75" s="55" t="s">
        <v>88</v>
      </c>
      <c r="Z75" s="55" t="s">
        <v>97</v>
      </c>
      <c r="AA75" s="55" t="s">
        <v>78</v>
      </c>
      <c r="AB75" s="39" t="s">
        <v>340</v>
      </c>
      <c r="AC75" s="55"/>
      <c r="AD75" s="55"/>
    </row>
    <row r="76" spans="1:30" x14ac:dyDescent="0.15">
      <c r="A76" s="55" t="s">
        <v>41</v>
      </c>
      <c r="B76" s="237" t="s">
        <v>338</v>
      </c>
      <c r="C76" s="152">
        <v>2018</v>
      </c>
      <c r="D76" s="56" t="s">
        <v>345</v>
      </c>
      <c r="E76" s="55" t="s">
        <v>294</v>
      </c>
      <c r="F76" s="237" t="s">
        <v>299</v>
      </c>
      <c r="G76" s="55" t="s">
        <v>42</v>
      </c>
      <c r="H76" s="55" t="s">
        <v>157</v>
      </c>
      <c r="I76" s="55" t="s">
        <v>155</v>
      </c>
      <c r="J76" s="55" t="s">
        <v>38</v>
      </c>
      <c r="K76" s="55" t="s">
        <v>156</v>
      </c>
      <c r="L76" s="237">
        <v>3</v>
      </c>
      <c r="N76" s="237">
        <v>1</v>
      </c>
      <c r="O76" s="55">
        <v>0.75</v>
      </c>
      <c r="P76" s="55">
        <v>0.8</v>
      </c>
      <c r="Q76" s="82">
        <f t="shared" si="3"/>
        <v>0.77500000000000002</v>
      </c>
      <c r="R76" s="55">
        <v>13.5</v>
      </c>
      <c r="S76" s="55">
        <v>127</v>
      </c>
      <c r="T76" s="57">
        <f t="shared" si="4"/>
        <v>27</v>
      </c>
      <c r="U76" s="237">
        <v>105</v>
      </c>
      <c r="V76" s="58">
        <f t="shared" si="5"/>
        <v>2835</v>
      </c>
      <c r="W76" s="237">
        <v>2</v>
      </c>
      <c r="X76" s="55" t="s">
        <v>46</v>
      </c>
      <c r="Y76" s="55" t="s">
        <v>88</v>
      </c>
      <c r="Z76" s="55" t="s">
        <v>97</v>
      </c>
      <c r="AA76" s="55" t="s">
        <v>78</v>
      </c>
      <c r="AB76" s="39" t="s">
        <v>340</v>
      </c>
      <c r="AC76" s="55"/>
      <c r="AD76" s="55"/>
    </row>
    <row r="77" spans="1:30" x14ac:dyDescent="0.15">
      <c r="A77" s="55" t="s">
        <v>41</v>
      </c>
      <c r="B77" s="237" t="s">
        <v>338</v>
      </c>
      <c r="C77" s="152">
        <v>2018</v>
      </c>
      <c r="D77" s="56" t="s">
        <v>345</v>
      </c>
      <c r="E77" s="55" t="s">
        <v>294</v>
      </c>
      <c r="F77" s="237" t="s">
        <v>299</v>
      </c>
      <c r="G77" s="55" t="s">
        <v>42</v>
      </c>
      <c r="H77" s="55" t="s">
        <v>166</v>
      </c>
      <c r="I77" s="55" t="s">
        <v>155</v>
      </c>
      <c r="J77" s="55" t="s">
        <v>38</v>
      </c>
      <c r="K77" s="55" t="s">
        <v>156</v>
      </c>
      <c r="L77" s="237">
        <v>1</v>
      </c>
      <c r="N77" s="237">
        <v>6</v>
      </c>
      <c r="O77" s="237">
        <v>0.55000000000000004</v>
      </c>
      <c r="P77" s="237">
        <v>0.6</v>
      </c>
      <c r="Q77" s="57">
        <f t="shared" si="3"/>
        <v>0.57499999999999996</v>
      </c>
      <c r="R77" s="237">
        <v>15.1</v>
      </c>
      <c r="S77" s="237">
        <v>98</v>
      </c>
      <c r="T77" s="57">
        <f t="shared" si="4"/>
        <v>36</v>
      </c>
      <c r="U77" s="237">
        <v>537</v>
      </c>
      <c r="V77" s="58">
        <f t="shared" si="5"/>
        <v>3222</v>
      </c>
      <c r="W77" s="237">
        <v>1</v>
      </c>
      <c r="X77" s="55" t="s">
        <v>46</v>
      </c>
      <c r="Y77" s="55" t="s">
        <v>88</v>
      </c>
      <c r="Z77" s="55" t="s">
        <v>97</v>
      </c>
      <c r="AA77" s="55" t="s">
        <v>78</v>
      </c>
      <c r="AB77" s="39" t="s">
        <v>340</v>
      </c>
      <c r="AC77" s="55"/>
      <c r="AD77" s="55"/>
    </row>
    <row r="78" spans="1:30" x14ac:dyDescent="0.15">
      <c r="A78" s="55" t="s">
        <v>41</v>
      </c>
      <c r="B78" s="237" t="s">
        <v>338</v>
      </c>
      <c r="C78" s="152">
        <v>2018</v>
      </c>
      <c r="D78" s="56" t="s">
        <v>345</v>
      </c>
      <c r="E78" s="55" t="s">
        <v>294</v>
      </c>
      <c r="F78" s="237" t="s">
        <v>299</v>
      </c>
      <c r="G78" s="55" t="s">
        <v>42</v>
      </c>
      <c r="H78" s="55" t="s">
        <v>166</v>
      </c>
      <c r="I78" s="55" t="s">
        <v>155</v>
      </c>
      <c r="J78" s="55" t="s">
        <v>38</v>
      </c>
      <c r="K78" s="55" t="s">
        <v>156</v>
      </c>
      <c r="L78" s="237">
        <v>2</v>
      </c>
      <c r="N78" s="237">
        <v>6</v>
      </c>
      <c r="O78" s="237">
        <v>0.85</v>
      </c>
      <c r="P78" s="237">
        <v>0.8</v>
      </c>
      <c r="Q78" s="57">
        <f t="shared" si="3"/>
        <v>0.82499999999999996</v>
      </c>
      <c r="R78" s="237">
        <v>15.2</v>
      </c>
      <c r="S78" s="237">
        <v>95</v>
      </c>
      <c r="T78" s="57">
        <f t="shared" si="4"/>
        <v>36</v>
      </c>
      <c r="U78" s="237">
        <v>537</v>
      </c>
      <c r="V78" s="58">
        <f t="shared" si="5"/>
        <v>3222</v>
      </c>
      <c r="W78" s="237">
        <v>1</v>
      </c>
      <c r="X78" s="55" t="s">
        <v>46</v>
      </c>
      <c r="Y78" s="55" t="s">
        <v>88</v>
      </c>
      <c r="Z78" s="55" t="s">
        <v>97</v>
      </c>
      <c r="AA78" s="55" t="s">
        <v>78</v>
      </c>
      <c r="AB78" s="39" t="s">
        <v>340</v>
      </c>
      <c r="AC78" s="55"/>
      <c r="AD78" s="55"/>
    </row>
    <row r="79" spans="1:30" x14ac:dyDescent="0.15">
      <c r="A79" s="55" t="s">
        <v>41</v>
      </c>
      <c r="B79" s="237" t="s">
        <v>338</v>
      </c>
      <c r="C79" s="152">
        <v>2018</v>
      </c>
      <c r="D79" s="56" t="s">
        <v>345</v>
      </c>
      <c r="E79" s="55" t="s">
        <v>294</v>
      </c>
      <c r="F79" s="237" t="s">
        <v>299</v>
      </c>
      <c r="G79" s="55" t="s">
        <v>42</v>
      </c>
      <c r="H79" s="55" t="s">
        <v>166</v>
      </c>
      <c r="I79" s="55" t="s">
        <v>155</v>
      </c>
      <c r="J79" s="55" t="s">
        <v>38</v>
      </c>
      <c r="K79" s="55" t="s">
        <v>156</v>
      </c>
      <c r="L79" s="237">
        <v>3</v>
      </c>
      <c r="N79" s="237">
        <v>6</v>
      </c>
      <c r="O79" s="237">
        <v>0.6</v>
      </c>
      <c r="P79" s="237">
        <v>0.7</v>
      </c>
      <c r="Q79" s="57">
        <f t="shared" si="3"/>
        <v>0.64999999999999991</v>
      </c>
      <c r="R79" s="237">
        <v>16.2</v>
      </c>
      <c r="S79" s="237">
        <v>90</v>
      </c>
      <c r="T79" s="57">
        <f t="shared" si="4"/>
        <v>36</v>
      </c>
      <c r="U79" s="237">
        <v>537</v>
      </c>
      <c r="V79" s="58">
        <f t="shared" si="5"/>
        <v>3222</v>
      </c>
      <c r="W79" s="237">
        <v>1</v>
      </c>
      <c r="X79" s="55" t="s">
        <v>46</v>
      </c>
      <c r="Y79" s="55" t="s">
        <v>88</v>
      </c>
      <c r="Z79" s="55" t="s">
        <v>97</v>
      </c>
      <c r="AA79" s="55" t="s">
        <v>78</v>
      </c>
      <c r="AB79" s="39" t="s">
        <v>340</v>
      </c>
      <c r="AC79" s="55"/>
      <c r="AD79" s="55"/>
    </row>
    <row r="80" spans="1:30" x14ac:dyDescent="0.15">
      <c r="A80" s="55" t="s">
        <v>41</v>
      </c>
      <c r="B80" s="237" t="s">
        <v>338</v>
      </c>
      <c r="C80" s="152">
        <v>2018</v>
      </c>
      <c r="D80" s="56" t="s">
        <v>345</v>
      </c>
      <c r="E80" s="55" t="s">
        <v>294</v>
      </c>
      <c r="F80" s="237" t="s">
        <v>299</v>
      </c>
      <c r="G80" s="55" t="s">
        <v>42</v>
      </c>
      <c r="H80" s="55" t="s">
        <v>166</v>
      </c>
      <c r="I80" s="55" t="s">
        <v>155</v>
      </c>
      <c r="J80" s="55" t="s">
        <v>38</v>
      </c>
      <c r="K80" s="55" t="s">
        <v>156</v>
      </c>
      <c r="L80" s="237">
        <v>1</v>
      </c>
      <c r="N80" s="237">
        <v>1</v>
      </c>
      <c r="O80" s="237">
        <v>0.3</v>
      </c>
      <c r="P80" s="237">
        <v>0.4</v>
      </c>
      <c r="Q80" s="57">
        <f t="shared" si="3"/>
        <v>0.35</v>
      </c>
      <c r="R80" s="237">
        <v>15.3</v>
      </c>
      <c r="S80" s="237">
        <v>130</v>
      </c>
      <c r="T80" s="57">
        <f t="shared" si="4"/>
        <v>25</v>
      </c>
      <c r="U80" s="237">
        <v>105</v>
      </c>
      <c r="V80" s="58">
        <f t="shared" si="5"/>
        <v>2625</v>
      </c>
      <c r="W80" s="237">
        <v>2</v>
      </c>
      <c r="X80" s="55" t="s">
        <v>46</v>
      </c>
      <c r="Y80" s="55" t="s">
        <v>88</v>
      </c>
      <c r="Z80" s="55" t="s">
        <v>97</v>
      </c>
      <c r="AA80" s="55" t="s">
        <v>78</v>
      </c>
      <c r="AB80" s="39" t="s">
        <v>340</v>
      </c>
      <c r="AC80" s="55"/>
      <c r="AD80" s="55"/>
    </row>
    <row r="81" spans="1:30" x14ac:dyDescent="0.15">
      <c r="A81" s="55" t="s">
        <v>41</v>
      </c>
      <c r="B81" s="237" t="s">
        <v>338</v>
      </c>
      <c r="C81" s="152">
        <v>2018</v>
      </c>
      <c r="D81" s="56" t="s">
        <v>345</v>
      </c>
      <c r="E81" s="55" t="s">
        <v>294</v>
      </c>
      <c r="F81" s="237" t="s">
        <v>299</v>
      </c>
      <c r="G81" s="55" t="s">
        <v>42</v>
      </c>
      <c r="H81" s="55" t="s">
        <v>166</v>
      </c>
      <c r="I81" s="55" t="s">
        <v>155</v>
      </c>
      <c r="J81" s="55" t="s">
        <v>38</v>
      </c>
      <c r="K81" s="55" t="s">
        <v>156</v>
      </c>
      <c r="L81" s="237">
        <v>2</v>
      </c>
      <c r="N81" s="237">
        <v>1</v>
      </c>
      <c r="O81" s="237">
        <v>0.25</v>
      </c>
      <c r="P81" s="237">
        <v>0.3</v>
      </c>
      <c r="Q81" s="57">
        <f t="shared" si="3"/>
        <v>0.27500000000000002</v>
      </c>
      <c r="R81" s="237">
        <v>16.8</v>
      </c>
      <c r="S81" s="237">
        <v>128</v>
      </c>
      <c r="T81" s="57">
        <f t="shared" si="4"/>
        <v>27</v>
      </c>
      <c r="U81" s="237">
        <v>105</v>
      </c>
      <c r="V81" s="58">
        <f t="shared" si="5"/>
        <v>2835</v>
      </c>
      <c r="W81" s="237">
        <v>2</v>
      </c>
      <c r="X81" s="55" t="s">
        <v>46</v>
      </c>
      <c r="Y81" s="55" t="s">
        <v>88</v>
      </c>
      <c r="Z81" s="55" t="s">
        <v>97</v>
      </c>
      <c r="AA81" s="55" t="s">
        <v>78</v>
      </c>
      <c r="AB81" s="39" t="s">
        <v>340</v>
      </c>
      <c r="AC81" s="55"/>
      <c r="AD81" s="55"/>
    </row>
    <row r="82" spans="1:30" x14ac:dyDescent="0.15">
      <c r="A82" s="55" t="s">
        <v>41</v>
      </c>
      <c r="B82" s="237" t="s">
        <v>338</v>
      </c>
      <c r="C82" s="152">
        <v>2018</v>
      </c>
      <c r="D82" s="56" t="s">
        <v>345</v>
      </c>
      <c r="E82" s="55" t="s">
        <v>294</v>
      </c>
      <c r="F82" s="237" t="s">
        <v>299</v>
      </c>
      <c r="G82" s="55" t="s">
        <v>42</v>
      </c>
      <c r="H82" s="55" t="s">
        <v>166</v>
      </c>
      <c r="I82" s="55" t="s">
        <v>155</v>
      </c>
      <c r="J82" s="55" t="s">
        <v>38</v>
      </c>
      <c r="K82" s="55" t="s">
        <v>156</v>
      </c>
      <c r="L82" s="237">
        <v>3</v>
      </c>
      <c r="N82" s="237">
        <v>1</v>
      </c>
      <c r="O82" s="237">
        <v>0.45</v>
      </c>
      <c r="P82" s="237">
        <v>0.5</v>
      </c>
      <c r="Q82" s="57">
        <f t="shared" si="3"/>
        <v>0.47499999999999998</v>
      </c>
      <c r="R82" s="237">
        <v>16.399999999999999</v>
      </c>
      <c r="S82" s="237">
        <v>126</v>
      </c>
      <c r="T82" s="57">
        <f t="shared" si="4"/>
        <v>27</v>
      </c>
      <c r="U82" s="237">
        <v>105</v>
      </c>
      <c r="V82" s="58">
        <f t="shared" si="5"/>
        <v>2835</v>
      </c>
      <c r="W82" s="237">
        <v>2</v>
      </c>
      <c r="X82" s="55" t="s">
        <v>46</v>
      </c>
      <c r="Y82" s="55" t="s">
        <v>88</v>
      </c>
      <c r="Z82" s="55" t="s">
        <v>97</v>
      </c>
      <c r="AA82" s="55" t="s">
        <v>78</v>
      </c>
      <c r="AB82" s="39" t="s">
        <v>340</v>
      </c>
      <c r="AC82" s="55"/>
      <c r="AD82" s="55"/>
    </row>
    <row r="83" spans="1:30" x14ac:dyDescent="0.15">
      <c r="A83" s="55" t="s">
        <v>41</v>
      </c>
      <c r="B83" s="237" t="s">
        <v>338</v>
      </c>
      <c r="C83" s="152">
        <v>2018</v>
      </c>
      <c r="D83" s="56" t="s">
        <v>345</v>
      </c>
      <c r="E83" s="55" t="s">
        <v>294</v>
      </c>
      <c r="F83" s="237" t="s">
        <v>300</v>
      </c>
      <c r="G83" s="55" t="s">
        <v>42</v>
      </c>
      <c r="H83" s="55" t="s">
        <v>157</v>
      </c>
      <c r="I83" s="55" t="s">
        <v>155</v>
      </c>
      <c r="J83" s="55" t="s">
        <v>38</v>
      </c>
      <c r="K83" s="55" t="s">
        <v>156</v>
      </c>
      <c r="L83" s="237">
        <v>1</v>
      </c>
      <c r="N83" s="237">
        <v>1</v>
      </c>
      <c r="O83" s="237">
        <v>0.25</v>
      </c>
      <c r="P83" s="237">
        <v>0.25</v>
      </c>
      <c r="Q83" s="57">
        <f t="shared" si="3"/>
        <v>0.25</v>
      </c>
      <c r="R83" s="237">
        <v>13.9</v>
      </c>
      <c r="S83" s="237">
        <v>117</v>
      </c>
      <c r="T83" s="57">
        <f t="shared" si="4"/>
        <v>30</v>
      </c>
      <c r="U83" s="237">
        <v>105</v>
      </c>
      <c r="V83" s="58">
        <f t="shared" si="5"/>
        <v>3150</v>
      </c>
      <c r="W83" s="237">
        <v>3</v>
      </c>
      <c r="X83" s="55" t="s">
        <v>46</v>
      </c>
      <c r="Y83" s="55" t="s">
        <v>97</v>
      </c>
      <c r="Z83" s="55" t="s">
        <v>69</v>
      </c>
      <c r="AA83" s="55" t="s">
        <v>78</v>
      </c>
      <c r="AB83" s="39" t="s">
        <v>340</v>
      </c>
      <c r="AC83" s="55"/>
      <c r="AD83" s="55"/>
    </row>
    <row r="84" spans="1:30" x14ac:dyDescent="0.15">
      <c r="A84" s="55" t="s">
        <v>41</v>
      </c>
      <c r="B84" s="237" t="s">
        <v>338</v>
      </c>
      <c r="C84" s="152">
        <v>2018</v>
      </c>
      <c r="D84" s="56" t="s">
        <v>345</v>
      </c>
      <c r="E84" s="55" t="s">
        <v>294</v>
      </c>
      <c r="F84" s="237" t="s">
        <v>300</v>
      </c>
      <c r="G84" s="55" t="s">
        <v>42</v>
      </c>
      <c r="H84" s="55" t="s">
        <v>157</v>
      </c>
      <c r="I84" s="55" t="s">
        <v>155</v>
      </c>
      <c r="J84" s="55" t="s">
        <v>38</v>
      </c>
      <c r="K84" s="55" t="s">
        <v>156</v>
      </c>
      <c r="L84" s="237">
        <v>2</v>
      </c>
      <c r="N84" s="237">
        <v>1</v>
      </c>
      <c r="O84" s="237">
        <v>0.25</v>
      </c>
      <c r="P84" s="237">
        <v>0.25</v>
      </c>
      <c r="Q84" s="57">
        <f t="shared" si="3"/>
        <v>0.25</v>
      </c>
      <c r="R84" s="237">
        <v>15.9</v>
      </c>
      <c r="S84" s="237">
        <v>120</v>
      </c>
      <c r="T84" s="57">
        <f t="shared" si="4"/>
        <v>30</v>
      </c>
      <c r="U84" s="237">
        <v>105</v>
      </c>
      <c r="V84" s="58">
        <f t="shared" si="5"/>
        <v>3150</v>
      </c>
      <c r="W84" s="237">
        <v>3</v>
      </c>
      <c r="X84" s="55" t="s">
        <v>46</v>
      </c>
      <c r="Y84" s="55" t="s">
        <v>97</v>
      </c>
      <c r="Z84" s="55" t="s">
        <v>69</v>
      </c>
      <c r="AA84" s="55" t="s">
        <v>78</v>
      </c>
      <c r="AB84" s="39" t="s">
        <v>340</v>
      </c>
      <c r="AC84" s="55"/>
      <c r="AD84" s="55"/>
    </row>
    <row r="85" spans="1:30" x14ac:dyDescent="0.15">
      <c r="A85" s="55" t="s">
        <v>41</v>
      </c>
      <c r="B85" s="237" t="s">
        <v>338</v>
      </c>
      <c r="C85" s="152">
        <v>2018</v>
      </c>
      <c r="D85" s="56" t="s">
        <v>345</v>
      </c>
      <c r="E85" s="55" t="s">
        <v>294</v>
      </c>
      <c r="F85" s="237" t="s">
        <v>300</v>
      </c>
      <c r="G85" s="55" t="s">
        <v>42</v>
      </c>
      <c r="H85" s="55" t="s">
        <v>157</v>
      </c>
      <c r="I85" s="55" t="s">
        <v>155</v>
      </c>
      <c r="J85" s="55" t="s">
        <v>38</v>
      </c>
      <c r="K85" s="55" t="s">
        <v>156</v>
      </c>
      <c r="L85" s="237">
        <v>3</v>
      </c>
      <c r="N85" s="237">
        <v>1</v>
      </c>
      <c r="O85" s="237">
        <v>0.25</v>
      </c>
      <c r="P85" s="237">
        <v>0.25</v>
      </c>
      <c r="Q85" s="57">
        <f t="shared" si="3"/>
        <v>0.25</v>
      </c>
      <c r="R85" s="237">
        <v>16.399999999999999</v>
      </c>
      <c r="S85" s="237">
        <v>115</v>
      </c>
      <c r="T85" s="57">
        <f t="shared" si="4"/>
        <v>30</v>
      </c>
      <c r="U85" s="237">
        <v>105</v>
      </c>
      <c r="V85" s="58">
        <f t="shared" si="5"/>
        <v>3150</v>
      </c>
      <c r="W85" s="237">
        <v>3</v>
      </c>
      <c r="X85" s="55" t="s">
        <v>46</v>
      </c>
      <c r="Y85" s="55" t="s">
        <v>97</v>
      </c>
      <c r="Z85" s="55" t="s">
        <v>69</v>
      </c>
      <c r="AA85" s="55" t="s">
        <v>78</v>
      </c>
      <c r="AB85" s="39" t="s">
        <v>340</v>
      </c>
      <c r="AC85" s="55"/>
      <c r="AD85" s="55"/>
    </row>
    <row r="86" spans="1:30" x14ac:dyDescent="0.15">
      <c r="A86" s="55" t="s">
        <v>41</v>
      </c>
      <c r="B86" s="237" t="s">
        <v>338</v>
      </c>
      <c r="C86" s="152">
        <v>2018</v>
      </c>
      <c r="D86" s="56" t="s">
        <v>345</v>
      </c>
      <c r="E86" s="55" t="s">
        <v>294</v>
      </c>
      <c r="F86" s="237" t="s">
        <v>300</v>
      </c>
      <c r="G86" s="55" t="s">
        <v>42</v>
      </c>
      <c r="H86" s="55" t="s">
        <v>157</v>
      </c>
      <c r="I86" s="55" t="s">
        <v>155</v>
      </c>
      <c r="J86" s="55" t="s">
        <v>38</v>
      </c>
      <c r="K86" s="55" t="s">
        <v>156</v>
      </c>
      <c r="L86" s="237">
        <v>1</v>
      </c>
      <c r="N86" s="237">
        <v>5</v>
      </c>
      <c r="O86" s="237">
        <v>0.6</v>
      </c>
      <c r="P86" s="237">
        <v>0.75</v>
      </c>
      <c r="Q86" s="57">
        <f t="shared" si="3"/>
        <v>0.67500000000000004</v>
      </c>
      <c r="R86" s="237">
        <v>12.8</v>
      </c>
      <c r="S86" s="237">
        <v>95</v>
      </c>
      <c r="T86" s="57">
        <f t="shared" si="4"/>
        <v>36</v>
      </c>
      <c r="U86" s="237">
        <v>529</v>
      </c>
      <c r="V86" s="58">
        <f t="shared" si="5"/>
        <v>3808.7999999999997</v>
      </c>
      <c r="W86" s="237">
        <v>1</v>
      </c>
      <c r="X86" s="55" t="s">
        <v>46</v>
      </c>
      <c r="Y86" s="55" t="s">
        <v>97</v>
      </c>
      <c r="Z86" s="55" t="s">
        <v>69</v>
      </c>
      <c r="AA86" s="55" t="s">
        <v>78</v>
      </c>
      <c r="AB86" s="39" t="s">
        <v>340</v>
      </c>
      <c r="AC86" s="55"/>
      <c r="AD86" s="55"/>
    </row>
    <row r="87" spans="1:30" x14ac:dyDescent="0.15">
      <c r="A87" s="55" t="s">
        <v>41</v>
      </c>
      <c r="B87" s="237" t="s">
        <v>338</v>
      </c>
      <c r="C87" s="152">
        <v>2018</v>
      </c>
      <c r="D87" s="56" t="s">
        <v>345</v>
      </c>
      <c r="E87" s="55" t="s">
        <v>294</v>
      </c>
      <c r="F87" s="237" t="s">
        <v>300</v>
      </c>
      <c r="G87" s="55" t="s">
        <v>42</v>
      </c>
      <c r="H87" s="55" t="s">
        <v>157</v>
      </c>
      <c r="I87" s="55" t="s">
        <v>155</v>
      </c>
      <c r="J87" s="55" t="s">
        <v>38</v>
      </c>
      <c r="K87" s="55" t="s">
        <v>156</v>
      </c>
      <c r="L87" s="237">
        <v>2</v>
      </c>
      <c r="N87" s="237">
        <v>5</v>
      </c>
      <c r="O87" s="237">
        <v>0.5</v>
      </c>
      <c r="P87" s="237">
        <v>0.6</v>
      </c>
      <c r="Q87" s="57">
        <f t="shared" si="3"/>
        <v>0.55000000000000004</v>
      </c>
      <c r="R87" s="237">
        <v>14.4</v>
      </c>
      <c r="S87" s="237">
        <v>98</v>
      </c>
      <c r="T87" s="57">
        <f t="shared" si="4"/>
        <v>36</v>
      </c>
      <c r="U87" s="237">
        <v>529</v>
      </c>
      <c r="V87" s="58">
        <f t="shared" si="5"/>
        <v>3808.7999999999997</v>
      </c>
      <c r="W87" s="237">
        <v>1</v>
      </c>
      <c r="X87" s="55" t="s">
        <v>46</v>
      </c>
      <c r="Y87" s="55" t="s">
        <v>97</v>
      </c>
      <c r="Z87" s="55" t="s">
        <v>69</v>
      </c>
      <c r="AA87" s="55" t="s">
        <v>78</v>
      </c>
      <c r="AB87" s="39" t="s">
        <v>340</v>
      </c>
      <c r="AC87" s="55"/>
      <c r="AD87" s="55"/>
    </row>
    <row r="88" spans="1:30" x14ac:dyDescent="0.15">
      <c r="A88" s="55" t="s">
        <v>41</v>
      </c>
      <c r="B88" s="237" t="s">
        <v>338</v>
      </c>
      <c r="C88" s="152">
        <v>2018</v>
      </c>
      <c r="D88" s="56" t="s">
        <v>345</v>
      </c>
      <c r="E88" s="55" t="s">
        <v>294</v>
      </c>
      <c r="F88" s="237" t="s">
        <v>300</v>
      </c>
      <c r="G88" s="55" t="s">
        <v>42</v>
      </c>
      <c r="H88" s="55" t="s">
        <v>157</v>
      </c>
      <c r="I88" s="55" t="s">
        <v>155</v>
      </c>
      <c r="J88" s="55" t="s">
        <v>38</v>
      </c>
      <c r="K88" s="55" t="s">
        <v>156</v>
      </c>
      <c r="L88" s="237">
        <v>3</v>
      </c>
      <c r="N88" s="237">
        <v>5</v>
      </c>
      <c r="O88" s="237">
        <v>0.7</v>
      </c>
      <c r="P88" s="237">
        <v>0.65</v>
      </c>
      <c r="Q88" s="57">
        <f t="shared" si="3"/>
        <v>0.67500000000000004</v>
      </c>
      <c r="R88" s="237">
        <v>13</v>
      </c>
      <c r="S88" s="237">
        <v>100</v>
      </c>
      <c r="T88" s="57">
        <f t="shared" si="4"/>
        <v>33</v>
      </c>
      <c r="U88" s="237">
        <v>529</v>
      </c>
      <c r="V88" s="58">
        <f t="shared" si="5"/>
        <v>3491.4</v>
      </c>
      <c r="W88" s="237">
        <v>1</v>
      </c>
      <c r="X88" s="55" t="s">
        <v>46</v>
      </c>
      <c r="Y88" s="55" t="s">
        <v>97</v>
      </c>
      <c r="Z88" s="55" t="s">
        <v>69</v>
      </c>
      <c r="AA88" s="55" t="s">
        <v>78</v>
      </c>
      <c r="AB88" s="39" t="s">
        <v>340</v>
      </c>
      <c r="AC88" s="55"/>
      <c r="AD88" s="55"/>
    </row>
    <row r="89" spans="1:30" x14ac:dyDescent="0.15">
      <c r="A89" s="55" t="s">
        <v>41</v>
      </c>
      <c r="B89" s="237" t="s">
        <v>338</v>
      </c>
      <c r="C89" s="152">
        <v>2018</v>
      </c>
      <c r="D89" s="56" t="s">
        <v>345</v>
      </c>
      <c r="E89" s="55" t="s">
        <v>294</v>
      </c>
      <c r="F89" s="237" t="s">
        <v>300</v>
      </c>
      <c r="G89" s="55" t="s">
        <v>42</v>
      </c>
      <c r="H89" s="55" t="s">
        <v>166</v>
      </c>
      <c r="I89" s="55" t="s">
        <v>155</v>
      </c>
      <c r="J89" s="55" t="s">
        <v>38</v>
      </c>
      <c r="K89" s="55" t="s">
        <v>156</v>
      </c>
      <c r="L89" s="237">
        <v>1</v>
      </c>
      <c r="N89" s="237">
        <v>3</v>
      </c>
      <c r="O89" s="237">
        <v>0.7</v>
      </c>
      <c r="P89" s="237">
        <v>0.7</v>
      </c>
      <c r="Q89" s="57">
        <f t="shared" si="3"/>
        <v>0.7</v>
      </c>
      <c r="R89" s="237">
        <v>16.8</v>
      </c>
      <c r="S89" s="237">
        <v>125</v>
      </c>
      <c r="T89" s="57">
        <f t="shared" si="4"/>
        <v>27</v>
      </c>
      <c r="U89" s="237">
        <v>537</v>
      </c>
      <c r="V89" s="58">
        <f t="shared" si="5"/>
        <v>4833</v>
      </c>
      <c r="W89" s="237">
        <v>1</v>
      </c>
      <c r="X89" s="55" t="s">
        <v>46</v>
      </c>
      <c r="Y89" s="55" t="s">
        <v>97</v>
      </c>
      <c r="Z89" s="55" t="s">
        <v>69</v>
      </c>
      <c r="AA89" s="55" t="s">
        <v>78</v>
      </c>
      <c r="AB89" s="39" t="s">
        <v>340</v>
      </c>
    </row>
    <row r="90" spans="1:30" x14ac:dyDescent="0.15">
      <c r="A90" s="55" t="s">
        <v>41</v>
      </c>
      <c r="B90" s="237" t="s">
        <v>338</v>
      </c>
      <c r="C90" s="152">
        <v>2018</v>
      </c>
      <c r="D90" s="56" t="s">
        <v>345</v>
      </c>
      <c r="E90" s="55" t="s">
        <v>294</v>
      </c>
      <c r="F90" s="237" t="s">
        <v>300</v>
      </c>
      <c r="G90" s="55" t="s">
        <v>42</v>
      </c>
      <c r="H90" s="55" t="s">
        <v>166</v>
      </c>
      <c r="I90" s="55" t="s">
        <v>155</v>
      </c>
      <c r="J90" s="55" t="s">
        <v>38</v>
      </c>
      <c r="K90" s="55" t="s">
        <v>156</v>
      </c>
      <c r="L90" s="237">
        <v>2</v>
      </c>
      <c r="N90" s="237">
        <v>3</v>
      </c>
      <c r="O90" s="237">
        <v>0.55000000000000004</v>
      </c>
      <c r="P90" s="237">
        <v>0.65</v>
      </c>
      <c r="Q90" s="57">
        <f t="shared" si="3"/>
        <v>0.60000000000000009</v>
      </c>
      <c r="R90" s="237">
        <v>15.8</v>
      </c>
      <c r="S90" s="237">
        <v>120</v>
      </c>
      <c r="T90" s="57">
        <f t="shared" si="4"/>
        <v>30</v>
      </c>
      <c r="U90" s="237">
        <v>537</v>
      </c>
      <c r="V90" s="58">
        <f t="shared" si="5"/>
        <v>5370</v>
      </c>
      <c r="W90" s="237">
        <v>1</v>
      </c>
      <c r="X90" s="55" t="s">
        <v>46</v>
      </c>
      <c r="Y90" s="55" t="s">
        <v>97</v>
      </c>
      <c r="Z90" s="55" t="s">
        <v>69</v>
      </c>
      <c r="AA90" s="55" t="s">
        <v>78</v>
      </c>
      <c r="AB90" s="39" t="s">
        <v>340</v>
      </c>
    </row>
    <row r="91" spans="1:30" x14ac:dyDescent="0.15">
      <c r="A91" s="55" t="s">
        <v>41</v>
      </c>
      <c r="B91" s="237" t="s">
        <v>338</v>
      </c>
      <c r="C91" s="152">
        <v>2018</v>
      </c>
      <c r="D91" s="56" t="s">
        <v>345</v>
      </c>
      <c r="E91" s="55" t="s">
        <v>294</v>
      </c>
      <c r="F91" s="237" t="s">
        <v>300</v>
      </c>
      <c r="G91" s="55" t="s">
        <v>42</v>
      </c>
      <c r="H91" s="55" t="s">
        <v>166</v>
      </c>
      <c r="I91" s="55" t="s">
        <v>155</v>
      </c>
      <c r="J91" s="55" t="s">
        <v>38</v>
      </c>
      <c r="K91" s="55" t="s">
        <v>156</v>
      </c>
      <c r="L91" s="237">
        <v>3</v>
      </c>
      <c r="N91" s="237">
        <v>3</v>
      </c>
      <c r="O91" s="237">
        <v>0.25</v>
      </c>
      <c r="P91" s="237">
        <v>0.4</v>
      </c>
      <c r="Q91" s="57">
        <f t="shared" si="3"/>
        <v>0.32500000000000001</v>
      </c>
      <c r="R91" s="237">
        <v>17.100000000000001</v>
      </c>
      <c r="S91" s="237">
        <v>124</v>
      </c>
      <c r="T91" s="57">
        <f t="shared" si="4"/>
        <v>27</v>
      </c>
      <c r="U91" s="237">
        <v>537</v>
      </c>
      <c r="V91" s="58">
        <f t="shared" si="5"/>
        <v>4833</v>
      </c>
      <c r="W91" s="237">
        <v>1</v>
      </c>
      <c r="X91" s="55" t="s">
        <v>46</v>
      </c>
      <c r="Y91" s="55" t="s">
        <v>97</v>
      </c>
      <c r="Z91" s="55" t="s">
        <v>69</v>
      </c>
      <c r="AA91" s="55" t="s">
        <v>78</v>
      </c>
      <c r="AB91" s="39" t="s">
        <v>340</v>
      </c>
    </row>
    <row r="92" spans="1:30" x14ac:dyDescent="0.15">
      <c r="A92" s="55" t="s">
        <v>41</v>
      </c>
      <c r="B92" s="237" t="s">
        <v>338</v>
      </c>
      <c r="C92" s="152">
        <v>2018</v>
      </c>
      <c r="D92" s="56" t="s">
        <v>345</v>
      </c>
      <c r="E92" s="55" t="s">
        <v>294</v>
      </c>
      <c r="F92" s="237" t="s">
        <v>300</v>
      </c>
      <c r="G92" s="55" t="s">
        <v>42</v>
      </c>
      <c r="H92" s="55" t="s">
        <v>166</v>
      </c>
      <c r="I92" s="55" t="s">
        <v>155</v>
      </c>
      <c r="J92" s="55" t="s">
        <v>38</v>
      </c>
      <c r="K92" s="55" t="s">
        <v>156</v>
      </c>
      <c r="L92" s="237">
        <v>1</v>
      </c>
      <c r="N92" s="55">
        <v>1</v>
      </c>
      <c r="O92" s="237">
        <v>0.5</v>
      </c>
      <c r="P92" s="237">
        <v>0.45</v>
      </c>
      <c r="Q92" s="57">
        <f t="shared" si="3"/>
        <v>0.47499999999999998</v>
      </c>
      <c r="R92" s="237">
        <v>14.5</v>
      </c>
      <c r="S92" s="237">
        <v>126</v>
      </c>
      <c r="T92" s="57">
        <f t="shared" si="4"/>
        <v>27</v>
      </c>
      <c r="U92" s="237">
        <v>138</v>
      </c>
      <c r="V92" s="58">
        <f t="shared" si="5"/>
        <v>3726</v>
      </c>
      <c r="W92" s="237">
        <v>1</v>
      </c>
      <c r="X92" s="55" t="s">
        <v>46</v>
      </c>
      <c r="Y92" s="55" t="s">
        <v>97</v>
      </c>
      <c r="Z92" s="55" t="s">
        <v>69</v>
      </c>
      <c r="AA92" s="55" t="s">
        <v>78</v>
      </c>
      <c r="AB92" s="39" t="s">
        <v>340</v>
      </c>
    </row>
    <row r="93" spans="1:30" x14ac:dyDescent="0.15">
      <c r="A93" s="55" t="s">
        <v>41</v>
      </c>
      <c r="B93" s="237" t="s">
        <v>338</v>
      </c>
      <c r="C93" s="152">
        <v>2018</v>
      </c>
      <c r="D93" s="56" t="s">
        <v>345</v>
      </c>
      <c r="E93" s="55" t="s">
        <v>294</v>
      </c>
      <c r="F93" s="237" t="s">
        <v>300</v>
      </c>
      <c r="G93" s="55" t="s">
        <v>42</v>
      </c>
      <c r="H93" s="55" t="s">
        <v>166</v>
      </c>
      <c r="I93" s="55" t="s">
        <v>155</v>
      </c>
      <c r="J93" s="55" t="s">
        <v>38</v>
      </c>
      <c r="K93" s="55" t="s">
        <v>156</v>
      </c>
      <c r="L93" s="237">
        <v>2</v>
      </c>
      <c r="N93" s="55">
        <v>1</v>
      </c>
      <c r="O93" s="237">
        <v>0.35</v>
      </c>
      <c r="P93" s="237">
        <v>0.4</v>
      </c>
      <c r="Q93" s="57">
        <f t="shared" si="3"/>
        <v>0.375</v>
      </c>
      <c r="R93" s="237">
        <v>14.2</v>
      </c>
      <c r="S93" s="237">
        <v>120</v>
      </c>
      <c r="T93" s="57">
        <f t="shared" si="4"/>
        <v>30</v>
      </c>
      <c r="U93" s="237">
        <v>138</v>
      </c>
      <c r="V93" s="58">
        <f t="shared" si="5"/>
        <v>4140</v>
      </c>
      <c r="W93" s="237">
        <v>1</v>
      </c>
      <c r="X93" s="55" t="s">
        <v>46</v>
      </c>
      <c r="Y93" s="55" t="s">
        <v>97</v>
      </c>
      <c r="Z93" s="55" t="s">
        <v>69</v>
      </c>
      <c r="AA93" s="55" t="s">
        <v>78</v>
      </c>
      <c r="AB93" s="39" t="s">
        <v>340</v>
      </c>
    </row>
    <row r="94" spans="1:30" x14ac:dyDescent="0.15">
      <c r="A94" s="55" t="s">
        <v>41</v>
      </c>
      <c r="B94" s="237" t="s">
        <v>338</v>
      </c>
      <c r="C94" s="152">
        <v>2018</v>
      </c>
      <c r="D94" s="56" t="s">
        <v>345</v>
      </c>
      <c r="E94" s="55" t="s">
        <v>294</v>
      </c>
      <c r="F94" s="237" t="s">
        <v>300</v>
      </c>
      <c r="G94" s="55" t="s">
        <v>42</v>
      </c>
      <c r="H94" s="55" t="s">
        <v>166</v>
      </c>
      <c r="I94" s="55" t="s">
        <v>155</v>
      </c>
      <c r="J94" s="55" t="s">
        <v>38</v>
      </c>
      <c r="K94" s="55" t="s">
        <v>156</v>
      </c>
      <c r="L94" s="237">
        <v>3</v>
      </c>
      <c r="N94" s="237">
        <v>1</v>
      </c>
      <c r="O94" s="55">
        <v>0.3</v>
      </c>
      <c r="P94" s="55">
        <v>0.4</v>
      </c>
      <c r="Q94" s="57">
        <f t="shared" si="3"/>
        <v>0.35</v>
      </c>
      <c r="R94" s="237">
        <v>16.899999999999999</v>
      </c>
      <c r="S94" s="237">
        <v>124</v>
      </c>
      <c r="T94" s="57">
        <f t="shared" si="4"/>
        <v>27</v>
      </c>
      <c r="U94" s="237">
        <v>138</v>
      </c>
      <c r="V94" s="58">
        <f t="shared" si="5"/>
        <v>3726</v>
      </c>
      <c r="W94" s="237">
        <v>1</v>
      </c>
      <c r="X94" s="55" t="s">
        <v>46</v>
      </c>
      <c r="Y94" s="55" t="s">
        <v>97</v>
      </c>
      <c r="Z94" s="55" t="s">
        <v>69</v>
      </c>
      <c r="AA94" s="55" t="s">
        <v>78</v>
      </c>
      <c r="AB94" s="39" t="s">
        <v>340</v>
      </c>
    </row>
    <row r="95" spans="1:30" x14ac:dyDescent="0.15">
      <c r="A95" s="55" t="s">
        <v>41</v>
      </c>
      <c r="B95" s="237" t="s">
        <v>338</v>
      </c>
      <c r="C95" s="152">
        <v>2018</v>
      </c>
      <c r="D95" s="56" t="s">
        <v>345</v>
      </c>
      <c r="E95" s="237" t="s">
        <v>295</v>
      </c>
      <c r="F95" s="237" t="s">
        <v>301</v>
      </c>
      <c r="G95" s="55" t="s">
        <v>42</v>
      </c>
      <c r="H95" s="55" t="s">
        <v>157</v>
      </c>
      <c r="I95" s="55" t="s">
        <v>155</v>
      </c>
      <c r="J95" s="55" t="s">
        <v>38</v>
      </c>
      <c r="K95" s="55" t="s">
        <v>156</v>
      </c>
      <c r="L95" s="237">
        <v>1</v>
      </c>
      <c r="N95" s="237">
        <v>1</v>
      </c>
      <c r="O95" s="237">
        <v>0.5</v>
      </c>
      <c r="P95" s="237">
        <v>0.45</v>
      </c>
      <c r="Q95" s="57">
        <f t="shared" si="3"/>
        <v>0.47499999999999998</v>
      </c>
      <c r="R95" s="237">
        <v>16.8</v>
      </c>
      <c r="S95" s="55">
        <v>122</v>
      </c>
      <c r="T95" s="57">
        <f t="shared" si="4"/>
        <v>27</v>
      </c>
      <c r="U95" s="237">
        <v>105</v>
      </c>
      <c r="V95" s="58">
        <f t="shared" si="5"/>
        <v>2835</v>
      </c>
      <c r="W95" s="237">
        <v>2</v>
      </c>
      <c r="X95" s="55" t="s">
        <v>46</v>
      </c>
      <c r="Y95" s="55" t="s">
        <v>97</v>
      </c>
      <c r="Z95" s="55" t="s">
        <v>88</v>
      </c>
      <c r="AA95" s="55" t="s">
        <v>60</v>
      </c>
      <c r="AB95" s="39" t="s">
        <v>340</v>
      </c>
    </row>
    <row r="96" spans="1:30" x14ac:dyDescent="0.15">
      <c r="A96" s="55" t="s">
        <v>41</v>
      </c>
      <c r="B96" s="237" t="s">
        <v>338</v>
      </c>
      <c r="C96" s="152">
        <v>2018</v>
      </c>
      <c r="D96" s="56" t="s">
        <v>345</v>
      </c>
      <c r="E96" s="237" t="s">
        <v>295</v>
      </c>
      <c r="F96" s="237" t="s">
        <v>301</v>
      </c>
      <c r="G96" s="55" t="s">
        <v>42</v>
      </c>
      <c r="H96" s="55" t="s">
        <v>157</v>
      </c>
      <c r="I96" s="55" t="s">
        <v>155</v>
      </c>
      <c r="J96" s="55" t="s">
        <v>38</v>
      </c>
      <c r="K96" s="55" t="s">
        <v>156</v>
      </c>
      <c r="L96" s="237">
        <v>2</v>
      </c>
      <c r="N96" s="237">
        <v>1</v>
      </c>
      <c r="O96" s="237">
        <v>0.65</v>
      </c>
      <c r="P96" s="237">
        <v>0.65</v>
      </c>
      <c r="Q96" s="57">
        <f t="shared" si="3"/>
        <v>0.65</v>
      </c>
      <c r="R96" s="237">
        <v>17</v>
      </c>
      <c r="S96" s="55">
        <v>127</v>
      </c>
      <c r="T96" s="57">
        <f t="shared" si="4"/>
        <v>27</v>
      </c>
      <c r="U96" s="237">
        <v>105</v>
      </c>
      <c r="V96" s="58">
        <f t="shared" si="5"/>
        <v>2835</v>
      </c>
      <c r="W96" s="237">
        <v>2</v>
      </c>
      <c r="X96" s="55" t="s">
        <v>46</v>
      </c>
      <c r="Y96" s="55" t="s">
        <v>97</v>
      </c>
      <c r="Z96" s="55" t="s">
        <v>88</v>
      </c>
      <c r="AA96" s="55" t="s">
        <v>60</v>
      </c>
      <c r="AB96" s="39" t="s">
        <v>340</v>
      </c>
    </row>
    <row r="97" spans="1:28" x14ac:dyDescent="0.15">
      <c r="A97" s="55" t="s">
        <v>41</v>
      </c>
      <c r="B97" s="237" t="s">
        <v>338</v>
      </c>
      <c r="C97" s="152">
        <v>2018</v>
      </c>
      <c r="D97" s="56" t="s">
        <v>345</v>
      </c>
      <c r="E97" s="237" t="s">
        <v>295</v>
      </c>
      <c r="F97" s="237" t="s">
        <v>301</v>
      </c>
      <c r="G97" s="55" t="s">
        <v>42</v>
      </c>
      <c r="H97" s="55" t="s">
        <v>157</v>
      </c>
      <c r="I97" s="55" t="s">
        <v>155</v>
      </c>
      <c r="J97" s="55" t="s">
        <v>38</v>
      </c>
      <c r="K97" s="55" t="s">
        <v>156</v>
      </c>
      <c r="L97" s="237">
        <v>3</v>
      </c>
      <c r="N97" s="237">
        <v>1</v>
      </c>
      <c r="O97" s="237">
        <v>0.6</v>
      </c>
      <c r="P97" s="237">
        <v>0.5</v>
      </c>
      <c r="Q97" s="57">
        <f t="shared" si="3"/>
        <v>0.55000000000000004</v>
      </c>
      <c r="R97" s="237">
        <v>15.5</v>
      </c>
      <c r="S97" s="55">
        <v>132</v>
      </c>
      <c r="T97" s="57">
        <f t="shared" si="4"/>
        <v>25</v>
      </c>
      <c r="U97" s="237">
        <v>105</v>
      </c>
      <c r="V97" s="58">
        <f t="shared" si="5"/>
        <v>2625</v>
      </c>
      <c r="W97" s="237">
        <v>2</v>
      </c>
      <c r="X97" s="55" t="s">
        <v>46</v>
      </c>
      <c r="Y97" s="55" t="s">
        <v>97</v>
      </c>
      <c r="Z97" s="55" t="s">
        <v>88</v>
      </c>
      <c r="AA97" s="55" t="s">
        <v>60</v>
      </c>
      <c r="AB97" s="39" t="s">
        <v>340</v>
      </c>
    </row>
    <row r="98" spans="1:28" x14ac:dyDescent="0.15">
      <c r="A98" s="55" t="s">
        <v>41</v>
      </c>
      <c r="B98" s="237" t="s">
        <v>338</v>
      </c>
      <c r="C98" s="152">
        <v>2018</v>
      </c>
      <c r="D98" s="56" t="s">
        <v>345</v>
      </c>
      <c r="E98" s="237" t="s">
        <v>295</v>
      </c>
      <c r="F98" s="237" t="s">
        <v>301</v>
      </c>
      <c r="G98" s="55" t="s">
        <v>42</v>
      </c>
      <c r="H98" s="55" t="s">
        <v>157</v>
      </c>
      <c r="I98" s="55" t="s">
        <v>155</v>
      </c>
      <c r="J98" s="55" t="s">
        <v>38</v>
      </c>
      <c r="K98" s="55" t="s">
        <v>156</v>
      </c>
      <c r="L98" s="237">
        <v>1</v>
      </c>
      <c r="N98" s="237">
        <v>4</v>
      </c>
      <c r="O98" s="55">
        <v>1</v>
      </c>
      <c r="P98" s="258">
        <v>0.95</v>
      </c>
      <c r="Q98" s="259">
        <f t="shared" si="3"/>
        <v>0.97499999999999998</v>
      </c>
      <c r="R98" s="55">
        <v>17.399999999999999</v>
      </c>
      <c r="S98" s="55">
        <v>125</v>
      </c>
      <c r="T98" s="57">
        <f t="shared" si="4"/>
        <v>27</v>
      </c>
      <c r="U98" s="237">
        <v>410</v>
      </c>
      <c r="V98" s="58">
        <f t="shared" si="5"/>
        <v>2767.5</v>
      </c>
      <c r="W98" s="237">
        <v>1</v>
      </c>
      <c r="X98" s="55" t="s">
        <v>46</v>
      </c>
      <c r="Y98" s="55" t="s">
        <v>97</v>
      </c>
      <c r="Z98" s="55" t="s">
        <v>88</v>
      </c>
      <c r="AA98" s="55" t="s">
        <v>60</v>
      </c>
      <c r="AB98" s="39" t="s">
        <v>340</v>
      </c>
    </row>
    <row r="99" spans="1:28" x14ac:dyDescent="0.15">
      <c r="A99" s="55" t="s">
        <v>41</v>
      </c>
      <c r="B99" s="237" t="s">
        <v>338</v>
      </c>
      <c r="C99" s="152">
        <v>2018</v>
      </c>
      <c r="D99" s="56" t="s">
        <v>345</v>
      </c>
      <c r="E99" s="237" t="s">
        <v>295</v>
      </c>
      <c r="F99" s="237" t="s">
        <v>301</v>
      </c>
      <c r="G99" s="55" t="s">
        <v>42</v>
      </c>
      <c r="H99" s="55" t="s">
        <v>157</v>
      </c>
      <c r="I99" s="55" t="s">
        <v>155</v>
      </c>
      <c r="J99" s="55" t="s">
        <v>38</v>
      </c>
      <c r="K99" s="55" t="s">
        <v>156</v>
      </c>
      <c r="L99" s="237">
        <v>2</v>
      </c>
      <c r="N99" s="237">
        <v>4</v>
      </c>
      <c r="O99" s="55">
        <v>1</v>
      </c>
      <c r="P99" s="55">
        <v>0.9</v>
      </c>
      <c r="Q99" s="259">
        <f t="shared" si="3"/>
        <v>0.95</v>
      </c>
      <c r="R99" s="55">
        <v>14.8</v>
      </c>
      <c r="S99" s="55">
        <v>127</v>
      </c>
      <c r="T99" s="57">
        <f t="shared" si="4"/>
        <v>27</v>
      </c>
      <c r="U99" s="237">
        <v>410</v>
      </c>
      <c r="V99" s="58">
        <f t="shared" si="5"/>
        <v>2767.5</v>
      </c>
      <c r="W99" s="237">
        <v>1</v>
      </c>
      <c r="X99" s="55" t="s">
        <v>46</v>
      </c>
      <c r="Y99" s="55" t="s">
        <v>97</v>
      </c>
      <c r="Z99" s="55" t="s">
        <v>88</v>
      </c>
      <c r="AA99" s="55" t="s">
        <v>60</v>
      </c>
      <c r="AB99" s="39" t="s">
        <v>340</v>
      </c>
    </row>
    <row r="100" spans="1:28" x14ac:dyDescent="0.15">
      <c r="A100" s="55" t="s">
        <v>41</v>
      </c>
      <c r="B100" s="237" t="s">
        <v>338</v>
      </c>
      <c r="C100" s="152">
        <v>2018</v>
      </c>
      <c r="D100" s="56" t="s">
        <v>345</v>
      </c>
      <c r="E100" s="237" t="s">
        <v>295</v>
      </c>
      <c r="F100" s="237" t="s">
        <v>301</v>
      </c>
      <c r="G100" s="55" t="s">
        <v>42</v>
      </c>
      <c r="H100" s="55" t="s">
        <v>157</v>
      </c>
      <c r="I100" s="55" t="s">
        <v>155</v>
      </c>
      <c r="J100" s="55" t="s">
        <v>38</v>
      </c>
      <c r="K100" s="55" t="s">
        <v>156</v>
      </c>
      <c r="L100" s="237">
        <v>3</v>
      </c>
      <c r="N100" s="237">
        <v>4</v>
      </c>
      <c r="O100" s="55">
        <v>1.05</v>
      </c>
      <c r="P100" s="55">
        <v>0.95</v>
      </c>
      <c r="Q100" s="259">
        <f t="shared" si="3"/>
        <v>1</v>
      </c>
      <c r="R100" s="55">
        <v>13.8</v>
      </c>
      <c r="S100" s="55">
        <v>124</v>
      </c>
      <c r="T100" s="57">
        <f t="shared" si="4"/>
        <v>27</v>
      </c>
      <c r="U100" s="237">
        <v>410</v>
      </c>
      <c r="V100" s="58">
        <f t="shared" si="5"/>
        <v>2767.5</v>
      </c>
      <c r="W100" s="237">
        <v>1</v>
      </c>
      <c r="X100" s="55" t="s">
        <v>46</v>
      </c>
      <c r="Y100" s="55" t="s">
        <v>97</v>
      </c>
      <c r="Z100" s="55" t="s">
        <v>88</v>
      </c>
      <c r="AA100" s="55" t="s">
        <v>60</v>
      </c>
      <c r="AB100" s="39" t="s">
        <v>340</v>
      </c>
    </row>
    <row r="101" spans="1:28" x14ac:dyDescent="0.15">
      <c r="A101" s="55" t="s">
        <v>41</v>
      </c>
      <c r="B101" s="237" t="s">
        <v>338</v>
      </c>
      <c r="C101" s="152">
        <v>2018</v>
      </c>
      <c r="D101" s="56" t="s">
        <v>345</v>
      </c>
      <c r="E101" s="237" t="s">
        <v>295</v>
      </c>
      <c r="F101" s="237" t="s">
        <v>301</v>
      </c>
      <c r="G101" s="55" t="s">
        <v>42</v>
      </c>
      <c r="H101" s="55" t="s">
        <v>166</v>
      </c>
      <c r="I101" s="55" t="s">
        <v>155</v>
      </c>
      <c r="J101" s="55" t="s">
        <v>38</v>
      </c>
      <c r="K101" s="55" t="s">
        <v>156</v>
      </c>
      <c r="L101" s="237">
        <v>1</v>
      </c>
      <c r="N101" s="237">
        <v>1</v>
      </c>
      <c r="O101" s="55">
        <v>0.25</v>
      </c>
      <c r="P101" s="55">
        <v>0.3</v>
      </c>
      <c r="Q101" s="82">
        <f t="shared" si="3"/>
        <v>0.27500000000000002</v>
      </c>
      <c r="R101" s="55">
        <v>14.2</v>
      </c>
      <c r="S101" s="55">
        <v>131</v>
      </c>
      <c r="T101" s="57">
        <f t="shared" si="4"/>
        <v>25</v>
      </c>
      <c r="U101" s="237">
        <v>138</v>
      </c>
      <c r="V101" s="58">
        <f t="shared" si="5"/>
        <v>3450</v>
      </c>
      <c r="W101" s="237">
        <v>2</v>
      </c>
      <c r="X101" s="55" t="s">
        <v>46</v>
      </c>
      <c r="Y101" s="55" t="s">
        <v>97</v>
      </c>
      <c r="Z101" s="55" t="s">
        <v>88</v>
      </c>
      <c r="AA101" s="55" t="s">
        <v>60</v>
      </c>
      <c r="AB101" s="39" t="s">
        <v>340</v>
      </c>
    </row>
    <row r="102" spans="1:28" x14ac:dyDescent="0.15">
      <c r="A102" s="55" t="s">
        <v>41</v>
      </c>
      <c r="B102" s="237" t="s">
        <v>338</v>
      </c>
      <c r="C102" s="152">
        <v>2018</v>
      </c>
      <c r="D102" s="56" t="s">
        <v>345</v>
      </c>
      <c r="E102" s="237" t="s">
        <v>295</v>
      </c>
      <c r="F102" s="237" t="s">
        <v>301</v>
      </c>
      <c r="G102" s="55" t="s">
        <v>42</v>
      </c>
      <c r="H102" s="55" t="s">
        <v>166</v>
      </c>
      <c r="I102" s="55" t="s">
        <v>155</v>
      </c>
      <c r="J102" s="55" t="s">
        <v>38</v>
      </c>
      <c r="K102" s="55" t="s">
        <v>156</v>
      </c>
      <c r="L102" s="237">
        <v>2</v>
      </c>
      <c r="N102" s="237">
        <v>1</v>
      </c>
      <c r="O102" s="55">
        <v>0.25</v>
      </c>
      <c r="P102" s="55">
        <v>0.3</v>
      </c>
      <c r="Q102" s="82">
        <f t="shared" si="3"/>
        <v>0.27500000000000002</v>
      </c>
      <c r="R102" s="55">
        <v>16.8</v>
      </c>
      <c r="S102" s="55">
        <v>128</v>
      </c>
      <c r="T102" s="57">
        <f t="shared" si="4"/>
        <v>27</v>
      </c>
      <c r="U102" s="237">
        <v>138</v>
      </c>
      <c r="V102" s="58">
        <f t="shared" si="5"/>
        <v>3726</v>
      </c>
      <c r="W102" s="237">
        <v>2</v>
      </c>
      <c r="X102" s="55" t="s">
        <v>46</v>
      </c>
      <c r="Y102" s="55" t="s">
        <v>97</v>
      </c>
      <c r="Z102" s="55" t="s">
        <v>88</v>
      </c>
      <c r="AA102" s="55" t="s">
        <v>60</v>
      </c>
      <c r="AB102" s="39" t="s">
        <v>340</v>
      </c>
    </row>
    <row r="103" spans="1:28" x14ac:dyDescent="0.15">
      <c r="A103" s="55" t="s">
        <v>41</v>
      </c>
      <c r="B103" s="237" t="s">
        <v>338</v>
      </c>
      <c r="C103" s="152">
        <v>2018</v>
      </c>
      <c r="D103" s="56" t="s">
        <v>345</v>
      </c>
      <c r="E103" s="237" t="s">
        <v>295</v>
      </c>
      <c r="F103" s="237" t="s">
        <v>301</v>
      </c>
      <c r="G103" s="55" t="s">
        <v>42</v>
      </c>
      <c r="H103" s="55" t="s">
        <v>166</v>
      </c>
      <c r="I103" s="55" t="s">
        <v>155</v>
      </c>
      <c r="J103" s="55" t="s">
        <v>38</v>
      </c>
      <c r="K103" s="55" t="s">
        <v>156</v>
      </c>
      <c r="L103" s="237">
        <v>3</v>
      </c>
      <c r="N103" s="237">
        <v>1</v>
      </c>
      <c r="O103" s="55">
        <v>0.25</v>
      </c>
      <c r="P103" s="55">
        <v>0.25</v>
      </c>
      <c r="Q103" s="82">
        <f t="shared" si="3"/>
        <v>0.25</v>
      </c>
      <c r="R103" s="55">
        <v>19.2</v>
      </c>
      <c r="S103" s="55">
        <v>129</v>
      </c>
      <c r="T103" s="57">
        <f t="shared" si="4"/>
        <v>25</v>
      </c>
      <c r="U103" s="237">
        <v>138</v>
      </c>
      <c r="V103" s="58">
        <f t="shared" si="5"/>
        <v>3450</v>
      </c>
      <c r="W103" s="237">
        <v>2</v>
      </c>
      <c r="X103" s="55" t="s">
        <v>46</v>
      </c>
      <c r="Y103" s="55" t="s">
        <v>97</v>
      </c>
      <c r="Z103" s="55" t="s">
        <v>88</v>
      </c>
      <c r="AA103" s="55" t="s">
        <v>60</v>
      </c>
      <c r="AB103" s="39" t="s">
        <v>340</v>
      </c>
    </row>
    <row r="104" spans="1:28" x14ac:dyDescent="0.15">
      <c r="A104" s="55" t="s">
        <v>41</v>
      </c>
      <c r="B104" s="237" t="s">
        <v>338</v>
      </c>
      <c r="C104" s="152">
        <v>2018</v>
      </c>
      <c r="D104" s="56" t="s">
        <v>345</v>
      </c>
      <c r="E104" s="237" t="s">
        <v>295</v>
      </c>
      <c r="F104" s="237" t="s">
        <v>301</v>
      </c>
      <c r="G104" s="55" t="s">
        <v>42</v>
      </c>
      <c r="H104" s="55" t="s">
        <v>166</v>
      </c>
      <c r="I104" s="55" t="s">
        <v>155</v>
      </c>
      <c r="J104" s="55" t="s">
        <v>38</v>
      </c>
      <c r="K104" s="55" t="s">
        <v>156</v>
      </c>
      <c r="L104" s="237">
        <v>1</v>
      </c>
      <c r="N104" s="237">
        <v>4</v>
      </c>
      <c r="O104" s="55">
        <v>0.25</v>
      </c>
      <c r="P104" s="55">
        <v>0.25</v>
      </c>
      <c r="Q104" s="82">
        <f t="shared" si="3"/>
        <v>0.25</v>
      </c>
      <c r="R104" s="55">
        <v>15.8</v>
      </c>
      <c r="S104" s="55">
        <v>124</v>
      </c>
      <c r="T104" s="57">
        <f t="shared" si="4"/>
        <v>27</v>
      </c>
      <c r="U104" s="237">
        <v>518</v>
      </c>
      <c r="V104" s="58">
        <f t="shared" si="5"/>
        <v>3496.5</v>
      </c>
      <c r="W104" s="237">
        <v>2</v>
      </c>
      <c r="X104" s="55" t="s">
        <v>46</v>
      </c>
      <c r="Y104" s="55" t="s">
        <v>97</v>
      </c>
      <c r="Z104" s="55" t="s">
        <v>88</v>
      </c>
      <c r="AA104" s="55" t="s">
        <v>60</v>
      </c>
      <c r="AB104" s="39" t="s">
        <v>340</v>
      </c>
    </row>
    <row r="105" spans="1:28" x14ac:dyDescent="0.15">
      <c r="A105" s="55" t="s">
        <v>41</v>
      </c>
      <c r="B105" s="237" t="s">
        <v>338</v>
      </c>
      <c r="C105" s="152">
        <v>2018</v>
      </c>
      <c r="D105" s="56" t="s">
        <v>345</v>
      </c>
      <c r="E105" s="237" t="s">
        <v>295</v>
      </c>
      <c r="F105" s="237" t="s">
        <v>301</v>
      </c>
      <c r="G105" s="55" t="s">
        <v>42</v>
      </c>
      <c r="H105" s="55" t="s">
        <v>166</v>
      </c>
      <c r="I105" s="55" t="s">
        <v>155</v>
      </c>
      <c r="J105" s="55" t="s">
        <v>38</v>
      </c>
      <c r="K105" s="55" t="s">
        <v>156</v>
      </c>
      <c r="L105" s="237">
        <v>2</v>
      </c>
      <c r="N105" s="237">
        <v>4</v>
      </c>
      <c r="O105" s="55">
        <v>0.25</v>
      </c>
      <c r="P105" s="55">
        <v>0.25</v>
      </c>
      <c r="Q105" s="82">
        <f t="shared" si="3"/>
        <v>0.25</v>
      </c>
      <c r="R105" s="55">
        <v>13.2</v>
      </c>
      <c r="S105" s="55">
        <v>125</v>
      </c>
      <c r="T105" s="57">
        <f t="shared" si="4"/>
        <v>27</v>
      </c>
      <c r="U105" s="237">
        <v>518</v>
      </c>
      <c r="V105" s="58">
        <f t="shared" si="5"/>
        <v>3496.5</v>
      </c>
      <c r="W105" s="237">
        <v>2</v>
      </c>
      <c r="X105" s="55" t="s">
        <v>46</v>
      </c>
      <c r="Y105" s="55" t="s">
        <v>97</v>
      </c>
      <c r="Z105" s="55" t="s">
        <v>88</v>
      </c>
      <c r="AA105" s="55" t="s">
        <v>60</v>
      </c>
      <c r="AB105" s="39" t="s">
        <v>340</v>
      </c>
    </row>
    <row r="106" spans="1:28" x14ac:dyDescent="0.15">
      <c r="A106" s="55" t="s">
        <v>41</v>
      </c>
      <c r="B106" s="237" t="s">
        <v>338</v>
      </c>
      <c r="C106" s="152">
        <v>2018</v>
      </c>
      <c r="D106" s="56" t="s">
        <v>345</v>
      </c>
      <c r="E106" s="237" t="s">
        <v>295</v>
      </c>
      <c r="F106" s="237" t="s">
        <v>301</v>
      </c>
      <c r="G106" s="55" t="s">
        <v>42</v>
      </c>
      <c r="H106" s="55" t="s">
        <v>166</v>
      </c>
      <c r="I106" s="55" t="s">
        <v>155</v>
      </c>
      <c r="J106" s="55" t="s">
        <v>38</v>
      </c>
      <c r="K106" s="55" t="s">
        <v>156</v>
      </c>
      <c r="L106" s="237">
        <v>3</v>
      </c>
      <c r="N106" s="237">
        <v>4</v>
      </c>
      <c r="O106" s="55">
        <v>0.25</v>
      </c>
      <c r="P106" s="55">
        <v>0.3</v>
      </c>
      <c r="Q106" s="82">
        <f t="shared" si="3"/>
        <v>0.27500000000000002</v>
      </c>
      <c r="R106" s="55">
        <v>13.2</v>
      </c>
      <c r="S106" s="55">
        <v>125</v>
      </c>
      <c r="T106" s="57">
        <f t="shared" si="4"/>
        <v>27</v>
      </c>
      <c r="U106" s="237">
        <v>518</v>
      </c>
      <c r="V106" s="58">
        <f t="shared" si="5"/>
        <v>3496.5</v>
      </c>
      <c r="W106" s="237">
        <v>2</v>
      </c>
      <c r="X106" s="55" t="s">
        <v>46</v>
      </c>
      <c r="Y106" s="55" t="s">
        <v>97</v>
      </c>
      <c r="Z106" s="55" t="s">
        <v>88</v>
      </c>
      <c r="AA106" s="55" t="s">
        <v>60</v>
      </c>
      <c r="AB106" s="39" t="s">
        <v>340</v>
      </c>
    </row>
    <row r="107" spans="1:28" x14ac:dyDescent="0.15">
      <c r="A107" s="55" t="s">
        <v>41</v>
      </c>
      <c r="B107" s="237" t="s">
        <v>338</v>
      </c>
      <c r="C107" s="152">
        <v>2018</v>
      </c>
      <c r="D107" s="56" t="s">
        <v>345</v>
      </c>
      <c r="E107" s="237" t="s">
        <v>169</v>
      </c>
      <c r="F107" s="237" t="s">
        <v>302</v>
      </c>
      <c r="G107" s="55" t="s">
        <v>42</v>
      </c>
      <c r="H107" s="55" t="s">
        <v>166</v>
      </c>
      <c r="I107" s="55" t="s">
        <v>155</v>
      </c>
      <c r="J107" s="55" t="s">
        <v>38</v>
      </c>
      <c r="K107" s="55" t="s">
        <v>156</v>
      </c>
      <c r="L107" s="237">
        <v>1</v>
      </c>
      <c r="N107" s="237">
        <v>1</v>
      </c>
      <c r="O107" s="55">
        <v>0.4</v>
      </c>
      <c r="P107" s="55">
        <v>0.65</v>
      </c>
      <c r="Q107" s="57">
        <f t="shared" si="3"/>
        <v>0.52500000000000002</v>
      </c>
      <c r="R107" s="55">
        <v>14.5</v>
      </c>
      <c r="S107" s="55">
        <v>128</v>
      </c>
      <c r="T107" s="57">
        <f t="shared" si="4"/>
        <v>27</v>
      </c>
      <c r="U107" s="237">
        <v>137</v>
      </c>
      <c r="V107" s="58">
        <f t="shared" si="5"/>
        <v>3699</v>
      </c>
      <c r="W107" s="237">
        <v>3</v>
      </c>
      <c r="X107" s="55" t="s">
        <v>46</v>
      </c>
      <c r="Y107" s="55" t="s">
        <v>60</v>
      </c>
      <c r="Z107" s="55" t="s">
        <v>97</v>
      </c>
      <c r="AA107" s="55" t="s">
        <v>88</v>
      </c>
      <c r="AB107" s="39" t="s">
        <v>340</v>
      </c>
    </row>
    <row r="108" spans="1:28" x14ac:dyDescent="0.15">
      <c r="A108" s="55" t="s">
        <v>41</v>
      </c>
      <c r="B108" s="237" t="s">
        <v>338</v>
      </c>
      <c r="C108" s="152">
        <v>2018</v>
      </c>
      <c r="D108" s="56" t="s">
        <v>345</v>
      </c>
      <c r="E108" s="237" t="s">
        <v>169</v>
      </c>
      <c r="F108" s="237" t="s">
        <v>302</v>
      </c>
      <c r="G108" s="55" t="s">
        <v>42</v>
      </c>
      <c r="H108" s="55" t="s">
        <v>166</v>
      </c>
      <c r="I108" s="55" t="s">
        <v>155</v>
      </c>
      <c r="J108" s="55" t="s">
        <v>38</v>
      </c>
      <c r="K108" s="55" t="s">
        <v>156</v>
      </c>
      <c r="L108" s="237">
        <v>2</v>
      </c>
      <c r="N108" s="237">
        <v>1</v>
      </c>
      <c r="O108" s="55">
        <v>0.35</v>
      </c>
      <c r="P108" s="55">
        <v>0.4</v>
      </c>
      <c r="Q108" s="57">
        <f t="shared" si="3"/>
        <v>0.375</v>
      </c>
      <c r="R108" s="55">
        <v>14.6</v>
      </c>
      <c r="S108" s="55">
        <v>124</v>
      </c>
      <c r="T108" s="57">
        <f t="shared" si="4"/>
        <v>27</v>
      </c>
      <c r="U108" s="237">
        <v>137</v>
      </c>
      <c r="V108" s="58">
        <f t="shared" si="5"/>
        <v>3699</v>
      </c>
      <c r="W108" s="237">
        <v>3</v>
      </c>
      <c r="X108" s="55" t="s">
        <v>46</v>
      </c>
      <c r="Y108" s="55" t="s">
        <v>60</v>
      </c>
      <c r="Z108" s="55" t="s">
        <v>97</v>
      </c>
      <c r="AA108" s="55" t="s">
        <v>88</v>
      </c>
      <c r="AB108" s="39" t="s">
        <v>340</v>
      </c>
    </row>
    <row r="109" spans="1:28" x14ac:dyDescent="0.15">
      <c r="A109" s="55" t="s">
        <v>41</v>
      </c>
      <c r="B109" s="237" t="s">
        <v>338</v>
      </c>
      <c r="C109" s="152">
        <v>2018</v>
      </c>
      <c r="D109" s="56" t="s">
        <v>345</v>
      </c>
      <c r="E109" s="237" t="s">
        <v>169</v>
      </c>
      <c r="F109" s="237" t="s">
        <v>302</v>
      </c>
      <c r="G109" s="55" t="s">
        <v>42</v>
      </c>
      <c r="H109" s="55" t="s">
        <v>166</v>
      </c>
      <c r="I109" s="55" t="s">
        <v>155</v>
      </c>
      <c r="J109" s="55" t="s">
        <v>38</v>
      </c>
      <c r="K109" s="55" t="s">
        <v>156</v>
      </c>
      <c r="L109" s="237">
        <v>3</v>
      </c>
      <c r="N109" s="237">
        <v>1</v>
      </c>
      <c r="O109" s="55">
        <v>0.25</v>
      </c>
      <c r="P109" s="55">
        <v>0.35</v>
      </c>
      <c r="Q109" s="57">
        <f t="shared" si="3"/>
        <v>0.3</v>
      </c>
      <c r="R109" s="55">
        <v>16.399999999999999</v>
      </c>
      <c r="S109" s="55">
        <v>121</v>
      </c>
      <c r="T109" s="57">
        <f t="shared" si="4"/>
        <v>27</v>
      </c>
      <c r="U109" s="237">
        <v>137</v>
      </c>
      <c r="V109" s="58">
        <f t="shared" si="5"/>
        <v>3699</v>
      </c>
      <c r="W109" s="237">
        <v>3</v>
      </c>
      <c r="X109" s="55" t="s">
        <v>46</v>
      </c>
      <c r="Y109" s="55" t="s">
        <v>60</v>
      </c>
      <c r="Z109" s="55" t="s">
        <v>97</v>
      </c>
      <c r="AA109" s="55" t="s">
        <v>88</v>
      </c>
      <c r="AB109" s="39" t="s">
        <v>340</v>
      </c>
    </row>
    <row r="110" spans="1:28" x14ac:dyDescent="0.15">
      <c r="A110" s="55" t="s">
        <v>41</v>
      </c>
      <c r="B110" s="237" t="s">
        <v>338</v>
      </c>
      <c r="C110" s="152">
        <v>2018</v>
      </c>
      <c r="D110" s="56" t="s">
        <v>345</v>
      </c>
      <c r="E110" s="237" t="s">
        <v>169</v>
      </c>
      <c r="F110" s="237" t="s">
        <v>302</v>
      </c>
      <c r="G110" s="55" t="s">
        <v>42</v>
      </c>
      <c r="H110" s="55" t="s">
        <v>166</v>
      </c>
      <c r="I110" s="55" t="s">
        <v>155</v>
      </c>
      <c r="J110" s="55" t="s">
        <v>38</v>
      </c>
      <c r="K110" s="55" t="s">
        <v>156</v>
      </c>
      <c r="L110" s="237">
        <v>1</v>
      </c>
      <c r="N110" s="237">
        <v>4</v>
      </c>
      <c r="O110" s="55">
        <v>0.45</v>
      </c>
      <c r="P110" s="55">
        <v>0.65</v>
      </c>
      <c r="Q110" s="57">
        <f t="shared" si="3"/>
        <v>0.55000000000000004</v>
      </c>
      <c r="R110" s="55">
        <v>16.100000000000001</v>
      </c>
      <c r="S110" s="55">
        <v>120</v>
      </c>
      <c r="T110" s="57">
        <f t="shared" si="4"/>
        <v>30</v>
      </c>
      <c r="U110" s="237">
        <v>471</v>
      </c>
      <c r="V110" s="58">
        <f t="shared" si="5"/>
        <v>3532.5</v>
      </c>
      <c r="W110" s="237">
        <v>2</v>
      </c>
      <c r="X110" s="55" t="s">
        <v>46</v>
      </c>
      <c r="Y110" s="55" t="s">
        <v>60</v>
      </c>
      <c r="Z110" s="55" t="s">
        <v>97</v>
      </c>
      <c r="AA110" s="55" t="s">
        <v>88</v>
      </c>
      <c r="AB110" s="39" t="s">
        <v>340</v>
      </c>
    </row>
    <row r="111" spans="1:28" x14ac:dyDescent="0.15">
      <c r="A111" s="55" t="s">
        <v>41</v>
      </c>
      <c r="B111" s="237" t="s">
        <v>338</v>
      </c>
      <c r="C111" s="152">
        <v>2018</v>
      </c>
      <c r="D111" s="56" t="s">
        <v>345</v>
      </c>
      <c r="E111" s="237" t="s">
        <v>169</v>
      </c>
      <c r="F111" s="237" t="s">
        <v>302</v>
      </c>
      <c r="G111" s="55" t="s">
        <v>42</v>
      </c>
      <c r="H111" s="55" t="s">
        <v>166</v>
      </c>
      <c r="I111" s="55" t="s">
        <v>155</v>
      </c>
      <c r="J111" s="55" t="s">
        <v>38</v>
      </c>
      <c r="K111" s="55" t="s">
        <v>156</v>
      </c>
      <c r="L111" s="237">
        <v>2</v>
      </c>
      <c r="N111" s="237">
        <v>4</v>
      </c>
      <c r="O111" s="55">
        <v>0.7</v>
      </c>
      <c r="P111" s="55">
        <v>0.45</v>
      </c>
      <c r="Q111" s="57">
        <f t="shared" si="3"/>
        <v>0.57499999999999996</v>
      </c>
      <c r="R111" s="55">
        <v>13.2</v>
      </c>
      <c r="S111" s="55">
        <v>124</v>
      </c>
      <c r="T111" s="57">
        <f t="shared" si="4"/>
        <v>27</v>
      </c>
      <c r="U111" s="237">
        <v>471</v>
      </c>
      <c r="V111" s="58">
        <f t="shared" si="5"/>
        <v>3179.25</v>
      </c>
      <c r="W111" s="237">
        <v>2</v>
      </c>
      <c r="X111" s="55" t="s">
        <v>46</v>
      </c>
      <c r="Y111" s="55" t="s">
        <v>60</v>
      </c>
      <c r="Z111" s="55" t="s">
        <v>97</v>
      </c>
      <c r="AA111" s="55" t="s">
        <v>88</v>
      </c>
      <c r="AB111" s="39" t="s">
        <v>340</v>
      </c>
    </row>
    <row r="112" spans="1:28" x14ac:dyDescent="0.15">
      <c r="A112" s="55" t="s">
        <v>41</v>
      </c>
      <c r="B112" s="237" t="s">
        <v>338</v>
      </c>
      <c r="C112" s="152">
        <v>2018</v>
      </c>
      <c r="D112" s="56" t="s">
        <v>345</v>
      </c>
      <c r="E112" s="237" t="s">
        <v>169</v>
      </c>
      <c r="F112" s="237" t="s">
        <v>302</v>
      </c>
      <c r="G112" s="55" t="s">
        <v>42</v>
      </c>
      <c r="H112" s="55" t="s">
        <v>166</v>
      </c>
      <c r="I112" s="55" t="s">
        <v>155</v>
      </c>
      <c r="J112" s="55" t="s">
        <v>38</v>
      </c>
      <c r="K112" s="55" t="s">
        <v>156</v>
      </c>
      <c r="L112" s="237">
        <v>3</v>
      </c>
      <c r="N112" s="237">
        <v>4</v>
      </c>
      <c r="O112" s="55">
        <v>0.6</v>
      </c>
      <c r="P112" s="55">
        <v>0.65</v>
      </c>
      <c r="Q112" s="57">
        <f t="shared" si="3"/>
        <v>0.625</v>
      </c>
      <c r="R112" s="55">
        <v>14.2</v>
      </c>
      <c r="S112" s="55">
        <v>122</v>
      </c>
      <c r="T112" s="57">
        <f t="shared" si="4"/>
        <v>27</v>
      </c>
      <c r="U112" s="237">
        <v>471</v>
      </c>
      <c r="V112" s="58">
        <f t="shared" si="5"/>
        <v>3179.25</v>
      </c>
      <c r="W112" s="237">
        <v>2</v>
      </c>
      <c r="X112" s="55" t="s">
        <v>46</v>
      </c>
      <c r="Y112" s="55" t="s">
        <v>60</v>
      </c>
      <c r="Z112" s="55" t="s">
        <v>97</v>
      </c>
      <c r="AA112" s="55" t="s">
        <v>88</v>
      </c>
      <c r="AB112" s="39" t="s">
        <v>340</v>
      </c>
    </row>
    <row r="113" spans="1:28" x14ac:dyDescent="0.15">
      <c r="A113" s="55" t="s">
        <v>41</v>
      </c>
      <c r="B113" s="237" t="s">
        <v>338</v>
      </c>
      <c r="C113" s="152">
        <v>2018</v>
      </c>
      <c r="D113" s="56" t="s">
        <v>345</v>
      </c>
      <c r="E113" s="237" t="s">
        <v>169</v>
      </c>
      <c r="F113" s="237" t="s">
        <v>302</v>
      </c>
      <c r="G113" s="55" t="s">
        <v>42</v>
      </c>
      <c r="H113" s="55" t="s">
        <v>157</v>
      </c>
      <c r="I113" s="55" t="s">
        <v>155</v>
      </c>
      <c r="J113" s="55" t="s">
        <v>38</v>
      </c>
      <c r="K113" s="55" t="s">
        <v>156</v>
      </c>
      <c r="L113" s="237">
        <v>1</v>
      </c>
      <c r="N113" s="237">
        <v>1</v>
      </c>
      <c r="O113" s="55">
        <v>0.65</v>
      </c>
      <c r="P113" s="55">
        <v>0.65</v>
      </c>
      <c r="Q113" s="57">
        <f t="shared" si="3"/>
        <v>0.65</v>
      </c>
      <c r="R113" s="55">
        <v>15</v>
      </c>
      <c r="S113" s="55">
        <v>132</v>
      </c>
      <c r="T113" s="57">
        <f t="shared" si="4"/>
        <v>25</v>
      </c>
      <c r="U113" s="237">
        <v>137</v>
      </c>
      <c r="V113" s="58">
        <f t="shared" si="5"/>
        <v>3425</v>
      </c>
      <c r="W113" s="237">
        <v>2</v>
      </c>
      <c r="X113" s="55" t="s">
        <v>46</v>
      </c>
      <c r="Y113" s="55" t="s">
        <v>60</v>
      </c>
      <c r="Z113" s="55" t="s">
        <v>97</v>
      </c>
      <c r="AA113" s="55" t="s">
        <v>88</v>
      </c>
      <c r="AB113" s="39" t="s">
        <v>340</v>
      </c>
    </row>
    <row r="114" spans="1:28" x14ac:dyDescent="0.15">
      <c r="A114" s="55" t="s">
        <v>41</v>
      </c>
      <c r="B114" s="237" t="s">
        <v>338</v>
      </c>
      <c r="C114" s="152">
        <v>2018</v>
      </c>
      <c r="D114" s="56" t="s">
        <v>345</v>
      </c>
      <c r="E114" s="237" t="s">
        <v>169</v>
      </c>
      <c r="F114" s="237" t="s">
        <v>302</v>
      </c>
      <c r="G114" s="55" t="s">
        <v>42</v>
      </c>
      <c r="H114" s="55" t="s">
        <v>157</v>
      </c>
      <c r="I114" s="55" t="s">
        <v>155</v>
      </c>
      <c r="J114" s="55" t="s">
        <v>38</v>
      </c>
      <c r="K114" s="55" t="s">
        <v>156</v>
      </c>
      <c r="L114" s="237">
        <v>2</v>
      </c>
      <c r="N114" s="237">
        <v>1</v>
      </c>
      <c r="O114" s="55">
        <v>0.4</v>
      </c>
      <c r="P114" s="55">
        <v>0.45</v>
      </c>
      <c r="Q114" s="57">
        <f t="shared" si="3"/>
        <v>0.42500000000000004</v>
      </c>
      <c r="R114" s="55">
        <v>14.6</v>
      </c>
      <c r="S114" s="55">
        <v>124</v>
      </c>
      <c r="T114" s="57">
        <f t="shared" si="4"/>
        <v>27</v>
      </c>
      <c r="U114" s="237">
        <v>137</v>
      </c>
      <c r="V114" s="58">
        <f t="shared" si="5"/>
        <v>3699</v>
      </c>
      <c r="W114" s="237">
        <v>2</v>
      </c>
      <c r="X114" s="55" t="s">
        <v>46</v>
      </c>
      <c r="Y114" s="55" t="s">
        <v>60</v>
      </c>
      <c r="Z114" s="55" t="s">
        <v>97</v>
      </c>
      <c r="AA114" s="55" t="s">
        <v>88</v>
      </c>
      <c r="AB114" s="39" t="s">
        <v>340</v>
      </c>
    </row>
    <row r="115" spans="1:28" x14ac:dyDescent="0.15">
      <c r="A115" s="55" t="s">
        <v>41</v>
      </c>
      <c r="B115" s="237" t="s">
        <v>338</v>
      </c>
      <c r="C115" s="152">
        <v>2018</v>
      </c>
      <c r="D115" s="56" t="s">
        <v>345</v>
      </c>
      <c r="E115" s="237" t="s">
        <v>169</v>
      </c>
      <c r="F115" s="237" t="s">
        <v>302</v>
      </c>
      <c r="G115" s="55" t="s">
        <v>42</v>
      </c>
      <c r="H115" s="55" t="s">
        <v>157</v>
      </c>
      <c r="I115" s="55" t="s">
        <v>155</v>
      </c>
      <c r="J115" s="55" t="s">
        <v>38</v>
      </c>
      <c r="K115" s="55" t="s">
        <v>156</v>
      </c>
      <c r="L115" s="237">
        <v>3</v>
      </c>
      <c r="N115" s="237">
        <v>1</v>
      </c>
      <c r="O115" s="55">
        <v>0.4</v>
      </c>
      <c r="P115" s="55">
        <v>0.35</v>
      </c>
      <c r="Q115" s="57">
        <f t="shared" si="3"/>
        <v>0.375</v>
      </c>
      <c r="R115" s="55">
        <v>16.8</v>
      </c>
      <c r="S115" s="55">
        <v>123</v>
      </c>
      <c r="T115" s="57">
        <f t="shared" si="4"/>
        <v>27</v>
      </c>
      <c r="U115" s="237">
        <v>137</v>
      </c>
      <c r="V115" s="58">
        <f t="shared" si="5"/>
        <v>3699</v>
      </c>
      <c r="W115" s="237">
        <v>2</v>
      </c>
      <c r="X115" s="55" t="s">
        <v>46</v>
      </c>
      <c r="Y115" s="55" t="s">
        <v>60</v>
      </c>
      <c r="Z115" s="55" t="s">
        <v>97</v>
      </c>
      <c r="AA115" s="55" t="s">
        <v>88</v>
      </c>
      <c r="AB115" s="39" t="s">
        <v>340</v>
      </c>
    </row>
    <row r="116" spans="1:28" x14ac:dyDescent="0.15">
      <c r="A116" s="55" t="s">
        <v>41</v>
      </c>
      <c r="B116" s="237" t="s">
        <v>338</v>
      </c>
      <c r="C116" s="152">
        <v>2018</v>
      </c>
      <c r="D116" s="56" t="s">
        <v>345</v>
      </c>
      <c r="E116" s="237" t="s">
        <v>169</v>
      </c>
      <c r="F116" s="237" t="s">
        <v>302</v>
      </c>
      <c r="G116" s="55" t="s">
        <v>42</v>
      </c>
      <c r="H116" s="55" t="s">
        <v>157</v>
      </c>
      <c r="I116" s="55" t="s">
        <v>158</v>
      </c>
      <c r="J116" s="55" t="s">
        <v>38</v>
      </c>
      <c r="K116" s="55" t="s">
        <v>156</v>
      </c>
      <c r="L116" s="237">
        <v>1</v>
      </c>
      <c r="N116" s="237">
        <v>4</v>
      </c>
      <c r="O116" s="237">
        <v>0.45</v>
      </c>
      <c r="P116" s="237">
        <v>0.3</v>
      </c>
      <c r="Q116" s="57">
        <f t="shared" si="3"/>
        <v>0.375</v>
      </c>
      <c r="R116" s="237">
        <v>14.1</v>
      </c>
      <c r="S116" s="237">
        <v>120</v>
      </c>
      <c r="T116" s="57">
        <f t="shared" si="4"/>
        <v>30</v>
      </c>
      <c r="U116" s="237">
        <v>471</v>
      </c>
      <c r="V116" s="58">
        <f t="shared" si="5"/>
        <v>3532.5</v>
      </c>
      <c r="W116" s="237">
        <v>2</v>
      </c>
      <c r="X116" s="55" t="s">
        <v>46</v>
      </c>
      <c r="Y116" s="55" t="s">
        <v>60</v>
      </c>
      <c r="Z116" s="55" t="s">
        <v>97</v>
      </c>
      <c r="AA116" s="55" t="s">
        <v>88</v>
      </c>
      <c r="AB116" s="39" t="s">
        <v>340</v>
      </c>
    </row>
    <row r="117" spans="1:28" x14ac:dyDescent="0.15">
      <c r="A117" s="55" t="s">
        <v>41</v>
      </c>
      <c r="B117" s="237" t="s">
        <v>338</v>
      </c>
      <c r="C117" s="152">
        <v>2018</v>
      </c>
      <c r="D117" s="56" t="s">
        <v>345</v>
      </c>
      <c r="E117" s="237" t="s">
        <v>169</v>
      </c>
      <c r="F117" s="237" t="s">
        <v>302</v>
      </c>
      <c r="G117" s="55" t="s">
        <v>42</v>
      </c>
      <c r="H117" s="55" t="s">
        <v>157</v>
      </c>
      <c r="I117" s="55" t="s">
        <v>158</v>
      </c>
      <c r="J117" s="55" t="s">
        <v>38</v>
      </c>
      <c r="K117" s="55" t="s">
        <v>156</v>
      </c>
      <c r="L117" s="237">
        <v>2</v>
      </c>
      <c r="N117" s="237">
        <v>4</v>
      </c>
      <c r="O117" s="237">
        <v>0.3</v>
      </c>
      <c r="P117" s="237">
        <v>0.25</v>
      </c>
      <c r="Q117" s="57">
        <f t="shared" si="3"/>
        <v>0.27500000000000002</v>
      </c>
      <c r="R117" s="237">
        <v>14.3</v>
      </c>
      <c r="S117" s="237">
        <v>118</v>
      </c>
      <c r="T117" s="57">
        <f t="shared" si="4"/>
        <v>30</v>
      </c>
      <c r="U117" s="237">
        <v>471</v>
      </c>
      <c r="V117" s="58">
        <f t="shared" si="5"/>
        <v>3532.5</v>
      </c>
      <c r="W117" s="237">
        <v>2</v>
      </c>
      <c r="X117" s="55" t="s">
        <v>46</v>
      </c>
      <c r="Y117" s="55" t="s">
        <v>60</v>
      </c>
      <c r="Z117" s="55" t="s">
        <v>97</v>
      </c>
      <c r="AA117" s="55" t="s">
        <v>88</v>
      </c>
      <c r="AB117" s="39" t="s">
        <v>340</v>
      </c>
    </row>
    <row r="118" spans="1:28" x14ac:dyDescent="0.15">
      <c r="A118" s="55" t="s">
        <v>41</v>
      </c>
      <c r="B118" s="237" t="s">
        <v>338</v>
      </c>
      <c r="C118" s="152">
        <v>2018</v>
      </c>
      <c r="D118" s="56" t="s">
        <v>345</v>
      </c>
      <c r="E118" s="237" t="s">
        <v>169</v>
      </c>
      <c r="F118" s="237" t="s">
        <v>302</v>
      </c>
      <c r="G118" s="55" t="s">
        <v>42</v>
      </c>
      <c r="H118" s="55" t="s">
        <v>157</v>
      </c>
      <c r="I118" s="55" t="s">
        <v>158</v>
      </c>
      <c r="J118" s="55" t="s">
        <v>38</v>
      </c>
      <c r="K118" s="55" t="s">
        <v>156</v>
      </c>
      <c r="L118" s="237">
        <v>3</v>
      </c>
      <c r="N118" s="237">
        <v>4</v>
      </c>
      <c r="O118" s="237">
        <v>0.25</v>
      </c>
      <c r="P118" s="237">
        <v>0.4</v>
      </c>
      <c r="Q118" s="57">
        <f t="shared" si="3"/>
        <v>0.32500000000000001</v>
      </c>
      <c r="R118" s="237">
        <v>16.399999999999999</v>
      </c>
      <c r="S118" s="237">
        <v>123</v>
      </c>
      <c r="T118" s="57">
        <f t="shared" si="4"/>
        <v>27</v>
      </c>
      <c r="U118" s="237">
        <v>471</v>
      </c>
      <c r="V118" s="58">
        <f t="shared" si="5"/>
        <v>3179.25</v>
      </c>
      <c r="W118" s="237">
        <v>2</v>
      </c>
      <c r="X118" s="55" t="s">
        <v>46</v>
      </c>
      <c r="Y118" s="55" t="s">
        <v>60</v>
      </c>
      <c r="Z118" s="55" t="s">
        <v>97</v>
      </c>
      <c r="AA118" s="55" t="s">
        <v>88</v>
      </c>
      <c r="AB118" s="39" t="s">
        <v>340</v>
      </c>
    </row>
    <row r="119" spans="1:28" x14ac:dyDescent="0.15">
      <c r="A119" s="55" t="s">
        <v>41</v>
      </c>
      <c r="B119" s="237" t="s">
        <v>338</v>
      </c>
      <c r="C119" s="152">
        <v>2018</v>
      </c>
      <c r="D119" s="56" t="s">
        <v>345</v>
      </c>
      <c r="E119" s="237" t="s">
        <v>293</v>
      </c>
      <c r="F119" s="237" t="s">
        <v>298</v>
      </c>
      <c r="G119" s="55" t="s">
        <v>42</v>
      </c>
      <c r="H119" s="55" t="s">
        <v>166</v>
      </c>
      <c r="I119" s="55" t="s">
        <v>155</v>
      </c>
      <c r="J119" s="55" t="s">
        <v>38</v>
      </c>
      <c r="K119" s="55" t="s">
        <v>156</v>
      </c>
      <c r="L119" s="237">
        <v>1</v>
      </c>
      <c r="N119" s="237">
        <v>1</v>
      </c>
      <c r="O119" s="237">
        <v>0.65</v>
      </c>
      <c r="P119" s="237">
        <v>0.5</v>
      </c>
      <c r="Q119" s="57">
        <f t="shared" si="3"/>
        <v>0.57499999999999996</v>
      </c>
      <c r="R119" s="237">
        <v>17.399999999999999</v>
      </c>
      <c r="S119" s="237">
        <v>115</v>
      </c>
      <c r="T119" s="57">
        <f t="shared" si="4"/>
        <v>30</v>
      </c>
      <c r="U119" s="237">
        <v>104</v>
      </c>
      <c r="V119" s="58">
        <f t="shared" si="5"/>
        <v>3120</v>
      </c>
      <c r="W119" s="237">
        <v>3</v>
      </c>
      <c r="X119" s="55" t="s">
        <v>46</v>
      </c>
      <c r="Y119" s="55" t="s">
        <v>97</v>
      </c>
      <c r="Z119" s="55" t="s">
        <v>88</v>
      </c>
      <c r="AA119" s="55" t="s">
        <v>69</v>
      </c>
      <c r="AB119" s="39" t="s">
        <v>340</v>
      </c>
    </row>
    <row r="120" spans="1:28" x14ac:dyDescent="0.15">
      <c r="A120" s="55" t="s">
        <v>41</v>
      </c>
      <c r="B120" s="237" t="s">
        <v>338</v>
      </c>
      <c r="C120" s="152">
        <v>2018</v>
      </c>
      <c r="D120" s="56" t="s">
        <v>345</v>
      </c>
      <c r="E120" s="237" t="s">
        <v>293</v>
      </c>
      <c r="F120" s="237" t="s">
        <v>298</v>
      </c>
      <c r="G120" s="55" t="s">
        <v>42</v>
      </c>
      <c r="H120" s="55" t="s">
        <v>166</v>
      </c>
      <c r="I120" s="55" t="s">
        <v>155</v>
      </c>
      <c r="J120" s="55" t="s">
        <v>38</v>
      </c>
      <c r="K120" s="55" t="s">
        <v>156</v>
      </c>
      <c r="L120" s="237">
        <v>2</v>
      </c>
      <c r="N120" s="237">
        <v>1</v>
      </c>
      <c r="O120" s="237">
        <v>0.5</v>
      </c>
      <c r="P120" s="237">
        <v>0.45</v>
      </c>
      <c r="Q120" s="57">
        <f t="shared" si="3"/>
        <v>0.47499999999999998</v>
      </c>
      <c r="R120" s="237">
        <v>16.8</v>
      </c>
      <c r="S120" s="237">
        <v>121</v>
      </c>
      <c r="T120" s="57">
        <f t="shared" si="4"/>
        <v>27</v>
      </c>
      <c r="U120" s="237">
        <v>104</v>
      </c>
      <c r="V120" s="58">
        <f t="shared" si="5"/>
        <v>2808</v>
      </c>
      <c r="W120" s="237">
        <v>3</v>
      </c>
      <c r="X120" s="55" t="s">
        <v>46</v>
      </c>
      <c r="Y120" s="55" t="s">
        <v>97</v>
      </c>
      <c r="Z120" s="55" t="s">
        <v>88</v>
      </c>
      <c r="AA120" s="55" t="s">
        <v>69</v>
      </c>
      <c r="AB120" s="39" t="s">
        <v>340</v>
      </c>
    </row>
    <row r="121" spans="1:28" x14ac:dyDescent="0.15">
      <c r="A121" s="55" t="s">
        <v>41</v>
      </c>
      <c r="B121" s="237" t="s">
        <v>338</v>
      </c>
      <c r="C121" s="152">
        <v>2018</v>
      </c>
      <c r="D121" s="56" t="s">
        <v>345</v>
      </c>
      <c r="E121" s="237" t="s">
        <v>293</v>
      </c>
      <c r="F121" s="237" t="s">
        <v>298</v>
      </c>
      <c r="G121" s="55" t="s">
        <v>42</v>
      </c>
      <c r="H121" s="55" t="s">
        <v>166</v>
      </c>
      <c r="I121" s="55" t="s">
        <v>155</v>
      </c>
      <c r="J121" s="55" t="s">
        <v>38</v>
      </c>
      <c r="K121" s="55" t="s">
        <v>156</v>
      </c>
      <c r="L121" s="237">
        <v>3</v>
      </c>
      <c r="N121" s="237">
        <v>1</v>
      </c>
      <c r="O121" s="237">
        <v>0.3</v>
      </c>
      <c r="P121" s="237">
        <v>0.35</v>
      </c>
      <c r="Q121" s="57">
        <f t="shared" si="3"/>
        <v>0.32499999999999996</v>
      </c>
      <c r="R121" s="237">
        <v>15.2</v>
      </c>
      <c r="S121" s="237">
        <v>117</v>
      </c>
      <c r="T121" s="57">
        <f t="shared" si="4"/>
        <v>30</v>
      </c>
      <c r="U121" s="237">
        <v>104</v>
      </c>
      <c r="V121" s="58">
        <f t="shared" si="5"/>
        <v>3120</v>
      </c>
      <c r="W121" s="237">
        <v>3</v>
      </c>
      <c r="X121" s="55" t="s">
        <v>46</v>
      </c>
      <c r="Y121" s="55" t="s">
        <v>97</v>
      </c>
      <c r="Z121" s="55" t="s">
        <v>88</v>
      </c>
      <c r="AA121" s="55" t="s">
        <v>69</v>
      </c>
      <c r="AB121" s="39" t="s">
        <v>340</v>
      </c>
    </row>
    <row r="122" spans="1:28" x14ac:dyDescent="0.15">
      <c r="A122" s="55" t="s">
        <v>41</v>
      </c>
      <c r="B122" s="237" t="s">
        <v>338</v>
      </c>
      <c r="C122" s="152">
        <v>2018</v>
      </c>
      <c r="D122" s="56" t="s">
        <v>345</v>
      </c>
      <c r="E122" s="237" t="s">
        <v>293</v>
      </c>
      <c r="F122" s="237" t="s">
        <v>298</v>
      </c>
      <c r="G122" s="55" t="s">
        <v>42</v>
      </c>
      <c r="H122" s="55" t="s">
        <v>157</v>
      </c>
      <c r="I122" s="55" t="s">
        <v>155</v>
      </c>
      <c r="J122" s="55" t="s">
        <v>38</v>
      </c>
      <c r="K122" s="55" t="s">
        <v>156</v>
      </c>
      <c r="L122" s="237">
        <v>1</v>
      </c>
      <c r="N122" s="237">
        <v>1</v>
      </c>
      <c r="O122" s="237">
        <v>0.45</v>
      </c>
      <c r="P122" s="237">
        <v>0.4</v>
      </c>
      <c r="Q122" s="57">
        <f t="shared" si="3"/>
        <v>0.42500000000000004</v>
      </c>
      <c r="R122" s="237">
        <v>13.8</v>
      </c>
      <c r="S122" s="237">
        <v>105</v>
      </c>
      <c r="T122" s="57">
        <f t="shared" si="4"/>
        <v>33</v>
      </c>
      <c r="U122" s="237">
        <v>104</v>
      </c>
      <c r="V122" s="58">
        <f t="shared" si="5"/>
        <v>3432</v>
      </c>
      <c r="W122" s="237">
        <v>4</v>
      </c>
      <c r="X122" s="55" t="s">
        <v>46</v>
      </c>
      <c r="Y122" s="55" t="s">
        <v>97</v>
      </c>
      <c r="Z122" s="55" t="s">
        <v>88</v>
      </c>
      <c r="AA122" s="55" t="s">
        <v>69</v>
      </c>
      <c r="AB122" s="39" t="s">
        <v>340</v>
      </c>
    </row>
    <row r="123" spans="1:28" x14ac:dyDescent="0.15">
      <c r="A123" s="55" t="s">
        <v>41</v>
      </c>
      <c r="B123" s="237" t="s">
        <v>338</v>
      </c>
      <c r="C123" s="152">
        <v>2018</v>
      </c>
      <c r="D123" s="56" t="s">
        <v>345</v>
      </c>
      <c r="E123" s="237" t="s">
        <v>293</v>
      </c>
      <c r="F123" s="237" t="s">
        <v>298</v>
      </c>
      <c r="G123" s="55" t="s">
        <v>42</v>
      </c>
      <c r="H123" s="55" t="s">
        <v>157</v>
      </c>
      <c r="I123" s="55" t="s">
        <v>155</v>
      </c>
      <c r="J123" s="55" t="s">
        <v>38</v>
      </c>
      <c r="K123" s="55" t="s">
        <v>156</v>
      </c>
      <c r="L123" s="237">
        <v>2</v>
      </c>
      <c r="N123" s="237">
        <v>1</v>
      </c>
      <c r="O123" s="237">
        <v>0.3</v>
      </c>
      <c r="P123" s="237">
        <v>0.4</v>
      </c>
      <c r="Q123" s="57">
        <f t="shared" si="3"/>
        <v>0.35</v>
      </c>
      <c r="R123" s="237">
        <v>14.5</v>
      </c>
      <c r="S123" s="237">
        <v>110</v>
      </c>
      <c r="T123" s="57">
        <f t="shared" si="4"/>
        <v>33</v>
      </c>
      <c r="U123" s="237">
        <v>104</v>
      </c>
      <c r="V123" s="58">
        <f t="shared" si="5"/>
        <v>3432</v>
      </c>
      <c r="W123" s="237">
        <v>4</v>
      </c>
      <c r="X123" s="55" t="s">
        <v>46</v>
      </c>
      <c r="Y123" s="55" t="s">
        <v>97</v>
      </c>
      <c r="Z123" s="55" t="s">
        <v>88</v>
      </c>
      <c r="AA123" s="55" t="s">
        <v>69</v>
      </c>
      <c r="AB123" s="39" t="s">
        <v>340</v>
      </c>
    </row>
    <row r="124" spans="1:28" x14ac:dyDescent="0.15">
      <c r="A124" s="55" t="s">
        <v>41</v>
      </c>
      <c r="B124" s="237" t="s">
        <v>338</v>
      </c>
      <c r="C124" s="152">
        <v>2018</v>
      </c>
      <c r="D124" s="56" t="s">
        <v>345</v>
      </c>
      <c r="E124" s="237" t="s">
        <v>293</v>
      </c>
      <c r="F124" s="237" t="s">
        <v>298</v>
      </c>
      <c r="G124" s="55" t="s">
        <v>42</v>
      </c>
      <c r="H124" s="55" t="s">
        <v>157</v>
      </c>
      <c r="I124" s="55" t="s">
        <v>155</v>
      </c>
      <c r="J124" s="55" t="s">
        <v>38</v>
      </c>
      <c r="K124" s="55" t="s">
        <v>156</v>
      </c>
      <c r="L124" s="237">
        <v>3</v>
      </c>
      <c r="N124" s="237">
        <v>1</v>
      </c>
      <c r="O124" s="237">
        <v>0.5</v>
      </c>
      <c r="P124" s="237">
        <v>0.55000000000000004</v>
      </c>
      <c r="Q124" s="57">
        <f t="shared" si="3"/>
        <v>0.52500000000000002</v>
      </c>
      <c r="R124" s="237">
        <v>13.4</v>
      </c>
      <c r="S124" s="237">
        <v>110</v>
      </c>
      <c r="T124" s="57">
        <f t="shared" si="4"/>
        <v>33</v>
      </c>
      <c r="U124" s="237">
        <v>104</v>
      </c>
      <c r="V124" s="58">
        <f t="shared" si="5"/>
        <v>3432</v>
      </c>
      <c r="W124" s="237">
        <v>4</v>
      </c>
      <c r="X124" s="55" t="s">
        <v>46</v>
      </c>
      <c r="Y124" s="55" t="s">
        <v>97</v>
      </c>
      <c r="Z124" s="55" t="s">
        <v>88</v>
      </c>
      <c r="AA124" s="55" t="s">
        <v>69</v>
      </c>
      <c r="AB124" s="39" t="s">
        <v>340</v>
      </c>
    </row>
    <row r="125" spans="1:28" x14ac:dyDescent="0.15">
      <c r="O125" s="55"/>
      <c r="P125" s="55"/>
    </row>
    <row r="126" spans="1:28" x14ac:dyDescent="0.15">
      <c r="O126" s="55"/>
      <c r="P126" s="55"/>
    </row>
    <row r="127" spans="1:28" x14ac:dyDescent="0.15">
      <c r="O127" s="55"/>
      <c r="P127" s="55"/>
    </row>
    <row r="128" spans="1:28" x14ac:dyDescent="0.15">
      <c r="K128" s="55"/>
      <c r="O128" s="55"/>
      <c r="P128" s="55"/>
      <c r="Y128" s="55"/>
    </row>
    <row r="129" spans="11:25" x14ac:dyDescent="0.15">
      <c r="K129" s="55"/>
      <c r="O129" s="55"/>
      <c r="P129" s="55"/>
      <c r="Y129" s="55"/>
    </row>
    <row r="130" spans="11:25" x14ac:dyDescent="0.15">
      <c r="K130" s="55"/>
      <c r="O130" s="55"/>
      <c r="P130" s="55"/>
      <c r="Y130" s="55"/>
    </row>
    <row r="131" spans="11:25" x14ac:dyDescent="0.15">
      <c r="K131" s="55"/>
      <c r="O131" s="55"/>
      <c r="P131" s="55"/>
      <c r="Y131" s="55"/>
    </row>
    <row r="132" spans="11:25" x14ac:dyDescent="0.15">
      <c r="K132" s="55"/>
      <c r="O132" s="55"/>
      <c r="P132" s="55"/>
      <c r="Y132" s="55"/>
    </row>
    <row r="133" spans="11:25" x14ac:dyDescent="0.15">
      <c r="K133" s="55"/>
      <c r="O133" s="55"/>
      <c r="P133" s="55"/>
      <c r="Y133" s="55"/>
    </row>
    <row r="134" spans="11:25" x14ac:dyDescent="0.15">
      <c r="K134" s="55"/>
      <c r="Y134" s="55"/>
    </row>
    <row r="135" spans="11:25" x14ac:dyDescent="0.15">
      <c r="K135" s="55"/>
      <c r="Y135" s="55"/>
    </row>
    <row r="136" spans="11:25" x14ac:dyDescent="0.15">
      <c r="K136" s="55"/>
      <c r="Y136" s="55"/>
    </row>
    <row r="137" spans="11:25" x14ac:dyDescent="0.15">
      <c r="K137" s="55"/>
      <c r="Y137" s="55"/>
    </row>
    <row r="138" spans="11:25" x14ac:dyDescent="0.15">
      <c r="K138" s="55"/>
      <c r="Y138" s="55"/>
    </row>
    <row r="139" spans="11:25" x14ac:dyDescent="0.15">
      <c r="K139" s="55"/>
      <c r="Y139" s="55"/>
    </row>
    <row r="140" spans="11:25" x14ac:dyDescent="0.15">
      <c r="K140" s="55"/>
      <c r="Y140" s="55"/>
    </row>
    <row r="141" spans="11:25" x14ac:dyDescent="0.15">
      <c r="K141" s="55"/>
      <c r="Y141" s="55"/>
    </row>
    <row r="142" spans="11:25" x14ac:dyDescent="0.15">
      <c r="K142" s="55"/>
      <c r="Y142" s="55"/>
    </row>
    <row r="143" spans="11:25" x14ac:dyDescent="0.15">
      <c r="K143" s="55"/>
      <c r="Y143" s="55"/>
    </row>
    <row r="144" spans="11:25" x14ac:dyDescent="0.15">
      <c r="K144" s="55"/>
      <c r="Y144" s="55"/>
    </row>
    <row r="145" spans="25:25" x14ac:dyDescent="0.15">
      <c r="Y145" s="55"/>
    </row>
  </sheetData>
  <autoFilter ref="A1:BA127"/>
  <dataConsolidate/>
  <phoneticPr fontId="3"/>
  <dataValidations count="13">
    <dataValidation operator="equal" allowBlank="1" showInputMessage="1" showErrorMessage="1" sqref="B2:B124"/>
    <dataValidation type="decimal" allowBlank="1" showInputMessage="1" showErrorMessage="1" error="硬度を正しく入力して下さい。" sqref="O2:P328">
      <formula1>0</formula1>
      <formula2>7</formula2>
    </dataValidation>
    <dataValidation type="list" allowBlank="1" showInputMessage="1" showErrorMessage="1" sqref="Y128:AA1048576 Y1:AA124">
      <formula1>$AV$2:$AV$21</formula1>
    </dataValidation>
    <dataValidation type="list" allowBlank="1" showInputMessage="1" showErrorMessage="1" sqref="F128:F1048576 F1:F124">
      <formula1>$AH$2:$AH$11</formula1>
    </dataValidation>
    <dataValidation type="list" allowBlank="1" showInputMessage="1" showErrorMessage="1" sqref="E128:E1048576 E1:E124">
      <formula1>$AG$2:$AG$11</formula1>
    </dataValidation>
    <dataValidation type="list" allowBlank="1" showInputMessage="1" showErrorMessage="1" sqref="K128:K144 K2:K124">
      <formula1>$AR$2:$AR$23</formula1>
    </dataValidation>
    <dataValidation type="list" allowBlank="1" showInputMessage="1" showErrorMessage="1" sqref="J128:J328 J2:J124">
      <formula1>$AP$2:$AP$19</formula1>
    </dataValidation>
    <dataValidation type="list" allowBlank="1" showInputMessage="1" showErrorMessage="1" sqref="A128:A328 A2:A124">
      <formula1>$AE$2:$AE$16</formula1>
    </dataValidation>
    <dataValidation type="list" allowBlank="1" showInputMessage="1" showErrorMessage="1" sqref="X128:X328 X2:X124">
      <formula1>$AT$2:$AT$3</formula1>
    </dataValidation>
    <dataValidation type="list" allowBlank="1" showInputMessage="1" showErrorMessage="1" sqref="I128:I328 I2:I124">
      <formula1>$AN$5:$AN$6</formula1>
    </dataValidation>
    <dataValidation type="list" allowBlank="1" showInputMessage="1" showErrorMessage="1" sqref="G128:G328 G2:G124">
      <formula1>$AJ$2:$AJ$4</formula1>
    </dataValidation>
    <dataValidation type="list" allowBlank="1" showInputMessage="1" showErrorMessage="1" sqref="H128:H328 H2:H124">
      <formula1>$AL$2:$AL$8</formula1>
    </dataValidation>
    <dataValidation type="list" allowBlank="1" showInputMessage="1" showErrorMessage="1" sqref="K145:K328">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31" zoomScale="85" zoomScaleNormal="85" workbookViewId="0">
      <selection activeCell="R42" sqref="R42"/>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356</v>
      </c>
      <c r="D1" s="203" t="s">
        <v>3</v>
      </c>
      <c r="E1" s="84" t="s">
        <v>4</v>
      </c>
      <c r="F1" s="84" t="s">
        <v>5</v>
      </c>
      <c r="G1" s="84" t="s">
        <v>6</v>
      </c>
      <c r="H1" s="84" t="s">
        <v>7</v>
      </c>
      <c r="I1" s="84" t="s">
        <v>8</v>
      </c>
      <c r="J1" s="84" t="s">
        <v>9</v>
      </c>
      <c r="K1" s="84" t="s">
        <v>10</v>
      </c>
      <c r="L1" s="203" t="s">
        <v>357</v>
      </c>
      <c r="M1" s="203" t="s">
        <v>12</v>
      </c>
      <c r="N1" s="203" t="s">
        <v>13</v>
      </c>
      <c r="O1" s="203" t="s">
        <v>358</v>
      </c>
      <c r="P1" s="203" t="s">
        <v>359</v>
      </c>
      <c r="Q1" s="204" t="s">
        <v>16</v>
      </c>
      <c r="R1" s="203" t="s">
        <v>360</v>
      </c>
      <c r="S1" s="203" t="s">
        <v>361</v>
      </c>
      <c r="T1" s="204" t="s">
        <v>19</v>
      </c>
      <c r="U1" s="205" t="s">
        <v>108</v>
      </c>
      <c r="V1" s="206" t="s">
        <v>20</v>
      </c>
      <c r="W1" s="203" t="s">
        <v>21</v>
      </c>
      <c r="X1" s="84" t="s">
        <v>22</v>
      </c>
      <c r="Y1" s="84" t="s">
        <v>23</v>
      </c>
      <c r="Z1" s="84" t="s">
        <v>24</v>
      </c>
      <c r="AA1" s="85" t="s">
        <v>25</v>
      </c>
      <c r="AB1" s="207" t="s">
        <v>362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363</v>
      </c>
      <c r="AY1" s="214" t="s">
        <v>364</v>
      </c>
      <c r="AZ1" s="214" t="s">
        <v>365</v>
      </c>
      <c r="BA1" s="215" t="s">
        <v>277</v>
      </c>
    </row>
    <row r="2" spans="1:53" s="216" customFormat="1" x14ac:dyDescent="0.15">
      <c r="A2" s="55" t="s">
        <v>56</v>
      </c>
      <c r="B2" s="55" t="s">
        <v>366</v>
      </c>
      <c r="C2" s="216">
        <v>2018</v>
      </c>
      <c r="D2" s="86" t="s">
        <v>367</v>
      </c>
      <c r="E2" s="216" t="s">
        <v>368</v>
      </c>
      <c r="F2" s="216" t="s">
        <v>171</v>
      </c>
      <c r="G2" s="55" t="s">
        <v>42</v>
      </c>
      <c r="H2" s="216" t="s">
        <v>157</v>
      </c>
      <c r="I2" s="55" t="s">
        <v>155</v>
      </c>
      <c r="J2" s="216" t="s">
        <v>38</v>
      </c>
      <c r="K2" s="216" t="s">
        <v>156</v>
      </c>
      <c r="L2" s="216">
        <v>1</v>
      </c>
      <c r="N2" s="208">
        <v>1</v>
      </c>
      <c r="O2" s="216">
        <v>0.75</v>
      </c>
      <c r="P2" s="208">
        <v>0.75</v>
      </c>
      <c r="Q2" s="245">
        <f>IF(OR(O2="",P2=""),"",AVERAGE(O2,P2))</f>
        <v>0.75</v>
      </c>
      <c r="R2" s="216">
        <v>15.5</v>
      </c>
      <c r="S2" s="216">
        <v>136</v>
      </c>
      <c r="T2" s="217">
        <f>IF(H2="","",IF(OR(H2="GREEN",H2="GK"),IF(S2&gt;=$AX$2,VLOOKUP(S2,$AX$2:$AY$10,2,1),""),IF(S2&gt;=$AZ$2,VLOOKUP(S2,$AZ$2:$BA$10,2,1),"")))</f>
        <v>25</v>
      </c>
      <c r="U2" s="216">
        <v>108</v>
      </c>
      <c r="V2" s="217">
        <f>IF(OR(N2="",U2="",T2=""),"",U2/N2*T2)</f>
        <v>2700</v>
      </c>
      <c r="W2" s="216">
        <v>2</v>
      </c>
      <c r="X2" s="55" t="s">
        <v>46</v>
      </c>
      <c r="Y2" s="55" t="s">
        <v>88</v>
      </c>
      <c r="Z2" s="216" t="s">
        <v>78</v>
      </c>
      <c r="AA2" s="55" t="s">
        <v>55</v>
      </c>
      <c r="AB2" s="39" t="s">
        <v>340</v>
      </c>
      <c r="AE2" s="218" t="s">
        <v>35</v>
      </c>
      <c r="AG2" s="231" t="s">
        <v>369</v>
      </c>
      <c r="AH2" s="87" t="s">
        <v>171</v>
      </c>
      <c r="AJ2" s="219" t="s">
        <v>36</v>
      </c>
      <c r="AL2" s="219" t="s">
        <v>127</v>
      </c>
      <c r="AN2" s="219" t="s">
        <v>37</v>
      </c>
      <c r="AP2" s="219" t="s">
        <v>38</v>
      </c>
      <c r="AR2" s="219" t="s">
        <v>370</v>
      </c>
      <c r="AT2" s="219" t="s">
        <v>39</v>
      </c>
      <c r="AV2" s="219" t="s">
        <v>40</v>
      </c>
      <c r="AX2" s="220">
        <v>1</v>
      </c>
      <c r="AY2" s="221">
        <v>50</v>
      </c>
      <c r="AZ2" s="221">
        <v>1</v>
      </c>
      <c r="BA2" s="222">
        <v>50</v>
      </c>
    </row>
    <row r="3" spans="1:53" x14ac:dyDescent="0.15">
      <c r="A3" s="55" t="s">
        <v>56</v>
      </c>
      <c r="B3" s="55" t="s">
        <v>366</v>
      </c>
      <c r="C3" s="216">
        <v>2018</v>
      </c>
      <c r="D3" s="86" t="s">
        <v>367</v>
      </c>
      <c r="E3" s="216" t="s">
        <v>368</v>
      </c>
      <c r="F3" s="216" t="s">
        <v>171</v>
      </c>
      <c r="G3" s="55" t="s">
        <v>42</v>
      </c>
      <c r="H3" s="216" t="s">
        <v>157</v>
      </c>
      <c r="I3" s="55" t="s">
        <v>155</v>
      </c>
      <c r="J3" s="216" t="s">
        <v>38</v>
      </c>
      <c r="K3" s="216" t="s">
        <v>156</v>
      </c>
      <c r="L3" s="208">
        <v>2</v>
      </c>
      <c r="N3" s="208">
        <v>1</v>
      </c>
      <c r="O3" s="208">
        <v>0.75</v>
      </c>
      <c r="P3" s="208">
        <v>0.75</v>
      </c>
      <c r="Q3" s="245">
        <f>IF(OR(O3="",P3=""),"",AVERAGE(O3,P3))</f>
        <v>0.75</v>
      </c>
      <c r="R3" s="208">
        <v>14.2</v>
      </c>
      <c r="S3" s="208">
        <v>138</v>
      </c>
      <c r="T3" s="217">
        <f>IF(H3="","",IF(OR(H3="GREEN",H3="GK"),IF(S3&gt;=$AX$2,VLOOKUP(S3,$AX$2:$AY$10,2,1),""),IF(S3&gt;=$AZ$2,VLOOKUP(S3,$AZ$2:$BA$10,2,1),"")))</f>
        <v>22</v>
      </c>
      <c r="U3" s="208">
        <v>108</v>
      </c>
      <c r="V3" s="217">
        <f>IF(OR(N3="",U3="",T3=""),"",U3/N3*T3)</f>
        <v>2376</v>
      </c>
      <c r="W3" s="208">
        <v>2</v>
      </c>
      <c r="X3" s="55" t="s">
        <v>46</v>
      </c>
      <c r="Y3" s="55" t="s">
        <v>88</v>
      </c>
      <c r="Z3" s="216" t="s">
        <v>78</v>
      </c>
      <c r="AA3" s="55" t="s">
        <v>55</v>
      </c>
      <c r="AB3" s="39" t="s">
        <v>340</v>
      </c>
      <c r="AE3" s="223" t="s">
        <v>41</v>
      </c>
      <c r="AG3" s="231" t="s">
        <v>369</v>
      </c>
      <c r="AH3" s="87" t="s">
        <v>172</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366</v>
      </c>
      <c r="C4" s="216">
        <v>2018</v>
      </c>
      <c r="D4" s="86" t="s">
        <v>367</v>
      </c>
      <c r="E4" s="216" t="s">
        <v>368</v>
      </c>
      <c r="F4" s="216" t="s">
        <v>171</v>
      </c>
      <c r="G4" s="55" t="s">
        <v>42</v>
      </c>
      <c r="H4" s="216" t="s">
        <v>157</v>
      </c>
      <c r="I4" s="55" t="s">
        <v>155</v>
      </c>
      <c r="J4" s="216" t="s">
        <v>38</v>
      </c>
      <c r="K4" s="216" t="s">
        <v>156</v>
      </c>
      <c r="L4" s="208">
        <v>3</v>
      </c>
      <c r="N4" s="208">
        <v>1</v>
      </c>
      <c r="O4" s="208">
        <v>0.7</v>
      </c>
      <c r="P4" s="208">
        <v>0.7</v>
      </c>
      <c r="Q4" s="245">
        <f>IF(OR(O4="",P4=""),"",AVERAGE(O4,P4))</f>
        <v>0.7</v>
      </c>
      <c r="R4" s="208">
        <v>13.5</v>
      </c>
      <c r="S4" s="208">
        <v>135</v>
      </c>
      <c r="T4" s="217">
        <f>IF(H4="","",IF(OR(H4="GREEN",H4="GK"),IF(S4&gt;=$AX$2,VLOOKUP(S4,$AX$2:$AY$10,2,1),""),IF(S4&gt;=$AZ$2,VLOOKUP(S4,$AZ$2:$BA$10,2,1),"")))</f>
        <v>25</v>
      </c>
      <c r="U4" s="208">
        <v>108</v>
      </c>
      <c r="V4" s="217">
        <f>IF(OR(N4="",U4="",T4=""),"",U4/N4*T4)</f>
        <v>2700</v>
      </c>
      <c r="W4" s="208">
        <v>2</v>
      </c>
      <c r="X4" s="55" t="s">
        <v>46</v>
      </c>
      <c r="Y4" s="55" t="s">
        <v>88</v>
      </c>
      <c r="Z4" s="216" t="s">
        <v>78</v>
      </c>
      <c r="AA4" s="55" t="s">
        <v>55</v>
      </c>
      <c r="AB4" s="39" t="s">
        <v>340</v>
      </c>
      <c r="AE4" s="223" t="s">
        <v>34</v>
      </c>
      <c r="AG4" s="231" t="s">
        <v>371</v>
      </c>
      <c r="AH4" s="87" t="s">
        <v>372</v>
      </c>
      <c r="AJ4" s="228" t="s">
        <v>48</v>
      </c>
      <c r="AL4" s="228" t="s">
        <v>173</v>
      </c>
      <c r="AN4" s="229" t="s">
        <v>49</v>
      </c>
      <c r="AP4" s="224" t="s">
        <v>373</v>
      </c>
      <c r="AR4" s="238" t="s">
        <v>374</v>
      </c>
      <c r="AT4" s="229"/>
      <c r="AV4" s="224" t="s">
        <v>50</v>
      </c>
      <c r="AX4" s="225">
        <v>75</v>
      </c>
      <c r="AY4" s="226">
        <v>42</v>
      </c>
      <c r="AZ4" s="226">
        <v>76</v>
      </c>
      <c r="BA4" s="227">
        <v>39</v>
      </c>
    </row>
    <row r="5" spans="1:53" x14ac:dyDescent="0.15">
      <c r="A5" s="55" t="s">
        <v>56</v>
      </c>
      <c r="B5" s="55" t="s">
        <v>366</v>
      </c>
      <c r="C5" s="216">
        <v>2018</v>
      </c>
      <c r="D5" s="86" t="s">
        <v>367</v>
      </c>
      <c r="E5" s="216" t="s">
        <v>368</v>
      </c>
      <c r="F5" s="216" t="s">
        <v>171</v>
      </c>
      <c r="G5" s="55" t="s">
        <v>42</v>
      </c>
      <c r="H5" s="216" t="s">
        <v>166</v>
      </c>
      <c r="I5" s="55" t="s">
        <v>155</v>
      </c>
      <c r="J5" s="216" t="s">
        <v>38</v>
      </c>
      <c r="K5" s="216" t="s">
        <v>156</v>
      </c>
      <c r="L5" s="208">
        <v>1</v>
      </c>
      <c r="N5" s="208">
        <v>1</v>
      </c>
      <c r="O5" s="208">
        <v>0.7</v>
      </c>
      <c r="P5" s="208">
        <v>0.7</v>
      </c>
      <c r="Q5" s="245">
        <f t="shared" ref="Q5:Q67" si="0">IF(OR(O5="",P5=""),"",AVERAGE(O5,P5))</f>
        <v>0.7</v>
      </c>
      <c r="R5" s="208">
        <v>17.100000000000001</v>
      </c>
      <c r="S5" s="208">
        <v>132</v>
      </c>
      <c r="T5" s="217">
        <f t="shared" ref="T5:T67" si="1">IF(H5="","",IF(OR(H5="GREEN",H5="GK"),IF(S5&gt;=$AX$2,VLOOKUP(S5,$AX$2:$AY$10,2,1),""),IF(S5&gt;=$AZ$2,VLOOKUP(S5,$AZ$2:$BA$10,2,1),"")))</f>
        <v>25</v>
      </c>
      <c r="U5" s="208">
        <v>108</v>
      </c>
      <c r="V5" s="217">
        <f t="shared" ref="V5:V67" si="2">IF(OR(N5="",U5="",T5=""),"",U5/N5*T5)</f>
        <v>2700</v>
      </c>
      <c r="W5" s="208">
        <v>3</v>
      </c>
      <c r="X5" s="55" t="s">
        <v>46</v>
      </c>
      <c r="Y5" s="55" t="s">
        <v>88</v>
      </c>
      <c r="Z5" s="216" t="s">
        <v>78</v>
      </c>
      <c r="AA5" s="55" t="s">
        <v>55</v>
      </c>
      <c r="AB5" s="39" t="s">
        <v>340</v>
      </c>
      <c r="AE5" s="223" t="s">
        <v>51</v>
      </c>
      <c r="AG5" s="231" t="s">
        <v>375</v>
      </c>
      <c r="AH5" s="87" t="s">
        <v>376</v>
      </c>
      <c r="AJ5" s="229"/>
      <c r="AL5" s="230" t="s">
        <v>377</v>
      </c>
      <c r="AN5" s="230" t="s">
        <v>378</v>
      </c>
      <c r="AP5" s="224" t="s">
        <v>379</v>
      </c>
      <c r="AR5" s="238" t="s">
        <v>54</v>
      </c>
      <c r="AV5" s="224" t="s">
        <v>55</v>
      </c>
      <c r="AX5" s="225">
        <v>84</v>
      </c>
      <c r="AY5" s="226">
        <v>39</v>
      </c>
      <c r="AZ5" s="226">
        <v>84</v>
      </c>
      <c r="BA5" s="227">
        <v>36</v>
      </c>
    </row>
    <row r="6" spans="1:53" x14ac:dyDescent="0.15">
      <c r="A6" s="55" t="s">
        <v>56</v>
      </c>
      <c r="B6" s="55" t="s">
        <v>366</v>
      </c>
      <c r="C6" s="216">
        <v>2018</v>
      </c>
      <c r="D6" s="86" t="s">
        <v>367</v>
      </c>
      <c r="E6" s="216" t="s">
        <v>368</v>
      </c>
      <c r="F6" s="216" t="s">
        <v>171</v>
      </c>
      <c r="G6" s="55" t="s">
        <v>42</v>
      </c>
      <c r="H6" s="216" t="s">
        <v>166</v>
      </c>
      <c r="I6" s="55" t="s">
        <v>155</v>
      </c>
      <c r="J6" s="216" t="s">
        <v>38</v>
      </c>
      <c r="K6" s="216" t="s">
        <v>156</v>
      </c>
      <c r="L6" s="208">
        <v>2</v>
      </c>
      <c r="N6" s="208">
        <v>1</v>
      </c>
      <c r="O6" s="208">
        <v>0.7</v>
      </c>
      <c r="P6" s="208">
        <v>0.65</v>
      </c>
      <c r="Q6" s="245">
        <f t="shared" si="0"/>
        <v>0.67500000000000004</v>
      </c>
      <c r="R6" s="208">
        <v>16.899999999999999</v>
      </c>
      <c r="S6" s="208">
        <v>132</v>
      </c>
      <c r="T6" s="217">
        <f t="shared" si="1"/>
        <v>25</v>
      </c>
      <c r="U6" s="208">
        <v>108</v>
      </c>
      <c r="V6" s="217">
        <f t="shared" si="2"/>
        <v>2700</v>
      </c>
      <c r="W6" s="208">
        <v>3</v>
      </c>
      <c r="X6" s="55" t="s">
        <v>46</v>
      </c>
      <c r="Y6" s="55" t="s">
        <v>88</v>
      </c>
      <c r="Z6" s="216" t="s">
        <v>78</v>
      </c>
      <c r="AA6" s="55" t="s">
        <v>55</v>
      </c>
      <c r="AB6" s="39" t="s">
        <v>340</v>
      </c>
      <c r="AE6" s="223" t="s">
        <v>56</v>
      </c>
      <c r="AG6" s="231" t="s">
        <v>380</v>
      </c>
      <c r="AH6" s="87" t="s">
        <v>376</v>
      </c>
      <c r="AL6" s="230" t="s">
        <v>381</v>
      </c>
      <c r="AN6" s="230" t="s">
        <v>382</v>
      </c>
      <c r="AP6" s="224" t="s">
        <v>53</v>
      </c>
      <c r="AR6" s="238" t="s">
        <v>59</v>
      </c>
      <c r="AV6" s="224" t="s">
        <v>60</v>
      </c>
      <c r="AX6" s="225">
        <v>97</v>
      </c>
      <c r="AY6" s="226">
        <v>36</v>
      </c>
      <c r="AZ6" s="226">
        <v>99</v>
      </c>
      <c r="BA6" s="227">
        <v>33</v>
      </c>
    </row>
    <row r="7" spans="1:53" x14ac:dyDescent="0.15">
      <c r="A7" s="55" t="s">
        <v>56</v>
      </c>
      <c r="B7" s="55" t="s">
        <v>366</v>
      </c>
      <c r="C7" s="216">
        <v>2018</v>
      </c>
      <c r="D7" s="86" t="s">
        <v>367</v>
      </c>
      <c r="E7" s="216" t="s">
        <v>368</v>
      </c>
      <c r="F7" s="216" t="s">
        <v>171</v>
      </c>
      <c r="G7" s="55" t="s">
        <v>42</v>
      </c>
      <c r="H7" s="216" t="s">
        <v>166</v>
      </c>
      <c r="I7" s="55" t="s">
        <v>155</v>
      </c>
      <c r="J7" s="216" t="s">
        <v>38</v>
      </c>
      <c r="K7" s="216" t="s">
        <v>156</v>
      </c>
      <c r="L7" s="208">
        <v>3</v>
      </c>
      <c r="N7" s="208">
        <v>1</v>
      </c>
      <c r="O7" s="208">
        <v>0.75</v>
      </c>
      <c r="P7" s="208">
        <v>0.75</v>
      </c>
      <c r="Q7" s="245">
        <f t="shared" si="0"/>
        <v>0.75</v>
      </c>
      <c r="R7" s="208">
        <v>16</v>
      </c>
      <c r="S7" s="208">
        <v>132</v>
      </c>
      <c r="T7" s="217">
        <f t="shared" si="1"/>
        <v>25</v>
      </c>
      <c r="U7" s="208">
        <v>108</v>
      </c>
      <c r="V7" s="217">
        <f t="shared" si="2"/>
        <v>2700</v>
      </c>
      <c r="W7" s="208">
        <v>3</v>
      </c>
      <c r="X7" s="55" t="s">
        <v>46</v>
      </c>
      <c r="Y7" s="55" t="s">
        <v>88</v>
      </c>
      <c r="Z7" s="216" t="s">
        <v>78</v>
      </c>
      <c r="AA7" s="55" t="s">
        <v>55</v>
      </c>
      <c r="AB7" s="39" t="s">
        <v>340</v>
      </c>
      <c r="AE7" s="223" t="s">
        <v>61</v>
      </c>
      <c r="AG7" s="231" t="s">
        <v>383</v>
      </c>
      <c r="AH7" s="87" t="s">
        <v>174</v>
      </c>
      <c r="AL7" s="88" t="s">
        <v>384</v>
      </c>
      <c r="AP7" s="224" t="s">
        <v>58</v>
      </c>
      <c r="AR7" s="231" t="s">
        <v>122</v>
      </c>
      <c r="AV7" s="224" t="s">
        <v>64</v>
      </c>
      <c r="AX7" s="225">
        <v>109</v>
      </c>
      <c r="AY7" s="226">
        <v>33</v>
      </c>
      <c r="AZ7" s="226">
        <v>113</v>
      </c>
      <c r="BA7" s="227">
        <v>30</v>
      </c>
    </row>
    <row r="8" spans="1:53" x14ac:dyDescent="0.15">
      <c r="A8" s="55" t="s">
        <v>56</v>
      </c>
      <c r="B8" s="55" t="s">
        <v>385</v>
      </c>
      <c r="C8" s="216">
        <v>2018</v>
      </c>
      <c r="D8" s="86" t="s">
        <v>386</v>
      </c>
      <c r="E8" s="216" t="s">
        <v>368</v>
      </c>
      <c r="F8" s="216" t="s">
        <v>172</v>
      </c>
      <c r="G8" s="55" t="s">
        <v>42</v>
      </c>
      <c r="H8" s="216" t="s">
        <v>157</v>
      </c>
      <c r="I8" s="55" t="s">
        <v>155</v>
      </c>
      <c r="J8" s="216" t="s">
        <v>38</v>
      </c>
      <c r="K8" s="216" t="s">
        <v>156</v>
      </c>
      <c r="L8" s="208">
        <v>1</v>
      </c>
      <c r="N8" s="208">
        <v>1</v>
      </c>
      <c r="O8" s="208">
        <v>0.9</v>
      </c>
      <c r="P8" s="208">
        <v>0.9</v>
      </c>
      <c r="Q8" s="245">
        <f t="shared" si="0"/>
        <v>0.9</v>
      </c>
      <c r="R8" s="208">
        <v>15.4</v>
      </c>
      <c r="S8" s="208">
        <v>145</v>
      </c>
      <c r="T8" s="217">
        <f t="shared" si="1"/>
        <v>22</v>
      </c>
      <c r="U8" s="208">
        <v>138</v>
      </c>
      <c r="V8" s="217">
        <f t="shared" si="2"/>
        <v>3036</v>
      </c>
      <c r="W8" s="208">
        <v>4</v>
      </c>
      <c r="X8" s="55" t="s">
        <v>46</v>
      </c>
      <c r="Y8" s="55" t="s">
        <v>88</v>
      </c>
      <c r="Z8" s="216" t="s">
        <v>78</v>
      </c>
      <c r="AA8" s="55" t="s">
        <v>97</v>
      </c>
      <c r="AB8" s="39" t="s">
        <v>340</v>
      </c>
      <c r="AE8" s="223" t="s">
        <v>59</v>
      </c>
      <c r="AG8" s="231" t="s">
        <v>387</v>
      </c>
      <c r="AH8" s="87" t="s">
        <v>174</v>
      </c>
      <c r="AL8" s="88" t="s">
        <v>353</v>
      </c>
      <c r="AP8" s="224" t="s">
        <v>62</v>
      </c>
      <c r="AR8" s="238" t="s">
        <v>81</v>
      </c>
      <c r="AV8" s="224" t="s">
        <v>97</v>
      </c>
      <c r="AX8" s="225">
        <v>119</v>
      </c>
      <c r="AY8" s="226">
        <v>30</v>
      </c>
      <c r="AZ8" s="226">
        <v>121</v>
      </c>
      <c r="BA8" s="227">
        <v>27</v>
      </c>
    </row>
    <row r="9" spans="1:53" x14ac:dyDescent="0.15">
      <c r="A9" s="55" t="s">
        <v>56</v>
      </c>
      <c r="B9" s="55" t="s">
        <v>385</v>
      </c>
      <c r="C9" s="216">
        <v>2018</v>
      </c>
      <c r="D9" s="86" t="s">
        <v>386</v>
      </c>
      <c r="E9" s="216" t="s">
        <v>368</v>
      </c>
      <c r="F9" s="216" t="s">
        <v>172</v>
      </c>
      <c r="G9" s="55" t="s">
        <v>42</v>
      </c>
      <c r="H9" s="216" t="s">
        <v>157</v>
      </c>
      <c r="I9" s="55" t="s">
        <v>155</v>
      </c>
      <c r="J9" s="216" t="s">
        <v>38</v>
      </c>
      <c r="K9" s="216" t="s">
        <v>156</v>
      </c>
      <c r="L9" s="208">
        <v>2</v>
      </c>
      <c r="N9" s="208">
        <v>1</v>
      </c>
      <c r="O9" s="208">
        <v>0.7</v>
      </c>
      <c r="P9" s="208">
        <v>0.7</v>
      </c>
      <c r="Q9" s="245">
        <f t="shared" si="0"/>
        <v>0.7</v>
      </c>
      <c r="R9" s="208">
        <v>12.6</v>
      </c>
      <c r="S9" s="208">
        <v>147</v>
      </c>
      <c r="T9" s="217">
        <f t="shared" si="1"/>
        <v>22</v>
      </c>
      <c r="U9" s="208">
        <v>138</v>
      </c>
      <c r="V9" s="217">
        <f t="shared" si="2"/>
        <v>3036</v>
      </c>
      <c r="W9" s="208">
        <v>4</v>
      </c>
      <c r="X9" s="55" t="s">
        <v>46</v>
      </c>
      <c r="Y9" s="55" t="s">
        <v>88</v>
      </c>
      <c r="Z9" s="216" t="s">
        <v>78</v>
      </c>
      <c r="AA9" s="55" t="s">
        <v>97</v>
      </c>
      <c r="AB9" s="39" t="s">
        <v>340</v>
      </c>
      <c r="AE9" s="223" t="s">
        <v>98</v>
      </c>
      <c r="AG9" s="231" t="s">
        <v>175</v>
      </c>
      <c r="AH9" s="231" t="s">
        <v>172</v>
      </c>
      <c r="AL9" s="230"/>
      <c r="AP9" s="224" t="s">
        <v>95</v>
      </c>
      <c r="AR9" s="231" t="s">
        <v>89</v>
      </c>
      <c r="AV9" s="224" t="s">
        <v>102</v>
      </c>
      <c r="AX9" s="225">
        <v>128</v>
      </c>
      <c r="AY9" s="226">
        <v>27</v>
      </c>
      <c r="AZ9" s="226">
        <v>129</v>
      </c>
      <c r="BA9" s="227">
        <v>25</v>
      </c>
    </row>
    <row r="10" spans="1:53" x14ac:dyDescent="0.15">
      <c r="A10" s="55" t="s">
        <v>56</v>
      </c>
      <c r="B10" s="55" t="s">
        <v>388</v>
      </c>
      <c r="C10" s="216">
        <v>2018</v>
      </c>
      <c r="D10" s="86" t="s">
        <v>389</v>
      </c>
      <c r="E10" s="216" t="s">
        <v>368</v>
      </c>
      <c r="F10" s="216" t="s">
        <v>172</v>
      </c>
      <c r="G10" s="55" t="s">
        <v>42</v>
      </c>
      <c r="H10" s="216" t="s">
        <v>157</v>
      </c>
      <c r="I10" s="55" t="s">
        <v>155</v>
      </c>
      <c r="J10" s="216" t="s">
        <v>38</v>
      </c>
      <c r="K10" s="216" t="s">
        <v>156</v>
      </c>
      <c r="L10" s="208">
        <v>3</v>
      </c>
      <c r="N10" s="208">
        <v>1</v>
      </c>
      <c r="O10" s="208">
        <v>0.75</v>
      </c>
      <c r="P10" s="208">
        <v>0.8</v>
      </c>
      <c r="Q10" s="245">
        <f t="shared" si="0"/>
        <v>0.77500000000000002</v>
      </c>
      <c r="R10" s="208">
        <v>13.2</v>
      </c>
      <c r="S10" s="208">
        <v>145</v>
      </c>
      <c r="T10" s="217">
        <f t="shared" si="1"/>
        <v>22</v>
      </c>
      <c r="U10" s="208">
        <v>138</v>
      </c>
      <c r="V10" s="217">
        <f t="shared" si="2"/>
        <v>3036</v>
      </c>
      <c r="W10" s="208">
        <v>4</v>
      </c>
      <c r="X10" s="55" t="s">
        <v>46</v>
      </c>
      <c r="Y10" s="55" t="s">
        <v>88</v>
      </c>
      <c r="Z10" s="216" t="s">
        <v>78</v>
      </c>
      <c r="AA10" s="55" t="s">
        <v>97</v>
      </c>
      <c r="AB10" s="39" t="s">
        <v>340</v>
      </c>
      <c r="AE10" s="223" t="s">
        <v>103</v>
      </c>
      <c r="AG10" s="231" t="s">
        <v>390</v>
      </c>
      <c r="AH10" s="87" t="s">
        <v>391</v>
      </c>
      <c r="AL10" s="88"/>
      <c r="AP10" s="224" t="s">
        <v>100</v>
      </c>
      <c r="AR10" s="231" t="s">
        <v>123</v>
      </c>
      <c r="AV10" s="224" t="s">
        <v>106</v>
      </c>
      <c r="AX10" s="225">
        <v>138</v>
      </c>
      <c r="AY10" s="226">
        <v>25</v>
      </c>
      <c r="AZ10" s="226">
        <v>138</v>
      </c>
      <c r="BA10" s="227">
        <v>22</v>
      </c>
    </row>
    <row r="11" spans="1:53" x14ac:dyDescent="0.15">
      <c r="A11" s="55" t="s">
        <v>56</v>
      </c>
      <c r="B11" s="55" t="s">
        <v>388</v>
      </c>
      <c r="C11" s="216">
        <v>2018</v>
      </c>
      <c r="D11" s="86" t="s">
        <v>389</v>
      </c>
      <c r="E11" s="216" t="s">
        <v>368</v>
      </c>
      <c r="F11" s="216" t="s">
        <v>172</v>
      </c>
      <c r="G11" s="55" t="s">
        <v>42</v>
      </c>
      <c r="H11" s="216" t="s">
        <v>157</v>
      </c>
      <c r="I11" s="55" t="s">
        <v>158</v>
      </c>
      <c r="J11" s="216" t="s">
        <v>38</v>
      </c>
      <c r="K11" s="216" t="s">
        <v>156</v>
      </c>
      <c r="L11" s="208">
        <v>1</v>
      </c>
      <c r="N11" s="208">
        <v>4</v>
      </c>
      <c r="O11" s="208">
        <v>0.6</v>
      </c>
      <c r="P11" s="208">
        <v>0.6</v>
      </c>
      <c r="Q11" s="245">
        <f t="shared" si="0"/>
        <v>0.6</v>
      </c>
      <c r="R11" s="208">
        <v>12.8</v>
      </c>
      <c r="S11" s="208">
        <v>107</v>
      </c>
      <c r="T11" s="217">
        <f t="shared" si="1"/>
        <v>33</v>
      </c>
      <c r="U11" s="208">
        <v>430</v>
      </c>
      <c r="V11" s="217">
        <f t="shared" si="2"/>
        <v>3547.5</v>
      </c>
      <c r="W11" s="208">
        <v>2</v>
      </c>
      <c r="X11" s="55" t="s">
        <v>46</v>
      </c>
      <c r="Y11" s="55" t="s">
        <v>88</v>
      </c>
      <c r="Z11" s="216" t="s">
        <v>78</v>
      </c>
      <c r="AA11" s="55" t="s">
        <v>97</v>
      </c>
      <c r="AB11" s="39" t="s">
        <v>340</v>
      </c>
      <c r="AE11" s="223" t="s">
        <v>65</v>
      </c>
      <c r="AG11" s="231" t="s">
        <v>392</v>
      </c>
      <c r="AH11" s="87" t="s">
        <v>391</v>
      </c>
      <c r="AJ11" s="88"/>
      <c r="AP11" s="224" t="s">
        <v>104</v>
      </c>
      <c r="AR11" s="231" t="s">
        <v>87</v>
      </c>
      <c r="AV11" s="224" t="s">
        <v>69</v>
      </c>
    </row>
    <row r="12" spans="1:53" x14ac:dyDescent="0.15">
      <c r="A12" s="55" t="s">
        <v>56</v>
      </c>
      <c r="B12" s="55" t="s">
        <v>393</v>
      </c>
      <c r="C12" s="216">
        <v>2018</v>
      </c>
      <c r="D12" s="86" t="s">
        <v>394</v>
      </c>
      <c r="E12" s="216" t="s">
        <v>368</v>
      </c>
      <c r="F12" s="216" t="s">
        <v>172</v>
      </c>
      <c r="G12" s="55" t="s">
        <v>42</v>
      </c>
      <c r="H12" s="216" t="s">
        <v>157</v>
      </c>
      <c r="I12" s="55" t="s">
        <v>158</v>
      </c>
      <c r="J12" s="216" t="s">
        <v>38</v>
      </c>
      <c r="K12" s="216" t="s">
        <v>156</v>
      </c>
      <c r="L12" s="208">
        <v>2</v>
      </c>
      <c r="N12" s="208">
        <v>4</v>
      </c>
      <c r="O12" s="208">
        <v>0.6</v>
      </c>
      <c r="P12" s="208">
        <v>0.65</v>
      </c>
      <c r="Q12" s="245">
        <f t="shared" si="0"/>
        <v>0.625</v>
      </c>
      <c r="R12" s="208">
        <v>12.3</v>
      </c>
      <c r="S12" s="208">
        <v>113</v>
      </c>
      <c r="T12" s="217">
        <f t="shared" si="1"/>
        <v>30</v>
      </c>
      <c r="U12" s="208">
        <v>430</v>
      </c>
      <c r="V12" s="217">
        <f t="shared" si="2"/>
        <v>3225</v>
      </c>
      <c r="W12" s="208">
        <v>2</v>
      </c>
      <c r="X12" s="55" t="s">
        <v>46</v>
      </c>
      <c r="Y12" s="55" t="s">
        <v>88</v>
      </c>
      <c r="Z12" s="216" t="s">
        <v>78</v>
      </c>
      <c r="AA12" s="55" t="s">
        <v>97</v>
      </c>
      <c r="AB12" s="39" t="s">
        <v>340</v>
      </c>
      <c r="AE12" s="223" t="s">
        <v>70</v>
      </c>
      <c r="AG12" s="231" t="s">
        <v>395</v>
      </c>
      <c r="AH12" s="87" t="s">
        <v>396</v>
      </c>
      <c r="AJ12" s="88"/>
      <c r="AP12" s="224" t="s">
        <v>67</v>
      </c>
      <c r="AR12" s="231" t="s">
        <v>124</v>
      </c>
      <c r="AV12" s="224" t="s">
        <v>72</v>
      </c>
    </row>
    <row r="13" spans="1:53" x14ac:dyDescent="0.15">
      <c r="A13" s="55" t="s">
        <v>56</v>
      </c>
      <c r="B13" s="55" t="s">
        <v>397</v>
      </c>
      <c r="C13" s="216">
        <v>2018</v>
      </c>
      <c r="D13" s="86" t="s">
        <v>398</v>
      </c>
      <c r="E13" s="216" t="s">
        <v>368</v>
      </c>
      <c r="F13" s="216" t="s">
        <v>172</v>
      </c>
      <c r="G13" s="55" t="s">
        <v>42</v>
      </c>
      <c r="H13" s="216" t="s">
        <v>157</v>
      </c>
      <c r="I13" s="55" t="s">
        <v>158</v>
      </c>
      <c r="J13" s="216" t="s">
        <v>38</v>
      </c>
      <c r="K13" s="216" t="s">
        <v>156</v>
      </c>
      <c r="L13" s="208">
        <v>3</v>
      </c>
      <c r="N13" s="208">
        <v>4</v>
      </c>
      <c r="O13" s="208">
        <v>0.6</v>
      </c>
      <c r="P13" s="208">
        <v>0.6</v>
      </c>
      <c r="Q13" s="245">
        <f t="shared" si="0"/>
        <v>0.6</v>
      </c>
      <c r="R13" s="237">
        <v>12.9</v>
      </c>
      <c r="S13" s="208">
        <v>115</v>
      </c>
      <c r="T13" s="217">
        <f t="shared" si="1"/>
        <v>30</v>
      </c>
      <c r="U13" s="208">
        <v>430</v>
      </c>
      <c r="V13" s="217">
        <f t="shared" si="2"/>
        <v>3225</v>
      </c>
      <c r="W13" s="208">
        <v>2</v>
      </c>
      <c r="X13" s="55" t="s">
        <v>46</v>
      </c>
      <c r="Y13" s="55" t="s">
        <v>88</v>
      </c>
      <c r="Z13" s="216" t="s">
        <v>78</v>
      </c>
      <c r="AA13" s="55" t="s">
        <v>97</v>
      </c>
      <c r="AB13" s="39" t="s">
        <v>340</v>
      </c>
      <c r="AE13" s="223" t="s">
        <v>73</v>
      </c>
      <c r="AP13" s="224" t="s">
        <v>71</v>
      </c>
      <c r="AR13" s="231" t="s">
        <v>103</v>
      </c>
      <c r="AV13" s="224" t="s">
        <v>75</v>
      </c>
    </row>
    <row r="14" spans="1:53" x14ac:dyDescent="0.15">
      <c r="A14" s="55" t="s">
        <v>56</v>
      </c>
      <c r="B14" s="55" t="s">
        <v>399</v>
      </c>
      <c r="C14" s="216">
        <v>2018</v>
      </c>
      <c r="D14" s="86" t="s">
        <v>400</v>
      </c>
      <c r="E14" s="216" t="s">
        <v>368</v>
      </c>
      <c r="F14" s="216" t="s">
        <v>172</v>
      </c>
      <c r="G14" s="55" t="s">
        <v>42</v>
      </c>
      <c r="H14" s="216" t="s">
        <v>166</v>
      </c>
      <c r="I14" s="55" t="s">
        <v>155</v>
      </c>
      <c r="J14" s="216" t="s">
        <v>38</v>
      </c>
      <c r="K14" s="216" t="s">
        <v>156</v>
      </c>
      <c r="L14" s="208">
        <v>1</v>
      </c>
      <c r="N14" s="208">
        <v>1</v>
      </c>
      <c r="O14" s="208">
        <v>0.5</v>
      </c>
      <c r="P14" s="208">
        <v>0.5</v>
      </c>
      <c r="Q14" s="245">
        <f t="shared" si="0"/>
        <v>0.5</v>
      </c>
      <c r="R14" s="208">
        <v>16.7</v>
      </c>
      <c r="S14" s="208">
        <v>140</v>
      </c>
      <c r="T14" s="217">
        <f t="shared" si="1"/>
        <v>22</v>
      </c>
      <c r="U14" s="208">
        <v>138</v>
      </c>
      <c r="V14" s="217">
        <f t="shared" si="2"/>
        <v>3036</v>
      </c>
      <c r="W14" s="208">
        <v>8</v>
      </c>
      <c r="X14" s="55" t="s">
        <v>46</v>
      </c>
      <c r="Y14" s="55" t="s">
        <v>88</v>
      </c>
      <c r="Z14" s="216" t="s">
        <v>78</v>
      </c>
      <c r="AA14" s="55" t="s">
        <v>97</v>
      </c>
      <c r="AB14" s="39" t="s">
        <v>340</v>
      </c>
      <c r="AE14" s="223" t="s">
        <v>76</v>
      </c>
      <c r="AP14" s="224" t="s">
        <v>74</v>
      </c>
      <c r="AR14" s="231" t="s">
        <v>125</v>
      </c>
      <c r="AV14" s="224" t="s">
        <v>78</v>
      </c>
    </row>
    <row r="15" spans="1:53" x14ac:dyDescent="0.15">
      <c r="A15" s="55" t="s">
        <v>56</v>
      </c>
      <c r="B15" s="55" t="s">
        <v>399</v>
      </c>
      <c r="C15" s="216">
        <v>2018</v>
      </c>
      <c r="D15" s="86" t="s">
        <v>400</v>
      </c>
      <c r="E15" s="216" t="s">
        <v>368</v>
      </c>
      <c r="F15" s="216" t="s">
        <v>172</v>
      </c>
      <c r="G15" s="55" t="s">
        <v>42</v>
      </c>
      <c r="H15" s="216" t="s">
        <v>166</v>
      </c>
      <c r="I15" s="55" t="s">
        <v>155</v>
      </c>
      <c r="J15" s="216" t="s">
        <v>38</v>
      </c>
      <c r="K15" s="216" t="s">
        <v>156</v>
      </c>
      <c r="L15" s="208">
        <v>2</v>
      </c>
      <c r="N15" s="208">
        <v>1</v>
      </c>
      <c r="O15" s="208">
        <v>0.75</v>
      </c>
      <c r="P15" s="208">
        <v>0.7</v>
      </c>
      <c r="Q15" s="245">
        <f t="shared" si="0"/>
        <v>0.72499999999999998</v>
      </c>
      <c r="R15" s="208">
        <v>16.600000000000001</v>
      </c>
      <c r="S15" s="208">
        <v>145</v>
      </c>
      <c r="T15" s="217">
        <f t="shared" si="1"/>
        <v>22</v>
      </c>
      <c r="U15" s="208">
        <v>138</v>
      </c>
      <c r="V15" s="217">
        <f t="shared" si="2"/>
        <v>3036</v>
      </c>
      <c r="W15" s="208">
        <v>8</v>
      </c>
      <c r="X15" s="55" t="s">
        <v>46</v>
      </c>
      <c r="Y15" s="55" t="s">
        <v>88</v>
      </c>
      <c r="Z15" s="216" t="s">
        <v>78</v>
      </c>
      <c r="AA15" s="55" t="s">
        <v>97</v>
      </c>
      <c r="AB15" s="39" t="s">
        <v>340</v>
      </c>
      <c r="AE15" s="223" t="s">
        <v>79</v>
      </c>
      <c r="AP15" s="224" t="s">
        <v>77</v>
      </c>
      <c r="AR15" s="231" t="s">
        <v>94</v>
      </c>
      <c r="AV15" s="224" t="s">
        <v>107</v>
      </c>
    </row>
    <row r="16" spans="1:53" x14ac:dyDescent="0.15">
      <c r="A16" s="55" t="s">
        <v>56</v>
      </c>
      <c r="B16" s="55" t="s">
        <v>401</v>
      </c>
      <c r="C16" s="216">
        <v>2018</v>
      </c>
      <c r="D16" s="86" t="s">
        <v>402</v>
      </c>
      <c r="E16" s="216" t="s">
        <v>368</v>
      </c>
      <c r="F16" s="216" t="s">
        <v>172</v>
      </c>
      <c r="G16" s="55" t="s">
        <v>42</v>
      </c>
      <c r="H16" s="216" t="s">
        <v>166</v>
      </c>
      <c r="I16" s="55" t="s">
        <v>155</v>
      </c>
      <c r="J16" s="216" t="s">
        <v>38</v>
      </c>
      <c r="K16" s="216" t="s">
        <v>156</v>
      </c>
      <c r="L16" s="208">
        <v>3</v>
      </c>
      <c r="N16" s="208">
        <v>1</v>
      </c>
      <c r="O16" s="208">
        <v>0.55000000000000004</v>
      </c>
      <c r="P16" s="208">
        <v>0.55000000000000004</v>
      </c>
      <c r="Q16" s="245">
        <f t="shared" si="0"/>
        <v>0.55000000000000004</v>
      </c>
      <c r="R16" s="237">
        <v>16.2</v>
      </c>
      <c r="S16" s="208">
        <v>140</v>
      </c>
      <c r="T16" s="217">
        <f t="shared" si="1"/>
        <v>22</v>
      </c>
      <c r="U16" s="208">
        <v>138</v>
      </c>
      <c r="V16" s="217">
        <f t="shared" si="2"/>
        <v>3036</v>
      </c>
      <c r="W16" s="208">
        <v>8</v>
      </c>
      <c r="X16" s="55" t="s">
        <v>46</v>
      </c>
      <c r="Y16" s="55" t="s">
        <v>88</v>
      </c>
      <c r="Z16" s="216" t="s">
        <v>78</v>
      </c>
      <c r="AA16" s="55" t="s">
        <v>97</v>
      </c>
      <c r="AB16" s="39" t="s">
        <v>340</v>
      </c>
      <c r="AE16" s="223" t="s">
        <v>82</v>
      </c>
      <c r="AP16" s="224" t="s">
        <v>80</v>
      </c>
      <c r="AR16" s="238" t="s">
        <v>63</v>
      </c>
      <c r="AV16" s="224" t="s">
        <v>84</v>
      </c>
    </row>
    <row r="17" spans="1:48" x14ac:dyDescent="0.15">
      <c r="A17" s="55" t="s">
        <v>56</v>
      </c>
      <c r="B17" s="55" t="s">
        <v>401</v>
      </c>
      <c r="C17" s="216">
        <v>2018</v>
      </c>
      <c r="D17" s="86" t="s">
        <v>402</v>
      </c>
      <c r="E17" s="216" t="s">
        <v>403</v>
      </c>
      <c r="F17" s="216" t="s">
        <v>404</v>
      </c>
      <c r="G17" s="55" t="s">
        <v>42</v>
      </c>
      <c r="H17" s="216" t="s">
        <v>157</v>
      </c>
      <c r="I17" s="55" t="s">
        <v>155</v>
      </c>
      <c r="J17" s="216" t="s">
        <v>38</v>
      </c>
      <c r="K17" s="216" t="s">
        <v>156</v>
      </c>
      <c r="L17" s="208">
        <v>1</v>
      </c>
      <c r="N17" s="208">
        <v>5</v>
      </c>
      <c r="O17" s="208">
        <v>0.75</v>
      </c>
      <c r="P17" s="208">
        <v>0.85</v>
      </c>
      <c r="Q17" s="245">
        <f t="shared" si="0"/>
        <v>0.8</v>
      </c>
      <c r="R17" s="208">
        <v>15.7</v>
      </c>
      <c r="S17" s="208">
        <v>103</v>
      </c>
      <c r="T17" s="217">
        <f t="shared" si="1"/>
        <v>33</v>
      </c>
      <c r="U17" s="208">
        <v>430</v>
      </c>
      <c r="V17" s="217">
        <f t="shared" si="2"/>
        <v>2838</v>
      </c>
      <c r="W17" s="208">
        <v>4</v>
      </c>
      <c r="X17" s="55" t="s">
        <v>46</v>
      </c>
      <c r="Y17" s="55" t="s">
        <v>88</v>
      </c>
      <c r="Z17" s="216" t="s">
        <v>78</v>
      </c>
      <c r="AA17" s="55" t="s">
        <v>55</v>
      </c>
      <c r="AB17" s="39" t="s">
        <v>340</v>
      </c>
      <c r="AE17" s="223" t="s">
        <v>85</v>
      </c>
      <c r="AP17" s="239" t="s">
        <v>110</v>
      </c>
      <c r="AR17" s="238" t="s">
        <v>96</v>
      </c>
      <c r="AV17" s="224" t="s">
        <v>86</v>
      </c>
    </row>
    <row r="18" spans="1:48" x14ac:dyDescent="0.15">
      <c r="A18" s="55" t="s">
        <v>56</v>
      </c>
      <c r="B18" s="55" t="s">
        <v>401</v>
      </c>
      <c r="C18" s="216">
        <v>2018</v>
      </c>
      <c r="D18" s="86" t="s">
        <v>402</v>
      </c>
      <c r="E18" s="216" t="s">
        <v>403</v>
      </c>
      <c r="F18" s="216" t="s">
        <v>404</v>
      </c>
      <c r="G18" s="55" t="s">
        <v>42</v>
      </c>
      <c r="H18" s="216" t="s">
        <v>157</v>
      </c>
      <c r="I18" s="55" t="s">
        <v>155</v>
      </c>
      <c r="J18" s="216" t="s">
        <v>38</v>
      </c>
      <c r="K18" s="216" t="s">
        <v>156</v>
      </c>
      <c r="L18" s="208">
        <v>2</v>
      </c>
      <c r="N18" s="208">
        <v>5</v>
      </c>
      <c r="O18" s="208">
        <v>1.1000000000000001</v>
      </c>
      <c r="P18" s="208">
        <v>1</v>
      </c>
      <c r="Q18" s="245">
        <f t="shared" si="0"/>
        <v>1.05</v>
      </c>
      <c r="R18" s="208">
        <v>15.2</v>
      </c>
      <c r="S18" s="208">
        <v>98</v>
      </c>
      <c r="T18" s="217">
        <f t="shared" si="1"/>
        <v>36</v>
      </c>
      <c r="U18" s="208">
        <v>430</v>
      </c>
      <c r="V18" s="217">
        <f t="shared" si="2"/>
        <v>3096</v>
      </c>
      <c r="W18" s="208">
        <v>4</v>
      </c>
      <c r="X18" s="55" t="s">
        <v>46</v>
      </c>
      <c r="Y18" s="55" t="s">
        <v>88</v>
      </c>
      <c r="Z18" s="216" t="s">
        <v>78</v>
      </c>
      <c r="AA18" s="55" t="s">
        <v>55</v>
      </c>
      <c r="AB18" s="39" t="s">
        <v>340</v>
      </c>
      <c r="AE18" s="223" t="s">
        <v>87</v>
      </c>
      <c r="AP18" s="239" t="s">
        <v>111</v>
      </c>
      <c r="AR18" s="238" t="s">
        <v>101</v>
      </c>
      <c r="AV18" s="224" t="s">
        <v>88</v>
      </c>
    </row>
    <row r="19" spans="1:48" x14ac:dyDescent="0.15">
      <c r="A19" s="55" t="s">
        <v>56</v>
      </c>
      <c r="B19" s="55" t="s">
        <v>393</v>
      </c>
      <c r="C19" s="216">
        <v>2018</v>
      </c>
      <c r="D19" s="86" t="s">
        <v>394</v>
      </c>
      <c r="E19" s="216" t="s">
        <v>403</v>
      </c>
      <c r="F19" s="216" t="s">
        <v>404</v>
      </c>
      <c r="G19" s="55" t="s">
        <v>42</v>
      </c>
      <c r="H19" s="216" t="s">
        <v>157</v>
      </c>
      <c r="I19" s="55" t="s">
        <v>155</v>
      </c>
      <c r="J19" s="216" t="s">
        <v>38</v>
      </c>
      <c r="K19" s="216" t="s">
        <v>156</v>
      </c>
      <c r="L19" s="208">
        <v>3</v>
      </c>
      <c r="N19" s="208">
        <v>5</v>
      </c>
      <c r="O19" s="208">
        <v>0.6</v>
      </c>
      <c r="P19" s="208">
        <v>0.6</v>
      </c>
      <c r="Q19" s="245">
        <f t="shared" si="0"/>
        <v>0.6</v>
      </c>
      <c r="R19" s="237">
        <v>13.2</v>
      </c>
      <c r="S19" s="208">
        <v>105</v>
      </c>
      <c r="T19" s="217">
        <f t="shared" si="1"/>
        <v>33</v>
      </c>
      <c r="U19" s="208">
        <v>430</v>
      </c>
      <c r="V19" s="217">
        <f t="shared" si="2"/>
        <v>2838</v>
      </c>
      <c r="W19" s="208">
        <v>4</v>
      </c>
      <c r="X19" s="55" t="s">
        <v>46</v>
      </c>
      <c r="Y19" s="55" t="s">
        <v>88</v>
      </c>
      <c r="Z19" s="216" t="s">
        <v>78</v>
      </c>
      <c r="AA19" s="55" t="s">
        <v>55</v>
      </c>
      <c r="AB19" s="39" t="s">
        <v>340</v>
      </c>
      <c r="AE19" s="236" t="s">
        <v>89</v>
      </c>
      <c r="AP19" s="239" t="s">
        <v>112</v>
      </c>
      <c r="AR19" s="231" t="s">
        <v>126</v>
      </c>
      <c r="AV19" s="224" t="s">
        <v>90</v>
      </c>
    </row>
    <row r="20" spans="1:48" x14ac:dyDescent="0.15">
      <c r="A20" s="55" t="s">
        <v>56</v>
      </c>
      <c r="B20" s="55" t="s">
        <v>393</v>
      </c>
      <c r="C20" s="216">
        <v>2018</v>
      </c>
      <c r="D20" s="86" t="s">
        <v>394</v>
      </c>
      <c r="E20" s="216" t="s">
        <v>403</v>
      </c>
      <c r="F20" s="216" t="s">
        <v>404</v>
      </c>
      <c r="G20" s="55" t="s">
        <v>42</v>
      </c>
      <c r="H20" s="216" t="s">
        <v>166</v>
      </c>
      <c r="I20" s="55" t="s">
        <v>155</v>
      </c>
      <c r="J20" s="216" t="s">
        <v>38</v>
      </c>
      <c r="K20" s="216" t="s">
        <v>156</v>
      </c>
      <c r="L20" s="208">
        <v>1</v>
      </c>
      <c r="N20" s="208">
        <v>5</v>
      </c>
      <c r="O20" s="208">
        <v>0.6</v>
      </c>
      <c r="P20" s="208">
        <v>0.6</v>
      </c>
      <c r="Q20" s="245">
        <f t="shared" si="0"/>
        <v>0.6</v>
      </c>
      <c r="R20" s="208">
        <v>14.6</v>
      </c>
      <c r="S20" s="208">
        <v>120</v>
      </c>
      <c r="T20" s="217">
        <f t="shared" si="1"/>
        <v>30</v>
      </c>
      <c r="U20" s="208">
        <v>646</v>
      </c>
      <c r="V20" s="217">
        <f t="shared" si="2"/>
        <v>3875.9999999999995</v>
      </c>
      <c r="W20" s="208">
        <v>4</v>
      </c>
      <c r="X20" s="55" t="s">
        <v>46</v>
      </c>
      <c r="Y20" s="55" t="s">
        <v>88</v>
      </c>
      <c r="Z20" s="216" t="s">
        <v>78</v>
      </c>
      <c r="AA20" s="55" t="s">
        <v>55</v>
      </c>
      <c r="AB20" s="39" t="s">
        <v>340</v>
      </c>
      <c r="AP20" s="239" t="s">
        <v>113</v>
      </c>
      <c r="AR20" s="238" t="s">
        <v>105</v>
      </c>
      <c r="AV20" s="228" t="s">
        <v>354</v>
      </c>
    </row>
    <row r="21" spans="1:48" x14ac:dyDescent="0.15">
      <c r="A21" s="55" t="s">
        <v>56</v>
      </c>
      <c r="B21" s="55" t="s">
        <v>393</v>
      </c>
      <c r="C21" s="216">
        <v>2018</v>
      </c>
      <c r="D21" s="86" t="s">
        <v>394</v>
      </c>
      <c r="E21" s="216" t="s">
        <v>403</v>
      </c>
      <c r="F21" s="216" t="s">
        <v>404</v>
      </c>
      <c r="G21" s="55" t="s">
        <v>42</v>
      </c>
      <c r="H21" s="216" t="s">
        <v>166</v>
      </c>
      <c r="I21" s="55" t="s">
        <v>155</v>
      </c>
      <c r="J21" s="216" t="s">
        <v>38</v>
      </c>
      <c r="K21" s="216" t="s">
        <v>156</v>
      </c>
      <c r="L21" s="208">
        <v>2</v>
      </c>
      <c r="N21" s="208">
        <v>5</v>
      </c>
      <c r="O21" s="208">
        <v>0.65</v>
      </c>
      <c r="P21" s="208">
        <v>0.7</v>
      </c>
      <c r="Q21" s="245">
        <f t="shared" si="0"/>
        <v>0.67500000000000004</v>
      </c>
      <c r="R21" s="208">
        <v>16.7</v>
      </c>
      <c r="S21" s="208">
        <v>134</v>
      </c>
      <c r="T21" s="217">
        <f t="shared" si="1"/>
        <v>25</v>
      </c>
      <c r="U21" s="208">
        <v>646</v>
      </c>
      <c r="V21" s="217">
        <f t="shared" si="2"/>
        <v>3229.9999999999995</v>
      </c>
      <c r="W21" s="208">
        <v>4</v>
      </c>
      <c r="X21" s="55" t="s">
        <v>46</v>
      </c>
      <c r="Y21" s="55" t="s">
        <v>88</v>
      </c>
      <c r="Z21" s="216" t="s">
        <v>78</v>
      </c>
      <c r="AA21" s="55" t="s">
        <v>55</v>
      </c>
      <c r="AB21" s="39" t="s">
        <v>340</v>
      </c>
      <c r="AP21" s="239" t="s">
        <v>114</v>
      </c>
      <c r="AR21" s="238" t="s">
        <v>68</v>
      </c>
      <c r="AV21" s="229" t="s">
        <v>405</v>
      </c>
    </row>
    <row r="22" spans="1:48" x14ac:dyDescent="0.15">
      <c r="A22" s="55" t="s">
        <v>56</v>
      </c>
      <c r="B22" s="55" t="s">
        <v>393</v>
      </c>
      <c r="C22" s="216">
        <v>2018</v>
      </c>
      <c r="D22" s="86" t="s">
        <v>394</v>
      </c>
      <c r="E22" s="216" t="s">
        <v>403</v>
      </c>
      <c r="F22" s="216" t="s">
        <v>404</v>
      </c>
      <c r="G22" s="55" t="s">
        <v>42</v>
      </c>
      <c r="H22" s="216" t="s">
        <v>166</v>
      </c>
      <c r="I22" s="55" t="s">
        <v>155</v>
      </c>
      <c r="J22" s="216" t="s">
        <v>38</v>
      </c>
      <c r="K22" s="216" t="s">
        <v>156</v>
      </c>
      <c r="L22" s="208">
        <v>3</v>
      </c>
      <c r="N22" s="208">
        <v>5</v>
      </c>
      <c r="O22" s="208">
        <v>0.6</v>
      </c>
      <c r="P22" s="208">
        <v>0.6</v>
      </c>
      <c r="Q22" s="245">
        <f t="shared" si="0"/>
        <v>0.6</v>
      </c>
      <c r="R22" s="237">
        <v>16</v>
      </c>
      <c r="S22" s="208">
        <v>126</v>
      </c>
      <c r="T22" s="217">
        <f t="shared" si="1"/>
        <v>27</v>
      </c>
      <c r="U22" s="208">
        <v>646</v>
      </c>
      <c r="V22" s="217">
        <f t="shared" si="2"/>
        <v>3488.3999999999996</v>
      </c>
      <c r="W22" s="208">
        <v>4</v>
      </c>
      <c r="X22" s="55" t="s">
        <v>46</v>
      </c>
      <c r="Y22" s="55" t="s">
        <v>88</v>
      </c>
      <c r="Z22" s="216" t="s">
        <v>78</v>
      </c>
      <c r="AA22" s="55" t="s">
        <v>55</v>
      </c>
      <c r="AB22" s="39" t="s">
        <v>340</v>
      </c>
      <c r="AP22" s="239" t="s">
        <v>115</v>
      </c>
      <c r="AR22" s="238" t="s">
        <v>83</v>
      </c>
    </row>
    <row r="23" spans="1:48" x14ac:dyDescent="0.15">
      <c r="A23" s="55" t="s">
        <v>56</v>
      </c>
      <c r="B23" s="55" t="s">
        <v>393</v>
      </c>
      <c r="C23" s="216">
        <v>2018</v>
      </c>
      <c r="D23" s="86" t="s">
        <v>394</v>
      </c>
      <c r="E23" s="216" t="s">
        <v>406</v>
      </c>
      <c r="F23" s="216" t="s">
        <v>407</v>
      </c>
      <c r="G23" s="55" t="s">
        <v>42</v>
      </c>
      <c r="H23" s="216" t="s">
        <v>157</v>
      </c>
      <c r="I23" s="55" t="s">
        <v>155</v>
      </c>
      <c r="J23" s="216" t="s">
        <v>38</v>
      </c>
      <c r="K23" s="216" t="s">
        <v>156</v>
      </c>
      <c r="L23" s="208">
        <v>1</v>
      </c>
      <c r="N23" s="208">
        <v>1</v>
      </c>
      <c r="O23" s="208">
        <v>0.75</v>
      </c>
      <c r="P23" s="208">
        <v>0.9</v>
      </c>
      <c r="Q23" s="245">
        <f t="shared" si="0"/>
        <v>0.82499999999999996</v>
      </c>
      <c r="R23" s="208">
        <v>12.8</v>
      </c>
      <c r="S23" s="208">
        <v>120</v>
      </c>
      <c r="T23" s="217">
        <f t="shared" si="1"/>
        <v>30</v>
      </c>
      <c r="U23" s="208">
        <v>96</v>
      </c>
      <c r="V23" s="217">
        <f t="shared" si="2"/>
        <v>2880</v>
      </c>
      <c r="W23" s="208">
        <v>2</v>
      </c>
      <c r="X23" s="55" t="s">
        <v>46</v>
      </c>
      <c r="Y23" s="55" t="s">
        <v>88</v>
      </c>
      <c r="Z23" s="216" t="s">
        <v>78</v>
      </c>
      <c r="AA23" s="55" t="s">
        <v>55</v>
      </c>
      <c r="AB23" s="39" t="s">
        <v>340</v>
      </c>
      <c r="AP23" s="239" t="s">
        <v>408</v>
      </c>
      <c r="AR23" s="238" t="s">
        <v>61</v>
      </c>
    </row>
    <row r="24" spans="1:48" x14ac:dyDescent="0.15">
      <c r="A24" s="55" t="s">
        <v>56</v>
      </c>
      <c r="B24" s="55" t="s">
        <v>393</v>
      </c>
      <c r="C24" s="216">
        <v>2018</v>
      </c>
      <c r="D24" s="86" t="s">
        <v>394</v>
      </c>
      <c r="E24" s="216" t="s">
        <v>406</v>
      </c>
      <c r="F24" s="216" t="s">
        <v>407</v>
      </c>
      <c r="G24" s="55" t="s">
        <v>42</v>
      </c>
      <c r="H24" s="216" t="s">
        <v>157</v>
      </c>
      <c r="I24" s="55" t="s">
        <v>155</v>
      </c>
      <c r="J24" s="216" t="s">
        <v>38</v>
      </c>
      <c r="K24" s="216" t="s">
        <v>156</v>
      </c>
      <c r="L24" s="208">
        <v>2</v>
      </c>
      <c r="N24" s="208">
        <v>1</v>
      </c>
      <c r="O24" s="208">
        <v>0.9</v>
      </c>
      <c r="P24" s="208">
        <v>0.85</v>
      </c>
      <c r="Q24" s="245">
        <f t="shared" si="0"/>
        <v>0.875</v>
      </c>
      <c r="R24" s="208">
        <v>14.8</v>
      </c>
      <c r="S24" s="208">
        <v>123</v>
      </c>
      <c r="T24" s="217">
        <f t="shared" si="1"/>
        <v>27</v>
      </c>
      <c r="U24" s="208">
        <v>96</v>
      </c>
      <c r="V24" s="217">
        <f t="shared" si="2"/>
        <v>2592</v>
      </c>
      <c r="W24" s="208">
        <v>2</v>
      </c>
      <c r="X24" s="55" t="s">
        <v>46</v>
      </c>
      <c r="Y24" s="55" t="s">
        <v>88</v>
      </c>
      <c r="Z24" s="216" t="s">
        <v>78</v>
      </c>
      <c r="AA24" s="55" t="s">
        <v>55</v>
      </c>
      <c r="AB24" s="39" t="s">
        <v>340</v>
      </c>
      <c r="AP24" s="239" t="s">
        <v>409</v>
      </c>
      <c r="AR24" s="238" t="s">
        <v>91</v>
      </c>
    </row>
    <row r="25" spans="1:48" x14ac:dyDescent="0.15">
      <c r="A25" s="55" t="s">
        <v>56</v>
      </c>
      <c r="B25" s="55" t="s">
        <v>393</v>
      </c>
      <c r="C25" s="216">
        <v>2018</v>
      </c>
      <c r="D25" s="86" t="s">
        <v>394</v>
      </c>
      <c r="E25" s="216" t="s">
        <v>406</v>
      </c>
      <c r="F25" s="216" t="s">
        <v>407</v>
      </c>
      <c r="G25" s="55" t="s">
        <v>42</v>
      </c>
      <c r="H25" s="216" t="s">
        <v>157</v>
      </c>
      <c r="I25" s="55" t="s">
        <v>155</v>
      </c>
      <c r="J25" s="216" t="s">
        <v>38</v>
      </c>
      <c r="K25" s="216" t="s">
        <v>156</v>
      </c>
      <c r="L25" s="208">
        <v>3</v>
      </c>
      <c r="N25" s="208">
        <v>1</v>
      </c>
      <c r="O25" s="208">
        <v>0.6</v>
      </c>
      <c r="P25" s="208">
        <v>0.65</v>
      </c>
      <c r="Q25" s="245">
        <f t="shared" si="0"/>
        <v>0.625</v>
      </c>
      <c r="R25" s="237">
        <v>15.5</v>
      </c>
      <c r="S25" s="208">
        <v>118</v>
      </c>
      <c r="T25" s="217">
        <f t="shared" si="1"/>
        <v>30</v>
      </c>
      <c r="U25" s="208">
        <v>96</v>
      </c>
      <c r="V25" s="217">
        <f t="shared" si="2"/>
        <v>2880</v>
      </c>
      <c r="W25" s="208">
        <v>2</v>
      </c>
      <c r="X25" s="55" t="s">
        <v>46</v>
      </c>
      <c r="Y25" s="55" t="s">
        <v>88</v>
      </c>
      <c r="Z25" s="216" t="s">
        <v>78</v>
      </c>
      <c r="AA25" s="55" t="s">
        <v>55</v>
      </c>
      <c r="AB25" s="39" t="s">
        <v>340</v>
      </c>
      <c r="AP25" s="239" t="s">
        <v>116</v>
      </c>
      <c r="AR25" s="42" t="s">
        <v>92</v>
      </c>
    </row>
    <row r="26" spans="1:48" x14ac:dyDescent="0.15">
      <c r="A26" s="55" t="s">
        <v>56</v>
      </c>
      <c r="B26" s="55" t="s">
        <v>393</v>
      </c>
      <c r="C26" s="216">
        <v>2018</v>
      </c>
      <c r="D26" s="86" t="s">
        <v>394</v>
      </c>
      <c r="E26" s="216" t="s">
        <v>406</v>
      </c>
      <c r="F26" s="216" t="s">
        <v>407</v>
      </c>
      <c r="G26" s="55" t="s">
        <v>42</v>
      </c>
      <c r="H26" s="216" t="s">
        <v>157</v>
      </c>
      <c r="I26" s="55" t="s">
        <v>158</v>
      </c>
      <c r="J26" s="216" t="s">
        <v>38</v>
      </c>
      <c r="K26" s="216" t="s">
        <v>156</v>
      </c>
      <c r="L26" s="208">
        <v>1</v>
      </c>
      <c r="N26" s="208">
        <v>4</v>
      </c>
      <c r="O26" s="208">
        <v>0.5</v>
      </c>
      <c r="P26" s="208">
        <v>0.55000000000000004</v>
      </c>
      <c r="Q26" s="245">
        <f t="shared" si="0"/>
        <v>0.52500000000000002</v>
      </c>
      <c r="R26" s="208">
        <v>11.5</v>
      </c>
      <c r="S26" s="208">
        <v>105</v>
      </c>
      <c r="T26" s="217">
        <f t="shared" si="1"/>
        <v>33</v>
      </c>
      <c r="U26" s="208">
        <v>377</v>
      </c>
      <c r="V26" s="217">
        <f t="shared" si="2"/>
        <v>3110.25</v>
      </c>
      <c r="W26" s="208">
        <v>3</v>
      </c>
      <c r="X26" s="55" t="s">
        <v>46</v>
      </c>
      <c r="Y26" s="55" t="s">
        <v>88</v>
      </c>
      <c r="Z26" s="216" t="s">
        <v>78</v>
      </c>
      <c r="AA26" s="55" t="s">
        <v>55</v>
      </c>
      <c r="AB26" s="39" t="s">
        <v>340</v>
      </c>
      <c r="AP26" s="239" t="s">
        <v>117</v>
      </c>
      <c r="AR26" s="208" t="s">
        <v>290</v>
      </c>
    </row>
    <row r="27" spans="1:48" x14ac:dyDescent="0.15">
      <c r="A27" s="55" t="s">
        <v>56</v>
      </c>
      <c r="B27" s="55" t="s">
        <v>393</v>
      </c>
      <c r="C27" s="216">
        <v>2018</v>
      </c>
      <c r="D27" s="86" t="s">
        <v>394</v>
      </c>
      <c r="E27" s="216" t="s">
        <v>406</v>
      </c>
      <c r="F27" s="216" t="s">
        <v>407</v>
      </c>
      <c r="G27" s="55" t="s">
        <v>42</v>
      </c>
      <c r="H27" s="216" t="s">
        <v>157</v>
      </c>
      <c r="I27" s="55" t="s">
        <v>158</v>
      </c>
      <c r="J27" s="216" t="s">
        <v>38</v>
      </c>
      <c r="K27" s="216" t="s">
        <v>156</v>
      </c>
      <c r="L27" s="208">
        <v>2</v>
      </c>
      <c r="N27" s="208">
        <v>4</v>
      </c>
      <c r="O27" s="208">
        <v>0.6</v>
      </c>
      <c r="P27" s="208">
        <v>0.7</v>
      </c>
      <c r="Q27" s="245">
        <f t="shared" si="0"/>
        <v>0.64999999999999991</v>
      </c>
      <c r="R27" s="208">
        <v>13.3</v>
      </c>
      <c r="S27" s="208">
        <v>100</v>
      </c>
      <c r="T27" s="217">
        <f t="shared" si="1"/>
        <v>33</v>
      </c>
      <c r="U27" s="208">
        <v>377</v>
      </c>
      <c r="V27" s="217">
        <f t="shared" si="2"/>
        <v>3110.25</v>
      </c>
      <c r="W27" s="208">
        <v>3</v>
      </c>
      <c r="X27" s="55" t="s">
        <v>46</v>
      </c>
      <c r="Y27" s="55" t="s">
        <v>88</v>
      </c>
      <c r="Z27" s="216" t="s">
        <v>78</v>
      </c>
      <c r="AA27" s="55" t="s">
        <v>55</v>
      </c>
      <c r="AB27" s="39" t="s">
        <v>340</v>
      </c>
      <c r="AP27" s="239" t="s">
        <v>118</v>
      </c>
    </row>
    <row r="28" spans="1:48" x14ac:dyDescent="0.15">
      <c r="A28" s="55" t="s">
        <v>56</v>
      </c>
      <c r="B28" s="55" t="s">
        <v>393</v>
      </c>
      <c r="C28" s="216">
        <v>2018</v>
      </c>
      <c r="D28" s="86" t="s">
        <v>394</v>
      </c>
      <c r="E28" s="216" t="s">
        <v>406</v>
      </c>
      <c r="F28" s="216" t="s">
        <v>407</v>
      </c>
      <c r="G28" s="55" t="s">
        <v>42</v>
      </c>
      <c r="H28" s="216" t="s">
        <v>157</v>
      </c>
      <c r="I28" s="55" t="s">
        <v>158</v>
      </c>
      <c r="J28" s="216" t="s">
        <v>38</v>
      </c>
      <c r="K28" s="216" t="s">
        <v>156</v>
      </c>
      <c r="L28" s="208">
        <v>3</v>
      </c>
      <c r="N28" s="208">
        <v>4</v>
      </c>
      <c r="O28" s="208">
        <v>0.6</v>
      </c>
      <c r="P28" s="208">
        <v>0.65</v>
      </c>
      <c r="Q28" s="245">
        <f t="shared" si="0"/>
        <v>0.625</v>
      </c>
      <c r="R28" s="237">
        <v>12.5</v>
      </c>
      <c r="S28" s="208">
        <v>93</v>
      </c>
      <c r="T28" s="217">
        <f t="shared" si="1"/>
        <v>36</v>
      </c>
      <c r="U28" s="208">
        <v>377</v>
      </c>
      <c r="V28" s="217">
        <f t="shared" si="2"/>
        <v>3393</v>
      </c>
      <c r="W28" s="208">
        <v>3</v>
      </c>
      <c r="X28" s="55" t="s">
        <v>46</v>
      </c>
      <c r="Y28" s="55" t="s">
        <v>88</v>
      </c>
      <c r="Z28" s="216" t="s">
        <v>78</v>
      </c>
      <c r="AA28" s="55" t="s">
        <v>55</v>
      </c>
      <c r="AB28" s="39" t="s">
        <v>340</v>
      </c>
    </row>
    <row r="29" spans="1:48" x14ac:dyDescent="0.15">
      <c r="A29" s="55" t="s">
        <v>56</v>
      </c>
      <c r="B29" s="55" t="s">
        <v>393</v>
      </c>
      <c r="C29" s="216">
        <v>2018</v>
      </c>
      <c r="D29" s="86" t="s">
        <v>394</v>
      </c>
      <c r="E29" s="216" t="s">
        <v>406</v>
      </c>
      <c r="F29" s="216" t="s">
        <v>407</v>
      </c>
      <c r="G29" s="55" t="s">
        <v>42</v>
      </c>
      <c r="H29" s="216" t="s">
        <v>166</v>
      </c>
      <c r="I29" s="55" t="s">
        <v>155</v>
      </c>
      <c r="J29" s="216" t="s">
        <v>38</v>
      </c>
      <c r="K29" s="216" t="s">
        <v>156</v>
      </c>
      <c r="L29" s="208">
        <v>1</v>
      </c>
      <c r="N29" s="208">
        <v>1</v>
      </c>
      <c r="O29" s="208">
        <v>0.75</v>
      </c>
      <c r="P29" s="208">
        <v>0.75</v>
      </c>
      <c r="Q29" s="245">
        <f t="shared" si="0"/>
        <v>0.75</v>
      </c>
      <c r="R29" s="208">
        <v>12.5</v>
      </c>
      <c r="S29" s="208">
        <v>117</v>
      </c>
      <c r="T29" s="217">
        <f t="shared" si="1"/>
        <v>30</v>
      </c>
      <c r="U29" s="208">
        <v>107</v>
      </c>
      <c r="V29" s="217">
        <f t="shared" si="2"/>
        <v>3210</v>
      </c>
      <c r="W29" s="208">
        <v>2</v>
      </c>
      <c r="X29" s="55" t="s">
        <v>46</v>
      </c>
      <c r="Y29" s="55" t="s">
        <v>88</v>
      </c>
      <c r="Z29" s="216" t="s">
        <v>78</v>
      </c>
      <c r="AA29" s="55" t="s">
        <v>55</v>
      </c>
      <c r="AB29" s="39" t="s">
        <v>340</v>
      </c>
    </row>
    <row r="30" spans="1:48" x14ac:dyDescent="0.15">
      <c r="A30" s="55" t="s">
        <v>56</v>
      </c>
      <c r="B30" s="55" t="s">
        <v>393</v>
      </c>
      <c r="C30" s="216">
        <v>2018</v>
      </c>
      <c r="D30" s="86" t="s">
        <v>394</v>
      </c>
      <c r="E30" s="216" t="s">
        <v>406</v>
      </c>
      <c r="F30" s="216" t="s">
        <v>407</v>
      </c>
      <c r="G30" s="55" t="s">
        <v>42</v>
      </c>
      <c r="H30" s="216" t="s">
        <v>166</v>
      </c>
      <c r="I30" s="55" t="s">
        <v>155</v>
      </c>
      <c r="J30" s="216" t="s">
        <v>38</v>
      </c>
      <c r="K30" s="216" t="s">
        <v>156</v>
      </c>
      <c r="L30" s="208">
        <v>2</v>
      </c>
      <c r="N30" s="208">
        <v>1</v>
      </c>
      <c r="O30" s="208">
        <v>0.65</v>
      </c>
      <c r="P30" s="208">
        <v>0.65</v>
      </c>
      <c r="Q30" s="245">
        <f t="shared" si="0"/>
        <v>0.65</v>
      </c>
      <c r="R30" s="208">
        <v>16.7</v>
      </c>
      <c r="S30" s="208">
        <v>121</v>
      </c>
      <c r="T30" s="217">
        <f t="shared" si="1"/>
        <v>27</v>
      </c>
      <c r="U30" s="208">
        <v>107</v>
      </c>
      <c r="V30" s="217">
        <f t="shared" si="2"/>
        <v>2889</v>
      </c>
      <c r="W30" s="208">
        <v>2</v>
      </c>
      <c r="X30" s="55" t="s">
        <v>46</v>
      </c>
      <c r="Y30" s="55" t="s">
        <v>88</v>
      </c>
      <c r="Z30" s="216" t="s">
        <v>78</v>
      </c>
      <c r="AA30" s="55" t="s">
        <v>55</v>
      </c>
      <c r="AB30" s="39" t="s">
        <v>340</v>
      </c>
    </row>
    <row r="31" spans="1:48" x14ac:dyDescent="0.15">
      <c r="A31" s="55" t="s">
        <v>56</v>
      </c>
      <c r="B31" s="55" t="s">
        <v>393</v>
      </c>
      <c r="C31" s="216">
        <v>2018</v>
      </c>
      <c r="D31" s="86" t="s">
        <v>394</v>
      </c>
      <c r="E31" s="216" t="s">
        <v>406</v>
      </c>
      <c r="F31" s="216" t="s">
        <v>407</v>
      </c>
      <c r="G31" s="55" t="s">
        <v>42</v>
      </c>
      <c r="H31" s="216" t="s">
        <v>166</v>
      </c>
      <c r="I31" s="55" t="s">
        <v>155</v>
      </c>
      <c r="J31" s="216" t="s">
        <v>38</v>
      </c>
      <c r="K31" s="216" t="s">
        <v>156</v>
      </c>
      <c r="L31" s="208">
        <v>3</v>
      </c>
      <c r="N31" s="208">
        <v>1</v>
      </c>
      <c r="O31" s="208">
        <v>0.65</v>
      </c>
      <c r="P31" s="208">
        <v>0.65</v>
      </c>
      <c r="Q31" s="245">
        <f t="shared" si="0"/>
        <v>0.65</v>
      </c>
      <c r="R31" s="237">
        <v>15.6</v>
      </c>
      <c r="S31" s="208">
        <v>120</v>
      </c>
      <c r="T31" s="217">
        <f t="shared" si="1"/>
        <v>30</v>
      </c>
      <c r="U31" s="208">
        <v>107</v>
      </c>
      <c r="V31" s="217">
        <f t="shared" si="2"/>
        <v>3210</v>
      </c>
      <c r="W31" s="208">
        <v>2</v>
      </c>
      <c r="X31" s="55" t="s">
        <v>46</v>
      </c>
      <c r="Y31" s="55" t="s">
        <v>88</v>
      </c>
      <c r="Z31" s="216" t="s">
        <v>78</v>
      </c>
      <c r="AA31" s="55" t="s">
        <v>55</v>
      </c>
      <c r="AB31" s="39" t="s">
        <v>340</v>
      </c>
    </row>
    <row r="32" spans="1:48" x14ac:dyDescent="0.15">
      <c r="A32" s="55" t="s">
        <v>56</v>
      </c>
      <c r="B32" s="55" t="s">
        <v>393</v>
      </c>
      <c r="C32" s="216">
        <v>2018</v>
      </c>
      <c r="D32" s="86" t="s">
        <v>394</v>
      </c>
      <c r="E32" s="216" t="s">
        <v>316</v>
      </c>
      <c r="F32" s="216" t="s">
        <v>174</v>
      </c>
      <c r="G32" s="55" t="s">
        <v>42</v>
      </c>
      <c r="H32" s="216" t="s">
        <v>157</v>
      </c>
      <c r="I32" s="55" t="s">
        <v>155</v>
      </c>
      <c r="J32" s="216" t="s">
        <v>38</v>
      </c>
      <c r="K32" s="216" t="s">
        <v>156</v>
      </c>
      <c r="L32" s="208">
        <v>1</v>
      </c>
      <c r="N32" s="208">
        <v>5</v>
      </c>
      <c r="O32" s="208">
        <v>0.8</v>
      </c>
      <c r="P32" s="208">
        <v>0.75</v>
      </c>
      <c r="Q32" s="245">
        <f t="shared" si="0"/>
        <v>0.77500000000000002</v>
      </c>
      <c r="R32" s="208">
        <v>13.9</v>
      </c>
      <c r="S32" s="208">
        <v>90</v>
      </c>
      <c r="T32" s="217">
        <f t="shared" si="1"/>
        <v>36</v>
      </c>
      <c r="U32" s="208">
        <v>321</v>
      </c>
      <c r="V32" s="217">
        <f t="shared" si="2"/>
        <v>2311.2000000000003</v>
      </c>
      <c r="W32" s="208">
        <v>2</v>
      </c>
      <c r="X32" s="55" t="s">
        <v>46</v>
      </c>
      <c r="Y32" s="55" t="s">
        <v>88</v>
      </c>
      <c r="Z32" s="216" t="s">
        <v>78</v>
      </c>
      <c r="AA32" s="55" t="s">
        <v>55</v>
      </c>
      <c r="AB32" s="39" t="s">
        <v>340</v>
      </c>
    </row>
    <row r="33" spans="1:28" x14ac:dyDescent="0.15">
      <c r="A33" s="55" t="s">
        <v>56</v>
      </c>
      <c r="B33" s="55" t="s">
        <v>393</v>
      </c>
      <c r="C33" s="216">
        <v>2018</v>
      </c>
      <c r="D33" s="86" t="s">
        <v>394</v>
      </c>
      <c r="E33" s="216" t="s">
        <v>316</v>
      </c>
      <c r="F33" s="216" t="s">
        <v>174</v>
      </c>
      <c r="G33" s="55" t="s">
        <v>42</v>
      </c>
      <c r="H33" s="216" t="s">
        <v>157</v>
      </c>
      <c r="I33" s="55" t="s">
        <v>155</v>
      </c>
      <c r="J33" s="216" t="s">
        <v>38</v>
      </c>
      <c r="K33" s="216" t="s">
        <v>156</v>
      </c>
      <c r="L33" s="208">
        <v>2</v>
      </c>
      <c r="N33" s="208">
        <v>5</v>
      </c>
      <c r="O33" s="208">
        <v>0.85</v>
      </c>
      <c r="P33" s="208">
        <v>0.85</v>
      </c>
      <c r="Q33" s="245">
        <f t="shared" si="0"/>
        <v>0.85</v>
      </c>
      <c r="R33" s="208">
        <v>14.3</v>
      </c>
      <c r="S33" s="208">
        <v>91</v>
      </c>
      <c r="T33" s="217">
        <f t="shared" si="1"/>
        <v>36</v>
      </c>
      <c r="U33" s="208">
        <v>321</v>
      </c>
      <c r="V33" s="217">
        <f t="shared" si="2"/>
        <v>2311.2000000000003</v>
      </c>
      <c r="W33" s="208">
        <v>2</v>
      </c>
      <c r="X33" s="55" t="s">
        <v>46</v>
      </c>
      <c r="Y33" s="55" t="s">
        <v>88</v>
      </c>
      <c r="Z33" s="216" t="s">
        <v>78</v>
      </c>
      <c r="AA33" s="55" t="s">
        <v>55</v>
      </c>
      <c r="AB33" s="39" t="s">
        <v>340</v>
      </c>
    </row>
    <row r="34" spans="1:28" x14ac:dyDescent="0.15">
      <c r="A34" s="55" t="s">
        <v>56</v>
      </c>
      <c r="B34" s="55" t="s">
        <v>393</v>
      </c>
      <c r="C34" s="216">
        <v>2018</v>
      </c>
      <c r="D34" s="86" t="s">
        <v>394</v>
      </c>
      <c r="E34" s="216" t="s">
        <v>316</v>
      </c>
      <c r="F34" s="216" t="s">
        <v>174</v>
      </c>
      <c r="G34" s="55" t="s">
        <v>42</v>
      </c>
      <c r="H34" s="216" t="s">
        <v>157</v>
      </c>
      <c r="I34" s="55" t="s">
        <v>155</v>
      </c>
      <c r="J34" s="216" t="s">
        <v>38</v>
      </c>
      <c r="K34" s="216" t="s">
        <v>156</v>
      </c>
      <c r="L34" s="208">
        <v>3</v>
      </c>
      <c r="N34" s="208">
        <v>5</v>
      </c>
      <c r="O34" s="208">
        <v>0.9</v>
      </c>
      <c r="P34" s="208">
        <v>0.9</v>
      </c>
      <c r="Q34" s="245">
        <f t="shared" si="0"/>
        <v>0.9</v>
      </c>
      <c r="R34" s="237">
        <v>13.2</v>
      </c>
      <c r="S34" s="208">
        <v>92</v>
      </c>
      <c r="T34" s="217">
        <f t="shared" si="1"/>
        <v>36</v>
      </c>
      <c r="U34" s="208">
        <v>321</v>
      </c>
      <c r="V34" s="217">
        <f t="shared" si="2"/>
        <v>2311.2000000000003</v>
      </c>
      <c r="W34" s="208">
        <v>2</v>
      </c>
      <c r="X34" s="55" t="s">
        <v>46</v>
      </c>
      <c r="Y34" s="55" t="s">
        <v>88</v>
      </c>
      <c r="Z34" s="216" t="s">
        <v>78</v>
      </c>
      <c r="AA34" s="55" t="s">
        <v>55</v>
      </c>
      <c r="AB34" s="39" t="s">
        <v>340</v>
      </c>
    </row>
    <row r="35" spans="1:28" x14ac:dyDescent="0.15">
      <c r="A35" s="55" t="s">
        <v>56</v>
      </c>
      <c r="B35" s="55" t="s">
        <v>393</v>
      </c>
      <c r="C35" s="216">
        <v>2018</v>
      </c>
      <c r="D35" s="86" t="s">
        <v>394</v>
      </c>
      <c r="E35" s="216" t="s">
        <v>316</v>
      </c>
      <c r="F35" s="216" t="s">
        <v>174</v>
      </c>
      <c r="G35" s="55" t="s">
        <v>42</v>
      </c>
      <c r="H35" s="216" t="s">
        <v>166</v>
      </c>
      <c r="I35" s="55" t="s">
        <v>155</v>
      </c>
      <c r="J35" s="216" t="s">
        <v>38</v>
      </c>
      <c r="K35" s="216" t="s">
        <v>156</v>
      </c>
      <c r="L35" s="208">
        <v>1</v>
      </c>
      <c r="N35" s="208">
        <v>1</v>
      </c>
      <c r="O35" s="208">
        <v>0.6</v>
      </c>
      <c r="P35" s="208">
        <v>0.6</v>
      </c>
      <c r="Q35" s="245">
        <f t="shared" si="0"/>
        <v>0.6</v>
      </c>
      <c r="R35" s="208">
        <v>15</v>
      </c>
      <c r="S35" s="208">
        <v>142</v>
      </c>
      <c r="T35" s="217">
        <f t="shared" si="1"/>
        <v>22</v>
      </c>
      <c r="U35" s="208">
        <v>138</v>
      </c>
      <c r="V35" s="217">
        <f t="shared" si="2"/>
        <v>3036</v>
      </c>
      <c r="W35" s="208">
        <v>2</v>
      </c>
      <c r="X35" s="55" t="s">
        <v>46</v>
      </c>
      <c r="Y35" s="55" t="s">
        <v>88</v>
      </c>
      <c r="Z35" s="216" t="s">
        <v>78</v>
      </c>
      <c r="AA35" s="55" t="s">
        <v>55</v>
      </c>
      <c r="AB35" s="39" t="s">
        <v>340</v>
      </c>
    </row>
    <row r="36" spans="1:28" x14ac:dyDescent="0.15">
      <c r="A36" s="55" t="s">
        <v>56</v>
      </c>
      <c r="B36" s="55" t="s">
        <v>393</v>
      </c>
      <c r="C36" s="216">
        <v>2018</v>
      </c>
      <c r="D36" s="86" t="s">
        <v>394</v>
      </c>
      <c r="E36" s="216" t="s">
        <v>316</v>
      </c>
      <c r="F36" s="216" t="s">
        <v>174</v>
      </c>
      <c r="G36" s="55" t="s">
        <v>42</v>
      </c>
      <c r="H36" s="216" t="s">
        <v>166</v>
      </c>
      <c r="I36" s="55" t="s">
        <v>155</v>
      </c>
      <c r="J36" s="216" t="s">
        <v>38</v>
      </c>
      <c r="K36" s="216" t="s">
        <v>156</v>
      </c>
      <c r="L36" s="208">
        <v>2</v>
      </c>
      <c r="N36" s="208">
        <v>1</v>
      </c>
      <c r="O36" s="208">
        <v>0.6</v>
      </c>
      <c r="P36" s="208">
        <v>0.65</v>
      </c>
      <c r="Q36" s="245">
        <f t="shared" si="0"/>
        <v>0.625</v>
      </c>
      <c r="R36" s="208">
        <v>15.8</v>
      </c>
      <c r="S36" s="208">
        <v>142</v>
      </c>
      <c r="T36" s="217">
        <f t="shared" si="1"/>
        <v>22</v>
      </c>
      <c r="U36" s="208">
        <v>138</v>
      </c>
      <c r="V36" s="217">
        <f t="shared" si="2"/>
        <v>3036</v>
      </c>
      <c r="W36" s="208">
        <v>2</v>
      </c>
      <c r="X36" s="55" t="s">
        <v>46</v>
      </c>
      <c r="Y36" s="55" t="s">
        <v>88</v>
      </c>
      <c r="Z36" s="216" t="s">
        <v>78</v>
      </c>
      <c r="AA36" s="55" t="s">
        <v>55</v>
      </c>
      <c r="AB36" s="39" t="s">
        <v>340</v>
      </c>
    </row>
    <row r="37" spans="1:28" x14ac:dyDescent="0.15">
      <c r="A37" s="55" t="s">
        <v>56</v>
      </c>
      <c r="B37" s="55" t="s">
        <v>393</v>
      </c>
      <c r="C37" s="216">
        <v>2018</v>
      </c>
      <c r="D37" s="86" t="s">
        <v>394</v>
      </c>
      <c r="E37" s="216" t="s">
        <v>316</v>
      </c>
      <c r="F37" s="216" t="s">
        <v>174</v>
      </c>
      <c r="G37" s="55" t="s">
        <v>42</v>
      </c>
      <c r="H37" s="216" t="s">
        <v>166</v>
      </c>
      <c r="I37" s="55" t="s">
        <v>155</v>
      </c>
      <c r="J37" s="216" t="s">
        <v>38</v>
      </c>
      <c r="K37" s="216" t="s">
        <v>156</v>
      </c>
      <c r="L37" s="208">
        <v>3</v>
      </c>
      <c r="N37" s="208">
        <v>1</v>
      </c>
      <c r="O37" s="208">
        <v>0.75</v>
      </c>
      <c r="P37" s="208">
        <v>0.7</v>
      </c>
      <c r="Q37" s="245">
        <f t="shared" si="0"/>
        <v>0.72499999999999998</v>
      </c>
      <c r="R37" s="208">
        <v>15.2</v>
      </c>
      <c r="S37" s="208">
        <v>135</v>
      </c>
      <c r="T37" s="217">
        <f t="shared" si="1"/>
        <v>25</v>
      </c>
      <c r="U37" s="208">
        <v>138</v>
      </c>
      <c r="V37" s="217">
        <f t="shared" si="2"/>
        <v>3450</v>
      </c>
      <c r="W37" s="208">
        <v>2</v>
      </c>
      <c r="X37" s="55" t="s">
        <v>46</v>
      </c>
      <c r="Y37" s="55" t="s">
        <v>88</v>
      </c>
      <c r="Z37" s="216" t="s">
        <v>78</v>
      </c>
      <c r="AA37" s="55" t="s">
        <v>55</v>
      </c>
      <c r="AB37" s="39" t="s">
        <v>340</v>
      </c>
    </row>
    <row r="38" spans="1:28" x14ac:dyDescent="0.15">
      <c r="A38" s="55" t="s">
        <v>56</v>
      </c>
      <c r="B38" s="55" t="s">
        <v>393</v>
      </c>
      <c r="C38" s="216">
        <v>2018</v>
      </c>
      <c r="D38" s="86" t="s">
        <v>394</v>
      </c>
      <c r="E38" s="216" t="s">
        <v>410</v>
      </c>
      <c r="F38" s="216" t="s">
        <v>174</v>
      </c>
      <c r="G38" s="55" t="s">
        <v>42</v>
      </c>
      <c r="H38" s="216" t="s">
        <v>157</v>
      </c>
      <c r="I38" s="55" t="s">
        <v>155</v>
      </c>
      <c r="J38" s="216" t="s">
        <v>38</v>
      </c>
      <c r="K38" s="216" t="s">
        <v>156</v>
      </c>
      <c r="L38" s="208">
        <v>1</v>
      </c>
      <c r="N38" s="208">
        <v>1</v>
      </c>
      <c r="O38" s="208">
        <v>1.1499999999999999</v>
      </c>
      <c r="P38" s="208">
        <v>1.2</v>
      </c>
      <c r="Q38" s="217">
        <f t="shared" si="0"/>
        <v>1.1749999999999998</v>
      </c>
      <c r="R38" s="208">
        <v>14.8</v>
      </c>
      <c r="S38" s="208">
        <v>129</v>
      </c>
      <c r="T38" s="217">
        <f t="shared" si="1"/>
        <v>25</v>
      </c>
      <c r="U38" s="208">
        <v>138</v>
      </c>
      <c r="V38" s="217">
        <f t="shared" si="2"/>
        <v>3450</v>
      </c>
      <c r="W38" s="208">
        <v>1</v>
      </c>
      <c r="X38" s="55" t="s">
        <v>39</v>
      </c>
      <c r="Y38" s="55" t="s">
        <v>88</v>
      </c>
      <c r="Z38" s="208" t="s">
        <v>78</v>
      </c>
      <c r="AA38" s="55" t="s">
        <v>97</v>
      </c>
      <c r="AB38" s="39" t="s">
        <v>340</v>
      </c>
    </row>
    <row r="39" spans="1:28" x14ac:dyDescent="0.15">
      <c r="A39" s="55" t="s">
        <v>56</v>
      </c>
      <c r="B39" s="55" t="s">
        <v>393</v>
      </c>
      <c r="C39" s="216">
        <v>2018</v>
      </c>
      <c r="D39" s="86" t="s">
        <v>394</v>
      </c>
      <c r="E39" s="216" t="s">
        <v>410</v>
      </c>
      <c r="F39" s="216" t="s">
        <v>174</v>
      </c>
      <c r="G39" s="55" t="s">
        <v>42</v>
      </c>
      <c r="H39" s="216" t="s">
        <v>157</v>
      </c>
      <c r="I39" s="55" t="s">
        <v>155</v>
      </c>
      <c r="J39" s="216" t="s">
        <v>38</v>
      </c>
      <c r="K39" s="216" t="s">
        <v>156</v>
      </c>
      <c r="L39" s="208">
        <v>2</v>
      </c>
      <c r="N39" s="208">
        <v>1</v>
      </c>
      <c r="O39" s="208">
        <v>0.8</v>
      </c>
      <c r="P39" s="208">
        <v>0.9</v>
      </c>
      <c r="Q39" s="217">
        <f t="shared" si="0"/>
        <v>0.85000000000000009</v>
      </c>
      <c r="R39" s="208">
        <v>15.9</v>
      </c>
      <c r="S39" s="208">
        <v>129</v>
      </c>
      <c r="T39" s="217">
        <f t="shared" si="1"/>
        <v>25</v>
      </c>
      <c r="U39" s="208">
        <v>138</v>
      </c>
      <c r="V39" s="217">
        <f t="shared" si="2"/>
        <v>3450</v>
      </c>
      <c r="W39" s="208">
        <v>1</v>
      </c>
      <c r="X39" s="55" t="s">
        <v>39</v>
      </c>
      <c r="Y39" s="55" t="s">
        <v>88</v>
      </c>
      <c r="Z39" s="208" t="s">
        <v>78</v>
      </c>
      <c r="AA39" s="55" t="s">
        <v>97</v>
      </c>
      <c r="AB39" s="39" t="s">
        <v>340</v>
      </c>
    </row>
    <row r="40" spans="1:28" x14ac:dyDescent="0.15">
      <c r="A40" s="55" t="s">
        <v>56</v>
      </c>
      <c r="B40" s="55" t="s">
        <v>393</v>
      </c>
      <c r="C40" s="216">
        <v>2018</v>
      </c>
      <c r="D40" s="86" t="s">
        <v>394</v>
      </c>
      <c r="E40" s="216" t="s">
        <v>410</v>
      </c>
      <c r="F40" s="216" t="s">
        <v>174</v>
      </c>
      <c r="G40" s="55" t="s">
        <v>42</v>
      </c>
      <c r="H40" s="216" t="s">
        <v>157</v>
      </c>
      <c r="I40" s="55" t="s">
        <v>155</v>
      </c>
      <c r="J40" s="216" t="s">
        <v>38</v>
      </c>
      <c r="K40" s="216" t="s">
        <v>156</v>
      </c>
      <c r="L40" s="208">
        <v>3</v>
      </c>
      <c r="N40" s="208">
        <v>1</v>
      </c>
      <c r="O40" s="208">
        <v>0.65</v>
      </c>
      <c r="P40" s="208">
        <v>0.65</v>
      </c>
      <c r="Q40" s="217">
        <f t="shared" si="0"/>
        <v>0.65</v>
      </c>
      <c r="R40" s="208">
        <v>16.3</v>
      </c>
      <c r="S40" s="208">
        <v>129</v>
      </c>
      <c r="T40" s="217">
        <f t="shared" si="1"/>
        <v>25</v>
      </c>
      <c r="U40" s="208">
        <v>138</v>
      </c>
      <c r="V40" s="217">
        <f t="shared" si="2"/>
        <v>3450</v>
      </c>
      <c r="W40" s="208">
        <v>1</v>
      </c>
      <c r="X40" s="55" t="s">
        <v>39</v>
      </c>
      <c r="Y40" s="55" t="s">
        <v>88</v>
      </c>
      <c r="Z40" s="208" t="s">
        <v>78</v>
      </c>
      <c r="AA40" s="55" t="s">
        <v>97</v>
      </c>
      <c r="AB40" s="39" t="s">
        <v>340</v>
      </c>
    </row>
    <row r="41" spans="1:28" x14ac:dyDescent="0.15">
      <c r="A41" s="55" t="s">
        <v>56</v>
      </c>
      <c r="B41" s="55" t="s">
        <v>393</v>
      </c>
      <c r="C41" s="216">
        <v>2018</v>
      </c>
      <c r="D41" s="86" t="s">
        <v>394</v>
      </c>
      <c r="E41" s="216" t="s">
        <v>410</v>
      </c>
      <c r="F41" s="216" t="s">
        <v>174</v>
      </c>
      <c r="G41" s="55" t="s">
        <v>42</v>
      </c>
      <c r="H41" s="216" t="s">
        <v>166</v>
      </c>
      <c r="I41" s="55" t="s">
        <v>155</v>
      </c>
      <c r="J41" s="216" t="s">
        <v>38</v>
      </c>
      <c r="K41" s="216" t="s">
        <v>156</v>
      </c>
      <c r="L41" s="208">
        <v>1</v>
      </c>
      <c r="N41" s="208">
        <v>1</v>
      </c>
      <c r="O41" s="208">
        <v>0.7</v>
      </c>
      <c r="P41" s="208">
        <v>0.7</v>
      </c>
      <c r="Q41" s="217">
        <f t="shared" si="0"/>
        <v>0.7</v>
      </c>
      <c r="R41" s="208">
        <v>16.899999999999999</v>
      </c>
      <c r="S41" s="208">
        <v>134</v>
      </c>
      <c r="T41" s="217">
        <f t="shared" si="1"/>
        <v>25</v>
      </c>
      <c r="U41" s="208">
        <v>178</v>
      </c>
      <c r="V41" s="217">
        <f t="shared" si="2"/>
        <v>4450</v>
      </c>
      <c r="W41" s="208">
        <v>1</v>
      </c>
      <c r="X41" s="55" t="s">
        <v>39</v>
      </c>
      <c r="Y41" s="55" t="s">
        <v>88</v>
      </c>
      <c r="Z41" s="208" t="s">
        <v>78</v>
      </c>
      <c r="AA41" s="55" t="s">
        <v>97</v>
      </c>
      <c r="AB41" s="39" t="s">
        <v>340</v>
      </c>
    </row>
    <row r="42" spans="1:28" x14ac:dyDescent="0.15">
      <c r="A42" s="55" t="s">
        <v>56</v>
      </c>
      <c r="B42" s="55" t="s">
        <v>393</v>
      </c>
      <c r="C42" s="216">
        <v>2018</v>
      </c>
      <c r="D42" s="86" t="s">
        <v>394</v>
      </c>
      <c r="E42" s="216" t="s">
        <v>410</v>
      </c>
      <c r="F42" s="216" t="s">
        <v>174</v>
      </c>
      <c r="G42" s="55" t="s">
        <v>42</v>
      </c>
      <c r="H42" s="216" t="s">
        <v>166</v>
      </c>
      <c r="I42" s="55" t="s">
        <v>155</v>
      </c>
      <c r="J42" s="216" t="s">
        <v>38</v>
      </c>
      <c r="K42" s="216" t="s">
        <v>156</v>
      </c>
      <c r="L42" s="208">
        <v>2</v>
      </c>
      <c r="N42" s="208">
        <v>1</v>
      </c>
      <c r="O42" s="208">
        <v>0.6</v>
      </c>
      <c r="P42" s="208">
        <v>0.6</v>
      </c>
      <c r="Q42" s="217">
        <f t="shared" si="0"/>
        <v>0.6</v>
      </c>
      <c r="R42" s="208">
        <v>17.5</v>
      </c>
      <c r="S42" s="208">
        <v>131</v>
      </c>
      <c r="T42" s="217">
        <f t="shared" si="1"/>
        <v>25</v>
      </c>
      <c r="U42" s="208">
        <v>178</v>
      </c>
      <c r="V42" s="217">
        <f t="shared" si="2"/>
        <v>4450</v>
      </c>
      <c r="W42" s="208">
        <v>1</v>
      </c>
      <c r="X42" s="55" t="s">
        <v>39</v>
      </c>
      <c r="Y42" s="55" t="s">
        <v>88</v>
      </c>
      <c r="Z42" s="208" t="s">
        <v>78</v>
      </c>
      <c r="AA42" s="55" t="s">
        <v>97</v>
      </c>
      <c r="AB42" s="39" t="s">
        <v>340</v>
      </c>
    </row>
    <row r="43" spans="1:28" x14ac:dyDescent="0.15">
      <c r="A43" s="55" t="s">
        <v>56</v>
      </c>
      <c r="B43" s="55" t="s">
        <v>393</v>
      </c>
      <c r="C43" s="216">
        <v>2018</v>
      </c>
      <c r="D43" s="86" t="s">
        <v>394</v>
      </c>
      <c r="E43" s="216" t="s">
        <v>410</v>
      </c>
      <c r="F43" s="216" t="s">
        <v>174</v>
      </c>
      <c r="G43" s="55" t="s">
        <v>42</v>
      </c>
      <c r="H43" s="216" t="s">
        <v>166</v>
      </c>
      <c r="I43" s="55" t="s">
        <v>155</v>
      </c>
      <c r="J43" s="216" t="s">
        <v>38</v>
      </c>
      <c r="K43" s="216" t="s">
        <v>156</v>
      </c>
      <c r="L43" s="208">
        <v>3</v>
      </c>
      <c r="N43" s="208">
        <v>1</v>
      </c>
      <c r="O43" s="208">
        <v>0.6</v>
      </c>
      <c r="P43" s="208">
        <v>0.6</v>
      </c>
      <c r="Q43" s="217">
        <f t="shared" si="0"/>
        <v>0.6</v>
      </c>
      <c r="R43" s="208">
        <v>15.9</v>
      </c>
      <c r="S43" s="208">
        <v>128</v>
      </c>
      <c r="T43" s="217">
        <f t="shared" si="1"/>
        <v>27</v>
      </c>
      <c r="U43" s="208">
        <v>178</v>
      </c>
      <c r="V43" s="217">
        <f t="shared" si="2"/>
        <v>4806</v>
      </c>
      <c r="W43" s="208">
        <v>1</v>
      </c>
      <c r="X43" s="55" t="s">
        <v>39</v>
      </c>
      <c r="Y43" s="55" t="s">
        <v>88</v>
      </c>
      <c r="Z43" s="208" t="s">
        <v>78</v>
      </c>
      <c r="AA43" s="55" t="s">
        <v>97</v>
      </c>
      <c r="AB43" s="39" t="s">
        <v>340</v>
      </c>
    </row>
    <row r="44" spans="1:28" x14ac:dyDescent="0.15">
      <c r="A44" s="55" t="s">
        <v>56</v>
      </c>
      <c r="B44" s="55" t="s">
        <v>393</v>
      </c>
      <c r="C44" s="216">
        <v>2018</v>
      </c>
      <c r="D44" s="86" t="s">
        <v>394</v>
      </c>
      <c r="E44" s="216" t="s">
        <v>175</v>
      </c>
      <c r="F44" s="216" t="s">
        <v>407</v>
      </c>
      <c r="G44" s="55" t="s">
        <v>42</v>
      </c>
      <c r="H44" s="216" t="s">
        <v>166</v>
      </c>
      <c r="I44" s="55" t="s">
        <v>158</v>
      </c>
      <c r="J44" s="216" t="s">
        <v>38</v>
      </c>
      <c r="K44" s="216" t="s">
        <v>156</v>
      </c>
      <c r="L44" s="208">
        <v>1</v>
      </c>
      <c r="N44" s="208">
        <v>1</v>
      </c>
      <c r="O44" s="208">
        <v>0.65</v>
      </c>
      <c r="P44" s="208">
        <v>0.65</v>
      </c>
      <c r="Q44" s="217">
        <f t="shared" si="0"/>
        <v>0.65</v>
      </c>
      <c r="R44" s="208">
        <v>18.2</v>
      </c>
      <c r="S44" s="208">
        <v>136</v>
      </c>
      <c r="T44" s="217">
        <f t="shared" si="1"/>
        <v>25</v>
      </c>
      <c r="U44" s="208">
        <v>172</v>
      </c>
      <c r="V44" s="217">
        <f t="shared" si="2"/>
        <v>4300</v>
      </c>
      <c r="W44" s="208">
        <v>5</v>
      </c>
      <c r="X44" s="55" t="s">
        <v>39</v>
      </c>
      <c r="Y44" s="55" t="s">
        <v>106</v>
      </c>
      <c r="Z44" s="208" t="s">
        <v>55</v>
      </c>
      <c r="AA44" s="55" t="s">
        <v>90</v>
      </c>
      <c r="AB44" s="39" t="s">
        <v>340</v>
      </c>
    </row>
    <row r="45" spans="1:28" x14ac:dyDescent="0.15">
      <c r="A45" s="55" t="s">
        <v>56</v>
      </c>
      <c r="B45" s="55" t="s">
        <v>393</v>
      </c>
      <c r="C45" s="216">
        <v>2018</v>
      </c>
      <c r="D45" s="86" t="s">
        <v>394</v>
      </c>
      <c r="E45" s="216" t="s">
        <v>175</v>
      </c>
      <c r="F45" s="216" t="s">
        <v>407</v>
      </c>
      <c r="G45" s="55" t="s">
        <v>42</v>
      </c>
      <c r="H45" s="216" t="s">
        <v>166</v>
      </c>
      <c r="I45" s="55" t="s">
        <v>158</v>
      </c>
      <c r="J45" s="216" t="s">
        <v>38</v>
      </c>
      <c r="K45" s="216" t="s">
        <v>156</v>
      </c>
      <c r="L45" s="208">
        <v>2</v>
      </c>
      <c r="N45" s="208">
        <v>1</v>
      </c>
      <c r="O45" s="208">
        <v>0.55000000000000004</v>
      </c>
      <c r="P45" s="208">
        <v>0.55000000000000004</v>
      </c>
      <c r="Q45" s="217">
        <f t="shared" si="0"/>
        <v>0.55000000000000004</v>
      </c>
      <c r="R45" s="208">
        <v>17.7</v>
      </c>
      <c r="S45" s="208">
        <v>132</v>
      </c>
      <c r="T45" s="217">
        <f t="shared" si="1"/>
        <v>25</v>
      </c>
      <c r="U45" s="208">
        <v>172</v>
      </c>
      <c r="V45" s="217">
        <f t="shared" si="2"/>
        <v>4300</v>
      </c>
      <c r="W45" s="208">
        <v>5</v>
      </c>
      <c r="X45" s="55" t="s">
        <v>39</v>
      </c>
      <c r="Y45" s="55" t="s">
        <v>106</v>
      </c>
      <c r="Z45" s="208" t="s">
        <v>55</v>
      </c>
      <c r="AA45" s="55" t="s">
        <v>90</v>
      </c>
      <c r="AB45" s="39" t="s">
        <v>340</v>
      </c>
    </row>
    <row r="46" spans="1:28" x14ac:dyDescent="0.15">
      <c r="A46" s="55" t="s">
        <v>56</v>
      </c>
      <c r="B46" s="55" t="s">
        <v>393</v>
      </c>
      <c r="C46" s="216">
        <v>2018</v>
      </c>
      <c r="D46" s="86" t="s">
        <v>394</v>
      </c>
      <c r="E46" s="216" t="s">
        <v>175</v>
      </c>
      <c r="F46" s="216" t="s">
        <v>407</v>
      </c>
      <c r="G46" s="55" t="s">
        <v>42</v>
      </c>
      <c r="H46" s="216" t="s">
        <v>166</v>
      </c>
      <c r="I46" s="55" t="s">
        <v>158</v>
      </c>
      <c r="J46" s="216" t="s">
        <v>38</v>
      </c>
      <c r="K46" s="216" t="s">
        <v>156</v>
      </c>
      <c r="L46" s="208">
        <v>3</v>
      </c>
      <c r="N46" s="208">
        <v>1</v>
      </c>
      <c r="O46" s="208">
        <v>0.7</v>
      </c>
      <c r="P46" s="208">
        <v>0.7</v>
      </c>
      <c r="Q46" s="217">
        <f t="shared" si="0"/>
        <v>0.7</v>
      </c>
      <c r="R46" s="208">
        <v>15.8</v>
      </c>
      <c r="S46" s="208">
        <v>135</v>
      </c>
      <c r="T46" s="217">
        <f t="shared" si="1"/>
        <v>25</v>
      </c>
      <c r="U46" s="208">
        <v>172</v>
      </c>
      <c r="V46" s="217">
        <f t="shared" si="2"/>
        <v>4300</v>
      </c>
      <c r="W46" s="208">
        <v>5</v>
      </c>
      <c r="X46" s="55" t="s">
        <v>39</v>
      </c>
      <c r="Y46" s="55" t="s">
        <v>106</v>
      </c>
      <c r="Z46" s="208" t="s">
        <v>55</v>
      </c>
      <c r="AA46" s="55" t="s">
        <v>90</v>
      </c>
      <c r="AB46" s="39" t="s">
        <v>340</v>
      </c>
    </row>
    <row r="47" spans="1:28" x14ac:dyDescent="0.15">
      <c r="A47" s="55" t="s">
        <v>56</v>
      </c>
      <c r="B47" s="55" t="s">
        <v>393</v>
      </c>
      <c r="C47" s="216">
        <v>2018</v>
      </c>
      <c r="D47" s="86" t="s">
        <v>394</v>
      </c>
      <c r="E47" s="216" t="s">
        <v>316</v>
      </c>
      <c r="F47" s="216" t="s">
        <v>407</v>
      </c>
      <c r="G47" s="55" t="s">
        <v>42</v>
      </c>
      <c r="H47" s="216" t="s">
        <v>157</v>
      </c>
      <c r="I47" s="55" t="s">
        <v>155</v>
      </c>
      <c r="J47" s="216" t="s">
        <v>38</v>
      </c>
      <c r="K47" s="216" t="s">
        <v>156</v>
      </c>
      <c r="L47" s="208">
        <v>1</v>
      </c>
      <c r="N47" s="208">
        <v>1</v>
      </c>
      <c r="O47" s="208">
        <v>0.7</v>
      </c>
      <c r="P47" s="208">
        <v>0.7</v>
      </c>
      <c r="Q47" s="217">
        <f t="shared" si="0"/>
        <v>0.7</v>
      </c>
      <c r="R47" s="208">
        <v>14</v>
      </c>
      <c r="S47" s="208">
        <v>122</v>
      </c>
      <c r="T47" s="217">
        <f t="shared" si="1"/>
        <v>27</v>
      </c>
      <c r="U47" s="208">
        <v>105</v>
      </c>
      <c r="V47" s="217">
        <f t="shared" si="2"/>
        <v>2835</v>
      </c>
      <c r="W47" s="208">
        <v>2</v>
      </c>
      <c r="X47" s="55" t="s">
        <v>46</v>
      </c>
      <c r="Y47" s="55" t="s">
        <v>88</v>
      </c>
      <c r="Z47" s="208" t="s">
        <v>78</v>
      </c>
      <c r="AA47" s="55" t="s">
        <v>55</v>
      </c>
      <c r="AB47" s="39" t="s">
        <v>340</v>
      </c>
    </row>
    <row r="48" spans="1:28" x14ac:dyDescent="0.15">
      <c r="A48" s="55" t="s">
        <v>56</v>
      </c>
      <c r="B48" s="55" t="s">
        <v>393</v>
      </c>
      <c r="C48" s="216">
        <v>2018</v>
      </c>
      <c r="D48" s="86" t="s">
        <v>394</v>
      </c>
      <c r="E48" s="216" t="s">
        <v>316</v>
      </c>
      <c r="F48" s="216" t="s">
        <v>407</v>
      </c>
      <c r="G48" s="55" t="s">
        <v>42</v>
      </c>
      <c r="H48" s="216" t="s">
        <v>157</v>
      </c>
      <c r="I48" s="55" t="s">
        <v>155</v>
      </c>
      <c r="J48" s="216" t="s">
        <v>38</v>
      </c>
      <c r="K48" s="216" t="s">
        <v>156</v>
      </c>
      <c r="L48" s="208">
        <v>2</v>
      </c>
      <c r="N48" s="208">
        <v>1</v>
      </c>
      <c r="O48" s="208">
        <v>0.8</v>
      </c>
      <c r="P48" s="208">
        <v>0.8</v>
      </c>
      <c r="Q48" s="217">
        <f t="shared" si="0"/>
        <v>0.8</v>
      </c>
      <c r="R48" s="208">
        <v>15.1</v>
      </c>
      <c r="S48" s="208">
        <v>127</v>
      </c>
      <c r="T48" s="217">
        <f t="shared" si="1"/>
        <v>27</v>
      </c>
      <c r="U48" s="208">
        <v>105</v>
      </c>
      <c r="V48" s="217">
        <f t="shared" si="2"/>
        <v>2835</v>
      </c>
      <c r="W48" s="208">
        <v>2</v>
      </c>
      <c r="X48" s="55" t="s">
        <v>46</v>
      </c>
      <c r="Y48" s="55" t="s">
        <v>88</v>
      </c>
      <c r="Z48" s="208" t="s">
        <v>78</v>
      </c>
      <c r="AA48" s="55" t="s">
        <v>55</v>
      </c>
      <c r="AB48" s="39" t="s">
        <v>340</v>
      </c>
    </row>
    <row r="49" spans="1:28" x14ac:dyDescent="0.15">
      <c r="A49" s="55" t="s">
        <v>56</v>
      </c>
      <c r="B49" s="55" t="s">
        <v>393</v>
      </c>
      <c r="C49" s="216">
        <v>2018</v>
      </c>
      <c r="D49" s="86" t="s">
        <v>394</v>
      </c>
      <c r="E49" s="216" t="s">
        <v>316</v>
      </c>
      <c r="F49" s="216" t="s">
        <v>407</v>
      </c>
      <c r="G49" s="55" t="s">
        <v>42</v>
      </c>
      <c r="H49" s="216" t="s">
        <v>157</v>
      </c>
      <c r="I49" s="55" t="s">
        <v>155</v>
      </c>
      <c r="J49" s="216" t="s">
        <v>38</v>
      </c>
      <c r="K49" s="216" t="s">
        <v>156</v>
      </c>
      <c r="L49" s="208">
        <v>3</v>
      </c>
      <c r="N49" s="208">
        <v>1</v>
      </c>
      <c r="O49" s="208">
        <v>0.85</v>
      </c>
      <c r="P49" s="208">
        <v>0.85</v>
      </c>
      <c r="Q49" s="217">
        <f t="shared" si="0"/>
        <v>0.85</v>
      </c>
      <c r="R49" s="208">
        <v>15</v>
      </c>
      <c r="S49" s="208">
        <v>117</v>
      </c>
      <c r="T49" s="217">
        <f t="shared" si="1"/>
        <v>30</v>
      </c>
      <c r="U49" s="208">
        <v>105</v>
      </c>
      <c r="V49" s="217">
        <f t="shared" si="2"/>
        <v>3150</v>
      </c>
      <c r="W49" s="208">
        <v>2</v>
      </c>
      <c r="X49" s="55" t="s">
        <v>46</v>
      </c>
      <c r="Y49" s="55" t="s">
        <v>88</v>
      </c>
      <c r="Z49" s="208" t="s">
        <v>78</v>
      </c>
      <c r="AA49" s="55" t="s">
        <v>55</v>
      </c>
      <c r="AB49" s="39" t="s">
        <v>340</v>
      </c>
    </row>
    <row r="50" spans="1:28" x14ac:dyDescent="0.15">
      <c r="A50" s="55" t="s">
        <v>56</v>
      </c>
      <c r="B50" s="55" t="s">
        <v>393</v>
      </c>
      <c r="C50" s="216">
        <v>2018</v>
      </c>
      <c r="D50" s="86" t="s">
        <v>394</v>
      </c>
      <c r="E50" s="216" t="s">
        <v>316</v>
      </c>
      <c r="F50" s="216" t="s">
        <v>407</v>
      </c>
      <c r="G50" s="55" t="s">
        <v>42</v>
      </c>
      <c r="H50" s="216" t="s">
        <v>166</v>
      </c>
      <c r="I50" s="55" t="s">
        <v>155</v>
      </c>
      <c r="J50" s="216" t="s">
        <v>38</v>
      </c>
      <c r="K50" s="216" t="s">
        <v>156</v>
      </c>
      <c r="L50" s="208">
        <v>1</v>
      </c>
      <c r="N50" s="208">
        <v>5</v>
      </c>
      <c r="O50" s="208">
        <v>0.6</v>
      </c>
      <c r="P50" s="208">
        <v>0.6</v>
      </c>
      <c r="Q50" s="217">
        <f t="shared" si="0"/>
        <v>0.6</v>
      </c>
      <c r="R50" s="208">
        <v>16.600000000000001</v>
      </c>
      <c r="S50" s="208">
        <v>118</v>
      </c>
      <c r="T50" s="217">
        <f t="shared" si="1"/>
        <v>30</v>
      </c>
      <c r="U50" s="208">
        <v>537</v>
      </c>
      <c r="V50" s="217">
        <f t="shared" si="2"/>
        <v>3222</v>
      </c>
      <c r="W50" s="208">
        <v>2</v>
      </c>
      <c r="X50" s="55" t="s">
        <v>46</v>
      </c>
      <c r="Y50" s="55" t="s">
        <v>88</v>
      </c>
      <c r="Z50" s="208" t="s">
        <v>78</v>
      </c>
      <c r="AA50" s="55" t="s">
        <v>55</v>
      </c>
      <c r="AB50" s="39" t="s">
        <v>340</v>
      </c>
    </row>
    <row r="51" spans="1:28" x14ac:dyDescent="0.15">
      <c r="A51" s="55" t="s">
        <v>56</v>
      </c>
      <c r="B51" s="55" t="s">
        <v>393</v>
      </c>
      <c r="C51" s="216">
        <v>2018</v>
      </c>
      <c r="D51" s="86" t="s">
        <v>394</v>
      </c>
      <c r="E51" s="216" t="s">
        <v>316</v>
      </c>
      <c r="F51" s="216" t="s">
        <v>407</v>
      </c>
      <c r="G51" s="55" t="s">
        <v>42</v>
      </c>
      <c r="H51" s="216" t="s">
        <v>166</v>
      </c>
      <c r="I51" s="55" t="s">
        <v>155</v>
      </c>
      <c r="J51" s="216" t="s">
        <v>38</v>
      </c>
      <c r="K51" s="216" t="s">
        <v>156</v>
      </c>
      <c r="L51" s="208">
        <v>2</v>
      </c>
      <c r="N51" s="208">
        <v>5</v>
      </c>
      <c r="O51" s="208">
        <v>0.6</v>
      </c>
      <c r="P51" s="208">
        <v>0.6</v>
      </c>
      <c r="Q51" s="217">
        <f t="shared" si="0"/>
        <v>0.6</v>
      </c>
      <c r="R51" s="208">
        <v>15.4</v>
      </c>
      <c r="S51" s="208">
        <v>117</v>
      </c>
      <c r="T51" s="217">
        <f t="shared" si="1"/>
        <v>30</v>
      </c>
      <c r="U51" s="208">
        <v>537</v>
      </c>
      <c r="V51" s="217">
        <f t="shared" si="2"/>
        <v>3222</v>
      </c>
      <c r="W51" s="208">
        <v>2</v>
      </c>
      <c r="X51" s="55" t="s">
        <v>46</v>
      </c>
      <c r="Y51" s="55" t="s">
        <v>88</v>
      </c>
      <c r="Z51" s="208" t="s">
        <v>78</v>
      </c>
      <c r="AA51" s="55" t="s">
        <v>55</v>
      </c>
      <c r="AB51" s="39" t="s">
        <v>340</v>
      </c>
    </row>
    <row r="52" spans="1:28" x14ac:dyDescent="0.15">
      <c r="A52" s="55" t="s">
        <v>56</v>
      </c>
      <c r="B52" s="55" t="s">
        <v>393</v>
      </c>
      <c r="C52" s="216">
        <v>2018</v>
      </c>
      <c r="D52" s="86" t="s">
        <v>394</v>
      </c>
      <c r="E52" s="216" t="s">
        <v>316</v>
      </c>
      <c r="F52" s="216" t="s">
        <v>407</v>
      </c>
      <c r="G52" s="55" t="s">
        <v>42</v>
      </c>
      <c r="H52" s="216" t="s">
        <v>166</v>
      </c>
      <c r="I52" s="55" t="s">
        <v>155</v>
      </c>
      <c r="J52" s="216" t="s">
        <v>38</v>
      </c>
      <c r="K52" s="216" t="s">
        <v>156</v>
      </c>
      <c r="L52" s="208">
        <v>3</v>
      </c>
      <c r="N52" s="208">
        <v>5</v>
      </c>
      <c r="O52" s="208">
        <v>0.6</v>
      </c>
      <c r="P52" s="208">
        <v>0.6</v>
      </c>
      <c r="Q52" s="217">
        <f t="shared" si="0"/>
        <v>0.6</v>
      </c>
      <c r="R52" s="208">
        <v>15.1</v>
      </c>
      <c r="S52" s="208">
        <v>116</v>
      </c>
      <c r="T52" s="217">
        <f t="shared" si="1"/>
        <v>30</v>
      </c>
      <c r="U52" s="208">
        <v>537</v>
      </c>
      <c r="V52" s="217">
        <f t="shared" si="2"/>
        <v>3222</v>
      </c>
      <c r="W52" s="208">
        <v>2</v>
      </c>
      <c r="X52" s="55" t="s">
        <v>46</v>
      </c>
      <c r="Y52" s="55" t="s">
        <v>88</v>
      </c>
      <c r="Z52" s="208" t="s">
        <v>78</v>
      </c>
      <c r="AA52" s="55" t="s">
        <v>55</v>
      </c>
      <c r="AB52" s="39" t="s">
        <v>340</v>
      </c>
    </row>
    <row r="53" spans="1:28" x14ac:dyDescent="0.15">
      <c r="A53" s="55" t="s">
        <v>56</v>
      </c>
      <c r="B53" s="55" t="s">
        <v>393</v>
      </c>
      <c r="C53" s="216">
        <v>2018</v>
      </c>
      <c r="D53" s="86" t="s">
        <v>394</v>
      </c>
      <c r="E53" s="216" t="s">
        <v>368</v>
      </c>
      <c r="F53" s="216" t="s">
        <v>407</v>
      </c>
      <c r="G53" s="55" t="s">
        <v>42</v>
      </c>
      <c r="H53" s="216" t="s">
        <v>157</v>
      </c>
      <c r="I53" s="55" t="s">
        <v>155</v>
      </c>
      <c r="J53" s="216" t="s">
        <v>38</v>
      </c>
      <c r="K53" s="216" t="s">
        <v>156</v>
      </c>
      <c r="L53" s="208">
        <v>1</v>
      </c>
      <c r="N53" s="208">
        <v>1</v>
      </c>
      <c r="O53" s="208">
        <v>0.75</v>
      </c>
      <c r="P53" s="208">
        <v>0.75</v>
      </c>
      <c r="Q53" s="217">
        <f t="shared" si="0"/>
        <v>0.75</v>
      </c>
      <c r="R53" s="208">
        <v>13.8</v>
      </c>
      <c r="S53" s="208">
        <v>138</v>
      </c>
      <c r="T53" s="217">
        <f t="shared" si="1"/>
        <v>22</v>
      </c>
      <c r="U53" s="208">
        <v>117</v>
      </c>
      <c r="V53" s="217">
        <f t="shared" si="2"/>
        <v>2574</v>
      </c>
      <c r="W53" s="208">
        <v>3</v>
      </c>
      <c r="X53" s="55" t="s">
        <v>46</v>
      </c>
      <c r="Y53" s="55" t="s">
        <v>88</v>
      </c>
      <c r="Z53" s="208" t="s">
        <v>55</v>
      </c>
      <c r="AA53" s="55" t="s">
        <v>97</v>
      </c>
      <c r="AB53" s="39" t="s">
        <v>340</v>
      </c>
    </row>
    <row r="54" spans="1:28" x14ac:dyDescent="0.15">
      <c r="A54" s="55" t="s">
        <v>56</v>
      </c>
      <c r="B54" s="55" t="s">
        <v>393</v>
      </c>
      <c r="C54" s="216">
        <v>2018</v>
      </c>
      <c r="D54" s="86" t="s">
        <v>394</v>
      </c>
      <c r="E54" s="216" t="s">
        <v>368</v>
      </c>
      <c r="F54" s="216" t="s">
        <v>407</v>
      </c>
      <c r="G54" s="55" t="s">
        <v>42</v>
      </c>
      <c r="H54" s="216" t="s">
        <v>157</v>
      </c>
      <c r="I54" s="55" t="s">
        <v>155</v>
      </c>
      <c r="J54" s="216" t="s">
        <v>38</v>
      </c>
      <c r="K54" s="216" t="s">
        <v>156</v>
      </c>
      <c r="L54" s="208">
        <v>2</v>
      </c>
      <c r="N54" s="208">
        <v>1</v>
      </c>
      <c r="O54" s="208">
        <v>0.7</v>
      </c>
      <c r="P54" s="208">
        <v>0.7</v>
      </c>
      <c r="Q54" s="217">
        <f t="shared" si="0"/>
        <v>0.7</v>
      </c>
      <c r="R54" s="208">
        <v>14.2</v>
      </c>
      <c r="S54" s="208">
        <v>141</v>
      </c>
      <c r="T54" s="217">
        <f t="shared" si="1"/>
        <v>22</v>
      </c>
      <c r="U54" s="208">
        <v>117</v>
      </c>
      <c r="V54" s="217">
        <f t="shared" si="2"/>
        <v>2574</v>
      </c>
      <c r="W54" s="208">
        <v>3</v>
      </c>
      <c r="X54" s="55" t="s">
        <v>46</v>
      </c>
      <c r="Y54" s="55" t="s">
        <v>88</v>
      </c>
      <c r="Z54" s="208" t="s">
        <v>55</v>
      </c>
      <c r="AA54" s="55" t="s">
        <v>97</v>
      </c>
      <c r="AB54" s="39" t="s">
        <v>340</v>
      </c>
    </row>
    <row r="55" spans="1:28" x14ac:dyDescent="0.15">
      <c r="A55" s="55" t="s">
        <v>56</v>
      </c>
      <c r="B55" s="55" t="s">
        <v>393</v>
      </c>
      <c r="C55" s="216">
        <v>2018</v>
      </c>
      <c r="D55" s="86" t="s">
        <v>394</v>
      </c>
      <c r="E55" s="216" t="s">
        <v>368</v>
      </c>
      <c r="F55" s="216" t="s">
        <v>407</v>
      </c>
      <c r="G55" s="55" t="s">
        <v>42</v>
      </c>
      <c r="H55" s="216" t="s">
        <v>157</v>
      </c>
      <c r="I55" s="55" t="s">
        <v>155</v>
      </c>
      <c r="J55" s="216" t="s">
        <v>38</v>
      </c>
      <c r="K55" s="216" t="s">
        <v>156</v>
      </c>
      <c r="L55" s="208">
        <v>3</v>
      </c>
      <c r="N55" s="208">
        <v>1</v>
      </c>
      <c r="O55" s="208">
        <v>0.8</v>
      </c>
      <c r="P55" s="208">
        <v>0.8</v>
      </c>
      <c r="Q55" s="217">
        <f t="shared" si="0"/>
        <v>0.8</v>
      </c>
      <c r="R55" s="208">
        <v>14.8</v>
      </c>
      <c r="S55" s="208">
        <v>142</v>
      </c>
      <c r="T55" s="217">
        <f t="shared" si="1"/>
        <v>22</v>
      </c>
      <c r="U55" s="208">
        <v>117</v>
      </c>
      <c r="V55" s="217">
        <f t="shared" si="2"/>
        <v>2574</v>
      </c>
      <c r="W55" s="208">
        <v>3</v>
      </c>
      <c r="X55" s="55" t="s">
        <v>46</v>
      </c>
      <c r="Y55" s="55" t="s">
        <v>88</v>
      </c>
      <c r="Z55" s="208" t="s">
        <v>55</v>
      </c>
      <c r="AA55" s="55" t="s">
        <v>97</v>
      </c>
      <c r="AB55" s="39" t="s">
        <v>340</v>
      </c>
    </row>
    <row r="56" spans="1:28" x14ac:dyDescent="0.15">
      <c r="A56" s="55" t="s">
        <v>56</v>
      </c>
      <c r="B56" s="55" t="s">
        <v>393</v>
      </c>
      <c r="C56" s="216">
        <v>2018</v>
      </c>
      <c r="D56" s="86" t="s">
        <v>394</v>
      </c>
      <c r="E56" s="216" t="s">
        <v>368</v>
      </c>
      <c r="F56" s="216" t="s">
        <v>407</v>
      </c>
      <c r="G56" s="55" t="s">
        <v>42</v>
      </c>
      <c r="H56" s="216" t="s">
        <v>157</v>
      </c>
      <c r="I56" s="55" t="s">
        <v>158</v>
      </c>
      <c r="J56" s="216" t="s">
        <v>38</v>
      </c>
      <c r="K56" s="216" t="s">
        <v>156</v>
      </c>
      <c r="L56" s="208">
        <v>1</v>
      </c>
      <c r="N56" s="208">
        <v>4</v>
      </c>
      <c r="O56" s="208">
        <v>0.65</v>
      </c>
      <c r="P56" s="208">
        <v>0.65</v>
      </c>
      <c r="Q56" s="217">
        <f t="shared" si="0"/>
        <v>0.65</v>
      </c>
      <c r="R56" s="208">
        <v>13.3</v>
      </c>
      <c r="S56" s="208">
        <v>108</v>
      </c>
      <c r="T56" s="217">
        <f t="shared" si="1"/>
        <v>33</v>
      </c>
      <c r="U56" s="208">
        <v>430</v>
      </c>
      <c r="V56" s="217">
        <f t="shared" si="2"/>
        <v>3547.5</v>
      </c>
      <c r="W56" s="208">
        <v>3</v>
      </c>
      <c r="X56" s="55" t="s">
        <v>46</v>
      </c>
      <c r="Y56" s="55" t="s">
        <v>88</v>
      </c>
      <c r="Z56" s="208" t="s">
        <v>55</v>
      </c>
      <c r="AA56" s="55" t="s">
        <v>97</v>
      </c>
      <c r="AB56" s="39" t="s">
        <v>340</v>
      </c>
    </row>
    <row r="57" spans="1:28" x14ac:dyDescent="0.15">
      <c r="A57" s="55" t="s">
        <v>56</v>
      </c>
      <c r="B57" s="55" t="s">
        <v>393</v>
      </c>
      <c r="C57" s="216">
        <v>2018</v>
      </c>
      <c r="D57" s="86" t="s">
        <v>394</v>
      </c>
      <c r="E57" s="216" t="s">
        <v>368</v>
      </c>
      <c r="F57" s="216" t="s">
        <v>407</v>
      </c>
      <c r="G57" s="55" t="s">
        <v>42</v>
      </c>
      <c r="H57" s="216" t="s">
        <v>157</v>
      </c>
      <c r="I57" s="55" t="s">
        <v>158</v>
      </c>
      <c r="J57" s="216" t="s">
        <v>38</v>
      </c>
      <c r="K57" s="216" t="s">
        <v>156</v>
      </c>
      <c r="L57" s="208">
        <v>2</v>
      </c>
      <c r="N57" s="208">
        <v>4</v>
      </c>
      <c r="O57" s="208">
        <v>0.6</v>
      </c>
      <c r="P57" s="208">
        <v>0.6</v>
      </c>
      <c r="Q57" s="217">
        <f t="shared" si="0"/>
        <v>0.6</v>
      </c>
      <c r="R57" s="208">
        <v>12.6</v>
      </c>
      <c r="S57" s="208">
        <v>108</v>
      </c>
      <c r="T57" s="217">
        <f t="shared" si="1"/>
        <v>33</v>
      </c>
      <c r="U57" s="208">
        <v>430</v>
      </c>
      <c r="V57" s="217">
        <f t="shared" si="2"/>
        <v>3547.5</v>
      </c>
      <c r="W57" s="208">
        <v>3</v>
      </c>
      <c r="X57" s="55" t="s">
        <v>46</v>
      </c>
      <c r="Y57" s="55" t="s">
        <v>88</v>
      </c>
      <c r="Z57" s="208" t="s">
        <v>55</v>
      </c>
      <c r="AA57" s="55" t="s">
        <v>97</v>
      </c>
      <c r="AB57" s="39" t="s">
        <v>340</v>
      </c>
    </row>
    <row r="58" spans="1:28" x14ac:dyDescent="0.15">
      <c r="A58" s="55" t="s">
        <v>56</v>
      </c>
      <c r="B58" s="55" t="s">
        <v>393</v>
      </c>
      <c r="C58" s="216">
        <v>2018</v>
      </c>
      <c r="D58" s="86" t="s">
        <v>394</v>
      </c>
      <c r="E58" s="216" t="s">
        <v>368</v>
      </c>
      <c r="F58" s="216" t="s">
        <v>407</v>
      </c>
      <c r="G58" s="55" t="s">
        <v>42</v>
      </c>
      <c r="H58" s="216" t="s">
        <v>157</v>
      </c>
      <c r="I58" s="55" t="s">
        <v>158</v>
      </c>
      <c r="J58" s="216" t="s">
        <v>38</v>
      </c>
      <c r="K58" s="216" t="s">
        <v>156</v>
      </c>
      <c r="L58" s="208">
        <v>3</v>
      </c>
      <c r="N58" s="208">
        <v>4</v>
      </c>
      <c r="O58" s="208">
        <v>0.7</v>
      </c>
      <c r="P58" s="208">
        <v>0.7</v>
      </c>
      <c r="Q58" s="217">
        <f t="shared" si="0"/>
        <v>0.7</v>
      </c>
      <c r="R58" s="208">
        <v>12.3</v>
      </c>
      <c r="S58" s="208">
        <v>112</v>
      </c>
      <c r="T58" s="217">
        <f t="shared" si="1"/>
        <v>33</v>
      </c>
      <c r="U58" s="208">
        <v>430</v>
      </c>
      <c r="V58" s="217">
        <f t="shared" si="2"/>
        <v>3547.5</v>
      </c>
      <c r="W58" s="208">
        <v>3</v>
      </c>
      <c r="X58" s="55" t="s">
        <v>46</v>
      </c>
      <c r="Y58" s="55" t="s">
        <v>88</v>
      </c>
      <c r="Z58" s="208" t="s">
        <v>55</v>
      </c>
      <c r="AA58" s="55" t="s">
        <v>97</v>
      </c>
      <c r="AB58" s="39" t="s">
        <v>340</v>
      </c>
    </row>
    <row r="59" spans="1:28" x14ac:dyDescent="0.15">
      <c r="A59" s="55" t="s">
        <v>56</v>
      </c>
      <c r="B59" s="55" t="s">
        <v>393</v>
      </c>
      <c r="C59" s="216">
        <v>2018</v>
      </c>
      <c r="D59" s="86" t="s">
        <v>394</v>
      </c>
      <c r="E59" s="216" t="s">
        <v>368</v>
      </c>
      <c r="F59" s="216" t="s">
        <v>407</v>
      </c>
      <c r="G59" s="55" t="s">
        <v>42</v>
      </c>
      <c r="H59" s="216" t="s">
        <v>166</v>
      </c>
      <c r="I59" s="55" t="s">
        <v>155</v>
      </c>
      <c r="J59" s="216" t="s">
        <v>38</v>
      </c>
      <c r="K59" s="216" t="s">
        <v>156</v>
      </c>
      <c r="L59" s="208">
        <v>1</v>
      </c>
      <c r="N59" s="208">
        <v>1</v>
      </c>
      <c r="O59" s="208">
        <v>0.5</v>
      </c>
      <c r="P59" s="208">
        <v>0.5</v>
      </c>
      <c r="Q59" s="217">
        <f t="shared" si="0"/>
        <v>0.5</v>
      </c>
      <c r="R59" s="208">
        <v>17.100000000000001</v>
      </c>
      <c r="S59" s="208">
        <v>139</v>
      </c>
      <c r="T59" s="217">
        <f t="shared" si="1"/>
        <v>22</v>
      </c>
      <c r="U59" s="208">
        <v>117</v>
      </c>
      <c r="V59" s="217">
        <f t="shared" si="2"/>
        <v>2574</v>
      </c>
      <c r="W59" s="208">
        <v>5</v>
      </c>
      <c r="X59" s="55" t="s">
        <v>46</v>
      </c>
      <c r="Y59" s="55" t="s">
        <v>88</v>
      </c>
      <c r="Z59" s="208" t="s">
        <v>55</v>
      </c>
      <c r="AA59" s="55" t="s">
        <v>97</v>
      </c>
      <c r="AB59" s="39" t="s">
        <v>340</v>
      </c>
    </row>
    <row r="60" spans="1:28" x14ac:dyDescent="0.15">
      <c r="A60" s="55" t="s">
        <v>56</v>
      </c>
      <c r="B60" s="55" t="s">
        <v>393</v>
      </c>
      <c r="C60" s="216">
        <v>2018</v>
      </c>
      <c r="D60" s="86" t="s">
        <v>394</v>
      </c>
      <c r="E60" s="216" t="s">
        <v>368</v>
      </c>
      <c r="F60" s="216" t="s">
        <v>407</v>
      </c>
      <c r="G60" s="55" t="s">
        <v>42</v>
      </c>
      <c r="H60" s="216" t="s">
        <v>166</v>
      </c>
      <c r="I60" s="55" t="s">
        <v>155</v>
      </c>
      <c r="J60" s="216" t="s">
        <v>38</v>
      </c>
      <c r="K60" s="216" t="s">
        <v>156</v>
      </c>
      <c r="L60" s="208">
        <v>2</v>
      </c>
      <c r="N60" s="208">
        <v>1</v>
      </c>
      <c r="O60" s="208">
        <v>0.5</v>
      </c>
      <c r="P60" s="208">
        <v>0.5</v>
      </c>
      <c r="Q60" s="217">
        <f t="shared" si="0"/>
        <v>0.5</v>
      </c>
      <c r="R60" s="208">
        <v>18.2</v>
      </c>
      <c r="S60" s="208">
        <v>142</v>
      </c>
      <c r="T60" s="217">
        <f t="shared" si="1"/>
        <v>22</v>
      </c>
      <c r="U60" s="208">
        <v>117</v>
      </c>
      <c r="V60" s="217">
        <f t="shared" si="2"/>
        <v>2574</v>
      </c>
      <c r="W60" s="208">
        <v>5</v>
      </c>
      <c r="X60" s="55" t="s">
        <v>46</v>
      </c>
      <c r="Y60" s="55" t="s">
        <v>88</v>
      </c>
      <c r="Z60" s="208" t="s">
        <v>55</v>
      </c>
      <c r="AA60" s="55" t="s">
        <v>97</v>
      </c>
      <c r="AB60" s="39" t="s">
        <v>340</v>
      </c>
    </row>
    <row r="61" spans="1:28" x14ac:dyDescent="0.15">
      <c r="A61" s="55" t="s">
        <v>56</v>
      </c>
      <c r="B61" s="55" t="s">
        <v>393</v>
      </c>
      <c r="C61" s="216">
        <v>2018</v>
      </c>
      <c r="D61" s="86" t="s">
        <v>394</v>
      </c>
      <c r="E61" s="216" t="s">
        <v>368</v>
      </c>
      <c r="F61" s="216" t="s">
        <v>407</v>
      </c>
      <c r="G61" s="55" t="s">
        <v>42</v>
      </c>
      <c r="H61" s="216" t="s">
        <v>166</v>
      </c>
      <c r="I61" s="55" t="s">
        <v>155</v>
      </c>
      <c r="J61" s="216" t="s">
        <v>38</v>
      </c>
      <c r="K61" s="216" t="s">
        <v>156</v>
      </c>
      <c r="L61" s="208">
        <v>3</v>
      </c>
      <c r="N61" s="208">
        <v>1</v>
      </c>
      <c r="O61" s="208">
        <v>0.55000000000000004</v>
      </c>
      <c r="P61" s="208">
        <v>0.55000000000000004</v>
      </c>
      <c r="Q61" s="217">
        <f t="shared" si="0"/>
        <v>0.55000000000000004</v>
      </c>
      <c r="R61" s="208">
        <v>16.7</v>
      </c>
      <c r="S61" s="208">
        <v>144</v>
      </c>
      <c r="T61" s="217">
        <f t="shared" si="1"/>
        <v>22</v>
      </c>
      <c r="U61" s="208">
        <v>117</v>
      </c>
      <c r="V61" s="217">
        <f t="shared" si="2"/>
        <v>2574</v>
      </c>
      <c r="W61" s="208">
        <v>5</v>
      </c>
      <c r="X61" s="55" t="s">
        <v>46</v>
      </c>
      <c r="Y61" s="55" t="s">
        <v>88</v>
      </c>
      <c r="Z61" s="208" t="s">
        <v>55</v>
      </c>
      <c r="AA61" s="55" t="s">
        <v>97</v>
      </c>
      <c r="AB61" s="39" t="s">
        <v>340</v>
      </c>
    </row>
    <row r="62" spans="1:28" x14ac:dyDescent="0.15">
      <c r="A62" s="55" t="s">
        <v>56</v>
      </c>
      <c r="B62" s="55" t="s">
        <v>393</v>
      </c>
      <c r="C62" s="216">
        <v>2018</v>
      </c>
      <c r="D62" s="86" t="s">
        <v>394</v>
      </c>
      <c r="E62" s="216" t="s">
        <v>411</v>
      </c>
      <c r="F62" s="216" t="s">
        <v>407</v>
      </c>
      <c r="G62" s="55" t="s">
        <v>42</v>
      </c>
      <c r="H62" s="216" t="s">
        <v>157</v>
      </c>
      <c r="I62" s="55" t="s">
        <v>155</v>
      </c>
      <c r="J62" s="216" t="s">
        <v>38</v>
      </c>
      <c r="K62" s="216" t="s">
        <v>156</v>
      </c>
      <c r="L62" s="208">
        <v>1</v>
      </c>
      <c r="N62" s="208">
        <v>5</v>
      </c>
      <c r="O62" s="208">
        <v>0.7</v>
      </c>
      <c r="P62" s="208">
        <v>0.7</v>
      </c>
      <c r="Q62" s="217">
        <f t="shared" si="0"/>
        <v>0.7</v>
      </c>
      <c r="R62" s="208">
        <v>12.5</v>
      </c>
      <c r="S62" s="208">
        <v>106</v>
      </c>
      <c r="T62" s="217">
        <f t="shared" si="1"/>
        <v>33</v>
      </c>
      <c r="U62" s="208">
        <v>430</v>
      </c>
      <c r="V62" s="217">
        <f t="shared" si="2"/>
        <v>2838</v>
      </c>
      <c r="W62" s="208">
        <v>4</v>
      </c>
      <c r="X62" s="55" t="s">
        <v>46</v>
      </c>
      <c r="Y62" s="55" t="s">
        <v>88</v>
      </c>
      <c r="Z62" s="208" t="s">
        <v>55</v>
      </c>
      <c r="AA62" s="55" t="s">
        <v>84</v>
      </c>
      <c r="AB62" s="39" t="s">
        <v>340</v>
      </c>
    </row>
    <row r="63" spans="1:28" x14ac:dyDescent="0.15">
      <c r="A63" s="55" t="s">
        <v>56</v>
      </c>
      <c r="B63" s="55" t="s">
        <v>393</v>
      </c>
      <c r="C63" s="216">
        <v>2018</v>
      </c>
      <c r="D63" s="86" t="s">
        <v>394</v>
      </c>
      <c r="E63" s="216" t="s">
        <v>411</v>
      </c>
      <c r="F63" s="216" t="s">
        <v>407</v>
      </c>
      <c r="G63" s="55" t="s">
        <v>42</v>
      </c>
      <c r="H63" s="216" t="s">
        <v>157</v>
      </c>
      <c r="I63" s="55" t="s">
        <v>155</v>
      </c>
      <c r="J63" s="216" t="s">
        <v>38</v>
      </c>
      <c r="K63" s="216" t="s">
        <v>156</v>
      </c>
      <c r="L63" s="208">
        <v>2</v>
      </c>
      <c r="N63" s="208">
        <v>5</v>
      </c>
      <c r="O63" s="208">
        <v>0.75</v>
      </c>
      <c r="P63" s="208">
        <v>0.75</v>
      </c>
      <c r="Q63" s="217">
        <f t="shared" si="0"/>
        <v>0.75</v>
      </c>
      <c r="R63" s="208">
        <v>13.6</v>
      </c>
      <c r="S63" s="208">
        <v>107</v>
      </c>
      <c r="T63" s="217">
        <f t="shared" si="1"/>
        <v>33</v>
      </c>
      <c r="U63" s="208">
        <v>430</v>
      </c>
      <c r="V63" s="217">
        <f t="shared" si="2"/>
        <v>2838</v>
      </c>
      <c r="W63" s="208">
        <v>4</v>
      </c>
      <c r="X63" s="55" t="s">
        <v>46</v>
      </c>
      <c r="Y63" s="55" t="s">
        <v>88</v>
      </c>
      <c r="Z63" s="208" t="s">
        <v>55</v>
      </c>
      <c r="AA63" s="55" t="s">
        <v>84</v>
      </c>
      <c r="AB63" s="39" t="s">
        <v>340</v>
      </c>
    </row>
    <row r="64" spans="1:28" x14ac:dyDescent="0.15">
      <c r="A64" s="55" t="s">
        <v>56</v>
      </c>
      <c r="B64" s="55" t="s">
        <v>393</v>
      </c>
      <c r="C64" s="216">
        <v>2018</v>
      </c>
      <c r="D64" s="86" t="s">
        <v>394</v>
      </c>
      <c r="E64" s="216" t="s">
        <v>411</v>
      </c>
      <c r="F64" s="216" t="s">
        <v>407</v>
      </c>
      <c r="G64" s="55" t="s">
        <v>42</v>
      </c>
      <c r="H64" s="216" t="s">
        <v>157</v>
      </c>
      <c r="I64" s="55" t="s">
        <v>155</v>
      </c>
      <c r="J64" s="216" t="s">
        <v>38</v>
      </c>
      <c r="K64" s="216" t="s">
        <v>156</v>
      </c>
      <c r="L64" s="208">
        <v>3</v>
      </c>
      <c r="N64" s="208">
        <v>5</v>
      </c>
      <c r="O64" s="208">
        <v>0.7</v>
      </c>
      <c r="P64" s="208">
        <v>0.7</v>
      </c>
      <c r="Q64" s="217">
        <f t="shared" si="0"/>
        <v>0.7</v>
      </c>
      <c r="R64" s="208">
        <v>12.2</v>
      </c>
      <c r="S64" s="208">
        <v>100</v>
      </c>
      <c r="T64" s="217">
        <f t="shared" si="1"/>
        <v>33</v>
      </c>
      <c r="U64" s="208">
        <v>430</v>
      </c>
      <c r="V64" s="217">
        <f t="shared" si="2"/>
        <v>2838</v>
      </c>
      <c r="W64" s="208">
        <v>4</v>
      </c>
      <c r="X64" s="55" t="s">
        <v>46</v>
      </c>
      <c r="Y64" s="55" t="s">
        <v>88</v>
      </c>
      <c r="Z64" s="208" t="s">
        <v>55</v>
      </c>
      <c r="AA64" s="55" t="s">
        <v>84</v>
      </c>
      <c r="AB64" s="39" t="s">
        <v>340</v>
      </c>
    </row>
    <row r="65" spans="1:28" x14ac:dyDescent="0.15">
      <c r="A65" s="55" t="s">
        <v>56</v>
      </c>
      <c r="B65" s="55" t="s">
        <v>393</v>
      </c>
      <c r="C65" s="216">
        <v>2018</v>
      </c>
      <c r="D65" s="86" t="s">
        <v>394</v>
      </c>
      <c r="E65" s="216" t="s">
        <v>411</v>
      </c>
      <c r="F65" s="216" t="s">
        <v>407</v>
      </c>
      <c r="G65" s="55" t="s">
        <v>42</v>
      </c>
      <c r="H65" s="216" t="s">
        <v>166</v>
      </c>
      <c r="I65" s="55" t="s">
        <v>155</v>
      </c>
      <c r="J65" s="216" t="s">
        <v>38</v>
      </c>
      <c r="K65" s="216" t="s">
        <v>156</v>
      </c>
      <c r="L65" s="208">
        <v>1</v>
      </c>
      <c r="N65" s="208">
        <v>5</v>
      </c>
      <c r="O65" s="208">
        <v>0.65</v>
      </c>
      <c r="P65" s="208">
        <v>0.65</v>
      </c>
      <c r="Q65" s="217">
        <f t="shared" si="0"/>
        <v>0.65</v>
      </c>
      <c r="R65" s="208">
        <v>14.7</v>
      </c>
      <c r="S65" s="208">
        <v>127</v>
      </c>
      <c r="T65" s="217">
        <f t="shared" si="1"/>
        <v>27</v>
      </c>
      <c r="U65" s="208">
        <v>646</v>
      </c>
      <c r="V65" s="217">
        <f t="shared" si="2"/>
        <v>3488.3999999999996</v>
      </c>
      <c r="W65" s="208">
        <v>6</v>
      </c>
      <c r="X65" s="55" t="s">
        <v>46</v>
      </c>
      <c r="Y65" s="55" t="s">
        <v>88</v>
      </c>
      <c r="Z65" s="208" t="s">
        <v>55</v>
      </c>
      <c r="AA65" s="55" t="s">
        <v>84</v>
      </c>
      <c r="AB65" s="39" t="s">
        <v>340</v>
      </c>
    </row>
    <row r="66" spans="1:28" x14ac:dyDescent="0.15">
      <c r="A66" s="55" t="s">
        <v>56</v>
      </c>
      <c r="B66" s="55" t="s">
        <v>393</v>
      </c>
      <c r="C66" s="216">
        <v>2018</v>
      </c>
      <c r="D66" s="86" t="s">
        <v>394</v>
      </c>
      <c r="E66" s="216" t="s">
        <v>411</v>
      </c>
      <c r="F66" s="216" t="s">
        <v>407</v>
      </c>
      <c r="G66" s="55" t="s">
        <v>42</v>
      </c>
      <c r="H66" s="216" t="s">
        <v>166</v>
      </c>
      <c r="I66" s="55" t="s">
        <v>155</v>
      </c>
      <c r="J66" s="216" t="s">
        <v>38</v>
      </c>
      <c r="K66" s="216" t="s">
        <v>156</v>
      </c>
      <c r="L66" s="208">
        <v>2</v>
      </c>
      <c r="N66" s="208">
        <v>5</v>
      </c>
      <c r="O66" s="208">
        <v>0.7</v>
      </c>
      <c r="P66" s="208">
        <v>0.7</v>
      </c>
      <c r="Q66" s="217">
        <f t="shared" si="0"/>
        <v>0.7</v>
      </c>
      <c r="R66" s="208">
        <v>14.4</v>
      </c>
      <c r="S66" s="208">
        <v>131</v>
      </c>
      <c r="T66" s="217">
        <f t="shared" si="1"/>
        <v>25</v>
      </c>
      <c r="U66" s="208">
        <v>646</v>
      </c>
      <c r="V66" s="217">
        <f t="shared" si="2"/>
        <v>3229.9999999999995</v>
      </c>
      <c r="W66" s="208">
        <v>6</v>
      </c>
      <c r="X66" s="55" t="s">
        <v>46</v>
      </c>
      <c r="Y66" s="55" t="s">
        <v>88</v>
      </c>
      <c r="Z66" s="208" t="s">
        <v>55</v>
      </c>
      <c r="AA66" s="55" t="s">
        <v>84</v>
      </c>
      <c r="AB66" s="39" t="s">
        <v>340</v>
      </c>
    </row>
    <row r="67" spans="1:28" x14ac:dyDescent="0.15">
      <c r="A67" s="55" t="s">
        <v>56</v>
      </c>
      <c r="B67" s="55" t="s">
        <v>393</v>
      </c>
      <c r="C67" s="216">
        <v>2018</v>
      </c>
      <c r="D67" s="86" t="s">
        <v>394</v>
      </c>
      <c r="E67" s="216" t="s">
        <v>411</v>
      </c>
      <c r="F67" s="216" t="s">
        <v>407</v>
      </c>
      <c r="G67" s="55" t="s">
        <v>42</v>
      </c>
      <c r="H67" s="216" t="s">
        <v>166</v>
      </c>
      <c r="I67" s="55" t="s">
        <v>155</v>
      </c>
      <c r="J67" s="216" t="s">
        <v>38</v>
      </c>
      <c r="K67" s="216" t="s">
        <v>156</v>
      </c>
      <c r="L67" s="208">
        <v>3</v>
      </c>
      <c r="N67" s="208">
        <v>5</v>
      </c>
      <c r="O67" s="208">
        <v>0.6</v>
      </c>
      <c r="P67" s="208">
        <v>0.6</v>
      </c>
      <c r="Q67" s="217">
        <f t="shared" si="0"/>
        <v>0.6</v>
      </c>
      <c r="R67" s="208">
        <v>14.6</v>
      </c>
      <c r="S67" s="208">
        <v>120</v>
      </c>
      <c r="T67" s="217">
        <f t="shared" si="1"/>
        <v>30</v>
      </c>
      <c r="U67" s="208">
        <v>646</v>
      </c>
      <c r="V67" s="217">
        <f t="shared" si="2"/>
        <v>3875.9999999999995</v>
      </c>
      <c r="W67" s="208">
        <v>6</v>
      </c>
      <c r="X67" s="55" t="s">
        <v>46</v>
      </c>
      <c r="Y67" s="55" t="s">
        <v>88</v>
      </c>
      <c r="Z67" s="208" t="s">
        <v>55</v>
      </c>
      <c r="AA67" s="55" t="s">
        <v>84</v>
      </c>
      <c r="AB67" s="39" t="s">
        <v>340</v>
      </c>
    </row>
    <row r="68" spans="1:28" x14ac:dyDescent="0.15">
      <c r="A68" s="55"/>
      <c r="B68" s="55"/>
      <c r="C68" s="216"/>
      <c r="D68" s="86"/>
      <c r="E68" s="216"/>
      <c r="F68" s="216"/>
      <c r="G68" s="55"/>
      <c r="H68" s="216"/>
      <c r="I68" s="55"/>
      <c r="J68" s="216"/>
      <c r="K68" s="216"/>
      <c r="X68" s="55"/>
      <c r="Y68" s="55"/>
      <c r="AA68" s="55"/>
    </row>
    <row r="69" spans="1:28" x14ac:dyDescent="0.15">
      <c r="A69" s="55"/>
      <c r="B69" s="55"/>
      <c r="C69" s="216"/>
      <c r="D69" s="86"/>
      <c r="E69" s="216"/>
      <c r="F69" s="216"/>
      <c r="G69" s="55"/>
      <c r="H69" s="216"/>
      <c r="I69" s="55"/>
      <c r="J69" s="216"/>
      <c r="K69" s="216"/>
      <c r="X69" s="55"/>
      <c r="Y69" s="55"/>
      <c r="AA69" s="55"/>
    </row>
    <row r="70" spans="1:28" x14ac:dyDescent="0.15">
      <c r="A70" s="55"/>
      <c r="B70" s="55"/>
      <c r="C70" s="216"/>
      <c r="D70" s="86"/>
      <c r="E70" s="216"/>
      <c r="F70" s="216"/>
      <c r="G70" s="55"/>
      <c r="H70" s="216"/>
      <c r="I70" s="55"/>
      <c r="J70" s="216"/>
      <c r="K70" s="216"/>
      <c r="X70" s="55"/>
      <c r="Y70" s="55"/>
      <c r="AA70" s="55"/>
    </row>
    <row r="71" spans="1:28" x14ac:dyDescent="0.15">
      <c r="A71" s="55"/>
      <c r="B71" s="55"/>
      <c r="C71" s="216"/>
      <c r="D71" s="86"/>
      <c r="E71" s="216"/>
      <c r="F71" s="216"/>
      <c r="G71" s="55"/>
      <c r="H71" s="216"/>
      <c r="I71" s="55"/>
      <c r="J71" s="216"/>
      <c r="K71" s="216"/>
      <c r="X71" s="55"/>
      <c r="Y71" s="55"/>
      <c r="AA71" s="55"/>
    </row>
    <row r="72" spans="1:28" x14ac:dyDescent="0.15">
      <c r="A72" s="55"/>
      <c r="B72" s="55"/>
      <c r="C72" s="216"/>
      <c r="D72" s="86"/>
      <c r="E72" s="216"/>
      <c r="F72" s="216"/>
      <c r="G72" s="55"/>
      <c r="H72" s="216"/>
      <c r="I72" s="55"/>
      <c r="J72" s="216"/>
      <c r="K72" s="216"/>
      <c r="X72" s="55"/>
      <c r="Y72" s="55"/>
      <c r="AA72" s="55"/>
    </row>
    <row r="73" spans="1:28" x14ac:dyDescent="0.15">
      <c r="A73" s="55"/>
      <c r="B73" s="55"/>
      <c r="C73" s="216"/>
      <c r="D73" s="86"/>
      <c r="E73" s="216"/>
      <c r="F73" s="216"/>
      <c r="G73" s="55"/>
      <c r="H73" s="216"/>
      <c r="I73" s="55"/>
      <c r="J73" s="216"/>
      <c r="K73" s="216"/>
      <c r="X73" s="55"/>
      <c r="Y73" s="55"/>
      <c r="AA73" s="55"/>
    </row>
    <row r="74" spans="1:28" x14ac:dyDescent="0.15">
      <c r="A74" s="55"/>
      <c r="B74" s="55"/>
      <c r="C74" s="216"/>
      <c r="D74" s="86"/>
      <c r="E74" s="216"/>
      <c r="F74" s="216"/>
      <c r="G74" s="55"/>
      <c r="H74" s="216"/>
      <c r="I74" s="55"/>
      <c r="J74" s="216"/>
      <c r="K74" s="216"/>
      <c r="X74" s="55"/>
      <c r="Y74" s="55"/>
      <c r="AA74" s="55"/>
    </row>
    <row r="75" spans="1:28" x14ac:dyDescent="0.15">
      <c r="A75" s="55"/>
      <c r="B75" s="55"/>
      <c r="C75" s="216"/>
      <c r="D75" s="86"/>
      <c r="E75" s="216"/>
      <c r="F75" s="216"/>
      <c r="G75" s="55"/>
      <c r="H75" s="216"/>
      <c r="I75" s="55"/>
      <c r="J75" s="216"/>
      <c r="K75" s="216"/>
      <c r="X75" s="55"/>
      <c r="Y75" s="55"/>
      <c r="AA75" s="55"/>
    </row>
    <row r="76" spans="1:28" x14ac:dyDescent="0.15">
      <c r="A76" s="55"/>
      <c r="B76" s="55"/>
      <c r="C76" s="216"/>
      <c r="D76" s="86"/>
      <c r="E76" s="216"/>
      <c r="F76" s="216"/>
      <c r="G76" s="55"/>
      <c r="H76" s="216"/>
      <c r="I76" s="55"/>
      <c r="J76" s="216"/>
      <c r="K76" s="216"/>
      <c r="X76" s="55"/>
      <c r="Y76" s="55"/>
      <c r="AA76" s="55"/>
    </row>
    <row r="77" spans="1:28" x14ac:dyDescent="0.15">
      <c r="A77" s="55"/>
      <c r="B77" s="55"/>
      <c r="C77" s="216"/>
      <c r="D77" s="86"/>
      <c r="E77" s="216"/>
      <c r="F77" s="216"/>
      <c r="G77" s="55"/>
      <c r="H77" s="216"/>
      <c r="I77" s="55"/>
      <c r="J77" s="216"/>
      <c r="K77" s="216"/>
      <c r="X77" s="55"/>
      <c r="Y77" s="55"/>
      <c r="AA77" s="55"/>
    </row>
    <row r="78" spans="1:28" x14ac:dyDescent="0.15">
      <c r="A78" s="55"/>
      <c r="B78" s="55"/>
      <c r="C78" s="216"/>
      <c r="D78" s="86"/>
      <c r="E78" s="216"/>
      <c r="F78" s="216"/>
      <c r="G78" s="55"/>
      <c r="H78" s="216"/>
      <c r="I78" s="55"/>
      <c r="J78" s="216"/>
      <c r="K78" s="216"/>
      <c r="X78" s="55"/>
      <c r="Y78" s="55"/>
      <c r="AA78" s="55"/>
    </row>
    <row r="79" spans="1:28" x14ac:dyDescent="0.15">
      <c r="A79" s="55"/>
      <c r="B79" s="55"/>
      <c r="C79" s="216"/>
      <c r="D79" s="86"/>
      <c r="E79" s="216"/>
      <c r="F79" s="216"/>
      <c r="G79" s="55"/>
      <c r="H79" s="216"/>
      <c r="I79" s="55"/>
      <c r="J79" s="216"/>
      <c r="K79" s="216"/>
      <c r="X79" s="55"/>
      <c r="Y79" s="55"/>
      <c r="AA79" s="55"/>
    </row>
    <row r="80" spans="1:28"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5"/>
  <sheetViews>
    <sheetView zoomScale="85" zoomScaleNormal="85" workbookViewId="0">
      <selection activeCell="M75" sqref="M75"/>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176</v>
      </c>
      <c r="C1" s="90" t="s">
        <v>177</v>
      </c>
      <c r="D1" s="91" t="s">
        <v>3</v>
      </c>
      <c r="E1" s="92" t="s">
        <v>4</v>
      </c>
      <c r="F1" s="92" t="s">
        <v>5</v>
      </c>
      <c r="G1" s="92" t="s">
        <v>6</v>
      </c>
      <c r="H1" s="92" t="s">
        <v>7</v>
      </c>
      <c r="I1" s="92" t="s">
        <v>8</v>
      </c>
      <c r="J1" s="92" t="s">
        <v>9</v>
      </c>
      <c r="K1" s="92" t="s">
        <v>10</v>
      </c>
      <c r="L1" s="91" t="s">
        <v>178</v>
      </c>
      <c r="M1" s="91" t="s">
        <v>179</v>
      </c>
      <c r="N1" s="91" t="s">
        <v>13</v>
      </c>
      <c r="O1" s="91" t="s">
        <v>180</v>
      </c>
      <c r="P1" s="91" t="s">
        <v>181</v>
      </c>
      <c r="Q1" s="93" t="s">
        <v>182</v>
      </c>
      <c r="R1" s="91" t="s">
        <v>183</v>
      </c>
      <c r="S1" s="91" t="s">
        <v>184</v>
      </c>
      <c r="T1" s="93" t="s">
        <v>19</v>
      </c>
      <c r="U1" s="94" t="s">
        <v>108</v>
      </c>
      <c r="V1" s="95" t="s">
        <v>20</v>
      </c>
      <c r="W1" s="91" t="s">
        <v>185</v>
      </c>
      <c r="X1" s="92" t="s">
        <v>22</v>
      </c>
      <c r="Y1" s="92" t="s">
        <v>23</v>
      </c>
      <c r="Z1" s="92" t="s">
        <v>24</v>
      </c>
      <c r="AA1" s="96" t="s">
        <v>25</v>
      </c>
      <c r="AB1" s="97" t="s">
        <v>186</v>
      </c>
      <c r="AE1" s="99" t="s">
        <v>0</v>
      </c>
      <c r="AF1" s="100"/>
      <c r="AG1" s="99" t="s">
        <v>4</v>
      </c>
      <c r="AH1" s="99" t="s">
        <v>5</v>
      </c>
      <c r="AI1" s="100"/>
      <c r="AJ1" s="99" t="s">
        <v>6</v>
      </c>
      <c r="AK1" s="100"/>
      <c r="AL1" s="101" t="s">
        <v>7</v>
      </c>
      <c r="AM1" s="100"/>
      <c r="AN1" s="101" t="s">
        <v>8</v>
      </c>
      <c r="AO1" s="100"/>
      <c r="AP1" s="101" t="s">
        <v>27</v>
      </c>
      <c r="AQ1" s="100"/>
      <c r="AR1" s="101" t="s">
        <v>10</v>
      </c>
      <c r="AS1" s="100"/>
      <c r="AT1" s="102" t="s">
        <v>187</v>
      </c>
      <c r="AU1" s="100"/>
      <c r="AV1" s="101" t="s">
        <v>29</v>
      </c>
      <c r="AX1" s="103" t="s">
        <v>188</v>
      </c>
      <c r="AY1" s="104" t="s">
        <v>189</v>
      </c>
      <c r="AZ1" s="104" t="s">
        <v>190</v>
      </c>
      <c r="BA1" s="105" t="s">
        <v>191</v>
      </c>
    </row>
    <row r="2" spans="1:53" s="246" customFormat="1" x14ac:dyDescent="0.15">
      <c r="A2" s="246" t="s">
        <v>51</v>
      </c>
      <c r="B2" s="246" t="s">
        <v>338</v>
      </c>
      <c r="C2" s="246">
        <v>2018</v>
      </c>
      <c r="D2" s="106" t="s">
        <v>412</v>
      </c>
      <c r="E2" s="246" t="s">
        <v>192</v>
      </c>
      <c r="F2" s="246" t="s">
        <v>193</v>
      </c>
      <c r="G2" s="246" t="s">
        <v>42</v>
      </c>
      <c r="H2" s="246" t="s">
        <v>157</v>
      </c>
      <c r="I2" s="246" t="s">
        <v>155</v>
      </c>
      <c r="J2" s="246" t="s">
        <v>38</v>
      </c>
      <c r="K2" s="246" t="s">
        <v>156</v>
      </c>
      <c r="L2" s="246">
        <v>1</v>
      </c>
      <c r="N2" s="246">
        <v>1</v>
      </c>
      <c r="O2" s="246">
        <v>0.75</v>
      </c>
      <c r="P2" s="246">
        <v>0.95</v>
      </c>
      <c r="Q2" s="107">
        <f t="shared" ref="Q2:Q65" si="0">IF(OR(O2="",P2=""),"",AVERAGE(O2,P2))</f>
        <v>0.85</v>
      </c>
      <c r="R2" s="246">
        <v>15.3</v>
      </c>
      <c r="S2" s="246">
        <v>132</v>
      </c>
      <c r="T2" s="108">
        <f t="shared" ref="T2:T65" si="1">IF(H2="","",IF(OR(H2="GREEN",H2="GK"),IF(S2&gt;=$AX$2,VLOOKUP(S2,$AX$2:$AY$12,2,1),""),IF(S2&gt;=$AZ$2,VLOOKUP(S2,$AZ$2:$BA$12,2,1),"")))</f>
        <v>25</v>
      </c>
      <c r="U2" s="246">
        <v>98</v>
      </c>
      <c r="V2" s="109">
        <f t="shared" ref="V2:V65" si="2">IF(OR(N2="",U2="",T2=""),"",U2/N2*T2)</f>
        <v>2450</v>
      </c>
      <c r="W2" s="246">
        <v>4</v>
      </c>
      <c r="X2" s="246" t="s">
        <v>46</v>
      </c>
      <c r="Y2" s="246" t="s">
        <v>88</v>
      </c>
      <c r="Z2" s="246" t="s">
        <v>69</v>
      </c>
      <c r="AA2" s="246" t="s">
        <v>78</v>
      </c>
      <c r="AB2" s="246" t="s">
        <v>340</v>
      </c>
      <c r="AE2" s="110" t="s">
        <v>35</v>
      </c>
      <c r="AG2" s="111" t="s">
        <v>169</v>
      </c>
      <c r="AH2" s="111" t="s">
        <v>194</v>
      </c>
      <c r="AJ2" s="111" t="s">
        <v>36</v>
      </c>
      <c r="AL2" s="111" t="s">
        <v>195</v>
      </c>
      <c r="AN2" s="111" t="s">
        <v>37</v>
      </c>
      <c r="AP2" s="111" t="s">
        <v>38</v>
      </c>
      <c r="AR2" s="111" t="s">
        <v>156</v>
      </c>
      <c r="AT2" s="111" t="s">
        <v>39</v>
      </c>
      <c r="AV2" s="111" t="s">
        <v>40</v>
      </c>
      <c r="AX2" s="112">
        <v>1</v>
      </c>
      <c r="AY2" s="113">
        <v>50</v>
      </c>
      <c r="AZ2" s="113">
        <v>1</v>
      </c>
      <c r="BA2" s="114">
        <v>50</v>
      </c>
    </row>
    <row r="3" spans="1:53" s="115" customFormat="1" x14ac:dyDescent="0.15">
      <c r="A3" s="246" t="s">
        <v>51</v>
      </c>
      <c r="B3" s="246" t="s">
        <v>338</v>
      </c>
      <c r="C3" s="246">
        <v>2018</v>
      </c>
      <c r="D3" s="106" t="s">
        <v>412</v>
      </c>
      <c r="E3" s="246" t="s">
        <v>192</v>
      </c>
      <c r="F3" s="246" t="s">
        <v>193</v>
      </c>
      <c r="G3" s="246" t="s">
        <v>42</v>
      </c>
      <c r="H3" s="246" t="s">
        <v>157</v>
      </c>
      <c r="I3" s="246" t="s">
        <v>155</v>
      </c>
      <c r="J3" s="246" t="s">
        <v>38</v>
      </c>
      <c r="K3" s="246" t="s">
        <v>156</v>
      </c>
      <c r="L3" s="246">
        <v>2</v>
      </c>
      <c r="M3" s="246"/>
      <c r="N3" s="246">
        <v>1</v>
      </c>
      <c r="O3" s="246">
        <v>0.8</v>
      </c>
      <c r="P3" s="246">
        <v>0.8</v>
      </c>
      <c r="Q3" s="107">
        <f t="shared" si="0"/>
        <v>0.8</v>
      </c>
      <c r="R3" s="246">
        <v>15.5</v>
      </c>
      <c r="S3" s="246">
        <v>132</v>
      </c>
      <c r="T3" s="108">
        <f t="shared" si="1"/>
        <v>25</v>
      </c>
      <c r="U3" s="246">
        <v>98</v>
      </c>
      <c r="V3" s="109">
        <f t="shared" si="2"/>
        <v>2450</v>
      </c>
      <c r="W3" s="246">
        <v>4</v>
      </c>
      <c r="X3" s="246" t="s">
        <v>46</v>
      </c>
      <c r="Y3" s="246" t="s">
        <v>88</v>
      </c>
      <c r="Z3" s="246" t="s">
        <v>69</v>
      </c>
      <c r="AA3" s="246" t="s">
        <v>78</v>
      </c>
      <c r="AB3" s="246" t="s">
        <v>340</v>
      </c>
      <c r="AE3" s="116" t="s">
        <v>41</v>
      </c>
      <c r="AG3" s="111" t="s">
        <v>196</v>
      </c>
      <c r="AH3" s="111" t="s">
        <v>197</v>
      </c>
      <c r="AJ3" s="117" t="s">
        <v>42</v>
      </c>
      <c r="AL3" s="117" t="s">
        <v>198</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338</v>
      </c>
      <c r="C4" s="246">
        <v>2018</v>
      </c>
      <c r="D4" s="106" t="s">
        <v>412</v>
      </c>
      <c r="E4" s="246" t="s">
        <v>192</v>
      </c>
      <c r="F4" s="246" t="s">
        <v>193</v>
      </c>
      <c r="G4" s="246" t="s">
        <v>42</v>
      </c>
      <c r="H4" s="246" t="s">
        <v>157</v>
      </c>
      <c r="I4" s="246" t="s">
        <v>155</v>
      </c>
      <c r="J4" s="246" t="s">
        <v>38</v>
      </c>
      <c r="K4" s="246" t="s">
        <v>156</v>
      </c>
      <c r="L4" s="246">
        <v>3</v>
      </c>
      <c r="M4" s="246"/>
      <c r="N4" s="246">
        <v>1</v>
      </c>
      <c r="O4" s="246">
        <v>0.7</v>
      </c>
      <c r="P4" s="246">
        <v>0.85</v>
      </c>
      <c r="Q4" s="107">
        <f t="shared" si="0"/>
        <v>0.77499999999999991</v>
      </c>
      <c r="R4" s="246">
        <v>16.100000000000001</v>
      </c>
      <c r="S4" s="246">
        <v>132</v>
      </c>
      <c r="T4" s="108">
        <f t="shared" si="1"/>
        <v>25</v>
      </c>
      <c r="U4" s="246">
        <v>98</v>
      </c>
      <c r="V4" s="109">
        <f t="shared" si="2"/>
        <v>2450</v>
      </c>
      <c r="W4" s="246">
        <v>4</v>
      </c>
      <c r="X4" s="246" t="s">
        <v>46</v>
      </c>
      <c r="Y4" s="246" t="s">
        <v>88</v>
      </c>
      <c r="Z4" s="246" t="s">
        <v>69</v>
      </c>
      <c r="AA4" s="246" t="s">
        <v>78</v>
      </c>
      <c r="AB4" s="246" t="s">
        <v>340</v>
      </c>
      <c r="AE4" s="116" t="s">
        <v>34</v>
      </c>
      <c r="AG4" s="111" t="s">
        <v>199</v>
      </c>
      <c r="AH4" s="111" t="s">
        <v>200</v>
      </c>
      <c r="AJ4" s="122" t="s">
        <v>48</v>
      </c>
      <c r="AL4" s="122" t="s">
        <v>201</v>
      </c>
      <c r="AN4" s="123" t="s">
        <v>202</v>
      </c>
      <c r="AP4" s="117" t="s">
        <v>203</v>
      </c>
      <c r="AR4" s="118" t="s">
        <v>204</v>
      </c>
      <c r="AT4" s="123"/>
      <c r="AV4" s="117" t="s">
        <v>50</v>
      </c>
      <c r="AX4" s="119">
        <v>75</v>
      </c>
      <c r="AY4" s="120">
        <v>42</v>
      </c>
      <c r="AZ4" s="120">
        <v>76</v>
      </c>
      <c r="BA4" s="121">
        <v>39</v>
      </c>
    </row>
    <row r="5" spans="1:53" s="115" customFormat="1" x14ac:dyDescent="0.15">
      <c r="A5" s="246" t="s">
        <v>51</v>
      </c>
      <c r="B5" s="246" t="s">
        <v>338</v>
      </c>
      <c r="C5" s="246">
        <v>2018</v>
      </c>
      <c r="D5" s="106" t="s">
        <v>412</v>
      </c>
      <c r="E5" s="246" t="s">
        <v>192</v>
      </c>
      <c r="F5" s="246" t="s">
        <v>193</v>
      </c>
      <c r="G5" s="246" t="s">
        <v>42</v>
      </c>
      <c r="H5" s="246" t="s">
        <v>195</v>
      </c>
      <c r="I5" s="246" t="s">
        <v>155</v>
      </c>
      <c r="J5" s="246" t="s">
        <v>80</v>
      </c>
      <c r="K5" s="246" t="s">
        <v>45</v>
      </c>
      <c r="L5" s="246">
        <v>1</v>
      </c>
      <c r="M5" s="246"/>
      <c r="N5" s="246">
        <v>4</v>
      </c>
      <c r="O5" s="246">
        <v>0.55000000000000004</v>
      </c>
      <c r="P5" s="246">
        <v>0.7</v>
      </c>
      <c r="Q5" s="107">
        <f t="shared" si="0"/>
        <v>0.625</v>
      </c>
      <c r="R5" s="246">
        <v>14.2</v>
      </c>
      <c r="S5" s="246">
        <v>85</v>
      </c>
      <c r="T5" s="108">
        <f t="shared" si="1"/>
        <v>36</v>
      </c>
      <c r="U5" s="246">
        <v>298</v>
      </c>
      <c r="V5" s="109">
        <f t="shared" si="2"/>
        <v>2682</v>
      </c>
      <c r="W5" s="246">
        <v>4</v>
      </c>
      <c r="X5" s="246" t="s">
        <v>46</v>
      </c>
      <c r="Y5" s="246" t="s">
        <v>88</v>
      </c>
      <c r="Z5" s="246" t="s">
        <v>69</v>
      </c>
      <c r="AA5" s="246" t="s">
        <v>78</v>
      </c>
      <c r="AB5" s="246" t="s">
        <v>340</v>
      </c>
      <c r="AE5" s="116" t="s">
        <v>51</v>
      </c>
      <c r="AG5" s="111" t="s">
        <v>205</v>
      </c>
      <c r="AH5" s="111" t="s">
        <v>193</v>
      </c>
      <c r="AJ5" s="123"/>
      <c r="AL5" s="124" t="s">
        <v>157</v>
      </c>
      <c r="AN5" s="124" t="s">
        <v>155</v>
      </c>
      <c r="AP5" s="117" t="s">
        <v>206</v>
      </c>
      <c r="AR5" s="118" t="s">
        <v>54</v>
      </c>
      <c r="AV5" s="117" t="s">
        <v>55</v>
      </c>
      <c r="AX5" s="119">
        <v>84</v>
      </c>
      <c r="AY5" s="120">
        <v>39</v>
      </c>
      <c r="AZ5" s="120">
        <v>84</v>
      </c>
      <c r="BA5" s="121">
        <v>36</v>
      </c>
    </row>
    <row r="6" spans="1:53" s="115" customFormat="1" x14ac:dyDescent="0.15">
      <c r="A6" s="246" t="s">
        <v>51</v>
      </c>
      <c r="B6" s="246" t="s">
        <v>338</v>
      </c>
      <c r="C6" s="246">
        <v>2018</v>
      </c>
      <c r="D6" s="106" t="s">
        <v>412</v>
      </c>
      <c r="E6" s="246" t="s">
        <v>192</v>
      </c>
      <c r="F6" s="246" t="s">
        <v>193</v>
      </c>
      <c r="G6" s="246" t="s">
        <v>42</v>
      </c>
      <c r="H6" s="246" t="s">
        <v>195</v>
      </c>
      <c r="I6" s="246" t="s">
        <v>155</v>
      </c>
      <c r="J6" s="246" t="s">
        <v>80</v>
      </c>
      <c r="K6" s="246" t="s">
        <v>45</v>
      </c>
      <c r="L6" s="246">
        <v>2</v>
      </c>
      <c r="M6" s="246"/>
      <c r="N6" s="246">
        <v>4</v>
      </c>
      <c r="O6" s="246">
        <v>0.25</v>
      </c>
      <c r="P6" s="246">
        <v>0.25</v>
      </c>
      <c r="Q6" s="107">
        <f t="shared" si="0"/>
        <v>0.25</v>
      </c>
      <c r="R6" s="246">
        <v>13.5</v>
      </c>
      <c r="S6" s="246">
        <v>79</v>
      </c>
      <c r="T6" s="108">
        <f t="shared" si="1"/>
        <v>39</v>
      </c>
      <c r="U6" s="246">
        <v>298</v>
      </c>
      <c r="V6" s="109">
        <f t="shared" si="2"/>
        <v>2905.5</v>
      </c>
      <c r="W6" s="246">
        <v>4</v>
      </c>
      <c r="X6" s="246" t="s">
        <v>46</v>
      </c>
      <c r="Y6" s="246" t="s">
        <v>88</v>
      </c>
      <c r="Z6" s="246" t="s">
        <v>69</v>
      </c>
      <c r="AA6" s="246" t="s">
        <v>78</v>
      </c>
      <c r="AB6" s="246" t="s">
        <v>340</v>
      </c>
      <c r="AE6" s="116" t="s">
        <v>56</v>
      </c>
      <c r="AG6" s="111" t="s">
        <v>207</v>
      </c>
      <c r="AH6" s="111" t="s">
        <v>208</v>
      </c>
      <c r="AL6" s="124" t="s">
        <v>209</v>
      </c>
      <c r="AN6" s="124" t="s">
        <v>158</v>
      </c>
      <c r="AP6" s="117" t="s">
        <v>53</v>
      </c>
      <c r="AR6" s="118" t="s">
        <v>59</v>
      </c>
      <c r="AV6" s="117" t="s">
        <v>60</v>
      </c>
      <c r="AX6" s="119">
        <v>97</v>
      </c>
      <c r="AY6" s="120">
        <v>36</v>
      </c>
      <c r="AZ6" s="120">
        <v>99</v>
      </c>
      <c r="BA6" s="121">
        <v>33</v>
      </c>
    </row>
    <row r="7" spans="1:53" s="115" customFormat="1" x14ac:dyDescent="0.15">
      <c r="A7" s="246" t="s">
        <v>51</v>
      </c>
      <c r="B7" s="246" t="s">
        <v>338</v>
      </c>
      <c r="C7" s="246">
        <v>2018</v>
      </c>
      <c r="D7" s="106" t="s">
        <v>412</v>
      </c>
      <c r="E7" s="246" t="s">
        <v>192</v>
      </c>
      <c r="F7" s="246" t="s">
        <v>193</v>
      </c>
      <c r="G7" s="246" t="s">
        <v>42</v>
      </c>
      <c r="H7" s="246" t="s">
        <v>195</v>
      </c>
      <c r="I7" s="246" t="s">
        <v>155</v>
      </c>
      <c r="J7" s="246" t="s">
        <v>80</v>
      </c>
      <c r="K7" s="246" t="s">
        <v>45</v>
      </c>
      <c r="L7" s="246">
        <v>3</v>
      </c>
      <c r="M7" s="246"/>
      <c r="N7" s="246">
        <v>4</v>
      </c>
      <c r="O7" s="246">
        <v>0.65</v>
      </c>
      <c r="P7" s="246">
        <v>0.55000000000000004</v>
      </c>
      <c r="Q7" s="107">
        <f t="shared" si="0"/>
        <v>0.60000000000000009</v>
      </c>
      <c r="R7" s="246">
        <v>13.8</v>
      </c>
      <c r="S7" s="246">
        <v>84</v>
      </c>
      <c r="T7" s="108">
        <f t="shared" si="1"/>
        <v>36</v>
      </c>
      <c r="U7" s="246">
        <v>298</v>
      </c>
      <c r="V7" s="109">
        <f t="shared" si="2"/>
        <v>2682</v>
      </c>
      <c r="W7" s="246">
        <v>4</v>
      </c>
      <c r="X7" s="246" t="s">
        <v>46</v>
      </c>
      <c r="Y7" s="246" t="s">
        <v>88</v>
      </c>
      <c r="Z7" s="246" t="s">
        <v>69</v>
      </c>
      <c r="AA7" s="246" t="s">
        <v>78</v>
      </c>
      <c r="AB7" s="246" t="s">
        <v>340</v>
      </c>
      <c r="AE7" s="116" t="s">
        <v>61</v>
      </c>
      <c r="AG7" s="111" t="s">
        <v>210</v>
      </c>
      <c r="AH7" s="111" t="s">
        <v>194</v>
      </c>
      <c r="AL7" s="115" t="s">
        <v>211</v>
      </c>
      <c r="AP7" s="117" t="s">
        <v>58</v>
      </c>
      <c r="AR7" s="118" t="s">
        <v>212</v>
      </c>
      <c r="AV7" s="117" t="s">
        <v>64</v>
      </c>
      <c r="AX7" s="119">
        <v>109</v>
      </c>
      <c r="AY7" s="120">
        <v>33</v>
      </c>
      <c r="AZ7" s="120">
        <v>113</v>
      </c>
      <c r="BA7" s="121">
        <v>30</v>
      </c>
    </row>
    <row r="8" spans="1:53" s="115" customFormat="1" x14ac:dyDescent="0.15">
      <c r="A8" s="246" t="s">
        <v>51</v>
      </c>
      <c r="B8" s="246" t="s">
        <v>338</v>
      </c>
      <c r="C8" s="246">
        <v>2018</v>
      </c>
      <c r="D8" s="106" t="s">
        <v>412</v>
      </c>
      <c r="E8" s="246" t="s">
        <v>192</v>
      </c>
      <c r="F8" s="246" t="s">
        <v>193</v>
      </c>
      <c r="G8" s="246" t="s">
        <v>42</v>
      </c>
      <c r="H8" s="246" t="s">
        <v>166</v>
      </c>
      <c r="I8" s="246" t="s">
        <v>155</v>
      </c>
      <c r="J8" s="246" t="s">
        <v>38</v>
      </c>
      <c r="K8" s="246" t="s">
        <v>156</v>
      </c>
      <c r="L8" s="246">
        <v>1</v>
      </c>
      <c r="M8" s="246"/>
      <c r="N8" s="246">
        <v>1</v>
      </c>
      <c r="O8" s="246">
        <v>0.65</v>
      </c>
      <c r="P8" s="246">
        <v>0.65</v>
      </c>
      <c r="Q8" s="107">
        <f t="shared" si="0"/>
        <v>0.65</v>
      </c>
      <c r="R8" s="246">
        <v>16.399999999999999</v>
      </c>
      <c r="S8" s="246">
        <v>128</v>
      </c>
      <c r="T8" s="108">
        <f t="shared" si="1"/>
        <v>27</v>
      </c>
      <c r="U8" s="246">
        <v>128</v>
      </c>
      <c r="V8" s="109">
        <f t="shared" si="2"/>
        <v>3456</v>
      </c>
      <c r="W8" s="246">
        <v>4</v>
      </c>
      <c r="X8" s="246" t="s">
        <v>46</v>
      </c>
      <c r="Y8" s="246" t="s">
        <v>88</v>
      </c>
      <c r="Z8" s="246" t="s">
        <v>69</v>
      </c>
      <c r="AA8" s="246" t="s">
        <v>78</v>
      </c>
      <c r="AB8" s="246" t="s">
        <v>340</v>
      </c>
      <c r="AE8" s="116" t="s">
        <v>59</v>
      </c>
      <c r="AG8" s="111" t="s">
        <v>213</v>
      </c>
      <c r="AH8" s="111" t="s">
        <v>214</v>
      </c>
      <c r="AL8" s="115" t="s">
        <v>166</v>
      </c>
      <c r="AP8" s="117" t="s">
        <v>62</v>
      </c>
      <c r="AR8" s="118" t="s">
        <v>81</v>
      </c>
      <c r="AV8" s="117" t="s">
        <v>97</v>
      </c>
      <c r="AX8" s="119">
        <v>119</v>
      </c>
      <c r="AY8" s="120">
        <v>30</v>
      </c>
      <c r="AZ8" s="120">
        <v>121</v>
      </c>
      <c r="BA8" s="121">
        <v>27</v>
      </c>
    </row>
    <row r="9" spans="1:53" s="115" customFormat="1" x14ac:dyDescent="0.15">
      <c r="A9" s="246" t="s">
        <v>51</v>
      </c>
      <c r="B9" s="246" t="s">
        <v>338</v>
      </c>
      <c r="C9" s="246">
        <v>2018</v>
      </c>
      <c r="D9" s="106" t="s">
        <v>412</v>
      </c>
      <c r="E9" s="246" t="s">
        <v>192</v>
      </c>
      <c r="F9" s="246" t="s">
        <v>193</v>
      </c>
      <c r="G9" s="246" t="s">
        <v>42</v>
      </c>
      <c r="H9" s="246" t="s">
        <v>166</v>
      </c>
      <c r="I9" s="246" t="s">
        <v>155</v>
      </c>
      <c r="J9" s="246" t="s">
        <v>38</v>
      </c>
      <c r="K9" s="246" t="s">
        <v>156</v>
      </c>
      <c r="L9" s="246">
        <v>2</v>
      </c>
      <c r="M9" s="246"/>
      <c r="N9" s="246">
        <v>1</v>
      </c>
      <c r="O9" s="246">
        <v>0.7</v>
      </c>
      <c r="P9" s="246">
        <v>0.6</v>
      </c>
      <c r="Q9" s="107">
        <f t="shared" si="0"/>
        <v>0.64999999999999991</v>
      </c>
      <c r="R9" s="246">
        <v>17.2</v>
      </c>
      <c r="S9" s="246">
        <v>136</v>
      </c>
      <c r="T9" s="108">
        <f t="shared" si="1"/>
        <v>25</v>
      </c>
      <c r="U9" s="246">
        <v>128</v>
      </c>
      <c r="V9" s="109">
        <f t="shared" si="2"/>
        <v>3200</v>
      </c>
      <c r="W9" s="246">
        <v>4</v>
      </c>
      <c r="X9" s="246" t="s">
        <v>46</v>
      </c>
      <c r="Y9" s="246" t="s">
        <v>88</v>
      </c>
      <c r="Z9" s="246" t="s">
        <v>69</v>
      </c>
      <c r="AA9" s="246" t="s">
        <v>78</v>
      </c>
      <c r="AB9" s="246" t="s">
        <v>340</v>
      </c>
      <c r="AE9" s="116" t="s">
        <v>215</v>
      </c>
      <c r="AG9" s="111" t="s">
        <v>216</v>
      </c>
      <c r="AH9" s="111" t="s">
        <v>193</v>
      </c>
      <c r="AL9" s="124"/>
      <c r="AP9" s="117" t="s">
        <v>95</v>
      </c>
      <c r="AR9" s="118" t="s">
        <v>217</v>
      </c>
      <c r="AV9" s="117" t="s">
        <v>102</v>
      </c>
      <c r="AX9" s="119">
        <v>128</v>
      </c>
      <c r="AY9" s="120">
        <v>27</v>
      </c>
      <c r="AZ9" s="120">
        <v>129</v>
      </c>
      <c r="BA9" s="121">
        <v>25</v>
      </c>
    </row>
    <row r="10" spans="1:53" s="115" customFormat="1" x14ac:dyDescent="0.15">
      <c r="A10" s="246" t="s">
        <v>51</v>
      </c>
      <c r="B10" s="246" t="s">
        <v>338</v>
      </c>
      <c r="C10" s="246">
        <v>2018</v>
      </c>
      <c r="D10" s="106" t="s">
        <v>412</v>
      </c>
      <c r="E10" s="246" t="s">
        <v>192</v>
      </c>
      <c r="F10" s="246" t="s">
        <v>193</v>
      </c>
      <c r="G10" s="246" t="s">
        <v>42</v>
      </c>
      <c r="H10" s="246" t="s">
        <v>166</v>
      </c>
      <c r="I10" s="246" t="s">
        <v>155</v>
      </c>
      <c r="J10" s="246" t="s">
        <v>38</v>
      </c>
      <c r="K10" s="246" t="s">
        <v>156</v>
      </c>
      <c r="L10" s="246">
        <v>3</v>
      </c>
      <c r="M10" s="246"/>
      <c r="N10" s="246">
        <v>1</v>
      </c>
      <c r="O10" s="246">
        <v>0.65</v>
      </c>
      <c r="P10" s="246">
        <v>0.75</v>
      </c>
      <c r="Q10" s="107">
        <f t="shared" si="0"/>
        <v>0.7</v>
      </c>
      <c r="R10" s="246">
        <v>16.899999999999999</v>
      </c>
      <c r="S10" s="246">
        <v>136</v>
      </c>
      <c r="T10" s="108">
        <f t="shared" si="1"/>
        <v>25</v>
      </c>
      <c r="U10" s="246">
        <v>128</v>
      </c>
      <c r="V10" s="109">
        <f t="shared" si="2"/>
        <v>3200</v>
      </c>
      <c r="W10" s="246">
        <v>4</v>
      </c>
      <c r="X10" s="246" t="s">
        <v>46</v>
      </c>
      <c r="Y10" s="246" t="s">
        <v>88</v>
      </c>
      <c r="Z10" s="246" t="s">
        <v>69</v>
      </c>
      <c r="AA10" s="246" t="s">
        <v>78</v>
      </c>
      <c r="AB10" s="246" t="s">
        <v>340</v>
      </c>
      <c r="AE10" s="116" t="s">
        <v>218</v>
      </c>
      <c r="AG10" s="111" t="s">
        <v>192</v>
      </c>
      <c r="AH10" s="117" t="s">
        <v>193</v>
      </c>
      <c r="AP10" s="117" t="s">
        <v>100</v>
      </c>
      <c r="AR10" s="118" t="s">
        <v>219</v>
      </c>
      <c r="AV10" s="117" t="s">
        <v>106</v>
      </c>
      <c r="AX10" s="119">
        <v>138</v>
      </c>
      <c r="AY10" s="120">
        <v>25</v>
      </c>
      <c r="AZ10" s="120">
        <v>138</v>
      </c>
      <c r="BA10" s="121">
        <v>22</v>
      </c>
    </row>
    <row r="11" spans="1:53" s="115" customFormat="1" x14ac:dyDescent="0.15">
      <c r="A11" s="246" t="s">
        <v>51</v>
      </c>
      <c r="B11" s="246" t="s">
        <v>338</v>
      </c>
      <c r="C11" s="246">
        <v>2018</v>
      </c>
      <c r="D11" s="106" t="s">
        <v>412</v>
      </c>
      <c r="E11" s="246" t="s">
        <v>196</v>
      </c>
      <c r="F11" s="246" t="s">
        <v>197</v>
      </c>
      <c r="G11" s="246" t="s">
        <v>36</v>
      </c>
      <c r="H11" s="246" t="s">
        <v>157</v>
      </c>
      <c r="I11" s="246" t="s">
        <v>155</v>
      </c>
      <c r="J11" s="246" t="s">
        <v>38</v>
      </c>
      <c r="K11" s="246" t="s">
        <v>156</v>
      </c>
      <c r="L11" s="246">
        <v>1</v>
      </c>
      <c r="M11" s="246"/>
      <c r="N11" s="246">
        <v>3</v>
      </c>
      <c r="O11" s="246">
        <v>0.9</v>
      </c>
      <c r="P11" s="246">
        <v>1</v>
      </c>
      <c r="Q11" s="107">
        <f t="shared" si="0"/>
        <v>0.95</v>
      </c>
      <c r="R11" s="246">
        <v>15</v>
      </c>
      <c r="S11" s="246">
        <v>164</v>
      </c>
      <c r="T11" s="108">
        <f t="shared" si="1"/>
        <v>18</v>
      </c>
      <c r="U11" s="246">
        <v>398</v>
      </c>
      <c r="V11" s="109">
        <f t="shared" si="2"/>
        <v>2388</v>
      </c>
      <c r="W11" s="246">
        <v>8</v>
      </c>
      <c r="X11" s="246" t="s">
        <v>46</v>
      </c>
      <c r="Y11" s="246" t="s">
        <v>88</v>
      </c>
      <c r="Z11" s="246" t="s">
        <v>55</v>
      </c>
      <c r="AA11" s="246" t="s">
        <v>90</v>
      </c>
      <c r="AB11" s="246" t="s">
        <v>340</v>
      </c>
      <c r="AE11" s="116" t="s">
        <v>68</v>
      </c>
      <c r="AG11" s="111" t="s">
        <v>139</v>
      </c>
      <c r="AH11" s="117" t="s">
        <v>413</v>
      </c>
      <c r="AP11" s="117" t="s">
        <v>104</v>
      </c>
      <c r="AR11" s="118" t="s">
        <v>220</v>
      </c>
      <c r="AV11" s="117" t="s">
        <v>69</v>
      </c>
      <c r="AX11" s="119">
        <v>151</v>
      </c>
      <c r="AY11" s="120">
        <v>22</v>
      </c>
      <c r="AZ11" s="120">
        <v>152</v>
      </c>
      <c r="BA11" s="121">
        <v>18</v>
      </c>
    </row>
    <row r="12" spans="1:53" s="115" customFormat="1" x14ac:dyDescent="0.15">
      <c r="A12" s="246" t="s">
        <v>51</v>
      </c>
      <c r="B12" s="246" t="s">
        <v>338</v>
      </c>
      <c r="C12" s="246">
        <v>2018</v>
      </c>
      <c r="D12" s="106" t="s">
        <v>412</v>
      </c>
      <c r="E12" s="246" t="s">
        <v>196</v>
      </c>
      <c r="F12" s="246" t="s">
        <v>197</v>
      </c>
      <c r="G12" s="246" t="s">
        <v>36</v>
      </c>
      <c r="H12" s="246" t="s">
        <v>157</v>
      </c>
      <c r="I12" s="246" t="s">
        <v>155</v>
      </c>
      <c r="J12" s="246" t="s">
        <v>38</v>
      </c>
      <c r="K12" s="246" t="s">
        <v>156</v>
      </c>
      <c r="L12" s="246">
        <v>2</v>
      </c>
      <c r="M12" s="246"/>
      <c r="N12" s="246">
        <v>3</v>
      </c>
      <c r="O12" s="246">
        <v>1.1000000000000001</v>
      </c>
      <c r="P12" s="246">
        <v>0.95</v>
      </c>
      <c r="Q12" s="107">
        <f t="shared" si="0"/>
        <v>1.0249999999999999</v>
      </c>
      <c r="R12" s="246">
        <v>14.6</v>
      </c>
      <c r="S12" s="246">
        <v>154</v>
      </c>
      <c r="T12" s="108">
        <f t="shared" si="1"/>
        <v>18</v>
      </c>
      <c r="U12" s="246">
        <v>398</v>
      </c>
      <c r="V12" s="109">
        <f t="shared" si="2"/>
        <v>2388</v>
      </c>
      <c r="W12" s="246">
        <v>8</v>
      </c>
      <c r="X12" s="246" t="s">
        <v>46</v>
      </c>
      <c r="Y12" s="246" t="s">
        <v>88</v>
      </c>
      <c r="Z12" s="246" t="s">
        <v>55</v>
      </c>
      <c r="AA12" s="246" t="s">
        <v>90</v>
      </c>
      <c r="AB12" s="246" t="s">
        <v>340</v>
      </c>
      <c r="AE12" s="116" t="s">
        <v>221</v>
      </c>
      <c r="AG12" s="117"/>
      <c r="AH12" s="117"/>
      <c r="AP12" s="117" t="s">
        <v>67</v>
      </c>
      <c r="AR12" s="118" t="s">
        <v>222</v>
      </c>
      <c r="AV12" s="117" t="s">
        <v>72</v>
      </c>
      <c r="AX12" s="125">
        <v>180</v>
      </c>
      <c r="AY12" s="126">
        <v>18</v>
      </c>
      <c r="AZ12" s="126">
        <v>181</v>
      </c>
      <c r="BA12" s="127">
        <v>16</v>
      </c>
    </row>
    <row r="13" spans="1:53" s="115" customFormat="1" x14ac:dyDescent="0.15">
      <c r="A13" s="246" t="s">
        <v>51</v>
      </c>
      <c r="B13" s="246" t="s">
        <v>338</v>
      </c>
      <c r="C13" s="246">
        <v>2018</v>
      </c>
      <c r="D13" s="106" t="s">
        <v>412</v>
      </c>
      <c r="E13" s="246" t="s">
        <v>196</v>
      </c>
      <c r="F13" s="246" t="s">
        <v>197</v>
      </c>
      <c r="G13" s="246" t="s">
        <v>36</v>
      </c>
      <c r="H13" s="246" t="s">
        <v>157</v>
      </c>
      <c r="I13" s="246" t="s">
        <v>155</v>
      </c>
      <c r="J13" s="246" t="s">
        <v>38</v>
      </c>
      <c r="K13" s="246" t="s">
        <v>156</v>
      </c>
      <c r="L13" s="246">
        <v>3</v>
      </c>
      <c r="M13" s="246"/>
      <c r="N13" s="246">
        <v>3</v>
      </c>
      <c r="O13" s="246">
        <v>0.9</v>
      </c>
      <c r="P13" s="246">
        <v>0.85</v>
      </c>
      <c r="Q13" s="107">
        <f t="shared" si="0"/>
        <v>0.875</v>
      </c>
      <c r="R13" s="246">
        <v>15.4</v>
      </c>
      <c r="S13" s="246">
        <v>158</v>
      </c>
      <c r="T13" s="108">
        <f t="shared" si="1"/>
        <v>18</v>
      </c>
      <c r="U13" s="246">
        <v>398</v>
      </c>
      <c r="V13" s="109">
        <f t="shared" si="2"/>
        <v>2388</v>
      </c>
      <c r="W13" s="246">
        <v>8</v>
      </c>
      <c r="X13" s="246" t="s">
        <v>46</v>
      </c>
      <c r="Y13" s="246" t="s">
        <v>88</v>
      </c>
      <c r="Z13" s="246" t="s">
        <v>55</v>
      </c>
      <c r="AA13" s="246" t="s">
        <v>90</v>
      </c>
      <c r="AB13" s="246" t="s">
        <v>340</v>
      </c>
      <c r="AE13" s="116" t="s">
        <v>223</v>
      </c>
      <c r="AG13" s="117"/>
      <c r="AH13" s="117"/>
      <c r="AP13" s="117" t="s">
        <v>71</v>
      </c>
      <c r="AR13" s="118" t="s">
        <v>218</v>
      </c>
      <c r="AV13" s="117" t="s">
        <v>75</v>
      </c>
    </row>
    <row r="14" spans="1:53" s="115" customFormat="1" x14ac:dyDescent="0.15">
      <c r="A14" s="246" t="s">
        <v>51</v>
      </c>
      <c r="B14" s="246" t="s">
        <v>338</v>
      </c>
      <c r="C14" s="246">
        <v>2018</v>
      </c>
      <c r="D14" s="106" t="s">
        <v>412</v>
      </c>
      <c r="E14" s="246" t="s">
        <v>196</v>
      </c>
      <c r="F14" s="246" t="s">
        <v>197</v>
      </c>
      <c r="G14" s="246" t="s">
        <v>36</v>
      </c>
      <c r="H14" s="246" t="s">
        <v>166</v>
      </c>
      <c r="I14" s="246" t="s">
        <v>155</v>
      </c>
      <c r="J14" s="246" t="s">
        <v>38</v>
      </c>
      <c r="K14" s="246" t="s">
        <v>156</v>
      </c>
      <c r="L14" s="246">
        <v>1</v>
      </c>
      <c r="M14" s="246"/>
      <c r="N14" s="246">
        <v>3</v>
      </c>
      <c r="O14" s="246">
        <v>0.6</v>
      </c>
      <c r="P14" s="246">
        <v>0.7</v>
      </c>
      <c r="Q14" s="107">
        <f t="shared" si="0"/>
        <v>0.64999999999999991</v>
      </c>
      <c r="R14" s="246">
        <v>17.100000000000001</v>
      </c>
      <c r="S14" s="246">
        <v>160</v>
      </c>
      <c r="T14" s="108">
        <f t="shared" si="1"/>
        <v>18</v>
      </c>
      <c r="U14" s="246">
        <v>398</v>
      </c>
      <c r="V14" s="109">
        <f t="shared" si="2"/>
        <v>2388</v>
      </c>
      <c r="W14" s="246">
        <v>8</v>
      </c>
      <c r="X14" s="246" t="s">
        <v>46</v>
      </c>
      <c r="Y14" s="246" t="s">
        <v>88</v>
      </c>
      <c r="Z14" s="246" t="s">
        <v>55</v>
      </c>
      <c r="AA14" s="246" t="s">
        <v>90</v>
      </c>
      <c r="AB14" s="246" t="s">
        <v>340</v>
      </c>
      <c r="AE14" s="116" t="s">
        <v>96</v>
      </c>
      <c r="AG14" s="117"/>
      <c r="AH14" s="117"/>
      <c r="AP14" s="117" t="s">
        <v>74</v>
      </c>
      <c r="AR14" s="118" t="s">
        <v>224</v>
      </c>
      <c r="AV14" s="117" t="s">
        <v>78</v>
      </c>
    </row>
    <row r="15" spans="1:53" s="115" customFormat="1" x14ac:dyDescent="0.15">
      <c r="A15" s="246" t="s">
        <v>51</v>
      </c>
      <c r="B15" s="246" t="s">
        <v>338</v>
      </c>
      <c r="C15" s="246">
        <v>2018</v>
      </c>
      <c r="D15" s="106" t="s">
        <v>412</v>
      </c>
      <c r="E15" s="246" t="s">
        <v>196</v>
      </c>
      <c r="F15" s="246" t="s">
        <v>197</v>
      </c>
      <c r="G15" s="246" t="s">
        <v>36</v>
      </c>
      <c r="H15" s="246" t="s">
        <v>166</v>
      </c>
      <c r="I15" s="246" t="s">
        <v>155</v>
      </c>
      <c r="J15" s="246" t="s">
        <v>38</v>
      </c>
      <c r="K15" s="246" t="s">
        <v>156</v>
      </c>
      <c r="L15" s="246">
        <v>2</v>
      </c>
      <c r="M15" s="246"/>
      <c r="N15" s="246">
        <v>3</v>
      </c>
      <c r="O15" s="246">
        <v>0.65</v>
      </c>
      <c r="P15" s="246">
        <v>0.6</v>
      </c>
      <c r="Q15" s="107">
        <f t="shared" si="0"/>
        <v>0.625</v>
      </c>
      <c r="R15" s="246">
        <v>17.8</v>
      </c>
      <c r="S15" s="246">
        <v>166</v>
      </c>
      <c r="T15" s="108">
        <f t="shared" si="1"/>
        <v>18</v>
      </c>
      <c r="U15" s="246">
        <v>398</v>
      </c>
      <c r="V15" s="109">
        <f t="shared" si="2"/>
        <v>2388</v>
      </c>
      <c r="W15" s="246">
        <v>8</v>
      </c>
      <c r="X15" s="246" t="s">
        <v>46</v>
      </c>
      <c r="Y15" s="246" t="s">
        <v>88</v>
      </c>
      <c r="Z15" s="246" t="s">
        <v>55</v>
      </c>
      <c r="AA15" s="246" t="s">
        <v>90</v>
      </c>
      <c r="AB15" s="246" t="s">
        <v>340</v>
      </c>
      <c r="AE15" s="116" t="s">
        <v>225</v>
      </c>
      <c r="AG15" s="117"/>
      <c r="AH15" s="117"/>
      <c r="AP15" s="117" t="s">
        <v>77</v>
      </c>
      <c r="AR15" s="118" t="s">
        <v>80</v>
      </c>
      <c r="AV15" s="117" t="s">
        <v>107</v>
      </c>
    </row>
    <row r="16" spans="1:53" s="115" customFormat="1" x14ac:dyDescent="0.15">
      <c r="A16" s="246" t="s">
        <v>51</v>
      </c>
      <c r="B16" s="246" t="s">
        <v>338</v>
      </c>
      <c r="C16" s="246">
        <v>2018</v>
      </c>
      <c r="D16" s="106" t="s">
        <v>412</v>
      </c>
      <c r="E16" s="246" t="s">
        <v>196</v>
      </c>
      <c r="F16" s="246" t="s">
        <v>197</v>
      </c>
      <c r="G16" s="246" t="s">
        <v>36</v>
      </c>
      <c r="H16" s="246" t="s">
        <v>166</v>
      </c>
      <c r="I16" s="246" t="s">
        <v>155</v>
      </c>
      <c r="J16" s="246" t="s">
        <v>38</v>
      </c>
      <c r="K16" s="246" t="s">
        <v>156</v>
      </c>
      <c r="L16" s="246">
        <v>3</v>
      </c>
      <c r="M16" s="246"/>
      <c r="N16" s="246">
        <v>3</v>
      </c>
      <c r="O16" s="246">
        <v>0.7</v>
      </c>
      <c r="P16" s="246">
        <v>0.65</v>
      </c>
      <c r="Q16" s="107">
        <f t="shared" si="0"/>
        <v>0.67500000000000004</v>
      </c>
      <c r="R16" s="246">
        <v>16.7</v>
      </c>
      <c r="S16" s="246">
        <v>156</v>
      </c>
      <c r="T16" s="108">
        <f t="shared" si="1"/>
        <v>18</v>
      </c>
      <c r="U16" s="246">
        <v>398</v>
      </c>
      <c r="V16" s="109">
        <f t="shared" si="2"/>
        <v>2388</v>
      </c>
      <c r="W16" s="246">
        <v>8</v>
      </c>
      <c r="X16" s="246" t="s">
        <v>46</v>
      </c>
      <c r="Y16" s="246" t="s">
        <v>88</v>
      </c>
      <c r="Z16" s="246" t="s">
        <v>55</v>
      </c>
      <c r="AA16" s="246" t="s">
        <v>90</v>
      </c>
      <c r="AB16" s="246" t="s">
        <v>340</v>
      </c>
      <c r="AE16" s="116" t="s">
        <v>226</v>
      </c>
      <c r="AG16" s="123"/>
      <c r="AH16" s="123"/>
      <c r="AP16" s="117" t="s">
        <v>80</v>
      </c>
      <c r="AR16" s="118" t="s">
        <v>63</v>
      </c>
      <c r="AV16" s="117" t="s">
        <v>84</v>
      </c>
    </row>
    <row r="17" spans="1:48" s="115" customFormat="1" x14ac:dyDescent="0.15">
      <c r="A17" s="246" t="s">
        <v>51</v>
      </c>
      <c r="B17" s="246" t="s">
        <v>338</v>
      </c>
      <c r="C17" s="246">
        <v>2018</v>
      </c>
      <c r="D17" s="106" t="s">
        <v>412</v>
      </c>
      <c r="E17" s="246" t="s">
        <v>139</v>
      </c>
      <c r="F17" s="246" t="s">
        <v>413</v>
      </c>
      <c r="G17" s="246" t="s">
        <v>42</v>
      </c>
      <c r="H17" s="246" t="s">
        <v>157</v>
      </c>
      <c r="I17" s="246" t="s">
        <v>155</v>
      </c>
      <c r="J17" s="246" t="s">
        <v>38</v>
      </c>
      <c r="K17" s="246" t="s">
        <v>156</v>
      </c>
      <c r="L17" s="246">
        <v>1</v>
      </c>
      <c r="M17" s="246"/>
      <c r="N17" s="246">
        <v>1</v>
      </c>
      <c r="O17" s="246">
        <v>0.6</v>
      </c>
      <c r="P17" s="246">
        <v>0.75</v>
      </c>
      <c r="Q17" s="107">
        <f t="shared" si="0"/>
        <v>0.67500000000000004</v>
      </c>
      <c r="R17" s="246">
        <v>14.5</v>
      </c>
      <c r="S17" s="246">
        <v>110</v>
      </c>
      <c r="T17" s="108">
        <f t="shared" si="1"/>
        <v>33</v>
      </c>
      <c r="U17" s="246">
        <v>100</v>
      </c>
      <c r="V17" s="109">
        <f t="shared" si="2"/>
        <v>3300</v>
      </c>
      <c r="W17" s="246">
        <v>20</v>
      </c>
      <c r="X17" s="246" t="s">
        <v>46</v>
      </c>
      <c r="Y17" s="246" t="s">
        <v>69</v>
      </c>
      <c r="Z17" s="246" t="s">
        <v>88</v>
      </c>
      <c r="AA17" s="246" t="s">
        <v>55</v>
      </c>
      <c r="AB17" s="246" t="s">
        <v>340</v>
      </c>
      <c r="AE17" s="116" t="s">
        <v>227</v>
      </c>
      <c r="AP17" s="128" t="s">
        <v>228</v>
      </c>
      <c r="AR17" s="118" t="s">
        <v>96</v>
      </c>
      <c r="AV17" s="117" t="s">
        <v>86</v>
      </c>
    </row>
    <row r="18" spans="1:48" s="115" customFormat="1" x14ac:dyDescent="0.15">
      <c r="A18" s="246" t="s">
        <v>51</v>
      </c>
      <c r="B18" s="246" t="s">
        <v>338</v>
      </c>
      <c r="C18" s="246">
        <v>2018</v>
      </c>
      <c r="D18" s="106" t="s">
        <v>412</v>
      </c>
      <c r="E18" s="246" t="s">
        <v>139</v>
      </c>
      <c r="F18" s="246" t="s">
        <v>413</v>
      </c>
      <c r="G18" s="246" t="s">
        <v>42</v>
      </c>
      <c r="H18" s="246" t="s">
        <v>157</v>
      </c>
      <c r="I18" s="246" t="s">
        <v>155</v>
      </c>
      <c r="J18" s="246" t="s">
        <v>38</v>
      </c>
      <c r="K18" s="246" t="s">
        <v>156</v>
      </c>
      <c r="L18" s="246">
        <v>2</v>
      </c>
      <c r="M18" s="246"/>
      <c r="N18" s="246">
        <v>1</v>
      </c>
      <c r="O18" s="246">
        <v>0.7</v>
      </c>
      <c r="P18" s="246">
        <v>0.7</v>
      </c>
      <c r="Q18" s="107">
        <f t="shared" si="0"/>
        <v>0.7</v>
      </c>
      <c r="R18" s="246">
        <v>14.8</v>
      </c>
      <c r="S18" s="246">
        <v>112</v>
      </c>
      <c r="T18" s="108">
        <f t="shared" si="1"/>
        <v>33</v>
      </c>
      <c r="U18" s="246">
        <v>100</v>
      </c>
      <c r="V18" s="109">
        <f t="shared" si="2"/>
        <v>3300</v>
      </c>
      <c r="W18" s="246">
        <v>20</v>
      </c>
      <c r="X18" s="246" t="s">
        <v>46</v>
      </c>
      <c r="Y18" s="246" t="s">
        <v>69</v>
      </c>
      <c r="Z18" s="246" t="s">
        <v>88</v>
      </c>
      <c r="AA18" s="246" t="s">
        <v>55</v>
      </c>
      <c r="AB18" s="246" t="s">
        <v>340</v>
      </c>
      <c r="AE18" s="116" t="s">
        <v>220</v>
      </c>
      <c r="AP18" s="128" t="s">
        <v>229</v>
      </c>
      <c r="AR18" s="118" t="s">
        <v>101</v>
      </c>
      <c r="AV18" s="117" t="s">
        <v>88</v>
      </c>
    </row>
    <row r="19" spans="1:48" s="115" customFormat="1" x14ac:dyDescent="0.15">
      <c r="A19" s="246" t="s">
        <v>51</v>
      </c>
      <c r="B19" s="246" t="s">
        <v>338</v>
      </c>
      <c r="C19" s="246">
        <v>2018</v>
      </c>
      <c r="D19" s="106" t="s">
        <v>412</v>
      </c>
      <c r="E19" s="246" t="s">
        <v>139</v>
      </c>
      <c r="F19" s="246" t="s">
        <v>413</v>
      </c>
      <c r="G19" s="246" t="s">
        <v>42</v>
      </c>
      <c r="H19" s="246" t="s">
        <v>157</v>
      </c>
      <c r="I19" s="246" t="s">
        <v>155</v>
      </c>
      <c r="J19" s="246" t="s">
        <v>38</v>
      </c>
      <c r="K19" s="246" t="s">
        <v>156</v>
      </c>
      <c r="L19" s="246">
        <v>3</v>
      </c>
      <c r="M19" s="246"/>
      <c r="N19" s="246">
        <v>1</v>
      </c>
      <c r="O19" s="246">
        <v>0.65</v>
      </c>
      <c r="P19" s="246">
        <v>0.55000000000000004</v>
      </c>
      <c r="Q19" s="107">
        <f t="shared" si="0"/>
        <v>0.60000000000000009</v>
      </c>
      <c r="R19" s="246">
        <v>15</v>
      </c>
      <c r="S19" s="246">
        <v>114</v>
      </c>
      <c r="T19" s="108">
        <f t="shared" si="1"/>
        <v>30</v>
      </c>
      <c r="U19" s="246">
        <v>100</v>
      </c>
      <c r="V19" s="109">
        <f t="shared" si="2"/>
        <v>3000</v>
      </c>
      <c r="W19" s="246">
        <v>20</v>
      </c>
      <c r="X19" s="246" t="s">
        <v>46</v>
      </c>
      <c r="Y19" s="246" t="s">
        <v>69</v>
      </c>
      <c r="Z19" s="246" t="s">
        <v>88</v>
      </c>
      <c r="AA19" s="246" t="s">
        <v>55</v>
      </c>
      <c r="AB19" s="246" t="s">
        <v>340</v>
      </c>
      <c r="AE19" s="129" t="s">
        <v>217</v>
      </c>
      <c r="AP19" s="128" t="s">
        <v>230</v>
      </c>
      <c r="AR19" s="118" t="s">
        <v>231</v>
      </c>
      <c r="AV19" s="117" t="s">
        <v>90</v>
      </c>
    </row>
    <row r="20" spans="1:48" s="115" customFormat="1" x14ac:dyDescent="0.15">
      <c r="A20" s="246" t="s">
        <v>51</v>
      </c>
      <c r="B20" s="246" t="s">
        <v>338</v>
      </c>
      <c r="C20" s="246">
        <v>2018</v>
      </c>
      <c r="D20" s="106" t="s">
        <v>412</v>
      </c>
      <c r="E20" s="246" t="s">
        <v>139</v>
      </c>
      <c r="F20" s="246" t="s">
        <v>413</v>
      </c>
      <c r="G20" s="246" t="s">
        <v>42</v>
      </c>
      <c r="H20" s="246" t="s">
        <v>166</v>
      </c>
      <c r="I20" s="246" t="s">
        <v>155</v>
      </c>
      <c r="J20" s="246" t="s">
        <v>38</v>
      </c>
      <c r="K20" s="246" t="s">
        <v>156</v>
      </c>
      <c r="L20" s="246">
        <v>1</v>
      </c>
      <c r="M20" s="246"/>
      <c r="N20" s="246">
        <v>3</v>
      </c>
      <c r="O20" s="246">
        <v>0.6</v>
      </c>
      <c r="P20" s="246">
        <v>0.65</v>
      </c>
      <c r="Q20" s="107">
        <f t="shared" si="0"/>
        <v>0.625</v>
      </c>
      <c r="R20" s="246">
        <v>15.2</v>
      </c>
      <c r="S20" s="246">
        <v>134</v>
      </c>
      <c r="T20" s="108">
        <f t="shared" si="1"/>
        <v>25</v>
      </c>
      <c r="U20" s="246">
        <v>398</v>
      </c>
      <c r="V20" s="109">
        <f t="shared" si="2"/>
        <v>3316.6666666666665</v>
      </c>
      <c r="W20" s="246">
        <v>20</v>
      </c>
      <c r="X20" s="246" t="s">
        <v>46</v>
      </c>
      <c r="Y20" s="246" t="s">
        <v>69</v>
      </c>
      <c r="Z20" s="246" t="s">
        <v>88</v>
      </c>
      <c r="AA20" s="246" t="s">
        <v>55</v>
      </c>
      <c r="AB20" s="246" t="s">
        <v>340</v>
      </c>
      <c r="AE20" s="129"/>
      <c r="AP20" s="128" t="s">
        <v>232</v>
      </c>
      <c r="AR20" s="118" t="s">
        <v>105</v>
      </c>
      <c r="AV20" s="122" t="s">
        <v>233</v>
      </c>
    </row>
    <row r="21" spans="1:48" s="115" customFormat="1" x14ac:dyDescent="0.15">
      <c r="A21" s="246" t="s">
        <v>51</v>
      </c>
      <c r="B21" s="246" t="s">
        <v>338</v>
      </c>
      <c r="C21" s="246">
        <v>2018</v>
      </c>
      <c r="D21" s="106" t="s">
        <v>412</v>
      </c>
      <c r="E21" s="246" t="s">
        <v>139</v>
      </c>
      <c r="F21" s="246" t="s">
        <v>413</v>
      </c>
      <c r="G21" s="246" t="s">
        <v>42</v>
      </c>
      <c r="H21" s="246" t="s">
        <v>166</v>
      </c>
      <c r="I21" s="246" t="s">
        <v>155</v>
      </c>
      <c r="J21" s="246" t="s">
        <v>38</v>
      </c>
      <c r="K21" s="246" t="s">
        <v>156</v>
      </c>
      <c r="L21" s="246">
        <v>2</v>
      </c>
      <c r="M21" s="246"/>
      <c r="N21" s="246">
        <v>3</v>
      </c>
      <c r="O21" s="246">
        <v>0.7</v>
      </c>
      <c r="P21" s="246">
        <v>0.6</v>
      </c>
      <c r="Q21" s="107">
        <f t="shared" si="0"/>
        <v>0.64999999999999991</v>
      </c>
      <c r="R21" s="246">
        <v>16.100000000000001</v>
      </c>
      <c r="S21" s="246">
        <v>138</v>
      </c>
      <c r="T21" s="108">
        <f t="shared" si="1"/>
        <v>22</v>
      </c>
      <c r="U21" s="246">
        <v>398</v>
      </c>
      <c r="V21" s="109">
        <f t="shared" si="2"/>
        <v>2918.6666666666665</v>
      </c>
      <c r="W21" s="246">
        <v>20</v>
      </c>
      <c r="X21" s="246" t="s">
        <v>46</v>
      </c>
      <c r="Y21" s="246" t="s">
        <v>69</v>
      </c>
      <c r="Z21" s="246" t="s">
        <v>88</v>
      </c>
      <c r="AA21" s="246" t="s">
        <v>55</v>
      </c>
      <c r="AB21" s="246" t="s">
        <v>340</v>
      </c>
      <c r="AE21" s="123"/>
      <c r="AP21" s="128" t="s">
        <v>234</v>
      </c>
      <c r="AR21" s="118" t="s">
        <v>68</v>
      </c>
      <c r="AV21" s="122" t="s">
        <v>168</v>
      </c>
    </row>
    <row r="22" spans="1:48" s="115" customFormat="1" x14ac:dyDescent="0.15">
      <c r="A22" s="246" t="s">
        <v>51</v>
      </c>
      <c r="B22" s="246" t="s">
        <v>338</v>
      </c>
      <c r="C22" s="246">
        <v>2018</v>
      </c>
      <c r="D22" s="106" t="s">
        <v>412</v>
      </c>
      <c r="E22" s="246" t="s">
        <v>139</v>
      </c>
      <c r="F22" s="246" t="s">
        <v>413</v>
      </c>
      <c r="G22" s="246" t="s">
        <v>42</v>
      </c>
      <c r="H22" s="246" t="s">
        <v>166</v>
      </c>
      <c r="I22" s="246" t="s">
        <v>155</v>
      </c>
      <c r="J22" s="246" t="s">
        <v>38</v>
      </c>
      <c r="K22" s="246" t="s">
        <v>156</v>
      </c>
      <c r="L22" s="246">
        <v>3</v>
      </c>
      <c r="M22" s="246"/>
      <c r="N22" s="246">
        <v>3</v>
      </c>
      <c r="O22" s="246">
        <v>0.55000000000000004</v>
      </c>
      <c r="P22" s="246">
        <v>0.6</v>
      </c>
      <c r="Q22" s="107">
        <f t="shared" si="0"/>
        <v>0.57499999999999996</v>
      </c>
      <c r="R22" s="246">
        <v>15.4</v>
      </c>
      <c r="S22" s="246">
        <v>136</v>
      </c>
      <c r="T22" s="108">
        <f t="shared" si="1"/>
        <v>25</v>
      </c>
      <c r="U22" s="246">
        <v>398</v>
      </c>
      <c r="V22" s="109">
        <f t="shared" si="2"/>
        <v>3316.6666666666665</v>
      </c>
      <c r="W22" s="246">
        <v>20</v>
      </c>
      <c r="X22" s="246" t="s">
        <v>46</v>
      </c>
      <c r="Y22" s="246" t="s">
        <v>69</v>
      </c>
      <c r="Z22" s="246" t="s">
        <v>88</v>
      </c>
      <c r="AA22" s="246" t="s">
        <v>55</v>
      </c>
      <c r="AB22" s="246" t="s">
        <v>340</v>
      </c>
      <c r="AP22" s="128" t="s">
        <v>235</v>
      </c>
      <c r="AR22" s="118" t="s">
        <v>83</v>
      </c>
      <c r="AV22" s="122"/>
    </row>
    <row r="23" spans="1:48" s="115" customFormat="1" x14ac:dyDescent="0.15">
      <c r="A23" s="246" t="s">
        <v>51</v>
      </c>
      <c r="B23" s="246" t="s">
        <v>338</v>
      </c>
      <c r="C23" s="246">
        <v>2018</v>
      </c>
      <c r="D23" s="106" t="s">
        <v>412</v>
      </c>
      <c r="E23" s="246" t="s">
        <v>207</v>
      </c>
      <c r="F23" s="246" t="s">
        <v>208</v>
      </c>
      <c r="G23" s="246" t="s">
        <v>36</v>
      </c>
      <c r="H23" s="246" t="s">
        <v>157</v>
      </c>
      <c r="I23" s="246" t="s">
        <v>155</v>
      </c>
      <c r="J23" s="246" t="s">
        <v>38</v>
      </c>
      <c r="K23" s="246" t="s">
        <v>156</v>
      </c>
      <c r="L23" s="246">
        <v>1</v>
      </c>
      <c r="M23" s="246"/>
      <c r="N23" s="246">
        <v>1</v>
      </c>
      <c r="O23" s="246">
        <v>0.85</v>
      </c>
      <c r="P23" s="246">
        <v>0.9</v>
      </c>
      <c r="Q23" s="107">
        <f t="shared" si="0"/>
        <v>0.875</v>
      </c>
      <c r="R23" s="246">
        <v>16.8</v>
      </c>
      <c r="S23" s="246">
        <v>142</v>
      </c>
      <c r="T23" s="108">
        <f t="shared" si="1"/>
        <v>22</v>
      </c>
      <c r="U23" s="246">
        <v>98</v>
      </c>
      <c r="V23" s="109">
        <f t="shared" si="2"/>
        <v>2156</v>
      </c>
      <c r="W23" s="246">
        <v>10</v>
      </c>
      <c r="X23" s="246" t="s">
        <v>46</v>
      </c>
      <c r="Y23" s="246" t="s">
        <v>69</v>
      </c>
      <c r="Z23" s="246" t="s">
        <v>55</v>
      </c>
      <c r="AA23" s="246" t="s">
        <v>90</v>
      </c>
      <c r="AB23" s="246" t="s">
        <v>340</v>
      </c>
      <c r="AP23" s="128" t="s">
        <v>236</v>
      </c>
      <c r="AR23" s="118" t="s">
        <v>61</v>
      </c>
    </row>
    <row r="24" spans="1:48" s="115" customFormat="1" x14ac:dyDescent="0.15">
      <c r="A24" s="246" t="s">
        <v>51</v>
      </c>
      <c r="B24" s="246" t="s">
        <v>338</v>
      </c>
      <c r="C24" s="246">
        <v>2018</v>
      </c>
      <c r="D24" s="106" t="s">
        <v>412</v>
      </c>
      <c r="E24" s="246" t="s">
        <v>207</v>
      </c>
      <c r="F24" s="246" t="s">
        <v>208</v>
      </c>
      <c r="G24" s="246" t="s">
        <v>36</v>
      </c>
      <c r="H24" s="246" t="s">
        <v>157</v>
      </c>
      <c r="I24" s="246" t="s">
        <v>155</v>
      </c>
      <c r="J24" s="246" t="s">
        <v>38</v>
      </c>
      <c r="K24" s="246" t="s">
        <v>156</v>
      </c>
      <c r="L24" s="246">
        <v>2</v>
      </c>
      <c r="M24" s="246"/>
      <c r="N24" s="246">
        <v>1</v>
      </c>
      <c r="O24" s="246">
        <v>1</v>
      </c>
      <c r="P24" s="246">
        <v>1</v>
      </c>
      <c r="Q24" s="107">
        <f t="shared" si="0"/>
        <v>1</v>
      </c>
      <c r="R24" s="246">
        <v>16.2</v>
      </c>
      <c r="S24" s="246">
        <v>136</v>
      </c>
      <c r="T24" s="108">
        <f t="shared" si="1"/>
        <v>25</v>
      </c>
      <c r="U24" s="246">
        <v>98</v>
      </c>
      <c r="V24" s="109">
        <f t="shared" si="2"/>
        <v>2450</v>
      </c>
      <c r="W24" s="246">
        <v>10</v>
      </c>
      <c r="X24" s="246" t="s">
        <v>46</v>
      </c>
      <c r="Y24" s="246" t="s">
        <v>69</v>
      </c>
      <c r="Z24" s="246" t="s">
        <v>55</v>
      </c>
      <c r="AA24" s="246" t="s">
        <v>90</v>
      </c>
      <c r="AB24" s="246" t="s">
        <v>340</v>
      </c>
      <c r="AP24" s="128" t="s">
        <v>237</v>
      </c>
      <c r="AR24" s="118" t="s">
        <v>91</v>
      </c>
    </row>
    <row r="25" spans="1:48" s="115" customFormat="1" x14ac:dyDescent="0.15">
      <c r="A25" s="246" t="s">
        <v>51</v>
      </c>
      <c r="B25" s="246" t="s">
        <v>338</v>
      </c>
      <c r="C25" s="246">
        <v>2018</v>
      </c>
      <c r="D25" s="106" t="s">
        <v>412</v>
      </c>
      <c r="E25" s="246" t="s">
        <v>207</v>
      </c>
      <c r="F25" s="246" t="s">
        <v>208</v>
      </c>
      <c r="G25" s="246" t="s">
        <v>36</v>
      </c>
      <c r="H25" s="246" t="s">
        <v>157</v>
      </c>
      <c r="I25" s="246" t="s">
        <v>155</v>
      </c>
      <c r="J25" s="246" t="s">
        <v>38</v>
      </c>
      <c r="K25" s="246" t="s">
        <v>156</v>
      </c>
      <c r="L25" s="246">
        <v>3</v>
      </c>
      <c r="M25" s="246"/>
      <c r="N25" s="246">
        <v>1</v>
      </c>
      <c r="O25" s="246">
        <v>0.95</v>
      </c>
      <c r="P25" s="246">
        <v>1.05</v>
      </c>
      <c r="Q25" s="107">
        <f t="shared" si="0"/>
        <v>1</v>
      </c>
      <c r="R25" s="246">
        <v>16.5</v>
      </c>
      <c r="S25" s="246">
        <v>140</v>
      </c>
      <c r="T25" s="108">
        <f t="shared" si="1"/>
        <v>22</v>
      </c>
      <c r="U25" s="246">
        <v>98</v>
      </c>
      <c r="V25" s="109">
        <f t="shared" si="2"/>
        <v>2156</v>
      </c>
      <c r="W25" s="246">
        <v>10</v>
      </c>
      <c r="X25" s="246" t="s">
        <v>46</v>
      </c>
      <c r="Y25" s="246" t="s">
        <v>69</v>
      </c>
      <c r="Z25" s="246" t="s">
        <v>55</v>
      </c>
      <c r="AA25" s="246" t="s">
        <v>90</v>
      </c>
      <c r="AB25" s="246" t="s">
        <v>340</v>
      </c>
      <c r="AP25" s="128" t="s">
        <v>238</v>
      </c>
      <c r="AR25" s="128" t="s">
        <v>51</v>
      </c>
    </row>
    <row r="26" spans="1:48" s="115" customFormat="1" x14ac:dyDescent="0.15">
      <c r="A26" s="246" t="s">
        <v>51</v>
      </c>
      <c r="B26" s="246" t="s">
        <v>338</v>
      </c>
      <c r="C26" s="246">
        <v>2018</v>
      </c>
      <c r="D26" s="106" t="s">
        <v>412</v>
      </c>
      <c r="E26" s="246" t="s">
        <v>207</v>
      </c>
      <c r="F26" s="246" t="s">
        <v>208</v>
      </c>
      <c r="G26" s="246" t="s">
        <v>36</v>
      </c>
      <c r="H26" s="246" t="s">
        <v>166</v>
      </c>
      <c r="I26" s="246" t="s">
        <v>155</v>
      </c>
      <c r="J26" s="246" t="s">
        <v>38</v>
      </c>
      <c r="K26" s="246" t="s">
        <v>156</v>
      </c>
      <c r="L26" s="246">
        <v>1</v>
      </c>
      <c r="M26" s="246"/>
      <c r="N26" s="246">
        <v>1</v>
      </c>
      <c r="O26" s="246">
        <v>0.7</v>
      </c>
      <c r="P26" s="246">
        <v>0.6</v>
      </c>
      <c r="Q26" s="107">
        <f t="shared" si="0"/>
        <v>0.64999999999999991</v>
      </c>
      <c r="R26" s="246">
        <v>16.600000000000001</v>
      </c>
      <c r="S26" s="246">
        <v>140</v>
      </c>
      <c r="T26" s="108">
        <f t="shared" si="1"/>
        <v>22</v>
      </c>
      <c r="U26" s="246">
        <v>98</v>
      </c>
      <c r="V26" s="109">
        <f t="shared" si="2"/>
        <v>2156</v>
      </c>
      <c r="W26" s="246">
        <v>10</v>
      </c>
      <c r="X26" s="246" t="s">
        <v>46</v>
      </c>
      <c r="Y26" s="246" t="s">
        <v>69</v>
      </c>
      <c r="Z26" s="246" t="s">
        <v>55</v>
      </c>
      <c r="AA26" s="246" t="s">
        <v>90</v>
      </c>
      <c r="AB26" s="246" t="s">
        <v>340</v>
      </c>
      <c r="AP26" s="128" t="s">
        <v>239</v>
      </c>
      <c r="AR26" s="115" t="s">
        <v>414</v>
      </c>
    </row>
    <row r="27" spans="1:48" s="115" customFormat="1" x14ac:dyDescent="0.15">
      <c r="A27" s="246" t="s">
        <v>51</v>
      </c>
      <c r="B27" s="246" t="s">
        <v>338</v>
      </c>
      <c r="C27" s="246">
        <v>2018</v>
      </c>
      <c r="D27" s="106" t="s">
        <v>412</v>
      </c>
      <c r="E27" s="246" t="s">
        <v>207</v>
      </c>
      <c r="F27" s="246" t="s">
        <v>208</v>
      </c>
      <c r="G27" s="246" t="s">
        <v>36</v>
      </c>
      <c r="H27" s="246" t="s">
        <v>166</v>
      </c>
      <c r="I27" s="246" t="s">
        <v>155</v>
      </c>
      <c r="J27" s="246" t="s">
        <v>38</v>
      </c>
      <c r="K27" s="246" t="s">
        <v>156</v>
      </c>
      <c r="L27" s="246">
        <v>2</v>
      </c>
      <c r="M27" s="246"/>
      <c r="N27" s="246">
        <v>1</v>
      </c>
      <c r="O27" s="246">
        <v>0.6</v>
      </c>
      <c r="P27" s="246">
        <v>0.65</v>
      </c>
      <c r="Q27" s="107">
        <f t="shared" si="0"/>
        <v>0.625</v>
      </c>
      <c r="R27" s="246">
        <v>17</v>
      </c>
      <c r="S27" s="246">
        <v>144</v>
      </c>
      <c r="T27" s="108">
        <f t="shared" si="1"/>
        <v>22</v>
      </c>
      <c r="U27" s="246">
        <v>98</v>
      </c>
      <c r="V27" s="109">
        <f t="shared" si="2"/>
        <v>2156</v>
      </c>
      <c r="W27" s="246">
        <v>10</v>
      </c>
      <c r="X27" s="246" t="s">
        <v>46</v>
      </c>
      <c r="Y27" s="246" t="s">
        <v>69</v>
      </c>
      <c r="Z27" s="246" t="s">
        <v>55</v>
      </c>
      <c r="AA27" s="246" t="s">
        <v>90</v>
      </c>
      <c r="AB27" s="246" t="s">
        <v>340</v>
      </c>
      <c r="AP27" s="128" t="s">
        <v>240</v>
      </c>
    </row>
    <row r="28" spans="1:48" s="115" customFormat="1" x14ac:dyDescent="0.15">
      <c r="A28" s="246" t="s">
        <v>51</v>
      </c>
      <c r="B28" s="246" t="s">
        <v>338</v>
      </c>
      <c r="C28" s="246">
        <v>2018</v>
      </c>
      <c r="D28" s="106" t="s">
        <v>412</v>
      </c>
      <c r="E28" s="246" t="s">
        <v>207</v>
      </c>
      <c r="F28" s="246" t="s">
        <v>208</v>
      </c>
      <c r="G28" s="246" t="s">
        <v>36</v>
      </c>
      <c r="H28" s="246" t="s">
        <v>166</v>
      </c>
      <c r="I28" s="246" t="s">
        <v>155</v>
      </c>
      <c r="J28" s="246" t="s">
        <v>38</v>
      </c>
      <c r="K28" s="246" t="s">
        <v>156</v>
      </c>
      <c r="L28" s="246">
        <v>3</v>
      </c>
      <c r="M28" s="246"/>
      <c r="N28" s="246">
        <v>1</v>
      </c>
      <c r="O28" s="246">
        <v>0.55000000000000004</v>
      </c>
      <c r="P28" s="246">
        <v>0.6</v>
      </c>
      <c r="Q28" s="107">
        <f t="shared" si="0"/>
        <v>0.57499999999999996</v>
      </c>
      <c r="R28" s="246">
        <v>17.899999999999999</v>
      </c>
      <c r="S28" s="246">
        <v>146</v>
      </c>
      <c r="T28" s="108">
        <f t="shared" si="1"/>
        <v>22</v>
      </c>
      <c r="U28" s="246">
        <v>98</v>
      </c>
      <c r="V28" s="109">
        <f t="shared" si="2"/>
        <v>2156</v>
      </c>
      <c r="W28" s="246">
        <v>10</v>
      </c>
      <c r="X28" s="246" t="s">
        <v>46</v>
      </c>
      <c r="Y28" s="246" t="s">
        <v>69</v>
      </c>
      <c r="Z28" s="246" t="s">
        <v>55</v>
      </c>
      <c r="AA28" s="246" t="s">
        <v>90</v>
      </c>
      <c r="AB28" s="246" t="s">
        <v>340</v>
      </c>
    </row>
    <row r="29" spans="1:48" s="115" customFormat="1" x14ac:dyDescent="0.15">
      <c r="A29" s="246" t="s">
        <v>51</v>
      </c>
      <c r="B29" s="246" t="s">
        <v>338</v>
      </c>
      <c r="C29" s="246">
        <v>2018</v>
      </c>
      <c r="D29" s="106" t="s">
        <v>412</v>
      </c>
      <c r="E29" s="246" t="s">
        <v>169</v>
      </c>
      <c r="F29" s="246" t="s">
        <v>194</v>
      </c>
      <c r="G29" s="246" t="s">
        <v>42</v>
      </c>
      <c r="H29" s="246" t="s">
        <v>157</v>
      </c>
      <c r="I29" s="246" t="s">
        <v>155</v>
      </c>
      <c r="J29" s="246" t="s">
        <v>38</v>
      </c>
      <c r="K29" s="246" t="s">
        <v>156</v>
      </c>
      <c r="L29" s="246">
        <v>1</v>
      </c>
      <c r="M29" s="246"/>
      <c r="N29" s="246">
        <v>1</v>
      </c>
      <c r="O29" s="246">
        <v>0.75</v>
      </c>
      <c r="P29" s="246">
        <v>0.8</v>
      </c>
      <c r="Q29" s="107">
        <f t="shared" si="0"/>
        <v>0.77500000000000002</v>
      </c>
      <c r="R29" s="246">
        <v>13.2</v>
      </c>
      <c r="S29" s="246">
        <v>140</v>
      </c>
      <c r="T29" s="108">
        <f t="shared" si="1"/>
        <v>22</v>
      </c>
      <c r="U29" s="246">
        <v>127</v>
      </c>
      <c r="V29" s="109">
        <f t="shared" si="2"/>
        <v>2794</v>
      </c>
      <c r="W29" s="246">
        <v>10</v>
      </c>
      <c r="X29" s="246" t="s">
        <v>46</v>
      </c>
      <c r="Y29" s="246" t="s">
        <v>78</v>
      </c>
      <c r="Z29" s="246" t="s">
        <v>88</v>
      </c>
      <c r="AA29" s="246" t="s">
        <v>69</v>
      </c>
      <c r="AB29" s="246" t="s">
        <v>340</v>
      </c>
    </row>
    <row r="30" spans="1:48" s="115" customFormat="1" x14ac:dyDescent="0.15">
      <c r="A30" s="246" t="s">
        <v>51</v>
      </c>
      <c r="B30" s="246" t="s">
        <v>338</v>
      </c>
      <c r="C30" s="246">
        <v>2018</v>
      </c>
      <c r="D30" s="106" t="s">
        <v>412</v>
      </c>
      <c r="E30" s="246" t="s">
        <v>169</v>
      </c>
      <c r="F30" s="246" t="s">
        <v>194</v>
      </c>
      <c r="G30" s="246" t="s">
        <v>42</v>
      </c>
      <c r="H30" s="246" t="s">
        <v>157</v>
      </c>
      <c r="I30" s="246" t="s">
        <v>155</v>
      </c>
      <c r="J30" s="246" t="s">
        <v>38</v>
      </c>
      <c r="K30" s="246" t="s">
        <v>156</v>
      </c>
      <c r="L30" s="246">
        <v>2</v>
      </c>
      <c r="M30" s="246"/>
      <c r="N30" s="246">
        <v>1</v>
      </c>
      <c r="O30" s="246">
        <v>0.7</v>
      </c>
      <c r="P30" s="246">
        <v>0.85</v>
      </c>
      <c r="Q30" s="107">
        <f t="shared" si="0"/>
        <v>0.77499999999999991</v>
      </c>
      <c r="R30" s="246">
        <v>14.3</v>
      </c>
      <c r="S30" s="246">
        <v>150</v>
      </c>
      <c r="T30" s="108">
        <f t="shared" si="1"/>
        <v>22</v>
      </c>
      <c r="U30" s="246">
        <v>127</v>
      </c>
      <c r="V30" s="109">
        <f t="shared" si="2"/>
        <v>2794</v>
      </c>
      <c r="W30" s="246">
        <v>10</v>
      </c>
      <c r="X30" s="246" t="s">
        <v>46</v>
      </c>
      <c r="Y30" s="246" t="s">
        <v>78</v>
      </c>
      <c r="Z30" s="246" t="s">
        <v>88</v>
      </c>
      <c r="AA30" s="246" t="s">
        <v>69</v>
      </c>
      <c r="AB30" s="246" t="s">
        <v>340</v>
      </c>
    </row>
    <row r="31" spans="1:48" s="115" customFormat="1" x14ac:dyDescent="0.15">
      <c r="A31" s="246" t="s">
        <v>51</v>
      </c>
      <c r="B31" s="246" t="s">
        <v>338</v>
      </c>
      <c r="C31" s="246">
        <v>2018</v>
      </c>
      <c r="D31" s="106" t="s">
        <v>412</v>
      </c>
      <c r="E31" s="246" t="s">
        <v>169</v>
      </c>
      <c r="F31" s="246" t="s">
        <v>194</v>
      </c>
      <c r="G31" s="246" t="s">
        <v>42</v>
      </c>
      <c r="H31" s="246" t="s">
        <v>157</v>
      </c>
      <c r="I31" s="246" t="s">
        <v>155</v>
      </c>
      <c r="J31" s="246" t="s">
        <v>38</v>
      </c>
      <c r="K31" s="246" t="s">
        <v>156</v>
      </c>
      <c r="L31" s="246">
        <v>3</v>
      </c>
      <c r="M31" s="246"/>
      <c r="N31" s="246">
        <v>1</v>
      </c>
      <c r="O31" s="246">
        <v>0.75</v>
      </c>
      <c r="P31" s="246">
        <v>0.75</v>
      </c>
      <c r="Q31" s="107">
        <f t="shared" si="0"/>
        <v>0.75</v>
      </c>
      <c r="R31" s="246">
        <v>14.6</v>
      </c>
      <c r="S31" s="246">
        <v>152</v>
      </c>
      <c r="T31" s="108">
        <f t="shared" si="1"/>
        <v>18</v>
      </c>
      <c r="U31" s="246">
        <v>127</v>
      </c>
      <c r="V31" s="109">
        <f t="shared" si="2"/>
        <v>2286</v>
      </c>
      <c r="W31" s="246">
        <v>10</v>
      </c>
      <c r="X31" s="246" t="s">
        <v>46</v>
      </c>
      <c r="Y31" s="246" t="s">
        <v>78</v>
      </c>
      <c r="Z31" s="246" t="s">
        <v>88</v>
      </c>
      <c r="AA31" s="246" t="s">
        <v>69</v>
      </c>
      <c r="AB31" s="246" t="s">
        <v>340</v>
      </c>
    </row>
    <row r="32" spans="1:48" s="115" customFormat="1" x14ac:dyDescent="0.15">
      <c r="A32" s="246" t="s">
        <v>51</v>
      </c>
      <c r="B32" s="246" t="s">
        <v>338</v>
      </c>
      <c r="C32" s="246">
        <v>2018</v>
      </c>
      <c r="D32" s="106" t="s">
        <v>412</v>
      </c>
      <c r="E32" s="246" t="s">
        <v>169</v>
      </c>
      <c r="F32" s="246" t="s">
        <v>194</v>
      </c>
      <c r="G32" s="246" t="s">
        <v>42</v>
      </c>
      <c r="H32" s="246" t="s">
        <v>166</v>
      </c>
      <c r="I32" s="246" t="s">
        <v>155</v>
      </c>
      <c r="J32" s="246" t="s">
        <v>38</v>
      </c>
      <c r="K32" s="246" t="s">
        <v>156</v>
      </c>
      <c r="L32" s="246">
        <v>1</v>
      </c>
      <c r="M32" s="246"/>
      <c r="N32" s="246">
        <v>1</v>
      </c>
      <c r="O32" s="246">
        <v>0.7</v>
      </c>
      <c r="P32" s="246">
        <v>0.7</v>
      </c>
      <c r="Q32" s="107">
        <f t="shared" si="0"/>
        <v>0.7</v>
      </c>
      <c r="R32" s="246">
        <v>18.100000000000001</v>
      </c>
      <c r="S32" s="246">
        <v>176</v>
      </c>
      <c r="T32" s="108">
        <f t="shared" si="1"/>
        <v>18</v>
      </c>
      <c r="U32" s="246">
        <v>127</v>
      </c>
      <c r="V32" s="109">
        <f t="shared" si="2"/>
        <v>2286</v>
      </c>
      <c r="W32" s="246">
        <v>10</v>
      </c>
      <c r="X32" s="246" t="s">
        <v>46</v>
      </c>
      <c r="Y32" s="246" t="s">
        <v>78</v>
      </c>
      <c r="Z32" s="246" t="s">
        <v>88</v>
      </c>
      <c r="AA32" s="246" t="s">
        <v>69</v>
      </c>
      <c r="AB32" s="246" t="s">
        <v>340</v>
      </c>
    </row>
    <row r="33" spans="1:28" s="115" customFormat="1" x14ac:dyDescent="0.15">
      <c r="A33" s="246" t="s">
        <v>51</v>
      </c>
      <c r="B33" s="246" t="s">
        <v>338</v>
      </c>
      <c r="C33" s="246">
        <v>2018</v>
      </c>
      <c r="D33" s="106" t="s">
        <v>412</v>
      </c>
      <c r="E33" s="246" t="s">
        <v>169</v>
      </c>
      <c r="F33" s="246" t="s">
        <v>194</v>
      </c>
      <c r="G33" s="246" t="s">
        <v>42</v>
      </c>
      <c r="H33" s="246" t="s">
        <v>166</v>
      </c>
      <c r="I33" s="246" t="s">
        <v>155</v>
      </c>
      <c r="J33" s="246" t="s">
        <v>38</v>
      </c>
      <c r="K33" s="246" t="s">
        <v>156</v>
      </c>
      <c r="L33" s="246">
        <v>2</v>
      </c>
      <c r="M33" s="246"/>
      <c r="N33" s="246">
        <v>1</v>
      </c>
      <c r="O33" s="246">
        <v>0.55000000000000004</v>
      </c>
      <c r="P33" s="246">
        <v>0.55000000000000004</v>
      </c>
      <c r="Q33" s="107">
        <f t="shared" si="0"/>
        <v>0.55000000000000004</v>
      </c>
      <c r="R33" s="246">
        <v>17.2</v>
      </c>
      <c r="S33" s="246">
        <v>164</v>
      </c>
      <c r="T33" s="108">
        <f t="shared" si="1"/>
        <v>18</v>
      </c>
      <c r="U33" s="246">
        <v>127</v>
      </c>
      <c r="V33" s="109">
        <f t="shared" si="2"/>
        <v>2286</v>
      </c>
      <c r="W33" s="246">
        <v>10</v>
      </c>
      <c r="X33" s="246" t="s">
        <v>46</v>
      </c>
      <c r="Y33" s="246" t="s">
        <v>78</v>
      </c>
      <c r="Z33" s="246" t="s">
        <v>88</v>
      </c>
      <c r="AA33" s="246" t="s">
        <v>69</v>
      </c>
      <c r="AB33" s="246" t="s">
        <v>340</v>
      </c>
    </row>
    <row r="34" spans="1:28" s="115" customFormat="1" x14ac:dyDescent="0.15">
      <c r="A34" s="246" t="s">
        <v>51</v>
      </c>
      <c r="B34" s="246" t="s">
        <v>338</v>
      </c>
      <c r="C34" s="246">
        <v>2018</v>
      </c>
      <c r="D34" s="106" t="s">
        <v>412</v>
      </c>
      <c r="E34" s="246" t="s">
        <v>169</v>
      </c>
      <c r="F34" s="246" t="s">
        <v>194</v>
      </c>
      <c r="G34" s="246" t="s">
        <v>42</v>
      </c>
      <c r="H34" s="246" t="s">
        <v>166</v>
      </c>
      <c r="I34" s="246" t="s">
        <v>155</v>
      </c>
      <c r="J34" s="246" t="s">
        <v>38</v>
      </c>
      <c r="K34" s="246" t="s">
        <v>156</v>
      </c>
      <c r="L34" s="246">
        <v>3</v>
      </c>
      <c r="M34" s="246"/>
      <c r="N34" s="246">
        <v>1</v>
      </c>
      <c r="O34" s="246">
        <v>0.6</v>
      </c>
      <c r="P34" s="246">
        <v>0.7</v>
      </c>
      <c r="Q34" s="107">
        <f t="shared" si="0"/>
        <v>0.64999999999999991</v>
      </c>
      <c r="R34" s="246">
        <v>17.8</v>
      </c>
      <c r="S34" s="246">
        <v>170</v>
      </c>
      <c r="T34" s="108">
        <f t="shared" si="1"/>
        <v>18</v>
      </c>
      <c r="U34" s="246">
        <v>127</v>
      </c>
      <c r="V34" s="109">
        <f t="shared" si="2"/>
        <v>2286</v>
      </c>
      <c r="W34" s="246">
        <v>10</v>
      </c>
      <c r="X34" s="246" t="s">
        <v>46</v>
      </c>
      <c r="Y34" s="246" t="s">
        <v>78</v>
      </c>
      <c r="Z34" s="246" t="s">
        <v>88</v>
      </c>
      <c r="AA34" s="246" t="s">
        <v>69</v>
      </c>
      <c r="AB34" s="246" t="s">
        <v>340</v>
      </c>
    </row>
    <row r="35" spans="1:28" s="115" customFormat="1" x14ac:dyDescent="0.15">
      <c r="A35" s="246" t="s">
        <v>51</v>
      </c>
      <c r="B35" s="246" t="s">
        <v>338</v>
      </c>
      <c r="C35" s="246">
        <v>2018</v>
      </c>
      <c r="D35" s="106" t="s">
        <v>412</v>
      </c>
      <c r="E35" s="246" t="s">
        <v>210</v>
      </c>
      <c r="F35" s="246" t="s">
        <v>194</v>
      </c>
      <c r="G35" s="246" t="s">
        <v>42</v>
      </c>
      <c r="H35" s="246" t="s">
        <v>157</v>
      </c>
      <c r="I35" s="246" t="s">
        <v>155</v>
      </c>
      <c r="J35" s="246" t="s">
        <v>38</v>
      </c>
      <c r="K35" s="246" t="s">
        <v>156</v>
      </c>
      <c r="L35" s="246">
        <v>1</v>
      </c>
      <c r="M35" s="246"/>
      <c r="N35" s="246">
        <v>1</v>
      </c>
      <c r="O35" s="246">
        <v>0.75</v>
      </c>
      <c r="P35" s="246">
        <v>0.75</v>
      </c>
      <c r="Q35" s="107">
        <f t="shared" si="0"/>
        <v>0.75</v>
      </c>
      <c r="R35" s="246">
        <v>14.5</v>
      </c>
      <c r="S35" s="246">
        <v>114</v>
      </c>
      <c r="T35" s="108">
        <f t="shared" si="1"/>
        <v>30</v>
      </c>
      <c r="U35" s="246">
        <v>58</v>
      </c>
      <c r="V35" s="109">
        <f t="shared" si="2"/>
        <v>1740</v>
      </c>
      <c r="W35" s="246">
        <v>24</v>
      </c>
      <c r="X35" s="246" t="s">
        <v>46</v>
      </c>
      <c r="Y35" s="246" t="s">
        <v>55</v>
      </c>
      <c r="Z35" s="246" t="s">
        <v>97</v>
      </c>
      <c r="AA35" s="246" t="s">
        <v>88</v>
      </c>
      <c r="AB35" s="246" t="s">
        <v>340</v>
      </c>
    </row>
    <row r="36" spans="1:28" s="115" customFormat="1" x14ac:dyDescent="0.15">
      <c r="A36" s="246" t="s">
        <v>51</v>
      </c>
      <c r="B36" s="246" t="s">
        <v>338</v>
      </c>
      <c r="C36" s="246">
        <v>2018</v>
      </c>
      <c r="D36" s="106" t="s">
        <v>412</v>
      </c>
      <c r="E36" s="246" t="s">
        <v>210</v>
      </c>
      <c r="F36" s="246" t="s">
        <v>194</v>
      </c>
      <c r="G36" s="246" t="s">
        <v>42</v>
      </c>
      <c r="H36" s="246" t="s">
        <v>157</v>
      </c>
      <c r="I36" s="246" t="s">
        <v>155</v>
      </c>
      <c r="J36" s="246" t="s">
        <v>38</v>
      </c>
      <c r="K36" s="246" t="s">
        <v>156</v>
      </c>
      <c r="L36" s="246">
        <v>2</v>
      </c>
      <c r="M36" s="246"/>
      <c r="N36" s="246">
        <v>1</v>
      </c>
      <c r="O36" s="246">
        <v>0.7</v>
      </c>
      <c r="P36" s="246">
        <v>0.8</v>
      </c>
      <c r="Q36" s="107">
        <f t="shared" si="0"/>
        <v>0.75</v>
      </c>
      <c r="R36" s="246">
        <v>14.2</v>
      </c>
      <c r="S36" s="246">
        <v>114</v>
      </c>
      <c r="T36" s="108">
        <f t="shared" si="1"/>
        <v>30</v>
      </c>
      <c r="U36" s="246">
        <v>58</v>
      </c>
      <c r="V36" s="109">
        <f t="shared" si="2"/>
        <v>1740</v>
      </c>
      <c r="W36" s="246">
        <v>24</v>
      </c>
      <c r="X36" s="246" t="s">
        <v>46</v>
      </c>
      <c r="Y36" s="246" t="s">
        <v>55</v>
      </c>
      <c r="Z36" s="246" t="s">
        <v>97</v>
      </c>
      <c r="AA36" s="246" t="s">
        <v>88</v>
      </c>
      <c r="AB36" s="246" t="s">
        <v>340</v>
      </c>
    </row>
    <row r="37" spans="1:28" s="115" customFormat="1" x14ac:dyDescent="0.15">
      <c r="A37" s="246" t="s">
        <v>51</v>
      </c>
      <c r="B37" s="246" t="s">
        <v>338</v>
      </c>
      <c r="C37" s="246">
        <v>2018</v>
      </c>
      <c r="D37" s="106" t="s">
        <v>412</v>
      </c>
      <c r="E37" s="246" t="s">
        <v>210</v>
      </c>
      <c r="F37" s="246" t="s">
        <v>194</v>
      </c>
      <c r="G37" s="246" t="s">
        <v>42</v>
      </c>
      <c r="H37" s="246" t="s">
        <v>157</v>
      </c>
      <c r="I37" s="246" t="s">
        <v>155</v>
      </c>
      <c r="J37" s="246" t="s">
        <v>38</v>
      </c>
      <c r="K37" s="246" t="s">
        <v>156</v>
      </c>
      <c r="L37" s="246">
        <v>3</v>
      </c>
      <c r="M37" s="246"/>
      <c r="N37" s="246">
        <v>1</v>
      </c>
      <c r="O37" s="246">
        <v>0.65</v>
      </c>
      <c r="P37" s="246">
        <v>0.75</v>
      </c>
      <c r="Q37" s="107">
        <f t="shared" si="0"/>
        <v>0.7</v>
      </c>
      <c r="R37" s="246">
        <v>15.6</v>
      </c>
      <c r="S37" s="246">
        <v>116</v>
      </c>
      <c r="T37" s="108">
        <f t="shared" si="1"/>
        <v>30</v>
      </c>
      <c r="U37" s="246">
        <v>58</v>
      </c>
      <c r="V37" s="109">
        <f t="shared" si="2"/>
        <v>1740</v>
      </c>
      <c r="W37" s="246">
        <v>24</v>
      </c>
      <c r="X37" s="246" t="s">
        <v>46</v>
      </c>
      <c r="Y37" s="246" t="s">
        <v>55</v>
      </c>
      <c r="Z37" s="246" t="s">
        <v>97</v>
      </c>
      <c r="AA37" s="246" t="s">
        <v>88</v>
      </c>
      <c r="AB37" s="246" t="s">
        <v>340</v>
      </c>
    </row>
    <row r="38" spans="1:28" s="115" customFormat="1" x14ac:dyDescent="0.15">
      <c r="A38" s="246" t="s">
        <v>51</v>
      </c>
      <c r="B38" s="246" t="s">
        <v>338</v>
      </c>
      <c r="C38" s="246">
        <v>2018</v>
      </c>
      <c r="D38" s="106" t="s">
        <v>412</v>
      </c>
      <c r="E38" s="246" t="s">
        <v>210</v>
      </c>
      <c r="F38" s="246" t="s">
        <v>194</v>
      </c>
      <c r="G38" s="246" t="s">
        <v>42</v>
      </c>
      <c r="H38" s="246" t="s">
        <v>166</v>
      </c>
      <c r="I38" s="246" t="s">
        <v>155</v>
      </c>
      <c r="J38" s="246" t="s">
        <v>38</v>
      </c>
      <c r="K38" s="246" t="s">
        <v>156</v>
      </c>
      <c r="L38" s="246">
        <v>1</v>
      </c>
      <c r="M38" s="246"/>
      <c r="N38" s="246">
        <v>1</v>
      </c>
      <c r="O38" s="246">
        <v>0.65</v>
      </c>
      <c r="P38" s="246">
        <v>0.75</v>
      </c>
      <c r="Q38" s="107">
        <f t="shared" si="0"/>
        <v>0.7</v>
      </c>
      <c r="R38" s="246">
        <v>17.399999999999999</v>
      </c>
      <c r="S38" s="246">
        <v>130</v>
      </c>
      <c r="T38" s="108">
        <f t="shared" si="1"/>
        <v>25</v>
      </c>
      <c r="U38" s="246">
        <v>138</v>
      </c>
      <c r="V38" s="109">
        <f t="shared" si="2"/>
        <v>3450</v>
      </c>
      <c r="W38" s="246">
        <v>24</v>
      </c>
      <c r="X38" s="246" t="s">
        <v>46</v>
      </c>
      <c r="Y38" s="246" t="s">
        <v>55</v>
      </c>
      <c r="Z38" s="246" t="s">
        <v>97</v>
      </c>
      <c r="AA38" s="246" t="s">
        <v>88</v>
      </c>
      <c r="AB38" s="246" t="s">
        <v>340</v>
      </c>
    </row>
    <row r="39" spans="1:28" s="115" customFormat="1" x14ac:dyDescent="0.15">
      <c r="A39" s="246" t="s">
        <v>51</v>
      </c>
      <c r="B39" s="246" t="s">
        <v>338</v>
      </c>
      <c r="C39" s="246">
        <v>2018</v>
      </c>
      <c r="D39" s="106" t="s">
        <v>412</v>
      </c>
      <c r="E39" s="246" t="s">
        <v>210</v>
      </c>
      <c r="F39" s="246" t="s">
        <v>194</v>
      </c>
      <c r="G39" s="246" t="s">
        <v>42</v>
      </c>
      <c r="H39" s="246" t="s">
        <v>166</v>
      </c>
      <c r="I39" s="246" t="s">
        <v>155</v>
      </c>
      <c r="J39" s="246" t="s">
        <v>38</v>
      </c>
      <c r="K39" s="246" t="s">
        <v>156</v>
      </c>
      <c r="L39" s="246">
        <v>2</v>
      </c>
      <c r="M39" s="246"/>
      <c r="N39" s="246">
        <v>1</v>
      </c>
      <c r="O39" s="246">
        <v>0.7</v>
      </c>
      <c r="P39" s="246">
        <v>0.6</v>
      </c>
      <c r="Q39" s="107">
        <f t="shared" si="0"/>
        <v>0.64999999999999991</v>
      </c>
      <c r="R39" s="246">
        <v>16.7</v>
      </c>
      <c r="S39" s="246">
        <v>132</v>
      </c>
      <c r="T39" s="108">
        <f t="shared" si="1"/>
        <v>25</v>
      </c>
      <c r="U39" s="246">
        <v>138</v>
      </c>
      <c r="V39" s="109">
        <f t="shared" si="2"/>
        <v>3450</v>
      </c>
      <c r="W39" s="246">
        <v>24</v>
      </c>
      <c r="X39" s="246" t="s">
        <v>46</v>
      </c>
      <c r="Y39" s="246" t="s">
        <v>55</v>
      </c>
      <c r="Z39" s="246" t="s">
        <v>97</v>
      </c>
      <c r="AA39" s="246" t="s">
        <v>88</v>
      </c>
      <c r="AB39" s="246" t="s">
        <v>340</v>
      </c>
    </row>
    <row r="40" spans="1:28" s="115" customFormat="1" x14ac:dyDescent="0.15">
      <c r="A40" s="246" t="s">
        <v>51</v>
      </c>
      <c r="B40" s="246" t="s">
        <v>338</v>
      </c>
      <c r="C40" s="246">
        <v>2018</v>
      </c>
      <c r="D40" s="106" t="s">
        <v>412</v>
      </c>
      <c r="E40" s="246" t="s">
        <v>210</v>
      </c>
      <c r="F40" s="246" t="s">
        <v>194</v>
      </c>
      <c r="G40" s="246" t="s">
        <v>42</v>
      </c>
      <c r="H40" s="246" t="s">
        <v>166</v>
      </c>
      <c r="I40" s="246" t="s">
        <v>155</v>
      </c>
      <c r="J40" s="246" t="s">
        <v>38</v>
      </c>
      <c r="K40" s="246" t="s">
        <v>156</v>
      </c>
      <c r="L40" s="246">
        <v>3</v>
      </c>
      <c r="M40" s="246"/>
      <c r="N40" s="246">
        <v>1</v>
      </c>
      <c r="O40" s="246">
        <v>0.6</v>
      </c>
      <c r="P40" s="246">
        <v>0.65</v>
      </c>
      <c r="Q40" s="107">
        <f t="shared" si="0"/>
        <v>0.625</v>
      </c>
      <c r="R40" s="246">
        <v>17.8</v>
      </c>
      <c r="S40" s="246">
        <v>126</v>
      </c>
      <c r="T40" s="108">
        <f t="shared" si="1"/>
        <v>27</v>
      </c>
      <c r="U40" s="246">
        <v>138</v>
      </c>
      <c r="V40" s="109">
        <f t="shared" si="2"/>
        <v>3726</v>
      </c>
      <c r="W40" s="246">
        <v>24</v>
      </c>
      <c r="X40" s="246" t="s">
        <v>46</v>
      </c>
      <c r="Y40" s="246" t="s">
        <v>55</v>
      </c>
      <c r="Z40" s="246" t="s">
        <v>97</v>
      </c>
      <c r="AA40" s="246" t="s">
        <v>88</v>
      </c>
      <c r="AB40" s="246" t="s">
        <v>340</v>
      </c>
    </row>
    <row r="41" spans="1:28" s="115" customFormat="1" x14ac:dyDescent="0.15">
      <c r="A41" s="246" t="s">
        <v>51</v>
      </c>
      <c r="B41" s="246" t="s">
        <v>338</v>
      </c>
      <c r="C41" s="246">
        <v>2018</v>
      </c>
      <c r="D41" s="106" t="s">
        <v>412</v>
      </c>
      <c r="E41" s="246" t="s">
        <v>199</v>
      </c>
      <c r="F41" s="246" t="s">
        <v>200</v>
      </c>
      <c r="G41" s="246" t="s">
        <v>42</v>
      </c>
      <c r="H41" s="246" t="s">
        <v>157</v>
      </c>
      <c r="I41" s="246" t="s">
        <v>155</v>
      </c>
      <c r="J41" s="246" t="s">
        <v>38</v>
      </c>
      <c r="K41" s="246" t="s">
        <v>156</v>
      </c>
      <c r="L41" s="246">
        <v>1</v>
      </c>
      <c r="M41" s="246"/>
      <c r="N41" s="246">
        <v>1</v>
      </c>
      <c r="O41" s="246">
        <v>1.1000000000000001</v>
      </c>
      <c r="P41" s="246">
        <v>1</v>
      </c>
      <c r="Q41" s="107">
        <f t="shared" si="0"/>
        <v>1.05</v>
      </c>
      <c r="R41" s="246">
        <v>14.6</v>
      </c>
      <c r="S41" s="246">
        <v>138</v>
      </c>
      <c r="T41" s="108">
        <f t="shared" si="1"/>
        <v>22</v>
      </c>
      <c r="U41" s="246">
        <v>138</v>
      </c>
      <c r="V41" s="109">
        <f t="shared" si="2"/>
        <v>3036</v>
      </c>
      <c r="W41" s="246">
        <v>4</v>
      </c>
      <c r="X41" s="246" t="s">
        <v>46</v>
      </c>
      <c r="Y41" s="246" t="s">
        <v>78</v>
      </c>
      <c r="Z41" s="130" t="s">
        <v>69</v>
      </c>
      <c r="AA41" s="246" t="s">
        <v>97</v>
      </c>
      <c r="AB41" s="246" t="s">
        <v>340</v>
      </c>
    </row>
    <row r="42" spans="1:28" s="115" customFormat="1" x14ac:dyDescent="0.15">
      <c r="A42" s="246" t="s">
        <v>51</v>
      </c>
      <c r="B42" s="246" t="s">
        <v>338</v>
      </c>
      <c r="C42" s="246">
        <v>2018</v>
      </c>
      <c r="D42" s="106" t="s">
        <v>412</v>
      </c>
      <c r="E42" s="246" t="s">
        <v>199</v>
      </c>
      <c r="F42" s="246" t="s">
        <v>200</v>
      </c>
      <c r="G42" s="246" t="s">
        <v>42</v>
      </c>
      <c r="H42" s="246" t="s">
        <v>157</v>
      </c>
      <c r="I42" s="246" t="s">
        <v>155</v>
      </c>
      <c r="J42" s="246" t="s">
        <v>38</v>
      </c>
      <c r="K42" s="246" t="s">
        <v>156</v>
      </c>
      <c r="L42" s="246">
        <v>2</v>
      </c>
      <c r="M42" s="246"/>
      <c r="N42" s="246">
        <v>1</v>
      </c>
      <c r="O42" s="246">
        <v>1</v>
      </c>
      <c r="P42" s="246">
        <v>1</v>
      </c>
      <c r="Q42" s="107">
        <f t="shared" si="0"/>
        <v>1</v>
      </c>
      <c r="R42" s="246">
        <v>15.1</v>
      </c>
      <c r="S42" s="246">
        <v>142</v>
      </c>
      <c r="T42" s="108">
        <f t="shared" si="1"/>
        <v>22</v>
      </c>
      <c r="U42" s="246">
        <v>138</v>
      </c>
      <c r="V42" s="109">
        <f t="shared" si="2"/>
        <v>3036</v>
      </c>
      <c r="W42" s="246">
        <v>4</v>
      </c>
      <c r="X42" s="246" t="s">
        <v>46</v>
      </c>
      <c r="Y42" s="246" t="s">
        <v>78</v>
      </c>
      <c r="Z42" s="130" t="s">
        <v>69</v>
      </c>
      <c r="AA42" s="246" t="s">
        <v>97</v>
      </c>
      <c r="AB42" s="246" t="s">
        <v>340</v>
      </c>
    </row>
    <row r="43" spans="1:28" s="115" customFormat="1" x14ac:dyDescent="0.15">
      <c r="A43" s="246" t="s">
        <v>51</v>
      </c>
      <c r="B43" s="246" t="s">
        <v>338</v>
      </c>
      <c r="C43" s="246">
        <v>2018</v>
      </c>
      <c r="D43" s="106" t="s">
        <v>412</v>
      </c>
      <c r="E43" s="246" t="s">
        <v>199</v>
      </c>
      <c r="F43" s="246" t="s">
        <v>200</v>
      </c>
      <c r="G43" s="246" t="s">
        <v>42</v>
      </c>
      <c r="H43" s="246" t="s">
        <v>157</v>
      </c>
      <c r="I43" s="246" t="s">
        <v>155</v>
      </c>
      <c r="J43" s="246" t="s">
        <v>38</v>
      </c>
      <c r="K43" s="246" t="s">
        <v>156</v>
      </c>
      <c r="L43" s="246">
        <v>3</v>
      </c>
      <c r="M43" s="246"/>
      <c r="N43" s="246">
        <v>1</v>
      </c>
      <c r="O43" s="246">
        <v>1.05</v>
      </c>
      <c r="P43" s="246">
        <v>1.1499999999999999</v>
      </c>
      <c r="Q43" s="107">
        <f t="shared" si="0"/>
        <v>1.1000000000000001</v>
      </c>
      <c r="R43" s="246">
        <v>14.2</v>
      </c>
      <c r="S43" s="246">
        <v>140</v>
      </c>
      <c r="T43" s="108">
        <f t="shared" si="1"/>
        <v>22</v>
      </c>
      <c r="U43" s="246">
        <v>138</v>
      </c>
      <c r="V43" s="109">
        <f t="shared" si="2"/>
        <v>3036</v>
      </c>
      <c r="W43" s="246">
        <v>4</v>
      </c>
      <c r="X43" s="246" t="s">
        <v>46</v>
      </c>
      <c r="Y43" s="246" t="s">
        <v>78</v>
      </c>
      <c r="Z43" s="130" t="s">
        <v>69</v>
      </c>
      <c r="AA43" s="246" t="s">
        <v>97</v>
      </c>
      <c r="AB43" s="246" t="s">
        <v>340</v>
      </c>
    </row>
    <row r="44" spans="1:28" s="115" customFormat="1" x14ac:dyDescent="0.15">
      <c r="A44" s="246" t="s">
        <v>51</v>
      </c>
      <c r="B44" s="246" t="s">
        <v>338</v>
      </c>
      <c r="C44" s="246">
        <v>2018</v>
      </c>
      <c r="D44" s="106" t="s">
        <v>412</v>
      </c>
      <c r="E44" s="246" t="s">
        <v>199</v>
      </c>
      <c r="F44" s="246" t="s">
        <v>200</v>
      </c>
      <c r="G44" s="246" t="s">
        <v>42</v>
      </c>
      <c r="H44" s="246" t="s">
        <v>166</v>
      </c>
      <c r="I44" s="246" t="s">
        <v>155</v>
      </c>
      <c r="J44" s="246" t="s">
        <v>38</v>
      </c>
      <c r="K44" s="246" t="s">
        <v>156</v>
      </c>
      <c r="L44" s="246">
        <v>1</v>
      </c>
      <c r="M44" s="246"/>
      <c r="N44" s="246">
        <v>1</v>
      </c>
      <c r="O44" s="246">
        <v>0.65</v>
      </c>
      <c r="P44" s="246">
        <v>0.75</v>
      </c>
      <c r="Q44" s="107">
        <f t="shared" si="0"/>
        <v>0.7</v>
      </c>
      <c r="R44" s="246">
        <v>16.3</v>
      </c>
      <c r="S44" s="246">
        <v>148</v>
      </c>
      <c r="T44" s="108">
        <f t="shared" si="1"/>
        <v>22</v>
      </c>
      <c r="U44" s="246">
        <v>138</v>
      </c>
      <c r="V44" s="109">
        <f t="shared" si="2"/>
        <v>3036</v>
      </c>
      <c r="W44" s="246">
        <v>4</v>
      </c>
      <c r="X44" s="246" t="s">
        <v>46</v>
      </c>
      <c r="Y44" s="246" t="s">
        <v>78</v>
      </c>
      <c r="Z44" s="130" t="s">
        <v>69</v>
      </c>
      <c r="AA44" s="246" t="s">
        <v>97</v>
      </c>
      <c r="AB44" s="246" t="s">
        <v>340</v>
      </c>
    </row>
    <row r="45" spans="1:28" s="115" customFormat="1" x14ac:dyDescent="0.15">
      <c r="A45" s="246" t="s">
        <v>51</v>
      </c>
      <c r="B45" s="246" t="s">
        <v>338</v>
      </c>
      <c r="C45" s="246">
        <v>2018</v>
      </c>
      <c r="D45" s="106" t="s">
        <v>412</v>
      </c>
      <c r="E45" s="246" t="s">
        <v>199</v>
      </c>
      <c r="F45" s="246" t="s">
        <v>200</v>
      </c>
      <c r="G45" s="246" t="s">
        <v>42</v>
      </c>
      <c r="H45" s="246" t="s">
        <v>166</v>
      </c>
      <c r="I45" s="246" t="s">
        <v>155</v>
      </c>
      <c r="J45" s="246" t="s">
        <v>38</v>
      </c>
      <c r="K45" s="246" t="s">
        <v>156</v>
      </c>
      <c r="L45" s="246">
        <v>2</v>
      </c>
      <c r="M45" s="246"/>
      <c r="N45" s="246">
        <v>1</v>
      </c>
      <c r="O45" s="246">
        <v>0.7</v>
      </c>
      <c r="P45" s="246">
        <v>0.7</v>
      </c>
      <c r="Q45" s="107">
        <f t="shared" si="0"/>
        <v>0.7</v>
      </c>
      <c r="R45" s="246">
        <v>15.8</v>
      </c>
      <c r="S45" s="246">
        <v>140</v>
      </c>
      <c r="T45" s="108">
        <f t="shared" si="1"/>
        <v>22</v>
      </c>
      <c r="U45" s="246">
        <v>138</v>
      </c>
      <c r="V45" s="109">
        <f t="shared" si="2"/>
        <v>3036</v>
      </c>
      <c r="W45" s="246">
        <v>4</v>
      </c>
      <c r="X45" s="246" t="s">
        <v>46</v>
      </c>
      <c r="Y45" s="246" t="s">
        <v>78</v>
      </c>
      <c r="Z45" s="130" t="s">
        <v>69</v>
      </c>
      <c r="AA45" s="246" t="s">
        <v>97</v>
      </c>
      <c r="AB45" s="246" t="s">
        <v>340</v>
      </c>
    </row>
    <row r="46" spans="1:28" s="115" customFormat="1" x14ac:dyDescent="0.15">
      <c r="A46" s="246" t="s">
        <v>51</v>
      </c>
      <c r="B46" s="246" t="s">
        <v>338</v>
      </c>
      <c r="C46" s="246">
        <v>2018</v>
      </c>
      <c r="D46" s="106" t="s">
        <v>412</v>
      </c>
      <c r="E46" s="246" t="s">
        <v>199</v>
      </c>
      <c r="F46" s="246" t="s">
        <v>200</v>
      </c>
      <c r="G46" s="246" t="s">
        <v>42</v>
      </c>
      <c r="H46" s="246" t="s">
        <v>166</v>
      </c>
      <c r="I46" s="246" t="s">
        <v>155</v>
      </c>
      <c r="J46" s="246" t="s">
        <v>38</v>
      </c>
      <c r="K46" s="246" t="s">
        <v>156</v>
      </c>
      <c r="L46" s="246">
        <v>3</v>
      </c>
      <c r="M46" s="246"/>
      <c r="N46" s="246">
        <v>1</v>
      </c>
      <c r="O46" s="246">
        <v>0.8</v>
      </c>
      <c r="P46" s="246">
        <v>0.7</v>
      </c>
      <c r="Q46" s="107">
        <f t="shared" si="0"/>
        <v>0.75</v>
      </c>
      <c r="R46" s="246">
        <v>16.5</v>
      </c>
      <c r="S46" s="246">
        <v>148</v>
      </c>
      <c r="T46" s="108">
        <f t="shared" si="1"/>
        <v>22</v>
      </c>
      <c r="U46" s="246">
        <v>138</v>
      </c>
      <c r="V46" s="109">
        <f t="shared" si="2"/>
        <v>3036</v>
      </c>
      <c r="W46" s="246">
        <v>4</v>
      </c>
      <c r="X46" s="246" t="s">
        <v>46</v>
      </c>
      <c r="Y46" s="246" t="s">
        <v>78</v>
      </c>
      <c r="Z46" s="130" t="s">
        <v>69</v>
      </c>
      <c r="AA46" s="246" t="s">
        <v>97</v>
      </c>
      <c r="AB46" s="246" t="s">
        <v>340</v>
      </c>
    </row>
    <row r="47" spans="1:28" s="115" customFormat="1" x14ac:dyDescent="0.15">
      <c r="A47" s="246" t="s">
        <v>51</v>
      </c>
      <c r="B47" s="246" t="s">
        <v>338</v>
      </c>
      <c r="C47" s="246">
        <v>2018</v>
      </c>
      <c r="D47" s="106" t="s">
        <v>412</v>
      </c>
      <c r="E47" s="246" t="s">
        <v>205</v>
      </c>
      <c r="F47" s="246" t="s">
        <v>193</v>
      </c>
      <c r="G47" s="246" t="s">
        <v>36</v>
      </c>
      <c r="H47" s="246" t="s">
        <v>157</v>
      </c>
      <c r="I47" s="246" t="s">
        <v>155</v>
      </c>
      <c r="J47" s="246" t="s">
        <v>38</v>
      </c>
      <c r="K47" s="246" t="s">
        <v>156</v>
      </c>
      <c r="L47" s="246">
        <v>1</v>
      </c>
      <c r="M47" s="246"/>
      <c r="N47" s="246">
        <v>1</v>
      </c>
      <c r="O47" s="246">
        <v>0.85</v>
      </c>
      <c r="P47" s="246">
        <v>0.85</v>
      </c>
      <c r="Q47" s="107">
        <f t="shared" si="0"/>
        <v>0.85</v>
      </c>
      <c r="R47" s="246">
        <v>12.5</v>
      </c>
      <c r="S47" s="246">
        <v>114</v>
      </c>
      <c r="T47" s="108">
        <f t="shared" si="1"/>
        <v>30</v>
      </c>
      <c r="U47" s="246">
        <v>89</v>
      </c>
      <c r="V47" s="109">
        <f t="shared" si="2"/>
        <v>2670</v>
      </c>
      <c r="W47" s="246">
        <v>6</v>
      </c>
      <c r="X47" s="246" t="s">
        <v>46</v>
      </c>
      <c r="Y47" s="246" t="s">
        <v>97</v>
      </c>
      <c r="Z47" s="130" t="s">
        <v>88</v>
      </c>
      <c r="AA47" s="246" t="s">
        <v>78</v>
      </c>
      <c r="AB47" s="246" t="s">
        <v>340</v>
      </c>
    </row>
    <row r="48" spans="1:28" s="115" customFormat="1" x14ac:dyDescent="0.15">
      <c r="A48" s="246" t="s">
        <v>51</v>
      </c>
      <c r="B48" s="246" t="s">
        <v>338</v>
      </c>
      <c r="C48" s="246">
        <v>2018</v>
      </c>
      <c r="D48" s="106" t="s">
        <v>412</v>
      </c>
      <c r="E48" s="246" t="s">
        <v>205</v>
      </c>
      <c r="F48" s="246" t="s">
        <v>193</v>
      </c>
      <c r="G48" s="246" t="s">
        <v>36</v>
      </c>
      <c r="H48" s="246" t="s">
        <v>157</v>
      </c>
      <c r="I48" s="246" t="s">
        <v>155</v>
      </c>
      <c r="J48" s="246" t="s">
        <v>38</v>
      </c>
      <c r="K48" s="246" t="s">
        <v>156</v>
      </c>
      <c r="L48" s="246">
        <v>2</v>
      </c>
      <c r="M48" s="246"/>
      <c r="N48" s="246">
        <v>1</v>
      </c>
      <c r="O48" s="246">
        <v>0.75</v>
      </c>
      <c r="P48" s="246">
        <v>0.8</v>
      </c>
      <c r="Q48" s="107">
        <f t="shared" si="0"/>
        <v>0.77500000000000002</v>
      </c>
      <c r="R48" s="246">
        <v>13.8</v>
      </c>
      <c r="S48" s="246">
        <v>116</v>
      </c>
      <c r="T48" s="108">
        <f t="shared" si="1"/>
        <v>30</v>
      </c>
      <c r="U48" s="246">
        <v>89</v>
      </c>
      <c r="V48" s="109">
        <f t="shared" si="2"/>
        <v>2670</v>
      </c>
      <c r="W48" s="246">
        <v>6</v>
      </c>
      <c r="X48" s="246" t="s">
        <v>46</v>
      </c>
      <c r="Y48" s="246" t="s">
        <v>97</v>
      </c>
      <c r="Z48" s="130" t="s">
        <v>88</v>
      </c>
      <c r="AA48" s="246" t="s">
        <v>78</v>
      </c>
      <c r="AB48" s="246" t="s">
        <v>340</v>
      </c>
    </row>
    <row r="49" spans="1:28" s="115" customFormat="1" x14ac:dyDescent="0.15">
      <c r="A49" s="246" t="s">
        <v>51</v>
      </c>
      <c r="B49" s="246" t="s">
        <v>338</v>
      </c>
      <c r="C49" s="246">
        <v>2018</v>
      </c>
      <c r="D49" s="106" t="s">
        <v>412</v>
      </c>
      <c r="E49" s="246" t="s">
        <v>205</v>
      </c>
      <c r="F49" s="246" t="s">
        <v>193</v>
      </c>
      <c r="G49" s="246" t="s">
        <v>36</v>
      </c>
      <c r="H49" s="246" t="s">
        <v>157</v>
      </c>
      <c r="I49" s="246" t="s">
        <v>155</v>
      </c>
      <c r="J49" s="246" t="s">
        <v>38</v>
      </c>
      <c r="K49" s="246" t="s">
        <v>156</v>
      </c>
      <c r="L49" s="246">
        <v>3</v>
      </c>
      <c r="M49" s="246"/>
      <c r="N49" s="246">
        <v>1</v>
      </c>
      <c r="O49" s="246">
        <v>0.9</v>
      </c>
      <c r="P49" s="246">
        <v>0.8</v>
      </c>
      <c r="Q49" s="107">
        <f t="shared" si="0"/>
        <v>0.85000000000000009</v>
      </c>
      <c r="R49" s="246">
        <v>12.7</v>
      </c>
      <c r="S49" s="246">
        <v>114</v>
      </c>
      <c r="T49" s="108">
        <f t="shared" si="1"/>
        <v>30</v>
      </c>
      <c r="U49" s="246">
        <v>89</v>
      </c>
      <c r="V49" s="109">
        <f t="shared" si="2"/>
        <v>2670</v>
      </c>
      <c r="W49" s="246">
        <v>6</v>
      </c>
      <c r="X49" s="246" t="s">
        <v>46</v>
      </c>
      <c r="Y49" s="246" t="s">
        <v>97</v>
      </c>
      <c r="Z49" s="130" t="s">
        <v>88</v>
      </c>
      <c r="AA49" s="246" t="s">
        <v>78</v>
      </c>
      <c r="AB49" s="246" t="s">
        <v>340</v>
      </c>
    </row>
    <row r="50" spans="1:28" s="115" customFormat="1" x14ac:dyDescent="0.15">
      <c r="A50" s="246" t="s">
        <v>51</v>
      </c>
      <c r="B50" s="246" t="s">
        <v>338</v>
      </c>
      <c r="C50" s="246">
        <v>2018</v>
      </c>
      <c r="D50" s="106" t="s">
        <v>412</v>
      </c>
      <c r="E50" s="246" t="s">
        <v>205</v>
      </c>
      <c r="F50" s="246" t="s">
        <v>193</v>
      </c>
      <c r="G50" s="246" t="s">
        <v>36</v>
      </c>
      <c r="H50" s="246" t="s">
        <v>157</v>
      </c>
      <c r="I50" s="246" t="s">
        <v>158</v>
      </c>
      <c r="J50" s="246" t="s">
        <v>38</v>
      </c>
      <c r="K50" s="246" t="s">
        <v>156</v>
      </c>
      <c r="L50" s="246">
        <v>1</v>
      </c>
      <c r="M50" s="246"/>
      <c r="N50" s="246">
        <v>2</v>
      </c>
      <c r="O50" s="246">
        <v>0.75</v>
      </c>
      <c r="P50" s="246">
        <v>0.75</v>
      </c>
      <c r="Q50" s="107">
        <f t="shared" si="0"/>
        <v>0.75</v>
      </c>
      <c r="R50" s="246">
        <v>13.2</v>
      </c>
      <c r="S50" s="246">
        <v>138</v>
      </c>
      <c r="T50" s="108">
        <f t="shared" si="1"/>
        <v>22</v>
      </c>
      <c r="U50" s="246">
        <v>398</v>
      </c>
      <c r="V50" s="109">
        <f t="shared" si="2"/>
        <v>4378</v>
      </c>
      <c r="W50" s="246">
        <v>6</v>
      </c>
      <c r="X50" s="246" t="s">
        <v>39</v>
      </c>
      <c r="Y50" s="246" t="s">
        <v>97</v>
      </c>
      <c r="Z50" s="130" t="s">
        <v>88</v>
      </c>
      <c r="AA50" s="246" t="s">
        <v>78</v>
      </c>
      <c r="AB50" s="246" t="s">
        <v>340</v>
      </c>
    </row>
    <row r="51" spans="1:28" s="115" customFormat="1" x14ac:dyDescent="0.15">
      <c r="A51" s="246" t="s">
        <v>51</v>
      </c>
      <c r="B51" s="246" t="s">
        <v>338</v>
      </c>
      <c r="C51" s="246">
        <v>2018</v>
      </c>
      <c r="D51" s="106" t="s">
        <v>412</v>
      </c>
      <c r="E51" s="246" t="s">
        <v>205</v>
      </c>
      <c r="F51" s="246" t="s">
        <v>193</v>
      </c>
      <c r="G51" s="246" t="s">
        <v>36</v>
      </c>
      <c r="H51" s="246" t="s">
        <v>157</v>
      </c>
      <c r="I51" s="246" t="s">
        <v>158</v>
      </c>
      <c r="J51" s="246" t="s">
        <v>38</v>
      </c>
      <c r="K51" s="246" t="s">
        <v>156</v>
      </c>
      <c r="L51" s="246">
        <v>2</v>
      </c>
      <c r="M51" s="246"/>
      <c r="N51" s="246">
        <v>2</v>
      </c>
      <c r="O51" s="246">
        <v>0.7</v>
      </c>
      <c r="P51" s="246">
        <v>0.8</v>
      </c>
      <c r="Q51" s="107">
        <f t="shared" si="0"/>
        <v>0.75</v>
      </c>
      <c r="R51" s="246">
        <v>13.5</v>
      </c>
      <c r="S51" s="246">
        <v>140</v>
      </c>
      <c r="T51" s="108">
        <f t="shared" si="1"/>
        <v>22</v>
      </c>
      <c r="U51" s="246">
        <v>398</v>
      </c>
      <c r="V51" s="109">
        <f t="shared" si="2"/>
        <v>4378</v>
      </c>
      <c r="W51" s="246">
        <v>6</v>
      </c>
      <c r="X51" s="246" t="s">
        <v>39</v>
      </c>
      <c r="Y51" s="246" t="s">
        <v>97</v>
      </c>
      <c r="Z51" s="130" t="s">
        <v>88</v>
      </c>
      <c r="AA51" s="246" t="s">
        <v>78</v>
      </c>
      <c r="AB51" s="246" t="s">
        <v>340</v>
      </c>
    </row>
    <row r="52" spans="1:28" s="115" customFormat="1" x14ac:dyDescent="0.15">
      <c r="A52" s="246" t="s">
        <v>51</v>
      </c>
      <c r="B52" s="246" t="s">
        <v>338</v>
      </c>
      <c r="C52" s="246">
        <v>2018</v>
      </c>
      <c r="D52" s="106" t="s">
        <v>412</v>
      </c>
      <c r="E52" s="246" t="s">
        <v>205</v>
      </c>
      <c r="F52" s="246" t="s">
        <v>193</v>
      </c>
      <c r="G52" s="246" t="s">
        <v>36</v>
      </c>
      <c r="H52" s="246" t="s">
        <v>157</v>
      </c>
      <c r="I52" s="246" t="s">
        <v>158</v>
      </c>
      <c r="J52" s="246" t="s">
        <v>38</v>
      </c>
      <c r="K52" s="246" t="s">
        <v>156</v>
      </c>
      <c r="L52" s="246">
        <v>3</v>
      </c>
      <c r="M52" s="246"/>
      <c r="N52" s="246">
        <v>2</v>
      </c>
      <c r="O52" s="246">
        <v>0.7</v>
      </c>
      <c r="P52" s="246">
        <v>0.65</v>
      </c>
      <c r="Q52" s="107">
        <f t="shared" si="0"/>
        <v>0.67500000000000004</v>
      </c>
      <c r="R52" s="246">
        <v>14.1</v>
      </c>
      <c r="S52" s="246">
        <v>144</v>
      </c>
      <c r="T52" s="108">
        <f t="shared" si="1"/>
        <v>22</v>
      </c>
      <c r="U52" s="246">
        <v>398</v>
      </c>
      <c r="V52" s="109">
        <f t="shared" si="2"/>
        <v>4378</v>
      </c>
      <c r="W52" s="246">
        <v>6</v>
      </c>
      <c r="X52" s="246" t="s">
        <v>39</v>
      </c>
      <c r="Y52" s="246" t="s">
        <v>97</v>
      </c>
      <c r="Z52" s="130" t="s">
        <v>88</v>
      </c>
      <c r="AA52" s="246" t="s">
        <v>78</v>
      </c>
      <c r="AB52" s="246" t="s">
        <v>340</v>
      </c>
    </row>
    <row r="53" spans="1:28" s="115" customFormat="1" x14ac:dyDescent="0.15">
      <c r="A53" s="246" t="s">
        <v>51</v>
      </c>
      <c r="B53" s="246" t="s">
        <v>338</v>
      </c>
      <c r="C53" s="246">
        <v>2018</v>
      </c>
      <c r="D53" s="106" t="s">
        <v>412</v>
      </c>
      <c r="E53" s="246" t="s">
        <v>205</v>
      </c>
      <c r="F53" s="246" t="s">
        <v>193</v>
      </c>
      <c r="G53" s="246" t="s">
        <v>36</v>
      </c>
      <c r="H53" s="246" t="s">
        <v>166</v>
      </c>
      <c r="I53" s="246" t="s">
        <v>155</v>
      </c>
      <c r="J53" s="246" t="s">
        <v>38</v>
      </c>
      <c r="K53" s="246" t="s">
        <v>156</v>
      </c>
      <c r="L53" s="246">
        <v>1</v>
      </c>
      <c r="M53" s="246"/>
      <c r="N53" s="246">
        <v>3</v>
      </c>
      <c r="O53" s="246">
        <v>0.75</v>
      </c>
      <c r="P53" s="246">
        <v>0.75</v>
      </c>
      <c r="Q53" s="107">
        <f t="shared" si="0"/>
        <v>0.75</v>
      </c>
      <c r="R53" s="246">
        <v>14.8</v>
      </c>
      <c r="S53" s="246">
        <v>140</v>
      </c>
      <c r="T53" s="108">
        <f t="shared" si="1"/>
        <v>22</v>
      </c>
      <c r="U53" s="246">
        <v>498</v>
      </c>
      <c r="V53" s="109">
        <f t="shared" si="2"/>
        <v>3652</v>
      </c>
      <c r="W53" s="246">
        <v>6</v>
      </c>
      <c r="X53" s="246" t="s">
        <v>39</v>
      </c>
      <c r="Y53" s="246" t="s">
        <v>97</v>
      </c>
      <c r="Z53" s="130" t="s">
        <v>88</v>
      </c>
      <c r="AA53" s="246" t="s">
        <v>78</v>
      </c>
      <c r="AB53" s="246" t="s">
        <v>340</v>
      </c>
    </row>
    <row r="54" spans="1:28" s="115" customFormat="1" x14ac:dyDescent="0.15">
      <c r="A54" s="246" t="s">
        <v>51</v>
      </c>
      <c r="B54" s="246" t="s">
        <v>338</v>
      </c>
      <c r="C54" s="246">
        <v>2018</v>
      </c>
      <c r="D54" s="106" t="s">
        <v>412</v>
      </c>
      <c r="E54" s="246" t="s">
        <v>205</v>
      </c>
      <c r="F54" s="246" t="s">
        <v>193</v>
      </c>
      <c r="G54" s="246" t="s">
        <v>36</v>
      </c>
      <c r="H54" s="246" t="s">
        <v>166</v>
      </c>
      <c r="I54" s="246" t="s">
        <v>155</v>
      </c>
      <c r="J54" s="246" t="s">
        <v>38</v>
      </c>
      <c r="K54" s="246" t="s">
        <v>156</v>
      </c>
      <c r="L54" s="246">
        <v>2</v>
      </c>
      <c r="M54" s="246"/>
      <c r="N54" s="246">
        <v>3</v>
      </c>
      <c r="O54" s="246">
        <v>0.8</v>
      </c>
      <c r="P54" s="246">
        <v>0.75</v>
      </c>
      <c r="Q54" s="107">
        <f t="shared" si="0"/>
        <v>0.77500000000000002</v>
      </c>
      <c r="R54" s="246">
        <v>15</v>
      </c>
      <c r="S54" s="246">
        <v>146</v>
      </c>
      <c r="T54" s="108">
        <f t="shared" si="1"/>
        <v>22</v>
      </c>
      <c r="U54" s="246">
        <v>498</v>
      </c>
      <c r="V54" s="109">
        <f t="shared" si="2"/>
        <v>3652</v>
      </c>
      <c r="W54" s="246">
        <v>6</v>
      </c>
      <c r="X54" s="246" t="s">
        <v>39</v>
      </c>
      <c r="Y54" s="246" t="s">
        <v>97</v>
      </c>
      <c r="Z54" s="130" t="s">
        <v>88</v>
      </c>
      <c r="AA54" s="246" t="s">
        <v>78</v>
      </c>
      <c r="AB54" s="246" t="s">
        <v>340</v>
      </c>
    </row>
    <row r="55" spans="1:28" s="115" customFormat="1" x14ac:dyDescent="0.15">
      <c r="A55" s="246" t="s">
        <v>51</v>
      </c>
      <c r="B55" s="246" t="s">
        <v>338</v>
      </c>
      <c r="C55" s="246">
        <v>2018</v>
      </c>
      <c r="D55" s="106" t="s">
        <v>412</v>
      </c>
      <c r="E55" s="246" t="s">
        <v>205</v>
      </c>
      <c r="F55" s="246" t="s">
        <v>193</v>
      </c>
      <c r="G55" s="246" t="s">
        <v>36</v>
      </c>
      <c r="H55" s="246" t="s">
        <v>166</v>
      </c>
      <c r="I55" s="246" t="s">
        <v>155</v>
      </c>
      <c r="J55" s="246" t="s">
        <v>38</v>
      </c>
      <c r="K55" s="246" t="s">
        <v>156</v>
      </c>
      <c r="L55" s="246">
        <v>3</v>
      </c>
      <c r="M55" s="246"/>
      <c r="N55" s="246">
        <v>3</v>
      </c>
      <c r="O55" s="246">
        <v>0.7</v>
      </c>
      <c r="P55" s="246">
        <v>0.85</v>
      </c>
      <c r="Q55" s="107">
        <f t="shared" si="0"/>
        <v>0.77499999999999991</v>
      </c>
      <c r="R55" s="246">
        <v>15.9</v>
      </c>
      <c r="S55" s="246">
        <v>150</v>
      </c>
      <c r="T55" s="108">
        <f t="shared" si="1"/>
        <v>22</v>
      </c>
      <c r="U55" s="246">
        <v>498</v>
      </c>
      <c r="V55" s="109">
        <f t="shared" si="2"/>
        <v>3652</v>
      </c>
      <c r="W55" s="246">
        <v>6</v>
      </c>
      <c r="X55" s="246" t="s">
        <v>39</v>
      </c>
      <c r="Y55" s="246" t="s">
        <v>97</v>
      </c>
      <c r="Z55" s="130" t="s">
        <v>88</v>
      </c>
      <c r="AA55" s="246" t="s">
        <v>78</v>
      </c>
      <c r="AB55" s="246" t="s">
        <v>340</v>
      </c>
    </row>
    <row r="56" spans="1:28" s="115" customFormat="1" x14ac:dyDescent="0.15">
      <c r="A56" s="246" t="s">
        <v>51</v>
      </c>
      <c r="B56" s="246" t="s">
        <v>338</v>
      </c>
      <c r="C56" s="246">
        <v>2018</v>
      </c>
      <c r="D56" s="106" t="s">
        <v>412</v>
      </c>
      <c r="E56" s="246" t="s">
        <v>213</v>
      </c>
      <c r="F56" s="246" t="s">
        <v>214</v>
      </c>
      <c r="G56" s="246" t="s">
        <v>36</v>
      </c>
      <c r="H56" s="246" t="s">
        <v>157</v>
      </c>
      <c r="I56" s="246" t="s">
        <v>155</v>
      </c>
      <c r="J56" s="246" t="s">
        <v>38</v>
      </c>
      <c r="K56" s="246" t="s">
        <v>156</v>
      </c>
      <c r="L56" s="246">
        <v>1</v>
      </c>
      <c r="M56" s="246"/>
      <c r="N56" s="246">
        <v>1</v>
      </c>
      <c r="O56" s="246">
        <v>1.2</v>
      </c>
      <c r="P56" s="246">
        <v>1.1499999999999999</v>
      </c>
      <c r="Q56" s="107">
        <f t="shared" si="0"/>
        <v>1.1749999999999998</v>
      </c>
      <c r="R56" s="246">
        <v>19.3</v>
      </c>
      <c r="S56" s="246">
        <v>148</v>
      </c>
      <c r="T56" s="108">
        <f t="shared" si="1"/>
        <v>22</v>
      </c>
      <c r="U56" s="246">
        <v>128</v>
      </c>
      <c r="V56" s="109">
        <f t="shared" si="2"/>
        <v>2816</v>
      </c>
      <c r="W56" s="246">
        <v>10</v>
      </c>
      <c r="X56" s="246" t="s">
        <v>46</v>
      </c>
      <c r="Y56" s="246" t="s">
        <v>78</v>
      </c>
      <c r="Z56" s="130" t="s">
        <v>97</v>
      </c>
      <c r="AA56" s="246" t="s">
        <v>102</v>
      </c>
      <c r="AB56" s="246" t="s">
        <v>340</v>
      </c>
    </row>
    <row r="57" spans="1:28" s="115" customFormat="1" x14ac:dyDescent="0.15">
      <c r="A57" s="246" t="s">
        <v>51</v>
      </c>
      <c r="B57" s="246" t="s">
        <v>338</v>
      </c>
      <c r="C57" s="246">
        <v>2018</v>
      </c>
      <c r="D57" s="106" t="s">
        <v>412</v>
      </c>
      <c r="E57" s="246" t="s">
        <v>213</v>
      </c>
      <c r="F57" s="246" t="s">
        <v>214</v>
      </c>
      <c r="G57" s="246" t="s">
        <v>36</v>
      </c>
      <c r="H57" s="246" t="s">
        <v>157</v>
      </c>
      <c r="I57" s="246" t="s">
        <v>155</v>
      </c>
      <c r="J57" s="246" t="s">
        <v>38</v>
      </c>
      <c r="K57" s="246" t="s">
        <v>156</v>
      </c>
      <c r="L57" s="246">
        <v>2</v>
      </c>
      <c r="M57" s="246"/>
      <c r="N57" s="246">
        <v>1</v>
      </c>
      <c r="O57" s="246">
        <v>1.05</v>
      </c>
      <c r="P57" s="246">
        <v>1.1000000000000001</v>
      </c>
      <c r="Q57" s="107">
        <f t="shared" si="0"/>
        <v>1.0750000000000002</v>
      </c>
      <c r="R57" s="246">
        <v>17.2</v>
      </c>
      <c r="S57" s="246">
        <v>152</v>
      </c>
      <c r="T57" s="108">
        <f t="shared" si="1"/>
        <v>18</v>
      </c>
      <c r="U57" s="246">
        <v>128</v>
      </c>
      <c r="V57" s="109">
        <f t="shared" si="2"/>
        <v>2304</v>
      </c>
      <c r="W57" s="246">
        <v>10</v>
      </c>
      <c r="X57" s="246" t="s">
        <v>46</v>
      </c>
      <c r="Y57" s="246" t="s">
        <v>78</v>
      </c>
      <c r="Z57" s="130" t="s">
        <v>97</v>
      </c>
      <c r="AA57" s="246" t="s">
        <v>102</v>
      </c>
      <c r="AB57" s="246" t="s">
        <v>340</v>
      </c>
    </row>
    <row r="58" spans="1:28" s="115" customFormat="1" x14ac:dyDescent="0.15">
      <c r="A58" s="246" t="s">
        <v>51</v>
      </c>
      <c r="B58" s="246" t="s">
        <v>338</v>
      </c>
      <c r="C58" s="246">
        <v>2018</v>
      </c>
      <c r="D58" s="106" t="s">
        <v>412</v>
      </c>
      <c r="E58" s="246" t="s">
        <v>213</v>
      </c>
      <c r="F58" s="246" t="s">
        <v>214</v>
      </c>
      <c r="G58" s="246" t="s">
        <v>36</v>
      </c>
      <c r="H58" s="246" t="s">
        <v>157</v>
      </c>
      <c r="I58" s="246" t="s">
        <v>155</v>
      </c>
      <c r="J58" s="246" t="s">
        <v>38</v>
      </c>
      <c r="K58" s="246" t="s">
        <v>156</v>
      </c>
      <c r="L58" s="246">
        <v>3</v>
      </c>
      <c r="M58" s="246"/>
      <c r="N58" s="246">
        <v>1</v>
      </c>
      <c r="O58" s="246">
        <v>1.1000000000000001</v>
      </c>
      <c r="P58" s="246">
        <v>1</v>
      </c>
      <c r="Q58" s="107">
        <f t="shared" si="0"/>
        <v>1.05</v>
      </c>
      <c r="R58" s="246">
        <v>18.399999999999999</v>
      </c>
      <c r="S58" s="246">
        <v>156</v>
      </c>
      <c r="T58" s="108">
        <f t="shared" si="1"/>
        <v>18</v>
      </c>
      <c r="U58" s="246">
        <v>128</v>
      </c>
      <c r="V58" s="109">
        <f t="shared" si="2"/>
        <v>2304</v>
      </c>
      <c r="W58" s="246">
        <v>10</v>
      </c>
      <c r="X58" s="246" t="s">
        <v>46</v>
      </c>
      <c r="Y58" s="246" t="s">
        <v>78</v>
      </c>
      <c r="Z58" s="130" t="s">
        <v>97</v>
      </c>
      <c r="AA58" s="246" t="s">
        <v>102</v>
      </c>
      <c r="AB58" s="246" t="s">
        <v>340</v>
      </c>
    </row>
    <row r="59" spans="1:28" s="115" customFormat="1" x14ac:dyDescent="0.15">
      <c r="A59" s="246" t="s">
        <v>51</v>
      </c>
      <c r="B59" s="246" t="s">
        <v>338</v>
      </c>
      <c r="C59" s="246">
        <v>2018</v>
      </c>
      <c r="D59" s="106" t="s">
        <v>412</v>
      </c>
      <c r="E59" s="246" t="s">
        <v>213</v>
      </c>
      <c r="F59" s="246" t="s">
        <v>214</v>
      </c>
      <c r="G59" s="246" t="s">
        <v>36</v>
      </c>
      <c r="H59" s="246" t="s">
        <v>166</v>
      </c>
      <c r="I59" s="246" t="s">
        <v>155</v>
      </c>
      <c r="J59" s="246" t="s">
        <v>38</v>
      </c>
      <c r="K59" s="246" t="s">
        <v>156</v>
      </c>
      <c r="L59" s="246">
        <v>1</v>
      </c>
      <c r="M59" s="246"/>
      <c r="N59" s="246">
        <v>1</v>
      </c>
      <c r="O59" s="246">
        <v>0.8</v>
      </c>
      <c r="P59" s="246">
        <v>0.7</v>
      </c>
      <c r="Q59" s="107">
        <f t="shared" si="0"/>
        <v>0.75</v>
      </c>
      <c r="R59" s="246">
        <v>15.5</v>
      </c>
      <c r="S59" s="246">
        <v>178</v>
      </c>
      <c r="T59" s="108">
        <f t="shared" si="1"/>
        <v>18</v>
      </c>
      <c r="U59" s="246">
        <v>128</v>
      </c>
      <c r="V59" s="109">
        <f t="shared" si="2"/>
        <v>2304</v>
      </c>
      <c r="W59" s="246">
        <v>10</v>
      </c>
      <c r="X59" s="246" t="s">
        <v>46</v>
      </c>
      <c r="Y59" s="246" t="s">
        <v>78</v>
      </c>
      <c r="Z59" s="130" t="s">
        <v>97</v>
      </c>
      <c r="AA59" s="246" t="s">
        <v>102</v>
      </c>
      <c r="AB59" s="246" t="s">
        <v>340</v>
      </c>
    </row>
    <row r="60" spans="1:28" s="115" customFormat="1" x14ac:dyDescent="0.15">
      <c r="A60" s="246" t="s">
        <v>51</v>
      </c>
      <c r="B60" s="246" t="s">
        <v>338</v>
      </c>
      <c r="C60" s="246">
        <v>2018</v>
      </c>
      <c r="D60" s="106" t="s">
        <v>412</v>
      </c>
      <c r="E60" s="246" t="s">
        <v>213</v>
      </c>
      <c r="F60" s="246" t="s">
        <v>214</v>
      </c>
      <c r="G60" s="246" t="s">
        <v>36</v>
      </c>
      <c r="H60" s="246" t="s">
        <v>166</v>
      </c>
      <c r="I60" s="246" t="s">
        <v>155</v>
      </c>
      <c r="J60" s="246" t="s">
        <v>38</v>
      </c>
      <c r="K60" s="246" t="s">
        <v>156</v>
      </c>
      <c r="L60" s="246">
        <v>2</v>
      </c>
      <c r="M60" s="246"/>
      <c r="N60" s="246">
        <v>1</v>
      </c>
      <c r="O60" s="246">
        <v>0.75</v>
      </c>
      <c r="P60" s="246">
        <v>0.75</v>
      </c>
      <c r="Q60" s="107">
        <f t="shared" si="0"/>
        <v>0.75</v>
      </c>
      <c r="R60" s="246">
        <v>15.8</v>
      </c>
      <c r="S60" s="246">
        <v>184</v>
      </c>
      <c r="T60" s="108">
        <f t="shared" si="1"/>
        <v>16</v>
      </c>
      <c r="U60" s="246">
        <v>128</v>
      </c>
      <c r="V60" s="109">
        <f t="shared" si="2"/>
        <v>2048</v>
      </c>
      <c r="W60" s="246">
        <v>10</v>
      </c>
      <c r="X60" s="246" t="s">
        <v>46</v>
      </c>
      <c r="Y60" s="246" t="s">
        <v>78</v>
      </c>
      <c r="Z60" s="130" t="s">
        <v>97</v>
      </c>
      <c r="AA60" s="246" t="s">
        <v>102</v>
      </c>
      <c r="AB60" s="246" t="s">
        <v>340</v>
      </c>
    </row>
    <row r="61" spans="1:28" s="115" customFormat="1" x14ac:dyDescent="0.15">
      <c r="A61" s="246" t="s">
        <v>51</v>
      </c>
      <c r="B61" s="246" t="s">
        <v>338</v>
      </c>
      <c r="C61" s="246">
        <v>2018</v>
      </c>
      <c r="D61" s="106" t="s">
        <v>412</v>
      </c>
      <c r="E61" s="246" t="s">
        <v>213</v>
      </c>
      <c r="F61" s="246" t="s">
        <v>214</v>
      </c>
      <c r="G61" s="246" t="s">
        <v>36</v>
      </c>
      <c r="H61" s="246" t="s">
        <v>166</v>
      </c>
      <c r="I61" s="246" t="s">
        <v>155</v>
      </c>
      <c r="J61" s="246" t="s">
        <v>38</v>
      </c>
      <c r="K61" s="246" t="s">
        <v>156</v>
      </c>
      <c r="L61" s="246">
        <v>3</v>
      </c>
      <c r="M61" s="246"/>
      <c r="N61" s="246">
        <v>1</v>
      </c>
      <c r="O61" s="246">
        <v>0.85</v>
      </c>
      <c r="P61" s="246">
        <v>0.8</v>
      </c>
      <c r="Q61" s="107">
        <f t="shared" si="0"/>
        <v>0.82499999999999996</v>
      </c>
      <c r="R61" s="246">
        <v>15.3</v>
      </c>
      <c r="S61" s="246">
        <v>166</v>
      </c>
      <c r="T61" s="108">
        <f t="shared" si="1"/>
        <v>18</v>
      </c>
      <c r="U61" s="246">
        <v>128</v>
      </c>
      <c r="V61" s="109">
        <f t="shared" si="2"/>
        <v>2304</v>
      </c>
      <c r="W61" s="246">
        <v>10</v>
      </c>
      <c r="X61" s="246" t="s">
        <v>46</v>
      </c>
      <c r="Y61" s="246" t="s">
        <v>78</v>
      </c>
      <c r="Z61" s="130" t="s">
        <v>97</v>
      </c>
      <c r="AA61" s="246" t="s">
        <v>102</v>
      </c>
      <c r="AB61" s="246" t="s">
        <v>340</v>
      </c>
    </row>
    <row r="62" spans="1:28" s="115" customFormat="1" x14ac:dyDescent="0.15">
      <c r="A62" s="246" t="s">
        <v>51</v>
      </c>
      <c r="B62" s="246" t="s">
        <v>338</v>
      </c>
      <c r="C62" s="246">
        <v>2018</v>
      </c>
      <c r="D62" s="106" t="s">
        <v>412</v>
      </c>
      <c r="E62" s="246" t="s">
        <v>216</v>
      </c>
      <c r="F62" s="246" t="s">
        <v>193</v>
      </c>
      <c r="G62" s="246" t="s">
        <v>42</v>
      </c>
      <c r="H62" s="246" t="s">
        <v>157</v>
      </c>
      <c r="I62" s="246" t="s">
        <v>155</v>
      </c>
      <c r="J62" s="246" t="s">
        <v>38</v>
      </c>
      <c r="K62" s="246" t="s">
        <v>156</v>
      </c>
      <c r="L62" s="115">
        <v>1</v>
      </c>
      <c r="N62" s="246">
        <v>1</v>
      </c>
      <c r="O62" s="115">
        <v>0.7</v>
      </c>
      <c r="P62" s="115">
        <v>0.8</v>
      </c>
      <c r="Q62" s="107">
        <f t="shared" si="0"/>
        <v>0.75</v>
      </c>
      <c r="R62" s="115">
        <v>15.8</v>
      </c>
      <c r="S62" s="115">
        <v>136</v>
      </c>
      <c r="T62" s="108">
        <f t="shared" si="1"/>
        <v>25</v>
      </c>
      <c r="U62" s="246">
        <v>98</v>
      </c>
      <c r="V62" s="109">
        <f t="shared" si="2"/>
        <v>2450</v>
      </c>
      <c r="W62" s="246">
        <v>6</v>
      </c>
      <c r="X62" s="246" t="s">
        <v>46</v>
      </c>
      <c r="Y62" s="246" t="s">
        <v>88</v>
      </c>
      <c r="Z62" s="130" t="s">
        <v>55</v>
      </c>
      <c r="AA62" s="130" t="s">
        <v>78</v>
      </c>
      <c r="AB62" s="246" t="s">
        <v>340</v>
      </c>
    </row>
    <row r="63" spans="1:28" s="115" customFormat="1" x14ac:dyDescent="0.15">
      <c r="A63" s="246" t="s">
        <v>51</v>
      </c>
      <c r="B63" s="246" t="s">
        <v>338</v>
      </c>
      <c r="C63" s="246">
        <v>2018</v>
      </c>
      <c r="D63" s="106" t="s">
        <v>412</v>
      </c>
      <c r="E63" s="246" t="s">
        <v>216</v>
      </c>
      <c r="F63" s="246" t="s">
        <v>193</v>
      </c>
      <c r="G63" s="246" t="s">
        <v>42</v>
      </c>
      <c r="H63" s="246" t="s">
        <v>157</v>
      </c>
      <c r="I63" s="246" t="s">
        <v>155</v>
      </c>
      <c r="J63" s="246" t="s">
        <v>38</v>
      </c>
      <c r="K63" s="246" t="s">
        <v>156</v>
      </c>
      <c r="L63" s="115">
        <v>2</v>
      </c>
      <c r="N63" s="246">
        <v>1</v>
      </c>
      <c r="O63" s="115">
        <v>0.75</v>
      </c>
      <c r="P63" s="115">
        <v>0.85</v>
      </c>
      <c r="Q63" s="107">
        <f t="shared" si="0"/>
        <v>0.8</v>
      </c>
      <c r="R63" s="115">
        <v>16</v>
      </c>
      <c r="S63" s="115">
        <v>134</v>
      </c>
      <c r="T63" s="108">
        <f t="shared" si="1"/>
        <v>25</v>
      </c>
      <c r="U63" s="246">
        <v>98</v>
      </c>
      <c r="V63" s="109">
        <f t="shared" si="2"/>
        <v>2450</v>
      </c>
      <c r="W63" s="246">
        <v>6</v>
      </c>
      <c r="X63" s="246" t="s">
        <v>46</v>
      </c>
      <c r="Y63" s="246" t="s">
        <v>88</v>
      </c>
      <c r="Z63" s="130" t="s">
        <v>55</v>
      </c>
      <c r="AA63" s="130" t="s">
        <v>78</v>
      </c>
      <c r="AB63" s="246" t="s">
        <v>340</v>
      </c>
    </row>
    <row r="64" spans="1:28" s="115" customFormat="1" x14ac:dyDescent="0.15">
      <c r="A64" s="246" t="s">
        <v>51</v>
      </c>
      <c r="B64" s="246" t="s">
        <v>338</v>
      </c>
      <c r="C64" s="246">
        <v>2018</v>
      </c>
      <c r="D64" s="106" t="s">
        <v>412</v>
      </c>
      <c r="E64" s="246" t="s">
        <v>216</v>
      </c>
      <c r="F64" s="246" t="s">
        <v>193</v>
      </c>
      <c r="G64" s="246" t="s">
        <v>42</v>
      </c>
      <c r="H64" s="246" t="s">
        <v>157</v>
      </c>
      <c r="I64" s="246" t="s">
        <v>155</v>
      </c>
      <c r="J64" s="246" t="s">
        <v>38</v>
      </c>
      <c r="K64" s="246" t="s">
        <v>156</v>
      </c>
      <c r="L64" s="115">
        <v>3</v>
      </c>
      <c r="N64" s="246">
        <v>1</v>
      </c>
      <c r="O64" s="115">
        <v>0.85</v>
      </c>
      <c r="P64" s="115">
        <v>0.65</v>
      </c>
      <c r="Q64" s="107">
        <f t="shared" si="0"/>
        <v>0.75</v>
      </c>
      <c r="R64" s="115">
        <v>16.7</v>
      </c>
      <c r="S64" s="115">
        <v>136</v>
      </c>
      <c r="T64" s="108">
        <f t="shared" si="1"/>
        <v>25</v>
      </c>
      <c r="U64" s="246">
        <v>98</v>
      </c>
      <c r="V64" s="109">
        <f t="shared" si="2"/>
        <v>2450</v>
      </c>
      <c r="W64" s="246">
        <v>6</v>
      </c>
      <c r="X64" s="246" t="s">
        <v>46</v>
      </c>
      <c r="Y64" s="246" t="s">
        <v>88</v>
      </c>
      <c r="Z64" s="130" t="s">
        <v>55</v>
      </c>
      <c r="AA64" s="130" t="s">
        <v>78</v>
      </c>
      <c r="AB64" s="246" t="s">
        <v>340</v>
      </c>
    </row>
    <row r="65" spans="1:28" s="115" customFormat="1" x14ac:dyDescent="0.15">
      <c r="A65" s="246" t="s">
        <v>51</v>
      </c>
      <c r="B65" s="246" t="s">
        <v>338</v>
      </c>
      <c r="C65" s="246">
        <v>2018</v>
      </c>
      <c r="D65" s="106" t="s">
        <v>412</v>
      </c>
      <c r="E65" s="246" t="s">
        <v>216</v>
      </c>
      <c r="F65" s="246" t="s">
        <v>193</v>
      </c>
      <c r="G65" s="246" t="s">
        <v>42</v>
      </c>
      <c r="H65" s="246" t="s">
        <v>166</v>
      </c>
      <c r="I65" s="246" t="s">
        <v>155</v>
      </c>
      <c r="J65" s="246" t="s">
        <v>38</v>
      </c>
      <c r="K65" s="246" t="s">
        <v>156</v>
      </c>
      <c r="L65" s="115">
        <v>1</v>
      </c>
      <c r="N65" s="246">
        <v>1</v>
      </c>
      <c r="O65" s="115">
        <v>0.8</v>
      </c>
      <c r="P65" s="115">
        <v>0.7</v>
      </c>
      <c r="Q65" s="107">
        <f t="shared" si="0"/>
        <v>0.75</v>
      </c>
      <c r="R65" s="115">
        <v>16.600000000000001</v>
      </c>
      <c r="S65" s="115">
        <v>142</v>
      </c>
      <c r="T65" s="108">
        <f t="shared" si="1"/>
        <v>22</v>
      </c>
      <c r="U65" s="246">
        <v>128</v>
      </c>
      <c r="V65" s="109">
        <f t="shared" si="2"/>
        <v>2816</v>
      </c>
      <c r="W65" s="246">
        <v>6</v>
      </c>
      <c r="X65" s="246" t="s">
        <v>46</v>
      </c>
      <c r="Y65" s="246" t="s">
        <v>88</v>
      </c>
      <c r="Z65" s="130" t="s">
        <v>55</v>
      </c>
      <c r="AA65" s="130" t="s">
        <v>78</v>
      </c>
      <c r="AB65" s="246" t="s">
        <v>340</v>
      </c>
    </row>
    <row r="66" spans="1:28" s="115" customFormat="1" x14ac:dyDescent="0.15">
      <c r="A66" s="246" t="s">
        <v>51</v>
      </c>
      <c r="B66" s="246" t="s">
        <v>338</v>
      </c>
      <c r="C66" s="246">
        <v>2018</v>
      </c>
      <c r="D66" s="106" t="s">
        <v>412</v>
      </c>
      <c r="E66" s="246" t="s">
        <v>216</v>
      </c>
      <c r="F66" s="246" t="s">
        <v>193</v>
      </c>
      <c r="G66" s="246" t="s">
        <v>42</v>
      </c>
      <c r="H66" s="246" t="s">
        <v>166</v>
      </c>
      <c r="I66" s="246" t="s">
        <v>155</v>
      </c>
      <c r="J66" s="246" t="s">
        <v>38</v>
      </c>
      <c r="K66" s="246" t="s">
        <v>156</v>
      </c>
      <c r="L66" s="115">
        <v>2</v>
      </c>
      <c r="N66" s="246">
        <v>1</v>
      </c>
      <c r="O66" s="115">
        <v>0.75</v>
      </c>
      <c r="P66" s="115">
        <v>0.75</v>
      </c>
      <c r="Q66" s="107">
        <f t="shared" ref="Q66:Q88" si="3">IF(OR(O66="",P66=""),"",AVERAGE(O66,P66))</f>
        <v>0.75</v>
      </c>
      <c r="R66" s="115">
        <v>16.8</v>
      </c>
      <c r="S66" s="115">
        <v>142</v>
      </c>
      <c r="T66" s="108">
        <f>IF(H66="","",IF(OR(H66="GREEN",H66="GK"),IF(S66&gt;=$AX$2,VLOOKUP(S66,$AX$2:$AY$12,2,1),""),IF(S66&gt;=$AZ$2,VLOOKUP(S66,$AZ$2:$BA$12,2,1),"")))</f>
        <v>22</v>
      </c>
      <c r="U66" s="246">
        <v>128</v>
      </c>
      <c r="V66" s="109">
        <f t="shared" ref="V66:V88" si="4">IF(OR(N66="",U66="",T66=""),"",U66/N66*T66)</f>
        <v>2816</v>
      </c>
      <c r="W66" s="246">
        <v>6</v>
      </c>
      <c r="X66" s="246" t="s">
        <v>46</v>
      </c>
      <c r="Y66" s="246" t="s">
        <v>88</v>
      </c>
      <c r="Z66" s="130" t="s">
        <v>55</v>
      </c>
      <c r="AA66" s="130" t="s">
        <v>78</v>
      </c>
      <c r="AB66" s="246" t="s">
        <v>340</v>
      </c>
    </row>
    <row r="67" spans="1:28" s="115" customFormat="1" x14ac:dyDescent="0.15">
      <c r="A67" s="246" t="s">
        <v>51</v>
      </c>
      <c r="B67" s="246" t="s">
        <v>338</v>
      </c>
      <c r="C67" s="246">
        <v>2018</v>
      </c>
      <c r="D67" s="106" t="s">
        <v>412</v>
      </c>
      <c r="E67" s="246" t="s">
        <v>216</v>
      </c>
      <c r="F67" s="246" t="s">
        <v>193</v>
      </c>
      <c r="G67" s="246" t="s">
        <v>42</v>
      </c>
      <c r="H67" s="246" t="s">
        <v>166</v>
      </c>
      <c r="I67" s="246" t="s">
        <v>155</v>
      </c>
      <c r="J67" s="246" t="s">
        <v>38</v>
      </c>
      <c r="K67" s="246" t="s">
        <v>156</v>
      </c>
      <c r="L67" s="115">
        <v>3</v>
      </c>
      <c r="N67" s="246">
        <v>1</v>
      </c>
      <c r="O67" s="115">
        <v>0.7</v>
      </c>
      <c r="P67" s="115">
        <v>0.75</v>
      </c>
      <c r="Q67" s="107">
        <f t="shared" si="3"/>
        <v>0.72499999999999998</v>
      </c>
      <c r="R67" s="115">
        <v>17.399999999999999</v>
      </c>
      <c r="S67" s="115">
        <v>148</v>
      </c>
      <c r="T67" s="108">
        <f>IF(H67="","",IF(OR(H67="GREEN",H67="GK"),IF(S67&gt;=$AX$2,VLOOKUP(S67,$AX$2:$AY$12,2,1),""),IF(S67&gt;=$AZ$2,VLOOKUP(S67,$AZ$2:$BA$12,2,1),"")))</f>
        <v>22</v>
      </c>
      <c r="U67" s="246">
        <v>128</v>
      </c>
      <c r="V67" s="109">
        <f t="shared" si="4"/>
        <v>2816</v>
      </c>
      <c r="W67" s="246">
        <v>6</v>
      </c>
      <c r="X67" s="246" t="s">
        <v>46</v>
      </c>
      <c r="Y67" s="246" t="s">
        <v>88</v>
      </c>
      <c r="Z67" s="130" t="s">
        <v>55</v>
      </c>
      <c r="AA67" s="130" t="s">
        <v>78</v>
      </c>
      <c r="AB67" s="246" t="s">
        <v>340</v>
      </c>
    </row>
    <row r="68" spans="1:28" s="115" customFormat="1" x14ac:dyDescent="0.15">
      <c r="A68" s="246"/>
      <c r="B68" s="246"/>
      <c r="C68" s="246"/>
      <c r="D68" s="106"/>
      <c r="E68" s="246"/>
      <c r="F68" s="246"/>
      <c r="G68" s="246"/>
      <c r="H68" s="246"/>
      <c r="I68" s="246"/>
      <c r="J68" s="246"/>
      <c r="K68" s="246"/>
      <c r="N68" s="246"/>
      <c r="Q68" s="108" t="str">
        <f t="shared" si="3"/>
        <v/>
      </c>
      <c r="T68" s="108" t="str">
        <f>IF(H68="","",IF(OR(H68="GREEN",H68="GK"),IF(S68&gt;=$AX$2,VLOOKUP(S68,$AX$2:$AY$12,2,1),""),IF(S68&gt;=$AZ$2,VLOOKUP(S68,$AZ$2:$BA$12,2,1),"")))</f>
        <v/>
      </c>
      <c r="U68" s="246"/>
      <c r="V68" s="108" t="str">
        <f t="shared" si="4"/>
        <v/>
      </c>
      <c r="W68" s="246"/>
      <c r="X68" s="246"/>
      <c r="Y68" s="246"/>
      <c r="Z68" s="130"/>
      <c r="AA68" s="130"/>
      <c r="AB68" s="246"/>
    </row>
    <row r="69" spans="1:28" x14ac:dyDescent="0.15">
      <c r="A69" s="246"/>
      <c r="B69" s="246"/>
      <c r="C69" s="246"/>
      <c r="D69" s="106"/>
      <c r="E69" s="246"/>
      <c r="F69" s="246"/>
      <c r="G69" s="246"/>
      <c r="H69" s="246"/>
      <c r="I69" s="246"/>
      <c r="J69" s="246"/>
      <c r="K69" s="246"/>
      <c r="N69" s="130"/>
      <c r="Q69" s="132" t="str">
        <f t="shared" si="3"/>
        <v/>
      </c>
      <c r="T69" s="132" t="str">
        <f t="shared" ref="T69:T88" si="5">IF(H69="","",IF(OR(H69="GREEN",H69="GK"),IF(S69&gt;=$AX$2,VLOOKUP(S69,$AX$2:$AY$12,2,1),""),IF(S69&gt;=$AZ$2,VLOOKUP(S69,$AZ$2:$BA$12,2,1),"")))</f>
        <v/>
      </c>
      <c r="U69" s="246"/>
      <c r="V69" s="132" t="str">
        <f t="shared" si="4"/>
        <v/>
      </c>
      <c r="W69" s="246"/>
      <c r="X69" s="246"/>
      <c r="Y69" s="246"/>
      <c r="Z69" s="130"/>
      <c r="AA69" s="130"/>
      <c r="AB69" s="246"/>
    </row>
    <row r="70" spans="1:28" x14ac:dyDescent="0.15">
      <c r="A70" s="246"/>
      <c r="B70" s="246"/>
      <c r="C70" s="246"/>
      <c r="D70" s="106"/>
      <c r="E70" s="246"/>
      <c r="F70" s="246"/>
      <c r="G70" s="246"/>
      <c r="H70" s="246"/>
      <c r="I70" s="246"/>
      <c r="J70" s="246"/>
      <c r="K70" s="246"/>
      <c r="N70" s="130"/>
      <c r="O70" s="115"/>
      <c r="Q70" s="132" t="str">
        <f t="shared" si="3"/>
        <v/>
      </c>
      <c r="T70" s="132" t="str">
        <f t="shared" si="5"/>
        <v/>
      </c>
      <c r="U70" s="246"/>
      <c r="V70" s="132" t="str">
        <f t="shared" si="4"/>
        <v/>
      </c>
      <c r="W70" s="246"/>
      <c r="X70" s="246"/>
      <c r="Y70" s="246"/>
      <c r="Z70" s="130"/>
      <c r="AA70" s="130"/>
      <c r="AB70" s="246"/>
    </row>
    <row r="71" spans="1:28" x14ac:dyDescent="0.15">
      <c r="A71" s="246"/>
      <c r="B71" s="246"/>
      <c r="C71" s="246"/>
      <c r="D71" s="106"/>
      <c r="E71" s="246"/>
      <c r="F71" s="246"/>
      <c r="G71" s="246"/>
      <c r="H71" s="246"/>
      <c r="I71" s="246"/>
      <c r="J71" s="246"/>
      <c r="K71" s="246"/>
      <c r="N71" s="130"/>
      <c r="Q71" s="132" t="str">
        <f t="shared" si="3"/>
        <v/>
      </c>
      <c r="T71" s="132" t="str">
        <f t="shared" si="5"/>
        <v/>
      </c>
      <c r="U71" s="246"/>
      <c r="V71" s="132" t="str">
        <f t="shared" si="4"/>
        <v/>
      </c>
      <c r="W71" s="246"/>
      <c r="X71" s="246"/>
      <c r="Y71" s="246"/>
      <c r="Z71" s="130"/>
      <c r="AA71" s="130"/>
      <c r="AB71" s="246"/>
    </row>
    <row r="72" spans="1:28" x14ac:dyDescent="0.15">
      <c r="A72" s="246"/>
      <c r="B72" s="246"/>
      <c r="C72" s="246"/>
      <c r="D72" s="106"/>
      <c r="E72" s="246"/>
      <c r="F72" s="246"/>
      <c r="G72" s="246"/>
      <c r="H72" s="246"/>
      <c r="I72" s="246"/>
      <c r="J72" s="246"/>
      <c r="K72" s="246"/>
      <c r="N72" s="130"/>
      <c r="O72" s="115"/>
      <c r="Q72" s="132" t="str">
        <f t="shared" si="3"/>
        <v/>
      </c>
      <c r="T72" s="132" t="str">
        <f t="shared" si="5"/>
        <v/>
      </c>
      <c r="U72" s="246"/>
      <c r="V72" s="132" t="str">
        <f t="shared" si="4"/>
        <v/>
      </c>
      <c r="W72" s="246"/>
      <c r="X72" s="246"/>
      <c r="Y72" s="246"/>
      <c r="Z72" s="130"/>
      <c r="AA72" s="130"/>
      <c r="AB72" s="246"/>
    </row>
    <row r="73" spans="1:28" x14ac:dyDescent="0.15">
      <c r="A73" s="246"/>
      <c r="B73" s="246"/>
      <c r="C73" s="246"/>
      <c r="D73" s="106"/>
      <c r="E73" s="246"/>
      <c r="F73" s="246"/>
      <c r="G73" s="246"/>
      <c r="H73" s="246"/>
      <c r="I73" s="246"/>
      <c r="J73" s="246"/>
      <c r="K73" s="246"/>
      <c r="N73" s="130"/>
      <c r="Q73" s="132" t="str">
        <f t="shared" si="3"/>
        <v/>
      </c>
      <c r="T73" s="132" t="str">
        <f t="shared" si="5"/>
        <v/>
      </c>
      <c r="U73" s="246"/>
      <c r="V73" s="132" t="str">
        <f t="shared" si="4"/>
        <v/>
      </c>
      <c r="W73" s="246"/>
      <c r="X73" s="246"/>
      <c r="Y73" s="246"/>
      <c r="Z73" s="130"/>
      <c r="AA73" s="130"/>
      <c r="AB73" s="246"/>
    </row>
    <row r="74" spans="1:28" x14ac:dyDescent="0.15">
      <c r="A74" s="246"/>
      <c r="B74" s="246"/>
      <c r="C74" s="246"/>
      <c r="D74" s="106"/>
      <c r="E74" s="246"/>
      <c r="F74" s="246"/>
      <c r="G74" s="246"/>
      <c r="H74" s="246"/>
      <c r="I74" s="246"/>
      <c r="J74" s="246"/>
      <c r="K74" s="246"/>
      <c r="N74" s="130"/>
      <c r="Q74" s="132" t="str">
        <f t="shared" si="3"/>
        <v/>
      </c>
      <c r="T74" s="132" t="str">
        <f t="shared" si="5"/>
        <v/>
      </c>
      <c r="U74" s="246"/>
      <c r="V74" s="132" t="str">
        <f t="shared" si="4"/>
        <v/>
      </c>
      <c r="W74" s="246"/>
      <c r="X74" s="246"/>
      <c r="Y74" s="246"/>
      <c r="Z74" s="130"/>
      <c r="AA74" s="130"/>
      <c r="AB74" s="246"/>
    </row>
    <row r="75" spans="1:28" x14ac:dyDescent="0.15">
      <c r="A75" s="246"/>
      <c r="B75" s="246"/>
      <c r="C75" s="246"/>
      <c r="D75" s="106"/>
      <c r="E75" s="246"/>
      <c r="F75" s="246"/>
      <c r="G75" s="246"/>
      <c r="H75" s="246"/>
      <c r="I75" s="246"/>
      <c r="J75" s="246"/>
      <c r="K75" s="246"/>
      <c r="N75" s="130"/>
      <c r="Q75" s="132" t="str">
        <f t="shared" si="3"/>
        <v/>
      </c>
      <c r="T75" s="132" t="str">
        <f t="shared" si="5"/>
        <v/>
      </c>
      <c r="U75" s="246"/>
      <c r="V75" s="132" t="str">
        <f t="shared" si="4"/>
        <v/>
      </c>
      <c r="W75" s="246"/>
      <c r="X75" s="246"/>
      <c r="Y75" s="246"/>
      <c r="Z75" s="130"/>
      <c r="AA75" s="130"/>
      <c r="AB75" s="246"/>
    </row>
    <row r="76" spans="1:28" x14ac:dyDescent="0.15">
      <c r="A76" s="246"/>
      <c r="B76" s="246"/>
      <c r="C76" s="246"/>
      <c r="D76" s="106"/>
      <c r="E76" s="246"/>
      <c r="F76" s="246"/>
      <c r="G76" s="246"/>
      <c r="H76" s="246"/>
      <c r="I76" s="246"/>
      <c r="J76" s="246"/>
      <c r="K76" s="246"/>
      <c r="N76" s="130"/>
      <c r="P76" s="115"/>
      <c r="Q76" s="132" t="str">
        <f t="shared" si="3"/>
        <v/>
      </c>
      <c r="T76" s="132" t="str">
        <f t="shared" si="5"/>
        <v/>
      </c>
      <c r="U76" s="246"/>
      <c r="V76" s="132" t="str">
        <f t="shared" si="4"/>
        <v/>
      </c>
      <c r="W76" s="246"/>
      <c r="X76" s="246"/>
      <c r="Y76" s="246"/>
      <c r="Z76" s="130"/>
      <c r="AA76" s="130"/>
      <c r="AB76" s="246"/>
    </row>
    <row r="77" spans="1:28" x14ac:dyDescent="0.15">
      <c r="A77" s="246"/>
      <c r="B77" s="246"/>
      <c r="C77" s="246"/>
      <c r="D77" s="106"/>
      <c r="E77" s="246"/>
      <c r="F77" s="246"/>
      <c r="G77" s="246"/>
      <c r="H77" s="246"/>
      <c r="I77" s="246"/>
      <c r="J77" s="246"/>
      <c r="K77" s="246"/>
      <c r="N77" s="130"/>
      <c r="Q77" s="132" t="str">
        <f t="shared" si="3"/>
        <v/>
      </c>
      <c r="T77" s="132" t="str">
        <f t="shared" si="5"/>
        <v/>
      </c>
      <c r="V77" s="132" t="str">
        <f t="shared" si="4"/>
        <v/>
      </c>
      <c r="W77" s="130"/>
      <c r="X77" s="246"/>
      <c r="Y77" s="246"/>
      <c r="Z77" s="130"/>
      <c r="AA77" s="130"/>
      <c r="AB77" s="246"/>
    </row>
    <row r="78" spans="1:28" x14ac:dyDescent="0.15">
      <c r="A78" s="246"/>
      <c r="B78" s="246"/>
      <c r="C78" s="246"/>
      <c r="D78" s="106"/>
      <c r="E78" s="246"/>
      <c r="F78" s="246"/>
      <c r="G78" s="246"/>
      <c r="H78" s="246"/>
      <c r="I78" s="246"/>
      <c r="J78" s="246"/>
      <c r="K78" s="246"/>
      <c r="N78" s="130"/>
      <c r="Q78" s="132" t="str">
        <f t="shared" si="3"/>
        <v/>
      </c>
      <c r="T78" s="132" t="str">
        <f t="shared" si="5"/>
        <v/>
      </c>
      <c r="V78" s="132" t="str">
        <f t="shared" si="4"/>
        <v/>
      </c>
      <c r="W78" s="130"/>
      <c r="X78" s="246"/>
      <c r="Y78" s="246"/>
      <c r="Z78" s="130"/>
      <c r="AA78" s="130"/>
      <c r="AB78" s="246"/>
    </row>
    <row r="79" spans="1:28" x14ac:dyDescent="0.15">
      <c r="A79" s="246"/>
      <c r="B79" s="246"/>
      <c r="C79" s="246"/>
      <c r="D79" s="106"/>
      <c r="E79" s="246"/>
      <c r="F79" s="246"/>
      <c r="G79" s="246"/>
      <c r="H79" s="246"/>
      <c r="I79" s="246"/>
      <c r="J79" s="246"/>
      <c r="K79" s="246"/>
      <c r="N79" s="130"/>
      <c r="Q79" s="132" t="str">
        <f t="shared" si="3"/>
        <v/>
      </c>
      <c r="T79" s="132" t="str">
        <f t="shared" si="5"/>
        <v/>
      </c>
      <c r="V79" s="132" t="str">
        <f t="shared" si="4"/>
        <v/>
      </c>
      <c r="W79" s="130"/>
      <c r="X79" s="246"/>
      <c r="Y79" s="246"/>
      <c r="Z79" s="130"/>
      <c r="AA79" s="130"/>
      <c r="AB79" s="246"/>
    </row>
    <row r="80" spans="1:28" x14ac:dyDescent="0.15">
      <c r="A80" s="246"/>
      <c r="B80" s="246"/>
      <c r="C80" s="246"/>
      <c r="D80" s="106"/>
      <c r="E80" s="246"/>
      <c r="F80" s="246"/>
      <c r="G80" s="246"/>
      <c r="H80" s="246"/>
      <c r="I80" s="246"/>
      <c r="J80" s="246"/>
      <c r="K80" s="246"/>
      <c r="N80" s="130"/>
      <c r="Q80" s="132" t="str">
        <f t="shared" si="3"/>
        <v/>
      </c>
      <c r="T80" s="132" t="str">
        <f t="shared" si="5"/>
        <v/>
      </c>
      <c r="V80" s="132" t="str">
        <f t="shared" si="4"/>
        <v/>
      </c>
      <c r="W80" s="130"/>
      <c r="X80" s="246"/>
      <c r="Y80" s="246"/>
      <c r="Z80" s="130"/>
      <c r="AA80" s="130"/>
      <c r="AB80" s="246"/>
    </row>
    <row r="81" spans="1:28" x14ac:dyDescent="0.15">
      <c r="A81" s="246"/>
      <c r="B81" s="246"/>
      <c r="C81" s="246"/>
      <c r="D81" s="106"/>
      <c r="E81" s="246"/>
      <c r="F81" s="246"/>
      <c r="G81" s="246"/>
      <c r="H81" s="246"/>
      <c r="I81" s="246"/>
      <c r="J81" s="246"/>
      <c r="K81" s="246"/>
      <c r="N81" s="130"/>
      <c r="Q81" s="132" t="str">
        <f t="shared" si="3"/>
        <v/>
      </c>
      <c r="T81" s="132" t="str">
        <f t="shared" si="5"/>
        <v/>
      </c>
      <c r="V81" s="132" t="str">
        <f t="shared" si="4"/>
        <v/>
      </c>
      <c r="W81" s="130"/>
      <c r="X81" s="246"/>
      <c r="Y81" s="246"/>
      <c r="Z81" s="130"/>
      <c r="AA81" s="130"/>
      <c r="AB81" s="246"/>
    </row>
    <row r="82" spans="1:28" x14ac:dyDescent="0.15">
      <c r="A82" s="246"/>
      <c r="B82" s="246"/>
      <c r="C82" s="246"/>
      <c r="D82" s="106"/>
      <c r="E82" s="246"/>
      <c r="F82" s="246"/>
      <c r="G82" s="246"/>
      <c r="H82" s="246"/>
      <c r="I82" s="246"/>
      <c r="J82" s="246"/>
      <c r="K82" s="246"/>
      <c r="N82" s="130"/>
      <c r="Q82" s="132" t="str">
        <f t="shared" si="3"/>
        <v/>
      </c>
      <c r="R82" s="115"/>
      <c r="T82" s="132" t="str">
        <f t="shared" si="5"/>
        <v/>
      </c>
      <c r="V82" s="132" t="str">
        <f t="shared" si="4"/>
        <v/>
      </c>
      <c r="W82" s="130"/>
      <c r="X82" s="246"/>
      <c r="Y82" s="246"/>
      <c r="Z82" s="130"/>
      <c r="AA82" s="130"/>
      <c r="AB82" s="246"/>
    </row>
    <row r="83" spans="1:28" x14ac:dyDescent="0.15">
      <c r="A83" s="246"/>
      <c r="B83" s="246"/>
      <c r="C83" s="246"/>
      <c r="D83" s="106"/>
      <c r="E83" s="246"/>
      <c r="F83" s="246"/>
      <c r="G83" s="246"/>
      <c r="H83" s="246"/>
      <c r="I83" s="246"/>
      <c r="J83" s="246"/>
      <c r="K83" s="246"/>
      <c r="N83" s="130"/>
      <c r="Q83" s="132" t="str">
        <f t="shared" si="3"/>
        <v/>
      </c>
      <c r="T83" s="132" t="str">
        <f t="shared" si="5"/>
        <v/>
      </c>
      <c r="V83" s="132" t="str">
        <f t="shared" si="4"/>
        <v/>
      </c>
      <c r="W83" s="130"/>
      <c r="X83" s="246"/>
      <c r="Y83" s="246"/>
      <c r="Z83" s="130"/>
      <c r="AA83" s="130"/>
      <c r="AB83" s="246"/>
    </row>
    <row r="84" spans="1:28" x14ac:dyDescent="0.15">
      <c r="A84" s="246"/>
      <c r="B84" s="246"/>
      <c r="C84" s="246"/>
      <c r="D84" s="106"/>
      <c r="E84" s="246"/>
      <c r="F84" s="246"/>
      <c r="G84" s="246"/>
      <c r="H84" s="246"/>
      <c r="I84" s="246"/>
      <c r="J84" s="246"/>
      <c r="K84" s="246"/>
      <c r="N84" s="130"/>
      <c r="Q84" s="132" t="str">
        <f t="shared" si="3"/>
        <v/>
      </c>
      <c r="T84" s="132" t="str">
        <f t="shared" si="5"/>
        <v/>
      </c>
      <c r="V84" s="132" t="str">
        <f t="shared" si="4"/>
        <v/>
      </c>
      <c r="W84" s="130"/>
      <c r="X84" s="246"/>
      <c r="Y84" s="246"/>
      <c r="Z84" s="130"/>
      <c r="AA84" s="130"/>
      <c r="AB84" s="246"/>
    </row>
    <row r="85" spans="1:28" x14ac:dyDescent="0.15">
      <c r="A85" s="246"/>
      <c r="B85" s="246"/>
      <c r="C85" s="246"/>
      <c r="D85" s="106"/>
      <c r="E85" s="246"/>
      <c r="F85" s="246"/>
      <c r="G85" s="246"/>
      <c r="H85" s="246"/>
      <c r="I85" s="246"/>
      <c r="J85" s="246"/>
      <c r="K85" s="246"/>
      <c r="N85" s="130"/>
      <c r="Q85" s="132" t="str">
        <f t="shared" si="3"/>
        <v/>
      </c>
      <c r="T85" s="132" t="str">
        <f t="shared" si="5"/>
        <v/>
      </c>
      <c r="V85" s="132" t="str">
        <f t="shared" si="4"/>
        <v/>
      </c>
      <c r="W85" s="130"/>
      <c r="X85" s="246"/>
      <c r="Y85" s="246"/>
      <c r="Z85" s="130"/>
      <c r="AA85" s="130"/>
      <c r="AB85" s="246"/>
    </row>
    <row r="86" spans="1:28" x14ac:dyDescent="0.15">
      <c r="A86" s="246"/>
      <c r="B86" s="246"/>
      <c r="C86" s="246"/>
      <c r="D86" s="106"/>
      <c r="E86" s="246"/>
      <c r="F86" s="246"/>
      <c r="G86" s="246"/>
      <c r="H86" s="246"/>
      <c r="I86" s="246"/>
      <c r="J86" s="246"/>
      <c r="K86" s="246"/>
      <c r="N86" s="130"/>
      <c r="Q86" s="132" t="str">
        <f t="shared" si="3"/>
        <v/>
      </c>
      <c r="T86" s="132" t="str">
        <f t="shared" si="5"/>
        <v/>
      </c>
      <c r="V86" s="132" t="str">
        <f t="shared" si="4"/>
        <v/>
      </c>
      <c r="W86" s="130"/>
      <c r="X86" s="246"/>
      <c r="Y86" s="246"/>
      <c r="Z86" s="130"/>
      <c r="AA86" s="130"/>
      <c r="AB86" s="246"/>
    </row>
    <row r="87" spans="1:28" x14ac:dyDescent="0.15">
      <c r="A87" s="246"/>
      <c r="B87" s="246"/>
      <c r="C87" s="246"/>
      <c r="D87" s="106"/>
      <c r="E87" s="246"/>
      <c r="F87" s="246"/>
      <c r="G87" s="246"/>
      <c r="H87" s="246"/>
      <c r="I87" s="246"/>
      <c r="J87" s="246"/>
      <c r="K87" s="246"/>
      <c r="N87" s="130"/>
      <c r="Q87" s="132" t="str">
        <f t="shared" si="3"/>
        <v/>
      </c>
      <c r="T87" s="132" t="str">
        <f t="shared" si="5"/>
        <v/>
      </c>
      <c r="V87" s="132" t="str">
        <f t="shared" si="4"/>
        <v/>
      </c>
      <c r="W87" s="130"/>
      <c r="X87" s="246"/>
      <c r="Y87" s="246"/>
      <c r="Z87" s="130"/>
      <c r="AA87" s="130"/>
      <c r="AB87" s="246"/>
    </row>
    <row r="88" spans="1:28" x14ac:dyDescent="0.15">
      <c r="A88" s="246"/>
      <c r="B88" s="246"/>
      <c r="C88" s="246"/>
      <c r="D88" s="106"/>
      <c r="E88" s="246"/>
      <c r="F88" s="246"/>
      <c r="G88" s="246"/>
      <c r="H88" s="246"/>
      <c r="I88" s="246"/>
      <c r="J88" s="246"/>
      <c r="K88" s="246"/>
      <c r="N88" s="130"/>
      <c r="Q88" s="132" t="str">
        <f t="shared" si="3"/>
        <v/>
      </c>
      <c r="T88" s="132" t="str">
        <f t="shared" si="5"/>
        <v/>
      </c>
      <c r="V88" s="132" t="str">
        <f t="shared" si="4"/>
        <v/>
      </c>
      <c r="W88" s="130"/>
      <c r="X88" s="246"/>
      <c r="Y88" s="246"/>
      <c r="Z88" s="130"/>
      <c r="AA88" s="130"/>
      <c r="AB88" s="246"/>
    </row>
    <row r="89" spans="1:28" x14ac:dyDescent="0.15">
      <c r="A89" s="246"/>
      <c r="B89" s="246"/>
      <c r="C89" s="130"/>
      <c r="D89" s="131"/>
      <c r="E89" s="246"/>
      <c r="F89" s="246"/>
      <c r="G89" s="130"/>
      <c r="H89" s="130"/>
      <c r="I89" s="130"/>
      <c r="J89" s="130"/>
      <c r="K89" s="246"/>
      <c r="N89" s="130"/>
      <c r="W89" s="130"/>
      <c r="X89" s="130"/>
      <c r="Y89" s="130"/>
      <c r="Z89" s="130"/>
      <c r="AA89" s="130"/>
      <c r="AB89" s="246"/>
    </row>
    <row r="90" spans="1:28" x14ac:dyDescent="0.15">
      <c r="A90" s="246"/>
      <c r="B90" s="246"/>
      <c r="C90" s="130"/>
      <c r="D90" s="131"/>
      <c r="E90" s="246"/>
      <c r="F90" s="246"/>
      <c r="G90" s="130"/>
      <c r="H90" s="130"/>
      <c r="I90" s="130"/>
      <c r="J90" s="130"/>
      <c r="K90" s="246"/>
      <c r="N90" s="130"/>
      <c r="W90" s="130"/>
      <c r="X90" s="130"/>
      <c r="Y90" s="130"/>
      <c r="Z90" s="130"/>
      <c r="AA90" s="130"/>
      <c r="AB90" s="246"/>
    </row>
    <row r="91" spans="1:28" x14ac:dyDescent="0.15">
      <c r="A91" s="246"/>
      <c r="B91" s="246"/>
      <c r="C91" s="130"/>
      <c r="D91" s="131"/>
      <c r="E91" s="246"/>
      <c r="F91" s="246"/>
      <c r="G91" s="130"/>
      <c r="H91" s="130"/>
      <c r="I91" s="130"/>
      <c r="J91" s="130"/>
      <c r="K91" s="246"/>
      <c r="N91" s="130"/>
      <c r="W91" s="130"/>
      <c r="X91" s="130"/>
      <c r="Y91" s="130"/>
      <c r="Z91" s="130"/>
      <c r="AA91" s="130"/>
      <c r="AB91" s="246"/>
    </row>
    <row r="92" spans="1:28" x14ac:dyDescent="0.15">
      <c r="A92" s="246"/>
      <c r="B92" s="246"/>
      <c r="C92" s="130"/>
      <c r="D92" s="131"/>
      <c r="E92" s="246"/>
      <c r="F92" s="246"/>
      <c r="G92" s="130"/>
      <c r="H92" s="130"/>
      <c r="I92" s="130"/>
      <c r="J92" s="130"/>
      <c r="K92" s="246"/>
      <c r="N92" s="130"/>
      <c r="W92" s="130"/>
      <c r="X92" s="130"/>
      <c r="Y92" s="130"/>
      <c r="Z92" s="130"/>
      <c r="AA92" s="130"/>
      <c r="AB92" s="246"/>
    </row>
    <row r="93" spans="1:28" x14ac:dyDescent="0.15">
      <c r="A93" s="246"/>
      <c r="B93" s="246"/>
      <c r="C93" s="130"/>
      <c r="D93" s="131"/>
      <c r="E93" s="246"/>
      <c r="F93" s="246"/>
      <c r="G93" s="130"/>
      <c r="H93" s="130"/>
      <c r="I93" s="130"/>
      <c r="J93" s="130"/>
      <c r="K93" s="130"/>
      <c r="N93" s="130"/>
      <c r="W93" s="130"/>
      <c r="X93" s="130"/>
      <c r="Y93" s="130"/>
      <c r="Z93" s="130"/>
      <c r="AA93" s="130"/>
      <c r="AB93" s="246"/>
    </row>
    <row r="94" spans="1:28" x14ac:dyDescent="0.15">
      <c r="A94" s="246"/>
      <c r="B94" s="246"/>
      <c r="C94" s="130"/>
      <c r="D94" s="131"/>
      <c r="E94" s="246"/>
      <c r="F94" s="246"/>
      <c r="G94" s="130"/>
      <c r="H94" s="130"/>
      <c r="I94" s="130"/>
      <c r="J94" s="130"/>
      <c r="K94" s="130"/>
      <c r="N94" s="130"/>
      <c r="W94" s="130"/>
      <c r="X94" s="130"/>
      <c r="Y94" s="130"/>
      <c r="Z94" s="130"/>
      <c r="AA94" s="130"/>
      <c r="AB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c r="F729" s="246"/>
    </row>
    <row r="730" spans="5:6" x14ac:dyDescent="0.15">
      <c r="E730" s="246"/>
      <c r="F730" s="246"/>
    </row>
    <row r="731" spans="5:6" x14ac:dyDescent="0.15">
      <c r="E731" s="246"/>
      <c r="F731" s="246"/>
    </row>
    <row r="732" spans="5:6" x14ac:dyDescent="0.15">
      <c r="E732" s="246"/>
      <c r="F732" s="246"/>
    </row>
    <row r="733" spans="5:6" x14ac:dyDescent="0.15">
      <c r="E733" s="246"/>
      <c r="F733" s="246"/>
    </row>
    <row r="734" spans="5:6" x14ac:dyDescent="0.15">
      <c r="E734" s="246"/>
      <c r="F734" s="246"/>
    </row>
    <row r="735" spans="5:6" x14ac:dyDescent="0.15">
      <c r="E735" s="246"/>
    </row>
  </sheetData>
  <autoFilter ref="A1:BA88"/>
  <phoneticPr fontId="3"/>
  <dataValidations count="15">
    <dataValidation type="decimal" allowBlank="1" showInputMessage="1" showErrorMessage="1" error="硬度を正しく入力して下さい。" sqref="O2:P503">
      <formula1>0</formula1>
      <formula2>7</formula2>
    </dataValidation>
    <dataValidation type="list" allowBlank="1" showInputMessage="1" showErrorMessage="1" sqref="JU2:JW82 ANI2:ANK82 BQW2:BQY82 CUK2:CUM82 DXY2:DYA82 FBM2:FBO82 GFA2:GFC82 HIO2:HIQ82 IMC2:IME82 JPQ2:JPS82 KTE2:KTG82 LWS2:LWU82 NAG2:NAI82 ODU2:ODW82 PHI2:PHK82 QKW2:QKY82 ROK2:ROM82 SRY2:SSA82 TVM2:TVO82 UZA2:UZC82 WCO2:WCQ82 TQ2:TS82 AXE2:AXG82 CAS2:CAU82 DEG2:DEI82 EHU2:EHW82 FLI2:FLK82 GOW2:GOY82 HSK2:HSM82 IVY2:IWA82 JZM2:JZO82 LDA2:LDC82 MGO2:MGQ82 NKC2:NKE82 ONQ2:ONS82 PRE2:PRG82 QUS2:QUU82 RYG2:RYI82 TBU2:TBW82 UFI2:UFK82 VIW2:VIY82 WMK2:WMM82 ADM2:ADO82 BHA2:BHC82 CKO2:CKQ82 DOC2:DOE82 ERQ2:ERS82 FVE2:FVG82 GYS2:GYU82 ICG2:ICI82 JFU2:JFW82 KJI2:KJK82 LMW2:LMY82 MQK2:MQM82 NTY2:NUA82 OXM2:OXO82 QBA2:QBC82 REO2:REQ82 SIC2:SIE82 TLQ2:TLS82 UPE2:UPG82 VSS2:VSU82 WWG2:WWI82 Y983045:AA983122 ADM983045:ADO983122 BHA983045:BHC983122 CKO983045:CKQ983122 DOC983045:DOE983122 ERQ983045:ERS983122 FVE983045:FVG983122 GYS983045:GYU983122 ICG983045:ICI983122 JFU983045:JFW983122 KJI983045:KJK983122 LMW983045:LMY983122 MQK983045:MQM983122 NTY983045:NUA983122 OXM983045:OXO983122 QBA983045:QBC983122 REO983045:REQ983122 SIC983045:SIE983122 TLQ983045:TLS983122 UPE983045:UPG983122 VSS983045:VSU983122 WWG983045:WWI983122 Y65541:AA65618 ADM65541:ADO65618 BHA65541:BHC65618 CKO65541:CKQ65618 DOC65541:DOE65618 ERQ65541:ERS65618 FVE65541:FVG65618 GYS65541:GYU65618 ICG65541:ICI65618 JFU65541:JFW65618 KJI65541:KJK65618 LMW65541:LMY65618 MQK65541:MQM65618 NTY65541:NUA65618 OXM65541:OXO65618 QBA65541:QBC65618 REO65541:REQ65618 SIC65541:SIE65618 TLQ65541:TLS65618 UPE65541:UPG65618 VSS65541:VSU65618 WWG65541:WWI65618 JU65541:JW65618 ANI65541:ANK65618 BQW65541:BQY65618 CUK65541:CUM65618 DXY65541:DYA65618 FBM65541:FBO65618 GFA65541:GFC65618 HIO65541:HIQ65618 IMC65541:IME65618 JPQ65541:JPS65618 KTE65541:KTG65618 LWS65541:LWU65618 NAG65541:NAI65618 ODU65541:ODW65618 PHI65541:PHK65618 QKW65541:QKY65618 ROK65541:ROM65618 SRY65541:SSA65618 TVM65541:TVO65618 UZA65541:UZC65618 WCO65541:WCQ65618 TQ65541:TS65618 AXE65541:AXG65618 CAS65541:CAU65618 DEG65541:DEI65618 EHU65541:EHW65618 FLI65541:FLK65618 GOW65541:GOY65618 HSK65541:HSM65618 IVY65541:IWA65618 JZM65541:JZO65618 LDA65541:LDC65618 MGO65541:MGQ65618 NKC65541:NKE65618 ONQ65541:ONS65618 PRE65541:PRG65618 QUS65541:QUU65618 RYG65541:RYI65618 TBU65541:TBW65618 UFI65541:UFK65618 VIW65541:VIY65618 WMK65541:WMM65618 Y131077:AA131154 ADM131077:ADO131154 BHA131077:BHC131154 CKO131077:CKQ131154 DOC131077:DOE131154 ERQ131077:ERS131154 FVE131077:FVG131154 GYS131077:GYU131154 ICG131077:ICI131154 JFU131077:JFW131154 KJI131077:KJK131154 LMW131077:LMY131154 MQK131077:MQM131154 NTY131077:NUA131154 OXM131077:OXO131154 QBA131077:QBC131154 REO131077:REQ131154 SIC131077:SIE131154 TLQ131077:TLS131154 UPE131077:UPG131154 VSS131077:VSU131154 WWG131077:WWI131154 JU131077:JW131154 ANI131077:ANK131154 BQW131077:BQY131154 CUK131077:CUM131154 DXY131077:DYA131154 FBM131077:FBO131154 GFA131077:GFC131154 HIO131077:HIQ131154 IMC131077:IME131154 JPQ131077:JPS131154 KTE131077:KTG131154 LWS131077:LWU131154 NAG131077:NAI131154 ODU131077:ODW131154 PHI131077:PHK131154 QKW131077:QKY131154 ROK131077:ROM131154 SRY131077:SSA131154 TVM131077:TVO131154 UZA131077:UZC131154 WCO131077:WCQ131154 TQ131077:TS131154 AXE131077:AXG131154 CAS131077:CAU131154 DEG131077:DEI131154 EHU131077:EHW131154 FLI131077:FLK131154 GOW131077:GOY131154 HSK131077:HSM131154 IVY131077:IWA131154 JZM131077:JZO131154 LDA131077:LDC131154 MGO131077:MGQ131154 NKC131077:NKE131154 ONQ131077:ONS131154 PRE131077:PRG131154 QUS131077:QUU131154 RYG131077:RYI131154 TBU131077:TBW131154 UFI131077:UFK131154 VIW131077:VIY131154 WMK131077:WMM131154 Y196613:AA196690 ADM196613:ADO196690 BHA196613:BHC196690 CKO196613:CKQ196690 DOC196613:DOE196690 ERQ196613:ERS196690 FVE196613:FVG196690 GYS196613:GYU196690 ICG196613:ICI196690 JFU196613:JFW196690 KJI196613:KJK196690 LMW196613:LMY196690 MQK196613:MQM196690 NTY196613:NUA196690 OXM196613:OXO196690 QBA196613:QBC196690 REO196613:REQ196690 SIC196613:SIE196690 TLQ196613:TLS196690 UPE196613:UPG196690 VSS196613:VSU196690 WWG196613:WWI196690 JU196613:JW196690 ANI196613:ANK196690 BQW196613:BQY196690 CUK196613:CUM196690 DXY196613:DYA196690 FBM196613:FBO196690 GFA196613:GFC196690 HIO196613:HIQ196690 IMC196613:IME196690 JPQ196613:JPS196690 KTE196613:KTG196690 LWS196613:LWU196690 NAG196613:NAI196690 ODU196613:ODW196690 PHI196613:PHK196690 QKW196613:QKY196690 ROK196613:ROM196690 SRY196613:SSA196690 TVM196613:TVO196690 UZA196613:UZC196690 WCO196613:WCQ196690 TQ196613:TS196690 AXE196613:AXG196690 CAS196613:CAU196690 DEG196613:DEI196690 EHU196613:EHW196690 FLI196613:FLK196690 GOW196613:GOY196690 HSK196613:HSM196690 IVY196613:IWA196690 JZM196613:JZO196690 LDA196613:LDC196690 MGO196613:MGQ196690 NKC196613:NKE196690 ONQ196613:ONS196690 PRE196613:PRG196690 QUS196613:QUU196690 RYG196613:RYI196690 TBU196613:TBW196690 UFI196613:UFK196690 VIW196613:VIY196690 WMK196613:WMM196690 Y262149:AA262226 ADM262149:ADO262226 BHA262149:BHC262226 CKO262149:CKQ262226 DOC262149:DOE262226 ERQ262149:ERS262226 FVE262149:FVG262226 GYS262149:GYU262226 ICG262149:ICI262226 JFU262149:JFW262226 KJI262149:KJK262226 LMW262149:LMY262226 MQK262149:MQM262226 NTY262149:NUA262226 OXM262149:OXO262226 QBA262149:QBC262226 REO262149:REQ262226 SIC262149:SIE262226 TLQ262149:TLS262226 UPE262149:UPG262226 VSS262149:VSU262226 WWG262149:WWI262226 JU262149:JW262226 ANI262149:ANK262226 BQW262149:BQY262226 CUK262149:CUM262226 DXY262149:DYA262226 FBM262149:FBO262226 GFA262149:GFC262226 HIO262149:HIQ262226 IMC262149:IME262226 JPQ262149:JPS262226 KTE262149:KTG262226 LWS262149:LWU262226 NAG262149:NAI262226 ODU262149:ODW262226 PHI262149:PHK262226 QKW262149:QKY262226 ROK262149:ROM262226 SRY262149:SSA262226 TVM262149:TVO262226 UZA262149:UZC262226 WCO262149:WCQ262226 TQ262149:TS262226 AXE262149:AXG262226 CAS262149:CAU262226 DEG262149:DEI262226 EHU262149:EHW262226 FLI262149:FLK262226 GOW262149:GOY262226 HSK262149:HSM262226 IVY262149:IWA262226 JZM262149:JZO262226 LDA262149:LDC262226 MGO262149:MGQ262226 NKC262149:NKE262226 ONQ262149:ONS262226 PRE262149:PRG262226 QUS262149:QUU262226 RYG262149:RYI262226 TBU262149:TBW262226 UFI262149:UFK262226 VIW262149:VIY262226 WMK262149:WMM262226 Y327685:AA327762 ADM327685:ADO327762 BHA327685:BHC327762 CKO327685:CKQ327762 DOC327685:DOE327762 ERQ327685:ERS327762 FVE327685:FVG327762 GYS327685:GYU327762 ICG327685:ICI327762 JFU327685:JFW327762 KJI327685:KJK327762 LMW327685:LMY327762 MQK327685:MQM327762 NTY327685:NUA327762 OXM327685:OXO327762 QBA327685:QBC327762 REO327685:REQ327762 SIC327685:SIE327762 TLQ327685:TLS327762 UPE327685:UPG327762 VSS327685:VSU327762 WWG327685:WWI327762 JU327685:JW327762 ANI327685:ANK327762 BQW327685:BQY327762 CUK327685:CUM327762 DXY327685:DYA327762 FBM327685:FBO327762 GFA327685:GFC327762 HIO327685:HIQ327762 IMC327685:IME327762 JPQ327685:JPS327762 KTE327685:KTG327762 LWS327685:LWU327762 NAG327685:NAI327762 ODU327685:ODW327762 PHI327685:PHK327762 QKW327685:QKY327762 ROK327685:ROM327762 SRY327685:SSA327762 TVM327685:TVO327762 UZA327685:UZC327762 WCO327685:WCQ327762 TQ327685:TS327762 AXE327685:AXG327762 CAS327685:CAU327762 DEG327685:DEI327762 EHU327685:EHW327762 FLI327685:FLK327762 GOW327685:GOY327762 HSK327685:HSM327762 IVY327685:IWA327762 JZM327685:JZO327762 LDA327685:LDC327762 MGO327685:MGQ327762 NKC327685:NKE327762 ONQ327685:ONS327762 PRE327685:PRG327762 QUS327685:QUU327762 RYG327685:RYI327762 TBU327685:TBW327762 UFI327685:UFK327762 VIW327685:VIY327762 WMK327685:WMM327762 Y393221:AA393298 ADM393221:ADO393298 BHA393221:BHC393298 CKO393221:CKQ393298 DOC393221:DOE393298 ERQ393221:ERS393298 FVE393221:FVG393298 GYS393221:GYU393298 ICG393221:ICI393298 JFU393221:JFW393298 KJI393221:KJK393298 LMW393221:LMY393298 MQK393221:MQM393298 NTY393221:NUA393298 OXM393221:OXO393298 QBA393221:QBC393298 REO393221:REQ393298 SIC393221:SIE393298 TLQ393221:TLS393298 UPE393221:UPG393298 VSS393221:VSU393298 WWG393221:WWI393298 JU393221:JW393298 ANI393221:ANK393298 BQW393221:BQY393298 CUK393221:CUM393298 DXY393221:DYA393298 FBM393221:FBO393298 GFA393221:GFC393298 HIO393221:HIQ393298 IMC393221:IME393298 JPQ393221:JPS393298 KTE393221:KTG393298 LWS393221:LWU393298 NAG393221:NAI393298 ODU393221:ODW393298 PHI393221:PHK393298 QKW393221:QKY393298 ROK393221:ROM393298 SRY393221:SSA393298 TVM393221:TVO393298 UZA393221:UZC393298 WCO393221:WCQ393298 TQ393221:TS393298 AXE393221:AXG393298 CAS393221:CAU393298 DEG393221:DEI393298 EHU393221:EHW393298 FLI393221:FLK393298 GOW393221:GOY393298 HSK393221:HSM393298 IVY393221:IWA393298 JZM393221:JZO393298 LDA393221:LDC393298 MGO393221:MGQ393298 NKC393221:NKE393298 ONQ393221:ONS393298 PRE393221:PRG393298 QUS393221:QUU393298 RYG393221:RYI393298 TBU393221:TBW393298 UFI393221:UFK393298 VIW393221:VIY393298 WMK393221:WMM393298 Y458757:AA458834 ADM458757:ADO458834 BHA458757:BHC458834 CKO458757:CKQ458834 DOC458757:DOE458834 ERQ458757:ERS458834 FVE458757:FVG458834 GYS458757:GYU458834 ICG458757:ICI458834 JFU458757:JFW458834 KJI458757:KJK458834 LMW458757:LMY458834 MQK458757:MQM458834 NTY458757:NUA458834 OXM458757:OXO458834 QBA458757:QBC458834 REO458757:REQ458834 SIC458757:SIE458834 TLQ458757:TLS458834 UPE458757:UPG458834 VSS458757:VSU458834 WWG458757:WWI458834 JU458757:JW458834 ANI458757:ANK458834 BQW458757:BQY458834 CUK458757:CUM458834 DXY458757:DYA458834 FBM458757:FBO458834 GFA458757:GFC458834 HIO458757:HIQ458834 IMC458757:IME458834 JPQ458757:JPS458834 KTE458757:KTG458834 LWS458757:LWU458834 NAG458757:NAI458834 ODU458757:ODW458834 PHI458757:PHK458834 QKW458757:QKY458834 ROK458757:ROM458834 SRY458757:SSA458834 TVM458757:TVO458834 UZA458757:UZC458834 WCO458757:WCQ458834 TQ458757:TS458834 AXE458757:AXG458834 CAS458757:CAU458834 DEG458757:DEI458834 EHU458757:EHW458834 FLI458757:FLK458834 GOW458757:GOY458834 HSK458757:HSM458834 IVY458757:IWA458834 JZM458757:JZO458834 LDA458757:LDC458834 MGO458757:MGQ458834 NKC458757:NKE458834 ONQ458757:ONS458834 PRE458757:PRG458834 QUS458757:QUU458834 RYG458757:RYI458834 TBU458757:TBW458834 UFI458757:UFK458834 VIW458757:VIY458834 WMK458757:WMM458834 Y524293:AA524370 ADM524293:ADO524370 BHA524293:BHC524370 CKO524293:CKQ524370 DOC524293:DOE524370 ERQ524293:ERS524370 FVE524293:FVG524370 GYS524293:GYU524370 ICG524293:ICI524370 JFU524293:JFW524370 KJI524293:KJK524370 LMW524293:LMY524370 MQK524293:MQM524370 NTY524293:NUA524370 OXM524293:OXO524370 QBA524293:QBC524370 REO524293:REQ524370 SIC524293:SIE524370 TLQ524293:TLS524370 UPE524293:UPG524370 VSS524293:VSU524370 WWG524293:WWI524370 JU524293:JW524370 ANI524293:ANK524370 BQW524293:BQY524370 CUK524293:CUM524370 DXY524293:DYA524370 FBM524293:FBO524370 GFA524293:GFC524370 HIO524293:HIQ524370 IMC524293:IME524370 JPQ524293:JPS524370 KTE524293:KTG524370 LWS524293:LWU524370 NAG524293:NAI524370 ODU524293:ODW524370 PHI524293:PHK524370 QKW524293:QKY524370 ROK524293:ROM524370 SRY524293:SSA524370 TVM524293:TVO524370 UZA524293:UZC524370 WCO524293:WCQ524370 TQ524293:TS524370 AXE524293:AXG524370 CAS524293:CAU524370 DEG524293:DEI524370 EHU524293:EHW524370 FLI524293:FLK524370 GOW524293:GOY524370 HSK524293:HSM524370 IVY524293:IWA524370 JZM524293:JZO524370 LDA524293:LDC524370 MGO524293:MGQ524370 NKC524293:NKE524370 ONQ524293:ONS524370 PRE524293:PRG524370 QUS524293:QUU524370 RYG524293:RYI524370 TBU524293:TBW524370 UFI524293:UFK524370 VIW524293:VIY524370 WMK524293:WMM524370 Y589829:AA589906 ADM589829:ADO589906 BHA589829:BHC589906 CKO589829:CKQ589906 DOC589829:DOE589906 ERQ589829:ERS589906 FVE589829:FVG589906 GYS589829:GYU589906 ICG589829:ICI589906 JFU589829:JFW589906 KJI589829:KJK589906 LMW589829:LMY589906 MQK589829:MQM589906 NTY589829:NUA589906 OXM589829:OXO589906 QBA589829:QBC589906 REO589829:REQ589906 SIC589829:SIE589906 TLQ589829:TLS589906 UPE589829:UPG589906 VSS589829:VSU589906 WWG589829:WWI589906 JU589829:JW589906 ANI589829:ANK589906 BQW589829:BQY589906 CUK589829:CUM589906 DXY589829:DYA589906 FBM589829:FBO589906 GFA589829:GFC589906 HIO589829:HIQ589906 IMC589829:IME589906 JPQ589829:JPS589906 KTE589829:KTG589906 LWS589829:LWU589906 NAG589829:NAI589906 ODU589829:ODW589906 PHI589829:PHK589906 QKW589829:QKY589906 ROK589829:ROM589906 SRY589829:SSA589906 TVM589829:TVO589906 UZA589829:UZC589906 WCO589829:WCQ589906 TQ589829:TS589906 AXE589829:AXG589906 CAS589829:CAU589906 DEG589829:DEI589906 EHU589829:EHW589906 FLI589829:FLK589906 GOW589829:GOY589906 HSK589829:HSM589906 IVY589829:IWA589906 JZM589829:JZO589906 LDA589829:LDC589906 MGO589829:MGQ589906 NKC589829:NKE589906 ONQ589829:ONS589906 PRE589829:PRG589906 QUS589829:QUU589906 RYG589829:RYI589906 TBU589829:TBW589906 UFI589829:UFK589906 VIW589829:VIY589906 WMK589829:WMM589906 Y655365:AA655442 ADM655365:ADO655442 BHA655365:BHC655442 CKO655365:CKQ655442 DOC655365:DOE655442 ERQ655365:ERS655442 FVE655365:FVG655442 GYS655365:GYU655442 ICG655365:ICI655442 JFU655365:JFW655442 KJI655365:KJK655442 LMW655365:LMY655442 MQK655365:MQM655442 NTY655365:NUA655442 OXM655365:OXO655442 QBA655365:QBC655442 REO655365:REQ655442 SIC655365:SIE655442 TLQ655365:TLS655442 UPE655365:UPG655442 VSS655365:VSU655442 WWG655365:WWI655442 JU655365:JW655442 ANI655365:ANK655442 BQW655365:BQY655442 CUK655365:CUM655442 DXY655365:DYA655442 FBM655365:FBO655442 GFA655365:GFC655442 HIO655365:HIQ655442 IMC655365:IME655442 JPQ655365:JPS655442 KTE655365:KTG655442 LWS655365:LWU655442 NAG655365:NAI655442 ODU655365:ODW655442 PHI655365:PHK655442 QKW655365:QKY655442 ROK655365:ROM655442 SRY655365:SSA655442 TVM655365:TVO655442 UZA655365:UZC655442 WCO655365:WCQ655442 TQ655365:TS655442 AXE655365:AXG655442 CAS655365:CAU655442 DEG655365:DEI655442 EHU655365:EHW655442 FLI655365:FLK655442 GOW655365:GOY655442 HSK655365:HSM655442 IVY655365:IWA655442 JZM655365:JZO655442 LDA655365:LDC655442 MGO655365:MGQ655442 NKC655365:NKE655442 ONQ655365:ONS655442 PRE655365:PRG655442 QUS655365:QUU655442 RYG655365:RYI655442 TBU655365:TBW655442 UFI655365:UFK655442 VIW655365:VIY655442 WMK655365:WMM655442 Y720901:AA720978 ADM720901:ADO720978 BHA720901:BHC720978 CKO720901:CKQ720978 DOC720901:DOE720978 ERQ720901:ERS720978 FVE720901:FVG720978 GYS720901:GYU720978 ICG720901:ICI720978 JFU720901:JFW720978 KJI720901:KJK720978 LMW720901:LMY720978 MQK720901:MQM720978 NTY720901:NUA720978 OXM720901:OXO720978 QBA720901:QBC720978 REO720901:REQ720978 SIC720901:SIE720978 TLQ720901:TLS720978 UPE720901:UPG720978 VSS720901:VSU720978 WWG720901:WWI720978 JU720901:JW720978 ANI720901:ANK720978 BQW720901:BQY720978 CUK720901:CUM720978 DXY720901:DYA720978 FBM720901:FBO720978 GFA720901:GFC720978 HIO720901:HIQ720978 IMC720901:IME720978 JPQ720901:JPS720978 KTE720901:KTG720978 LWS720901:LWU720978 NAG720901:NAI720978 ODU720901:ODW720978 PHI720901:PHK720978 QKW720901:QKY720978 ROK720901:ROM720978 SRY720901:SSA720978 TVM720901:TVO720978 UZA720901:UZC720978 WCO720901:WCQ720978 TQ720901:TS720978 AXE720901:AXG720978 CAS720901:CAU720978 DEG720901:DEI720978 EHU720901:EHW720978 FLI720901:FLK720978 GOW720901:GOY720978 HSK720901:HSM720978 IVY720901:IWA720978 JZM720901:JZO720978 LDA720901:LDC720978 MGO720901:MGQ720978 NKC720901:NKE720978 ONQ720901:ONS720978 PRE720901:PRG720978 QUS720901:QUU720978 RYG720901:RYI720978 TBU720901:TBW720978 UFI720901:UFK720978 VIW720901:VIY720978 WMK720901:WMM720978 Y786437:AA786514 ADM786437:ADO786514 BHA786437:BHC786514 CKO786437:CKQ786514 DOC786437:DOE786514 ERQ786437:ERS786514 FVE786437:FVG786514 GYS786437:GYU786514 ICG786437:ICI786514 JFU786437:JFW786514 KJI786437:KJK786514 LMW786437:LMY786514 MQK786437:MQM786514 NTY786437:NUA786514 OXM786437:OXO786514 QBA786437:QBC786514 REO786437:REQ786514 SIC786437:SIE786514 TLQ786437:TLS786514 UPE786437:UPG786514 VSS786437:VSU786514 WWG786437:WWI786514 JU786437:JW786514 ANI786437:ANK786514 BQW786437:BQY786514 CUK786437:CUM786514 DXY786437:DYA786514 FBM786437:FBO786514 GFA786437:GFC786514 HIO786437:HIQ786514 IMC786437:IME786514 JPQ786437:JPS786514 KTE786437:KTG786514 LWS786437:LWU786514 NAG786437:NAI786514 ODU786437:ODW786514 PHI786437:PHK786514 QKW786437:QKY786514 ROK786437:ROM786514 SRY786437:SSA786514 TVM786437:TVO786514 UZA786437:UZC786514 WCO786437:WCQ786514 TQ786437:TS786514 AXE786437:AXG786514 CAS786437:CAU786514 DEG786437:DEI786514 EHU786437:EHW786514 FLI786437:FLK786514 GOW786437:GOY786514 HSK786437:HSM786514 IVY786437:IWA786514 JZM786437:JZO786514 LDA786437:LDC786514 MGO786437:MGQ786514 NKC786437:NKE786514 ONQ786437:ONS786514 PRE786437:PRG786514 QUS786437:QUU786514 RYG786437:RYI786514 TBU786437:TBW786514 UFI786437:UFK786514 VIW786437:VIY786514 WMK786437:WMM786514 Y851973:AA852050 ADM851973:ADO852050 BHA851973:BHC852050 CKO851973:CKQ852050 DOC851973:DOE852050 ERQ851973:ERS852050 FVE851973:FVG852050 GYS851973:GYU852050 ICG851973:ICI852050 JFU851973:JFW852050 KJI851973:KJK852050 LMW851973:LMY852050 MQK851973:MQM852050 NTY851973:NUA852050 OXM851973:OXO852050 QBA851973:QBC852050 REO851973:REQ852050 SIC851973:SIE852050 TLQ851973:TLS852050 UPE851973:UPG852050 VSS851973:VSU852050 WWG851973:WWI852050 JU851973:JW852050 ANI851973:ANK852050 BQW851973:BQY852050 CUK851973:CUM852050 DXY851973:DYA852050 FBM851973:FBO852050 GFA851973:GFC852050 HIO851973:HIQ852050 IMC851973:IME852050 JPQ851973:JPS852050 KTE851973:KTG852050 LWS851973:LWU852050 NAG851973:NAI852050 ODU851973:ODW852050 PHI851973:PHK852050 QKW851973:QKY852050 ROK851973:ROM852050 SRY851973:SSA852050 TVM851973:TVO852050 UZA851973:UZC852050 WCO851973:WCQ852050 TQ851973:TS852050 AXE851973:AXG852050 CAS851973:CAU852050 DEG851973:DEI852050 EHU851973:EHW852050 FLI851973:FLK852050 GOW851973:GOY852050 HSK851973:HSM852050 IVY851973:IWA852050 JZM851973:JZO852050 LDA851973:LDC852050 MGO851973:MGQ852050 NKC851973:NKE852050 ONQ851973:ONS852050 PRE851973:PRG852050 QUS851973:QUU852050 RYG851973:RYI852050 TBU851973:TBW852050 UFI851973:UFK852050 VIW851973:VIY852050 WMK851973:WMM852050 Y917509:AA917586 ADM917509:ADO917586 BHA917509:BHC917586 CKO917509:CKQ917586 DOC917509:DOE917586 ERQ917509:ERS917586 FVE917509:FVG917586 GYS917509:GYU917586 ICG917509:ICI917586 JFU917509:JFW917586 KJI917509:KJK917586 LMW917509:LMY917586 MQK917509:MQM917586 NTY917509:NUA917586 OXM917509:OXO917586 QBA917509:QBC917586 REO917509:REQ917586 SIC917509:SIE917586 TLQ917509:TLS917586 UPE917509:UPG917586 VSS917509:VSU917586 WWG917509:WWI917586 JU917509:JW917586 ANI917509:ANK917586 BQW917509:BQY917586 CUK917509:CUM917586 DXY917509:DYA917586 FBM917509:FBO917586 GFA917509:GFC917586 HIO917509:HIQ917586 IMC917509:IME917586 JPQ917509:JPS917586 KTE917509:KTG917586 LWS917509:LWU917586 NAG917509:NAI917586 ODU917509:ODW917586 PHI917509:PHK917586 QKW917509:QKY917586 ROK917509:ROM917586 SRY917509:SSA917586 TVM917509:TVO917586 UZA917509:UZC917586 WCO917509:WCQ917586 TQ917509:TS917586 AXE917509:AXG917586 CAS917509:CAU917586 DEG917509:DEI917586 EHU917509:EHW917586 FLI917509:FLK917586 GOW917509:GOY917586 HSK917509:HSM917586 IVY917509:IWA917586 JZM917509:JZO917586 LDA917509:LDC917586 MGO917509:MGQ917586 NKC917509:NKE917586 ONQ917509:ONS917586 PRE917509:PRG917586 QUS917509:QUU917586 RYG917509:RYI917586 TBU917509:TBW917586 UFI917509:UFK917586 VIW917509:VIY917586 WMK917509:WMM917586 JU983045:JW983122 ANI983045:ANK983122 BQW983045:BQY983122 CUK983045:CUM983122 DXY983045:DYA983122 FBM983045:FBO983122 GFA983045:GFC983122 HIO983045:HIQ983122 IMC983045:IME983122 JPQ983045:JPS983122 KTE983045:KTG983122 LWS983045:LWU983122 NAG983045:NAI983122 ODU983045:ODW983122 PHI983045:PHK983122 QKW983045:QKY983122 ROK983045:ROM983122 SRY983045:SSA983122 TVM983045:TVO983122 UZA983045:UZC983122 WCO983045:WCQ983122 TQ983045:TS983122 AXE983045:AXG983122 CAS983045:CAU983122 DEG983045:DEI983122 EHU983045:EHW983122 FLI983045:FLK983122 GOW983045:GOY983122 HSK983045:HSM983122 IVY983045:IWA983122 JZM983045:JZO983122 LDA983045:LDC983122 MGO983045:MGQ983122 NKC983045:NKE983122 ONQ983045:ONS983122 PRE983045:PRG983122 QUS983045:QUU983122 RYG983045:RYI983122 TBU983045:TBW983122 UFI983045:UFK983122 VIW983045:VIY983122 WMK983045:WMM983122">
      <formula1>$AV$2:$AV$20</formula1>
    </dataValidation>
    <dataValidation type="list" allowBlank="1" showInputMessage="1" showErrorMessage="1" sqref="H65541:H65618 H131077:H131154 H196613:H196690 H262149:H262226 H327685:H327762 H393221:H393298 H458757:H458834 H524293:H524370 H589829:H589906 H655365:H655442 H720901:H720978 H786437:H786514 H851973:H852050 H917509:H917586 H983045:H983122 JD2:JD82 JD65541:JD65618 JD131077:JD131154 JD196613:JD196690 JD262149:JD262226 JD327685:JD327762 JD393221:JD393298 JD458757:JD458834 JD524293:JD524370 JD589829:JD589906 JD655365:JD655442 JD720901:JD720978 JD786437:JD786514 JD851973:JD852050 JD917509:JD917586 JD983045:JD983122 SZ2:SZ82 SZ65541:SZ65618 SZ131077:SZ131154 SZ196613:SZ196690 SZ262149:SZ262226 SZ327685:SZ327762 SZ393221:SZ393298 SZ458757:SZ458834 SZ524293:SZ524370 SZ589829:SZ589906 SZ655365:SZ655442 SZ720901:SZ720978 SZ786437:SZ786514 SZ851973:SZ852050 SZ917509:SZ917586 SZ983045:SZ983122 ACV2:ACV82 ACV65541:ACV65618 ACV131077:ACV131154 ACV196613:ACV196690 ACV262149:ACV262226 ACV327685:ACV327762 ACV393221:ACV393298 ACV458757:ACV458834 ACV524293:ACV524370 ACV589829:ACV589906 ACV655365:ACV655442 ACV720901:ACV720978 ACV786437:ACV786514 ACV851973:ACV852050 ACV917509:ACV917586 ACV983045:ACV983122 AMR2:AMR82 AMR65541:AMR65618 AMR131077:AMR131154 AMR196613:AMR196690 AMR262149:AMR262226 AMR327685:AMR327762 AMR393221:AMR393298 AMR458757:AMR458834 AMR524293:AMR524370 AMR589829:AMR589906 AMR655365:AMR655442 AMR720901:AMR720978 AMR786437:AMR786514 AMR851973:AMR852050 AMR917509:AMR917586 AMR983045:AMR983122 AWN2:AWN82 AWN65541:AWN65618 AWN131077:AWN131154 AWN196613:AWN196690 AWN262149:AWN262226 AWN327685:AWN327762 AWN393221:AWN393298 AWN458757:AWN458834 AWN524293:AWN524370 AWN589829:AWN589906 AWN655365:AWN655442 AWN720901:AWN720978 AWN786437:AWN786514 AWN851973:AWN852050 AWN917509:AWN917586 AWN983045:AWN983122 BGJ2:BGJ82 BGJ65541:BGJ65618 BGJ131077:BGJ131154 BGJ196613:BGJ196690 BGJ262149:BGJ262226 BGJ327685:BGJ327762 BGJ393221:BGJ393298 BGJ458757:BGJ458834 BGJ524293:BGJ524370 BGJ589829:BGJ589906 BGJ655365:BGJ655442 BGJ720901:BGJ720978 BGJ786437:BGJ786514 BGJ851973:BGJ852050 BGJ917509:BGJ917586 BGJ983045:BGJ983122 BQF2:BQF82 BQF65541:BQF65618 BQF131077:BQF131154 BQF196613:BQF196690 BQF262149:BQF262226 BQF327685:BQF327762 BQF393221:BQF393298 BQF458757:BQF458834 BQF524293:BQF524370 BQF589829:BQF589906 BQF655365:BQF655442 BQF720901:BQF720978 BQF786437:BQF786514 BQF851973:BQF852050 BQF917509:BQF917586 BQF983045:BQF983122 CAB2:CAB82 CAB65541:CAB65618 CAB131077:CAB131154 CAB196613:CAB196690 CAB262149:CAB262226 CAB327685:CAB327762 CAB393221:CAB393298 CAB458757:CAB458834 CAB524293:CAB524370 CAB589829:CAB589906 CAB655365:CAB655442 CAB720901:CAB720978 CAB786437:CAB786514 CAB851973:CAB852050 CAB917509:CAB917586 CAB983045:CAB983122 CJX2:CJX82 CJX65541:CJX65618 CJX131077:CJX131154 CJX196613:CJX196690 CJX262149:CJX262226 CJX327685:CJX327762 CJX393221:CJX393298 CJX458757:CJX458834 CJX524293:CJX524370 CJX589829:CJX589906 CJX655365:CJX655442 CJX720901:CJX720978 CJX786437:CJX786514 CJX851973:CJX852050 CJX917509:CJX917586 CJX983045:CJX983122 CTT2:CTT82 CTT65541:CTT65618 CTT131077:CTT131154 CTT196613:CTT196690 CTT262149:CTT262226 CTT327685:CTT327762 CTT393221:CTT393298 CTT458757:CTT458834 CTT524293:CTT524370 CTT589829:CTT589906 CTT655365:CTT655442 CTT720901:CTT720978 CTT786437:CTT786514 CTT851973:CTT852050 CTT917509:CTT917586 CTT983045:CTT983122 DDP2:DDP82 DDP65541:DDP65618 DDP131077:DDP131154 DDP196613:DDP196690 DDP262149:DDP262226 DDP327685:DDP327762 DDP393221:DDP393298 DDP458757:DDP458834 DDP524293:DDP524370 DDP589829:DDP589906 DDP655365:DDP655442 DDP720901:DDP720978 DDP786437:DDP786514 DDP851973:DDP852050 DDP917509:DDP917586 DDP983045:DDP983122 DNL2:DNL82 DNL65541:DNL65618 DNL131077:DNL131154 DNL196613:DNL196690 DNL262149:DNL262226 DNL327685:DNL327762 DNL393221:DNL393298 DNL458757:DNL458834 DNL524293:DNL524370 DNL589829:DNL589906 DNL655365:DNL655442 DNL720901:DNL720978 DNL786437:DNL786514 DNL851973:DNL852050 DNL917509:DNL917586 DNL983045:DNL983122 DXH2:DXH82 DXH65541:DXH65618 DXH131077:DXH131154 DXH196613:DXH196690 DXH262149:DXH262226 DXH327685:DXH327762 DXH393221:DXH393298 DXH458757:DXH458834 DXH524293:DXH524370 DXH589829:DXH589906 DXH655365:DXH655442 DXH720901:DXH720978 DXH786437:DXH786514 DXH851973:DXH852050 DXH917509:DXH917586 DXH983045:DXH983122 EHD2:EHD82 EHD65541:EHD65618 EHD131077:EHD131154 EHD196613:EHD196690 EHD262149:EHD262226 EHD327685:EHD327762 EHD393221:EHD393298 EHD458757:EHD458834 EHD524293:EHD524370 EHD589829:EHD589906 EHD655365:EHD655442 EHD720901:EHD720978 EHD786437:EHD786514 EHD851973:EHD852050 EHD917509:EHD917586 EHD983045:EHD983122 EQZ2:EQZ82 EQZ65541:EQZ65618 EQZ131077:EQZ131154 EQZ196613:EQZ196690 EQZ262149:EQZ262226 EQZ327685:EQZ327762 EQZ393221:EQZ393298 EQZ458757:EQZ458834 EQZ524293:EQZ524370 EQZ589829:EQZ589906 EQZ655365:EQZ655442 EQZ720901:EQZ720978 EQZ786437:EQZ786514 EQZ851973:EQZ852050 EQZ917509:EQZ917586 EQZ983045:EQZ983122 FAV2:FAV82 FAV65541:FAV65618 FAV131077:FAV131154 FAV196613:FAV196690 FAV262149:FAV262226 FAV327685:FAV327762 FAV393221:FAV393298 FAV458757:FAV458834 FAV524293:FAV524370 FAV589829:FAV589906 FAV655365:FAV655442 FAV720901:FAV720978 FAV786437:FAV786514 FAV851973:FAV852050 FAV917509:FAV917586 FAV983045:FAV983122 FKR2:FKR82 FKR65541:FKR65618 FKR131077:FKR131154 FKR196613:FKR196690 FKR262149:FKR262226 FKR327685:FKR327762 FKR393221:FKR393298 FKR458757:FKR458834 FKR524293:FKR524370 FKR589829:FKR589906 FKR655365:FKR655442 FKR720901:FKR720978 FKR786437:FKR786514 FKR851973:FKR852050 FKR917509:FKR917586 FKR983045:FKR983122 FUN2:FUN82 FUN65541:FUN65618 FUN131077:FUN131154 FUN196613:FUN196690 FUN262149:FUN262226 FUN327685:FUN327762 FUN393221:FUN393298 FUN458757:FUN458834 FUN524293:FUN524370 FUN589829:FUN589906 FUN655365:FUN655442 FUN720901:FUN720978 FUN786437:FUN786514 FUN851973:FUN852050 FUN917509:FUN917586 FUN983045:FUN983122 GEJ2:GEJ82 GEJ65541:GEJ65618 GEJ131077:GEJ131154 GEJ196613:GEJ196690 GEJ262149:GEJ262226 GEJ327685:GEJ327762 GEJ393221:GEJ393298 GEJ458757:GEJ458834 GEJ524293:GEJ524370 GEJ589829:GEJ589906 GEJ655365:GEJ655442 GEJ720901:GEJ720978 GEJ786437:GEJ786514 GEJ851973:GEJ852050 GEJ917509:GEJ917586 GEJ983045:GEJ983122 GOF2:GOF82 GOF65541:GOF65618 GOF131077:GOF131154 GOF196613:GOF196690 GOF262149:GOF262226 GOF327685:GOF327762 GOF393221:GOF393298 GOF458757:GOF458834 GOF524293:GOF524370 GOF589829:GOF589906 GOF655365:GOF655442 GOF720901:GOF720978 GOF786437:GOF786514 GOF851973:GOF852050 GOF917509:GOF917586 GOF983045:GOF983122 GYB2:GYB82 GYB65541:GYB65618 GYB131077:GYB131154 GYB196613:GYB196690 GYB262149:GYB262226 GYB327685:GYB327762 GYB393221:GYB393298 GYB458757:GYB458834 GYB524293:GYB524370 GYB589829:GYB589906 GYB655365:GYB655442 GYB720901:GYB720978 GYB786437:GYB786514 GYB851973:GYB852050 GYB917509:GYB917586 GYB983045:GYB983122 HHX2:HHX82 HHX65541:HHX65618 HHX131077:HHX131154 HHX196613:HHX196690 HHX262149:HHX262226 HHX327685:HHX327762 HHX393221:HHX393298 HHX458757:HHX458834 HHX524293:HHX524370 HHX589829:HHX589906 HHX655365:HHX655442 HHX720901:HHX720978 HHX786437:HHX786514 HHX851973:HHX852050 HHX917509:HHX917586 HHX983045:HHX983122 HRT2:HRT82 HRT65541:HRT65618 HRT131077:HRT131154 HRT196613:HRT196690 HRT262149:HRT262226 HRT327685:HRT327762 HRT393221:HRT393298 HRT458757:HRT458834 HRT524293:HRT524370 HRT589829:HRT589906 HRT655365:HRT655442 HRT720901:HRT720978 HRT786437:HRT786514 HRT851973:HRT852050 HRT917509:HRT917586 HRT983045:HRT983122 IBP2:IBP82 IBP65541:IBP65618 IBP131077:IBP131154 IBP196613:IBP196690 IBP262149:IBP262226 IBP327685:IBP327762 IBP393221:IBP393298 IBP458757:IBP458834 IBP524293:IBP524370 IBP589829:IBP589906 IBP655365:IBP655442 IBP720901:IBP720978 IBP786437:IBP786514 IBP851973:IBP852050 IBP917509:IBP917586 IBP983045:IBP983122 ILL2:ILL82 ILL65541:ILL65618 ILL131077:ILL131154 ILL196613:ILL196690 ILL262149:ILL262226 ILL327685:ILL327762 ILL393221:ILL393298 ILL458757:ILL458834 ILL524293:ILL524370 ILL589829:ILL589906 ILL655365:ILL655442 ILL720901:ILL720978 ILL786437:ILL786514 ILL851973:ILL852050 ILL917509:ILL917586 ILL983045:ILL983122 IVH2:IVH82 IVH65541:IVH65618 IVH131077:IVH131154 IVH196613:IVH196690 IVH262149:IVH262226 IVH327685:IVH327762 IVH393221:IVH393298 IVH458757:IVH458834 IVH524293:IVH524370 IVH589829:IVH589906 IVH655365:IVH655442 IVH720901:IVH720978 IVH786437:IVH786514 IVH851973:IVH852050 IVH917509:IVH917586 IVH983045:IVH983122 JFD2:JFD82 JFD65541:JFD65618 JFD131077:JFD131154 JFD196613:JFD196690 JFD262149:JFD262226 JFD327685:JFD327762 JFD393221:JFD393298 JFD458757:JFD458834 JFD524293:JFD524370 JFD589829:JFD589906 JFD655365:JFD655442 JFD720901:JFD720978 JFD786437:JFD786514 JFD851973:JFD852050 JFD917509:JFD917586 JFD983045:JFD983122 JOZ2:JOZ82 JOZ65541:JOZ65618 JOZ131077:JOZ131154 JOZ196613:JOZ196690 JOZ262149:JOZ262226 JOZ327685:JOZ327762 JOZ393221:JOZ393298 JOZ458757:JOZ458834 JOZ524293:JOZ524370 JOZ589829:JOZ589906 JOZ655365:JOZ655442 JOZ720901:JOZ720978 JOZ786437:JOZ786514 JOZ851973:JOZ852050 JOZ917509:JOZ917586 JOZ983045:JOZ983122 JYV2:JYV82 JYV65541:JYV65618 JYV131077:JYV131154 JYV196613:JYV196690 JYV262149:JYV262226 JYV327685:JYV327762 JYV393221:JYV393298 JYV458757:JYV458834 JYV524293:JYV524370 JYV589829:JYV589906 JYV655365:JYV655442 JYV720901:JYV720978 JYV786437:JYV786514 JYV851973:JYV852050 JYV917509:JYV917586 JYV983045:JYV983122 KIR2:KIR82 KIR65541:KIR65618 KIR131077:KIR131154 KIR196613:KIR196690 KIR262149:KIR262226 KIR327685:KIR327762 KIR393221:KIR393298 KIR458757:KIR458834 KIR524293:KIR524370 KIR589829:KIR589906 KIR655365:KIR655442 KIR720901:KIR720978 KIR786437:KIR786514 KIR851973:KIR852050 KIR917509:KIR917586 KIR983045:KIR983122 KSN2:KSN82 KSN65541:KSN65618 KSN131077:KSN131154 KSN196613:KSN196690 KSN262149:KSN262226 KSN327685:KSN327762 KSN393221:KSN393298 KSN458757:KSN458834 KSN524293:KSN524370 KSN589829:KSN589906 KSN655365:KSN655442 KSN720901:KSN720978 KSN786437:KSN786514 KSN851973:KSN852050 KSN917509:KSN917586 KSN983045:KSN983122 LCJ2:LCJ82 LCJ65541:LCJ65618 LCJ131077:LCJ131154 LCJ196613:LCJ196690 LCJ262149:LCJ262226 LCJ327685:LCJ327762 LCJ393221:LCJ393298 LCJ458757:LCJ458834 LCJ524293:LCJ524370 LCJ589829:LCJ589906 LCJ655365:LCJ655442 LCJ720901:LCJ720978 LCJ786437:LCJ786514 LCJ851973:LCJ852050 LCJ917509:LCJ917586 LCJ983045:LCJ983122 LMF2:LMF82 LMF65541:LMF65618 LMF131077:LMF131154 LMF196613:LMF196690 LMF262149:LMF262226 LMF327685:LMF327762 LMF393221:LMF393298 LMF458757:LMF458834 LMF524293:LMF524370 LMF589829:LMF589906 LMF655365:LMF655442 LMF720901:LMF720978 LMF786437:LMF786514 LMF851973:LMF852050 LMF917509:LMF917586 LMF983045:LMF983122 LWB2:LWB82 LWB65541:LWB65618 LWB131077:LWB131154 LWB196613:LWB196690 LWB262149:LWB262226 LWB327685:LWB327762 LWB393221:LWB393298 LWB458757:LWB458834 LWB524293:LWB524370 LWB589829:LWB589906 LWB655365:LWB655442 LWB720901:LWB720978 LWB786437:LWB786514 LWB851973:LWB852050 LWB917509:LWB917586 LWB983045:LWB983122 MFX2:MFX82 MFX65541:MFX65618 MFX131077:MFX131154 MFX196613:MFX196690 MFX262149:MFX262226 MFX327685:MFX327762 MFX393221:MFX393298 MFX458757:MFX458834 MFX524293:MFX524370 MFX589829:MFX589906 MFX655365:MFX655442 MFX720901:MFX720978 MFX786437:MFX786514 MFX851973:MFX852050 MFX917509:MFX917586 MFX983045:MFX983122 MPT2:MPT82 MPT65541:MPT65618 MPT131077:MPT131154 MPT196613:MPT196690 MPT262149:MPT262226 MPT327685:MPT327762 MPT393221:MPT393298 MPT458757:MPT458834 MPT524293:MPT524370 MPT589829:MPT589906 MPT655365:MPT655442 MPT720901:MPT720978 MPT786437:MPT786514 MPT851973:MPT852050 MPT917509:MPT917586 MPT983045:MPT983122 MZP2:MZP82 MZP65541:MZP65618 MZP131077:MZP131154 MZP196613:MZP196690 MZP262149:MZP262226 MZP327685:MZP327762 MZP393221:MZP393298 MZP458757:MZP458834 MZP524293:MZP524370 MZP589829:MZP589906 MZP655365:MZP655442 MZP720901:MZP720978 MZP786437:MZP786514 MZP851973:MZP852050 MZP917509:MZP917586 MZP983045:MZP983122 NJL2:NJL82 NJL65541:NJL65618 NJL131077:NJL131154 NJL196613:NJL196690 NJL262149:NJL262226 NJL327685:NJL327762 NJL393221:NJL393298 NJL458757:NJL458834 NJL524293:NJL524370 NJL589829:NJL589906 NJL655365:NJL655442 NJL720901:NJL720978 NJL786437:NJL786514 NJL851973:NJL852050 NJL917509:NJL917586 NJL983045:NJL983122 NTH2:NTH82 NTH65541:NTH65618 NTH131077:NTH131154 NTH196613:NTH196690 NTH262149:NTH262226 NTH327685:NTH327762 NTH393221:NTH393298 NTH458757:NTH458834 NTH524293:NTH524370 NTH589829:NTH589906 NTH655365:NTH655442 NTH720901:NTH720978 NTH786437:NTH786514 NTH851973:NTH852050 NTH917509:NTH917586 NTH983045:NTH983122 ODD2:ODD82 ODD65541:ODD65618 ODD131077:ODD131154 ODD196613:ODD196690 ODD262149:ODD262226 ODD327685:ODD327762 ODD393221:ODD393298 ODD458757:ODD458834 ODD524293:ODD524370 ODD589829:ODD589906 ODD655365:ODD655442 ODD720901:ODD720978 ODD786437:ODD786514 ODD851973:ODD852050 ODD917509:ODD917586 ODD983045:ODD983122 OMZ2:OMZ82 OMZ65541:OMZ65618 OMZ131077:OMZ131154 OMZ196613:OMZ196690 OMZ262149:OMZ262226 OMZ327685:OMZ327762 OMZ393221:OMZ393298 OMZ458757:OMZ458834 OMZ524293:OMZ524370 OMZ589829:OMZ589906 OMZ655365:OMZ655442 OMZ720901:OMZ720978 OMZ786437:OMZ786514 OMZ851973:OMZ852050 OMZ917509:OMZ917586 OMZ983045:OMZ983122 OWV2:OWV82 OWV65541:OWV65618 OWV131077:OWV131154 OWV196613:OWV196690 OWV262149:OWV262226 OWV327685:OWV327762 OWV393221:OWV393298 OWV458757:OWV458834 OWV524293:OWV524370 OWV589829:OWV589906 OWV655365:OWV655442 OWV720901:OWV720978 OWV786437:OWV786514 OWV851973:OWV852050 OWV917509:OWV917586 OWV983045:OWV983122 PGR2:PGR82 PGR65541:PGR65618 PGR131077:PGR131154 PGR196613:PGR196690 PGR262149:PGR262226 PGR327685:PGR327762 PGR393221:PGR393298 PGR458757:PGR458834 PGR524293:PGR524370 PGR589829:PGR589906 PGR655365:PGR655442 PGR720901:PGR720978 PGR786437:PGR786514 PGR851973:PGR852050 PGR917509:PGR917586 PGR983045:PGR983122 PQN2:PQN82 PQN65541:PQN65618 PQN131077:PQN131154 PQN196613:PQN196690 PQN262149:PQN262226 PQN327685:PQN327762 PQN393221:PQN393298 PQN458757:PQN458834 PQN524293:PQN524370 PQN589829:PQN589906 PQN655365:PQN655442 PQN720901:PQN720978 PQN786437:PQN786514 PQN851973:PQN852050 PQN917509:PQN917586 PQN983045:PQN983122 QAJ2:QAJ82 QAJ65541:QAJ65618 QAJ131077:QAJ131154 QAJ196613:QAJ196690 QAJ262149:QAJ262226 QAJ327685:QAJ327762 QAJ393221:QAJ393298 QAJ458757:QAJ458834 QAJ524293:QAJ524370 QAJ589829:QAJ589906 QAJ655365:QAJ655442 QAJ720901:QAJ720978 QAJ786437:QAJ786514 QAJ851973:QAJ852050 QAJ917509:QAJ917586 QAJ983045:QAJ983122 QKF2:QKF82 QKF65541:QKF65618 QKF131077:QKF131154 QKF196613:QKF196690 QKF262149:QKF262226 QKF327685:QKF327762 QKF393221:QKF393298 QKF458757:QKF458834 QKF524293:QKF524370 QKF589829:QKF589906 QKF655365:QKF655442 QKF720901:QKF720978 QKF786437:QKF786514 QKF851973:QKF852050 QKF917509:QKF917586 QKF983045:QKF983122 QUB2:QUB82 QUB65541:QUB65618 QUB131077:QUB131154 QUB196613:QUB196690 QUB262149:QUB262226 QUB327685:QUB327762 QUB393221:QUB393298 QUB458757:QUB458834 QUB524293:QUB524370 QUB589829:QUB589906 QUB655365:QUB655442 QUB720901:QUB720978 QUB786437:QUB786514 QUB851973:QUB852050 QUB917509:QUB917586 QUB983045:QUB983122 RDX2:RDX82 RDX65541:RDX65618 RDX131077:RDX131154 RDX196613:RDX196690 RDX262149:RDX262226 RDX327685:RDX327762 RDX393221:RDX393298 RDX458757:RDX458834 RDX524293:RDX524370 RDX589829:RDX589906 RDX655365:RDX655442 RDX720901:RDX720978 RDX786437:RDX786514 RDX851973:RDX852050 RDX917509:RDX917586 RDX983045:RDX983122 RNT2:RNT82 RNT65541:RNT65618 RNT131077:RNT131154 RNT196613:RNT196690 RNT262149:RNT262226 RNT327685:RNT327762 RNT393221:RNT393298 RNT458757:RNT458834 RNT524293:RNT524370 RNT589829:RNT589906 RNT655365:RNT655442 RNT720901:RNT720978 RNT786437:RNT786514 RNT851973:RNT852050 RNT917509:RNT917586 RNT983045:RNT983122 RXP2:RXP82 RXP65541:RXP65618 RXP131077:RXP131154 RXP196613:RXP196690 RXP262149:RXP262226 RXP327685:RXP327762 RXP393221:RXP393298 RXP458757:RXP458834 RXP524293:RXP524370 RXP589829:RXP589906 RXP655365:RXP655442 RXP720901:RXP720978 RXP786437:RXP786514 RXP851973:RXP852050 RXP917509:RXP917586 RXP983045:RXP983122 SHL2:SHL82 SHL65541:SHL65618 SHL131077:SHL131154 SHL196613:SHL196690 SHL262149:SHL262226 SHL327685:SHL327762 SHL393221:SHL393298 SHL458757:SHL458834 SHL524293:SHL524370 SHL589829:SHL589906 SHL655365:SHL655442 SHL720901:SHL720978 SHL786437:SHL786514 SHL851973:SHL852050 SHL917509:SHL917586 SHL983045:SHL983122 SRH2:SRH82 SRH65541:SRH65618 SRH131077:SRH131154 SRH196613:SRH196690 SRH262149:SRH262226 SRH327685:SRH327762 SRH393221:SRH393298 SRH458757:SRH458834 SRH524293:SRH524370 SRH589829:SRH589906 SRH655365:SRH655442 SRH720901:SRH720978 SRH786437:SRH786514 SRH851973:SRH852050 SRH917509:SRH917586 SRH983045:SRH983122 TBD2:TBD82 TBD65541:TBD65618 TBD131077:TBD131154 TBD196613:TBD196690 TBD262149:TBD262226 TBD327685:TBD327762 TBD393221:TBD393298 TBD458757:TBD458834 TBD524293:TBD524370 TBD589829:TBD589906 TBD655365:TBD655442 TBD720901:TBD720978 TBD786437:TBD786514 TBD851973:TBD852050 TBD917509:TBD917586 TBD983045:TBD983122 TKZ2:TKZ82 TKZ65541:TKZ65618 TKZ131077:TKZ131154 TKZ196613:TKZ196690 TKZ262149:TKZ262226 TKZ327685:TKZ327762 TKZ393221:TKZ393298 TKZ458757:TKZ458834 TKZ524293:TKZ524370 TKZ589829:TKZ589906 TKZ655365:TKZ655442 TKZ720901:TKZ720978 TKZ786437:TKZ786514 TKZ851973:TKZ852050 TKZ917509:TKZ917586 TKZ983045:TKZ983122 TUV2:TUV82 TUV65541:TUV65618 TUV131077:TUV131154 TUV196613:TUV196690 TUV262149:TUV262226 TUV327685:TUV327762 TUV393221:TUV393298 TUV458757:TUV458834 TUV524293:TUV524370 TUV589829:TUV589906 TUV655365:TUV655442 TUV720901:TUV720978 TUV786437:TUV786514 TUV851973:TUV852050 TUV917509:TUV917586 TUV983045:TUV983122 UER2:UER82 UER65541:UER65618 UER131077:UER131154 UER196613:UER196690 UER262149:UER262226 UER327685:UER327762 UER393221:UER393298 UER458757:UER458834 UER524293:UER524370 UER589829:UER589906 UER655365:UER655442 UER720901:UER720978 UER786437:UER786514 UER851973:UER852050 UER917509:UER917586 UER983045:UER983122 UON2:UON82 UON65541:UON65618 UON131077:UON131154 UON196613:UON196690 UON262149:UON262226 UON327685:UON327762 UON393221:UON393298 UON458757:UON458834 UON524293:UON524370 UON589829:UON589906 UON655365:UON655442 UON720901:UON720978 UON786437:UON786514 UON851973:UON852050 UON917509:UON917586 UON983045:UON983122 UYJ2:UYJ82 UYJ65541:UYJ65618 UYJ131077:UYJ131154 UYJ196613:UYJ196690 UYJ262149:UYJ262226 UYJ327685:UYJ327762 UYJ393221:UYJ393298 UYJ458757:UYJ458834 UYJ524293:UYJ524370 UYJ589829:UYJ589906 UYJ655365:UYJ655442 UYJ720901:UYJ720978 UYJ786437:UYJ786514 UYJ851973:UYJ852050 UYJ917509:UYJ917586 UYJ983045:UYJ983122 VIF2:VIF82 VIF65541:VIF65618 VIF131077:VIF131154 VIF196613:VIF196690 VIF262149:VIF262226 VIF327685:VIF327762 VIF393221:VIF393298 VIF458757:VIF458834 VIF524293:VIF524370 VIF589829:VIF589906 VIF655365:VIF655442 VIF720901:VIF720978 VIF786437:VIF786514 VIF851973:VIF852050 VIF917509:VIF917586 VIF983045:VIF983122 VSB2:VSB82 VSB65541:VSB65618 VSB131077:VSB131154 VSB196613:VSB196690 VSB262149:VSB262226 VSB327685:VSB327762 VSB393221:VSB393298 VSB458757:VSB458834 VSB524293:VSB524370 VSB589829:VSB589906 VSB655365:VSB655442 VSB720901:VSB720978 VSB786437:VSB786514 VSB851973:VSB852050 VSB917509:VSB917586 VSB983045:VSB983122 WBX2:WBX82 WBX65541:WBX65618 WBX131077:WBX131154 WBX196613:WBX196690 WBX262149:WBX262226 WBX327685:WBX327762 WBX393221:WBX393298 WBX458757:WBX458834 WBX524293:WBX524370 WBX589829:WBX589906 WBX655365:WBX655442 WBX720901:WBX720978 WBX786437:WBX786514 WBX851973:WBX852050 WBX917509:WBX917586 WBX983045:WBX983122 WLT2:WLT82 WLT65541:WLT65618 WLT131077:WLT131154 WLT196613:WLT196690 WLT262149:WLT262226 WLT327685:WLT327762 WLT393221:WLT393298 WLT458757:WLT458834 WLT524293:WLT524370 WLT589829:WLT589906 WLT655365:WLT655442 WLT720901:WLT720978 WLT786437:WLT786514 WLT851973:WLT852050 WLT917509:WLT917586 WLT983045:WLT983122 WVP2:WVP82 WVP65541:WVP65618 WVP131077:WVP131154 WVP196613:WVP196690 WVP262149:WVP262226 WVP327685:WVP327762 WVP393221:WVP393298 WVP458757:WVP458834 WVP524293:WVP524370 WVP589829:WVP589906 WVP655365:WVP655442 WVP720901:WVP720978 WVP786437:WVP786514 WVP851973:WVP852050 WVP917509:WVP917586 WVP983045:WVP983122">
      <formula1>$AL$4:$AL$12</formula1>
    </dataValidation>
    <dataValidation type="list" allowBlank="1" showInputMessage="1" showErrorMessage="1" sqref="Y2:AA503">
      <formula1>$AV$2:$AV$21</formula1>
    </dataValidation>
    <dataValidation type="list" allowBlank="1" showInputMessage="1" showErrorMessage="1" sqref="X2:X503 X65541:X65618 X131077:X131154 X196613:X196690 X262149:X262226 X327685:X327762 X393221:X393298 X458757:X458834 X524293:X524370 X589829:X589906 X655365:X655442 X720901:X720978 X786437:X786514 X851973:X852050 X917509:X917586 X983045:X983122 JT2:JT82 JT65541:JT65618 JT131077:JT131154 JT196613:JT196690 JT262149:JT262226 JT327685:JT327762 JT393221:JT393298 JT458757:JT458834 JT524293:JT524370 JT589829:JT589906 JT655365:JT655442 JT720901:JT720978 JT786437:JT786514 JT851973:JT852050 JT917509:JT917586 JT983045:JT983122 TP2:TP82 TP65541:TP65618 TP131077:TP131154 TP196613:TP196690 TP262149:TP262226 TP327685:TP327762 TP393221:TP393298 TP458757:TP458834 TP524293:TP524370 TP589829:TP589906 TP655365:TP655442 TP720901:TP720978 TP786437:TP786514 TP851973:TP852050 TP917509:TP917586 TP983045:TP983122 ADL2:ADL82 ADL65541:ADL65618 ADL131077:ADL131154 ADL196613:ADL196690 ADL262149:ADL262226 ADL327685:ADL327762 ADL393221:ADL393298 ADL458757:ADL458834 ADL524293:ADL524370 ADL589829:ADL589906 ADL655365:ADL655442 ADL720901:ADL720978 ADL786437:ADL786514 ADL851973:ADL852050 ADL917509:ADL917586 ADL983045:ADL983122 ANH2:ANH82 ANH65541:ANH65618 ANH131077:ANH131154 ANH196613:ANH196690 ANH262149:ANH262226 ANH327685:ANH327762 ANH393221:ANH393298 ANH458757:ANH458834 ANH524293:ANH524370 ANH589829:ANH589906 ANH655365:ANH655442 ANH720901:ANH720978 ANH786437:ANH786514 ANH851973:ANH852050 ANH917509:ANH917586 ANH983045:ANH983122 AXD2:AXD82 AXD65541:AXD65618 AXD131077:AXD131154 AXD196613:AXD196690 AXD262149:AXD262226 AXD327685:AXD327762 AXD393221:AXD393298 AXD458757:AXD458834 AXD524293:AXD524370 AXD589829:AXD589906 AXD655365:AXD655442 AXD720901:AXD720978 AXD786437:AXD786514 AXD851973:AXD852050 AXD917509:AXD917586 AXD983045:AXD983122 BGZ2:BGZ82 BGZ65541:BGZ65618 BGZ131077:BGZ131154 BGZ196613:BGZ196690 BGZ262149:BGZ262226 BGZ327685:BGZ327762 BGZ393221:BGZ393298 BGZ458757:BGZ458834 BGZ524293:BGZ524370 BGZ589829:BGZ589906 BGZ655365:BGZ655442 BGZ720901:BGZ720978 BGZ786437:BGZ786514 BGZ851973:BGZ852050 BGZ917509:BGZ917586 BGZ983045:BGZ983122 BQV2:BQV82 BQV65541:BQV65618 BQV131077:BQV131154 BQV196613:BQV196690 BQV262149:BQV262226 BQV327685:BQV327762 BQV393221:BQV393298 BQV458757:BQV458834 BQV524293:BQV524370 BQV589829:BQV589906 BQV655365:BQV655442 BQV720901:BQV720978 BQV786437:BQV786514 BQV851973:BQV852050 BQV917509:BQV917586 BQV983045:BQV983122 CAR2:CAR82 CAR65541:CAR65618 CAR131077:CAR131154 CAR196613:CAR196690 CAR262149:CAR262226 CAR327685:CAR327762 CAR393221:CAR393298 CAR458757:CAR458834 CAR524293:CAR524370 CAR589829:CAR589906 CAR655365:CAR655442 CAR720901:CAR720978 CAR786437:CAR786514 CAR851973:CAR852050 CAR917509:CAR917586 CAR983045:CAR983122 CKN2:CKN82 CKN65541:CKN65618 CKN131077:CKN131154 CKN196613:CKN196690 CKN262149:CKN262226 CKN327685:CKN327762 CKN393221:CKN393298 CKN458757:CKN458834 CKN524293:CKN524370 CKN589829:CKN589906 CKN655365:CKN655442 CKN720901:CKN720978 CKN786437:CKN786514 CKN851973:CKN852050 CKN917509:CKN917586 CKN983045:CKN983122 CUJ2:CUJ82 CUJ65541:CUJ65618 CUJ131077:CUJ131154 CUJ196613:CUJ196690 CUJ262149:CUJ262226 CUJ327685:CUJ327762 CUJ393221:CUJ393298 CUJ458757:CUJ458834 CUJ524293:CUJ524370 CUJ589829:CUJ589906 CUJ655365:CUJ655442 CUJ720901:CUJ720978 CUJ786437:CUJ786514 CUJ851973:CUJ852050 CUJ917509:CUJ917586 CUJ983045:CUJ983122 DEF2:DEF82 DEF65541:DEF65618 DEF131077:DEF131154 DEF196613:DEF196690 DEF262149:DEF262226 DEF327685:DEF327762 DEF393221:DEF393298 DEF458757:DEF458834 DEF524293:DEF524370 DEF589829:DEF589906 DEF655365:DEF655442 DEF720901:DEF720978 DEF786437:DEF786514 DEF851973:DEF852050 DEF917509:DEF917586 DEF983045:DEF983122 DOB2:DOB82 DOB65541:DOB65618 DOB131077:DOB131154 DOB196613:DOB196690 DOB262149:DOB262226 DOB327685:DOB327762 DOB393221:DOB393298 DOB458757:DOB458834 DOB524293:DOB524370 DOB589829:DOB589906 DOB655365:DOB655442 DOB720901:DOB720978 DOB786437:DOB786514 DOB851973:DOB852050 DOB917509:DOB917586 DOB983045:DOB983122 DXX2:DXX82 DXX65541:DXX65618 DXX131077:DXX131154 DXX196613:DXX196690 DXX262149:DXX262226 DXX327685:DXX327762 DXX393221:DXX393298 DXX458757:DXX458834 DXX524293:DXX524370 DXX589829:DXX589906 DXX655365:DXX655442 DXX720901:DXX720978 DXX786437:DXX786514 DXX851973:DXX852050 DXX917509:DXX917586 DXX983045:DXX983122 EHT2:EHT82 EHT65541:EHT65618 EHT131077:EHT131154 EHT196613:EHT196690 EHT262149:EHT262226 EHT327685:EHT327762 EHT393221:EHT393298 EHT458757:EHT458834 EHT524293:EHT524370 EHT589829:EHT589906 EHT655365:EHT655442 EHT720901:EHT720978 EHT786437:EHT786514 EHT851973:EHT852050 EHT917509:EHT917586 EHT983045:EHT983122 ERP2:ERP82 ERP65541:ERP65618 ERP131077:ERP131154 ERP196613:ERP196690 ERP262149:ERP262226 ERP327685:ERP327762 ERP393221:ERP393298 ERP458757:ERP458834 ERP524293:ERP524370 ERP589829:ERP589906 ERP655365:ERP655442 ERP720901:ERP720978 ERP786437:ERP786514 ERP851973:ERP852050 ERP917509:ERP917586 ERP983045:ERP983122 FBL2:FBL82 FBL65541:FBL65618 FBL131077:FBL131154 FBL196613:FBL196690 FBL262149:FBL262226 FBL327685:FBL327762 FBL393221:FBL393298 FBL458757:FBL458834 FBL524293:FBL524370 FBL589829:FBL589906 FBL655365:FBL655442 FBL720901:FBL720978 FBL786437:FBL786514 FBL851973:FBL852050 FBL917509:FBL917586 FBL983045:FBL983122 FLH2:FLH82 FLH65541:FLH65618 FLH131077:FLH131154 FLH196613:FLH196690 FLH262149:FLH262226 FLH327685:FLH327762 FLH393221:FLH393298 FLH458757:FLH458834 FLH524293:FLH524370 FLH589829:FLH589906 FLH655365:FLH655442 FLH720901:FLH720978 FLH786437:FLH786514 FLH851973:FLH852050 FLH917509:FLH917586 FLH983045:FLH983122 FVD2:FVD82 FVD65541:FVD65618 FVD131077:FVD131154 FVD196613:FVD196690 FVD262149:FVD262226 FVD327685:FVD327762 FVD393221:FVD393298 FVD458757:FVD458834 FVD524293:FVD524370 FVD589829:FVD589906 FVD655365:FVD655442 FVD720901:FVD720978 FVD786437:FVD786514 FVD851973:FVD852050 FVD917509:FVD917586 FVD983045:FVD983122 GEZ2:GEZ82 GEZ65541:GEZ65618 GEZ131077:GEZ131154 GEZ196613:GEZ196690 GEZ262149:GEZ262226 GEZ327685:GEZ327762 GEZ393221:GEZ393298 GEZ458757:GEZ458834 GEZ524293:GEZ524370 GEZ589829:GEZ589906 GEZ655365:GEZ655442 GEZ720901:GEZ720978 GEZ786437:GEZ786514 GEZ851973:GEZ852050 GEZ917509:GEZ917586 GEZ983045:GEZ983122 GOV2:GOV82 GOV65541:GOV65618 GOV131077:GOV131154 GOV196613:GOV196690 GOV262149:GOV262226 GOV327685:GOV327762 GOV393221:GOV393298 GOV458757:GOV458834 GOV524293:GOV524370 GOV589829:GOV589906 GOV655365:GOV655442 GOV720901:GOV720978 GOV786437:GOV786514 GOV851973:GOV852050 GOV917509:GOV917586 GOV983045:GOV983122 GYR2:GYR82 GYR65541:GYR65618 GYR131077:GYR131154 GYR196613:GYR196690 GYR262149:GYR262226 GYR327685:GYR327762 GYR393221:GYR393298 GYR458757:GYR458834 GYR524293:GYR524370 GYR589829:GYR589906 GYR655365:GYR655442 GYR720901:GYR720978 GYR786437:GYR786514 GYR851973:GYR852050 GYR917509:GYR917586 GYR983045:GYR983122 HIN2:HIN82 HIN65541:HIN65618 HIN131077:HIN131154 HIN196613:HIN196690 HIN262149:HIN262226 HIN327685:HIN327762 HIN393221:HIN393298 HIN458757:HIN458834 HIN524293:HIN524370 HIN589829:HIN589906 HIN655365:HIN655442 HIN720901:HIN720978 HIN786437:HIN786514 HIN851973:HIN852050 HIN917509:HIN917586 HIN983045:HIN983122 HSJ2:HSJ82 HSJ65541:HSJ65618 HSJ131077:HSJ131154 HSJ196613:HSJ196690 HSJ262149:HSJ262226 HSJ327685:HSJ327762 HSJ393221:HSJ393298 HSJ458757:HSJ458834 HSJ524293:HSJ524370 HSJ589829:HSJ589906 HSJ655365:HSJ655442 HSJ720901:HSJ720978 HSJ786437:HSJ786514 HSJ851973:HSJ852050 HSJ917509:HSJ917586 HSJ983045:HSJ983122 ICF2:ICF82 ICF65541:ICF65618 ICF131077:ICF131154 ICF196613:ICF196690 ICF262149:ICF262226 ICF327685:ICF327762 ICF393221:ICF393298 ICF458757:ICF458834 ICF524293:ICF524370 ICF589829:ICF589906 ICF655365:ICF655442 ICF720901:ICF720978 ICF786437:ICF786514 ICF851973:ICF852050 ICF917509:ICF917586 ICF983045:ICF983122 IMB2:IMB82 IMB65541:IMB65618 IMB131077:IMB131154 IMB196613:IMB196690 IMB262149:IMB262226 IMB327685:IMB327762 IMB393221:IMB393298 IMB458757:IMB458834 IMB524293:IMB524370 IMB589829:IMB589906 IMB655365:IMB655442 IMB720901:IMB720978 IMB786437:IMB786514 IMB851973:IMB852050 IMB917509:IMB917586 IMB983045:IMB983122 IVX2:IVX82 IVX65541:IVX65618 IVX131077:IVX131154 IVX196613:IVX196690 IVX262149:IVX262226 IVX327685:IVX327762 IVX393221:IVX393298 IVX458757:IVX458834 IVX524293:IVX524370 IVX589829:IVX589906 IVX655365:IVX655442 IVX720901:IVX720978 IVX786437:IVX786514 IVX851973:IVX852050 IVX917509:IVX917586 IVX983045:IVX983122 JFT2:JFT82 JFT65541:JFT65618 JFT131077:JFT131154 JFT196613:JFT196690 JFT262149:JFT262226 JFT327685:JFT327762 JFT393221:JFT393298 JFT458757:JFT458834 JFT524293:JFT524370 JFT589829:JFT589906 JFT655365:JFT655442 JFT720901:JFT720978 JFT786437:JFT786514 JFT851973:JFT852050 JFT917509:JFT917586 JFT983045:JFT983122 JPP2:JPP82 JPP65541:JPP65618 JPP131077:JPP131154 JPP196613:JPP196690 JPP262149:JPP262226 JPP327685:JPP327762 JPP393221:JPP393298 JPP458757:JPP458834 JPP524293:JPP524370 JPP589829:JPP589906 JPP655365:JPP655442 JPP720901:JPP720978 JPP786437:JPP786514 JPP851973:JPP852050 JPP917509:JPP917586 JPP983045:JPP983122 JZL2:JZL82 JZL65541:JZL65618 JZL131077:JZL131154 JZL196613:JZL196690 JZL262149:JZL262226 JZL327685:JZL327762 JZL393221:JZL393298 JZL458757:JZL458834 JZL524293:JZL524370 JZL589829:JZL589906 JZL655365:JZL655442 JZL720901:JZL720978 JZL786437:JZL786514 JZL851973:JZL852050 JZL917509:JZL917586 JZL983045:JZL983122 KJH2:KJH82 KJH65541:KJH65618 KJH131077:KJH131154 KJH196613:KJH196690 KJH262149:KJH262226 KJH327685:KJH327762 KJH393221:KJH393298 KJH458757:KJH458834 KJH524293:KJH524370 KJH589829:KJH589906 KJH655365:KJH655442 KJH720901:KJH720978 KJH786437:KJH786514 KJH851973:KJH852050 KJH917509:KJH917586 KJH983045:KJH983122 KTD2:KTD82 KTD65541:KTD65618 KTD131077:KTD131154 KTD196613:KTD196690 KTD262149:KTD262226 KTD327685:KTD327762 KTD393221:KTD393298 KTD458757:KTD458834 KTD524293:KTD524370 KTD589829:KTD589906 KTD655365:KTD655442 KTD720901:KTD720978 KTD786437:KTD786514 KTD851973:KTD852050 KTD917509:KTD917586 KTD983045:KTD983122 LCZ2:LCZ82 LCZ65541:LCZ65618 LCZ131077:LCZ131154 LCZ196613:LCZ196690 LCZ262149:LCZ262226 LCZ327685:LCZ327762 LCZ393221:LCZ393298 LCZ458757:LCZ458834 LCZ524293:LCZ524370 LCZ589829:LCZ589906 LCZ655365:LCZ655442 LCZ720901:LCZ720978 LCZ786437:LCZ786514 LCZ851973:LCZ852050 LCZ917509:LCZ917586 LCZ983045:LCZ983122 LMV2:LMV82 LMV65541:LMV65618 LMV131077:LMV131154 LMV196613:LMV196690 LMV262149:LMV262226 LMV327685:LMV327762 LMV393221:LMV393298 LMV458757:LMV458834 LMV524293:LMV524370 LMV589829:LMV589906 LMV655365:LMV655442 LMV720901:LMV720978 LMV786437:LMV786514 LMV851973:LMV852050 LMV917509:LMV917586 LMV983045:LMV983122 LWR2:LWR82 LWR65541:LWR65618 LWR131077:LWR131154 LWR196613:LWR196690 LWR262149:LWR262226 LWR327685:LWR327762 LWR393221:LWR393298 LWR458757:LWR458834 LWR524293:LWR524370 LWR589829:LWR589906 LWR655365:LWR655442 LWR720901:LWR720978 LWR786437:LWR786514 LWR851973:LWR852050 LWR917509:LWR917586 LWR983045:LWR983122 MGN2:MGN82 MGN65541:MGN65618 MGN131077:MGN131154 MGN196613:MGN196690 MGN262149:MGN262226 MGN327685:MGN327762 MGN393221:MGN393298 MGN458757:MGN458834 MGN524293:MGN524370 MGN589829:MGN589906 MGN655365:MGN655442 MGN720901:MGN720978 MGN786437:MGN786514 MGN851973:MGN852050 MGN917509:MGN917586 MGN983045:MGN983122 MQJ2:MQJ82 MQJ65541:MQJ65618 MQJ131077:MQJ131154 MQJ196613:MQJ196690 MQJ262149:MQJ262226 MQJ327685:MQJ327762 MQJ393221:MQJ393298 MQJ458757:MQJ458834 MQJ524293:MQJ524370 MQJ589829:MQJ589906 MQJ655365:MQJ655442 MQJ720901:MQJ720978 MQJ786437:MQJ786514 MQJ851973:MQJ852050 MQJ917509:MQJ917586 MQJ983045:MQJ983122 NAF2:NAF82 NAF65541:NAF65618 NAF131077:NAF131154 NAF196613:NAF196690 NAF262149:NAF262226 NAF327685:NAF327762 NAF393221:NAF393298 NAF458757:NAF458834 NAF524293:NAF524370 NAF589829:NAF589906 NAF655365:NAF655442 NAF720901:NAF720978 NAF786437:NAF786514 NAF851973:NAF852050 NAF917509:NAF917586 NAF983045:NAF983122 NKB2:NKB82 NKB65541:NKB65618 NKB131077:NKB131154 NKB196613:NKB196690 NKB262149:NKB262226 NKB327685:NKB327762 NKB393221:NKB393298 NKB458757:NKB458834 NKB524293:NKB524370 NKB589829:NKB589906 NKB655365:NKB655442 NKB720901:NKB720978 NKB786437:NKB786514 NKB851973:NKB852050 NKB917509:NKB917586 NKB983045:NKB983122 NTX2:NTX82 NTX65541:NTX65618 NTX131077:NTX131154 NTX196613:NTX196690 NTX262149:NTX262226 NTX327685:NTX327762 NTX393221:NTX393298 NTX458757:NTX458834 NTX524293:NTX524370 NTX589829:NTX589906 NTX655365:NTX655442 NTX720901:NTX720978 NTX786437:NTX786514 NTX851973:NTX852050 NTX917509:NTX917586 NTX983045:NTX983122 ODT2:ODT82 ODT65541:ODT65618 ODT131077:ODT131154 ODT196613:ODT196690 ODT262149:ODT262226 ODT327685:ODT327762 ODT393221:ODT393298 ODT458757:ODT458834 ODT524293:ODT524370 ODT589829:ODT589906 ODT655365:ODT655442 ODT720901:ODT720978 ODT786437:ODT786514 ODT851973:ODT852050 ODT917509:ODT917586 ODT983045:ODT983122 ONP2:ONP82 ONP65541:ONP65618 ONP131077:ONP131154 ONP196613:ONP196690 ONP262149:ONP262226 ONP327685:ONP327762 ONP393221:ONP393298 ONP458757:ONP458834 ONP524293:ONP524370 ONP589829:ONP589906 ONP655365:ONP655442 ONP720901:ONP720978 ONP786437:ONP786514 ONP851973:ONP852050 ONP917509:ONP917586 ONP983045:ONP983122 OXL2:OXL82 OXL65541:OXL65618 OXL131077:OXL131154 OXL196613:OXL196690 OXL262149:OXL262226 OXL327685:OXL327762 OXL393221:OXL393298 OXL458757:OXL458834 OXL524293:OXL524370 OXL589829:OXL589906 OXL655365:OXL655442 OXL720901:OXL720978 OXL786437:OXL786514 OXL851973:OXL852050 OXL917509:OXL917586 OXL983045:OXL983122 PHH2:PHH82 PHH65541:PHH65618 PHH131077:PHH131154 PHH196613:PHH196690 PHH262149:PHH262226 PHH327685:PHH327762 PHH393221:PHH393298 PHH458757:PHH458834 PHH524293:PHH524370 PHH589829:PHH589906 PHH655365:PHH655442 PHH720901:PHH720978 PHH786437:PHH786514 PHH851973:PHH852050 PHH917509:PHH917586 PHH983045:PHH983122 PRD2:PRD82 PRD65541:PRD65618 PRD131077:PRD131154 PRD196613:PRD196690 PRD262149:PRD262226 PRD327685:PRD327762 PRD393221:PRD393298 PRD458757:PRD458834 PRD524293:PRD524370 PRD589829:PRD589906 PRD655365:PRD655442 PRD720901:PRD720978 PRD786437:PRD786514 PRD851973:PRD852050 PRD917509:PRD917586 PRD983045:PRD983122 QAZ2:QAZ82 QAZ65541:QAZ65618 QAZ131077:QAZ131154 QAZ196613:QAZ196690 QAZ262149:QAZ262226 QAZ327685:QAZ327762 QAZ393221:QAZ393298 QAZ458757:QAZ458834 QAZ524293:QAZ524370 QAZ589829:QAZ589906 QAZ655365:QAZ655442 QAZ720901:QAZ720978 QAZ786437:QAZ786514 QAZ851973:QAZ852050 QAZ917509:QAZ917586 QAZ983045:QAZ983122 QKV2:QKV82 QKV65541:QKV65618 QKV131077:QKV131154 QKV196613:QKV196690 QKV262149:QKV262226 QKV327685:QKV327762 QKV393221:QKV393298 QKV458757:QKV458834 QKV524293:QKV524370 QKV589829:QKV589906 QKV655365:QKV655442 QKV720901:QKV720978 QKV786437:QKV786514 QKV851973:QKV852050 QKV917509:QKV917586 QKV983045:QKV983122 QUR2:QUR82 QUR65541:QUR65618 QUR131077:QUR131154 QUR196613:QUR196690 QUR262149:QUR262226 QUR327685:QUR327762 QUR393221:QUR393298 QUR458757:QUR458834 QUR524293:QUR524370 QUR589829:QUR589906 QUR655365:QUR655442 QUR720901:QUR720978 QUR786437:QUR786514 QUR851973:QUR852050 QUR917509:QUR917586 QUR983045:QUR983122 REN2:REN82 REN65541:REN65618 REN131077:REN131154 REN196613:REN196690 REN262149:REN262226 REN327685:REN327762 REN393221:REN393298 REN458757:REN458834 REN524293:REN524370 REN589829:REN589906 REN655365:REN655442 REN720901:REN720978 REN786437:REN786514 REN851973:REN852050 REN917509:REN917586 REN983045:REN983122 ROJ2:ROJ82 ROJ65541:ROJ65618 ROJ131077:ROJ131154 ROJ196613:ROJ196690 ROJ262149:ROJ262226 ROJ327685:ROJ327762 ROJ393221:ROJ393298 ROJ458757:ROJ458834 ROJ524293:ROJ524370 ROJ589829:ROJ589906 ROJ655365:ROJ655442 ROJ720901:ROJ720978 ROJ786437:ROJ786514 ROJ851973:ROJ852050 ROJ917509:ROJ917586 ROJ983045:ROJ983122 RYF2:RYF82 RYF65541:RYF65618 RYF131077:RYF131154 RYF196613:RYF196690 RYF262149:RYF262226 RYF327685:RYF327762 RYF393221:RYF393298 RYF458757:RYF458834 RYF524293:RYF524370 RYF589829:RYF589906 RYF655365:RYF655442 RYF720901:RYF720978 RYF786437:RYF786514 RYF851973:RYF852050 RYF917509:RYF917586 RYF983045:RYF983122 SIB2:SIB82 SIB65541:SIB65618 SIB131077:SIB131154 SIB196613:SIB196690 SIB262149:SIB262226 SIB327685:SIB327762 SIB393221:SIB393298 SIB458757:SIB458834 SIB524293:SIB524370 SIB589829:SIB589906 SIB655365:SIB655442 SIB720901:SIB720978 SIB786437:SIB786514 SIB851973:SIB852050 SIB917509:SIB917586 SIB983045:SIB983122 SRX2:SRX82 SRX65541:SRX65618 SRX131077:SRX131154 SRX196613:SRX196690 SRX262149:SRX262226 SRX327685:SRX327762 SRX393221:SRX393298 SRX458757:SRX458834 SRX524293:SRX524370 SRX589829:SRX589906 SRX655365:SRX655442 SRX720901:SRX720978 SRX786437:SRX786514 SRX851973:SRX852050 SRX917509:SRX917586 SRX983045:SRX983122 TBT2:TBT82 TBT65541:TBT65618 TBT131077:TBT131154 TBT196613:TBT196690 TBT262149:TBT262226 TBT327685:TBT327762 TBT393221:TBT393298 TBT458757:TBT458834 TBT524293:TBT524370 TBT589829:TBT589906 TBT655365:TBT655442 TBT720901:TBT720978 TBT786437:TBT786514 TBT851973:TBT852050 TBT917509:TBT917586 TBT983045:TBT983122 TLP2:TLP82 TLP65541:TLP65618 TLP131077:TLP131154 TLP196613:TLP196690 TLP262149:TLP262226 TLP327685:TLP327762 TLP393221:TLP393298 TLP458757:TLP458834 TLP524293:TLP524370 TLP589829:TLP589906 TLP655365:TLP655442 TLP720901:TLP720978 TLP786437:TLP786514 TLP851973:TLP852050 TLP917509:TLP917586 TLP983045:TLP983122 TVL2:TVL82 TVL65541:TVL65618 TVL131077:TVL131154 TVL196613:TVL196690 TVL262149:TVL262226 TVL327685:TVL327762 TVL393221:TVL393298 TVL458757:TVL458834 TVL524293:TVL524370 TVL589829:TVL589906 TVL655365:TVL655442 TVL720901:TVL720978 TVL786437:TVL786514 TVL851973:TVL852050 TVL917509:TVL917586 TVL983045:TVL983122 UFH2:UFH82 UFH65541:UFH65618 UFH131077:UFH131154 UFH196613:UFH196690 UFH262149:UFH262226 UFH327685:UFH327762 UFH393221:UFH393298 UFH458757:UFH458834 UFH524293:UFH524370 UFH589829:UFH589906 UFH655365:UFH655442 UFH720901:UFH720978 UFH786437:UFH786514 UFH851973:UFH852050 UFH917509:UFH917586 UFH983045:UFH983122 UPD2:UPD82 UPD65541:UPD65618 UPD131077:UPD131154 UPD196613:UPD196690 UPD262149:UPD262226 UPD327685:UPD327762 UPD393221:UPD393298 UPD458757:UPD458834 UPD524293:UPD524370 UPD589829:UPD589906 UPD655365:UPD655442 UPD720901:UPD720978 UPD786437:UPD786514 UPD851973:UPD852050 UPD917509:UPD917586 UPD983045:UPD983122 UYZ2:UYZ82 UYZ65541:UYZ65618 UYZ131077:UYZ131154 UYZ196613:UYZ196690 UYZ262149:UYZ262226 UYZ327685:UYZ327762 UYZ393221:UYZ393298 UYZ458757:UYZ458834 UYZ524293:UYZ524370 UYZ589829:UYZ589906 UYZ655365:UYZ655442 UYZ720901:UYZ720978 UYZ786437:UYZ786514 UYZ851973:UYZ852050 UYZ917509:UYZ917586 UYZ983045:UYZ983122 VIV2:VIV82 VIV65541:VIV65618 VIV131077:VIV131154 VIV196613:VIV196690 VIV262149:VIV262226 VIV327685:VIV327762 VIV393221:VIV393298 VIV458757:VIV458834 VIV524293:VIV524370 VIV589829:VIV589906 VIV655365:VIV655442 VIV720901:VIV720978 VIV786437:VIV786514 VIV851973:VIV852050 VIV917509:VIV917586 VIV983045:VIV983122 VSR2:VSR82 VSR65541:VSR65618 VSR131077:VSR131154 VSR196613:VSR196690 VSR262149:VSR262226 VSR327685:VSR327762 VSR393221:VSR393298 VSR458757:VSR458834 VSR524293:VSR524370 VSR589829:VSR589906 VSR655365:VSR655442 VSR720901:VSR720978 VSR786437:VSR786514 VSR851973:VSR852050 VSR917509:VSR917586 VSR983045:VSR983122 WCN2:WCN82 WCN65541:WCN65618 WCN131077:WCN131154 WCN196613:WCN196690 WCN262149:WCN262226 WCN327685:WCN327762 WCN393221:WCN393298 WCN458757:WCN458834 WCN524293:WCN524370 WCN589829:WCN589906 WCN655365:WCN655442 WCN720901:WCN720978 WCN786437:WCN786514 WCN851973:WCN852050 WCN917509:WCN917586 WCN983045:WCN983122 WMJ2:WMJ82 WMJ65541:WMJ65618 WMJ131077:WMJ131154 WMJ196613:WMJ196690 WMJ262149:WMJ262226 WMJ327685:WMJ327762 WMJ393221:WMJ393298 WMJ458757:WMJ458834 WMJ524293:WMJ524370 WMJ589829:WMJ589906 WMJ655365:WMJ655442 WMJ720901:WMJ720978 WMJ786437:WMJ786514 WMJ851973:WMJ852050 WMJ917509:WMJ917586 WMJ983045:WMJ983122 WWF2:WWF82 WWF65541:WWF65618 WWF131077:WWF131154 WWF196613:WWF196690 WWF262149:WWF262226 WWF327685:WWF327762 WWF393221:WWF393298 WWF458757:WWF458834 WWF524293:WWF524370 WWF589829:WWF589906 WWF655365:WWF655442 WWF720901:WWF720978 WWF786437:WWF786514 WWF851973:WWF852050 WWF917509:WWF917586 WWF983045:WWF983122">
      <formula1>$AT$2:$AT$3</formula1>
    </dataValidation>
    <dataValidation type="list" allowBlank="1" showInputMessage="1" showErrorMessage="1" sqref="F2:F734 F65541:F65618 F131077:F131154 F196613:F196690 F262149:F262226 F327685:F327762 F393221:F393298 F458757:F458834 F524293:F524370 F589829:F589906 F655365:F655442 F720901:F720978 F786437:F786514 F851973:F852050 F917509:F917586 F983045:F983122 JB2:JB82 JB65541:JB65618 JB131077:JB131154 JB196613:JB196690 JB262149:JB262226 JB327685:JB327762 JB393221:JB393298 JB458757:JB458834 JB524293:JB524370 JB589829:JB589906 JB655365:JB655442 JB720901:JB720978 JB786437:JB786514 JB851973:JB852050 JB917509:JB917586 JB983045:JB983122 SX2:SX82 SX65541:SX65618 SX131077:SX131154 SX196613:SX196690 SX262149:SX262226 SX327685:SX327762 SX393221:SX393298 SX458757:SX458834 SX524293:SX524370 SX589829:SX589906 SX655365:SX655442 SX720901:SX720978 SX786437:SX786514 SX851973:SX852050 SX917509:SX917586 SX983045:SX983122 ACT2:ACT82 ACT65541:ACT65618 ACT131077:ACT131154 ACT196613:ACT196690 ACT262149:ACT262226 ACT327685:ACT327762 ACT393221:ACT393298 ACT458757:ACT458834 ACT524293:ACT524370 ACT589829:ACT589906 ACT655365:ACT655442 ACT720901:ACT720978 ACT786437:ACT786514 ACT851973:ACT852050 ACT917509:ACT917586 ACT983045:ACT983122 AMP2:AMP82 AMP65541:AMP65618 AMP131077:AMP131154 AMP196613:AMP196690 AMP262149:AMP262226 AMP327685:AMP327762 AMP393221:AMP393298 AMP458757:AMP458834 AMP524293:AMP524370 AMP589829:AMP589906 AMP655365:AMP655442 AMP720901:AMP720978 AMP786437:AMP786514 AMP851973:AMP852050 AMP917509:AMP917586 AMP983045:AMP983122 AWL2:AWL82 AWL65541:AWL65618 AWL131077:AWL131154 AWL196613:AWL196690 AWL262149:AWL262226 AWL327685:AWL327762 AWL393221:AWL393298 AWL458757:AWL458834 AWL524293:AWL524370 AWL589829:AWL589906 AWL655365:AWL655442 AWL720901:AWL720978 AWL786437:AWL786514 AWL851973:AWL852050 AWL917509:AWL917586 AWL983045:AWL983122 BGH2:BGH82 BGH65541:BGH65618 BGH131077:BGH131154 BGH196613:BGH196690 BGH262149:BGH262226 BGH327685:BGH327762 BGH393221:BGH393298 BGH458757:BGH458834 BGH524293:BGH524370 BGH589829:BGH589906 BGH655365:BGH655442 BGH720901:BGH720978 BGH786437:BGH786514 BGH851973:BGH852050 BGH917509:BGH917586 BGH983045:BGH983122 BQD2:BQD82 BQD65541:BQD65618 BQD131077:BQD131154 BQD196613:BQD196690 BQD262149:BQD262226 BQD327685:BQD327762 BQD393221:BQD393298 BQD458757:BQD458834 BQD524293:BQD524370 BQD589829:BQD589906 BQD655365:BQD655442 BQD720901:BQD720978 BQD786437:BQD786514 BQD851973:BQD852050 BQD917509:BQD917586 BQD983045:BQD983122 BZZ2:BZZ82 BZZ65541:BZZ65618 BZZ131077:BZZ131154 BZZ196613:BZZ196690 BZZ262149:BZZ262226 BZZ327685:BZZ327762 BZZ393221:BZZ393298 BZZ458757:BZZ458834 BZZ524293:BZZ524370 BZZ589829:BZZ589906 BZZ655365:BZZ655442 BZZ720901:BZZ720978 BZZ786437:BZZ786514 BZZ851973:BZZ852050 BZZ917509:BZZ917586 BZZ983045:BZZ983122 CJV2:CJV82 CJV65541:CJV65618 CJV131077:CJV131154 CJV196613:CJV196690 CJV262149:CJV262226 CJV327685:CJV327762 CJV393221:CJV393298 CJV458757:CJV458834 CJV524293:CJV524370 CJV589829:CJV589906 CJV655365:CJV655442 CJV720901:CJV720978 CJV786437:CJV786514 CJV851973:CJV852050 CJV917509:CJV917586 CJV983045:CJV983122 CTR2:CTR82 CTR65541:CTR65618 CTR131077:CTR131154 CTR196613:CTR196690 CTR262149:CTR262226 CTR327685:CTR327762 CTR393221:CTR393298 CTR458757:CTR458834 CTR524293:CTR524370 CTR589829:CTR589906 CTR655365:CTR655442 CTR720901:CTR720978 CTR786437:CTR786514 CTR851973:CTR852050 CTR917509:CTR917586 CTR983045:CTR983122 DDN2:DDN82 DDN65541:DDN65618 DDN131077:DDN131154 DDN196613:DDN196690 DDN262149:DDN262226 DDN327685:DDN327762 DDN393221:DDN393298 DDN458757:DDN458834 DDN524293:DDN524370 DDN589829:DDN589906 DDN655365:DDN655442 DDN720901:DDN720978 DDN786437:DDN786514 DDN851973:DDN852050 DDN917509:DDN917586 DDN983045:DDN983122 DNJ2:DNJ82 DNJ65541:DNJ65618 DNJ131077:DNJ131154 DNJ196613:DNJ196690 DNJ262149:DNJ262226 DNJ327685:DNJ327762 DNJ393221:DNJ393298 DNJ458757:DNJ458834 DNJ524293:DNJ524370 DNJ589829:DNJ589906 DNJ655365:DNJ655442 DNJ720901:DNJ720978 DNJ786437:DNJ786514 DNJ851973:DNJ852050 DNJ917509:DNJ917586 DNJ983045:DNJ983122 DXF2:DXF82 DXF65541:DXF65618 DXF131077:DXF131154 DXF196613:DXF196690 DXF262149:DXF262226 DXF327685:DXF327762 DXF393221:DXF393298 DXF458757:DXF458834 DXF524293:DXF524370 DXF589829:DXF589906 DXF655365:DXF655442 DXF720901:DXF720978 DXF786437:DXF786514 DXF851973:DXF852050 DXF917509:DXF917586 DXF983045:DXF983122 EHB2:EHB82 EHB65541:EHB65618 EHB131077:EHB131154 EHB196613:EHB196690 EHB262149:EHB262226 EHB327685:EHB327762 EHB393221:EHB393298 EHB458757:EHB458834 EHB524293:EHB524370 EHB589829:EHB589906 EHB655365:EHB655442 EHB720901:EHB720978 EHB786437:EHB786514 EHB851973:EHB852050 EHB917509:EHB917586 EHB983045:EHB983122 EQX2:EQX82 EQX65541:EQX65618 EQX131077:EQX131154 EQX196613:EQX196690 EQX262149:EQX262226 EQX327685:EQX327762 EQX393221:EQX393298 EQX458757:EQX458834 EQX524293:EQX524370 EQX589829:EQX589906 EQX655365:EQX655442 EQX720901:EQX720978 EQX786437:EQX786514 EQX851973:EQX852050 EQX917509:EQX917586 EQX983045:EQX983122 FAT2:FAT82 FAT65541:FAT65618 FAT131077:FAT131154 FAT196613:FAT196690 FAT262149:FAT262226 FAT327685:FAT327762 FAT393221:FAT393298 FAT458757:FAT458834 FAT524293:FAT524370 FAT589829:FAT589906 FAT655365:FAT655442 FAT720901:FAT720978 FAT786437:FAT786514 FAT851973:FAT852050 FAT917509:FAT917586 FAT983045:FAT983122 FKP2:FKP82 FKP65541:FKP65618 FKP131077:FKP131154 FKP196613:FKP196690 FKP262149:FKP262226 FKP327685:FKP327762 FKP393221:FKP393298 FKP458757:FKP458834 FKP524293:FKP524370 FKP589829:FKP589906 FKP655365:FKP655442 FKP720901:FKP720978 FKP786437:FKP786514 FKP851973:FKP852050 FKP917509:FKP917586 FKP983045:FKP983122 FUL2:FUL82 FUL65541:FUL65618 FUL131077:FUL131154 FUL196613:FUL196690 FUL262149:FUL262226 FUL327685:FUL327762 FUL393221:FUL393298 FUL458757:FUL458834 FUL524293:FUL524370 FUL589829:FUL589906 FUL655365:FUL655442 FUL720901:FUL720978 FUL786437:FUL786514 FUL851973:FUL852050 FUL917509:FUL917586 FUL983045:FUL983122 GEH2:GEH82 GEH65541:GEH65618 GEH131077:GEH131154 GEH196613:GEH196690 GEH262149:GEH262226 GEH327685:GEH327762 GEH393221:GEH393298 GEH458757:GEH458834 GEH524293:GEH524370 GEH589829:GEH589906 GEH655365:GEH655442 GEH720901:GEH720978 GEH786437:GEH786514 GEH851973:GEH852050 GEH917509:GEH917586 GEH983045:GEH983122 GOD2:GOD82 GOD65541:GOD65618 GOD131077:GOD131154 GOD196613:GOD196690 GOD262149:GOD262226 GOD327685:GOD327762 GOD393221:GOD393298 GOD458757:GOD458834 GOD524293:GOD524370 GOD589829:GOD589906 GOD655365:GOD655442 GOD720901:GOD720978 GOD786437:GOD786514 GOD851973:GOD852050 GOD917509:GOD917586 GOD983045:GOD983122 GXZ2:GXZ82 GXZ65541:GXZ65618 GXZ131077:GXZ131154 GXZ196613:GXZ196690 GXZ262149:GXZ262226 GXZ327685:GXZ327762 GXZ393221:GXZ393298 GXZ458757:GXZ458834 GXZ524293:GXZ524370 GXZ589829:GXZ589906 GXZ655365:GXZ655442 GXZ720901:GXZ720978 GXZ786437:GXZ786514 GXZ851973:GXZ852050 GXZ917509:GXZ917586 GXZ983045:GXZ983122 HHV2:HHV82 HHV65541:HHV65618 HHV131077:HHV131154 HHV196613:HHV196690 HHV262149:HHV262226 HHV327685:HHV327762 HHV393221:HHV393298 HHV458757:HHV458834 HHV524293:HHV524370 HHV589829:HHV589906 HHV655365:HHV655442 HHV720901:HHV720978 HHV786437:HHV786514 HHV851973:HHV852050 HHV917509:HHV917586 HHV983045:HHV983122 HRR2:HRR82 HRR65541:HRR65618 HRR131077:HRR131154 HRR196613:HRR196690 HRR262149:HRR262226 HRR327685:HRR327762 HRR393221:HRR393298 HRR458757:HRR458834 HRR524293:HRR524370 HRR589829:HRR589906 HRR655365:HRR655442 HRR720901:HRR720978 HRR786437:HRR786514 HRR851973:HRR852050 HRR917509:HRR917586 HRR983045:HRR983122 IBN2:IBN82 IBN65541:IBN65618 IBN131077:IBN131154 IBN196613:IBN196690 IBN262149:IBN262226 IBN327685:IBN327762 IBN393221:IBN393298 IBN458757:IBN458834 IBN524293:IBN524370 IBN589829:IBN589906 IBN655365:IBN655442 IBN720901:IBN720978 IBN786437:IBN786514 IBN851973:IBN852050 IBN917509:IBN917586 IBN983045:IBN983122 ILJ2:ILJ82 ILJ65541:ILJ65618 ILJ131077:ILJ131154 ILJ196613:ILJ196690 ILJ262149:ILJ262226 ILJ327685:ILJ327762 ILJ393221:ILJ393298 ILJ458757:ILJ458834 ILJ524293:ILJ524370 ILJ589829:ILJ589906 ILJ655365:ILJ655442 ILJ720901:ILJ720978 ILJ786437:ILJ786514 ILJ851973:ILJ852050 ILJ917509:ILJ917586 ILJ983045:ILJ983122 IVF2:IVF82 IVF65541:IVF65618 IVF131077:IVF131154 IVF196613:IVF196690 IVF262149:IVF262226 IVF327685:IVF327762 IVF393221:IVF393298 IVF458757:IVF458834 IVF524293:IVF524370 IVF589829:IVF589906 IVF655365:IVF655442 IVF720901:IVF720978 IVF786437:IVF786514 IVF851973:IVF852050 IVF917509:IVF917586 IVF983045:IVF983122 JFB2:JFB82 JFB65541:JFB65618 JFB131077:JFB131154 JFB196613:JFB196690 JFB262149:JFB262226 JFB327685:JFB327762 JFB393221:JFB393298 JFB458757:JFB458834 JFB524293:JFB524370 JFB589829:JFB589906 JFB655365:JFB655442 JFB720901:JFB720978 JFB786437:JFB786514 JFB851973:JFB852050 JFB917509:JFB917586 JFB983045:JFB983122 JOX2:JOX82 JOX65541:JOX65618 JOX131077:JOX131154 JOX196613:JOX196690 JOX262149:JOX262226 JOX327685:JOX327762 JOX393221:JOX393298 JOX458757:JOX458834 JOX524293:JOX524370 JOX589829:JOX589906 JOX655365:JOX655442 JOX720901:JOX720978 JOX786437:JOX786514 JOX851973:JOX852050 JOX917509:JOX917586 JOX983045:JOX983122 JYT2:JYT82 JYT65541:JYT65618 JYT131077:JYT131154 JYT196613:JYT196690 JYT262149:JYT262226 JYT327685:JYT327762 JYT393221:JYT393298 JYT458757:JYT458834 JYT524293:JYT524370 JYT589829:JYT589906 JYT655365:JYT655442 JYT720901:JYT720978 JYT786437:JYT786514 JYT851973:JYT852050 JYT917509:JYT917586 JYT983045:JYT983122 KIP2:KIP82 KIP65541:KIP65618 KIP131077:KIP131154 KIP196613:KIP196690 KIP262149:KIP262226 KIP327685:KIP327762 KIP393221:KIP393298 KIP458757:KIP458834 KIP524293:KIP524370 KIP589829:KIP589906 KIP655365:KIP655442 KIP720901:KIP720978 KIP786437:KIP786514 KIP851973:KIP852050 KIP917509:KIP917586 KIP983045:KIP983122 KSL2:KSL82 KSL65541:KSL65618 KSL131077:KSL131154 KSL196613:KSL196690 KSL262149:KSL262226 KSL327685:KSL327762 KSL393221:KSL393298 KSL458757:KSL458834 KSL524293:KSL524370 KSL589829:KSL589906 KSL655365:KSL655442 KSL720901:KSL720978 KSL786437:KSL786514 KSL851973:KSL852050 KSL917509:KSL917586 KSL983045:KSL983122 LCH2:LCH82 LCH65541:LCH65618 LCH131077:LCH131154 LCH196613:LCH196690 LCH262149:LCH262226 LCH327685:LCH327762 LCH393221:LCH393298 LCH458757:LCH458834 LCH524293:LCH524370 LCH589829:LCH589906 LCH655365:LCH655442 LCH720901:LCH720978 LCH786437:LCH786514 LCH851973:LCH852050 LCH917509:LCH917586 LCH983045:LCH983122 LMD2:LMD82 LMD65541:LMD65618 LMD131077:LMD131154 LMD196613:LMD196690 LMD262149:LMD262226 LMD327685:LMD327762 LMD393221:LMD393298 LMD458757:LMD458834 LMD524293:LMD524370 LMD589829:LMD589906 LMD655365:LMD655442 LMD720901:LMD720978 LMD786437:LMD786514 LMD851973:LMD852050 LMD917509:LMD917586 LMD983045:LMD983122 LVZ2:LVZ82 LVZ65541:LVZ65618 LVZ131077:LVZ131154 LVZ196613:LVZ196690 LVZ262149:LVZ262226 LVZ327685:LVZ327762 LVZ393221:LVZ393298 LVZ458757:LVZ458834 LVZ524293:LVZ524370 LVZ589829:LVZ589906 LVZ655365:LVZ655442 LVZ720901:LVZ720978 LVZ786437:LVZ786514 LVZ851973:LVZ852050 LVZ917509:LVZ917586 LVZ983045:LVZ983122 MFV2:MFV82 MFV65541:MFV65618 MFV131077:MFV131154 MFV196613:MFV196690 MFV262149:MFV262226 MFV327685:MFV327762 MFV393221:MFV393298 MFV458757:MFV458834 MFV524293:MFV524370 MFV589829:MFV589906 MFV655365:MFV655442 MFV720901:MFV720978 MFV786437:MFV786514 MFV851973:MFV852050 MFV917509:MFV917586 MFV983045:MFV983122 MPR2:MPR82 MPR65541:MPR65618 MPR131077:MPR131154 MPR196613:MPR196690 MPR262149:MPR262226 MPR327685:MPR327762 MPR393221:MPR393298 MPR458757:MPR458834 MPR524293:MPR524370 MPR589829:MPR589906 MPR655365:MPR655442 MPR720901:MPR720978 MPR786437:MPR786514 MPR851973:MPR852050 MPR917509:MPR917586 MPR983045:MPR983122 MZN2:MZN82 MZN65541:MZN65618 MZN131077:MZN131154 MZN196613:MZN196690 MZN262149:MZN262226 MZN327685:MZN327762 MZN393221:MZN393298 MZN458757:MZN458834 MZN524293:MZN524370 MZN589829:MZN589906 MZN655365:MZN655442 MZN720901:MZN720978 MZN786437:MZN786514 MZN851973:MZN852050 MZN917509:MZN917586 MZN983045:MZN983122 NJJ2:NJJ82 NJJ65541:NJJ65618 NJJ131077:NJJ131154 NJJ196613:NJJ196690 NJJ262149:NJJ262226 NJJ327685:NJJ327762 NJJ393221:NJJ393298 NJJ458757:NJJ458834 NJJ524293:NJJ524370 NJJ589829:NJJ589906 NJJ655365:NJJ655442 NJJ720901:NJJ720978 NJJ786437:NJJ786514 NJJ851973:NJJ852050 NJJ917509:NJJ917586 NJJ983045:NJJ983122 NTF2:NTF82 NTF65541:NTF65618 NTF131077:NTF131154 NTF196613:NTF196690 NTF262149:NTF262226 NTF327685:NTF327762 NTF393221:NTF393298 NTF458757:NTF458834 NTF524293:NTF524370 NTF589829:NTF589906 NTF655365:NTF655442 NTF720901:NTF720978 NTF786437:NTF786514 NTF851973:NTF852050 NTF917509:NTF917586 NTF983045:NTF983122 ODB2:ODB82 ODB65541:ODB65618 ODB131077:ODB131154 ODB196613:ODB196690 ODB262149:ODB262226 ODB327685:ODB327762 ODB393221:ODB393298 ODB458757:ODB458834 ODB524293:ODB524370 ODB589829:ODB589906 ODB655365:ODB655442 ODB720901:ODB720978 ODB786437:ODB786514 ODB851973:ODB852050 ODB917509:ODB917586 ODB983045:ODB983122 OMX2:OMX82 OMX65541:OMX65618 OMX131077:OMX131154 OMX196613:OMX196690 OMX262149:OMX262226 OMX327685:OMX327762 OMX393221:OMX393298 OMX458757:OMX458834 OMX524293:OMX524370 OMX589829:OMX589906 OMX655365:OMX655442 OMX720901:OMX720978 OMX786437:OMX786514 OMX851973:OMX852050 OMX917509:OMX917586 OMX983045:OMX983122 OWT2:OWT82 OWT65541:OWT65618 OWT131077:OWT131154 OWT196613:OWT196690 OWT262149:OWT262226 OWT327685:OWT327762 OWT393221:OWT393298 OWT458757:OWT458834 OWT524293:OWT524370 OWT589829:OWT589906 OWT655365:OWT655442 OWT720901:OWT720978 OWT786437:OWT786514 OWT851973:OWT852050 OWT917509:OWT917586 OWT983045:OWT983122 PGP2:PGP82 PGP65541:PGP65618 PGP131077:PGP131154 PGP196613:PGP196690 PGP262149:PGP262226 PGP327685:PGP327762 PGP393221:PGP393298 PGP458757:PGP458834 PGP524293:PGP524370 PGP589829:PGP589906 PGP655365:PGP655442 PGP720901:PGP720978 PGP786437:PGP786514 PGP851973:PGP852050 PGP917509:PGP917586 PGP983045:PGP983122 PQL2:PQL82 PQL65541:PQL65618 PQL131077:PQL131154 PQL196613:PQL196690 PQL262149:PQL262226 PQL327685:PQL327762 PQL393221:PQL393298 PQL458757:PQL458834 PQL524293:PQL524370 PQL589829:PQL589906 PQL655365:PQL655442 PQL720901:PQL720978 PQL786437:PQL786514 PQL851973:PQL852050 PQL917509:PQL917586 PQL983045:PQL983122 QAH2:QAH82 QAH65541:QAH65618 QAH131077:QAH131154 QAH196613:QAH196690 QAH262149:QAH262226 QAH327685:QAH327762 QAH393221:QAH393298 QAH458757:QAH458834 QAH524293:QAH524370 QAH589829:QAH589906 QAH655365:QAH655442 QAH720901:QAH720978 QAH786437:QAH786514 QAH851973:QAH852050 QAH917509:QAH917586 QAH983045:QAH983122 QKD2:QKD82 QKD65541:QKD65618 QKD131077:QKD131154 QKD196613:QKD196690 QKD262149:QKD262226 QKD327685:QKD327762 QKD393221:QKD393298 QKD458757:QKD458834 QKD524293:QKD524370 QKD589829:QKD589906 QKD655365:QKD655442 QKD720901:QKD720978 QKD786437:QKD786514 QKD851973:QKD852050 QKD917509:QKD917586 QKD983045:QKD983122 QTZ2:QTZ82 QTZ65541:QTZ65618 QTZ131077:QTZ131154 QTZ196613:QTZ196690 QTZ262149:QTZ262226 QTZ327685:QTZ327762 QTZ393221:QTZ393298 QTZ458757:QTZ458834 QTZ524293:QTZ524370 QTZ589829:QTZ589906 QTZ655365:QTZ655442 QTZ720901:QTZ720978 QTZ786437:QTZ786514 QTZ851973:QTZ852050 QTZ917509:QTZ917586 QTZ983045:QTZ983122 RDV2:RDV82 RDV65541:RDV65618 RDV131077:RDV131154 RDV196613:RDV196690 RDV262149:RDV262226 RDV327685:RDV327762 RDV393221:RDV393298 RDV458757:RDV458834 RDV524293:RDV524370 RDV589829:RDV589906 RDV655365:RDV655442 RDV720901:RDV720978 RDV786437:RDV786514 RDV851973:RDV852050 RDV917509:RDV917586 RDV983045:RDV983122 RNR2:RNR82 RNR65541:RNR65618 RNR131077:RNR131154 RNR196613:RNR196690 RNR262149:RNR262226 RNR327685:RNR327762 RNR393221:RNR393298 RNR458757:RNR458834 RNR524293:RNR524370 RNR589829:RNR589906 RNR655365:RNR655442 RNR720901:RNR720978 RNR786437:RNR786514 RNR851973:RNR852050 RNR917509:RNR917586 RNR983045:RNR983122 RXN2:RXN82 RXN65541:RXN65618 RXN131077:RXN131154 RXN196613:RXN196690 RXN262149:RXN262226 RXN327685:RXN327762 RXN393221:RXN393298 RXN458757:RXN458834 RXN524293:RXN524370 RXN589829:RXN589906 RXN655365:RXN655442 RXN720901:RXN720978 RXN786437:RXN786514 RXN851973:RXN852050 RXN917509:RXN917586 RXN983045:RXN983122 SHJ2:SHJ82 SHJ65541:SHJ65618 SHJ131077:SHJ131154 SHJ196613:SHJ196690 SHJ262149:SHJ262226 SHJ327685:SHJ327762 SHJ393221:SHJ393298 SHJ458757:SHJ458834 SHJ524293:SHJ524370 SHJ589829:SHJ589906 SHJ655365:SHJ655442 SHJ720901:SHJ720978 SHJ786437:SHJ786514 SHJ851973:SHJ852050 SHJ917509:SHJ917586 SHJ983045:SHJ983122 SRF2:SRF82 SRF65541:SRF65618 SRF131077:SRF131154 SRF196613:SRF196690 SRF262149:SRF262226 SRF327685:SRF327762 SRF393221:SRF393298 SRF458757:SRF458834 SRF524293:SRF524370 SRF589829:SRF589906 SRF655365:SRF655442 SRF720901:SRF720978 SRF786437:SRF786514 SRF851973:SRF852050 SRF917509:SRF917586 SRF983045:SRF983122 TBB2:TBB82 TBB65541:TBB65618 TBB131077:TBB131154 TBB196613:TBB196690 TBB262149:TBB262226 TBB327685:TBB327762 TBB393221:TBB393298 TBB458757:TBB458834 TBB524293:TBB524370 TBB589829:TBB589906 TBB655365:TBB655442 TBB720901:TBB720978 TBB786437:TBB786514 TBB851973:TBB852050 TBB917509:TBB917586 TBB983045:TBB983122 TKX2:TKX82 TKX65541:TKX65618 TKX131077:TKX131154 TKX196613:TKX196690 TKX262149:TKX262226 TKX327685:TKX327762 TKX393221:TKX393298 TKX458757:TKX458834 TKX524293:TKX524370 TKX589829:TKX589906 TKX655365:TKX655442 TKX720901:TKX720978 TKX786437:TKX786514 TKX851973:TKX852050 TKX917509:TKX917586 TKX983045:TKX983122 TUT2:TUT82 TUT65541:TUT65618 TUT131077:TUT131154 TUT196613:TUT196690 TUT262149:TUT262226 TUT327685:TUT327762 TUT393221:TUT393298 TUT458757:TUT458834 TUT524293:TUT524370 TUT589829:TUT589906 TUT655365:TUT655442 TUT720901:TUT720978 TUT786437:TUT786514 TUT851973:TUT852050 TUT917509:TUT917586 TUT983045:TUT983122 UEP2:UEP82 UEP65541:UEP65618 UEP131077:UEP131154 UEP196613:UEP196690 UEP262149:UEP262226 UEP327685:UEP327762 UEP393221:UEP393298 UEP458757:UEP458834 UEP524293:UEP524370 UEP589829:UEP589906 UEP655365:UEP655442 UEP720901:UEP720978 UEP786437:UEP786514 UEP851973:UEP852050 UEP917509:UEP917586 UEP983045:UEP983122 UOL2:UOL82 UOL65541:UOL65618 UOL131077:UOL131154 UOL196613:UOL196690 UOL262149:UOL262226 UOL327685:UOL327762 UOL393221:UOL393298 UOL458757:UOL458834 UOL524293:UOL524370 UOL589829:UOL589906 UOL655365:UOL655442 UOL720901:UOL720978 UOL786437:UOL786514 UOL851973:UOL852050 UOL917509:UOL917586 UOL983045:UOL983122 UYH2:UYH82 UYH65541:UYH65618 UYH131077:UYH131154 UYH196613:UYH196690 UYH262149:UYH262226 UYH327685:UYH327762 UYH393221:UYH393298 UYH458757:UYH458834 UYH524293:UYH524370 UYH589829:UYH589906 UYH655365:UYH655442 UYH720901:UYH720978 UYH786437:UYH786514 UYH851973:UYH852050 UYH917509:UYH917586 UYH983045:UYH983122 VID2:VID82 VID65541:VID65618 VID131077:VID131154 VID196613:VID196690 VID262149:VID262226 VID327685:VID327762 VID393221:VID393298 VID458757:VID458834 VID524293:VID524370 VID589829:VID589906 VID655365:VID655442 VID720901:VID720978 VID786437:VID786514 VID851973:VID852050 VID917509:VID917586 VID983045:VID983122 VRZ2:VRZ82 VRZ65541:VRZ65618 VRZ131077:VRZ131154 VRZ196613:VRZ196690 VRZ262149:VRZ262226 VRZ327685:VRZ327762 VRZ393221:VRZ393298 VRZ458757:VRZ458834 VRZ524293:VRZ524370 VRZ589829:VRZ589906 VRZ655365:VRZ655442 VRZ720901:VRZ720978 VRZ786437:VRZ786514 VRZ851973:VRZ852050 VRZ917509:VRZ917586 VRZ983045:VRZ983122 WBV2:WBV82 WBV65541:WBV65618 WBV131077:WBV131154 WBV196613:WBV196690 WBV262149:WBV262226 WBV327685:WBV327762 WBV393221:WBV393298 WBV458757:WBV458834 WBV524293:WBV524370 WBV589829:WBV589906 WBV655365:WBV655442 WBV720901:WBV720978 WBV786437:WBV786514 WBV851973:WBV852050 WBV917509:WBV917586 WBV983045:WBV983122 WLR2:WLR82 WLR65541:WLR65618 WLR131077:WLR131154 WLR196613:WLR196690 WLR262149:WLR262226 WLR327685:WLR327762 WLR393221:WLR393298 WLR458757:WLR458834 WLR524293:WLR524370 WLR589829:WLR589906 WLR655365:WLR655442 WLR720901:WLR720978 WLR786437:WLR786514 WLR851973:WLR852050 WLR917509:WLR917586 WLR983045:WLR983122 WVN2:WVN82 WVN65541:WVN65618 WVN131077:WVN131154 WVN196613:WVN196690 WVN262149:WVN262226 WVN327685:WVN327762 WVN393221:WVN393298 WVN458757:WVN458834 WVN524293:WVN524370 WVN589829:WVN589906 WVN655365:WVN655442 WVN720901:WVN720978 WVN786437:WVN786514 WVN851973:WVN852050 WVN917509:WVN917586 WVN983045:WVN983122">
      <formula1>$AH$2:$AH$11</formula1>
    </dataValidation>
    <dataValidation type="list" allowBlank="1" showInputMessage="1" showErrorMessage="1" sqref="K2:K92">
      <formula1>$AR$2:$AR$26</formula1>
    </dataValidation>
    <dataValidation type="list" allowBlank="1" showInputMessage="1" showErrorMessage="1" sqref="K93:K503 K65541:K65618 K131077:K131154 K196613:K196690 K262149:K262226 K327685:K327762 K393221:K393298 K458757:K458834 K524293:K524370 K589829:K589906 K655365:K655442 K720901:K720978 K786437:K786514 K851973:K852050 K917509:K917586 K983045:K983122 JG2:JG82 JG65541:JG65618 JG131077:JG131154 JG196613:JG196690 JG262149:JG262226 JG327685:JG327762 JG393221:JG393298 JG458757:JG458834 JG524293:JG524370 JG589829:JG589906 JG655365:JG655442 JG720901:JG720978 JG786437:JG786514 JG851973:JG852050 JG917509:JG917586 JG983045:JG983122 TC2:TC82 TC65541:TC65618 TC131077:TC131154 TC196613:TC196690 TC262149:TC262226 TC327685:TC327762 TC393221:TC393298 TC458757:TC458834 TC524293:TC524370 TC589829:TC589906 TC655365:TC655442 TC720901:TC720978 TC786437:TC786514 TC851973:TC852050 TC917509:TC917586 TC983045:TC983122 ACY2:ACY82 ACY65541:ACY65618 ACY131077:ACY131154 ACY196613:ACY196690 ACY262149:ACY262226 ACY327685:ACY327762 ACY393221:ACY393298 ACY458757:ACY458834 ACY524293:ACY524370 ACY589829:ACY589906 ACY655365:ACY655442 ACY720901:ACY720978 ACY786437:ACY786514 ACY851973:ACY852050 ACY917509:ACY917586 ACY983045:ACY983122 AMU2:AMU82 AMU65541:AMU65618 AMU131077:AMU131154 AMU196613:AMU196690 AMU262149:AMU262226 AMU327685:AMU327762 AMU393221:AMU393298 AMU458757:AMU458834 AMU524293:AMU524370 AMU589829:AMU589906 AMU655365:AMU655442 AMU720901:AMU720978 AMU786437:AMU786514 AMU851973:AMU852050 AMU917509:AMU917586 AMU983045:AMU983122 AWQ2:AWQ82 AWQ65541:AWQ65618 AWQ131077:AWQ131154 AWQ196613:AWQ196690 AWQ262149:AWQ262226 AWQ327685:AWQ327762 AWQ393221:AWQ393298 AWQ458757:AWQ458834 AWQ524293:AWQ524370 AWQ589829:AWQ589906 AWQ655365:AWQ655442 AWQ720901:AWQ720978 AWQ786437:AWQ786514 AWQ851973:AWQ852050 AWQ917509:AWQ917586 AWQ983045:AWQ983122 BGM2:BGM82 BGM65541:BGM65618 BGM131077:BGM131154 BGM196613:BGM196690 BGM262149:BGM262226 BGM327685:BGM327762 BGM393221:BGM393298 BGM458757:BGM458834 BGM524293:BGM524370 BGM589829:BGM589906 BGM655365:BGM655442 BGM720901:BGM720978 BGM786437:BGM786514 BGM851973:BGM852050 BGM917509:BGM917586 BGM983045:BGM983122 BQI2:BQI82 BQI65541:BQI65618 BQI131077:BQI131154 BQI196613:BQI196690 BQI262149:BQI262226 BQI327685:BQI327762 BQI393221:BQI393298 BQI458757:BQI458834 BQI524293:BQI524370 BQI589829:BQI589906 BQI655365:BQI655442 BQI720901:BQI720978 BQI786437:BQI786514 BQI851973:BQI852050 BQI917509:BQI917586 BQI983045:BQI983122 CAE2:CAE82 CAE65541:CAE65618 CAE131077:CAE131154 CAE196613:CAE196690 CAE262149:CAE262226 CAE327685:CAE327762 CAE393221:CAE393298 CAE458757:CAE458834 CAE524293:CAE524370 CAE589829:CAE589906 CAE655365:CAE655442 CAE720901:CAE720978 CAE786437:CAE786514 CAE851973:CAE852050 CAE917509:CAE917586 CAE983045:CAE983122 CKA2:CKA82 CKA65541:CKA65618 CKA131077:CKA131154 CKA196613:CKA196690 CKA262149:CKA262226 CKA327685:CKA327762 CKA393221:CKA393298 CKA458757:CKA458834 CKA524293:CKA524370 CKA589829:CKA589906 CKA655365:CKA655442 CKA720901:CKA720978 CKA786437:CKA786514 CKA851973:CKA852050 CKA917509:CKA917586 CKA983045:CKA983122 CTW2:CTW82 CTW65541:CTW65618 CTW131077:CTW131154 CTW196613:CTW196690 CTW262149:CTW262226 CTW327685:CTW327762 CTW393221:CTW393298 CTW458757:CTW458834 CTW524293:CTW524370 CTW589829:CTW589906 CTW655365:CTW655442 CTW720901:CTW720978 CTW786437:CTW786514 CTW851973:CTW852050 CTW917509:CTW917586 CTW983045:CTW983122 DDS2:DDS82 DDS65541:DDS65618 DDS131077:DDS131154 DDS196613:DDS196690 DDS262149:DDS262226 DDS327685:DDS327762 DDS393221:DDS393298 DDS458757:DDS458834 DDS524293:DDS524370 DDS589829:DDS589906 DDS655365:DDS655442 DDS720901:DDS720978 DDS786437:DDS786514 DDS851973:DDS852050 DDS917509:DDS917586 DDS983045:DDS983122 DNO2:DNO82 DNO65541:DNO65618 DNO131077:DNO131154 DNO196613:DNO196690 DNO262149:DNO262226 DNO327685:DNO327762 DNO393221:DNO393298 DNO458757:DNO458834 DNO524293:DNO524370 DNO589829:DNO589906 DNO655365:DNO655442 DNO720901:DNO720978 DNO786437:DNO786514 DNO851973:DNO852050 DNO917509:DNO917586 DNO983045:DNO983122 DXK2:DXK82 DXK65541:DXK65618 DXK131077:DXK131154 DXK196613:DXK196690 DXK262149:DXK262226 DXK327685:DXK327762 DXK393221:DXK393298 DXK458757:DXK458834 DXK524293:DXK524370 DXK589829:DXK589906 DXK655365:DXK655442 DXK720901:DXK720978 DXK786437:DXK786514 DXK851973:DXK852050 DXK917509:DXK917586 DXK983045:DXK983122 EHG2:EHG82 EHG65541:EHG65618 EHG131077:EHG131154 EHG196613:EHG196690 EHG262149:EHG262226 EHG327685:EHG327762 EHG393221:EHG393298 EHG458757:EHG458834 EHG524293:EHG524370 EHG589829:EHG589906 EHG655365:EHG655442 EHG720901:EHG720978 EHG786437:EHG786514 EHG851973:EHG852050 EHG917509:EHG917586 EHG983045:EHG983122 ERC2:ERC82 ERC65541:ERC65618 ERC131077:ERC131154 ERC196613:ERC196690 ERC262149:ERC262226 ERC327685:ERC327762 ERC393221:ERC393298 ERC458757:ERC458834 ERC524293:ERC524370 ERC589829:ERC589906 ERC655365:ERC655442 ERC720901:ERC720978 ERC786437:ERC786514 ERC851973:ERC852050 ERC917509:ERC917586 ERC983045:ERC983122 FAY2:FAY82 FAY65541:FAY65618 FAY131077:FAY131154 FAY196613:FAY196690 FAY262149:FAY262226 FAY327685:FAY327762 FAY393221:FAY393298 FAY458757:FAY458834 FAY524293:FAY524370 FAY589829:FAY589906 FAY655365:FAY655442 FAY720901:FAY720978 FAY786437:FAY786514 FAY851973:FAY852050 FAY917509:FAY917586 FAY983045:FAY983122 FKU2:FKU82 FKU65541:FKU65618 FKU131077:FKU131154 FKU196613:FKU196690 FKU262149:FKU262226 FKU327685:FKU327762 FKU393221:FKU393298 FKU458757:FKU458834 FKU524293:FKU524370 FKU589829:FKU589906 FKU655365:FKU655442 FKU720901:FKU720978 FKU786437:FKU786514 FKU851973:FKU852050 FKU917509:FKU917586 FKU983045:FKU983122 FUQ2:FUQ82 FUQ65541:FUQ65618 FUQ131077:FUQ131154 FUQ196613:FUQ196690 FUQ262149:FUQ262226 FUQ327685:FUQ327762 FUQ393221:FUQ393298 FUQ458757:FUQ458834 FUQ524293:FUQ524370 FUQ589829:FUQ589906 FUQ655365:FUQ655442 FUQ720901:FUQ720978 FUQ786437:FUQ786514 FUQ851973:FUQ852050 FUQ917509:FUQ917586 FUQ983045:FUQ983122 GEM2:GEM82 GEM65541:GEM65618 GEM131077:GEM131154 GEM196613:GEM196690 GEM262149:GEM262226 GEM327685:GEM327762 GEM393221:GEM393298 GEM458757:GEM458834 GEM524293:GEM524370 GEM589829:GEM589906 GEM655365:GEM655442 GEM720901:GEM720978 GEM786437:GEM786514 GEM851973:GEM852050 GEM917509:GEM917586 GEM983045:GEM983122 GOI2:GOI82 GOI65541:GOI65618 GOI131077:GOI131154 GOI196613:GOI196690 GOI262149:GOI262226 GOI327685:GOI327762 GOI393221:GOI393298 GOI458757:GOI458834 GOI524293:GOI524370 GOI589829:GOI589906 GOI655365:GOI655442 GOI720901:GOI720978 GOI786437:GOI786514 GOI851973:GOI852050 GOI917509:GOI917586 GOI983045:GOI983122 GYE2:GYE82 GYE65541:GYE65618 GYE131077:GYE131154 GYE196613:GYE196690 GYE262149:GYE262226 GYE327685:GYE327762 GYE393221:GYE393298 GYE458757:GYE458834 GYE524293:GYE524370 GYE589829:GYE589906 GYE655365:GYE655442 GYE720901:GYE720978 GYE786437:GYE786514 GYE851973:GYE852050 GYE917509:GYE917586 GYE983045:GYE983122 HIA2:HIA82 HIA65541:HIA65618 HIA131077:HIA131154 HIA196613:HIA196690 HIA262149:HIA262226 HIA327685:HIA327762 HIA393221:HIA393298 HIA458757:HIA458834 HIA524293:HIA524370 HIA589829:HIA589906 HIA655365:HIA655442 HIA720901:HIA720978 HIA786437:HIA786514 HIA851973:HIA852050 HIA917509:HIA917586 HIA983045:HIA983122 HRW2:HRW82 HRW65541:HRW65618 HRW131077:HRW131154 HRW196613:HRW196690 HRW262149:HRW262226 HRW327685:HRW327762 HRW393221:HRW393298 HRW458757:HRW458834 HRW524293:HRW524370 HRW589829:HRW589906 HRW655365:HRW655442 HRW720901:HRW720978 HRW786437:HRW786514 HRW851973:HRW852050 HRW917509:HRW917586 HRW983045:HRW983122 IBS2:IBS82 IBS65541:IBS65618 IBS131077:IBS131154 IBS196613:IBS196690 IBS262149:IBS262226 IBS327685:IBS327762 IBS393221:IBS393298 IBS458757:IBS458834 IBS524293:IBS524370 IBS589829:IBS589906 IBS655365:IBS655442 IBS720901:IBS720978 IBS786437:IBS786514 IBS851973:IBS852050 IBS917509:IBS917586 IBS983045:IBS983122 ILO2:ILO82 ILO65541:ILO65618 ILO131077:ILO131154 ILO196613:ILO196690 ILO262149:ILO262226 ILO327685:ILO327762 ILO393221:ILO393298 ILO458757:ILO458834 ILO524293:ILO524370 ILO589829:ILO589906 ILO655365:ILO655442 ILO720901:ILO720978 ILO786437:ILO786514 ILO851973:ILO852050 ILO917509:ILO917586 ILO983045:ILO983122 IVK2:IVK82 IVK65541:IVK65618 IVK131077:IVK131154 IVK196613:IVK196690 IVK262149:IVK262226 IVK327685:IVK327762 IVK393221:IVK393298 IVK458757:IVK458834 IVK524293:IVK524370 IVK589829:IVK589906 IVK655365:IVK655442 IVK720901:IVK720978 IVK786437:IVK786514 IVK851973:IVK852050 IVK917509:IVK917586 IVK983045:IVK983122 JFG2:JFG82 JFG65541:JFG65618 JFG131077:JFG131154 JFG196613:JFG196690 JFG262149:JFG262226 JFG327685:JFG327762 JFG393221:JFG393298 JFG458757:JFG458834 JFG524293:JFG524370 JFG589829:JFG589906 JFG655365:JFG655442 JFG720901:JFG720978 JFG786437:JFG786514 JFG851973:JFG852050 JFG917509:JFG917586 JFG983045:JFG983122 JPC2:JPC82 JPC65541:JPC65618 JPC131077:JPC131154 JPC196613:JPC196690 JPC262149:JPC262226 JPC327685:JPC327762 JPC393221:JPC393298 JPC458757:JPC458834 JPC524293:JPC524370 JPC589829:JPC589906 JPC655365:JPC655442 JPC720901:JPC720978 JPC786437:JPC786514 JPC851973:JPC852050 JPC917509:JPC917586 JPC983045:JPC983122 JYY2:JYY82 JYY65541:JYY65618 JYY131077:JYY131154 JYY196613:JYY196690 JYY262149:JYY262226 JYY327685:JYY327762 JYY393221:JYY393298 JYY458757:JYY458834 JYY524293:JYY524370 JYY589829:JYY589906 JYY655365:JYY655442 JYY720901:JYY720978 JYY786437:JYY786514 JYY851973:JYY852050 JYY917509:JYY917586 JYY983045:JYY983122 KIU2:KIU82 KIU65541:KIU65618 KIU131077:KIU131154 KIU196613:KIU196690 KIU262149:KIU262226 KIU327685:KIU327762 KIU393221:KIU393298 KIU458757:KIU458834 KIU524293:KIU524370 KIU589829:KIU589906 KIU655365:KIU655442 KIU720901:KIU720978 KIU786437:KIU786514 KIU851973:KIU852050 KIU917509:KIU917586 KIU983045:KIU983122 KSQ2:KSQ82 KSQ65541:KSQ65618 KSQ131077:KSQ131154 KSQ196613:KSQ196690 KSQ262149:KSQ262226 KSQ327685:KSQ327762 KSQ393221:KSQ393298 KSQ458757:KSQ458834 KSQ524293:KSQ524370 KSQ589829:KSQ589906 KSQ655365:KSQ655442 KSQ720901:KSQ720978 KSQ786437:KSQ786514 KSQ851973:KSQ852050 KSQ917509:KSQ917586 KSQ983045:KSQ983122 LCM2:LCM82 LCM65541:LCM65618 LCM131077:LCM131154 LCM196613:LCM196690 LCM262149:LCM262226 LCM327685:LCM327762 LCM393221:LCM393298 LCM458757:LCM458834 LCM524293:LCM524370 LCM589829:LCM589906 LCM655365:LCM655442 LCM720901:LCM720978 LCM786437:LCM786514 LCM851973:LCM852050 LCM917509:LCM917586 LCM983045:LCM983122 LMI2:LMI82 LMI65541:LMI65618 LMI131077:LMI131154 LMI196613:LMI196690 LMI262149:LMI262226 LMI327685:LMI327762 LMI393221:LMI393298 LMI458757:LMI458834 LMI524293:LMI524370 LMI589829:LMI589906 LMI655365:LMI655442 LMI720901:LMI720978 LMI786437:LMI786514 LMI851973:LMI852050 LMI917509:LMI917586 LMI983045:LMI983122 LWE2:LWE82 LWE65541:LWE65618 LWE131077:LWE131154 LWE196613:LWE196690 LWE262149:LWE262226 LWE327685:LWE327762 LWE393221:LWE393298 LWE458757:LWE458834 LWE524293:LWE524370 LWE589829:LWE589906 LWE655365:LWE655442 LWE720901:LWE720978 LWE786437:LWE786514 LWE851973:LWE852050 LWE917509:LWE917586 LWE983045:LWE983122 MGA2:MGA82 MGA65541:MGA65618 MGA131077:MGA131154 MGA196613:MGA196690 MGA262149:MGA262226 MGA327685:MGA327762 MGA393221:MGA393298 MGA458757:MGA458834 MGA524293:MGA524370 MGA589829:MGA589906 MGA655365:MGA655442 MGA720901:MGA720978 MGA786437:MGA786514 MGA851973:MGA852050 MGA917509:MGA917586 MGA983045:MGA983122 MPW2:MPW82 MPW65541:MPW65618 MPW131077:MPW131154 MPW196613:MPW196690 MPW262149:MPW262226 MPW327685:MPW327762 MPW393221:MPW393298 MPW458757:MPW458834 MPW524293:MPW524370 MPW589829:MPW589906 MPW655365:MPW655442 MPW720901:MPW720978 MPW786437:MPW786514 MPW851973:MPW852050 MPW917509:MPW917586 MPW983045:MPW983122 MZS2:MZS82 MZS65541:MZS65618 MZS131077:MZS131154 MZS196613:MZS196690 MZS262149:MZS262226 MZS327685:MZS327762 MZS393221:MZS393298 MZS458757:MZS458834 MZS524293:MZS524370 MZS589829:MZS589906 MZS655365:MZS655442 MZS720901:MZS720978 MZS786437:MZS786514 MZS851973:MZS852050 MZS917509:MZS917586 MZS983045:MZS983122 NJO2:NJO82 NJO65541:NJO65618 NJO131077:NJO131154 NJO196613:NJO196690 NJO262149:NJO262226 NJO327685:NJO327762 NJO393221:NJO393298 NJO458757:NJO458834 NJO524293:NJO524370 NJO589829:NJO589906 NJO655365:NJO655442 NJO720901:NJO720978 NJO786437:NJO786514 NJO851973:NJO852050 NJO917509:NJO917586 NJO983045:NJO983122 NTK2:NTK82 NTK65541:NTK65618 NTK131077:NTK131154 NTK196613:NTK196690 NTK262149:NTK262226 NTK327685:NTK327762 NTK393221:NTK393298 NTK458757:NTK458834 NTK524293:NTK524370 NTK589829:NTK589906 NTK655365:NTK655442 NTK720901:NTK720978 NTK786437:NTK786514 NTK851973:NTK852050 NTK917509:NTK917586 NTK983045:NTK983122 ODG2:ODG82 ODG65541:ODG65618 ODG131077:ODG131154 ODG196613:ODG196690 ODG262149:ODG262226 ODG327685:ODG327762 ODG393221:ODG393298 ODG458757:ODG458834 ODG524293:ODG524370 ODG589829:ODG589906 ODG655365:ODG655442 ODG720901:ODG720978 ODG786437:ODG786514 ODG851973:ODG852050 ODG917509:ODG917586 ODG983045:ODG983122 ONC2:ONC82 ONC65541:ONC65618 ONC131077:ONC131154 ONC196613:ONC196690 ONC262149:ONC262226 ONC327685:ONC327762 ONC393221:ONC393298 ONC458757:ONC458834 ONC524293:ONC524370 ONC589829:ONC589906 ONC655365:ONC655442 ONC720901:ONC720978 ONC786437:ONC786514 ONC851973:ONC852050 ONC917509:ONC917586 ONC983045:ONC983122 OWY2:OWY82 OWY65541:OWY65618 OWY131077:OWY131154 OWY196613:OWY196690 OWY262149:OWY262226 OWY327685:OWY327762 OWY393221:OWY393298 OWY458757:OWY458834 OWY524293:OWY524370 OWY589829:OWY589906 OWY655365:OWY655442 OWY720901:OWY720978 OWY786437:OWY786514 OWY851973:OWY852050 OWY917509:OWY917586 OWY983045:OWY983122 PGU2:PGU82 PGU65541:PGU65618 PGU131077:PGU131154 PGU196613:PGU196690 PGU262149:PGU262226 PGU327685:PGU327762 PGU393221:PGU393298 PGU458757:PGU458834 PGU524293:PGU524370 PGU589829:PGU589906 PGU655365:PGU655442 PGU720901:PGU720978 PGU786437:PGU786514 PGU851973:PGU852050 PGU917509:PGU917586 PGU983045:PGU983122 PQQ2:PQQ82 PQQ65541:PQQ65618 PQQ131077:PQQ131154 PQQ196613:PQQ196690 PQQ262149:PQQ262226 PQQ327685:PQQ327762 PQQ393221:PQQ393298 PQQ458757:PQQ458834 PQQ524293:PQQ524370 PQQ589829:PQQ589906 PQQ655365:PQQ655442 PQQ720901:PQQ720978 PQQ786437:PQQ786514 PQQ851973:PQQ852050 PQQ917509:PQQ917586 PQQ983045:PQQ983122 QAM2:QAM82 QAM65541:QAM65618 QAM131077:QAM131154 QAM196613:QAM196690 QAM262149:QAM262226 QAM327685:QAM327762 QAM393221:QAM393298 QAM458757:QAM458834 QAM524293:QAM524370 QAM589829:QAM589906 QAM655365:QAM655442 QAM720901:QAM720978 QAM786437:QAM786514 QAM851973:QAM852050 QAM917509:QAM917586 QAM983045:QAM983122 QKI2:QKI82 QKI65541:QKI65618 QKI131077:QKI131154 QKI196613:QKI196690 QKI262149:QKI262226 QKI327685:QKI327762 QKI393221:QKI393298 QKI458757:QKI458834 QKI524293:QKI524370 QKI589829:QKI589906 QKI655365:QKI655442 QKI720901:QKI720978 QKI786437:QKI786514 QKI851973:QKI852050 QKI917509:QKI917586 QKI983045:QKI983122 QUE2:QUE82 QUE65541:QUE65618 QUE131077:QUE131154 QUE196613:QUE196690 QUE262149:QUE262226 QUE327685:QUE327762 QUE393221:QUE393298 QUE458757:QUE458834 QUE524293:QUE524370 QUE589829:QUE589906 QUE655365:QUE655442 QUE720901:QUE720978 QUE786437:QUE786514 QUE851973:QUE852050 QUE917509:QUE917586 QUE983045:QUE983122 REA2:REA82 REA65541:REA65618 REA131077:REA131154 REA196613:REA196690 REA262149:REA262226 REA327685:REA327762 REA393221:REA393298 REA458757:REA458834 REA524293:REA524370 REA589829:REA589906 REA655365:REA655442 REA720901:REA720978 REA786437:REA786514 REA851973:REA852050 REA917509:REA917586 REA983045:REA983122 RNW2:RNW82 RNW65541:RNW65618 RNW131077:RNW131154 RNW196613:RNW196690 RNW262149:RNW262226 RNW327685:RNW327762 RNW393221:RNW393298 RNW458757:RNW458834 RNW524293:RNW524370 RNW589829:RNW589906 RNW655365:RNW655442 RNW720901:RNW720978 RNW786437:RNW786514 RNW851973:RNW852050 RNW917509:RNW917586 RNW983045:RNW983122 RXS2:RXS82 RXS65541:RXS65618 RXS131077:RXS131154 RXS196613:RXS196690 RXS262149:RXS262226 RXS327685:RXS327762 RXS393221:RXS393298 RXS458757:RXS458834 RXS524293:RXS524370 RXS589829:RXS589906 RXS655365:RXS655442 RXS720901:RXS720978 RXS786437:RXS786514 RXS851973:RXS852050 RXS917509:RXS917586 RXS983045:RXS983122 SHO2:SHO82 SHO65541:SHO65618 SHO131077:SHO131154 SHO196613:SHO196690 SHO262149:SHO262226 SHO327685:SHO327762 SHO393221:SHO393298 SHO458757:SHO458834 SHO524293:SHO524370 SHO589829:SHO589906 SHO655365:SHO655442 SHO720901:SHO720978 SHO786437:SHO786514 SHO851973:SHO852050 SHO917509:SHO917586 SHO983045:SHO983122 SRK2:SRK82 SRK65541:SRK65618 SRK131077:SRK131154 SRK196613:SRK196690 SRK262149:SRK262226 SRK327685:SRK327762 SRK393221:SRK393298 SRK458757:SRK458834 SRK524293:SRK524370 SRK589829:SRK589906 SRK655365:SRK655442 SRK720901:SRK720978 SRK786437:SRK786514 SRK851973:SRK852050 SRK917509:SRK917586 SRK983045:SRK983122 TBG2:TBG82 TBG65541:TBG65618 TBG131077:TBG131154 TBG196613:TBG196690 TBG262149:TBG262226 TBG327685:TBG327762 TBG393221:TBG393298 TBG458757:TBG458834 TBG524293:TBG524370 TBG589829:TBG589906 TBG655365:TBG655442 TBG720901:TBG720978 TBG786437:TBG786514 TBG851973:TBG852050 TBG917509:TBG917586 TBG983045:TBG983122 TLC2:TLC82 TLC65541:TLC65618 TLC131077:TLC131154 TLC196613:TLC196690 TLC262149:TLC262226 TLC327685:TLC327762 TLC393221:TLC393298 TLC458757:TLC458834 TLC524293:TLC524370 TLC589829:TLC589906 TLC655365:TLC655442 TLC720901:TLC720978 TLC786437:TLC786514 TLC851973:TLC852050 TLC917509:TLC917586 TLC983045:TLC983122 TUY2:TUY82 TUY65541:TUY65618 TUY131077:TUY131154 TUY196613:TUY196690 TUY262149:TUY262226 TUY327685:TUY327762 TUY393221:TUY393298 TUY458757:TUY458834 TUY524293:TUY524370 TUY589829:TUY589906 TUY655365:TUY655442 TUY720901:TUY720978 TUY786437:TUY786514 TUY851973:TUY852050 TUY917509:TUY917586 TUY983045:TUY983122 UEU2:UEU82 UEU65541:UEU65618 UEU131077:UEU131154 UEU196613:UEU196690 UEU262149:UEU262226 UEU327685:UEU327762 UEU393221:UEU393298 UEU458757:UEU458834 UEU524293:UEU524370 UEU589829:UEU589906 UEU655365:UEU655442 UEU720901:UEU720978 UEU786437:UEU786514 UEU851973:UEU852050 UEU917509:UEU917586 UEU983045:UEU983122 UOQ2:UOQ82 UOQ65541:UOQ65618 UOQ131077:UOQ131154 UOQ196613:UOQ196690 UOQ262149:UOQ262226 UOQ327685:UOQ327762 UOQ393221:UOQ393298 UOQ458757:UOQ458834 UOQ524293:UOQ524370 UOQ589829:UOQ589906 UOQ655365:UOQ655442 UOQ720901:UOQ720978 UOQ786437:UOQ786514 UOQ851973:UOQ852050 UOQ917509:UOQ917586 UOQ983045:UOQ983122 UYM2:UYM82 UYM65541:UYM65618 UYM131077:UYM131154 UYM196613:UYM196690 UYM262149:UYM262226 UYM327685:UYM327762 UYM393221:UYM393298 UYM458757:UYM458834 UYM524293:UYM524370 UYM589829:UYM589906 UYM655365:UYM655442 UYM720901:UYM720978 UYM786437:UYM786514 UYM851973:UYM852050 UYM917509:UYM917586 UYM983045:UYM983122 VII2:VII82 VII65541:VII65618 VII131077:VII131154 VII196613:VII196690 VII262149:VII262226 VII327685:VII327762 VII393221:VII393298 VII458757:VII458834 VII524293:VII524370 VII589829:VII589906 VII655365:VII655442 VII720901:VII720978 VII786437:VII786514 VII851973:VII852050 VII917509:VII917586 VII983045:VII983122 VSE2:VSE82 VSE65541:VSE65618 VSE131077:VSE131154 VSE196613:VSE196690 VSE262149:VSE262226 VSE327685:VSE327762 VSE393221:VSE393298 VSE458757:VSE458834 VSE524293:VSE524370 VSE589829:VSE589906 VSE655365:VSE655442 VSE720901:VSE720978 VSE786437:VSE786514 VSE851973:VSE852050 VSE917509:VSE917586 VSE983045:VSE983122 WCA2:WCA82 WCA65541:WCA65618 WCA131077:WCA131154 WCA196613:WCA196690 WCA262149:WCA262226 WCA327685:WCA327762 WCA393221:WCA393298 WCA458757:WCA458834 WCA524293:WCA524370 WCA589829:WCA589906 WCA655365:WCA655442 WCA720901:WCA720978 WCA786437:WCA786514 WCA851973:WCA852050 WCA917509:WCA917586 WCA983045:WCA983122 WLW2:WLW82 WLW65541:WLW65618 WLW131077:WLW131154 WLW196613:WLW196690 WLW262149:WLW262226 WLW327685:WLW327762 WLW393221:WLW393298 WLW458757:WLW458834 WLW524293:WLW524370 WLW589829:WLW589906 WLW655365:WLW655442 WLW720901:WLW720978 WLW786437:WLW786514 WLW851973:WLW852050 WLW917509:WLW917586 WLW983045:WLW983122 WVS2:WVS82 WVS65541:WVS65618 WVS131077:WVS131154 WVS196613:WVS196690 WVS262149:WVS262226 WVS327685:WVS327762 WVS393221:WVS393298 WVS458757:WVS458834 WVS524293:WVS524370 WVS589829:WVS589906 WVS655365:WVS655442 WVS720901:WVS720978 WVS786437:WVS786514 WVS851973:WVS852050 WVS917509:WVS917586 WVS983045:WVS983122">
      <formula1>$AR$2:$AR$25</formula1>
    </dataValidation>
    <dataValidation type="list" allowBlank="1" showInputMessage="1" showErrorMessage="1" sqref="H2:H503">
      <formula1>$AL$2:$AL$8</formula1>
    </dataValidation>
    <dataValidation type="list" allowBlank="1" showInputMessage="1" showErrorMessage="1" sqref="J2:J503 J65541:J65618 J131077:J131154 J196613:J196690 J262149:J262226 J327685:J327762 J393221:J393298 J458757:J458834 J524293:J524370 J589829:J589906 J655365:J655442 J720901:J720978 J786437:J786514 J851973:J852050 J917509:J917586 J983045:J983122 JF2:JF82 JF65541:JF65618 JF131077:JF131154 JF196613:JF196690 JF262149:JF262226 JF327685:JF327762 JF393221:JF393298 JF458757:JF458834 JF524293:JF524370 JF589829:JF589906 JF655365:JF655442 JF720901:JF720978 JF786437:JF786514 JF851973:JF852050 JF917509:JF917586 JF983045:JF983122 TB2:TB82 TB65541:TB65618 TB131077:TB131154 TB196613:TB196690 TB262149:TB262226 TB327685:TB327762 TB393221:TB393298 TB458757:TB458834 TB524293:TB524370 TB589829:TB589906 TB655365:TB655442 TB720901:TB720978 TB786437:TB786514 TB851973:TB852050 TB917509:TB917586 TB983045:TB983122 ACX2:ACX82 ACX65541:ACX65618 ACX131077:ACX131154 ACX196613:ACX196690 ACX262149:ACX262226 ACX327685:ACX327762 ACX393221:ACX393298 ACX458757:ACX458834 ACX524293:ACX524370 ACX589829:ACX589906 ACX655365:ACX655442 ACX720901:ACX720978 ACX786437:ACX786514 ACX851973:ACX852050 ACX917509:ACX917586 ACX983045:ACX983122 AMT2:AMT82 AMT65541:AMT65618 AMT131077:AMT131154 AMT196613:AMT196690 AMT262149:AMT262226 AMT327685:AMT327762 AMT393221:AMT393298 AMT458757:AMT458834 AMT524293:AMT524370 AMT589829:AMT589906 AMT655365:AMT655442 AMT720901:AMT720978 AMT786437:AMT786514 AMT851973:AMT852050 AMT917509:AMT917586 AMT983045:AMT983122 AWP2:AWP82 AWP65541:AWP65618 AWP131077:AWP131154 AWP196613:AWP196690 AWP262149:AWP262226 AWP327685:AWP327762 AWP393221:AWP393298 AWP458757:AWP458834 AWP524293:AWP524370 AWP589829:AWP589906 AWP655365:AWP655442 AWP720901:AWP720978 AWP786437:AWP786514 AWP851973:AWP852050 AWP917509:AWP917586 AWP983045:AWP983122 BGL2:BGL82 BGL65541:BGL65618 BGL131077:BGL131154 BGL196613:BGL196690 BGL262149:BGL262226 BGL327685:BGL327762 BGL393221:BGL393298 BGL458757:BGL458834 BGL524293:BGL524370 BGL589829:BGL589906 BGL655365:BGL655442 BGL720901:BGL720978 BGL786437:BGL786514 BGL851973:BGL852050 BGL917509:BGL917586 BGL983045:BGL983122 BQH2:BQH82 BQH65541:BQH65618 BQH131077:BQH131154 BQH196613:BQH196690 BQH262149:BQH262226 BQH327685:BQH327762 BQH393221:BQH393298 BQH458757:BQH458834 BQH524293:BQH524370 BQH589829:BQH589906 BQH655365:BQH655442 BQH720901:BQH720978 BQH786437:BQH786514 BQH851973:BQH852050 BQH917509:BQH917586 BQH983045:BQH983122 CAD2:CAD82 CAD65541:CAD65618 CAD131077:CAD131154 CAD196613:CAD196690 CAD262149:CAD262226 CAD327685:CAD327762 CAD393221:CAD393298 CAD458757:CAD458834 CAD524293:CAD524370 CAD589829:CAD589906 CAD655365:CAD655442 CAD720901:CAD720978 CAD786437:CAD786514 CAD851973:CAD852050 CAD917509:CAD917586 CAD983045:CAD983122 CJZ2:CJZ82 CJZ65541:CJZ65618 CJZ131077:CJZ131154 CJZ196613:CJZ196690 CJZ262149:CJZ262226 CJZ327685:CJZ327762 CJZ393221:CJZ393298 CJZ458757:CJZ458834 CJZ524293:CJZ524370 CJZ589829:CJZ589906 CJZ655365:CJZ655442 CJZ720901:CJZ720978 CJZ786437:CJZ786514 CJZ851973:CJZ852050 CJZ917509:CJZ917586 CJZ983045:CJZ983122 CTV2:CTV82 CTV65541:CTV65618 CTV131077:CTV131154 CTV196613:CTV196690 CTV262149:CTV262226 CTV327685:CTV327762 CTV393221:CTV393298 CTV458757:CTV458834 CTV524293:CTV524370 CTV589829:CTV589906 CTV655365:CTV655442 CTV720901:CTV720978 CTV786437:CTV786514 CTV851973:CTV852050 CTV917509:CTV917586 CTV983045:CTV983122 DDR2:DDR82 DDR65541:DDR65618 DDR131077:DDR131154 DDR196613:DDR196690 DDR262149:DDR262226 DDR327685:DDR327762 DDR393221:DDR393298 DDR458757:DDR458834 DDR524293:DDR524370 DDR589829:DDR589906 DDR655365:DDR655442 DDR720901:DDR720978 DDR786437:DDR786514 DDR851973:DDR852050 DDR917509:DDR917586 DDR983045:DDR983122 DNN2:DNN82 DNN65541:DNN65618 DNN131077:DNN131154 DNN196613:DNN196690 DNN262149:DNN262226 DNN327685:DNN327762 DNN393221:DNN393298 DNN458757:DNN458834 DNN524293:DNN524370 DNN589829:DNN589906 DNN655365:DNN655442 DNN720901:DNN720978 DNN786437:DNN786514 DNN851973:DNN852050 DNN917509:DNN917586 DNN983045:DNN983122 DXJ2:DXJ82 DXJ65541:DXJ65618 DXJ131077:DXJ131154 DXJ196613:DXJ196690 DXJ262149:DXJ262226 DXJ327685:DXJ327762 DXJ393221:DXJ393298 DXJ458757:DXJ458834 DXJ524293:DXJ524370 DXJ589829:DXJ589906 DXJ655365:DXJ655442 DXJ720901:DXJ720978 DXJ786437:DXJ786514 DXJ851973:DXJ852050 DXJ917509:DXJ917586 DXJ983045:DXJ983122 EHF2:EHF82 EHF65541:EHF65618 EHF131077:EHF131154 EHF196613:EHF196690 EHF262149:EHF262226 EHF327685:EHF327762 EHF393221:EHF393298 EHF458757:EHF458834 EHF524293:EHF524370 EHF589829:EHF589906 EHF655365:EHF655442 EHF720901:EHF720978 EHF786437:EHF786514 EHF851973:EHF852050 EHF917509:EHF917586 EHF983045:EHF983122 ERB2:ERB82 ERB65541:ERB65618 ERB131077:ERB131154 ERB196613:ERB196690 ERB262149:ERB262226 ERB327685:ERB327762 ERB393221:ERB393298 ERB458757:ERB458834 ERB524293:ERB524370 ERB589829:ERB589906 ERB655365:ERB655442 ERB720901:ERB720978 ERB786437:ERB786514 ERB851973:ERB852050 ERB917509:ERB917586 ERB983045:ERB983122 FAX2:FAX82 FAX65541:FAX65618 FAX131077:FAX131154 FAX196613:FAX196690 FAX262149:FAX262226 FAX327685:FAX327762 FAX393221:FAX393298 FAX458757:FAX458834 FAX524293:FAX524370 FAX589829:FAX589906 FAX655365:FAX655442 FAX720901:FAX720978 FAX786437:FAX786514 FAX851973:FAX852050 FAX917509:FAX917586 FAX983045:FAX983122 FKT2:FKT82 FKT65541:FKT65618 FKT131077:FKT131154 FKT196613:FKT196690 FKT262149:FKT262226 FKT327685:FKT327762 FKT393221:FKT393298 FKT458757:FKT458834 FKT524293:FKT524370 FKT589829:FKT589906 FKT655365:FKT655442 FKT720901:FKT720978 FKT786437:FKT786514 FKT851973:FKT852050 FKT917509:FKT917586 FKT983045:FKT983122 FUP2:FUP82 FUP65541:FUP65618 FUP131077:FUP131154 FUP196613:FUP196690 FUP262149:FUP262226 FUP327685:FUP327762 FUP393221:FUP393298 FUP458757:FUP458834 FUP524293:FUP524370 FUP589829:FUP589906 FUP655365:FUP655442 FUP720901:FUP720978 FUP786437:FUP786514 FUP851973:FUP852050 FUP917509:FUP917586 FUP983045:FUP983122 GEL2:GEL82 GEL65541:GEL65618 GEL131077:GEL131154 GEL196613:GEL196690 GEL262149:GEL262226 GEL327685:GEL327762 GEL393221:GEL393298 GEL458757:GEL458834 GEL524293:GEL524370 GEL589829:GEL589906 GEL655365:GEL655442 GEL720901:GEL720978 GEL786437:GEL786514 GEL851973:GEL852050 GEL917509:GEL917586 GEL983045:GEL983122 GOH2:GOH82 GOH65541:GOH65618 GOH131077:GOH131154 GOH196613:GOH196690 GOH262149:GOH262226 GOH327685:GOH327762 GOH393221:GOH393298 GOH458757:GOH458834 GOH524293:GOH524370 GOH589829:GOH589906 GOH655365:GOH655442 GOH720901:GOH720978 GOH786437:GOH786514 GOH851973:GOH852050 GOH917509:GOH917586 GOH983045:GOH983122 GYD2:GYD82 GYD65541:GYD65618 GYD131077:GYD131154 GYD196613:GYD196690 GYD262149:GYD262226 GYD327685:GYD327762 GYD393221:GYD393298 GYD458757:GYD458834 GYD524293:GYD524370 GYD589829:GYD589906 GYD655365:GYD655442 GYD720901:GYD720978 GYD786437:GYD786514 GYD851973:GYD852050 GYD917509:GYD917586 GYD983045:GYD983122 HHZ2:HHZ82 HHZ65541:HHZ65618 HHZ131077:HHZ131154 HHZ196613:HHZ196690 HHZ262149:HHZ262226 HHZ327685:HHZ327762 HHZ393221:HHZ393298 HHZ458757:HHZ458834 HHZ524293:HHZ524370 HHZ589829:HHZ589906 HHZ655365:HHZ655442 HHZ720901:HHZ720978 HHZ786437:HHZ786514 HHZ851973:HHZ852050 HHZ917509:HHZ917586 HHZ983045:HHZ983122 HRV2:HRV82 HRV65541:HRV65618 HRV131077:HRV131154 HRV196613:HRV196690 HRV262149:HRV262226 HRV327685:HRV327762 HRV393221:HRV393298 HRV458757:HRV458834 HRV524293:HRV524370 HRV589829:HRV589906 HRV655365:HRV655442 HRV720901:HRV720978 HRV786437:HRV786514 HRV851973:HRV852050 HRV917509:HRV917586 HRV983045:HRV983122 IBR2:IBR82 IBR65541:IBR65618 IBR131077:IBR131154 IBR196613:IBR196690 IBR262149:IBR262226 IBR327685:IBR327762 IBR393221:IBR393298 IBR458757:IBR458834 IBR524293:IBR524370 IBR589829:IBR589906 IBR655365:IBR655442 IBR720901:IBR720978 IBR786437:IBR786514 IBR851973:IBR852050 IBR917509:IBR917586 IBR983045:IBR983122 ILN2:ILN82 ILN65541:ILN65618 ILN131077:ILN131154 ILN196613:ILN196690 ILN262149:ILN262226 ILN327685:ILN327762 ILN393221:ILN393298 ILN458757:ILN458834 ILN524293:ILN524370 ILN589829:ILN589906 ILN655365:ILN655442 ILN720901:ILN720978 ILN786437:ILN786514 ILN851973:ILN852050 ILN917509:ILN917586 ILN983045:ILN983122 IVJ2:IVJ82 IVJ65541:IVJ65618 IVJ131077:IVJ131154 IVJ196613:IVJ196690 IVJ262149:IVJ262226 IVJ327685:IVJ327762 IVJ393221:IVJ393298 IVJ458757:IVJ458834 IVJ524293:IVJ524370 IVJ589829:IVJ589906 IVJ655365:IVJ655442 IVJ720901:IVJ720978 IVJ786437:IVJ786514 IVJ851973:IVJ852050 IVJ917509:IVJ917586 IVJ983045:IVJ983122 JFF2:JFF82 JFF65541:JFF65618 JFF131077:JFF131154 JFF196613:JFF196690 JFF262149:JFF262226 JFF327685:JFF327762 JFF393221:JFF393298 JFF458757:JFF458834 JFF524293:JFF524370 JFF589829:JFF589906 JFF655365:JFF655442 JFF720901:JFF720978 JFF786437:JFF786514 JFF851973:JFF852050 JFF917509:JFF917586 JFF983045:JFF983122 JPB2:JPB82 JPB65541:JPB65618 JPB131077:JPB131154 JPB196613:JPB196690 JPB262149:JPB262226 JPB327685:JPB327762 JPB393221:JPB393298 JPB458757:JPB458834 JPB524293:JPB524370 JPB589829:JPB589906 JPB655365:JPB655442 JPB720901:JPB720978 JPB786437:JPB786514 JPB851973:JPB852050 JPB917509:JPB917586 JPB983045:JPB983122 JYX2:JYX82 JYX65541:JYX65618 JYX131077:JYX131154 JYX196613:JYX196690 JYX262149:JYX262226 JYX327685:JYX327762 JYX393221:JYX393298 JYX458757:JYX458834 JYX524293:JYX524370 JYX589829:JYX589906 JYX655365:JYX655442 JYX720901:JYX720978 JYX786437:JYX786514 JYX851973:JYX852050 JYX917509:JYX917586 JYX983045:JYX983122 KIT2:KIT82 KIT65541:KIT65618 KIT131077:KIT131154 KIT196613:KIT196690 KIT262149:KIT262226 KIT327685:KIT327762 KIT393221:KIT393298 KIT458757:KIT458834 KIT524293:KIT524370 KIT589829:KIT589906 KIT655365:KIT655442 KIT720901:KIT720978 KIT786437:KIT786514 KIT851973:KIT852050 KIT917509:KIT917586 KIT983045:KIT983122 KSP2:KSP82 KSP65541:KSP65618 KSP131077:KSP131154 KSP196613:KSP196690 KSP262149:KSP262226 KSP327685:KSP327762 KSP393221:KSP393298 KSP458757:KSP458834 KSP524293:KSP524370 KSP589829:KSP589906 KSP655365:KSP655442 KSP720901:KSP720978 KSP786437:KSP786514 KSP851973:KSP852050 KSP917509:KSP917586 KSP983045:KSP983122 LCL2:LCL82 LCL65541:LCL65618 LCL131077:LCL131154 LCL196613:LCL196690 LCL262149:LCL262226 LCL327685:LCL327762 LCL393221:LCL393298 LCL458757:LCL458834 LCL524293:LCL524370 LCL589829:LCL589906 LCL655365:LCL655442 LCL720901:LCL720978 LCL786437:LCL786514 LCL851973:LCL852050 LCL917509:LCL917586 LCL983045:LCL983122 LMH2:LMH82 LMH65541:LMH65618 LMH131077:LMH131154 LMH196613:LMH196690 LMH262149:LMH262226 LMH327685:LMH327762 LMH393221:LMH393298 LMH458757:LMH458834 LMH524293:LMH524370 LMH589829:LMH589906 LMH655365:LMH655442 LMH720901:LMH720978 LMH786437:LMH786514 LMH851973:LMH852050 LMH917509:LMH917586 LMH983045:LMH983122 LWD2:LWD82 LWD65541:LWD65618 LWD131077:LWD131154 LWD196613:LWD196690 LWD262149:LWD262226 LWD327685:LWD327762 LWD393221:LWD393298 LWD458757:LWD458834 LWD524293:LWD524370 LWD589829:LWD589906 LWD655365:LWD655442 LWD720901:LWD720978 LWD786437:LWD786514 LWD851973:LWD852050 LWD917509:LWD917586 LWD983045:LWD983122 MFZ2:MFZ82 MFZ65541:MFZ65618 MFZ131077:MFZ131154 MFZ196613:MFZ196690 MFZ262149:MFZ262226 MFZ327685:MFZ327762 MFZ393221:MFZ393298 MFZ458757:MFZ458834 MFZ524293:MFZ524370 MFZ589829:MFZ589906 MFZ655365:MFZ655442 MFZ720901:MFZ720978 MFZ786437:MFZ786514 MFZ851973:MFZ852050 MFZ917509:MFZ917586 MFZ983045:MFZ983122 MPV2:MPV82 MPV65541:MPV65618 MPV131077:MPV131154 MPV196613:MPV196690 MPV262149:MPV262226 MPV327685:MPV327762 MPV393221:MPV393298 MPV458757:MPV458834 MPV524293:MPV524370 MPV589829:MPV589906 MPV655365:MPV655442 MPV720901:MPV720978 MPV786437:MPV786514 MPV851973:MPV852050 MPV917509:MPV917586 MPV983045:MPV983122 MZR2:MZR82 MZR65541:MZR65618 MZR131077:MZR131154 MZR196613:MZR196690 MZR262149:MZR262226 MZR327685:MZR327762 MZR393221:MZR393298 MZR458757:MZR458834 MZR524293:MZR524370 MZR589829:MZR589906 MZR655365:MZR655442 MZR720901:MZR720978 MZR786437:MZR786514 MZR851973:MZR852050 MZR917509:MZR917586 MZR983045:MZR983122 NJN2:NJN82 NJN65541:NJN65618 NJN131077:NJN131154 NJN196613:NJN196690 NJN262149:NJN262226 NJN327685:NJN327762 NJN393221:NJN393298 NJN458757:NJN458834 NJN524293:NJN524370 NJN589829:NJN589906 NJN655365:NJN655442 NJN720901:NJN720978 NJN786437:NJN786514 NJN851973:NJN852050 NJN917509:NJN917586 NJN983045:NJN983122 NTJ2:NTJ82 NTJ65541:NTJ65618 NTJ131077:NTJ131154 NTJ196613:NTJ196690 NTJ262149:NTJ262226 NTJ327685:NTJ327762 NTJ393221:NTJ393298 NTJ458757:NTJ458834 NTJ524293:NTJ524370 NTJ589829:NTJ589906 NTJ655365:NTJ655442 NTJ720901:NTJ720978 NTJ786437:NTJ786514 NTJ851973:NTJ852050 NTJ917509:NTJ917586 NTJ983045:NTJ983122 ODF2:ODF82 ODF65541:ODF65618 ODF131077:ODF131154 ODF196613:ODF196690 ODF262149:ODF262226 ODF327685:ODF327762 ODF393221:ODF393298 ODF458757:ODF458834 ODF524293:ODF524370 ODF589829:ODF589906 ODF655365:ODF655442 ODF720901:ODF720978 ODF786437:ODF786514 ODF851973:ODF852050 ODF917509:ODF917586 ODF983045:ODF983122 ONB2:ONB82 ONB65541:ONB65618 ONB131077:ONB131154 ONB196613:ONB196690 ONB262149:ONB262226 ONB327685:ONB327762 ONB393221:ONB393298 ONB458757:ONB458834 ONB524293:ONB524370 ONB589829:ONB589906 ONB655365:ONB655442 ONB720901:ONB720978 ONB786437:ONB786514 ONB851973:ONB852050 ONB917509:ONB917586 ONB983045:ONB983122 OWX2:OWX82 OWX65541:OWX65618 OWX131077:OWX131154 OWX196613:OWX196690 OWX262149:OWX262226 OWX327685:OWX327762 OWX393221:OWX393298 OWX458757:OWX458834 OWX524293:OWX524370 OWX589829:OWX589906 OWX655365:OWX655442 OWX720901:OWX720978 OWX786437:OWX786514 OWX851973:OWX852050 OWX917509:OWX917586 OWX983045:OWX983122 PGT2:PGT82 PGT65541:PGT65618 PGT131077:PGT131154 PGT196613:PGT196690 PGT262149:PGT262226 PGT327685:PGT327762 PGT393221:PGT393298 PGT458757:PGT458834 PGT524293:PGT524370 PGT589829:PGT589906 PGT655365:PGT655442 PGT720901:PGT720978 PGT786437:PGT786514 PGT851973:PGT852050 PGT917509:PGT917586 PGT983045:PGT983122 PQP2:PQP82 PQP65541:PQP65618 PQP131077:PQP131154 PQP196613:PQP196690 PQP262149:PQP262226 PQP327685:PQP327762 PQP393221:PQP393298 PQP458757:PQP458834 PQP524293:PQP524370 PQP589829:PQP589906 PQP655365:PQP655442 PQP720901:PQP720978 PQP786437:PQP786514 PQP851973:PQP852050 PQP917509:PQP917586 PQP983045:PQP983122 QAL2:QAL82 QAL65541:QAL65618 QAL131077:QAL131154 QAL196613:QAL196690 QAL262149:QAL262226 QAL327685:QAL327762 QAL393221:QAL393298 QAL458757:QAL458834 QAL524293:QAL524370 QAL589829:QAL589906 QAL655365:QAL655442 QAL720901:QAL720978 QAL786437:QAL786514 QAL851973:QAL852050 QAL917509:QAL917586 QAL983045:QAL983122 QKH2:QKH82 QKH65541:QKH65618 QKH131077:QKH131154 QKH196613:QKH196690 QKH262149:QKH262226 QKH327685:QKH327762 QKH393221:QKH393298 QKH458757:QKH458834 QKH524293:QKH524370 QKH589829:QKH589906 QKH655365:QKH655442 QKH720901:QKH720978 QKH786437:QKH786514 QKH851973:QKH852050 QKH917509:QKH917586 QKH983045:QKH983122 QUD2:QUD82 QUD65541:QUD65618 QUD131077:QUD131154 QUD196613:QUD196690 QUD262149:QUD262226 QUD327685:QUD327762 QUD393221:QUD393298 QUD458757:QUD458834 QUD524293:QUD524370 QUD589829:QUD589906 QUD655365:QUD655442 QUD720901:QUD720978 QUD786437:QUD786514 QUD851973:QUD852050 QUD917509:QUD917586 QUD983045:QUD983122 RDZ2:RDZ82 RDZ65541:RDZ65618 RDZ131077:RDZ131154 RDZ196613:RDZ196690 RDZ262149:RDZ262226 RDZ327685:RDZ327762 RDZ393221:RDZ393298 RDZ458757:RDZ458834 RDZ524293:RDZ524370 RDZ589829:RDZ589906 RDZ655365:RDZ655442 RDZ720901:RDZ720978 RDZ786437:RDZ786514 RDZ851973:RDZ852050 RDZ917509:RDZ917586 RDZ983045:RDZ983122 RNV2:RNV82 RNV65541:RNV65618 RNV131077:RNV131154 RNV196613:RNV196690 RNV262149:RNV262226 RNV327685:RNV327762 RNV393221:RNV393298 RNV458757:RNV458834 RNV524293:RNV524370 RNV589829:RNV589906 RNV655365:RNV655442 RNV720901:RNV720978 RNV786437:RNV786514 RNV851973:RNV852050 RNV917509:RNV917586 RNV983045:RNV983122 RXR2:RXR82 RXR65541:RXR65618 RXR131077:RXR131154 RXR196613:RXR196690 RXR262149:RXR262226 RXR327685:RXR327762 RXR393221:RXR393298 RXR458757:RXR458834 RXR524293:RXR524370 RXR589829:RXR589906 RXR655365:RXR655442 RXR720901:RXR720978 RXR786437:RXR786514 RXR851973:RXR852050 RXR917509:RXR917586 RXR983045:RXR983122 SHN2:SHN82 SHN65541:SHN65618 SHN131077:SHN131154 SHN196613:SHN196690 SHN262149:SHN262226 SHN327685:SHN327762 SHN393221:SHN393298 SHN458757:SHN458834 SHN524293:SHN524370 SHN589829:SHN589906 SHN655365:SHN655442 SHN720901:SHN720978 SHN786437:SHN786514 SHN851973:SHN852050 SHN917509:SHN917586 SHN983045:SHN983122 SRJ2:SRJ82 SRJ65541:SRJ65618 SRJ131077:SRJ131154 SRJ196613:SRJ196690 SRJ262149:SRJ262226 SRJ327685:SRJ327762 SRJ393221:SRJ393298 SRJ458757:SRJ458834 SRJ524293:SRJ524370 SRJ589829:SRJ589906 SRJ655365:SRJ655442 SRJ720901:SRJ720978 SRJ786437:SRJ786514 SRJ851973:SRJ852050 SRJ917509:SRJ917586 SRJ983045:SRJ983122 TBF2:TBF82 TBF65541:TBF65618 TBF131077:TBF131154 TBF196613:TBF196690 TBF262149:TBF262226 TBF327685:TBF327762 TBF393221:TBF393298 TBF458757:TBF458834 TBF524293:TBF524370 TBF589829:TBF589906 TBF655365:TBF655442 TBF720901:TBF720978 TBF786437:TBF786514 TBF851973:TBF852050 TBF917509:TBF917586 TBF983045:TBF983122 TLB2:TLB82 TLB65541:TLB65618 TLB131077:TLB131154 TLB196613:TLB196690 TLB262149:TLB262226 TLB327685:TLB327762 TLB393221:TLB393298 TLB458757:TLB458834 TLB524293:TLB524370 TLB589829:TLB589906 TLB655365:TLB655442 TLB720901:TLB720978 TLB786437:TLB786514 TLB851973:TLB852050 TLB917509:TLB917586 TLB983045:TLB983122 TUX2:TUX82 TUX65541:TUX65618 TUX131077:TUX131154 TUX196613:TUX196690 TUX262149:TUX262226 TUX327685:TUX327762 TUX393221:TUX393298 TUX458757:TUX458834 TUX524293:TUX524370 TUX589829:TUX589906 TUX655365:TUX655442 TUX720901:TUX720978 TUX786437:TUX786514 TUX851973:TUX852050 TUX917509:TUX917586 TUX983045:TUX983122 UET2:UET82 UET65541:UET65618 UET131077:UET131154 UET196613:UET196690 UET262149:UET262226 UET327685:UET327762 UET393221:UET393298 UET458757:UET458834 UET524293:UET524370 UET589829:UET589906 UET655365:UET655442 UET720901:UET720978 UET786437:UET786514 UET851973:UET852050 UET917509:UET917586 UET983045:UET983122 UOP2:UOP82 UOP65541:UOP65618 UOP131077:UOP131154 UOP196613:UOP196690 UOP262149:UOP262226 UOP327685:UOP327762 UOP393221:UOP393298 UOP458757:UOP458834 UOP524293:UOP524370 UOP589829:UOP589906 UOP655365:UOP655442 UOP720901:UOP720978 UOP786437:UOP786514 UOP851973:UOP852050 UOP917509:UOP917586 UOP983045:UOP983122 UYL2:UYL82 UYL65541:UYL65618 UYL131077:UYL131154 UYL196613:UYL196690 UYL262149:UYL262226 UYL327685:UYL327762 UYL393221:UYL393298 UYL458757:UYL458834 UYL524293:UYL524370 UYL589829:UYL589906 UYL655365:UYL655442 UYL720901:UYL720978 UYL786437:UYL786514 UYL851973:UYL852050 UYL917509:UYL917586 UYL983045:UYL983122 VIH2:VIH82 VIH65541:VIH65618 VIH131077:VIH131154 VIH196613:VIH196690 VIH262149:VIH262226 VIH327685:VIH327762 VIH393221:VIH393298 VIH458757:VIH458834 VIH524293:VIH524370 VIH589829:VIH589906 VIH655365:VIH655442 VIH720901:VIH720978 VIH786437:VIH786514 VIH851973:VIH852050 VIH917509:VIH917586 VIH983045:VIH983122 VSD2:VSD82 VSD65541:VSD65618 VSD131077:VSD131154 VSD196613:VSD196690 VSD262149:VSD262226 VSD327685:VSD327762 VSD393221:VSD393298 VSD458757:VSD458834 VSD524293:VSD524370 VSD589829:VSD589906 VSD655365:VSD655442 VSD720901:VSD720978 VSD786437:VSD786514 VSD851973:VSD852050 VSD917509:VSD917586 VSD983045:VSD983122 WBZ2:WBZ82 WBZ65541:WBZ65618 WBZ131077:WBZ131154 WBZ196613:WBZ196690 WBZ262149:WBZ262226 WBZ327685:WBZ327762 WBZ393221:WBZ393298 WBZ458757:WBZ458834 WBZ524293:WBZ524370 WBZ589829:WBZ589906 WBZ655365:WBZ655442 WBZ720901:WBZ720978 WBZ786437:WBZ786514 WBZ851973:WBZ852050 WBZ917509:WBZ917586 WBZ983045:WBZ983122 WLV2:WLV82 WLV65541:WLV65618 WLV131077:WLV131154 WLV196613:WLV196690 WLV262149:WLV262226 WLV327685:WLV327762 WLV393221:WLV393298 WLV458757:WLV458834 WLV524293:WLV524370 WLV589829:WLV589906 WLV655365:WLV655442 WLV720901:WLV720978 WLV786437:WLV786514 WLV851973:WLV852050 WLV917509:WLV917586 WLV983045:WLV983122 WVR2:WVR82 WVR65541:WVR65618 WVR131077:WVR131154 WVR196613:WVR196690 WVR262149:WVR262226 WVR327685:WVR327762 WVR393221:WVR393298 WVR458757:WVR458834 WVR524293:WVR524370 WVR589829:WVR589906 WVR655365:WVR655442 WVR720901:WVR720978 WVR786437:WVR786514 WVR851973:WVR852050 WVR917509:WVR917586 WVR983045:WVR983122">
      <formula1>$AP$2:$AP$27</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dataValidation type="list" allowBlank="1" showInputMessage="1" showErrorMessage="1" sqref="E2:E735 E65541:E65618 E131077:E131154 E196613:E196690 E262149:E262226 E327685:E327762 E393221:E393298 E458757:E458834 E524293:E524370 E589829:E589906 E655365:E655442 E720901:E720978 E786437:E786514 E851973:E852050 E917509:E917586 E983045:E983122 JA2:JA82 JA65541:JA65618 JA131077:JA131154 JA196613:JA196690 JA262149:JA262226 JA327685:JA327762 JA393221:JA393298 JA458757:JA458834 JA524293:JA524370 JA589829:JA589906 JA655365:JA655442 JA720901:JA720978 JA786437:JA786514 JA851973:JA852050 JA917509:JA917586 JA983045:JA983122 SW2:SW82 SW65541:SW65618 SW131077:SW131154 SW196613:SW196690 SW262149:SW262226 SW327685:SW327762 SW393221:SW393298 SW458757:SW458834 SW524293:SW524370 SW589829:SW589906 SW655365:SW655442 SW720901:SW720978 SW786437:SW786514 SW851973:SW852050 SW917509:SW917586 SW983045:SW983122 ACS2:ACS82 ACS65541:ACS65618 ACS131077:ACS131154 ACS196613:ACS196690 ACS262149:ACS262226 ACS327685:ACS327762 ACS393221:ACS393298 ACS458757:ACS458834 ACS524293:ACS524370 ACS589829:ACS589906 ACS655365:ACS655442 ACS720901:ACS720978 ACS786437:ACS786514 ACS851973:ACS852050 ACS917509:ACS917586 ACS983045:ACS983122 AMO2:AMO82 AMO65541:AMO65618 AMO131077:AMO131154 AMO196613:AMO196690 AMO262149:AMO262226 AMO327685:AMO327762 AMO393221:AMO393298 AMO458757:AMO458834 AMO524293:AMO524370 AMO589829:AMO589906 AMO655365:AMO655442 AMO720901:AMO720978 AMO786437:AMO786514 AMO851973:AMO852050 AMO917509:AMO917586 AMO983045:AMO983122 AWK2:AWK82 AWK65541:AWK65618 AWK131077:AWK131154 AWK196613:AWK196690 AWK262149:AWK262226 AWK327685:AWK327762 AWK393221:AWK393298 AWK458757:AWK458834 AWK524293:AWK524370 AWK589829:AWK589906 AWK655365:AWK655442 AWK720901:AWK720978 AWK786437:AWK786514 AWK851973:AWK852050 AWK917509:AWK917586 AWK983045:AWK983122 BGG2:BGG82 BGG65541:BGG65618 BGG131077:BGG131154 BGG196613:BGG196690 BGG262149:BGG262226 BGG327685:BGG327762 BGG393221:BGG393298 BGG458757:BGG458834 BGG524293:BGG524370 BGG589829:BGG589906 BGG655365:BGG655442 BGG720901:BGG720978 BGG786437:BGG786514 BGG851973:BGG852050 BGG917509:BGG917586 BGG983045:BGG983122 BQC2:BQC82 BQC65541:BQC65618 BQC131077:BQC131154 BQC196613:BQC196690 BQC262149:BQC262226 BQC327685:BQC327762 BQC393221:BQC393298 BQC458757:BQC458834 BQC524293:BQC524370 BQC589829:BQC589906 BQC655365:BQC655442 BQC720901:BQC720978 BQC786437:BQC786514 BQC851973:BQC852050 BQC917509:BQC917586 BQC983045:BQC983122 BZY2:BZY82 BZY65541:BZY65618 BZY131077:BZY131154 BZY196613:BZY196690 BZY262149:BZY262226 BZY327685:BZY327762 BZY393221:BZY393298 BZY458757:BZY458834 BZY524293:BZY524370 BZY589829:BZY589906 BZY655365:BZY655442 BZY720901:BZY720978 BZY786437:BZY786514 BZY851973:BZY852050 BZY917509:BZY917586 BZY983045:BZY983122 CJU2:CJU82 CJU65541:CJU65618 CJU131077:CJU131154 CJU196613:CJU196690 CJU262149:CJU262226 CJU327685:CJU327762 CJU393221:CJU393298 CJU458757:CJU458834 CJU524293:CJU524370 CJU589829:CJU589906 CJU655365:CJU655442 CJU720901:CJU720978 CJU786437:CJU786514 CJU851973:CJU852050 CJU917509:CJU917586 CJU983045:CJU983122 CTQ2:CTQ82 CTQ65541:CTQ65618 CTQ131077:CTQ131154 CTQ196613:CTQ196690 CTQ262149:CTQ262226 CTQ327685:CTQ327762 CTQ393221:CTQ393298 CTQ458757:CTQ458834 CTQ524293:CTQ524370 CTQ589829:CTQ589906 CTQ655365:CTQ655442 CTQ720901:CTQ720978 CTQ786437:CTQ786514 CTQ851973:CTQ852050 CTQ917509:CTQ917586 CTQ983045:CTQ983122 DDM2:DDM82 DDM65541:DDM65618 DDM131077:DDM131154 DDM196613:DDM196690 DDM262149:DDM262226 DDM327685:DDM327762 DDM393221:DDM393298 DDM458757:DDM458834 DDM524293:DDM524370 DDM589829:DDM589906 DDM655365:DDM655442 DDM720901:DDM720978 DDM786437:DDM786514 DDM851973:DDM852050 DDM917509:DDM917586 DDM983045:DDM983122 DNI2:DNI82 DNI65541:DNI65618 DNI131077:DNI131154 DNI196613:DNI196690 DNI262149:DNI262226 DNI327685:DNI327762 DNI393221:DNI393298 DNI458757:DNI458834 DNI524293:DNI524370 DNI589829:DNI589906 DNI655365:DNI655442 DNI720901:DNI720978 DNI786437:DNI786514 DNI851973:DNI852050 DNI917509:DNI917586 DNI983045:DNI983122 DXE2:DXE82 DXE65541:DXE65618 DXE131077:DXE131154 DXE196613:DXE196690 DXE262149:DXE262226 DXE327685:DXE327762 DXE393221:DXE393298 DXE458757:DXE458834 DXE524293:DXE524370 DXE589829:DXE589906 DXE655365:DXE655442 DXE720901:DXE720978 DXE786437:DXE786514 DXE851973:DXE852050 DXE917509:DXE917586 DXE983045:DXE983122 EHA2:EHA82 EHA65541:EHA65618 EHA131077:EHA131154 EHA196613:EHA196690 EHA262149:EHA262226 EHA327685:EHA327762 EHA393221:EHA393298 EHA458757:EHA458834 EHA524293:EHA524370 EHA589829:EHA589906 EHA655365:EHA655442 EHA720901:EHA720978 EHA786437:EHA786514 EHA851973:EHA852050 EHA917509:EHA917586 EHA983045:EHA983122 EQW2:EQW82 EQW65541:EQW65618 EQW131077:EQW131154 EQW196613:EQW196690 EQW262149:EQW262226 EQW327685:EQW327762 EQW393221:EQW393298 EQW458757:EQW458834 EQW524293:EQW524370 EQW589829:EQW589906 EQW655365:EQW655442 EQW720901:EQW720978 EQW786437:EQW786514 EQW851973:EQW852050 EQW917509:EQW917586 EQW983045:EQW983122 FAS2:FAS82 FAS65541:FAS65618 FAS131077:FAS131154 FAS196613:FAS196690 FAS262149:FAS262226 FAS327685:FAS327762 FAS393221:FAS393298 FAS458757:FAS458834 FAS524293:FAS524370 FAS589829:FAS589906 FAS655365:FAS655442 FAS720901:FAS720978 FAS786437:FAS786514 FAS851973:FAS852050 FAS917509:FAS917586 FAS983045:FAS983122 FKO2:FKO82 FKO65541:FKO65618 FKO131077:FKO131154 FKO196613:FKO196690 FKO262149:FKO262226 FKO327685:FKO327762 FKO393221:FKO393298 FKO458757:FKO458834 FKO524293:FKO524370 FKO589829:FKO589906 FKO655365:FKO655442 FKO720901:FKO720978 FKO786437:FKO786514 FKO851973:FKO852050 FKO917509:FKO917586 FKO983045:FKO983122 FUK2:FUK82 FUK65541:FUK65618 FUK131077:FUK131154 FUK196613:FUK196690 FUK262149:FUK262226 FUK327685:FUK327762 FUK393221:FUK393298 FUK458757:FUK458834 FUK524293:FUK524370 FUK589829:FUK589906 FUK655365:FUK655442 FUK720901:FUK720978 FUK786437:FUK786514 FUK851973:FUK852050 FUK917509:FUK917586 FUK983045:FUK983122 GEG2:GEG82 GEG65541:GEG65618 GEG131077:GEG131154 GEG196613:GEG196690 GEG262149:GEG262226 GEG327685:GEG327762 GEG393221:GEG393298 GEG458757:GEG458834 GEG524293:GEG524370 GEG589829:GEG589906 GEG655365:GEG655442 GEG720901:GEG720978 GEG786437:GEG786514 GEG851973:GEG852050 GEG917509:GEG917586 GEG983045:GEG983122 GOC2:GOC82 GOC65541:GOC65618 GOC131077:GOC131154 GOC196613:GOC196690 GOC262149:GOC262226 GOC327685:GOC327762 GOC393221:GOC393298 GOC458757:GOC458834 GOC524293:GOC524370 GOC589829:GOC589906 GOC655365:GOC655442 GOC720901:GOC720978 GOC786437:GOC786514 GOC851973:GOC852050 GOC917509:GOC917586 GOC983045:GOC983122 GXY2:GXY82 GXY65541:GXY65618 GXY131077:GXY131154 GXY196613:GXY196690 GXY262149:GXY262226 GXY327685:GXY327762 GXY393221:GXY393298 GXY458757:GXY458834 GXY524293:GXY524370 GXY589829:GXY589906 GXY655365:GXY655442 GXY720901:GXY720978 GXY786437:GXY786514 GXY851973:GXY852050 GXY917509:GXY917586 GXY983045:GXY983122 HHU2:HHU82 HHU65541:HHU65618 HHU131077:HHU131154 HHU196613:HHU196690 HHU262149:HHU262226 HHU327685:HHU327762 HHU393221:HHU393298 HHU458757:HHU458834 HHU524293:HHU524370 HHU589829:HHU589906 HHU655365:HHU655442 HHU720901:HHU720978 HHU786437:HHU786514 HHU851973:HHU852050 HHU917509:HHU917586 HHU983045:HHU983122 HRQ2:HRQ82 HRQ65541:HRQ65618 HRQ131077:HRQ131154 HRQ196613:HRQ196690 HRQ262149:HRQ262226 HRQ327685:HRQ327762 HRQ393221:HRQ393298 HRQ458757:HRQ458834 HRQ524293:HRQ524370 HRQ589829:HRQ589906 HRQ655365:HRQ655442 HRQ720901:HRQ720978 HRQ786437:HRQ786514 HRQ851973:HRQ852050 HRQ917509:HRQ917586 HRQ983045:HRQ983122 IBM2:IBM82 IBM65541:IBM65618 IBM131077:IBM131154 IBM196613:IBM196690 IBM262149:IBM262226 IBM327685:IBM327762 IBM393221:IBM393298 IBM458757:IBM458834 IBM524293:IBM524370 IBM589829:IBM589906 IBM655365:IBM655442 IBM720901:IBM720978 IBM786437:IBM786514 IBM851973:IBM852050 IBM917509:IBM917586 IBM983045:IBM983122 ILI2:ILI82 ILI65541:ILI65618 ILI131077:ILI131154 ILI196613:ILI196690 ILI262149:ILI262226 ILI327685:ILI327762 ILI393221:ILI393298 ILI458757:ILI458834 ILI524293:ILI524370 ILI589829:ILI589906 ILI655365:ILI655442 ILI720901:ILI720978 ILI786437:ILI786514 ILI851973:ILI852050 ILI917509:ILI917586 ILI983045:ILI983122 IVE2:IVE82 IVE65541:IVE65618 IVE131077:IVE131154 IVE196613:IVE196690 IVE262149:IVE262226 IVE327685:IVE327762 IVE393221:IVE393298 IVE458757:IVE458834 IVE524293:IVE524370 IVE589829:IVE589906 IVE655365:IVE655442 IVE720901:IVE720978 IVE786437:IVE786514 IVE851973:IVE852050 IVE917509:IVE917586 IVE983045:IVE983122 JFA2:JFA82 JFA65541:JFA65618 JFA131077:JFA131154 JFA196613:JFA196690 JFA262149:JFA262226 JFA327685:JFA327762 JFA393221:JFA393298 JFA458757:JFA458834 JFA524293:JFA524370 JFA589829:JFA589906 JFA655365:JFA655442 JFA720901:JFA720978 JFA786437:JFA786514 JFA851973:JFA852050 JFA917509:JFA917586 JFA983045:JFA983122 JOW2:JOW82 JOW65541:JOW65618 JOW131077:JOW131154 JOW196613:JOW196690 JOW262149:JOW262226 JOW327685:JOW327762 JOW393221:JOW393298 JOW458757:JOW458834 JOW524293:JOW524370 JOW589829:JOW589906 JOW655365:JOW655442 JOW720901:JOW720978 JOW786437:JOW786514 JOW851973:JOW852050 JOW917509:JOW917586 JOW983045:JOW983122 JYS2:JYS82 JYS65541:JYS65618 JYS131077:JYS131154 JYS196613:JYS196690 JYS262149:JYS262226 JYS327685:JYS327762 JYS393221:JYS393298 JYS458757:JYS458834 JYS524293:JYS524370 JYS589829:JYS589906 JYS655365:JYS655442 JYS720901:JYS720978 JYS786437:JYS786514 JYS851973:JYS852050 JYS917509:JYS917586 JYS983045:JYS983122 KIO2:KIO82 KIO65541:KIO65618 KIO131077:KIO131154 KIO196613:KIO196690 KIO262149:KIO262226 KIO327685:KIO327762 KIO393221:KIO393298 KIO458757:KIO458834 KIO524293:KIO524370 KIO589829:KIO589906 KIO655365:KIO655442 KIO720901:KIO720978 KIO786437:KIO786514 KIO851973:KIO852050 KIO917509:KIO917586 KIO983045:KIO983122 KSK2:KSK82 KSK65541:KSK65618 KSK131077:KSK131154 KSK196613:KSK196690 KSK262149:KSK262226 KSK327685:KSK327762 KSK393221:KSK393298 KSK458757:KSK458834 KSK524293:KSK524370 KSK589829:KSK589906 KSK655365:KSK655442 KSK720901:KSK720978 KSK786437:KSK786514 KSK851973:KSK852050 KSK917509:KSK917586 KSK983045:KSK983122 LCG2:LCG82 LCG65541:LCG65618 LCG131077:LCG131154 LCG196613:LCG196690 LCG262149:LCG262226 LCG327685:LCG327762 LCG393221:LCG393298 LCG458757:LCG458834 LCG524293:LCG524370 LCG589829:LCG589906 LCG655365:LCG655442 LCG720901:LCG720978 LCG786437:LCG786514 LCG851973:LCG852050 LCG917509:LCG917586 LCG983045:LCG983122 LMC2:LMC82 LMC65541:LMC65618 LMC131077:LMC131154 LMC196613:LMC196690 LMC262149:LMC262226 LMC327685:LMC327762 LMC393221:LMC393298 LMC458757:LMC458834 LMC524293:LMC524370 LMC589829:LMC589906 LMC655365:LMC655442 LMC720901:LMC720978 LMC786437:LMC786514 LMC851973:LMC852050 LMC917509:LMC917586 LMC983045:LMC983122 LVY2:LVY82 LVY65541:LVY65618 LVY131077:LVY131154 LVY196613:LVY196690 LVY262149:LVY262226 LVY327685:LVY327762 LVY393221:LVY393298 LVY458757:LVY458834 LVY524293:LVY524370 LVY589829:LVY589906 LVY655365:LVY655442 LVY720901:LVY720978 LVY786437:LVY786514 LVY851973:LVY852050 LVY917509:LVY917586 LVY983045:LVY983122 MFU2:MFU82 MFU65541:MFU65618 MFU131077:MFU131154 MFU196613:MFU196690 MFU262149:MFU262226 MFU327685:MFU327762 MFU393221:MFU393298 MFU458757:MFU458834 MFU524293:MFU524370 MFU589829:MFU589906 MFU655365:MFU655442 MFU720901:MFU720978 MFU786437:MFU786514 MFU851973:MFU852050 MFU917509:MFU917586 MFU983045:MFU983122 MPQ2:MPQ82 MPQ65541:MPQ65618 MPQ131077:MPQ131154 MPQ196613:MPQ196690 MPQ262149:MPQ262226 MPQ327685:MPQ327762 MPQ393221:MPQ393298 MPQ458757:MPQ458834 MPQ524293:MPQ524370 MPQ589829:MPQ589906 MPQ655365:MPQ655442 MPQ720901:MPQ720978 MPQ786437:MPQ786514 MPQ851973:MPQ852050 MPQ917509:MPQ917586 MPQ983045:MPQ983122 MZM2:MZM82 MZM65541:MZM65618 MZM131077:MZM131154 MZM196613:MZM196690 MZM262149:MZM262226 MZM327685:MZM327762 MZM393221:MZM393298 MZM458757:MZM458834 MZM524293:MZM524370 MZM589829:MZM589906 MZM655365:MZM655442 MZM720901:MZM720978 MZM786437:MZM786514 MZM851973:MZM852050 MZM917509:MZM917586 MZM983045:MZM983122 NJI2:NJI82 NJI65541:NJI65618 NJI131077:NJI131154 NJI196613:NJI196690 NJI262149:NJI262226 NJI327685:NJI327762 NJI393221:NJI393298 NJI458757:NJI458834 NJI524293:NJI524370 NJI589829:NJI589906 NJI655365:NJI655442 NJI720901:NJI720978 NJI786437:NJI786514 NJI851973:NJI852050 NJI917509:NJI917586 NJI983045:NJI983122 NTE2:NTE82 NTE65541:NTE65618 NTE131077:NTE131154 NTE196613:NTE196690 NTE262149:NTE262226 NTE327685:NTE327762 NTE393221:NTE393298 NTE458757:NTE458834 NTE524293:NTE524370 NTE589829:NTE589906 NTE655365:NTE655442 NTE720901:NTE720978 NTE786437:NTE786514 NTE851973:NTE852050 NTE917509:NTE917586 NTE983045:NTE983122 ODA2:ODA82 ODA65541:ODA65618 ODA131077:ODA131154 ODA196613:ODA196690 ODA262149:ODA262226 ODA327685:ODA327762 ODA393221:ODA393298 ODA458757:ODA458834 ODA524293:ODA524370 ODA589829:ODA589906 ODA655365:ODA655442 ODA720901:ODA720978 ODA786437:ODA786514 ODA851973:ODA852050 ODA917509:ODA917586 ODA983045:ODA983122 OMW2:OMW82 OMW65541:OMW65618 OMW131077:OMW131154 OMW196613:OMW196690 OMW262149:OMW262226 OMW327685:OMW327762 OMW393221:OMW393298 OMW458757:OMW458834 OMW524293:OMW524370 OMW589829:OMW589906 OMW655365:OMW655442 OMW720901:OMW720978 OMW786437:OMW786514 OMW851973:OMW852050 OMW917509:OMW917586 OMW983045:OMW983122 OWS2:OWS82 OWS65541:OWS65618 OWS131077:OWS131154 OWS196613:OWS196690 OWS262149:OWS262226 OWS327685:OWS327762 OWS393221:OWS393298 OWS458757:OWS458834 OWS524293:OWS524370 OWS589829:OWS589906 OWS655365:OWS655442 OWS720901:OWS720978 OWS786437:OWS786514 OWS851973:OWS852050 OWS917509:OWS917586 OWS983045:OWS983122 PGO2:PGO82 PGO65541:PGO65618 PGO131077:PGO131154 PGO196613:PGO196690 PGO262149:PGO262226 PGO327685:PGO327762 PGO393221:PGO393298 PGO458757:PGO458834 PGO524293:PGO524370 PGO589829:PGO589906 PGO655365:PGO655442 PGO720901:PGO720978 PGO786437:PGO786514 PGO851973:PGO852050 PGO917509:PGO917586 PGO983045:PGO983122 PQK2:PQK82 PQK65541:PQK65618 PQK131077:PQK131154 PQK196613:PQK196690 PQK262149:PQK262226 PQK327685:PQK327762 PQK393221:PQK393298 PQK458757:PQK458834 PQK524293:PQK524370 PQK589829:PQK589906 PQK655365:PQK655442 PQK720901:PQK720978 PQK786437:PQK786514 PQK851973:PQK852050 PQK917509:PQK917586 PQK983045:PQK983122 QAG2:QAG82 QAG65541:QAG65618 QAG131077:QAG131154 QAG196613:QAG196690 QAG262149:QAG262226 QAG327685:QAG327762 QAG393221:QAG393298 QAG458757:QAG458834 QAG524293:QAG524370 QAG589829:QAG589906 QAG655365:QAG655442 QAG720901:QAG720978 QAG786437:QAG786514 QAG851973:QAG852050 QAG917509:QAG917586 QAG983045:QAG983122 QKC2:QKC82 QKC65541:QKC65618 QKC131077:QKC131154 QKC196613:QKC196690 QKC262149:QKC262226 QKC327685:QKC327762 QKC393221:QKC393298 QKC458757:QKC458834 QKC524293:QKC524370 QKC589829:QKC589906 QKC655365:QKC655442 QKC720901:QKC720978 QKC786437:QKC786514 QKC851973:QKC852050 QKC917509:QKC917586 QKC983045:QKC983122 QTY2:QTY82 QTY65541:QTY65618 QTY131077:QTY131154 QTY196613:QTY196690 QTY262149:QTY262226 QTY327685:QTY327762 QTY393221:QTY393298 QTY458757:QTY458834 QTY524293:QTY524370 QTY589829:QTY589906 QTY655365:QTY655442 QTY720901:QTY720978 QTY786437:QTY786514 QTY851973:QTY852050 QTY917509:QTY917586 QTY983045:QTY983122 RDU2:RDU82 RDU65541:RDU65618 RDU131077:RDU131154 RDU196613:RDU196690 RDU262149:RDU262226 RDU327685:RDU327762 RDU393221:RDU393298 RDU458757:RDU458834 RDU524293:RDU524370 RDU589829:RDU589906 RDU655365:RDU655442 RDU720901:RDU720978 RDU786437:RDU786514 RDU851973:RDU852050 RDU917509:RDU917586 RDU983045:RDU983122 RNQ2:RNQ82 RNQ65541:RNQ65618 RNQ131077:RNQ131154 RNQ196613:RNQ196690 RNQ262149:RNQ262226 RNQ327685:RNQ327762 RNQ393221:RNQ393298 RNQ458757:RNQ458834 RNQ524293:RNQ524370 RNQ589829:RNQ589906 RNQ655365:RNQ655442 RNQ720901:RNQ720978 RNQ786437:RNQ786514 RNQ851973:RNQ852050 RNQ917509:RNQ917586 RNQ983045:RNQ983122 RXM2:RXM82 RXM65541:RXM65618 RXM131077:RXM131154 RXM196613:RXM196690 RXM262149:RXM262226 RXM327685:RXM327762 RXM393221:RXM393298 RXM458757:RXM458834 RXM524293:RXM524370 RXM589829:RXM589906 RXM655365:RXM655442 RXM720901:RXM720978 RXM786437:RXM786514 RXM851973:RXM852050 RXM917509:RXM917586 RXM983045:RXM983122 SHI2:SHI82 SHI65541:SHI65618 SHI131077:SHI131154 SHI196613:SHI196690 SHI262149:SHI262226 SHI327685:SHI327762 SHI393221:SHI393298 SHI458757:SHI458834 SHI524293:SHI524370 SHI589829:SHI589906 SHI655365:SHI655442 SHI720901:SHI720978 SHI786437:SHI786514 SHI851973:SHI852050 SHI917509:SHI917586 SHI983045:SHI983122 SRE2:SRE82 SRE65541:SRE65618 SRE131077:SRE131154 SRE196613:SRE196690 SRE262149:SRE262226 SRE327685:SRE327762 SRE393221:SRE393298 SRE458757:SRE458834 SRE524293:SRE524370 SRE589829:SRE589906 SRE655365:SRE655442 SRE720901:SRE720978 SRE786437:SRE786514 SRE851973:SRE852050 SRE917509:SRE917586 SRE983045:SRE983122 TBA2:TBA82 TBA65541:TBA65618 TBA131077:TBA131154 TBA196613:TBA196690 TBA262149:TBA262226 TBA327685:TBA327762 TBA393221:TBA393298 TBA458757:TBA458834 TBA524293:TBA524370 TBA589829:TBA589906 TBA655365:TBA655442 TBA720901:TBA720978 TBA786437:TBA786514 TBA851973:TBA852050 TBA917509:TBA917586 TBA983045:TBA983122 TKW2:TKW82 TKW65541:TKW65618 TKW131077:TKW131154 TKW196613:TKW196690 TKW262149:TKW262226 TKW327685:TKW327762 TKW393221:TKW393298 TKW458757:TKW458834 TKW524293:TKW524370 TKW589829:TKW589906 TKW655365:TKW655442 TKW720901:TKW720978 TKW786437:TKW786514 TKW851973:TKW852050 TKW917509:TKW917586 TKW983045:TKW983122 TUS2:TUS82 TUS65541:TUS65618 TUS131077:TUS131154 TUS196613:TUS196690 TUS262149:TUS262226 TUS327685:TUS327762 TUS393221:TUS393298 TUS458757:TUS458834 TUS524293:TUS524370 TUS589829:TUS589906 TUS655365:TUS655442 TUS720901:TUS720978 TUS786437:TUS786514 TUS851973:TUS852050 TUS917509:TUS917586 TUS983045:TUS983122 UEO2:UEO82 UEO65541:UEO65618 UEO131077:UEO131154 UEO196613:UEO196690 UEO262149:UEO262226 UEO327685:UEO327762 UEO393221:UEO393298 UEO458757:UEO458834 UEO524293:UEO524370 UEO589829:UEO589906 UEO655365:UEO655442 UEO720901:UEO720978 UEO786437:UEO786514 UEO851973:UEO852050 UEO917509:UEO917586 UEO983045:UEO983122 UOK2:UOK82 UOK65541:UOK65618 UOK131077:UOK131154 UOK196613:UOK196690 UOK262149:UOK262226 UOK327685:UOK327762 UOK393221:UOK393298 UOK458757:UOK458834 UOK524293:UOK524370 UOK589829:UOK589906 UOK655365:UOK655442 UOK720901:UOK720978 UOK786437:UOK786514 UOK851973:UOK852050 UOK917509:UOK917586 UOK983045:UOK983122 UYG2:UYG82 UYG65541:UYG65618 UYG131077:UYG131154 UYG196613:UYG196690 UYG262149:UYG262226 UYG327685:UYG327762 UYG393221:UYG393298 UYG458757:UYG458834 UYG524293:UYG524370 UYG589829:UYG589906 UYG655365:UYG655442 UYG720901:UYG720978 UYG786437:UYG786514 UYG851973:UYG852050 UYG917509:UYG917586 UYG983045:UYG983122 VIC2:VIC82 VIC65541:VIC65618 VIC131077:VIC131154 VIC196613:VIC196690 VIC262149:VIC262226 VIC327685:VIC327762 VIC393221:VIC393298 VIC458757:VIC458834 VIC524293:VIC524370 VIC589829:VIC589906 VIC655365:VIC655442 VIC720901:VIC720978 VIC786437:VIC786514 VIC851973:VIC852050 VIC917509:VIC917586 VIC983045:VIC983122 VRY2:VRY82 VRY65541:VRY65618 VRY131077:VRY131154 VRY196613:VRY196690 VRY262149:VRY262226 VRY327685:VRY327762 VRY393221:VRY393298 VRY458757:VRY458834 VRY524293:VRY524370 VRY589829:VRY589906 VRY655365:VRY655442 VRY720901:VRY720978 VRY786437:VRY786514 VRY851973:VRY852050 VRY917509:VRY917586 VRY983045:VRY983122 WBU2:WBU82 WBU65541:WBU65618 WBU131077:WBU131154 WBU196613:WBU196690 WBU262149:WBU262226 WBU327685:WBU327762 WBU393221:WBU393298 WBU458757:WBU458834 WBU524293:WBU524370 WBU589829:WBU589906 WBU655365:WBU655442 WBU720901:WBU720978 WBU786437:WBU786514 WBU851973:WBU852050 WBU917509:WBU917586 WBU983045:WBU983122 WLQ2:WLQ82 WLQ65541:WLQ65618 WLQ131077:WLQ131154 WLQ196613:WLQ196690 WLQ262149:WLQ262226 WLQ327685:WLQ327762 WLQ393221:WLQ393298 WLQ458757:WLQ458834 WLQ524293:WLQ524370 WLQ589829:WLQ589906 WLQ655365:WLQ655442 WLQ720901:WLQ720978 WLQ786437:WLQ786514 WLQ851973:WLQ852050 WLQ917509:WLQ917586 WLQ983045:WLQ983122 WVM2:WVM82 WVM65541:WVM65618 WVM131077:WVM131154 WVM196613:WVM196690 WVM262149:WVM262226 WVM327685:WVM327762 WVM393221:WVM393298 WVM458757:WVM458834 WVM524293:WVM524370 WVM589829:WVM589906 WVM655365:WVM655442 WVM720901:WVM720978 WVM786437:WVM786514 WVM851973:WVM852050 WVM917509:WVM917586 WVM983045:WVM983122">
      <formula1>$AG$2:$AG$11</formula1>
    </dataValidation>
    <dataValidation type="list" allowBlank="1" showInputMessage="1" showErrorMessage="1" sqref="A2:A503 A65541:A65618 A131077:A131154 A196613:A196690 A262149:A262226 A327685:A327762 A393221:A393298 A458757:A458834 A524293:A524370 A589829:A589906 A655365:A655442 A720901:A720978 A786437:A786514 A851973:A852050 A917509:A917586 A983045:A983122 IW2:IW82 IW65541:IW65618 IW131077:IW131154 IW196613:IW196690 IW262149:IW262226 IW327685:IW327762 IW393221:IW393298 IW458757:IW458834 IW524293:IW524370 IW589829:IW589906 IW655365:IW655442 IW720901:IW720978 IW786437:IW786514 IW851973:IW852050 IW917509:IW917586 IW983045:IW983122 SS2:SS82 SS65541:SS65618 SS131077:SS131154 SS196613:SS196690 SS262149:SS262226 SS327685:SS327762 SS393221:SS393298 SS458757:SS458834 SS524293:SS524370 SS589829:SS589906 SS655365:SS655442 SS720901:SS720978 SS786437:SS786514 SS851973:SS852050 SS917509:SS917586 SS983045:SS983122 ACO2:ACO82 ACO65541:ACO65618 ACO131077:ACO131154 ACO196613:ACO196690 ACO262149:ACO262226 ACO327685:ACO327762 ACO393221:ACO393298 ACO458757:ACO458834 ACO524293:ACO524370 ACO589829:ACO589906 ACO655365:ACO655442 ACO720901:ACO720978 ACO786437:ACO786514 ACO851973:ACO852050 ACO917509:ACO917586 ACO983045:ACO983122 AMK2:AMK82 AMK65541:AMK65618 AMK131077:AMK131154 AMK196613:AMK196690 AMK262149:AMK262226 AMK327685:AMK327762 AMK393221:AMK393298 AMK458757:AMK458834 AMK524293:AMK524370 AMK589829:AMK589906 AMK655365:AMK655442 AMK720901:AMK720978 AMK786437:AMK786514 AMK851973:AMK852050 AMK917509:AMK917586 AMK983045:AMK983122 AWG2:AWG82 AWG65541:AWG65618 AWG131077:AWG131154 AWG196613:AWG196690 AWG262149:AWG262226 AWG327685:AWG327762 AWG393221:AWG393298 AWG458757:AWG458834 AWG524293:AWG524370 AWG589829:AWG589906 AWG655365:AWG655442 AWG720901:AWG720978 AWG786437:AWG786514 AWG851973:AWG852050 AWG917509:AWG917586 AWG983045:AWG983122 BGC2:BGC82 BGC65541:BGC65618 BGC131077:BGC131154 BGC196613:BGC196690 BGC262149:BGC262226 BGC327685:BGC327762 BGC393221:BGC393298 BGC458757:BGC458834 BGC524293:BGC524370 BGC589829:BGC589906 BGC655365:BGC655442 BGC720901:BGC720978 BGC786437:BGC786514 BGC851973:BGC852050 BGC917509:BGC917586 BGC983045:BGC983122 BPY2:BPY82 BPY65541:BPY65618 BPY131077:BPY131154 BPY196613:BPY196690 BPY262149:BPY262226 BPY327685:BPY327762 BPY393221:BPY393298 BPY458757:BPY458834 BPY524293:BPY524370 BPY589829:BPY589906 BPY655365:BPY655442 BPY720901:BPY720978 BPY786437:BPY786514 BPY851973:BPY852050 BPY917509:BPY917586 BPY983045:BPY983122 BZU2:BZU82 BZU65541:BZU65618 BZU131077:BZU131154 BZU196613:BZU196690 BZU262149:BZU262226 BZU327685:BZU327762 BZU393221:BZU393298 BZU458757:BZU458834 BZU524293:BZU524370 BZU589829:BZU589906 BZU655365:BZU655442 BZU720901:BZU720978 BZU786437:BZU786514 BZU851973:BZU852050 BZU917509:BZU917586 BZU983045:BZU983122 CJQ2:CJQ82 CJQ65541:CJQ65618 CJQ131077:CJQ131154 CJQ196613:CJQ196690 CJQ262149:CJQ262226 CJQ327685:CJQ327762 CJQ393221:CJQ393298 CJQ458757:CJQ458834 CJQ524293:CJQ524370 CJQ589829:CJQ589906 CJQ655365:CJQ655442 CJQ720901:CJQ720978 CJQ786437:CJQ786514 CJQ851973:CJQ852050 CJQ917509:CJQ917586 CJQ983045:CJQ983122 CTM2:CTM82 CTM65541:CTM65618 CTM131077:CTM131154 CTM196613:CTM196690 CTM262149:CTM262226 CTM327685:CTM327762 CTM393221:CTM393298 CTM458757:CTM458834 CTM524293:CTM524370 CTM589829:CTM589906 CTM655365:CTM655442 CTM720901:CTM720978 CTM786437:CTM786514 CTM851973:CTM852050 CTM917509:CTM917586 CTM983045:CTM983122 DDI2:DDI82 DDI65541:DDI65618 DDI131077:DDI131154 DDI196613:DDI196690 DDI262149:DDI262226 DDI327685:DDI327762 DDI393221:DDI393298 DDI458757:DDI458834 DDI524293:DDI524370 DDI589829:DDI589906 DDI655365:DDI655442 DDI720901:DDI720978 DDI786437:DDI786514 DDI851973:DDI852050 DDI917509:DDI917586 DDI983045:DDI983122 DNE2:DNE82 DNE65541:DNE65618 DNE131077:DNE131154 DNE196613:DNE196690 DNE262149:DNE262226 DNE327685:DNE327762 DNE393221:DNE393298 DNE458757:DNE458834 DNE524293:DNE524370 DNE589829:DNE589906 DNE655365:DNE655442 DNE720901:DNE720978 DNE786437:DNE786514 DNE851973:DNE852050 DNE917509:DNE917586 DNE983045:DNE983122 DXA2:DXA82 DXA65541:DXA65618 DXA131077:DXA131154 DXA196613:DXA196690 DXA262149:DXA262226 DXA327685:DXA327762 DXA393221:DXA393298 DXA458757:DXA458834 DXA524293:DXA524370 DXA589829:DXA589906 DXA655365:DXA655442 DXA720901:DXA720978 DXA786437:DXA786514 DXA851973:DXA852050 DXA917509:DXA917586 DXA983045:DXA983122 EGW2:EGW82 EGW65541:EGW65618 EGW131077:EGW131154 EGW196613:EGW196690 EGW262149:EGW262226 EGW327685:EGW327762 EGW393221:EGW393298 EGW458757:EGW458834 EGW524293:EGW524370 EGW589829:EGW589906 EGW655365:EGW655442 EGW720901:EGW720978 EGW786437:EGW786514 EGW851973:EGW852050 EGW917509:EGW917586 EGW983045:EGW983122 EQS2:EQS82 EQS65541:EQS65618 EQS131077:EQS131154 EQS196613:EQS196690 EQS262149:EQS262226 EQS327685:EQS327762 EQS393221:EQS393298 EQS458757:EQS458834 EQS524293:EQS524370 EQS589829:EQS589906 EQS655365:EQS655442 EQS720901:EQS720978 EQS786437:EQS786514 EQS851973:EQS852050 EQS917509:EQS917586 EQS983045:EQS983122 FAO2:FAO82 FAO65541:FAO65618 FAO131077:FAO131154 FAO196613:FAO196690 FAO262149:FAO262226 FAO327685:FAO327762 FAO393221:FAO393298 FAO458757:FAO458834 FAO524293:FAO524370 FAO589829:FAO589906 FAO655365:FAO655442 FAO720901:FAO720978 FAO786437:FAO786514 FAO851973:FAO852050 FAO917509:FAO917586 FAO983045:FAO983122 FKK2:FKK82 FKK65541:FKK65618 FKK131077:FKK131154 FKK196613:FKK196690 FKK262149:FKK262226 FKK327685:FKK327762 FKK393221:FKK393298 FKK458757:FKK458834 FKK524293:FKK524370 FKK589829:FKK589906 FKK655365:FKK655442 FKK720901:FKK720978 FKK786437:FKK786514 FKK851973:FKK852050 FKK917509:FKK917586 FKK983045:FKK983122 FUG2:FUG82 FUG65541:FUG65618 FUG131077:FUG131154 FUG196613:FUG196690 FUG262149:FUG262226 FUG327685:FUG327762 FUG393221:FUG393298 FUG458757:FUG458834 FUG524293:FUG524370 FUG589829:FUG589906 FUG655365:FUG655442 FUG720901:FUG720978 FUG786437:FUG786514 FUG851973:FUG852050 FUG917509:FUG917586 FUG983045:FUG983122 GEC2:GEC82 GEC65541:GEC65618 GEC131077:GEC131154 GEC196613:GEC196690 GEC262149:GEC262226 GEC327685:GEC327762 GEC393221:GEC393298 GEC458757:GEC458834 GEC524293:GEC524370 GEC589829:GEC589906 GEC655365:GEC655442 GEC720901:GEC720978 GEC786437:GEC786514 GEC851973:GEC852050 GEC917509:GEC917586 GEC983045:GEC983122 GNY2:GNY82 GNY65541:GNY65618 GNY131077:GNY131154 GNY196613:GNY196690 GNY262149:GNY262226 GNY327685:GNY327762 GNY393221:GNY393298 GNY458757:GNY458834 GNY524293:GNY524370 GNY589829:GNY589906 GNY655365:GNY655442 GNY720901:GNY720978 GNY786437:GNY786514 GNY851973:GNY852050 GNY917509:GNY917586 GNY983045:GNY983122 GXU2:GXU82 GXU65541:GXU65618 GXU131077:GXU131154 GXU196613:GXU196690 GXU262149:GXU262226 GXU327685:GXU327762 GXU393221:GXU393298 GXU458757:GXU458834 GXU524293:GXU524370 GXU589829:GXU589906 GXU655365:GXU655442 GXU720901:GXU720978 GXU786437:GXU786514 GXU851973:GXU852050 GXU917509:GXU917586 GXU983045:GXU983122 HHQ2:HHQ82 HHQ65541:HHQ65618 HHQ131077:HHQ131154 HHQ196613:HHQ196690 HHQ262149:HHQ262226 HHQ327685:HHQ327762 HHQ393221:HHQ393298 HHQ458757:HHQ458834 HHQ524293:HHQ524370 HHQ589829:HHQ589906 HHQ655365:HHQ655442 HHQ720901:HHQ720978 HHQ786437:HHQ786514 HHQ851973:HHQ852050 HHQ917509:HHQ917586 HHQ983045:HHQ983122 HRM2:HRM82 HRM65541:HRM65618 HRM131077:HRM131154 HRM196613:HRM196690 HRM262149:HRM262226 HRM327685:HRM327762 HRM393221:HRM393298 HRM458757:HRM458834 HRM524293:HRM524370 HRM589829:HRM589906 HRM655365:HRM655442 HRM720901:HRM720978 HRM786437:HRM786514 HRM851973:HRM852050 HRM917509:HRM917586 HRM983045:HRM983122 IBI2:IBI82 IBI65541:IBI65618 IBI131077:IBI131154 IBI196613:IBI196690 IBI262149:IBI262226 IBI327685:IBI327762 IBI393221:IBI393298 IBI458757:IBI458834 IBI524293:IBI524370 IBI589829:IBI589906 IBI655365:IBI655442 IBI720901:IBI720978 IBI786437:IBI786514 IBI851973:IBI852050 IBI917509:IBI917586 IBI983045:IBI983122 ILE2:ILE82 ILE65541:ILE65618 ILE131077:ILE131154 ILE196613:ILE196690 ILE262149:ILE262226 ILE327685:ILE327762 ILE393221:ILE393298 ILE458757:ILE458834 ILE524293:ILE524370 ILE589829:ILE589906 ILE655365:ILE655442 ILE720901:ILE720978 ILE786437:ILE786514 ILE851973:ILE852050 ILE917509:ILE917586 ILE983045:ILE983122 IVA2:IVA82 IVA65541:IVA65618 IVA131077:IVA131154 IVA196613:IVA196690 IVA262149:IVA262226 IVA327685:IVA327762 IVA393221:IVA393298 IVA458757:IVA458834 IVA524293:IVA524370 IVA589829:IVA589906 IVA655365:IVA655442 IVA720901:IVA720978 IVA786437:IVA786514 IVA851973:IVA852050 IVA917509:IVA917586 IVA983045:IVA983122 JEW2:JEW82 JEW65541:JEW65618 JEW131077:JEW131154 JEW196613:JEW196690 JEW262149:JEW262226 JEW327685:JEW327762 JEW393221:JEW393298 JEW458757:JEW458834 JEW524293:JEW524370 JEW589829:JEW589906 JEW655365:JEW655442 JEW720901:JEW720978 JEW786437:JEW786514 JEW851973:JEW852050 JEW917509:JEW917586 JEW983045:JEW983122 JOS2:JOS82 JOS65541:JOS65618 JOS131077:JOS131154 JOS196613:JOS196690 JOS262149:JOS262226 JOS327685:JOS327762 JOS393221:JOS393298 JOS458757:JOS458834 JOS524293:JOS524370 JOS589829:JOS589906 JOS655365:JOS655442 JOS720901:JOS720978 JOS786437:JOS786514 JOS851973:JOS852050 JOS917509:JOS917586 JOS983045:JOS983122 JYO2:JYO82 JYO65541:JYO65618 JYO131077:JYO131154 JYO196613:JYO196690 JYO262149:JYO262226 JYO327685:JYO327762 JYO393221:JYO393298 JYO458757:JYO458834 JYO524293:JYO524370 JYO589829:JYO589906 JYO655365:JYO655442 JYO720901:JYO720978 JYO786437:JYO786514 JYO851973:JYO852050 JYO917509:JYO917586 JYO983045:JYO983122 KIK2:KIK82 KIK65541:KIK65618 KIK131077:KIK131154 KIK196613:KIK196690 KIK262149:KIK262226 KIK327685:KIK327762 KIK393221:KIK393298 KIK458757:KIK458834 KIK524293:KIK524370 KIK589829:KIK589906 KIK655365:KIK655442 KIK720901:KIK720978 KIK786437:KIK786514 KIK851973:KIK852050 KIK917509:KIK917586 KIK983045:KIK983122 KSG2:KSG82 KSG65541:KSG65618 KSG131077:KSG131154 KSG196613:KSG196690 KSG262149:KSG262226 KSG327685:KSG327762 KSG393221:KSG393298 KSG458757:KSG458834 KSG524293:KSG524370 KSG589829:KSG589906 KSG655365:KSG655442 KSG720901:KSG720978 KSG786437:KSG786514 KSG851973:KSG852050 KSG917509:KSG917586 KSG983045:KSG983122 LCC2:LCC82 LCC65541:LCC65618 LCC131077:LCC131154 LCC196613:LCC196690 LCC262149:LCC262226 LCC327685:LCC327762 LCC393221:LCC393298 LCC458757:LCC458834 LCC524293:LCC524370 LCC589829:LCC589906 LCC655365:LCC655442 LCC720901:LCC720978 LCC786437:LCC786514 LCC851973:LCC852050 LCC917509:LCC917586 LCC983045:LCC983122 LLY2:LLY82 LLY65541:LLY65618 LLY131077:LLY131154 LLY196613:LLY196690 LLY262149:LLY262226 LLY327685:LLY327762 LLY393221:LLY393298 LLY458757:LLY458834 LLY524293:LLY524370 LLY589829:LLY589906 LLY655365:LLY655442 LLY720901:LLY720978 LLY786437:LLY786514 LLY851973:LLY852050 LLY917509:LLY917586 LLY983045:LLY983122 LVU2:LVU82 LVU65541:LVU65618 LVU131077:LVU131154 LVU196613:LVU196690 LVU262149:LVU262226 LVU327685:LVU327762 LVU393221:LVU393298 LVU458757:LVU458834 LVU524293:LVU524370 LVU589829:LVU589906 LVU655365:LVU655442 LVU720901:LVU720978 LVU786437:LVU786514 LVU851973:LVU852050 LVU917509:LVU917586 LVU983045:LVU983122 MFQ2:MFQ82 MFQ65541:MFQ65618 MFQ131077:MFQ131154 MFQ196613:MFQ196690 MFQ262149:MFQ262226 MFQ327685:MFQ327762 MFQ393221:MFQ393298 MFQ458757:MFQ458834 MFQ524293:MFQ524370 MFQ589829:MFQ589906 MFQ655365:MFQ655442 MFQ720901:MFQ720978 MFQ786437:MFQ786514 MFQ851973:MFQ852050 MFQ917509:MFQ917586 MFQ983045:MFQ983122 MPM2:MPM82 MPM65541:MPM65618 MPM131077:MPM131154 MPM196613:MPM196690 MPM262149:MPM262226 MPM327685:MPM327762 MPM393221:MPM393298 MPM458757:MPM458834 MPM524293:MPM524370 MPM589829:MPM589906 MPM655365:MPM655442 MPM720901:MPM720978 MPM786437:MPM786514 MPM851973:MPM852050 MPM917509:MPM917586 MPM983045:MPM983122 MZI2:MZI82 MZI65541:MZI65618 MZI131077:MZI131154 MZI196613:MZI196690 MZI262149:MZI262226 MZI327685:MZI327762 MZI393221:MZI393298 MZI458757:MZI458834 MZI524293:MZI524370 MZI589829:MZI589906 MZI655365:MZI655442 MZI720901:MZI720978 MZI786437:MZI786514 MZI851973:MZI852050 MZI917509:MZI917586 MZI983045:MZI983122 NJE2:NJE82 NJE65541:NJE65618 NJE131077:NJE131154 NJE196613:NJE196690 NJE262149:NJE262226 NJE327685:NJE327762 NJE393221:NJE393298 NJE458757:NJE458834 NJE524293:NJE524370 NJE589829:NJE589906 NJE655365:NJE655442 NJE720901:NJE720978 NJE786437:NJE786514 NJE851973:NJE852050 NJE917509:NJE917586 NJE983045:NJE983122 NTA2:NTA82 NTA65541:NTA65618 NTA131077:NTA131154 NTA196613:NTA196690 NTA262149:NTA262226 NTA327685:NTA327762 NTA393221:NTA393298 NTA458757:NTA458834 NTA524293:NTA524370 NTA589829:NTA589906 NTA655365:NTA655442 NTA720901:NTA720978 NTA786437:NTA786514 NTA851973:NTA852050 NTA917509:NTA917586 NTA983045:NTA983122 OCW2:OCW82 OCW65541:OCW65618 OCW131077:OCW131154 OCW196613:OCW196690 OCW262149:OCW262226 OCW327685:OCW327762 OCW393221:OCW393298 OCW458757:OCW458834 OCW524293:OCW524370 OCW589829:OCW589906 OCW655365:OCW655442 OCW720901:OCW720978 OCW786437:OCW786514 OCW851973:OCW852050 OCW917509:OCW917586 OCW983045:OCW983122 OMS2:OMS82 OMS65541:OMS65618 OMS131077:OMS131154 OMS196613:OMS196690 OMS262149:OMS262226 OMS327685:OMS327762 OMS393221:OMS393298 OMS458757:OMS458834 OMS524293:OMS524370 OMS589829:OMS589906 OMS655365:OMS655442 OMS720901:OMS720978 OMS786437:OMS786514 OMS851973:OMS852050 OMS917509:OMS917586 OMS983045:OMS983122 OWO2:OWO82 OWO65541:OWO65618 OWO131077:OWO131154 OWO196613:OWO196690 OWO262149:OWO262226 OWO327685:OWO327762 OWO393221:OWO393298 OWO458757:OWO458834 OWO524293:OWO524370 OWO589829:OWO589906 OWO655365:OWO655442 OWO720901:OWO720978 OWO786437:OWO786514 OWO851973:OWO852050 OWO917509:OWO917586 OWO983045:OWO983122 PGK2:PGK82 PGK65541:PGK65618 PGK131077:PGK131154 PGK196613:PGK196690 PGK262149:PGK262226 PGK327685:PGK327762 PGK393221:PGK393298 PGK458757:PGK458834 PGK524293:PGK524370 PGK589829:PGK589906 PGK655365:PGK655442 PGK720901:PGK720978 PGK786437:PGK786514 PGK851973:PGK852050 PGK917509:PGK917586 PGK983045:PGK983122 PQG2:PQG82 PQG65541:PQG65618 PQG131077:PQG131154 PQG196613:PQG196690 PQG262149:PQG262226 PQG327685:PQG327762 PQG393221:PQG393298 PQG458757:PQG458834 PQG524293:PQG524370 PQG589829:PQG589906 PQG655365:PQG655442 PQG720901:PQG720978 PQG786437:PQG786514 PQG851973:PQG852050 PQG917509:PQG917586 PQG983045:PQG983122 QAC2:QAC82 QAC65541:QAC65618 QAC131077:QAC131154 QAC196613:QAC196690 QAC262149:QAC262226 QAC327685:QAC327762 QAC393221:QAC393298 QAC458757:QAC458834 QAC524293:QAC524370 QAC589829:QAC589906 QAC655365:QAC655442 QAC720901:QAC720978 QAC786437:QAC786514 QAC851973:QAC852050 QAC917509:QAC917586 QAC983045:QAC983122 QJY2:QJY82 QJY65541:QJY65618 QJY131077:QJY131154 QJY196613:QJY196690 QJY262149:QJY262226 QJY327685:QJY327762 QJY393221:QJY393298 QJY458757:QJY458834 QJY524293:QJY524370 QJY589829:QJY589906 QJY655365:QJY655442 QJY720901:QJY720978 QJY786437:QJY786514 QJY851973:QJY852050 QJY917509:QJY917586 QJY983045:QJY983122 QTU2:QTU82 QTU65541:QTU65618 QTU131077:QTU131154 QTU196613:QTU196690 QTU262149:QTU262226 QTU327685:QTU327762 QTU393221:QTU393298 QTU458757:QTU458834 QTU524293:QTU524370 QTU589829:QTU589906 QTU655365:QTU655442 QTU720901:QTU720978 QTU786437:QTU786514 QTU851973:QTU852050 QTU917509:QTU917586 QTU983045:QTU983122 RDQ2:RDQ82 RDQ65541:RDQ65618 RDQ131077:RDQ131154 RDQ196613:RDQ196690 RDQ262149:RDQ262226 RDQ327685:RDQ327762 RDQ393221:RDQ393298 RDQ458757:RDQ458834 RDQ524293:RDQ524370 RDQ589829:RDQ589906 RDQ655365:RDQ655442 RDQ720901:RDQ720978 RDQ786437:RDQ786514 RDQ851973:RDQ852050 RDQ917509:RDQ917586 RDQ983045:RDQ983122 RNM2:RNM82 RNM65541:RNM65618 RNM131077:RNM131154 RNM196613:RNM196690 RNM262149:RNM262226 RNM327685:RNM327762 RNM393221:RNM393298 RNM458757:RNM458834 RNM524293:RNM524370 RNM589829:RNM589906 RNM655365:RNM655442 RNM720901:RNM720978 RNM786437:RNM786514 RNM851973:RNM852050 RNM917509:RNM917586 RNM983045:RNM983122 RXI2:RXI82 RXI65541:RXI65618 RXI131077:RXI131154 RXI196613:RXI196690 RXI262149:RXI262226 RXI327685:RXI327762 RXI393221:RXI393298 RXI458757:RXI458834 RXI524293:RXI524370 RXI589829:RXI589906 RXI655365:RXI655442 RXI720901:RXI720978 RXI786437:RXI786514 RXI851973:RXI852050 RXI917509:RXI917586 RXI983045:RXI983122 SHE2:SHE82 SHE65541:SHE65618 SHE131077:SHE131154 SHE196613:SHE196690 SHE262149:SHE262226 SHE327685:SHE327762 SHE393221:SHE393298 SHE458757:SHE458834 SHE524293:SHE524370 SHE589829:SHE589906 SHE655365:SHE655442 SHE720901:SHE720978 SHE786437:SHE786514 SHE851973:SHE852050 SHE917509:SHE917586 SHE983045:SHE983122 SRA2:SRA82 SRA65541:SRA65618 SRA131077:SRA131154 SRA196613:SRA196690 SRA262149:SRA262226 SRA327685:SRA327762 SRA393221:SRA393298 SRA458757:SRA458834 SRA524293:SRA524370 SRA589829:SRA589906 SRA655365:SRA655442 SRA720901:SRA720978 SRA786437:SRA786514 SRA851973:SRA852050 SRA917509:SRA917586 SRA983045:SRA983122 TAW2:TAW82 TAW65541:TAW65618 TAW131077:TAW131154 TAW196613:TAW196690 TAW262149:TAW262226 TAW327685:TAW327762 TAW393221:TAW393298 TAW458757:TAW458834 TAW524293:TAW524370 TAW589829:TAW589906 TAW655365:TAW655442 TAW720901:TAW720978 TAW786437:TAW786514 TAW851973:TAW852050 TAW917509:TAW917586 TAW983045:TAW983122 TKS2:TKS82 TKS65541:TKS65618 TKS131077:TKS131154 TKS196613:TKS196690 TKS262149:TKS262226 TKS327685:TKS327762 TKS393221:TKS393298 TKS458757:TKS458834 TKS524293:TKS524370 TKS589829:TKS589906 TKS655365:TKS655442 TKS720901:TKS720978 TKS786437:TKS786514 TKS851973:TKS852050 TKS917509:TKS917586 TKS983045:TKS983122 TUO2:TUO82 TUO65541:TUO65618 TUO131077:TUO131154 TUO196613:TUO196690 TUO262149:TUO262226 TUO327685:TUO327762 TUO393221:TUO393298 TUO458757:TUO458834 TUO524293:TUO524370 TUO589829:TUO589906 TUO655365:TUO655442 TUO720901:TUO720978 TUO786437:TUO786514 TUO851973:TUO852050 TUO917509:TUO917586 TUO983045:TUO983122 UEK2:UEK82 UEK65541:UEK65618 UEK131077:UEK131154 UEK196613:UEK196690 UEK262149:UEK262226 UEK327685:UEK327762 UEK393221:UEK393298 UEK458757:UEK458834 UEK524293:UEK524370 UEK589829:UEK589906 UEK655365:UEK655442 UEK720901:UEK720978 UEK786437:UEK786514 UEK851973:UEK852050 UEK917509:UEK917586 UEK983045:UEK983122 UOG2:UOG82 UOG65541:UOG65618 UOG131077:UOG131154 UOG196613:UOG196690 UOG262149:UOG262226 UOG327685:UOG327762 UOG393221:UOG393298 UOG458757:UOG458834 UOG524293:UOG524370 UOG589829:UOG589906 UOG655365:UOG655442 UOG720901:UOG720978 UOG786437:UOG786514 UOG851973:UOG852050 UOG917509:UOG917586 UOG983045:UOG983122 UYC2:UYC82 UYC65541:UYC65618 UYC131077:UYC131154 UYC196613:UYC196690 UYC262149:UYC262226 UYC327685:UYC327762 UYC393221:UYC393298 UYC458757:UYC458834 UYC524293:UYC524370 UYC589829:UYC589906 UYC655365:UYC655442 UYC720901:UYC720978 UYC786437:UYC786514 UYC851973:UYC852050 UYC917509:UYC917586 UYC983045:UYC983122 VHY2:VHY82 VHY65541:VHY65618 VHY131077:VHY131154 VHY196613:VHY196690 VHY262149:VHY262226 VHY327685:VHY327762 VHY393221:VHY393298 VHY458757:VHY458834 VHY524293:VHY524370 VHY589829:VHY589906 VHY655365:VHY655442 VHY720901:VHY720978 VHY786437:VHY786514 VHY851973:VHY852050 VHY917509:VHY917586 VHY983045:VHY983122 VRU2:VRU82 VRU65541:VRU65618 VRU131077:VRU131154 VRU196613:VRU196690 VRU262149:VRU262226 VRU327685:VRU327762 VRU393221:VRU393298 VRU458757:VRU458834 VRU524293:VRU524370 VRU589829:VRU589906 VRU655365:VRU655442 VRU720901:VRU720978 VRU786437:VRU786514 VRU851973:VRU852050 VRU917509:VRU917586 VRU983045:VRU983122 WBQ2:WBQ82 WBQ65541:WBQ65618 WBQ131077:WBQ131154 WBQ196613:WBQ196690 WBQ262149:WBQ262226 WBQ327685:WBQ327762 WBQ393221:WBQ393298 WBQ458757:WBQ458834 WBQ524293:WBQ524370 WBQ589829:WBQ589906 WBQ655365:WBQ655442 WBQ720901:WBQ720978 WBQ786437:WBQ786514 WBQ851973:WBQ852050 WBQ917509:WBQ917586 WBQ983045:WBQ983122 WLM2:WLM82 WLM65541:WLM65618 WLM131077:WLM131154 WLM196613:WLM196690 WLM262149:WLM262226 WLM327685:WLM327762 WLM393221:WLM393298 WLM458757:WLM458834 WLM524293:WLM524370 WLM589829:WLM589906 WLM655365:WLM655442 WLM720901:WLM720978 WLM786437:WLM786514 WLM851973:WLM852050 WLM917509:WLM917586 WLM983045:WLM983122 WVI2:WVI82 WVI65541:WVI65618 WVI131077:WVI131154 WVI196613:WVI196690 WVI262149:WVI262226 WVI327685:WVI327762 WVI393221:WVI393298 WVI458757:WVI458834 WVI524293:WVI524370 WVI589829:WVI589906 WVI655365:WVI655442 WVI720901:WVI720978 WVI786437:WVI786514 WVI851973:WVI852050 WVI917509:WVI917586 WVI983045:WVI983122">
      <formula1>$AE$2:$AE$19</formula1>
    </dataValidation>
    <dataValidation type="list" allowBlank="1" showInputMessage="1" showErrorMessage="1" sqref="I2:I503 I65541:I65618 I131077:I131154 I196613:I196690 I262149:I262226 I327685:I327762 I393221:I393298 I458757:I458834 I524293:I524370 I589829:I589906 I655365:I655442 I720901:I720978 I786437:I786514 I851973:I852050 I917509:I917586 I983045:I983122 JE2:JE82 JE65541:JE65618 JE131077:JE131154 JE196613:JE196690 JE262149:JE262226 JE327685:JE327762 JE393221:JE393298 JE458757:JE458834 JE524293:JE524370 JE589829:JE589906 JE655365:JE655442 JE720901:JE720978 JE786437:JE786514 JE851973:JE852050 JE917509:JE917586 JE983045:JE983122 TA2:TA82 TA65541:TA65618 TA131077:TA131154 TA196613:TA196690 TA262149:TA262226 TA327685:TA327762 TA393221:TA393298 TA458757:TA458834 TA524293:TA524370 TA589829:TA589906 TA655365:TA655442 TA720901:TA720978 TA786437:TA786514 TA851973:TA852050 TA917509:TA917586 TA983045:TA983122 ACW2:ACW82 ACW65541:ACW65618 ACW131077:ACW131154 ACW196613:ACW196690 ACW262149:ACW262226 ACW327685:ACW327762 ACW393221:ACW393298 ACW458757:ACW458834 ACW524293:ACW524370 ACW589829:ACW589906 ACW655365:ACW655442 ACW720901:ACW720978 ACW786437:ACW786514 ACW851973:ACW852050 ACW917509:ACW917586 ACW983045:ACW983122 AMS2:AMS82 AMS65541:AMS65618 AMS131077:AMS131154 AMS196613:AMS196690 AMS262149:AMS262226 AMS327685:AMS327762 AMS393221:AMS393298 AMS458757:AMS458834 AMS524293:AMS524370 AMS589829:AMS589906 AMS655365:AMS655442 AMS720901:AMS720978 AMS786437:AMS786514 AMS851973:AMS852050 AMS917509:AMS917586 AMS983045:AMS983122 AWO2:AWO82 AWO65541:AWO65618 AWO131077:AWO131154 AWO196613:AWO196690 AWO262149:AWO262226 AWO327685:AWO327762 AWO393221:AWO393298 AWO458757:AWO458834 AWO524293:AWO524370 AWO589829:AWO589906 AWO655365:AWO655442 AWO720901:AWO720978 AWO786437:AWO786514 AWO851973:AWO852050 AWO917509:AWO917586 AWO983045:AWO983122 BGK2:BGK82 BGK65541:BGK65618 BGK131077:BGK131154 BGK196613:BGK196690 BGK262149:BGK262226 BGK327685:BGK327762 BGK393221:BGK393298 BGK458757:BGK458834 BGK524293:BGK524370 BGK589829:BGK589906 BGK655365:BGK655442 BGK720901:BGK720978 BGK786437:BGK786514 BGK851973:BGK852050 BGK917509:BGK917586 BGK983045:BGK983122 BQG2:BQG82 BQG65541:BQG65618 BQG131077:BQG131154 BQG196613:BQG196690 BQG262149:BQG262226 BQG327685:BQG327762 BQG393221:BQG393298 BQG458757:BQG458834 BQG524293:BQG524370 BQG589829:BQG589906 BQG655365:BQG655442 BQG720901:BQG720978 BQG786437:BQG786514 BQG851973:BQG852050 BQG917509:BQG917586 BQG983045:BQG983122 CAC2:CAC82 CAC65541:CAC65618 CAC131077:CAC131154 CAC196613:CAC196690 CAC262149:CAC262226 CAC327685:CAC327762 CAC393221:CAC393298 CAC458757:CAC458834 CAC524293:CAC524370 CAC589829:CAC589906 CAC655365:CAC655442 CAC720901:CAC720978 CAC786437:CAC786514 CAC851973:CAC852050 CAC917509:CAC917586 CAC983045:CAC983122 CJY2:CJY82 CJY65541:CJY65618 CJY131077:CJY131154 CJY196613:CJY196690 CJY262149:CJY262226 CJY327685:CJY327762 CJY393221:CJY393298 CJY458757:CJY458834 CJY524293:CJY524370 CJY589829:CJY589906 CJY655365:CJY655442 CJY720901:CJY720978 CJY786437:CJY786514 CJY851973:CJY852050 CJY917509:CJY917586 CJY983045:CJY983122 CTU2:CTU82 CTU65541:CTU65618 CTU131077:CTU131154 CTU196613:CTU196690 CTU262149:CTU262226 CTU327685:CTU327762 CTU393221:CTU393298 CTU458757:CTU458834 CTU524293:CTU524370 CTU589829:CTU589906 CTU655365:CTU655442 CTU720901:CTU720978 CTU786437:CTU786514 CTU851973:CTU852050 CTU917509:CTU917586 CTU983045:CTU983122 DDQ2:DDQ82 DDQ65541:DDQ65618 DDQ131077:DDQ131154 DDQ196613:DDQ196690 DDQ262149:DDQ262226 DDQ327685:DDQ327762 DDQ393221:DDQ393298 DDQ458757:DDQ458834 DDQ524293:DDQ524370 DDQ589829:DDQ589906 DDQ655365:DDQ655442 DDQ720901:DDQ720978 DDQ786437:DDQ786514 DDQ851973:DDQ852050 DDQ917509:DDQ917586 DDQ983045:DDQ983122 DNM2:DNM82 DNM65541:DNM65618 DNM131077:DNM131154 DNM196613:DNM196690 DNM262149:DNM262226 DNM327685:DNM327762 DNM393221:DNM393298 DNM458757:DNM458834 DNM524293:DNM524370 DNM589829:DNM589906 DNM655365:DNM655442 DNM720901:DNM720978 DNM786437:DNM786514 DNM851973:DNM852050 DNM917509:DNM917586 DNM983045:DNM983122 DXI2:DXI82 DXI65541:DXI65618 DXI131077:DXI131154 DXI196613:DXI196690 DXI262149:DXI262226 DXI327685:DXI327762 DXI393221:DXI393298 DXI458757:DXI458834 DXI524293:DXI524370 DXI589829:DXI589906 DXI655365:DXI655442 DXI720901:DXI720978 DXI786437:DXI786514 DXI851973:DXI852050 DXI917509:DXI917586 DXI983045:DXI983122 EHE2:EHE82 EHE65541:EHE65618 EHE131077:EHE131154 EHE196613:EHE196690 EHE262149:EHE262226 EHE327685:EHE327762 EHE393221:EHE393298 EHE458757:EHE458834 EHE524293:EHE524370 EHE589829:EHE589906 EHE655365:EHE655442 EHE720901:EHE720978 EHE786437:EHE786514 EHE851973:EHE852050 EHE917509:EHE917586 EHE983045:EHE983122 ERA2:ERA82 ERA65541:ERA65618 ERA131077:ERA131154 ERA196613:ERA196690 ERA262149:ERA262226 ERA327685:ERA327762 ERA393221:ERA393298 ERA458757:ERA458834 ERA524293:ERA524370 ERA589829:ERA589906 ERA655365:ERA655442 ERA720901:ERA720978 ERA786437:ERA786514 ERA851973:ERA852050 ERA917509:ERA917586 ERA983045:ERA983122 FAW2:FAW82 FAW65541:FAW65618 FAW131077:FAW131154 FAW196613:FAW196690 FAW262149:FAW262226 FAW327685:FAW327762 FAW393221:FAW393298 FAW458757:FAW458834 FAW524293:FAW524370 FAW589829:FAW589906 FAW655365:FAW655442 FAW720901:FAW720978 FAW786437:FAW786514 FAW851973:FAW852050 FAW917509:FAW917586 FAW983045:FAW983122 FKS2:FKS82 FKS65541:FKS65618 FKS131077:FKS131154 FKS196613:FKS196690 FKS262149:FKS262226 FKS327685:FKS327762 FKS393221:FKS393298 FKS458757:FKS458834 FKS524293:FKS524370 FKS589829:FKS589906 FKS655365:FKS655442 FKS720901:FKS720978 FKS786437:FKS786514 FKS851973:FKS852050 FKS917509:FKS917586 FKS983045:FKS983122 FUO2:FUO82 FUO65541:FUO65618 FUO131077:FUO131154 FUO196613:FUO196690 FUO262149:FUO262226 FUO327685:FUO327762 FUO393221:FUO393298 FUO458757:FUO458834 FUO524293:FUO524370 FUO589829:FUO589906 FUO655365:FUO655442 FUO720901:FUO720978 FUO786437:FUO786514 FUO851973:FUO852050 FUO917509:FUO917586 FUO983045:FUO983122 GEK2:GEK82 GEK65541:GEK65618 GEK131077:GEK131154 GEK196613:GEK196690 GEK262149:GEK262226 GEK327685:GEK327762 GEK393221:GEK393298 GEK458757:GEK458834 GEK524293:GEK524370 GEK589829:GEK589906 GEK655365:GEK655442 GEK720901:GEK720978 GEK786437:GEK786514 GEK851973:GEK852050 GEK917509:GEK917586 GEK983045:GEK983122 GOG2:GOG82 GOG65541:GOG65618 GOG131077:GOG131154 GOG196613:GOG196690 GOG262149:GOG262226 GOG327685:GOG327762 GOG393221:GOG393298 GOG458757:GOG458834 GOG524293:GOG524370 GOG589829:GOG589906 GOG655365:GOG655442 GOG720901:GOG720978 GOG786437:GOG786514 GOG851973:GOG852050 GOG917509:GOG917586 GOG983045:GOG983122 GYC2:GYC82 GYC65541:GYC65618 GYC131077:GYC131154 GYC196613:GYC196690 GYC262149:GYC262226 GYC327685:GYC327762 GYC393221:GYC393298 GYC458757:GYC458834 GYC524293:GYC524370 GYC589829:GYC589906 GYC655365:GYC655442 GYC720901:GYC720978 GYC786437:GYC786514 GYC851973:GYC852050 GYC917509:GYC917586 GYC983045:GYC983122 HHY2:HHY82 HHY65541:HHY65618 HHY131077:HHY131154 HHY196613:HHY196690 HHY262149:HHY262226 HHY327685:HHY327762 HHY393221:HHY393298 HHY458757:HHY458834 HHY524293:HHY524370 HHY589829:HHY589906 HHY655365:HHY655442 HHY720901:HHY720978 HHY786437:HHY786514 HHY851973:HHY852050 HHY917509:HHY917586 HHY983045:HHY983122 HRU2:HRU82 HRU65541:HRU65618 HRU131077:HRU131154 HRU196613:HRU196690 HRU262149:HRU262226 HRU327685:HRU327762 HRU393221:HRU393298 HRU458757:HRU458834 HRU524293:HRU524370 HRU589829:HRU589906 HRU655365:HRU655442 HRU720901:HRU720978 HRU786437:HRU786514 HRU851973:HRU852050 HRU917509:HRU917586 HRU983045:HRU983122 IBQ2:IBQ82 IBQ65541:IBQ65618 IBQ131077:IBQ131154 IBQ196613:IBQ196690 IBQ262149:IBQ262226 IBQ327685:IBQ327762 IBQ393221:IBQ393298 IBQ458757:IBQ458834 IBQ524293:IBQ524370 IBQ589829:IBQ589906 IBQ655365:IBQ655442 IBQ720901:IBQ720978 IBQ786437:IBQ786514 IBQ851973:IBQ852050 IBQ917509:IBQ917586 IBQ983045:IBQ983122 ILM2:ILM82 ILM65541:ILM65618 ILM131077:ILM131154 ILM196613:ILM196690 ILM262149:ILM262226 ILM327685:ILM327762 ILM393221:ILM393298 ILM458757:ILM458834 ILM524293:ILM524370 ILM589829:ILM589906 ILM655365:ILM655442 ILM720901:ILM720978 ILM786437:ILM786514 ILM851973:ILM852050 ILM917509:ILM917586 ILM983045:ILM983122 IVI2:IVI82 IVI65541:IVI65618 IVI131077:IVI131154 IVI196613:IVI196690 IVI262149:IVI262226 IVI327685:IVI327762 IVI393221:IVI393298 IVI458757:IVI458834 IVI524293:IVI524370 IVI589829:IVI589906 IVI655365:IVI655442 IVI720901:IVI720978 IVI786437:IVI786514 IVI851973:IVI852050 IVI917509:IVI917586 IVI983045:IVI983122 JFE2:JFE82 JFE65541:JFE65618 JFE131077:JFE131154 JFE196613:JFE196690 JFE262149:JFE262226 JFE327685:JFE327762 JFE393221:JFE393298 JFE458757:JFE458834 JFE524293:JFE524370 JFE589829:JFE589906 JFE655365:JFE655442 JFE720901:JFE720978 JFE786437:JFE786514 JFE851973:JFE852050 JFE917509:JFE917586 JFE983045:JFE983122 JPA2:JPA82 JPA65541:JPA65618 JPA131077:JPA131154 JPA196613:JPA196690 JPA262149:JPA262226 JPA327685:JPA327762 JPA393221:JPA393298 JPA458757:JPA458834 JPA524293:JPA524370 JPA589829:JPA589906 JPA655365:JPA655442 JPA720901:JPA720978 JPA786437:JPA786514 JPA851973:JPA852050 JPA917509:JPA917586 JPA983045:JPA983122 JYW2:JYW82 JYW65541:JYW65618 JYW131077:JYW131154 JYW196613:JYW196690 JYW262149:JYW262226 JYW327685:JYW327762 JYW393221:JYW393298 JYW458757:JYW458834 JYW524293:JYW524370 JYW589829:JYW589906 JYW655365:JYW655442 JYW720901:JYW720978 JYW786437:JYW786514 JYW851973:JYW852050 JYW917509:JYW917586 JYW983045:JYW983122 KIS2:KIS82 KIS65541:KIS65618 KIS131077:KIS131154 KIS196613:KIS196690 KIS262149:KIS262226 KIS327685:KIS327762 KIS393221:KIS393298 KIS458757:KIS458834 KIS524293:KIS524370 KIS589829:KIS589906 KIS655365:KIS655442 KIS720901:KIS720978 KIS786437:KIS786514 KIS851973:KIS852050 KIS917509:KIS917586 KIS983045:KIS983122 KSO2:KSO82 KSO65541:KSO65618 KSO131077:KSO131154 KSO196613:KSO196690 KSO262149:KSO262226 KSO327685:KSO327762 KSO393221:KSO393298 KSO458757:KSO458834 KSO524293:KSO524370 KSO589829:KSO589906 KSO655365:KSO655442 KSO720901:KSO720978 KSO786437:KSO786514 KSO851973:KSO852050 KSO917509:KSO917586 KSO983045:KSO983122 LCK2:LCK82 LCK65541:LCK65618 LCK131077:LCK131154 LCK196613:LCK196690 LCK262149:LCK262226 LCK327685:LCK327762 LCK393221:LCK393298 LCK458757:LCK458834 LCK524293:LCK524370 LCK589829:LCK589906 LCK655365:LCK655442 LCK720901:LCK720978 LCK786437:LCK786514 LCK851973:LCK852050 LCK917509:LCK917586 LCK983045:LCK983122 LMG2:LMG82 LMG65541:LMG65618 LMG131077:LMG131154 LMG196613:LMG196690 LMG262149:LMG262226 LMG327685:LMG327762 LMG393221:LMG393298 LMG458757:LMG458834 LMG524293:LMG524370 LMG589829:LMG589906 LMG655365:LMG655442 LMG720901:LMG720978 LMG786437:LMG786514 LMG851973:LMG852050 LMG917509:LMG917586 LMG983045:LMG983122 LWC2:LWC82 LWC65541:LWC65618 LWC131077:LWC131154 LWC196613:LWC196690 LWC262149:LWC262226 LWC327685:LWC327762 LWC393221:LWC393298 LWC458757:LWC458834 LWC524293:LWC524370 LWC589829:LWC589906 LWC655365:LWC655442 LWC720901:LWC720978 LWC786437:LWC786514 LWC851973:LWC852050 LWC917509:LWC917586 LWC983045:LWC983122 MFY2:MFY82 MFY65541:MFY65618 MFY131077:MFY131154 MFY196613:MFY196690 MFY262149:MFY262226 MFY327685:MFY327762 MFY393221:MFY393298 MFY458757:MFY458834 MFY524293:MFY524370 MFY589829:MFY589906 MFY655365:MFY655442 MFY720901:MFY720978 MFY786437:MFY786514 MFY851973:MFY852050 MFY917509:MFY917586 MFY983045:MFY983122 MPU2:MPU82 MPU65541:MPU65618 MPU131077:MPU131154 MPU196613:MPU196690 MPU262149:MPU262226 MPU327685:MPU327762 MPU393221:MPU393298 MPU458757:MPU458834 MPU524293:MPU524370 MPU589829:MPU589906 MPU655365:MPU655442 MPU720901:MPU720978 MPU786437:MPU786514 MPU851973:MPU852050 MPU917509:MPU917586 MPU983045:MPU983122 MZQ2:MZQ82 MZQ65541:MZQ65618 MZQ131077:MZQ131154 MZQ196613:MZQ196690 MZQ262149:MZQ262226 MZQ327685:MZQ327762 MZQ393221:MZQ393298 MZQ458757:MZQ458834 MZQ524293:MZQ524370 MZQ589829:MZQ589906 MZQ655365:MZQ655442 MZQ720901:MZQ720978 MZQ786437:MZQ786514 MZQ851973:MZQ852050 MZQ917509:MZQ917586 MZQ983045:MZQ983122 NJM2:NJM82 NJM65541:NJM65618 NJM131077:NJM131154 NJM196613:NJM196690 NJM262149:NJM262226 NJM327685:NJM327762 NJM393221:NJM393298 NJM458757:NJM458834 NJM524293:NJM524370 NJM589829:NJM589906 NJM655365:NJM655442 NJM720901:NJM720978 NJM786437:NJM786514 NJM851973:NJM852050 NJM917509:NJM917586 NJM983045:NJM983122 NTI2:NTI82 NTI65541:NTI65618 NTI131077:NTI131154 NTI196613:NTI196690 NTI262149:NTI262226 NTI327685:NTI327762 NTI393221:NTI393298 NTI458757:NTI458834 NTI524293:NTI524370 NTI589829:NTI589906 NTI655365:NTI655442 NTI720901:NTI720978 NTI786437:NTI786514 NTI851973:NTI852050 NTI917509:NTI917586 NTI983045:NTI983122 ODE2:ODE82 ODE65541:ODE65618 ODE131077:ODE131154 ODE196613:ODE196690 ODE262149:ODE262226 ODE327685:ODE327762 ODE393221:ODE393298 ODE458757:ODE458834 ODE524293:ODE524370 ODE589829:ODE589906 ODE655365:ODE655442 ODE720901:ODE720978 ODE786437:ODE786514 ODE851973:ODE852050 ODE917509:ODE917586 ODE983045:ODE983122 ONA2:ONA82 ONA65541:ONA65618 ONA131077:ONA131154 ONA196613:ONA196690 ONA262149:ONA262226 ONA327685:ONA327762 ONA393221:ONA393298 ONA458757:ONA458834 ONA524293:ONA524370 ONA589829:ONA589906 ONA655365:ONA655442 ONA720901:ONA720978 ONA786437:ONA786514 ONA851973:ONA852050 ONA917509:ONA917586 ONA983045:ONA983122 OWW2:OWW82 OWW65541:OWW65618 OWW131077:OWW131154 OWW196613:OWW196690 OWW262149:OWW262226 OWW327685:OWW327762 OWW393221:OWW393298 OWW458757:OWW458834 OWW524293:OWW524370 OWW589829:OWW589906 OWW655365:OWW655442 OWW720901:OWW720978 OWW786437:OWW786514 OWW851973:OWW852050 OWW917509:OWW917586 OWW983045:OWW983122 PGS2:PGS82 PGS65541:PGS65618 PGS131077:PGS131154 PGS196613:PGS196690 PGS262149:PGS262226 PGS327685:PGS327762 PGS393221:PGS393298 PGS458757:PGS458834 PGS524293:PGS524370 PGS589829:PGS589906 PGS655365:PGS655442 PGS720901:PGS720978 PGS786437:PGS786514 PGS851973:PGS852050 PGS917509:PGS917586 PGS983045:PGS983122 PQO2:PQO82 PQO65541:PQO65618 PQO131077:PQO131154 PQO196613:PQO196690 PQO262149:PQO262226 PQO327685:PQO327762 PQO393221:PQO393298 PQO458757:PQO458834 PQO524293:PQO524370 PQO589829:PQO589906 PQO655365:PQO655442 PQO720901:PQO720978 PQO786437:PQO786514 PQO851973:PQO852050 PQO917509:PQO917586 PQO983045:PQO983122 QAK2:QAK82 QAK65541:QAK65618 QAK131077:QAK131154 QAK196613:QAK196690 QAK262149:QAK262226 QAK327685:QAK327762 QAK393221:QAK393298 QAK458757:QAK458834 QAK524293:QAK524370 QAK589829:QAK589906 QAK655365:QAK655442 QAK720901:QAK720978 QAK786437:QAK786514 QAK851973:QAK852050 QAK917509:QAK917586 QAK983045:QAK983122 QKG2:QKG82 QKG65541:QKG65618 QKG131077:QKG131154 QKG196613:QKG196690 QKG262149:QKG262226 QKG327685:QKG327762 QKG393221:QKG393298 QKG458757:QKG458834 QKG524293:QKG524370 QKG589829:QKG589906 QKG655365:QKG655442 QKG720901:QKG720978 QKG786437:QKG786514 QKG851973:QKG852050 QKG917509:QKG917586 QKG983045:QKG983122 QUC2:QUC82 QUC65541:QUC65618 QUC131077:QUC131154 QUC196613:QUC196690 QUC262149:QUC262226 QUC327685:QUC327762 QUC393221:QUC393298 QUC458757:QUC458834 QUC524293:QUC524370 QUC589829:QUC589906 QUC655365:QUC655442 QUC720901:QUC720978 QUC786437:QUC786514 QUC851973:QUC852050 QUC917509:QUC917586 QUC983045:QUC983122 RDY2:RDY82 RDY65541:RDY65618 RDY131077:RDY131154 RDY196613:RDY196690 RDY262149:RDY262226 RDY327685:RDY327762 RDY393221:RDY393298 RDY458757:RDY458834 RDY524293:RDY524370 RDY589829:RDY589906 RDY655365:RDY655442 RDY720901:RDY720978 RDY786437:RDY786514 RDY851973:RDY852050 RDY917509:RDY917586 RDY983045:RDY983122 RNU2:RNU82 RNU65541:RNU65618 RNU131077:RNU131154 RNU196613:RNU196690 RNU262149:RNU262226 RNU327685:RNU327762 RNU393221:RNU393298 RNU458757:RNU458834 RNU524293:RNU524370 RNU589829:RNU589906 RNU655365:RNU655442 RNU720901:RNU720978 RNU786437:RNU786514 RNU851973:RNU852050 RNU917509:RNU917586 RNU983045:RNU983122 RXQ2:RXQ82 RXQ65541:RXQ65618 RXQ131077:RXQ131154 RXQ196613:RXQ196690 RXQ262149:RXQ262226 RXQ327685:RXQ327762 RXQ393221:RXQ393298 RXQ458757:RXQ458834 RXQ524293:RXQ524370 RXQ589829:RXQ589906 RXQ655365:RXQ655442 RXQ720901:RXQ720978 RXQ786437:RXQ786514 RXQ851973:RXQ852050 RXQ917509:RXQ917586 RXQ983045:RXQ983122 SHM2:SHM82 SHM65541:SHM65618 SHM131077:SHM131154 SHM196613:SHM196690 SHM262149:SHM262226 SHM327685:SHM327762 SHM393221:SHM393298 SHM458757:SHM458834 SHM524293:SHM524370 SHM589829:SHM589906 SHM655365:SHM655442 SHM720901:SHM720978 SHM786437:SHM786514 SHM851973:SHM852050 SHM917509:SHM917586 SHM983045:SHM983122 SRI2:SRI82 SRI65541:SRI65618 SRI131077:SRI131154 SRI196613:SRI196690 SRI262149:SRI262226 SRI327685:SRI327762 SRI393221:SRI393298 SRI458757:SRI458834 SRI524293:SRI524370 SRI589829:SRI589906 SRI655365:SRI655442 SRI720901:SRI720978 SRI786437:SRI786514 SRI851973:SRI852050 SRI917509:SRI917586 SRI983045:SRI983122 TBE2:TBE82 TBE65541:TBE65618 TBE131077:TBE131154 TBE196613:TBE196690 TBE262149:TBE262226 TBE327685:TBE327762 TBE393221:TBE393298 TBE458757:TBE458834 TBE524293:TBE524370 TBE589829:TBE589906 TBE655365:TBE655442 TBE720901:TBE720978 TBE786437:TBE786514 TBE851973:TBE852050 TBE917509:TBE917586 TBE983045:TBE983122 TLA2:TLA82 TLA65541:TLA65618 TLA131077:TLA131154 TLA196613:TLA196690 TLA262149:TLA262226 TLA327685:TLA327762 TLA393221:TLA393298 TLA458757:TLA458834 TLA524293:TLA524370 TLA589829:TLA589906 TLA655365:TLA655442 TLA720901:TLA720978 TLA786437:TLA786514 TLA851973:TLA852050 TLA917509:TLA917586 TLA983045:TLA983122 TUW2:TUW82 TUW65541:TUW65618 TUW131077:TUW131154 TUW196613:TUW196690 TUW262149:TUW262226 TUW327685:TUW327762 TUW393221:TUW393298 TUW458757:TUW458834 TUW524293:TUW524370 TUW589829:TUW589906 TUW655365:TUW655442 TUW720901:TUW720978 TUW786437:TUW786514 TUW851973:TUW852050 TUW917509:TUW917586 TUW983045:TUW983122 UES2:UES82 UES65541:UES65618 UES131077:UES131154 UES196613:UES196690 UES262149:UES262226 UES327685:UES327762 UES393221:UES393298 UES458757:UES458834 UES524293:UES524370 UES589829:UES589906 UES655365:UES655442 UES720901:UES720978 UES786437:UES786514 UES851973:UES852050 UES917509:UES917586 UES983045:UES983122 UOO2:UOO82 UOO65541:UOO65618 UOO131077:UOO131154 UOO196613:UOO196690 UOO262149:UOO262226 UOO327685:UOO327762 UOO393221:UOO393298 UOO458757:UOO458834 UOO524293:UOO524370 UOO589829:UOO589906 UOO655365:UOO655442 UOO720901:UOO720978 UOO786437:UOO786514 UOO851973:UOO852050 UOO917509:UOO917586 UOO983045:UOO983122 UYK2:UYK82 UYK65541:UYK65618 UYK131077:UYK131154 UYK196613:UYK196690 UYK262149:UYK262226 UYK327685:UYK327762 UYK393221:UYK393298 UYK458757:UYK458834 UYK524293:UYK524370 UYK589829:UYK589906 UYK655365:UYK655442 UYK720901:UYK720978 UYK786437:UYK786514 UYK851973:UYK852050 UYK917509:UYK917586 UYK983045:UYK983122 VIG2:VIG82 VIG65541:VIG65618 VIG131077:VIG131154 VIG196613:VIG196690 VIG262149:VIG262226 VIG327685:VIG327762 VIG393221:VIG393298 VIG458757:VIG458834 VIG524293:VIG524370 VIG589829:VIG589906 VIG655365:VIG655442 VIG720901:VIG720978 VIG786437:VIG786514 VIG851973:VIG852050 VIG917509:VIG917586 VIG983045:VIG983122 VSC2:VSC82 VSC65541:VSC65618 VSC131077:VSC131154 VSC196613:VSC196690 VSC262149:VSC262226 VSC327685:VSC327762 VSC393221:VSC393298 VSC458757:VSC458834 VSC524293:VSC524370 VSC589829:VSC589906 VSC655365:VSC655442 VSC720901:VSC720978 VSC786437:VSC786514 VSC851973:VSC852050 VSC917509:VSC917586 VSC983045:VSC983122 WBY2:WBY82 WBY65541:WBY65618 WBY131077:WBY131154 WBY196613:WBY196690 WBY262149:WBY262226 WBY327685:WBY327762 WBY393221:WBY393298 WBY458757:WBY458834 WBY524293:WBY524370 WBY589829:WBY589906 WBY655365:WBY655442 WBY720901:WBY720978 WBY786437:WBY786514 WBY851973:WBY852050 WBY917509:WBY917586 WBY983045:WBY983122 WLU2:WLU82 WLU65541:WLU65618 WLU131077:WLU131154 WLU196613:WLU196690 WLU262149:WLU262226 WLU327685:WLU327762 WLU393221:WLU393298 WLU458757:WLU458834 WLU524293:WLU524370 WLU589829:WLU589906 WLU655365:WLU655442 WLU720901:WLU720978 WLU786437:WLU786514 WLU851973:WLU852050 WLU917509:WLU917586 WLU983045:WLU983122 WVQ2:WVQ82 WVQ65541:WVQ65618 WVQ131077:WVQ131154 WVQ196613:WVQ196690 WVQ262149:WVQ262226 WVQ327685:WVQ327762 WVQ393221:WVQ393298 WVQ458757:WVQ458834 WVQ524293:WVQ524370 WVQ589829:WVQ589906 WVQ655365:WVQ655442 WVQ720901:WVQ720978 WVQ786437:WVQ786514 WVQ851973:WVQ852050 WVQ917509:WVQ917586 WVQ983045:WVQ983122">
      <formula1>$AN$5:$AN$6</formula1>
    </dataValidation>
    <dataValidation type="list" allowBlank="1" showInputMessage="1" showErrorMessage="1" sqref="G2:G503 G65541:G65618 G131077:G131154 G196613:G196690 G262149:G262226 G327685:G327762 G393221:G393298 G458757:G458834 G524293:G524370 G589829:G589906 G655365:G655442 G720901:G720978 G786437:G786514 G851973:G852050 G917509:G917586 G983045:G983122 JC2:JC82 JC65541:JC65618 JC131077:JC131154 JC196613:JC196690 JC262149:JC262226 JC327685:JC327762 JC393221:JC393298 JC458757:JC458834 JC524293:JC524370 JC589829:JC589906 JC655365:JC655442 JC720901:JC720978 JC786437:JC786514 JC851973:JC852050 JC917509:JC917586 JC983045:JC983122 SY2:SY82 SY65541:SY65618 SY131077:SY131154 SY196613:SY196690 SY262149:SY262226 SY327685:SY327762 SY393221:SY393298 SY458757:SY458834 SY524293:SY524370 SY589829:SY589906 SY655365:SY655442 SY720901:SY720978 SY786437:SY786514 SY851973:SY852050 SY917509:SY917586 SY983045:SY983122 ACU2:ACU82 ACU65541:ACU65618 ACU131077:ACU131154 ACU196613:ACU196690 ACU262149:ACU262226 ACU327685:ACU327762 ACU393221:ACU393298 ACU458757:ACU458834 ACU524293:ACU524370 ACU589829:ACU589906 ACU655365:ACU655442 ACU720901:ACU720978 ACU786437:ACU786514 ACU851973:ACU852050 ACU917509:ACU917586 ACU983045:ACU983122 AMQ2:AMQ82 AMQ65541:AMQ65618 AMQ131077:AMQ131154 AMQ196613:AMQ196690 AMQ262149:AMQ262226 AMQ327685:AMQ327762 AMQ393221:AMQ393298 AMQ458757:AMQ458834 AMQ524293:AMQ524370 AMQ589829:AMQ589906 AMQ655365:AMQ655442 AMQ720901:AMQ720978 AMQ786437:AMQ786514 AMQ851973:AMQ852050 AMQ917509:AMQ917586 AMQ983045:AMQ983122 AWM2:AWM82 AWM65541:AWM65618 AWM131077:AWM131154 AWM196613:AWM196690 AWM262149:AWM262226 AWM327685:AWM327762 AWM393221:AWM393298 AWM458757:AWM458834 AWM524293:AWM524370 AWM589829:AWM589906 AWM655365:AWM655442 AWM720901:AWM720978 AWM786437:AWM786514 AWM851973:AWM852050 AWM917509:AWM917586 AWM983045:AWM983122 BGI2:BGI82 BGI65541:BGI65618 BGI131077:BGI131154 BGI196613:BGI196690 BGI262149:BGI262226 BGI327685:BGI327762 BGI393221:BGI393298 BGI458757:BGI458834 BGI524293:BGI524370 BGI589829:BGI589906 BGI655365:BGI655442 BGI720901:BGI720978 BGI786437:BGI786514 BGI851973:BGI852050 BGI917509:BGI917586 BGI983045:BGI983122 BQE2:BQE82 BQE65541:BQE65618 BQE131077:BQE131154 BQE196613:BQE196690 BQE262149:BQE262226 BQE327685:BQE327762 BQE393221:BQE393298 BQE458757:BQE458834 BQE524293:BQE524370 BQE589829:BQE589906 BQE655365:BQE655442 BQE720901:BQE720978 BQE786437:BQE786514 BQE851973:BQE852050 BQE917509:BQE917586 BQE983045:BQE983122 CAA2:CAA82 CAA65541:CAA65618 CAA131077:CAA131154 CAA196613:CAA196690 CAA262149:CAA262226 CAA327685:CAA327762 CAA393221:CAA393298 CAA458757:CAA458834 CAA524293:CAA524370 CAA589829:CAA589906 CAA655365:CAA655442 CAA720901:CAA720978 CAA786437:CAA786514 CAA851973:CAA852050 CAA917509:CAA917586 CAA983045:CAA983122 CJW2:CJW82 CJW65541:CJW65618 CJW131077:CJW131154 CJW196613:CJW196690 CJW262149:CJW262226 CJW327685:CJW327762 CJW393221:CJW393298 CJW458757:CJW458834 CJW524293:CJW524370 CJW589829:CJW589906 CJW655365:CJW655442 CJW720901:CJW720978 CJW786437:CJW786514 CJW851973:CJW852050 CJW917509:CJW917586 CJW983045:CJW983122 CTS2:CTS82 CTS65541:CTS65618 CTS131077:CTS131154 CTS196613:CTS196690 CTS262149:CTS262226 CTS327685:CTS327762 CTS393221:CTS393298 CTS458757:CTS458834 CTS524293:CTS524370 CTS589829:CTS589906 CTS655365:CTS655442 CTS720901:CTS720978 CTS786437:CTS786514 CTS851973:CTS852050 CTS917509:CTS917586 CTS983045:CTS983122 DDO2:DDO82 DDO65541:DDO65618 DDO131077:DDO131154 DDO196613:DDO196690 DDO262149:DDO262226 DDO327685:DDO327762 DDO393221:DDO393298 DDO458757:DDO458834 DDO524293:DDO524370 DDO589829:DDO589906 DDO655365:DDO655442 DDO720901:DDO720978 DDO786437:DDO786514 DDO851973:DDO852050 DDO917509:DDO917586 DDO983045:DDO983122 DNK2:DNK82 DNK65541:DNK65618 DNK131077:DNK131154 DNK196613:DNK196690 DNK262149:DNK262226 DNK327685:DNK327762 DNK393221:DNK393298 DNK458757:DNK458834 DNK524293:DNK524370 DNK589829:DNK589906 DNK655365:DNK655442 DNK720901:DNK720978 DNK786437:DNK786514 DNK851973:DNK852050 DNK917509:DNK917586 DNK983045:DNK983122 DXG2:DXG82 DXG65541:DXG65618 DXG131077:DXG131154 DXG196613:DXG196690 DXG262149:DXG262226 DXG327685:DXG327762 DXG393221:DXG393298 DXG458757:DXG458834 DXG524293:DXG524370 DXG589829:DXG589906 DXG655365:DXG655442 DXG720901:DXG720978 DXG786437:DXG786514 DXG851973:DXG852050 DXG917509:DXG917586 DXG983045:DXG983122 EHC2:EHC82 EHC65541:EHC65618 EHC131077:EHC131154 EHC196613:EHC196690 EHC262149:EHC262226 EHC327685:EHC327762 EHC393221:EHC393298 EHC458757:EHC458834 EHC524293:EHC524370 EHC589829:EHC589906 EHC655365:EHC655442 EHC720901:EHC720978 EHC786437:EHC786514 EHC851973:EHC852050 EHC917509:EHC917586 EHC983045:EHC983122 EQY2:EQY82 EQY65541:EQY65618 EQY131077:EQY131154 EQY196613:EQY196690 EQY262149:EQY262226 EQY327685:EQY327762 EQY393221:EQY393298 EQY458757:EQY458834 EQY524293:EQY524370 EQY589829:EQY589906 EQY655365:EQY655442 EQY720901:EQY720978 EQY786437:EQY786514 EQY851973:EQY852050 EQY917509:EQY917586 EQY983045:EQY983122 FAU2:FAU82 FAU65541:FAU65618 FAU131077:FAU131154 FAU196613:FAU196690 FAU262149:FAU262226 FAU327685:FAU327762 FAU393221:FAU393298 FAU458757:FAU458834 FAU524293:FAU524370 FAU589829:FAU589906 FAU655365:FAU655442 FAU720901:FAU720978 FAU786437:FAU786514 FAU851973:FAU852050 FAU917509:FAU917586 FAU983045:FAU983122 FKQ2:FKQ82 FKQ65541:FKQ65618 FKQ131077:FKQ131154 FKQ196613:FKQ196690 FKQ262149:FKQ262226 FKQ327685:FKQ327762 FKQ393221:FKQ393298 FKQ458757:FKQ458834 FKQ524293:FKQ524370 FKQ589829:FKQ589906 FKQ655365:FKQ655442 FKQ720901:FKQ720978 FKQ786437:FKQ786514 FKQ851973:FKQ852050 FKQ917509:FKQ917586 FKQ983045:FKQ983122 FUM2:FUM82 FUM65541:FUM65618 FUM131077:FUM131154 FUM196613:FUM196690 FUM262149:FUM262226 FUM327685:FUM327762 FUM393221:FUM393298 FUM458757:FUM458834 FUM524293:FUM524370 FUM589829:FUM589906 FUM655365:FUM655442 FUM720901:FUM720978 FUM786437:FUM786514 FUM851973:FUM852050 FUM917509:FUM917586 FUM983045:FUM983122 GEI2:GEI82 GEI65541:GEI65618 GEI131077:GEI131154 GEI196613:GEI196690 GEI262149:GEI262226 GEI327685:GEI327762 GEI393221:GEI393298 GEI458757:GEI458834 GEI524293:GEI524370 GEI589829:GEI589906 GEI655365:GEI655442 GEI720901:GEI720978 GEI786437:GEI786514 GEI851973:GEI852050 GEI917509:GEI917586 GEI983045:GEI983122 GOE2:GOE82 GOE65541:GOE65618 GOE131077:GOE131154 GOE196613:GOE196690 GOE262149:GOE262226 GOE327685:GOE327762 GOE393221:GOE393298 GOE458757:GOE458834 GOE524293:GOE524370 GOE589829:GOE589906 GOE655365:GOE655442 GOE720901:GOE720978 GOE786437:GOE786514 GOE851973:GOE852050 GOE917509:GOE917586 GOE983045:GOE983122 GYA2:GYA82 GYA65541:GYA65618 GYA131077:GYA131154 GYA196613:GYA196690 GYA262149:GYA262226 GYA327685:GYA327762 GYA393221:GYA393298 GYA458757:GYA458834 GYA524293:GYA524370 GYA589829:GYA589906 GYA655365:GYA655442 GYA720901:GYA720978 GYA786437:GYA786514 GYA851973:GYA852050 GYA917509:GYA917586 GYA983045:GYA983122 HHW2:HHW82 HHW65541:HHW65618 HHW131077:HHW131154 HHW196613:HHW196690 HHW262149:HHW262226 HHW327685:HHW327762 HHW393221:HHW393298 HHW458757:HHW458834 HHW524293:HHW524370 HHW589829:HHW589906 HHW655365:HHW655442 HHW720901:HHW720978 HHW786437:HHW786514 HHW851973:HHW852050 HHW917509:HHW917586 HHW983045:HHW983122 HRS2:HRS82 HRS65541:HRS65618 HRS131077:HRS131154 HRS196613:HRS196690 HRS262149:HRS262226 HRS327685:HRS327762 HRS393221:HRS393298 HRS458757:HRS458834 HRS524293:HRS524370 HRS589829:HRS589906 HRS655365:HRS655442 HRS720901:HRS720978 HRS786437:HRS786514 HRS851973:HRS852050 HRS917509:HRS917586 HRS983045:HRS983122 IBO2:IBO82 IBO65541:IBO65618 IBO131077:IBO131154 IBO196613:IBO196690 IBO262149:IBO262226 IBO327685:IBO327762 IBO393221:IBO393298 IBO458757:IBO458834 IBO524293:IBO524370 IBO589829:IBO589906 IBO655365:IBO655442 IBO720901:IBO720978 IBO786437:IBO786514 IBO851973:IBO852050 IBO917509:IBO917586 IBO983045:IBO983122 ILK2:ILK82 ILK65541:ILK65618 ILK131077:ILK131154 ILK196613:ILK196690 ILK262149:ILK262226 ILK327685:ILK327762 ILK393221:ILK393298 ILK458757:ILK458834 ILK524293:ILK524370 ILK589829:ILK589906 ILK655365:ILK655442 ILK720901:ILK720978 ILK786437:ILK786514 ILK851973:ILK852050 ILK917509:ILK917586 ILK983045:ILK983122 IVG2:IVG82 IVG65541:IVG65618 IVG131077:IVG131154 IVG196613:IVG196690 IVG262149:IVG262226 IVG327685:IVG327762 IVG393221:IVG393298 IVG458757:IVG458834 IVG524293:IVG524370 IVG589829:IVG589906 IVG655365:IVG655442 IVG720901:IVG720978 IVG786437:IVG786514 IVG851973:IVG852050 IVG917509:IVG917586 IVG983045:IVG983122 JFC2:JFC82 JFC65541:JFC65618 JFC131077:JFC131154 JFC196613:JFC196690 JFC262149:JFC262226 JFC327685:JFC327762 JFC393221:JFC393298 JFC458757:JFC458834 JFC524293:JFC524370 JFC589829:JFC589906 JFC655365:JFC655442 JFC720901:JFC720978 JFC786437:JFC786514 JFC851973:JFC852050 JFC917509:JFC917586 JFC983045:JFC983122 JOY2:JOY82 JOY65541:JOY65618 JOY131077:JOY131154 JOY196613:JOY196690 JOY262149:JOY262226 JOY327685:JOY327762 JOY393221:JOY393298 JOY458757:JOY458834 JOY524293:JOY524370 JOY589829:JOY589906 JOY655365:JOY655442 JOY720901:JOY720978 JOY786437:JOY786514 JOY851973:JOY852050 JOY917509:JOY917586 JOY983045:JOY983122 JYU2:JYU82 JYU65541:JYU65618 JYU131077:JYU131154 JYU196613:JYU196690 JYU262149:JYU262226 JYU327685:JYU327762 JYU393221:JYU393298 JYU458757:JYU458834 JYU524293:JYU524370 JYU589829:JYU589906 JYU655365:JYU655442 JYU720901:JYU720978 JYU786437:JYU786514 JYU851973:JYU852050 JYU917509:JYU917586 JYU983045:JYU983122 KIQ2:KIQ82 KIQ65541:KIQ65618 KIQ131077:KIQ131154 KIQ196613:KIQ196690 KIQ262149:KIQ262226 KIQ327685:KIQ327762 KIQ393221:KIQ393298 KIQ458757:KIQ458834 KIQ524293:KIQ524370 KIQ589829:KIQ589906 KIQ655365:KIQ655442 KIQ720901:KIQ720978 KIQ786437:KIQ786514 KIQ851973:KIQ852050 KIQ917509:KIQ917586 KIQ983045:KIQ983122 KSM2:KSM82 KSM65541:KSM65618 KSM131077:KSM131154 KSM196613:KSM196690 KSM262149:KSM262226 KSM327685:KSM327762 KSM393221:KSM393298 KSM458757:KSM458834 KSM524293:KSM524370 KSM589829:KSM589906 KSM655365:KSM655442 KSM720901:KSM720978 KSM786437:KSM786514 KSM851973:KSM852050 KSM917509:KSM917586 KSM983045:KSM983122 LCI2:LCI82 LCI65541:LCI65618 LCI131077:LCI131154 LCI196613:LCI196690 LCI262149:LCI262226 LCI327685:LCI327762 LCI393221:LCI393298 LCI458757:LCI458834 LCI524293:LCI524370 LCI589829:LCI589906 LCI655365:LCI655442 LCI720901:LCI720978 LCI786437:LCI786514 LCI851973:LCI852050 LCI917509:LCI917586 LCI983045:LCI983122 LME2:LME82 LME65541:LME65618 LME131077:LME131154 LME196613:LME196690 LME262149:LME262226 LME327685:LME327762 LME393221:LME393298 LME458757:LME458834 LME524293:LME524370 LME589829:LME589906 LME655365:LME655442 LME720901:LME720978 LME786437:LME786514 LME851973:LME852050 LME917509:LME917586 LME983045:LME983122 LWA2:LWA82 LWA65541:LWA65618 LWA131077:LWA131154 LWA196613:LWA196690 LWA262149:LWA262226 LWA327685:LWA327762 LWA393221:LWA393298 LWA458757:LWA458834 LWA524293:LWA524370 LWA589829:LWA589906 LWA655365:LWA655442 LWA720901:LWA720978 LWA786437:LWA786514 LWA851973:LWA852050 LWA917509:LWA917586 LWA983045:LWA983122 MFW2:MFW82 MFW65541:MFW65618 MFW131077:MFW131154 MFW196613:MFW196690 MFW262149:MFW262226 MFW327685:MFW327762 MFW393221:MFW393298 MFW458757:MFW458834 MFW524293:MFW524370 MFW589829:MFW589906 MFW655365:MFW655442 MFW720901:MFW720978 MFW786437:MFW786514 MFW851973:MFW852050 MFW917509:MFW917586 MFW983045:MFW983122 MPS2:MPS82 MPS65541:MPS65618 MPS131077:MPS131154 MPS196613:MPS196690 MPS262149:MPS262226 MPS327685:MPS327762 MPS393221:MPS393298 MPS458757:MPS458834 MPS524293:MPS524370 MPS589829:MPS589906 MPS655365:MPS655442 MPS720901:MPS720978 MPS786437:MPS786514 MPS851973:MPS852050 MPS917509:MPS917586 MPS983045:MPS983122 MZO2:MZO82 MZO65541:MZO65618 MZO131077:MZO131154 MZO196613:MZO196690 MZO262149:MZO262226 MZO327685:MZO327762 MZO393221:MZO393298 MZO458757:MZO458834 MZO524293:MZO524370 MZO589829:MZO589906 MZO655365:MZO655442 MZO720901:MZO720978 MZO786437:MZO786514 MZO851973:MZO852050 MZO917509:MZO917586 MZO983045:MZO983122 NJK2:NJK82 NJK65541:NJK65618 NJK131077:NJK131154 NJK196613:NJK196690 NJK262149:NJK262226 NJK327685:NJK327762 NJK393221:NJK393298 NJK458757:NJK458834 NJK524293:NJK524370 NJK589829:NJK589906 NJK655365:NJK655442 NJK720901:NJK720978 NJK786437:NJK786514 NJK851973:NJK852050 NJK917509:NJK917586 NJK983045:NJK983122 NTG2:NTG82 NTG65541:NTG65618 NTG131077:NTG131154 NTG196613:NTG196690 NTG262149:NTG262226 NTG327685:NTG327762 NTG393221:NTG393298 NTG458757:NTG458834 NTG524293:NTG524370 NTG589829:NTG589906 NTG655365:NTG655442 NTG720901:NTG720978 NTG786437:NTG786514 NTG851973:NTG852050 NTG917509:NTG917586 NTG983045:NTG983122 ODC2:ODC82 ODC65541:ODC65618 ODC131077:ODC131154 ODC196613:ODC196690 ODC262149:ODC262226 ODC327685:ODC327762 ODC393221:ODC393298 ODC458757:ODC458834 ODC524293:ODC524370 ODC589829:ODC589906 ODC655365:ODC655442 ODC720901:ODC720978 ODC786437:ODC786514 ODC851973:ODC852050 ODC917509:ODC917586 ODC983045:ODC983122 OMY2:OMY82 OMY65541:OMY65618 OMY131077:OMY131154 OMY196613:OMY196690 OMY262149:OMY262226 OMY327685:OMY327762 OMY393221:OMY393298 OMY458757:OMY458834 OMY524293:OMY524370 OMY589829:OMY589906 OMY655365:OMY655442 OMY720901:OMY720978 OMY786437:OMY786514 OMY851973:OMY852050 OMY917509:OMY917586 OMY983045:OMY983122 OWU2:OWU82 OWU65541:OWU65618 OWU131077:OWU131154 OWU196613:OWU196690 OWU262149:OWU262226 OWU327685:OWU327762 OWU393221:OWU393298 OWU458757:OWU458834 OWU524293:OWU524370 OWU589829:OWU589906 OWU655365:OWU655442 OWU720901:OWU720978 OWU786437:OWU786514 OWU851973:OWU852050 OWU917509:OWU917586 OWU983045:OWU983122 PGQ2:PGQ82 PGQ65541:PGQ65618 PGQ131077:PGQ131154 PGQ196613:PGQ196690 PGQ262149:PGQ262226 PGQ327685:PGQ327762 PGQ393221:PGQ393298 PGQ458757:PGQ458834 PGQ524293:PGQ524370 PGQ589829:PGQ589906 PGQ655365:PGQ655442 PGQ720901:PGQ720978 PGQ786437:PGQ786514 PGQ851973:PGQ852050 PGQ917509:PGQ917586 PGQ983045:PGQ983122 PQM2:PQM82 PQM65541:PQM65618 PQM131077:PQM131154 PQM196613:PQM196690 PQM262149:PQM262226 PQM327685:PQM327762 PQM393221:PQM393298 PQM458757:PQM458834 PQM524293:PQM524370 PQM589829:PQM589906 PQM655365:PQM655442 PQM720901:PQM720978 PQM786437:PQM786514 PQM851973:PQM852050 PQM917509:PQM917586 PQM983045:PQM983122 QAI2:QAI82 QAI65541:QAI65618 QAI131077:QAI131154 QAI196613:QAI196690 QAI262149:QAI262226 QAI327685:QAI327762 QAI393221:QAI393298 QAI458757:QAI458834 QAI524293:QAI524370 QAI589829:QAI589906 QAI655365:QAI655442 QAI720901:QAI720978 QAI786437:QAI786514 QAI851973:QAI852050 QAI917509:QAI917586 QAI983045:QAI983122 QKE2:QKE82 QKE65541:QKE65618 QKE131077:QKE131154 QKE196613:QKE196690 QKE262149:QKE262226 QKE327685:QKE327762 QKE393221:QKE393298 QKE458757:QKE458834 QKE524293:QKE524370 QKE589829:QKE589906 QKE655365:QKE655442 QKE720901:QKE720978 QKE786437:QKE786514 QKE851973:QKE852050 QKE917509:QKE917586 QKE983045:QKE983122 QUA2:QUA82 QUA65541:QUA65618 QUA131077:QUA131154 QUA196613:QUA196690 QUA262149:QUA262226 QUA327685:QUA327762 QUA393221:QUA393298 QUA458757:QUA458834 QUA524293:QUA524370 QUA589829:QUA589906 QUA655365:QUA655442 QUA720901:QUA720978 QUA786437:QUA786514 QUA851973:QUA852050 QUA917509:QUA917586 QUA983045:QUA983122 RDW2:RDW82 RDW65541:RDW65618 RDW131077:RDW131154 RDW196613:RDW196690 RDW262149:RDW262226 RDW327685:RDW327762 RDW393221:RDW393298 RDW458757:RDW458834 RDW524293:RDW524370 RDW589829:RDW589906 RDW655365:RDW655442 RDW720901:RDW720978 RDW786437:RDW786514 RDW851973:RDW852050 RDW917509:RDW917586 RDW983045:RDW983122 RNS2:RNS82 RNS65541:RNS65618 RNS131077:RNS131154 RNS196613:RNS196690 RNS262149:RNS262226 RNS327685:RNS327762 RNS393221:RNS393298 RNS458757:RNS458834 RNS524293:RNS524370 RNS589829:RNS589906 RNS655365:RNS655442 RNS720901:RNS720978 RNS786437:RNS786514 RNS851973:RNS852050 RNS917509:RNS917586 RNS983045:RNS983122 RXO2:RXO82 RXO65541:RXO65618 RXO131077:RXO131154 RXO196613:RXO196690 RXO262149:RXO262226 RXO327685:RXO327762 RXO393221:RXO393298 RXO458757:RXO458834 RXO524293:RXO524370 RXO589829:RXO589906 RXO655365:RXO655442 RXO720901:RXO720978 RXO786437:RXO786514 RXO851973:RXO852050 RXO917509:RXO917586 RXO983045:RXO983122 SHK2:SHK82 SHK65541:SHK65618 SHK131077:SHK131154 SHK196613:SHK196690 SHK262149:SHK262226 SHK327685:SHK327762 SHK393221:SHK393298 SHK458757:SHK458834 SHK524293:SHK524370 SHK589829:SHK589906 SHK655365:SHK655442 SHK720901:SHK720978 SHK786437:SHK786514 SHK851973:SHK852050 SHK917509:SHK917586 SHK983045:SHK983122 SRG2:SRG82 SRG65541:SRG65618 SRG131077:SRG131154 SRG196613:SRG196690 SRG262149:SRG262226 SRG327685:SRG327762 SRG393221:SRG393298 SRG458757:SRG458834 SRG524293:SRG524370 SRG589829:SRG589906 SRG655365:SRG655442 SRG720901:SRG720978 SRG786437:SRG786514 SRG851973:SRG852050 SRG917509:SRG917586 SRG983045:SRG983122 TBC2:TBC82 TBC65541:TBC65618 TBC131077:TBC131154 TBC196613:TBC196690 TBC262149:TBC262226 TBC327685:TBC327762 TBC393221:TBC393298 TBC458757:TBC458834 TBC524293:TBC524370 TBC589829:TBC589906 TBC655365:TBC655442 TBC720901:TBC720978 TBC786437:TBC786514 TBC851973:TBC852050 TBC917509:TBC917586 TBC983045:TBC983122 TKY2:TKY82 TKY65541:TKY65618 TKY131077:TKY131154 TKY196613:TKY196690 TKY262149:TKY262226 TKY327685:TKY327762 TKY393221:TKY393298 TKY458757:TKY458834 TKY524293:TKY524370 TKY589829:TKY589906 TKY655365:TKY655442 TKY720901:TKY720978 TKY786437:TKY786514 TKY851973:TKY852050 TKY917509:TKY917586 TKY983045:TKY983122 TUU2:TUU82 TUU65541:TUU65618 TUU131077:TUU131154 TUU196613:TUU196690 TUU262149:TUU262226 TUU327685:TUU327762 TUU393221:TUU393298 TUU458757:TUU458834 TUU524293:TUU524370 TUU589829:TUU589906 TUU655365:TUU655442 TUU720901:TUU720978 TUU786437:TUU786514 TUU851973:TUU852050 TUU917509:TUU917586 TUU983045:TUU983122 UEQ2:UEQ82 UEQ65541:UEQ65618 UEQ131077:UEQ131154 UEQ196613:UEQ196690 UEQ262149:UEQ262226 UEQ327685:UEQ327762 UEQ393221:UEQ393298 UEQ458757:UEQ458834 UEQ524293:UEQ524370 UEQ589829:UEQ589906 UEQ655365:UEQ655442 UEQ720901:UEQ720978 UEQ786437:UEQ786514 UEQ851973:UEQ852050 UEQ917509:UEQ917586 UEQ983045:UEQ983122 UOM2:UOM82 UOM65541:UOM65618 UOM131077:UOM131154 UOM196613:UOM196690 UOM262149:UOM262226 UOM327685:UOM327762 UOM393221:UOM393298 UOM458757:UOM458834 UOM524293:UOM524370 UOM589829:UOM589906 UOM655365:UOM655442 UOM720901:UOM720978 UOM786437:UOM786514 UOM851973:UOM852050 UOM917509:UOM917586 UOM983045:UOM983122 UYI2:UYI82 UYI65541:UYI65618 UYI131077:UYI131154 UYI196613:UYI196690 UYI262149:UYI262226 UYI327685:UYI327762 UYI393221:UYI393298 UYI458757:UYI458834 UYI524293:UYI524370 UYI589829:UYI589906 UYI655365:UYI655442 UYI720901:UYI720978 UYI786437:UYI786514 UYI851973:UYI852050 UYI917509:UYI917586 UYI983045:UYI983122 VIE2:VIE82 VIE65541:VIE65618 VIE131077:VIE131154 VIE196613:VIE196690 VIE262149:VIE262226 VIE327685:VIE327762 VIE393221:VIE393298 VIE458757:VIE458834 VIE524293:VIE524370 VIE589829:VIE589906 VIE655365:VIE655442 VIE720901:VIE720978 VIE786437:VIE786514 VIE851973:VIE852050 VIE917509:VIE917586 VIE983045:VIE983122 VSA2:VSA82 VSA65541:VSA65618 VSA131077:VSA131154 VSA196613:VSA196690 VSA262149:VSA262226 VSA327685:VSA327762 VSA393221:VSA393298 VSA458757:VSA458834 VSA524293:VSA524370 VSA589829:VSA589906 VSA655365:VSA655442 VSA720901:VSA720978 VSA786437:VSA786514 VSA851973:VSA852050 VSA917509:VSA917586 VSA983045:VSA983122 WBW2:WBW82 WBW65541:WBW65618 WBW131077:WBW131154 WBW196613:WBW196690 WBW262149:WBW262226 WBW327685:WBW327762 WBW393221:WBW393298 WBW458757:WBW458834 WBW524293:WBW524370 WBW589829:WBW589906 WBW655365:WBW655442 WBW720901:WBW720978 WBW786437:WBW786514 WBW851973:WBW852050 WBW917509:WBW917586 WBW983045:WBW983122 WLS2:WLS82 WLS65541:WLS65618 WLS131077:WLS131154 WLS196613:WLS196690 WLS262149:WLS262226 WLS327685:WLS327762 WLS393221:WLS393298 WLS458757:WLS458834 WLS524293:WLS524370 WLS589829:WLS589906 WLS655365:WLS655442 WLS720901:WLS720978 WLS786437:WLS786514 WLS851973:WLS852050 WLS917509:WLS917586 WLS983045:WLS983122 WVO2:WVO82 WVO65541:WVO65618 WVO131077:WVO131154 WVO196613:WVO196690 WVO262149:WVO262226 WVO327685:WVO327762 WVO393221:WVO393298 WVO458757:WVO458834 WVO524293:WVO524370 WVO589829:WVO589906 WVO655365:WVO655442 WVO720901:WVO720978 WVO786437:WVO786514 WVO851973:WVO852050 WVO917509:WVO917586 WVO983045:WVO983122">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19" zoomScale="80" zoomScaleNormal="80" workbookViewId="0">
      <selection activeCell="AB35" sqref="AB35"/>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241</v>
      </c>
      <c r="B1" s="202" t="s">
        <v>1</v>
      </c>
      <c r="C1" s="202" t="s">
        <v>159</v>
      </c>
      <c r="D1" s="203" t="s">
        <v>3</v>
      </c>
      <c r="E1" s="203" t="s">
        <v>415</v>
      </c>
      <c r="F1" s="203" t="s">
        <v>5</v>
      </c>
      <c r="G1" s="203" t="s">
        <v>6</v>
      </c>
      <c r="H1" s="203" t="s">
        <v>242</v>
      </c>
      <c r="I1" s="203" t="s">
        <v>8</v>
      </c>
      <c r="J1" s="203" t="s">
        <v>9</v>
      </c>
      <c r="K1" s="203" t="s">
        <v>10</v>
      </c>
      <c r="L1" s="203" t="s">
        <v>160</v>
      </c>
      <c r="M1" s="203" t="s">
        <v>12</v>
      </c>
      <c r="N1" s="203" t="s">
        <v>13</v>
      </c>
      <c r="O1" s="203" t="s">
        <v>161</v>
      </c>
      <c r="P1" s="203" t="s">
        <v>15</v>
      </c>
      <c r="Q1" s="204" t="s">
        <v>16</v>
      </c>
      <c r="R1" s="203" t="s">
        <v>17</v>
      </c>
      <c r="S1" s="203" t="s">
        <v>18</v>
      </c>
      <c r="T1" s="204" t="s">
        <v>19</v>
      </c>
      <c r="U1" s="205" t="s">
        <v>108</v>
      </c>
      <c r="V1" s="206" t="s">
        <v>20</v>
      </c>
      <c r="W1" s="203" t="s">
        <v>21</v>
      </c>
      <c r="X1" s="203" t="s">
        <v>22</v>
      </c>
      <c r="Y1" s="203" t="s">
        <v>23</v>
      </c>
      <c r="Z1" s="203" t="s">
        <v>24</v>
      </c>
      <c r="AA1" s="134" t="s">
        <v>25</v>
      </c>
      <c r="AB1" s="135" t="s">
        <v>162</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170</v>
      </c>
      <c r="BA1" s="215" t="s">
        <v>165</v>
      </c>
    </row>
    <row r="2" spans="1:53" s="143" customFormat="1" x14ac:dyDescent="0.15">
      <c r="A2" s="137" t="s">
        <v>61</v>
      </c>
      <c r="B2" s="137" t="s">
        <v>416</v>
      </c>
      <c r="C2" s="137">
        <v>2018</v>
      </c>
      <c r="D2" s="138" t="s">
        <v>417</v>
      </c>
      <c r="E2" s="137" t="s">
        <v>244</v>
      </c>
      <c r="F2" s="137" t="s">
        <v>243</v>
      </c>
      <c r="G2" s="137" t="s">
        <v>42</v>
      </c>
      <c r="H2" s="247" t="s">
        <v>157</v>
      </c>
      <c r="I2" s="247" t="s">
        <v>155</v>
      </c>
      <c r="J2" s="137" t="s">
        <v>38</v>
      </c>
      <c r="K2" s="247" t="s">
        <v>156</v>
      </c>
      <c r="L2" s="247">
        <v>1</v>
      </c>
      <c r="M2" s="247"/>
      <c r="N2" s="247">
        <v>1</v>
      </c>
      <c r="O2" s="247">
        <v>0.6</v>
      </c>
      <c r="P2" s="247">
        <v>0.6</v>
      </c>
      <c r="Q2" s="139">
        <f t="shared" ref="Q2:Q66" si="0">IF(OR(O2="",P2=""),"",AVERAGE(O2,P2))</f>
        <v>0.6</v>
      </c>
      <c r="R2" s="247">
        <v>17.2</v>
      </c>
      <c r="S2" s="247">
        <v>113</v>
      </c>
      <c r="T2" s="140">
        <f t="shared" ref="T2:T65" si="1">IF(H2="","",IF(OR(H2="GREEN",H2="GK"),IF(S2&gt;=$AX$2,VLOOKUP(S2,$AX$2:$AY$15,2,1),""),IF(S2&gt;=$AZ$2,VLOOKUP(S2,$AZ$2:$BA$15,2,1),"")))</f>
        <v>30</v>
      </c>
      <c r="U2" s="247">
        <v>148</v>
      </c>
      <c r="V2" s="141">
        <f>IF(OR(N2="",U2="",T2=""),"",U2/N2*T2)</f>
        <v>4440</v>
      </c>
      <c r="W2" s="247">
        <v>4</v>
      </c>
      <c r="X2" s="137" t="s">
        <v>39</v>
      </c>
      <c r="Y2" s="247" t="s">
        <v>86</v>
      </c>
      <c r="Z2" s="247" t="s">
        <v>78</v>
      </c>
      <c r="AA2" s="247" t="s">
        <v>88</v>
      </c>
      <c r="AB2" s="137" t="s">
        <v>418</v>
      </c>
      <c r="AC2" s="142"/>
      <c r="AE2" s="218" t="s">
        <v>35</v>
      </c>
      <c r="AG2" s="49" t="s">
        <v>244</v>
      </c>
      <c r="AH2" s="49" t="s">
        <v>243</v>
      </c>
      <c r="AJ2" s="144" t="s">
        <v>36</v>
      </c>
      <c r="AL2" s="219" t="s">
        <v>127</v>
      </c>
      <c r="AN2" s="144" t="s">
        <v>37</v>
      </c>
      <c r="AP2" s="219" t="s">
        <v>38</v>
      </c>
      <c r="AR2" s="219" t="s">
        <v>419</v>
      </c>
      <c r="AT2" s="144" t="s">
        <v>39</v>
      </c>
      <c r="AV2" s="219" t="s">
        <v>40</v>
      </c>
      <c r="AX2" s="145">
        <v>1</v>
      </c>
      <c r="AY2" s="146">
        <v>50</v>
      </c>
      <c r="AZ2" s="146">
        <v>1</v>
      </c>
      <c r="BA2" s="147">
        <v>50</v>
      </c>
    </row>
    <row r="3" spans="1:53" x14ac:dyDescent="0.15">
      <c r="A3" s="137" t="s">
        <v>61</v>
      </c>
      <c r="B3" s="137" t="s">
        <v>420</v>
      </c>
      <c r="C3" s="137">
        <v>2018</v>
      </c>
      <c r="D3" s="138" t="s">
        <v>421</v>
      </c>
      <c r="E3" s="137" t="s">
        <v>244</v>
      </c>
      <c r="F3" s="137" t="s">
        <v>243</v>
      </c>
      <c r="G3" s="137" t="s">
        <v>42</v>
      </c>
      <c r="H3" s="247" t="s">
        <v>157</v>
      </c>
      <c r="I3" s="247" t="s">
        <v>155</v>
      </c>
      <c r="J3" s="137" t="s">
        <v>38</v>
      </c>
      <c r="K3" s="247" t="s">
        <v>156</v>
      </c>
      <c r="L3" s="247">
        <v>2</v>
      </c>
      <c r="M3" s="247"/>
      <c r="N3" s="247">
        <v>1</v>
      </c>
      <c r="O3" s="247">
        <v>0.65</v>
      </c>
      <c r="P3" s="247">
        <v>0.6</v>
      </c>
      <c r="Q3" s="139">
        <f t="shared" si="0"/>
        <v>0.625</v>
      </c>
      <c r="R3" s="247">
        <v>17.600000000000001</v>
      </c>
      <c r="S3" s="247">
        <v>121</v>
      </c>
      <c r="T3" s="140">
        <f t="shared" si="1"/>
        <v>27</v>
      </c>
      <c r="U3" s="247">
        <v>148</v>
      </c>
      <c r="V3" s="141">
        <f t="shared" ref="V3:V66" si="2">IF(OR(N3="",U3="",T3=""),"",U3/N3*T3)</f>
        <v>3996</v>
      </c>
      <c r="W3" s="247">
        <v>4</v>
      </c>
      <c r="X3" s="137" t="s">
        <v>39</v>
      </c>
      <c r="Y3" s="247" t="s">
        <v>86</v>
      </c>
      <c r="Z3" s="247" t="s">
        <v>78</v>
      </c>
      <c r="AA3" s="247" t="s">
        <v>88</v>
      </c>
      <c r="AB3" s="137" t="s">
        <v>418</v>
      </c>
      <c r="AC3" s="142"/>
      <c r="AE3" s="223" t="s">
        <v>41</v>
      </c>
      <c r="AG3" s="49" t="s">
        <v>245</v>
      </c>
      <c r="AH3" s="49" t="s">
        <v>246</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420</v>
      </c>
      <c r="C4" s="137">
        <v>2018</v>
      </c>
      <c r="D4" s="138" t="s">
        <v>421</v>
      </c>
      <c r="E4" s="137" t="s">
        <v>244</v>
      </c>
      <c r="F4" s="137" t="s">
        <v>243</v>
      </c>
      <c r="G4" s="137" t="s">
        <v>42</v>
      </c>
      <c r="H4" s="247" t="s">
        <v>157</v>
      </c>
      <c r="I4" s="247" t="s">
        <v>155</v>
      </c>
      <c r="J4" s="137" t="s">
        <v>38</v>
      </c>
      <c r="K4" s="247" t="s">
        <v>156</v>
      </c>
      <c r="L4" s="247">
        <v>3</v>
      </c>
      <c r="M4" s="247"/>
      <c r="N4" s="247">
        <v>1</v>
      </c>
      <c r="O4" s="247">
        <v>0.65</v>
      </c>
      <c r="P4" s="247">
        <v>0.65</v>
      </c>
      <c r="Q4" s="139">
        <f t="shared" si="0"/>
        <v>0.65</v>
      </c>
      <c r="R4" s="247">
        <v>17.100000000000001</v>
      </c>
      <c r="S4" s="247">
        <v>120</v>
      </c>
      <c r="T4" s="140">
        <f t="shared" si="1"/>
        <v>30</v>
      </c>
      <c r="U4" s="247">
        <v>148</v>
      </c>
      <c r="V4" s="141">
        <f t="shared" si="2"/>
        <v>4440</v>
      </c>
      <c r="W4" s="247">
        <v>4</v>
      </c>
      <c r="X4" s="137" t="s">
        <v>39</v>
      </c>
      <c r="Y4" s="247" t="s">
        <v>86</v>
      </c>
      <c r="Z4" s="247" t="s">
        <v>78</v>
      </c>
      <c r="AA4" s="247" t="s">
        <v>88</v>
      </c>
      <c r="AB4" s="137" t="s">
        <v>418</v>
      </c>
      <c r="AC4" s="142"/>
      <c r="AE4" s="223" t="s">
        <v>34</v>
      </c>
      <c r="AG4" s="49" t="s">
        <v>247</v>
      </c>
      <c r="AH4" s="49" t="s">
        <v>248</v>
      </c>
      <c r="AJ4" s="228" t="s">
        <v>48</v>
      </c>
      <c r="AL4" s="228" t="s">
        <v>129</v>
      </c>
      <c r="AN4" s="229" t="s">
        <v>49</v>
      </c>
      <c r="AP4" s="224" t="s">
        <v>422</v>
      </c>
      <c r="AR4" s="238" t="s">
        <v>423</v>
      </c>
      <c r="AT4" s="229"/>
      <c r="AV4" s="238" t="s">
        <v>50</v>
      </c>
      <c r="AX4" s="225">
        <v>75</v>
      </c>
      <c r="AY4" s="226">
        <v>42</v>
      </c>
      <c r="AZ4" s="226">
        <v>76</v>
      </c>
      <c r="BA4" s="227">
        <v>39</v>
      </c>
    </row>
    <row r="5" spans="1:53" x14ac:dyDescent="0.15">
      <c r="A5" s="137" t="s">
        <v>61</v>
      </c>
      <c r="B5" s="137" t="s">
        <v>420</v>
      </c>
      <c r="C5" s="137">
        <v>2018</v>
      </c>
      <c r="D5" s="138" t="s">
        <v>421</v>
      </c>
      <c r="E5" s="137" t="s">
        <v>244</v>
      </c>
      <c r="F5" s="137" t="s">
        <v>243</v>
      </c>
      <c r="G5" s="137" t="s">
        <v>42</v>
      </c>
      <c r="H5" s="247" t="s">
        <v>166</v>
      </c>
      <c r="I5" s="247" t="s">
        <v>155</v>
      </c>
      <c r="J5" s="137" t="s">
        <v>38</v>
      </c>
      <c r="K5" s="247" t="s">
        <v>156</v>
      </c>
      <c r="L5" s="247">
        <v>1</v>
      </c>
      <c r="M5" s="247"/>
      <c r="N5" s="247">
        <v>1</v>
      </c>
      <c r="O5" s="247">
        <v>0.5</v>
      </c>
      <c r="P5" s="247">
        <v>0.55000000000000004</v>
      </c>
      <c r="Q5" s="139">
        <f t="shared" si="0"/>
        <v>0.52500000000000002</v>
      </c>
      <c r="R5" s="247">
        <v>18.399999999999999</v>
      </c>
      <c r="S5" s="247">
        <v>132</v>
      </c>
      <c r="T5" s="140">
        <f t="shared" si="1"/>
        <v>25</v>
      </c>
      <c r="U5" s="247">
        <v>166</v>
      </c>
      <c r="V5" s="141">
        <f t="shared" si="2"/>
        <v>4150</v>
      </c>
      <c r="W5" s="247">
        <v>4</v>
      </c>
      <c r="X5" s="137" t="s">
        <v>39</v>
      </c>
      <c r="Y5" s="247" t="s">
        <v>86</v>
      </c>
      <c r="Z5" s="247" t="s">
        <v>78</v>
      </c>
      <c r="AA5" s="247" t="s">
        <v>88</v>
      </c>
      <c r="AB5" s="137" t="s">
        <v>418</v>
      </c>
      <c r="AC5" s="142"/>
      <c r="AE5" s="223" t="s">
        <v>51</v>
      </c>
      <c r="AG5" s="49" t="s">
        <v>249</v>
      </c>
      <c r="AH5" s="49" t="s">
        <v>250</v>
      </c>
      <c r="AJ5" s="228"/>
      <c r="AL5" s="230" t="s">
        <v>424</v>
      </c>
      <c r="AN5" s="230" t="s">
        <v>425</v>
      </c>
      <c r="AP5" s="224" t="s">
        <v>426</v>
      </c>
      <c r="AR5" s="238" t="s">
        <v>54</v>
      </c>
      <c r="AT5" s="247"/>
      <c r="AV5" s="238" t="s">
        <v>55</v>
      </c>
      <c r="AX5" s="225">
        <v>84</v>
      </c>
      <c r="AY5" s="226">
        <v>39</v>
      </c>
      <c r="AZ5" s="226">
        <v>84</v>
      </c>
      <c r="BA5" s="227">
        <v>36</v>
      </c>
    </row>
    <row r="6" spans="1:53" x14ac:dyDescent="0.15">
      <c r="A6" s="137" t="s">
        <v>61</v>
      </c>
      <c r="B6" s="137" t="s">
        <v>420</v>
      </c>
      <c r="C6" s="137">
        <v>2018</v>
      </c>
      <c r="D6" s="138" t="s">
        <v>421</v>
      </c>
      <c r="E6" s="137" t="s">
        <v>244</v>
      </c>
      <c r="F6" s="137" t="s">
        <v>243</v>
      </c>
      <c r="G6" s="137" t="s">
        <v>42</v>
      </c>
      <c r="H6" s="247" t="s">
        <v>166</v>
      </c>
      <c r="I6" s="247" t="s">
        <v>155</v>
      </c>
      <c r="J6" s="137" t="s">
        <v>38</v>
      </c>
      <c r="K6" s="247" t="s">
        <v>156</v>
      </c>
      <c r="L6" s="247">
        <v>2</v>
      </c>
      <c r="M6" s="247"/>
      <c r="N6" s="247">
        <v>1</v>
      </c>
      <c r="O6" s="247">
        <v>0.6</v>
      </c>
      <c r="P6" s="247">
        <v>0.55000000000000004</v>
      </c>
      <c r="Q6" s="139">
        <f t="shared" si="0"/>
        <v>0.57499999999999996</v>
      </c>
      <c r="R6" s="247">
        <v>18.600000000000001</v>
      </c>
      <c r="S6" s="247">
        <v>136</v>
      </c>
      <c r="T6" s="140">
        <f t="shared" si="1"/>
        <v>25</v>
      </c>
      <c r="U6" s="247">
        <v>166</v>
      </c>
      <c r="V6" s="141">
        <f t="shared" si="2"/>
        <v>4150</v>
      </c>
      <c r="W6" s="247">
        <v>4</v>
      </c>
      <c r="X6" s="137" t="s">
        <v>39</v>
      </c>
      <c r="Y6" s="247" t="s">
        <v>86</v>
      </c>
      <c r="Z6" s="247" t="s">
        <v>78</v>
      </c>
      <c r="AA6" s="247" t="s">
        <v>88</v>
      </c>
      <c r="AB6" s="137" t="s">
        <v>418</v>
      </c>
      <c r="AC6" s="142"/>
      <c r="AE6" s="223" t="s">
        <v>56</v>
      </c>
      <c r="AG6" s="49" t="s">
        <v>251</v>
      </c>
      <c r="AH6" s="49" t="s">
        <v>252</v>
      </c>
      <c r="AJ6" s="228"/>
      <c r="AL6" s="230" t="s">
        <v>264</v>
      </c>
      <c r="AN6" s="230" t="s">
        <v>427</v>
      </c>
      <c r="AP6" s="224" t="s">
        <v>53</v>
      </c>
      <c r="AR6" s="238" t="s">
        <v>59</v>
      </c>
      <c r="AT6" s="247"/>
      <c r="AV6" s="238" t="s">
        <v>60</v>
      </c>
      <c r="AX6" s="225">
        <v>97</v>
      </c>
      <c r="AY6" s="226">
        <v>36</v>
      </c>
      <c r="AZ6" s="226">
        <v>99</v>
      </c>
      <c r="BA6" s="227">
        <v>33</v>
      </c>
    </row>
    <row r="7" spans="1:53" x14ac:dyDescent="0.15">
      <c r="A7" s="137" t="s">
        <v>61</v>
      </c>
      <c r="B7" s="137" t="s">
        <v>420</v>
      </c>
      <c r="C7" s="137">
        <v>2018</v>
      </c>
      <c r="D7" s="138" t="s">
        <v>421</v>
      </c>
      <c r="E7" s="137" t="s">
        <v>244</v>
      </c>
      <c r="F7" s="137" t="s">
        <v>243</v>
      </c>
      <c r="G7" s="137" t="s">
        <v>42</v>
      </c>
      <c r="H7" s="247" t="s">
        <v>166</v>
      </c>
      <c r="I7" s="247" t="s">
        <v>155</v>
      </c>
      <c r="J7" s="137" t="s">
        <v>38</v>
      </c>
      <c r="K7" s="247" t="s">
        <v>156</v>
      </c>
      <c r="L7" s="247">
        <v>3</v>
      </c>
      <c r="M7" s="247"/>
      <c r="N7" s="247">
        <v>1</v>
      </c>
      <c r="O7" s="247">
        <v>0.5</v>
      </c>
      <c r="P7" s="247">
        <v>0.5</v>
      </c>
      <c r="Q7" s="139">
        <f t="shared" si="0"/>
        <v>0.5</v>
      </c>
      <c r="R7" s="247">
        <v>18</v>
      </c>
      <c r="S7" s="247">
        <v>130</v>
      </c>
      <c r="T7" s="140">
        <f t="shared" si="1"/>
        <v>25</v>
      </c>
      <c r="U7" s="247">
        <v>166</v>
      </c>
      <c r="V7" s="141">
        <f t="shared" si="2"/>
        <v>4150</v>
      </c>
      <c r="W7" s="247">
        <v>4</v>
      </c>
      <c r="X7" s="137" t="s">
        <v>39</v>
      </c>
      <c r="Y7" s="247" t="s">
        <v>86</v>
      </c>
      <c r="Z7" s="247" t="s">
        <v>78</v>
      </c>
      <c r="AA7" s="247" t="s">
        <v>88</v>
      </c>
      <c r="AB7" s="137" t="s">
        <v>418</v>
      </c>
      <c r="AC7" s="142"/>
      <c r="AE7" s="223" t="s">
        <v>61</v>
      </c>
      <c r="AG7" s="49" t="s">
        <v>253</v>
      </c>
      <c r="AH7" s="49" t="s">
        <v>254</v>
      </c>
      <c r="AJ7" s="228"/>
      <c r="AL7" s="235" t="s">
        <v>428</v>
      </c>
      <c r="AN7" s="148"/>
      <c r="AP7" s="224" t="s">
        <v>58</v>
      </c>
      <c r="AR7" s="231" t="s">
        <v>122</v>
      </c>
      <c r="AT7" s="247"/>
      <c r="AV7" s="238" t="s">
        <v>64</v>
      </c>
      <c r="AX7" s="225">
        <v>109</v>
      </c>
      <c r="AY7" s="226">
        <v>33</v>
      </c>
      <c r="AZ7" s="226">
        <v>113</v>
      </c>
      <c r="BA7" s="227">
        <v>30</v>
      </c>
    </row>
    <row r="8" spans="1:53" x14ac:dyDescent="0.15">
      <c r="A8" s="137" t="s">
        <v>61</v>
      </c>
      <c r="B8" s="137" t="s">
        <v>385</v>
      </c>
      <c r="C8" s="137">
        <v>2018</v>
      </c>
      <c r="D8" s="138" t="s">
        <v>429</v>
      </c>
      <c r="E8" s="137" t="s">
        <v>245</v>
      </c>
      <c r="F8" s="137" t="s">
        <v>246</v>
      </c>
      <c r="G8" s="137" t="s">
        <v>42</v>
      </c>
      <c r="H8" s="247" t="s">
        <v>157</v>
      </c>
      <c r="I8" s="247" t="s">
        <v>155</v>
      </c>
      <c r="J8" s="137" t="s">
        <v>38</v>
      </c>
      <c r="K8" s="247" t="s">
        <v>156</v>
      </c>
      <c r="L8" s="247">
        <v>1</v>
      </c>
      <c r="M8" s="247"/>
      <c r="N8" s="247">
        <v>1</v>
      </c>
      <c r="O8" s="247">
        <v>0.6</v>
      </c>
      <c r="P8" s="247">
        <v>0.6</v>
      </c>
      <c r="Q8" s="139">
        <f t="shared" si="0"/>
        <v>0.6</v>
      </c>
      <c r="R8" s="247">
        <v>16.8</v>
      </c>
      <c r="S8" s="247">
        <v>148</v>
      </c>
      <c r="T8" s="140">
        <f t="shared" si="1"/>
        <v>22</v>
      </c>
      <c r="U8" s="247">
        <v>138</v>
      </c>
      <c r="V8" s="141">
        <f t="shared" si="2"/>
        <v>3036</v>
      </c>
      <c r="W8" s="247">
        <v>7</v>
      </c>
      <c r="X8" s="137" t="s">
        <v>46</v>
      </c>
      <c r="Y8" s="247" t="s">
        <v>97</v>
      </c>
      <c r="Z8" s="247" t="s">
        <v>88</v>
      </c>
      <c r="AA8" s="247" t="s">
        <v>69</v>
      </c>
      <c r="AB8" s="137" t="s">
        <v>430</v>
      </c>
      <c r="AC8" s="142"/>
      <c r="AE8" s="223" t="s">
        <v>59</v>
      </c>
      <c r="AG8" s="49" t="s">
        <v>255</v>
      </c>
      <c r="AH8" s="49" t="s">
        <v>256</v>
      </c>
      <c r="AJ8" s="229"/>
      <c r="AL8" s="235" t="s">
        <v>353</v>
      </c>
      <c r="AN8" s="230"/>
      <c r="AP8" s="224" t="s">
        <v>62</v>
      </c>
      <c r="AR8" s="238" t="s">
        <v>81</v>
      </c>
      <c r="AV8" s="238" t="s">
        <v>97</v>
      </c>
      <c r="AX8" s="225">
        <v>119</v>
      </c>
      <c r="AY8" s="226">
        <v>30</v>
      </c>
      <c r="AZ8" s="226">
        <v>121</v>
      </c>
      <c r="BA8" s="227">
        <v>27</v>
      </c>
    </row>
    <row r="9" spans="1:53" x14ac:dyDescent="0.15">
      <c r="A9" s="137" t="s">
        <v>61</v>
      </c>
      <c r="B9" s="137" t="s">
        <v>385</v>
      </c>
      <c r="C9" s="137">
        <v>2018</v>
      </c>
      <c r="D9" s="138" t="s">
        <v>429</v>
      </c>
      <c r="E9" s="137" t="s">
        <v>245</v>
      </c>
      <c r="F9" s="137" t="s">
        <v>246</v>
      </c>
      <c r="G9" s="137" t="s">
        <v>42</v>
      </c>
      <c r="H9" s="247" t="s">
        <v>157</v>
      </c>
      <c r="I9" s="247" t="s">
        <v>155</v>
      </c>
      <c r="J9" s="137" t="s">
        <v>38</v>
      </c>
      <c r="K9" s="247" t="s">
        <v>156</v>
      </c>
      <c r="L9" s="247">
        <v>2</v>
      </c>
      <c r="M9" s="247"/>
      <c r="N9" s="247">
        <v>1</v>
      </c>
      <c r="O9" s="247">
        <v>0.35499999999999998</v>
      </c>
      <c r="P9" s="247">
        <v>0.6</v>
      </c>
      <c r="Q9" s="139">
        <f t="shared" si="0"/>
        <v>0.47749999999999998</v>
      </c>
      <c r="R9" s="142">
        <v>17</v>
      </c>
      <c r="S9" s="247">
        <v>142</v>
      </c>
      <c r="T9" s="140">
        <f t="shared" si="1"/>
        <v>22</v>
      </c>
      <c r="U9" s="247">
        <v>138</v>
      </c>
      <c r="V9" s="141">
        <f t="shared" si="2"/>
        <v>3036</v>
      </c>
      <c r="W9" s="247">
        <v>7</v>
      </c>
      <c r="X9" s="137" t="s">
        <v>46</v>
      </c>
      <c r="Y9" s="247" t="s">
        <v>97</v>
      </c>
      <c r="Z9" s="247" t="s">
        <v>88</v>
      </c>
      <c r="AA9" s="247" t="s">
        <v>69</v>
      </c>
      <c r="AB9" s="137" t="s">
        <v>430</v>
      </c>
      <c r="AC9" s="142"/>
      <c r="AE9" s="223" t="s">
        <v>98</v>
      </c>
      <c r="AG9" s="49" t="s">
        <v>133</v>
      </c>
      <c r="AH9" s="49" t="s">
        <v>257</v>
      </c>
      <c r="AL9" s="230"/>
      <c r="AN9" s="230"/>
      <c r="AP9" s="224" t="s">
        <v>95</v>
      </c>
      <c r="AR9" s="231" t="s">
        <v>89</v>
      </c>
      <c r="AV9" s="238" t="s">
        <v>102</v>
      </c>
      <c r="AX9" s="225">
        <v>128</v>
      </c>
      <c r="AY9" s="226">
        <v>27</v>
      </c>
      <c r="AZ9" s="226">
        <v>129</v>
      </c>
      <c r="BA9" s="227">
        <v>25</v>
      </c>
    </row>
    <row r="10" spans="1:53" x14ac:dyDescent="0.15">
      <c r="A10" s="137" t="s">
        <v>61</v>
      </c>
      <c r="B10" s="137" t="s">
        <v>388</v>
      </c>
      <c r="C10" s="137">
        <v>2018</v>
      </c>
      <c r="D10" s="138" t="s">
        <v>431</v>
      </c>
      <c r="E10" s="137" t="s">
        <v>245</v>
      </c>
      <c r="F10" s="137" t="s">
        <v>246</v>
      </c>
      <c r="G10" s="137" t="s">
        <v>42</v>
      </c>
      <c r="H10" s="247" t="s">
        <v>157</v>
      </c>
      <c r="I10" s="247" t="s">
        <v>155</v>
      </c>
      <c r="J10" s="137" t="s">
        <v>38</v>
      </c>
      <c r="K10" s="247" t="s">
        <v>156</v>
      </c>
      <c r="L10" s="247">
        <v>3</v>
      </c>
      <c r="M10" s="247"/>
      <c r="N10" s="247">
        <v>1</v>
      </c>
      <c r="O10" s="247">
        <v>0.65</v>
      </c>
      <c r="P10" s="247">
        <v>0.65</v>
      </c>
      <c r="Q10" s="139">
        <f t="shared" si="0"/>
        <v>0.65</v>
      </c>
      <c r="R10" s="247">
        <v>17.100000000000001</v>
      </c>
      <c r="S10" s="247">
        <v>139</v>
      </c>
      <c r="T10" s="140">
        <f t="shared" si="1"/>
        <v>22</v>
      </c>
      <c r="U10" s="247">
        <v>138</v>
      </c>
      <c r="V10" s="141">
        <f t="shared" si="2"/>
        <v>3036</v>
      </c>
      <c r="W10" s="247">
        <v>7</v>
      </c>
      <c r="X10" s="137" t="s">
        <v>46</v>
      </c>
      <c r="Y10" s="247" t="s">
        <v>97</v>
      </c>
      <c r="Z10" s="247" t="s">
        <v>88</v>
      </c>
      <c r="AA10" s="247" t="s">
        <v>69</v>
      </c>
      <c r="AB10" s="137" t="s">
        <v>432</v>
      </c>
      <c r="AC10" s="142"/>
      <c r="AE10" s="223" t="s">
        <v>103</v>
      </c>
      <c r="AG10" s="49" t="s">
        <v>258</v>
      </c>
      <c r="AH10" s="49" t="s">
        <v>259</v>
      </c>
      <c r="AL10" s="228"/>
      <c r="AP10" s="224" t="s">
        <v>100</v>
      </c>
      <c r="AR10" s="231" t="s">
        <v>123</v>
      </c>
      <c r="AV10" s="238" t="s">
        <v>106</v>
      </c>
      <c r="AX10" s="225">
        <v>138</v>
      </c>
      <c r="AY10" s="226">
        <v>25</v>
      </c>
      <c r="AZ10" s="226">
        <v>138</v>
      </c>
      <c r="BA10" s="227">
        <v>22</v>
      </c>
    </row>
    <row r="11" spans="1:53" x14ac:dyDescent="0.15">
      <c r="A11" s="137" t="s">
        <v>433</v>
      </c>
      <c r="B11" s="137" t="s">
        <v>388</v>
      </c>
      <c r="C11" s="137">
        <v>2018</v>
      </c>
      <c r="D11" s="138" t="s">
        <v>431</v>
      </c>
      <c r="E11" s="137" t="s">
        <v>245</v>
      </c>
      <c r="F11" s="137" t="s">
        <v>246</v>
      </c>
      <c r="G11" s="137" t="s">
        <v>42</v>
      </c>
      <c r="H11" s="247" t="s">
        <v>166</v>
      </c>
      <c r="I11" s="247" t="s">
        <v>155</v>
      </c>
      <c r="J11" s="137" t="s">
        <v>38</v>
      </c>
      <c r="K11" s="247" t="s">
        <v>156</v>
      </c>
      <c r="L11" s="247">
        <v>1</v>
      </c>
      <c r="M11" s="247"/>
      <c r="N11" s="247">
        <v>1</v>
      </c>
      <c r="O11" s="247">
        <v>0.5</v>
      </c>
      <c r="P11" s="247">
        <v>0.5</v>
      </c>
      <c r="Q11" s="139">
        <f t="shared" si="0"/>
        <v>0.5</v>
      </c>
      <c r="R11" s="247">
        <v>18.399999999999999</v>
      </c>
      <c r="S11" s="247">
        <v>141</v>
      </c>
      <c r="T11" s="140">
        <f t="shared" si="1"/>
        <v>22</v>
      </c>
      <c r="U11" s="247">
        <v>158</v>
      </c>
      <c r="V11" s="141">
        <f t="shared" si="2"/>
        <v>3476</v>
      </c>
      <c r="W11" s="247">
        <v>7</v>
      </c>
      <c r="X11" s="137" t="s">
        <v>46</v>
      </c>
      <c r="Y11" s="247" t="s">
        <v>97</v>
      </c>
      <c r="Z11" s="247" t="s">
        <v>88</v>
      </c>
      <c r="AA11" s="247" t="s">
        <v>69</v>
      </c>
      <c r="AB11" s="137" t="s">
        <v>432</v>
      </c>
      <c r="AC11" s="142"/>
      <c r="AE11" s="223" t="s">
        <v>65</v>
      </c>
      <c r="AG11" s="49" t="s">
        <v>260</v>
      </c>
      <c r="AH11" s="49" t="s">
        <v>259</v>
      </c>
      <c r="AL11" s="149"/>
      <c r="AP11" s="224" t="s">
        <v>104</v>
      </c>
      <c r="AR11" s="231" t="s">
        <v>87</v>
      </c>
      <c r="AV11" s="150" t="s">
        <v>434</v>
      </c>
      <c r="AX11" s="225">
        <v>151</v>
      </c>
      <c r="AY11" s="226">
        <v>22</v>
      </c>
      <c r="AZ11" s="226">
        <v>152</v>
      </c>
      <c r="BA11" s="227">
        <v>18</v>
      </c>
    </row>
    <row r="12" spans="1:53" x14ac:dyDescent="0.15">
      <c r="A12" s="137" t="s">
        <v>61</v>
      </c>
      <c r="B12" s="137" t="s">
        <v>393</v>
      </c>
      <c r="C12" s="137">
        <v>2018</v>
      </c>
      <c r="D12" s="138" t="s">
        <v>435</v>
      </c>
      <c r="E12" s="137" t="s">
        <v>245</v>
      </c>
      <c r="F12" s="137" t="s">
        <v>246</v>
      </c>
      <c r="G12" s="137" t="s">
        <v>42</v>
      </c>
      <c r="H12" s="247" t="s">
        <v>166</v>
      </c>
      <c r="I12" s="247" t="s">
        <v>155</v>
      </c>
      <c r="J12" s="137" t="s">
        <v>38</v>
      </c>
      <c r="K12" s="247" t="s">
        <v>156</v>
      </c>
      <c r="L12" s="247">
        <v>2</v>
      </c>
      <c r="M12" s="247"/>
      <c r="N12" s="247">
        <v>1</v>
      </c>
      <c r="O12" s="247">
        <v>0.55000000000000004</v>
      </c>
      <c r="P12" s="247">
        <v>0.5</v>
      </c>
      <c r="Q12" s="139">
        <f t="shared" si="0"/>
        <v>0.52500000000000002</v>
      </c>
      <c r="R12" s="142">
        <v>18.600000000000001</v>
      </c>
      <c r="S12" s="247">
        <v>136</v>
      </c>
      <c r="T12" s="140">
        <f t="shared" si="1"/>
        <v>25</v>
      </c>
      <c r="U12" s="247">
        <v>158</v>
      </c>
      <c r="V12" s="141">
        <f t="shared" si="2"/>
        <v>3950</v>
      </c>
      <c r="W12" s="247">
        <v>7</v>
      </c>
      <c r="X12" s="137" t="s">
        <v>46</v>
      </c>
      <c r="Y12" s="247" t="s">
        <v>97</v>
      </c>
      <c r="Z12" s="247" t="s">
        <v>88</v>
      </c>
      <c r="AA12" s="247" t="s">
        <v>69</v>
      </c>
      <c r="AB12" s="137" t="s">
        <v>436</v>
      </c>
      <c r="AC12" s="142"/>
      <c r="AE12" s="223" t="s">
        <v>70</v>
      </c>
      <c r="AG12" s="224"/>
      <c r="AH12" s="223"/>
      <c r="AL12" s="149"/>
      <c r="AP12" s="224" t="s">
        <v>67</v>
      </c>
      <c r="AR12" s="231" t="s">
        <v>124</v>
      </c>
      <c r="AV12" s="150" t="s">
        <v>437</v>
      </c>
      <c r="AX12" s="225">
        <v>180</v>
      </c>
      <c r="AY12" s="226">
        <v>18</v>
      </c>
      <c r="AZ12" s="226">
        <v>181</v>
      </c>
      <c r="BA12" s="227">
        <v>16</v>
      </c>
    </row>
    <row r="13" spans="1:53" x14ac:dyDescent="0.15">
      <c r="A13" s="137" t="s">
        <v>61</v>
      </c>
      <c r="B13" s="137" t="s">
        <v>397</v>
      </c>
      <c r="C13" s="137">
        <v>2018</v>
      </c>
      <c r="D13" s="138" t="s">
        <v>438</v>
      </c>
      <c r="E13" s="137" t="s">
        <v>245</v>
      </c>
      <c r="F13" s="137" t="s">
        <v>246</v>
      </c>
      <c r="G13" s="137" t="s">
        <v>42</v>
      </c>
      <c r="H13" s="247" t="s">
        <v>166</v>
      </c>
      <c r="I13" s="247" t="s">
        <v>155</v>
      </c>
      <c r="J13" s="137" t="s">
        <v>38</v>
      </c>
      <c r="K13" s="247" t="s">
        <v>156</v>
      </c>
      <c r="L13" s="247">
        <v>3</v>
      </c>
      <c r="M13" s="247"/>
      <c r="N13" s="247">
        <v>1</v>
      </c>
      <c r="O13" s="247">
        <v>0.5</v>
      </c>
      <c r="P13" s="247">
        <v>0.5</v>
      </c>
      <c r="Q13" s="139">
        <f t="shared" si="0"/>
        <v>0.5</v>
      </c>
      <c r="R13" s="247">
        <v>18</v>
      </c>
      <c r="S13" s="247">
        <v>139</v>
      </c>
      <c r="T13" s="140">
        <f t="shared" si="1"/>
        <v>22</v>
      </c>
      <c r="U13" s="247">
        <v>158</v>
      </c>
      <c r="V13" s="141">
        <f t="shared" si="2"/>
        <v>3476</v>
      </c>
      <c r="W13" s="247">
        <v>7</v>
      </c>
      <c r="X13" s="137" t="s">
        <v>46</v>
      </c>
      <c r="Y13" s="247" t="s">
        <v>97</v>
      </c>
      <c r="Z13" s="247" t="s">
        <v>88</v>
      </c>
      <c r="AA13" s="247" t="s">
        <v>69</v>
      </c>
      <c r="AB13" s="137" t="s">
        <v>439</v>
      </c>
      <c r="AC13" s="142"/>
      <c r="AE13" s="223" t="s">
        <v>73</v>
      </c>
      <c r="AG13" s="224"/>
      <c r="AH13" s="223"/>
      <c r="AL13" s="151"/>
      <c r="AP13" s="224" t="s">
        <v>71</v>
      </c>
      <c r="AR13" s="231" t="s">
        <v>103</v>
      </c>
      <c r="AV13" s="150" t="s">
        <v>440</v>
      </c>
      <c r="AX13" s="225"/>
      <c r="AY13" s="226"/>
      <c r="AZ13" s="226"/>
      <c r="BA13" s="227"/>
    </row>
    <row r="14" spans="1:53" x14ac:dyDescent="0.15">
      <c r="A14" s="137" t="s">
        <v>61</v>
      </c>
      <c r="B14" s="137" t="s">
        <v>399</v>
      </c>
      <c r="C14" s="137">
        <v>2018</v>
      </c>
      <c r="D14" s="138" t="s">
        <v>441</v>
      </c>
      <c r="E14" s="137" t="s">
        <v>247</v>
      </c>
      <c r="F14" s="137" t="s">
        <v>248</v>
      </c>
      <c r="G14" s="137" t="s">
        <v>42</v>
      </c>
      <c r="H14" s="247" t="s">
        <v>157</v>
      </c>
      <c r="I14" s="247" t="s">
        <v>155</v>
      </c>
      <c r="J14" s="137" t="s">
        <v>38</v>
      </c>
      <c r="K14" s="247" t="s">
        <v>156</v>
      </c>
      <c r="L14" s="247">
        <v>1</v>
      </c>
      <c r="M14" s="247"/>
      <c r="N14" s="247">
        <v>1</v>
      </c>
      <c r="O14" s="247">
        <v>0.7</v>
      </c>
      <c r="P14" s="247">
        <v>0.75</v>
      </c>
      <c r="Q14" s="139">
        <f t="shared" si="0"/>
        <v>0.72499999999999998</v>
      </c>
      <c r="R14" s="247">
        <v>18.100000000000001</v>
      </c>
      <c r="S14" s="247">
        <v>112</v>
      </c>
      <c r="T14" s="140">
        <f t="shared" si="1"/>
        <v>33</v>
      </c>
      <c r="U14" s="247">
        <v>138</v>
      </c>
      <c r="V14" s="141">
        <f t="shared" si="2"/>
        <v>4554</v>
      </c>
      <c r="W14" s="247">
        <v>13</v>
      </c>
      <c r="X14" s="137" t="s">
        <v>46</v>
      </c>
      <c r="Y14" s="247" t="s">
        <v>55</v>
      </c>
      <c r="Z14" s="247" t="s">
        <v>69</v>
      </c>
      <c r="AA14" s="247" t="s">
        <v>47</v>
      </c>
      <c r="AB14" s="137" t="s">
        <v>442</v>
      </c>
      <c r="AC14" s="142"/>
      <c r="AE14" s="223" t="s">
        <v>76</v>
      </c>
      <c r="AG14" s="224"/>
      <c r="AH14" s="223"/>
      <c r="AL14" s="235"/>
      <c r="AP14" s="224" t="s">
        <v>74</v>
      </c>
      <c r="AR14" s="231" t="s">
        <v>125</v>
      </c>
      <c r="AV14" s="150" t="s">
        <v>443</v>
      </c>
      <c r="AX14" s="225"/>
      <c r="AY14" s="226"/>
      <c r="AZ14" s="226"/>
      <c r="BA14" s="227"/>
    </row>
    <row r="15" spans="1:53" x14ac:dyDescent="0.15">
      <c r="A15" s="137" t="s">
        <v>61</v>
      </c>
      <c r="B15" s="137" t="s">
        <v>399</v>
      </c>
      <c r="C15" s="137">
        <v>2018</v>
      </c>
      <c r="D15" s="138" t="s">
        <v>441</v>
      </c>
      <c r="E15" s="137" t="s">
        <v>247</v>
      </c>
      <c r="F15" s="137" t="s">
        <v>248</v>
      </c>
      <c r="G15" s="137" t="s">
        <v>42</v>
      </c>
      <c r="H15" s="247" t="s">
        <v>157</v>
      </c>
      <c r="I15" s="247" t="s">
        <v>155</v>
      </c>
      <c r="J15" s="137" t="s">
        <v>38</v>
      </c>
      <c r="K15" s="247" t="s">
        <v>156</v>
      </c>
      <c r="L15" s="247">
        <v>2</v>
      </c>
      <c r="M15" s="247"/>
      <c r="N15" s="247">
        <v>1</v>
      </c>
      <c r="O15" s="247">
        <v>0.7</v>
      </c>
      <c r="P15" s="247">
        <v>0.6</v>
      </c>
      <c r="Q15" s="139">
        <f t="shared" si="0"/>
        <v>0.64999999999999991</v>
      </c>
      <c r="R15" s="142">
        <v>18</v>
      </c>
      <c r="S15" s="247">
        <v>128</v>
      </c>
      <c r="T15" s="140">
        <f t="shared" si="1"/>
        <v>27</v>
      </c>
      <c r="U15" s="247">
        <v>138</v>
      </c>
      <c r="V15" s="141">
        <f t="shared" si="2"/>
        <v>3726</v>
      </c>
      <c r="W15" s="247">
        <v>13</v>
      </c>
      <c r="X15" s="137" t="s">
        <v>46</v>
      </c>
      <c r="Y15" s="247" t="s">
        <v>55</v>
      </c>
      <c r="Z15" s="247" t="s">
        <v>69</v>
      </c>
      <c r="AA15" s="247" t="s">
        <v>47</v>
      </c>
      <c r="AB15" s="137" t="s">
        <v>442</v>
      </c>
      <c r="AC15" s="142"/>
      <c r="AE15" s="223" t="s">
        <v>79</v>
      </c>
      <c r="AG15" s="224"/>
      <c r="AH15" s="224"/>
      <c r="AL15" s="235"/>
      <c r="AP15" s="224" t="s">
        <v>77</v>
      </c>
      <c r="AR15" s="231" t="s">
        <v>94</v>
      </c>
      <c r="AV15" s="150" t="s">
        <v>444</v>
      </c>
      <c r="AX15" s="232"/>
      <c r="AY15" s="233"/>
      <c r="AZ15" s="233"/>
      <c r="BA15" s="234"/>
    </row>
    <row r="16" spans="1:53" x14ac:dyDescent="0.15">
      <c r="A16" s="137" t="s">
        <v>61</v>
      </c>
      <c r="B16" s="137" t="s">
        <v>401</v>
      </c>
      <c r="C16" s="137">
        <v>2018</v>
      </c>
      <c r="D16" s="138" t="s">
        <v>445</v>
      </c>
      <c r="E16" s="137" t="s">
        <v>247</v>
      </c>
      <c r="F16" s="137" t="s">
        <v>248</v>
      </c>
      <c r="G16" s="137" t="s">
        <v>42</v>
      </c>
      <c r="H16" s="247" t="s">
        <v>157</v>
      </c>
      <c r="I16" s="247" t="s">
        <v>155</v>
      </c>
      <c r="J16" s="137" t="s">
        <v>38</v>
      </c>
      <c r="K16" s="247" t="s">
        <v>156</v>
      </c>
      <c r="L16" s="247">
        <v>3</v>
      </c>
      <c r="M16" s="247"/>
      <c r="N16" s="247">
        <v>1</v>
      </c>
      <c r="O16" s="247">
        <v>0.6</v>
      </c>
      <c r="P16" s="247">
        <v>0.6</v>
      </c>
      <c r="Q16" s="139">
        <f t="shared" si="0"/>
        <v>0.6</v>
      </c>
      <c r="R16" s="247">
        <v>18.2</v>
      </c>
      <c r="S16" s="247">
        <v>118</v>
      </c>
      <c r="T16" s="140">
        <f t="shared" si="1"/>
        <v>30</v>
      </c>
      <c r="U16" s="247">
        <v>138</v>
      </c>
      <c r="V16" s="141">
        <f t="shared" si="2"/>
        <v>4140</v>
      </c>
      <c r="W16" s="247">
        <v>13</v>
      </c>
      <c r="X16" s="137" t="s">
        <v>46</v>
      </c>
      <c r="Y16" s="247" t="s">
        <v>55</v>
      </c>
      <c r="Z16" s="247" t="s">
        <v>69</v>
      </c>
      <c r="AA16" s="247" t="s">
        <v>47</v>
      </c>
      <c r="AB16" s="137" t="s">
        <v>446</v>
      </c>
      <c r="AC16" s="142"/>
      <c r="AE16" s="223" t="s">
        <v>82</v>
      </c>
      <c r="AG16" s="224"/>
      <c r="AH16" s="224"/>
      <c r="AP16" s="224" t="s">
        <v>80</v>
      </c>
      <c r="AR16" s="238" t="s">
        <v>63</v>
      </c>
      <c r="AV16" s="150" t="s">
        <v>447</v>
      </c>
    </row>
    <row r="17" spans="1:48" x14ac:dyDescent="0.15">
      <c r="A17" s="137" t="s">
        <v>61</v>
      </c>
      <c r="B17" s="137" t="s">
        <v>401</v>
      </c>
      <c r="C17" s="137">
        <v>2018</v>
      </c>
      <c r="D17" s="138" t="s">
        <v>445</v>
      </c>
      <c r="E17" s="137" t="s">
        <v>247</v>
      </c>
      <c r="F17" s="137" t="s">
        <v>248</v>
      </c>
      <c r="G17" s="137" t="s">
        <v>42</v>
      </c>
      <c r="H17" s="247" t="s">
        <v>166</v>
      </c>
      <c r="I17" s="247" t="s">
        <v>155</v>
      </c>
      <c r="J17" s="137" t="s">
        <v>38</v>
      </c>
      <c r="K17" s="247" t="s">
        <v>156</v>
      </c>
      <c r="L17" s="247">
        <v>1</v>
      </c>
      <c r="M17" s="247"/>
      <c r="N17" s="247">
        <v>1</v>
      </c>
      <c r="O17" s="247">
        <v>0.6</v>
      </c>
      <c r="P17" s="247">
        <v>0.6</v>
      </c>
      <c r="Q17" s="139">
        <f t="shared" si="0"/>
        <v>0.6</v>
      </c>
      <c r="R17" s="247">
        <v>18</v>
      </c>
      <c r="S17" s="247">
        <v>128</v>
      </c>
      <c r="T17" s="140">
        <f t="shared" si="1"/>
        <v>27</v>
      </c>
      <c r="U17" s="247">
        <v>158</v>
      </c>
      <c r="V17" s="141">
        <f t="shared" si="2"/>
        <v>4266</v>
      </c>
      <c r="W17" s="247">
        <v>13</v>
      </c>
      <c r="X17" s="137" t="s">
        <v>46</v>
      </c>
      <c r="Y17" s="247" t="s">
        <v>55</v>
      </c>
      <c r="Z17" s="247" t="s">
        <v>69</v>
      </c>
      <c r="AA17" s="247" t="s">
        <v>47</v>
      </c>
      <c r="AB17" s="137" t="s">
        <v>446</v>
      </c>
      <c r="AC17" s="142"/>
      <c r="AE17" s="223" t="s">
        <v>85</v>
      </c>
      <c r="AP17" s="239" t="s">
        <v>110</v>
      </c>
      <c r="AR17" s="238" t="s">
        <v>96</v>
      </c>
      <c r="AV17" s="150" t="s">
        <v>448</v>
      </c>
    </row>
    <row r="18" spans="1:48" x14ac:dyDescent="0.15">
      <c r="A18" s="137" t="s">
        <v>61</v>
      </c>
      <c r="B18" s="137" t="s">
        <v>401</v>
      </c>
      <c r="C18" s="137">
        <v>2018</v>
      </c>
      <c r="D18" s="138" t="s">
        <v>445</v>
      </c>
      <c r="E18" s="137" t="s">
        <v>247</v>
      </c>
      <c r="F18" s="137" t="s">
        <v>248</v>
      </c>
      <c r="G18" s="137" t="s">
        <v>42</v>
      </c>
      <c r="H18" s="247" t="s">
        <v>166</v>
      </c>
      <c r="I18" s="247" t="s">
        <v>155</v>
      </c>
      <c r="J18" s="137" t="s">
        <v>38</v>
      </c>
      <c r="K18" s="247" t="s">
        <v>156</v>
      </c>
      <c r="L18" s="247">
        <v>2</v>
      </c>
      <c r="M18" s="247"/>
      <c r="N18" s="247">
        <v>1</v>
      </c>
      <c r="O18" s="247">
        <v>0.55000000000000004</v>
      </c>
      <c r="P18" s="247">
        <v>0.55000000000000004</v>
      </c>
      <c r="Q18" s="139">
        <f t="shared" si="0"/>
        <v>0.55000000000000004</v>
      </c>
      <c r="R18" s="142">
        <v>18.3</v>
      </c>
      <c r="S18" s="247">
        <v>131</v>
      </c>
      <c r="T18" s="140">
        <f t="shared" si="1"/>
        <v>25</v>
      </c>
      <c r="U18" s="247">
        <v>158</v>
      </c>
      <c r="V18" s="141">
        <f t="shared" si="2"/>
        <v>3950</v>
      </c>
      <c r="W18" s="247">
        <v>13</v>
      </c>
      <c r="X18" s="137" t="s">
        <v>46</v>
      </c>
      <c r="Y18" s="247" t="s">
        <v>55</v>
      </c>
      <c r="Z18" s="247" t="s">
        <v>69</v>
      </c>
      <c r="AA18" s="247" t="s">
        <v>47</v>
      </c>
      <c r="AB18" s="137" t="s">
        <v>446</v>
      </c>
      <c r="AC18" s="142"/>
      <c r="AE18" s="223" t="s">
        <v>87</v>
      </c>
      <c r="AP18" s="239" t="s">
        <v>111</v>
      </c>
      <c r="AR18" s="238" t="s">
        <v>101</v>
      </c>
      <c r="AV18" s="150" t="s">
        <v>354</v>
      </c>
    </row>
    <row r="19" spans="1:48" x14ac:dyDescent="0.15">
      <c r="A19" s="137" t="s">
        <v>61</v>
      </c>
      <c r="B19" s="137" t="s">
        <v>393</v>
      </c>
      <c r="C19" s="137">
        <v>2018</v>
      </c>
      <c r="D19" s="138" t="s">
        <v>435</v>
      </c>
      <c r="E19" s="137" t="s">
        <v>247</v>
      </c>
      <c r="F19" s="137" t="s">
        <v>248</v>
      </c>
      <c r="G19" s="137" t="s">
        <v>42</v>
      </c>
      <c r="H19" s="247" t="s">
        <v>166</v>
      </c>
      <c r="I19" s="247" t="s">
        <v>155</v>
      </c>
      <c r="J19" s="137" t="s">
        <v>38</v>
      </c>
      <c r="K19" s="247" t="s">
        <v>156</v>
      </c>
      <c r="L19" s="247">
        <v>3</v>
      </c>
      <c r="M19" s="247"/>
      <c r="N19" s="247">
        <v>1</v>
      </c>
      <c r="O19" s="142">
        <v>0.6</v>
      </c>
      <c r="P19" s="247">
        <v>0.55000000000000004</v>
      </c>
      <c r="Q19" s="139">
        <f t="shared" si="0"/>
        <v>0.57499999999999996</v>
      </c>
      <c r="R19" s="247">
        <v>18.600000000000001</v>
      </c>
      <c r="S19" s="247">
        <v>134</v>
      </c>
      <c r="T19" s="140">
        <f t="shared" si="1"/>
        <v>25</v>
      </c>
      <c r="U19" s="247">
        <v>158</v>
      </c>
      <c r="V19" s="141">
        <f t="shared" si="2"/>
        <v>3950</v>
      </c>
      <c r="W19" s="247">
        <v>13</v>
      </c>
      <c r="X19" s="137" t="s">
        <v>46</v>
      </c>
      <c r="Y19" s="247" t="s">
        <v>55</v>
      </c>
      <c r="Z19" s="247" t="s">
        <v>69</v>
      </c>
      <c r="AA19" s="247" t="s">
        <v>47</v>
      </c>
      <c r="AB19" s="137" t="s">
        <v>436</v>
      </c>
      <c r="AC19" s="142"/>
      <c r="AE19" s="236" t="s">
        <v>89</v>
      </c>
      <c r="AP19" s="239" t="s">
        <v>112</v>
      </c>
      <c r="AR19" s="231" t="s">
        <v>126</v>
      </c>
      <c r="AV19" s="150" t="s">
        <v>449</v>
      </c>
    </row>
    <row r="20" spans="1:48" x14ac:dyDescent="0.15">
      <c r="A20" s="137" t="s">
        <v>61</v>
      </c>
      <c r="B20" s="137" t="s">
        <v>393</v>
      </c>
      <c r="C20" s="137">
        <v>2018</v>
      </c>
      <c r="D20" s="138" t="s">
        <v>435</v>
      </c>
      <c r="E20" s="137" t="s">
        <v>249</v>
      </c>
      <c r="F20" s="137" t="s">
        <v>250</v>
      </c>
      <c r="G20" s="137" t="s">
        <v>42</v>
      </c>
      <c r="H20" s="247" t="s">
        <v>157</v>
      </c>
      <c r="I20" s="247" t="s">
        <v>155</v>
      </c>
      <c r="J20" s="137" t="s">
        <v>38</v>
      </c>
      <c r="K20" s="247" t="s">
        <v>156</v>
      </c>
      <c r="L20" s="247">
        <v>1</v>
      </c>
      <c r="M20" s="247"/>
      <c r="N20" s="247">
        <v>1</v>
      </c>
      <c r="O20" s="247">
        <v>0.7</v>
      </c>
      <c r="P20" s="247">
        <v>0.65</v>
      </c>
      <c r="Q20" s="139">
        <f t="shared" si="0"/>
        <v>0.67500000000000004</v>
      </c>
      <c r="R20" s="247">
        <v>16.7</v>
      </c>
      <c r="S20" s="247">
        <v>138</v>
      </c>
      <c r="T20" s="140">
        <f t="shared" si="1"/>
        <v>22</v>
      </c>
      <c r="U20" s="247">
        <v>138</v>
      </c>
      <c r="V20" s="141">
        <f t="shared" si="2"/>
        <v>3036</v>
      </c>
      <c r="W20" s="247">
        <v>8</v>
      </c>
      <c r="X20" s="137" t="s">
        <v>46</v>
      </c>
      <c r="Y20" s="247" t="s">
        <v>97</v>
      </c>
      <c r="Z20" s="247" t="s">
        <v>88</v>
      </c>
      <c r="AA20" s="247" t="s">
        <v>86</v>
      </c>
      <c r="AB20" s="137" t="s">
        <v>436</v>
      </c>
      <c r="AC20" s="142"/>
      <c r="AE20" s="223"/>
      <c r="AP20" s="239" t="s">
        <v>113</v>
      </c>
      <c r="AR20" s="238" t="s">
        <v>105</v>
      </c>
      <c r="AV20" s="150" t="s">
        <v>450</v>
      </c>
    </row>
    <row r="21" spans="1:48" x14ac:dyDescent="0.15">
      <c r="A21" s="137" t="s">
        <v>61</v>
      </c>
      <c r="B21" s="137" t="s">
        <v>393</v>
      </c>
      <c r="C21" s="137">
        <v>2018</v>
      </c>
      <c r="D21" s="138" t="s">
        <v>435</v>
      </c>
      <c r="E21" s="137" t="s">
        <v>249</v>
      </c>
      <c r="F21" s="137" t="s">
        <v>250</v>
      </c>
      <c r="G21" s="137" t="s">
        <v>42</v>
      </c>
      <c r="H21" s="247" t="s">
        <v>157</v>
      </c>
      <c r="I21" s="247" t="s">
        <v>155</v>
      </c>
      <c r="J21" s="137" t="s">
        <v>38</v>
      </c>
      <c r="K21" s="247" t="s">
        <v>156</v>
      </c>
      <c r="L21" s="247">
        <v>2</v>
      </c>
      <c r="M21" s="247"/>
      <c r="N21" s="247">
        <v>1</v>
      </c>
      <c r="O21" s="247">
        <v>0.7</v>
      </c>
      <c r="P21" s="247">
        <v>0.6</v>
      </c>
      <c r="Q21" s="139">
        <f t="shared" si="0"/>
        <v>0.64999999999999991</v>
      </c>
      <c r="R21" s="247">
        <v>17.100000000000001</v>
      </c>
      <c r="S21" s="247">
        <v>135</v>
      </c>
      <c r="T21" s="140">
        <f t="shared" si="1"/>
        <v>25</v>
      </c>
      <c r="U21" s="247">
        <v>138</v>
      </c>
      <c r="V21" s="141">
        <f t="shared" si="2"/>
        <v>3450</v>
      </c>
      <c r="W21" s="247">
        <v>8</v>
      </c>
      <c r="X21" s="137" t="s">
        <v>46</v>
      </c>
      <c r="Y21" s="247" t="s">
        <v>97</v>
      </c>
      <c r="Z21" s="247" t="s">
        <v>88</v>
      </c>
      <c r="AA21" s="247" t="s">
        <v>86</v>
      </c>
      <c r="AB21" s="137" t="s">
        <v>436</v>
      </c>
      <c r="AC21" s="142"/>
      <c r="AE21" s="223"/>
      <c r="AP21" s="239" t="s">
        <v>114</v>
      </c>
      <c r="AR21" s="238" t="s">
        <v>68</v>
      </c>
      <c r="AV21" s="150" t="s">
        <v>451</v>
      </c>
    </row>
    <row r="22" spans="1:48" x14ac:dyDescent="0.15">
      <c r="A22" s="137" t="s">
        <v>61</v>
      </c>
      <c r="B22" s="137" t="s">
        <v>393</v>
      </c>
      <c r="C22" s="137">
        <v>2018</v>
      </c>
      <c r="D22" s="138" t="s">
        <v>435</v>
      </c>
      <c r="E22" s="137" t="s">
        <v>249</v>
      </c>
      <c r="F22" s="137" t="s">
        <v>250</v>
      </c>
      <c r="G22" s="137" t="s">
        <v>42</v>
      </c>
      <c r="H22" s="247" t="s">
        <v>157</v>
      </c>
      <c r="I22" s="247" t="s">
        <v>155</v>
      </c>
      <c r="J22" s="137" t="s">
        <v>38</v>
      </c>
      <c r="K22" s="247" t="s">
        <v>156</v>
      </c>
      <c r="L22" s="247">
        <v>3</v>
      </c>
      <c r="M22" s="247"/>
      <c r="N22" s="247">
        <v>1</v>
      </c>
      <c r="O22" s="142">
        <v>0.7</v>
      </c>
      <c r="P22" s="247">
        <v>0.7</v>
      </c>
      <c r="Q22" s="139">
        <f t="shared" si="0"/>
        <v>0.7</v>
      </c>
      <c r="R22" s="247">
        <v>17.2</v>
      </c>
      <c r="S22" s="247">
        <v>136</v>
      </c>
      <c r="T22" s="140">
        <f t="shared" si="1"/>
        <v>25</v>
      </c>
      <c r="U22" s="247">
        <v>138</v>
      </c>
      <c r="V22" s="141">
        <f t="shared" si="2"/>
        <v>3450</v>
      </c>
      <c r="W22" s="247">
        <v>8</v>
      </c>
      <c r="X22" s="137" t="s">
        <v>46</v>
      </c>
      <c r="Y22" s="247" t="s">
        <v>97</v>
      </c>
      <c r="Z22" s="247" t="s">
        <v>88</v>
      </c>
      <c r="AA22" s="247" t="s">
        <v>86</v>
      </c>
      <c r="AB22" s="137" t="s">
        <v>436</v>
      </c>
      <c r="AC22" s="142"/>
      <c r="AE22" s="236"/>
      <c r="AP22" s="239" t="s">
        <v>115</v>
      </c>
      <c r="AR22" s="238" t="s">
        <v>83</v>
      </c>
      <c r="AV22" s="224"/>
    </row>
    <row r="23" spans="1:48" x14ac:dyDescent="0.15">
      <c r="A23" s="137" t="s">
        <v>61</v>
      </c>
      <c r="B23" s="137" t="s">
        <v>393</v>
      </c>
      <c r="C23" s="137">
        <v>2018</v>
      </c>
      <c r="D23" s="138" t="s">
        <v>435</v>
      </c>
      <c r="E23" s="137" t="s">
        <v>249</v>
      </c>
      <c r="F23" s="137" t="s">
        <v>250</v>
      </c>
      <c r="G23" s="137" t="s">
        <v>42</v>
      </c>
      <c r="H23" s="247" t="s">
        <v>166</v>
      </c>
      <c r="I23" s="247" t="s">
        <v>155</v>
      </c>
      <c r="J23" s="137" t="s">
        <v>38</v>
      </c>
      <c r="K23" s="247" t="s">
        <v>156</v>
      </c>
      <c r="L23" s="247">
        <v>1</v>
      </c>
      <c r="M23" s="247"/>
      <c r="N23" s="247">
        <v>1</v>
      </c>
      <c r="O23" s="247">
        <v>0.6</v>
      </c>
      <c r="P23" s="247">
        <v>0.65</v>
      </c>
      <c r="Q23" s="139">
        <f t="shared" si="0"/>
        <v>0.625</v>
      </c>
      <c r="R23" s="247">
        <v>18.3</v>
      </c>
      <c r="S23" s="247">
        <v>140</v>
      </c>
      <c r="T23" s="140">
        <f t="shared" si="1"/>
        <v>22</v>
      </c>
      <c r="U23" s="247">
        <v>149</v>
      </c>
      <c r="V23" s="141">
        <f t="shared" si="2"/>
        <v>3278</v>
      </c>
      <c r="W23" s="247">
        <v>8</v>
      </c>
      <c r="X23" s="137" t="s">
        <v>46</v>
      </c>
      <c r="Y23" s="247" t="s">
        <v>97</v>
      </c>
      <c r="Z23" s="247" t="s">
        <v>88</v>
      </c>
      <c r="AA23" s="247" t="s">
        <v>86</v>
      </c>
      <c r="AB23" s="137" t="s">
        <v>436</v>
      </c>
      <c r="AC23" s="142"/>
      <c r="AE23" s="223"/>
      <c r="AP23" s="239" t="s">
        <v>408</v>
      </c>
      <c r="AR23" s="238" t="s">
        <v>61</v>
      </c>
    </row>
    <row r="24" spans="1:48" x14ac:dyDescent="0.15">
      <c r="A24" s="137" t="s">
        <v>61</v>
      </c>
      <c r="B24" s="137" t="s">
        <v>393</v>
      </c>
      <c r="C24" s="137">
        <v>2018</v>
      </c>
      <c r="D24" s="138" t="s">
        <v>435</v>
      </c>
      <c r="E24" s="137" t="s">
        <v>249</v>
      </c>
      <c r="F24" s="137" t="s">
        <v>250</v>
      </c>
      <c r="G24" s="137" t="s">
        <v>42</v>
      </c>
      <c r="H24" s="247" t="s">
        <v>166</v>
      </c>
      <c r="I24" s="247" t="s">
        <v>155</v>
      </c>
      <c r="J24" s="137" t="s">
        <v>38</v>
      </c>
      <c r="K24" s="247" t="s">
        <v>156</v>
      </c>
      <c r="L24" s="247">
        <v>2</v>
      </c>
      <c r="M24" s="247"/>
      <c r="N24" s="247">
        <v>1</v>
      </c>
      <c r="O24" s="247">
        <v>0.6</v>
      </c>
      <c r="P24" s="247">
        <v>0.6</v>
      </c>
      <c r="Q24" s="139">
        <f t="shared" si="0"/>
        <v>0.6</v>
      </c>
      <c r="R24" s="247">
        <v>18.600000000000001</v>
      </c>
      <c r="S24" s="247">
        <v>142</v>
      </c>
      <c r="T24" s="140">
        <f t="shared" si="1"/>
        <v>22</v>
      </c>
      <c r="U24" s="247">
        <v>149</v>
      </c>
      <c r="V24" s="141">
        <f t="shared" si="2"/>
        <v>3278</v>
      </c>
      <c r="W24" s="247">
        <v>8</v>
      </c>
      <c r="X24" s="137" t="s">
        <v>46</v>
      </c>
      <c r="Y24" s="247" t="s">
        <v>97</v>
      </c>
      <c r="Z24" s="247" t="s">
        <v>88</v>
      </c>
      <c r="AA24" s="247" t="s">
        <v>86</v>
      </c>
      <c r="AB24" s="137" t="s">
        <v>436</v>
      </c>
      <c r="AC24" s="142"/>
      <c r="AE24" s="223"/>
      <c r="AP24" s="239" t="s">
        <v>409</v>
      </c>
      <c r="AR24" s="238" t="s">
        <v>91</v>
      </c>
    </row>
    <row r="25" spans="1:48" x14ac:dyDescent="0.15">
      <c r="A25" s="137" t="s">
        <v>61</v>
      </c>
      <c r="B25" s="137" t="s">
        <v>393</v>
      </c>
      <c r="C25" s="137">
        <v>2018</v>
      </c>
      <c r="D25" s="138" t="s">
        <v>435</v>
      </c>
      <c r="E25" s="137" t="s">
        <v>249</v>
      </c>
      <c r="F25" s="137" t="s">
        <v>250</v>
      </c>
      <c r="G25" s="137" t="s">
        <v>42</v>
      </c>
      <c r="H25" s="247" t="s">
        <v>166</v>
      </c>
      <c r="I25" s="247" t="s">
        <v>155</v>
      </c>
      <c r="J25" s="137" t="s">
        <v>38</v>
      </c>
      <c r="K25" s="247" t="s">
        <v>156</v>
      </c>
      <c r="L25" s="247">
        <v>3</v>
      </c>
      <c r="M25" s="247"/>
      <c r="N25" s="247">
        <v>1</v>
      </c>
      <c r="O25" s="247">
        <v>0.6</v>
      </c>
      <c r="P25" s="247">
        <v>0.65</v>
      </c>
      <c r="Q25" s="139">
        <f t="shared" si="0"/>
        <v>0.625</v>
      </c>
      <c r="R25" s="247">
        <v>18.600000000000001</v>
      </c>
      <c r="S25" s="247">
        <v>146</v>
      </c>
      <c r="T25" s="140">
        <f t="shared" si="1"/>
        <v>22</v>
      </c>
      <c r="U25" s="247">
        <v>149</v>
      </c>
      <c r="V25" s="141">
        <f t="shared" si="2"/>
        <v>3278</v>
      </c>
      <c r="W25" s="247">
        <v>8</v>
      </c>
      <c r="X25" s="137" t="s">
        <v>46</v>
      </c>
      <c r="Y25" s="247" t="s">
        <v>97</v>
      </c>
      <c r="Z25" s="247" t="s">
        <v>88</v>
      </c>
      <c r="AA25" s="247" t="s">
        <v>86</v>
      </c>
      <c r="AB25" s="137" t="s">
        <v>436</v>
      </c>
      <c r="AC25" s="142"/>
      <c r="AE25" s="236"/>
      <c r="AP25" s="239" t="s">
        <v>116</v>
      </c>
      <c r="AR25" s="42" t="s">
        <v>92</v>
      </c>
    </row>
    <row r="26" spans="1:48" x14ac:dyDescent="0.15">
      <c r="A26" s="137" t="s">
        <v>61</v>
      </c>
      <c r="B26" s="137" t="s">
        <v>393</v>
      </c>
      <c r="C26" s="137">
        <v>2018</v>
      </c>
      <c r="D26" s="138" t="s">
        <v>435</v>
      </c>
      <c r="E26" s="137" t="s">
        <v>251</v>
      </c>
      <c r="F26" s="137" t="s">
        <v>252</v>
      </c>
      <c r="G26" s="137" t="s">
        <v>42</v>
      </c>
      <c r="H26" s="247" t="s">
        <v>157</v>
      </c>
      <c r="I26" s="247" t="s">
        <v>155</v>
      </c>
      <c r="J26" s="137" t="s">
        <v>38</v>
      </c>
      <c r="K26" s="247" t="s">
        <v>156</v>
      </c>
      <c r="L26" s="247">
        <v>1</v>
      </c>
      <c r="M26" s="247"/>
      <c r="N26" s="247">
        <v>5</v>
      </c>
      <c r="O26" s="247">
        <v>0.7</v>
      </c>
      <c r="P26" s="142">
        <v>0.75</v>
      </c>
      <c r="Q26" s="139">
        <f t="shared" si="0"/>
        <v>0.72499999999999998</v>
      </c>
      <c r="R26" s="247">
        <v>17.8</v>
      </c>
      <c r="S26" s="247">
        <v>121</v>
      </c>
      <c r="T26" s="140">
        <f t="shared" si="1"/>
        <v>27</v>
      </c>
      <c r="U26" s="247">
        <v>429</v>
      </c>
      <c r="V26" s="141">
        <f t="shared" si="2"/>
        <v>2316.6</v>
      </c>
      <c r="W26" s="247">
        <v>14</v>
      </c>
      <c r="X26" s="137" t="s">
        <v>46</v>
      </c>
      <c r="Y26" s="247" t="s">
        <v>88</v>
      </c>
      <c r="Z26" s="247" t="s">
        <v>78</v>
      </c>
      <c r="AA26" s="247" t="s">
        <v>97</v>
      </c>
      <c r="AB26" s="137" t="s">
        <v>436</v>
      </c>
      <c r="AC26" s="142"/>
      <c r="AD26" s="235"/>
      <c r="AE26" s="236"/>
      <c r="AP26" s="239" t="s">
        <v>117</v>
      </c>
      <c r="AR26" s="224" t="s">
        <v>290</v>
      </c>
    </row>
    <row r="27" spans="1:48" x14ac:dyDescent="0.15">
      <c r="A27" s="137" t="s">
        <v>61</v>
      </c>
      <c r="B27" s="137" t="s">
        <v>393</v>
      </c>
      <c r="C27" s="137">
        <v>2018</v>
      </c>
      <c r="D27" s="138" t="s">
        <v>435</v>
      </c>
      <c r="E27" s="137" t="s">
        <v>251</v>
      </c>
      <c r="F27" s="137" t="s">
        <v>252</v>
      </c>
      <c r="G27" s="137" t="s">
        <v>42</v>
      </c>
      <c r="H27" s="247" t="s">
        <v>157</v>
      </c>
      <c r="I27" s="247" t="s">
        <v>155</v>
      </c>
      <c r="J27" s="137" t="s">
        <v>38</v>
      </c>
      <c r="K27" s="247" t="s">
        <v>156</v>
      </c>
      <c r="L27" s="247">
        <v>2</v>
      </c>
      <c r="M27" s="247"/>
      <c r="N27" s="247">
        <v>5</v>
      </c>
      <c r="O27" s="247">
        <v>0.7</v>
      </c>
      <c r="P27" s="142">
        <v>0.6</v>
      </c>
      <c r="Q27" s="139">
        <f t="shared" si="0"/>
        <v>0.64999999999999991</v>
      </c>
      <c r="R27" s="247">
        <v>18.100000000000001</v>
      </c>
      <c r="S27" s="247">
        <v>128</v>
      </c>
      <c r="T27" s="140">
        <f t="shared" si="1"/>
        <v>27</v>
      </c>
      <c r="U27" s="247">
        <v>429</v>
      </c>
      <c r="V27" s="141">
        <f t="shared" si="2"/>
        <v>2316.6</v>
      </c>
      <c r="W27" s="247">
        <v>14</v>
      </c>
      <c r="X27" s="137" t="s">
        <v>46</v>
      </c>
      <c r="Y27" s="247" t="s">
        <v>88</v>
      </c>
      <c r="Z27" s="247" t="s">
        <v>78</v>
      </c>
      <c r="AA27" s="247" t="s">
        <v>97</v>
      </c>
      <c r="AB27" s="137" t="s">
        <v>436</v>
      </c>
      <c r="AC27" s="142"/>
      <c r="AD27" s="235"/>
      <c r="AE27" s="229"/>
      <c r="AP27" s="239" t="s">
        <v>118</v>
      </c>
      <c r="AR27" s="224"/>
    </row>
    <row r="28" spans="1:48" x14ac:dyDescent="0.15">
      <c r="A28" s="137" t="s">
        <v>61</v>
      </c>
      <c r="B28" s="137" t="s">
        <v>393</v>
      </c>
      <c r="C28" s="137">
        <v>2018</v>
      </c>
      <c r="D28" s="138" t="s">
        <v>435</v>
      </c>
      <c r="E28" s="137" t="s">
        <v>251</v>
      </c>
      <c r="F28" s="137" t="s">
        <v>252</v>
      </c>
      <c r="G28" s="137" t="s">
        <v>42</v>
      </c>
      <c r="H28" s="247" t="s">
        <v>157</v>
      </c>
      <c r="I28" s="247" t="s">
        <v>155</v>
      </c>
      <c r="J28" s="137" t="s">
        <v>38</v>
      </c>
      <c r="K28" s="247" t="s">
        <v>156</v>
      </c>
      <c r="L28" s="247">
        <v>3</v>
      </c>
      <c r="M28" s="247"/>
      <c r="N28" s="247">
        <v>5</v>
      </c>
      <c r="O28" s="247">
        <v>0.7</v>
      </c>
      <c r="P28" s="142">
        <v>0.7</v>
      </c>
      <c r="Q28" s="139">
        <f t="shared" si="0"/>
        <v>0.7</v>
      </c>
      <c r="R28" s="247">
        <v>18.399999999999999</v>
      </c>
      <c r="S28" s="247">
        <v>126</v>
      </c>
      <c r="T28" s="140">
        <f t="shared" si="1"/>
        <v>27</v>
      </c>
      <c r="U28" s="247">
        <v>429</v>
      </c>
      <c r="V28" s="141">
        <f t="shared" si="2"/>
        <v>2316.6</v>
      </c>
      <c r="W28" s="247">
        <v>14</v>
      </c>
      <c r="X28" s="137" t="s">
        <v>46</v>
      </c>
      <c r="Y28" s="247" t="s">
        <v>88</v>
      </c>
      <c r="Z28" s="247" t="s">
        <v>78</v>
      </c>
      <c r="AA28" s="247" t="s">
        <v>97</v>
      </c>
      <c r="AB28" s="137" t="s">
        <v>436</v>
      </c>
      <c r="AC28" s="142"/>
      <c r="AD28" s="235"/>
      <c r="AP28" s="228"/>
      <c r="AR28" s="224"/>
    </row>
    <row r="29" spans="1:48" x14ac:dyDescent="0.15">
      <c r="A29" s="137" t="s">
        <v>61</v>
      </c>
      <c r="B29" s="137" t="s">
        <v>393</v>
      </c>
      <c r="C29" s="137">
        <v>2018</v>
      </c>
      <c r="D29" s="138" t="s">
        <v>435</v>
      </c>
      <c r="E29" s="137" t="s">
        <v>251</v>
      </c>
      <c r="F29" s="137" t="s">
        <v>252</v>
      </c>
      <c r="G29" s="137" t="s">
        <v>42</v>
      </c>
      <c r="H29" s="247" t="s">
        <v>166</v>
      </c>
      <c r="I29" s="247" t="s">
        <v>155</v>
      </c>
      <c r="J29" s="137" t="s">
        <v>38</v>
      </c>
      <c r="K29" s="247" t="s">
        <v>156</v>
      </c>
      <c r="L29" s="247">
        <v>1</v>
      </c>
      <c r="M29" s="247"/>
      <c r="N29" s="247">
        <v>1</v>
      </c>
      <c r="O29" s="247">
        <v>0.65</v>
      </c>
      <c r="P29" s="247">
        <v>0.6</v>
      </c>
      <c r="Q29" s="139">
        <f t="shared" si="0"/>
        <v>0.625</v>
      </c>
      <c r="R29" s="247">
        <v>18.600000000000001</v>
      </c>
      <c r="S29" s="247">
        <v>134</v>
      </c>
      <c r="T29" s="140">
        <f t="shared" si="1"/>
        <v>25</v>
      </c>
      <c r="U29" s="247">
        <v>100</v>
      </c>
      <c r="V29" s="141">
        <f t="shared" si="2"/>
        <v>2500</v>
      </c>
      <c r="W29" s="247">
        <v>14</v>
      </c>
      <c r="X29" s="137" t="s">
        <v>46</v>
      </c>
      <c r="Y29" s="247" t="s">
        <v>88</v>
      </c>
      <c r="Z29" s="247" t="s">
        <v>78</v>
      </c>
      <c r="AA29" s="247" t="s">
        <v>97</v>
      </c>
      <c r="AB29" s="137" t="s">
        <v>436</v>
      </c>
      <c r="AC29" s="142"/>
    </row>
    <row r="30" spans="1:48" x14ac:dyDescent="0.15">
      <c r="A30" s="137" t="s">
        <v>61</v>
      </c>
      <c r="B30" s="137" t="s">
        <v>393</v>
      </c>
      <c r="C30" s="137">
        <v>2018</v>
      </c>
      <c r="D30" s="138" t="s">
        <v>435</v>
      </c>
      <c r="E30" s="137" t="s">
        <v>251</v>
      </c>
      <c r="F30" s="137" t="s">
        <v>252</v>
      </c>
      <c r="G30" s="137" t="s">
        <v>42</v>
      </c>
      <c r="H30" s="247" t="s">
        <v>166</v>
      </c>
      <c r="I30" s="247" t="s">
        <v>155</v>
      </c>
      <c r="J30" s="137" t="s">
        <v>38</v>
      </c>
      <c r="K30" s="247" t="s">
        <v>156</v>
      </c>
      <c r="L30" s="247">
        <v>2</v>
      </c>
      <c r="M30" s="247"/>
      <c r="N30" s="247">
        <v>1</v>
      </c>
      <c r="O30" s="247">
        <v>0.6</v>
      </c>
      <c r="P30" s="142">
        <v>0.55000000000000004</v>
      </c>
      <c r="Q30" s="139">
        <f t="shared" si="0"/>
        <v>0.57499999999999996</v>
      </c>
      <c r="R30" s="247">
        <v>18.600000000000001</v>
      </c>
      <c r="S30" s="247">
        <v>130</v>
      </c>
      <c r="T30" s="140">
        <f t="shared" si="1"/>
        <v>25</v>
      </c>
      <c r="U30" s="247">
        <v>100</v>
      </c>
      <c r="V30" s="141">
        <f t="shared" si="2"/>
        <v>2500</v>
      </c>
      <c r="W30" s="247">
        <v>14</v>
      </c>
      <c r="X30" s="137" t="s">
        <v>46</v>
      </c>
      <c r="Y30" s="247" t="s">
        <v>88</v>
      </c>
      <c r="Z30" s="247" t="s">
        <v>78</v>
      </c>
      <c r="AA30" s="247" t="s">
        <v>97</v>
      </c>
      <c r="AB30" s="137" t="s">
        <v>436</v>
      </c>
      <c r="AC30" s="142"/>
    </row>
    <row r="31" spans="1:48" x14ac:dyDescent="0.15">
      <c r="A31" s="137" t="s">
        <v>61</v>
      </c>
      <c r="B31" s="137" t="s">
        <v>393</v>
      </c>
      <c r="C31" s="137">
        <v>2018</v>
      </c>
      <c r="D31" s="138" t="s">
        <v>435</v>
      </c>
      <c r="E31" s="137" t="s">
        <v>251</v>
      </c>
      <c r="F31" s="137" t="s">
        <v>252</v>
      </c>
      <c r="G31" s="137" t="s">
        <v>42</v>
      </c>
      <c r="H31" s="247" t="s">
        <v>166</v>
      </c>
      <c r="I31" s="247" t="s">
        <v>155</v>
      </c>
      <c r="J31" s="137" t="s">
        <v>38</v>
      </c>
      <c r="K31" s="247" t="s">
        <v>156</v>
      </c>
      <c r="L31" s="247">
        <v>3</v>
      </c>
      <c r="M31" s="247"/>
      <c r="N31" s="247">
        <v>1</v>
      </c>
      <c r="O31" s="247">
        <v>0.6</v>
      </c>
      <c r="P31" s="247">
        <v>0.6</v>
      </c>
      <c r="Q31" s="139">
        <f t="shared" si="0"/>
        <v>0.6</v>
      </c>
      <c r="R31" s="247">
        <v>18.399999999999999</v>
      </c>
      <c r="S31" s="247">
        <v>136</v>
      </c>
      <c r="T31" s="140">
        <f t="shared" si="1"/>
        <v>25</v>
      </c>
      <c r="U31" s="247">
        <v>100</v>
      </c>
      <c r="V31" s="141">
        <f t="shared" si="2"/>
        <v>2500</v>
      </c>
      <c r="W31" s="247">
        <v>14</v>
      </c>
      <c r="X31" s="137" t="s">
        <v>46</v>
      </c>
      <c r="Y31" s="247" t="s">
        <v>88</v>
      </c>
      <c r="Z31" s="247" t="s">
        <v>78</v>
      </c>
      <c r="AA31" s="247" t="s">
        <v>97</v>
      </c>
      <c r="AB31" s="137" t="s">
        <v>436</v>
      </c>
      <c r="AC31" s="142"/>
    </row>
    <row r="32" spans="1:48" x14ac:dyDescent="0.15">
      <c r="A32" s="137" t="s">
        <v>61</v>
      </c>
      <c r="B32" s="137" t="s">
        <v>393</v>
      </c>
      <c r="C32" s="137">
        <v>2018</v>
      </c>
      <c r="D32" s="138" t="s">
        <v>435</v>
      </c>
      <c r="E32" s="137" t="s">
        <v>251</v>
      </c>
      <c r="F32" s="137" t="s">
        <v>252</v>
      </c>
      <c r="G32" s="137" t="s">
        <v>42</v>
      </c>
      <c r="H32" s="247" t="s">
        <v>157</v>
      </c>
      <c r="I32" s="247" t="s">
        <v>158</v>
      </c>
      <c r="J32" s="137" t="s">
        <v>38</v>
      </c>
      <c r="K32" s="247" t="s">
        <v>156</v>
      </c>
      <c r="L32" s="247">
        <v>1</v>
      </c>
      <c r="M32" s="247"/>
      <c r="N32" s="247">
        <v>1</v>
      </c>
      <c r="O32" s="247">
        <v>0.6</v>
      </c>
      <c r="P32" s="247">
        <v>0.6</v>
      </c>
      <c r="Q32" s="139">
        <f t="shared" si="0"/>
        <v>0.6</v>
      </c>
      <c r="R32" s="247">
        <v>18.600000000000001</v>
      </c>
      <c r="S32" s="247">
        <v>118</v>
      </c>
      <c r="T32" s="140">
        <f t="shared" si="1"/>
        <v>30</v>
      </c>
      <c r="U32" s="247">
        <v>105</v>
      </c>
      <c r="V32" s="141">
        <f t="shared" si="2"/>
        <v>3150</v>
      </c>
      <c r="W32" s="247">
        <v>14</v>
      </c>
      <c r="X32" s="137" t="s">
        <v>46</v>
      </c>
      <c r="Y32" s="247" t="s">
        <v>88</v>
      </c>
      <c r="Z32" s="247" t="s">
        <v>78</v>
      </c>
      <c r="AA32" s="247" t="s">
        <v>97</v>
      </c>
      <c r="AB32" s="137" t="s">
        <v>436</v>
      </c>
      <c r="AC32" s="142"/>
    </row>
    <row r="33" spans="1:29" x14ac:dyDescent="0.15">
      <c r="A33" s="137" t="s">
        <v>61</v>
      </c>
      <c r="B33" s="137" t="s">
        <v>393</v>
      </c>
      <c r="C33" s="137">
        <v>2018</v>
      </c>
      <c r="D33" s="138" t="s">
        <v>435</v>
      </c>
      <c r="E33" s="137" t="s">
        <v>251</v>
      </c>
      <c r="F33" s="137" t="s">
        <v>252</v>
      </c>
      <c r="G33" s="137" t="s">
        <v>42</v>
      </c>
      <c r="H33" s="247" t="s">
        <v>157</v>
      </c>
      <c r="I33" s="247" t="s">
        <v>158</v>
      </c>
      <c r="J33" s="137" t="s">
        <v>38</v>
      </c>
      <c r="K33" s="247" t="s">
        <v>156</v>
      </c>
      <c r="L33" s="247">
        <v>2</v>
      </c>
      <c r="M33" s="247"/>
      <c r="N33" s="247">
        <v>1</v>
      </c>
      <c r="O33" s="247">
        <v>0.65</v>
      </c>
      <c r="P33" s="247">
        <v>0.65</v>
      </c>
      <c r="Q33" s="139">
        <f t="shared" si="0"/>
        <v>0.65</v>
      </c>
      <c r="R33" s="247">
        <v>18.100000000000001</v>
      </c>
      <c r="S33" s="247">
        <v>120</v>
      </c>
      <c r="T33" s="140">
        <f t="shared" si="1"/>
        <v>30</v>
      </c>
      <c r="U33" s="247">
        <v>105</v>
      </c>
      <c r="V33" s="141">
        <f t="shared" si="2"/>
        <v>3150</v>
      </c>
      <c r="W33" s="247">
        <v>14</v>
      </c>
      <c r="X33" s="137" t="s">
        <v>46</v>
      </c>
      <c r="Y33" s="247" t="s">
        <v>88</v>
      </c>
      <c r="Z33" s="247" t="s">
        <v>78</v>
      </c>
      <c r="AA33" s="247" t="s">
        <v>97</v>
      </c>
      <c r="AB33" s="137" t="s">
        <v>436</v>
      </c>
      <c r="AC33" s="142"/>
    </row>
    <row r="34" spans="1:29" x14ac:dyDescent="0.15">
      <c r="A34" s="137" t="s">
        <v>61</v>
      </c>
      <c r="B34" s="137" t="s">
        <v>393</v>
      </c>
      <c r="C34" s="137">
        <v>2018</v>
      </c>
      <c r="D34" s="138" t="s">
        <v>435</v>
      </c>
      <c r="E34" s="137" t="s">
        <v>251</v>
      </c>
      <c r="F34" s="137" t="s">
        <v>252</v>
      </c>
      <c r="G34" s="137" t="s">
        <v>42</v>
      </c>
      <c r="H34" s="247" t="s">
        <v>157</v>
      </c>
      <c r="I34" s="247" t="s">
        <v>158</v>
      </c>
      <c r="J34" s="137" t="s">
        <v>38</v>
      </c>
      <c r="K34" s="247" t="s">
        <v>156</v>
      </c>
      <c r="L34" s="247">
        <v>3</v>
      </c>
      <c r="M34" s="247"/>
      <c r="N34" s="247">
        <v>1</v>
      </c>
      <c r="O34" s="247">
        <v>0.6</v>
      </c>
      <c r="P34" s="247">
        <v>0.65</v>
      </c>
      <c r="Q34" s="139">
        <f t="shared" si="0"/>
        <v>0.625</v>
      </c>
      <c r="R34" s="247">
        <v>18.399999999999999</v>
      </c>
      <c r="S34" s="247">
        <v>121</v>
      </c>
      <c r="T34" s="140">
        <f t="shared" si="1"/>
        <v>27</v>
      </c>
      <c r="U34" s="247">
        <v>105</v>
      </c>
      <c r="V34" s="141">
        <f t="shared" si="2"/>
        <v>2835</v>
      </c>
      <c r="W34" s="247">
        <v>14</v>
      </c>
      <c r="X34" s="137" t="s">
        <v>46</v>
      </c>
      <c r="Y34" s="247" t="s">
        <v>88</v>
      </c>
      <c r="Z34" s="247" t="s">
        <v>78</v>
      </c>
      <c r="AA34" s="247" t="s">
        <v>97</v>
      </c>
      <c r="AB34" s="137" t="s">
        <v>436</v>
      </c>
      <c r="AC34" s="142"/>
    </row>
    <row r="35" spans="1:29" x14ac:dyDescent="0.15">
      <c r="A35" s="137" t="s">
        <v>61</v>
      </c>
      <c r="B35" s="137" t="s">
        <v>393</v>
      </c>
      <c r="C35" s="137">
        <v>2018</v>
      </c>
      <c r="D35" s="138" t="s">
        <v>435</v>
      </c>
      <c r="E35" s="137" t="s">
        <v>253</v>
      </c>
      <c r="F35" s="137" t="s">
        <v>254</v>
      </c>
      <c r="G35" s="137" t="s">
        <v>42</v>
      </c>
      <c r="H35" s="247" t="s">
        <v>157</v>
      </c>
      <c r="I35" s="247" t="s">
        <v>155</v>
      </c>
      <c r="J35" s="137" t="s">
        <v>38</v>
      </c>
      <c r="K35" s="247" t="s">
        <v>156</v>
      </c>
      <c r="L35" s="247">
        <v>1</v>
      </c>
      <c r="M35" s="247"/>
      <c r="N35" s="247">
        <v>1</v>
      </c>
      <c r="O35" s="247">
        <v>0.6</v>
      </c>
      <c r="P35" s="247">
        <v>0.65</v>
      </c>
      <c r="Q35" s="139">
        <f t="shared" si="0"/>
        <v>0.625</v>
      </c>
      <c r="R35" s="247">
        <v>17.8</v>
      </c>
      <c r="S35" s="247">
        <v>128</v>
      </c>
      <c r="T35" s="140">
        <f t="shared" si="1"/>
        <v>27</v>
      </c>
      <c r="U35" s="247">
        <v>98</v>
      </c>
      <c r="V35" s="141">
        <f t="shared" si="2"/>
        <v>2646</v>
      </c>
      <c r="W35" s="247">
        <v>9</v>
      </c>
      <c r="X35" s="137" t="s">
        <v>46</v>
      </c>
      <c r="Y35" s="247" t="s">
        <v>97</v>
      </c>
      <c r="Z35" s="247" t="s">
        <v>88</v>
      </c>
      <c r="AA35" s="247" t="s">
        <v>78</v>
      </c>
      <c r="AB35" s="137" t="s">
        <v>436</v>
      </c>
      <c r="AC35" s="142"/>
    </row>
    <row r="36" spans="1:29" x14ac:dyDescent="0.15">
      <c r="A36" s="137" t="s">
        <v>61</v>
      </c>
      <c r="B36" s="137" t="s">
        <v>393</v>
      </c>
      <c r="C36" s="137">
        <v>2018</v>
      </c>
      <c r="D36" s="138" t="s">
        <v>435</v>
      </c>
      <c r="E36" s="137" t="s">
        <v>253</v>
      </c>
      <c r="F36" s="137" t="s">
        <v>254</v>
      </c>
      <c r="G36" s="137" t="s">
        <v>42</v>
      </c>
      <c r="H36" s="247" t="s">
        <v>157</v>
      </c>
      <c r="I36" s="247" t="s">
        <v>155</v>
      </c>
      <c r="J36" s="137" t="s">
        <v>38</v>
      </c>
      <c r="K36" s="247" t="s">
        <v>156</v>
      </c>
      <c r="L36" s="247">
        <v>2</v>
      </c>
      <c r="M36" s="247"/>
      <c r="N36" s="247">
        <v>1</v>
      </c>
      <c r="O36" s="247">
        <v>0.6</v>
      </c>
      <c r="P36" s="247">
        <v>0.6</v>
      </c>
      <c r="Q36" s="139">
        <f t="shared" si="0"/>
        <v>0.6</v>
      </c>
      <c r="R36" s="247">
        <v>18.100000000000001</v>
      </c>
      <c r="S36" s="247">
        <v>131</v>
      </c>
      <c r="T36" s="140">
        <f t="shared" si="1"/>
        <v>25</v>
      </c>
      <c r="U36" s="247">
        <v>98</v>
      </c>
      <c r="V36" s="141">
        <f t="shared" si="2"/>
        <v>2450</v>
      </c>
      <c r="W36" s="247">
        <v>9</v>
      </c>
      <c r="X36" s="137" t="s">
        <v>46</v>
      </c>
      <c r="Y36" s="247" t="s">
        <v>97</v>
      </c>
      <c r="Z36" s="247" t="s">
        <v>88</v>
      </c>
      <c r="AA36" s="247" t="s">
        <v>78</v>
      </c>
      <c r="AB36" s="137" t="s">
        <v>436</v>
      </c>
      <c r="AC36" s="142"/>
    </row>
    <row r="37" spans="1:29" x14ac:dyDescent="0.15">
      <c r="A37" s="137" t="s">
        <v>61</v>
      </c>
      <c r="B37" s="137" t="s">
        <v>393</v>
      </c>
      <c r="C37" s="137">
        <v>2018</v>
      </c>
      <c r="D37" s="138" t="s">
        <v>435</v>
      </c>
      <c r="E37" s="137" t="s">
        <v>253</v>
      </c>
      <c r="F37" s="137" t="s">
        <v>254</v>
      </c>
      <c r="G37" s="137" t="s">
        <v>42</v>
      </c>
      <c r="H37" s="247" t="s">
        <v>157</v>
      </c>
      <c r="I37" s="247" t="s">
        <v>155</v>
      </c>
      <c r="J37" s="137" t="s">
        <v>38</v>
      </c>
      <c r="K37" s="247" t="s">
        <v>156</v>
      </c>
      <c r="L37" s="247">
        <v>3</v>
      </c>
      <c r="M37" s="247"/>
      <c r="N37" s="247">
        <v>1</v>
      </c>
      <c r="O37" s="247">
        <v>0.5</v>
      </c>
      <c r="P37" s="247">
        <v>0.55000000000000004</v>
      </c>
      <c r="Q37" s="139">
        <f t="shared" si="0"/>
        <v>0.52500000000000002</v>
      </c>
      <c r="R37" s="247">
        <v>18.600000000000001</v>
      </c>
      <c r="S37" s="247">
        <v>128</v>
      </c>
      <c r="T37" s="140">
        <f t="shared" si="1"/>
        <v>27</v>
      </c>
      <c r="U37" s="247">
        <v>98</v>
      </c>
      <c r="V37" s="141">
        <f t="shared" si="2"/>
        <v>2646</v>
      </c>
      <c r="W37" s="247">
        <v>9</v>
      </c>
      <c r="X37" s="137" t="s">
        <v>46</v>
      </c>
      <c r="Y37" s="247" t="s">
        <v>97</v>
      </c>
      <c r="Z37" s="247" t="s">
        <v>88</v>
      </c>
      <c r="AA37" s="247" t="s">
        <v>78</v>
      </c>
      <c r="AB37" s="137" t="s">
        <v>436</v>
      </c>
      <c r="AC37" s="142"/>
    </row>
    <row r="38" spans="1:29" x14ac:dyDescent="0.15">
      <c r="A38" s="137" t="s">
        <v>61</v>
      </c>
      <c r="B38" s="137" t="s">
        <v>393</v>
      </c>
      <c r="C38" s="137">
        <v>2018</v>
      </c>
      <c r="D38" s="138" t="s">
        <v>435</v>
      </c>
      <c r="E38" s="137" t="s">
        <v>253</v>
      </c>
      <c r="F38" s="137" t="s">
        <v>254</v>
      </c>
      <c r="G38" s="137" t="s">
        <v>42</v>
      </c>
      <c r="H38" s="247" t="s">
        <v>166</v>
      </c>
      <c r="I38" s="247" t="s">
        <v>155</v>
      </c>
      <c r="J38" s="137" t="s">
        <v>38</v>
      </c>
      <c r="K38" s="247" t="s">
        <v>156</v>
      </c>
      <c r="L38" s="247">
        <v>1</v>
      </c>
      <c r="M38" s="247"/>
      <c r="N38" s="247">
        <v>1</v>
      </c>
      <c r="O38" s="247">
        <v>0.5</v>
      </c>
      <c r="P38" s="247">
        <v>0.5</v>
      </c>
      <c r="Q38" s="139">
        <f t="shared" si="0"/>
        <v>0.5</v>
      </c>
      <c r="R38" s="247">
        <v>18.600000000000001</v>
      </c>
      <c r="S38" s="247">
        <v>131</v>
      </c>
      <c r="T38" s="140">
        <f t="shared" si="1"/>
        <v>25</v>
      </c>
      <c r="U38" s="247">
        <v>128</v>
      </c>
      <c r="V38" s="141">
        <f t="shared" si="2"/>
        <v>3200</v>
      </c>
      <c r="W38" s="247">
        <v>9</v>
      </c>
      <c r="X38" s="137" t="s">
        <v>46</v>
      </c>
      <c r="Y38" s="247" t="s">
        <v>97</v>
      </c>
      <c r="Z38" s="247" t="s">
        <v>88</v>
      </c>
      <c r="AA38" s="247" t="s">
        <v>78</v>
      </c>
      <c r="AB38" s="137" t="s">
        <v>436</v>
      </c>
      <c r="AC38" s="142"/>
    </row>
    <row r="39" spans="1:29" x14ac:dyDescent="0.15">
      <c r="A39" s="137" t="s">
        <v>61</v>
      </c>
      <c r="B39" s="137" t="s">
        <v>393</v>
      </c>
      <c r="C39" s="137">
        <v>2018</v>
      </c>
      <c r="D39" s="138" t="s">
        <v>435</v>
      </c>
      <c r="E39" s="137" t="s">
        <v>253</v>
      </c>
      <c r="F39" s="137" t="s">
        <v>254</v>
      </c>
      <c r="G39" s="137" t="s">
        <v>42</v>
      </c>
      <c r="H39" s="247" t="s">
        <v>166</v>
      </c>
      <c r="I39" s="247" t="s">
        <v>155</v>
      </c>
      <c r="J39" s="137" t="s">
        <v>38</v>
      </c>
      <c r="K39" s="247" t="s">
        <v>156</v>
      </c>
      <c r="L39" s="247">
        <v>2</v>
      </c>
      <c r="M39" s="247"/>
      <c r="N39" s="247">
        <v>1</v>
      </c>
      <c r="O39" s="247">
        <v>0.55000000000000004</v>
      </c>
      <c r="P39" s="247">
        <v>0.55000000000000004</v>
      </c>
      <c r="Q39" s="139">
        <f t="shared" si="0"/>
        <v>0.55000000000000004</v>
      </c>
      <c r="R39" s="247">
        <v>18.8</v>
      </c>
      <c r="S39" s="247">
        <v>134</v>
      </c>
      <c r="T39" s="140">
        <f t="shared" si="1"/>
        <v>25</v>
      </c>
      <c r="U39" s="247">
        <v>128</v>
      </c>
      <c r="V39" s="141">
        <f t="shared" si="2"/>
        <v>3200</v>
      </c>
      <c r="W39" s="247">
        <v>9</v>
      </c>
      <c r="X39" s="137" t="s">
        <v>46</v>
      </c>
      <c r="Y39" s="247" t="s">
        <v>97</v>
      </c>
      <c r="Z39" s="247" t="s">
        <v>88</v>
      </c>
      <c r="AA39" s="247" t="s">
        <v>78</v>
      </c>
      <c r="AB39" s="137" t="s">
        <v>436</v>
      </c>
      <c r="AC39" s="142"/>
    </row>
    <row r="40" spans="1:29" x14ac:dyDescent="0.15">
      <c r="A40" s="137" t="s">
        <v>61</v>
      </c>
      <c r="B40" s="137" t="s">
        <v>393</v>
      </c>
      <c r="C40" s="137">
        <v>2018</v>
      </c>
      <c r="D40" s="138" t="s">
        <v>435</v>
      </c>
      <c r="E40" s="137" t="s">
        <v>253</v>
      </c>
      <c r="F40" s="137" t="s">
        <v>254</v>
      </c>
      <c r="G40" s="137" t="s">
        <v>42</v>
      </c>
      <c r="H40" s="247" t="s">
        <v>166</v>
      </c>
      <c r="I40" s="247" t="s">
        <v>155</v>
      </c>
      <c r="J40" s="137" t="s">
        <v>38</v>
      </c>
      <c r="K40" s="247" t="s">
        <v>156</v>
      </c>
      <c r="L40" s="247">
        <v>3</v>
      </c>
      <c r="M40" s="247"/>
      <c r="N40" s="247">
        <v>1</v>
      </c>
      <c r="O40" s="247">
        <v>0.5</v>
      </c>
      <c r="P40" s="247">
        <v>0.5</v>
      </c>
      <c r="Q40" s="139">
        <f t="shared" si="0"/>
        <v>0.5</v>
      </c>
      <c r="R40" s="247">
        <v>17.8</v>
      </c>
      <c r="S40" s="247">
        <v>138</v>
      </c>
      <c r="T40" s="140">
        <f t="shared" si="1"/>
        <v>22</v>
      </c>
      <c r="U40" s="247">
        <v>128</v>
      </c>
      <c r="V40" s="141">
        <f t="shared" si="2"/>
        <v>2816</v>
      </c>
      <c r="W40" s="247">
        <v>9</v>
      </c>
      <c r="X40" s="137" t="s">
        <v>46</v>
      </c>
      <c r="Y40" s="247" t="s">
        <v>97</v>
      </c>
      <c r="Z40" s="247" t="s">
        <v>88</v>
      </c>
      <c r="AA40" s="247" t="s">
        <v>78</v>
      </c>
      <c r="AB40" s="137" t="s">
        <v>436</v>
      </c>
      <c r="AC40" s="142"/>
    </row>
    <row r="41" spans="1:29" x14ac:dyDescent="0.15">
      <c r="A41" s="137" t="s">
        <v>61</v>
      </c>
      <c r="B41" s="137" t="s">
        <v>393</v>
      </c>
      <c r="C41" s="137">
        <v>2018</v>
      </c>
      <c r="D41" s="138" t="s">
        <v>435</v>
      </c>
      <c r="E41" s="137" t="s">
        <v>255</v>
      </c>
      <c r="F41" s="137" t="s">
        <v>256</v>
      </c>
      <c r="G41" s="137" t="s">
        <v>42</v>
      </c>
      <c r="H41" s="247" t="s">
        <v>157</v>
      </c>
      <c r="I41" s="247" t="s">
        <v>155</v>
      </c>
      <c r="J41" s="137" t="s">
        <v>38</v>
      </c>
      <c r="K41" s="247" t="s">
        <v>156</v>
      </c>
      <c r="L41" s="247">
        <v>1</v>
      </c>
      <c r="M41" s="247"/>
      <c r="N41" s="247">
        <v>1</v>
      </c>
      <c r="O41" s="247">
        <v>0.6</v>
      </c>
      <c r="P41" s="247">
        <v>0.6</v>
      </c>
      <c r="Q41" s="139">
        <f t="shared" si="0"/>
        <v>0.6</v>
      </c>
      <c r="R41" s="247">
        <v>16.8</v>
      </c>
      <c r="S41" s="247">
        <v>98</v>
      </c>
      <c r="T41" s="140">
        <f t="shared" si="1"/>
        <v>36</v>
      </c>
      <c r="U41" s="247">
        <v>138</v>
      </c>
      <c r="V41" s="141">
        <f t="shared" si="2"/>
        <v>4968</v>
      </c>
      <c r="W41" s="247">
        <v>12</v>
      </c>
      <c r="X41" s="137" t="s">
        <v>46</v>
      </c>
      <c r="Y41" s="247" t="s">
        <v>88</v>
      </c>
      <c r="Z41" s="247" t="s">
        <v>97</v>
      </c>
      <c r="AA41" s="247" t="s">
        <v>78</v>
      </c>
      <c r="AB41" s="137" t="s">
        <v>436</v>
      </c>
      <c r="AC41" s="142"/>
    </row>
    <row r="42" spans="1:29" x14ac:dyDescent="0.15">
      <c r="A42" s="137" t="s">
        <v>61</v>
      </c>
      <c r="B42" s="137" t="s">
        <v>393</v>
      </c>
      <c r="C42" s="137">
        <v>2018</v>
      </c>
      <c r="D42" s="138" t="s">
        <v>435</v>
      </c>
      <c r="E42" s="137" t="s">
        <v>255</v>
      </c>
      <c r="F42" s="137" t="s">
        <v>256</v>
      </c>
      <c r="G42" s="137" t="s">
        <v>42</v>
      </c>
      <c r="H42" s="247" t="s">
        <v>157</v>
      </c>
      <c r="I42" s="247" t="s">
        <v>155</v>
      </c>
      <c r="J42" s="137" t="s">
        <v>38</v>
      </c>
      <c r="K42" s="247" t="s">
        <v>156</v>
      </c>
      <c r="L42" s="247">
        <v>2</v>
      </c>
      <c r="M42" s="247"/>
      <c r="N42" s="247">
        <v>1</v>
      </c>
      <c r="O42" s="247">
        <v>0.6</v>
      </c>
      <c r="P42" s="247">
        <v>0.6</v>
      </c>
      <c r="Q42" s="139">
        <f t="shared" si="0"/>
        <v>0.6</v>
      </c>
      <c r="R42" s="247">
        <v>16.899999999999999</v>
      </c>
      <c r="S42" s="247">
        <v>102</v>
      </c>
      <c r="T42" s="140">
        <f t="shared" si="1"/>
        <v>33</v>
      </c>
      <c r="U42" s="247">
        <v>138</v>
      </c>
      <c r="V42" s="141">
        <f t="shared" si="2"/>
        <v>4554</v>
      </c>
      <c r="W42" s="247">
        <v>12</v>
      </c>
      <c r="X42" s="137" t="s">
        <v>46</v>
      </c>
      <c r="Y42" s="247" t="s">
        <v>88</v>
      </c>
      <c r="Z42" s="247" t="s">
        <v>97</v>
      </c>
      <c r="AA42" s="247" t="s">
        <v>78</v>
      </c>
      <c r="AB42" s="137" t="s">
        <v>436</v>
      </c>
      <c r="AC42" s="142"/>
    </row>
    <row r="43" spans="1:29" x14ac:dyDescent="0.15">
      <c r="A43" s="137" t="s">
        <v>61</v>
      </c>
      <c r="B43" s="137" t="s">
        <v>393</v>
      </c>
      <c r="C43" s="137">
        <v>2018</v>
      </c>
      <c r="D43" s="138" t="s">
        <v>435</v>
      </c>
      <c r="E43" s="137" t="s">
        <v>255</v>
      </c>
      <c r="F43" s="137" t="s">
        <v>256</v>
      </c>
      <c r="G43" s="137" t="s">
        <v>42</v>
      </c>
      <c r="H43" s="247" t="s">
        <v>157</v>
      </c>
      <c r="I43" s="247" t="s">
        <v>155</v>
      </c>
      <c r="J43" s="137" t="s">
        <v>38</v>
      </c>
      <c r="K43" s="247" t="s">
        <v>156</v>
      </c>
      <c r="L43" s="247">
        <v>3</v>
      </c>
      <c r="M43" s="247"/>
      <c r="N43" s="247">
        <v>1</v>
      </c>
      <c r="O43" s="247">
        <v>5</v>
      </c>
      <c r="P43" s="247">
        <v>0.55000000000000004</v>
      </c>
      <c r="Q43" s="139">
        <f t="shared" si="0"/>
        <v>2.7749999999999999</v>
      </c>
      <c r="R43" s="247">
        <v>17.600000000000001</v>
      </c>
      <c r="S43" s="247">
        <v>116</v>
      </c>
      <c r="T43" s="140">
        <f t="shared" si="1"/>
        <v>30</v>
      </c>
      <c r="U43" s="247">
        <v>138</v>
      </c>
      <c r="V43" s="141">
        <f t="shared" si="2"/>
        <v>4140</v>
      </c>
      <c r="W43" s="247">
        <v>12</v>
      </c>
      <c r="X43" s="137" t="s">
        <v>46</v>
      </c>
      <c r="Y43" s="247" t="s">
        <v>88</v>
      </c>
      <c r="Z43" s="247" t="s">
        <v>97</v>
      </c>
      <c r="AA43" s="247" t="s">
        <v>78</v>
      </c>
      <c r="AB43" s="137" t="s">
        <v>436</v>
      </c>
      <c r="AC43" s="142"/>
    </row>
    <row r="44" spans="1:29" x14ac:dyDescent="0.15">
      <c r="A44" s="137" t="s">
        <v>61</v>
      </c>
      <c r="B44" s="137" t="s">
        <v>393</v>
      </c>
      <c r="C44" s="137">
        <v>2018</v>
      </c>
      <c r="D44" s="138" t="s">
        <v>435</v>
      </c>
      <c r="E44" s="137" t="s">
        <v>255</v>
      </c>
      <c r="F44" s="137" t="s">
        <v>256</v>
      </c>
      <c r="G44" s="137" t="s">
        <v>42</v>
      </c>
      <c r="H44" s="247" t="s">
        <v>166</v>
      </c>
      <c r="I44" s="247" t="s">
        <v>155</v>
      </c>
      <c r="J44" s="137" t="s">
        <v>38</v>
      </c>
      <c r="K44" s="247" t="s">
        <v>156</v>
      </c>
      <c r="L44" s="247">
        <v>1</v>
      </c>
      <c r="M44" s="247"/>
      <c r="N44" s="247">
        <v>1</v>
      </c>
      <c r="O44" s="247">
        <v>0.5</v>
      </c>
      <c r="P44" s="247">
        <v>0.55000000000000004</v>
      </c>
      <c r="Q44" s="139">
        <f t="shared" si="0"/>
        <v>0.52500000000000002</v>
      </c>
      <c r="R44" s="247">
        <v>18.399999999999999</v>
      </c>
      <c r="S44" s="247">
        <v>148</v>
      </c>
      <c r="T44" s="140">
        <f t="shared" si="1"/>
        <v>22</v>
      </c>
      <c r="U44" s="247">
        <v>105</v>
      </c>
      <c r="V44" s="141">
        <f t="shared" si="2"/>
        <v>2310</v>
      </c>
      <c r="W44" s="247">
        <v>12</v>
      </c>
      <c r="X44" s="137" t="s">
        <v>46</v>
      </c>
      <c r="Y44" s="247" t="s">
        <v>88</v>
      </c>
      <c r="Z44" s="247" t="s">
        <v>97</v>
      </c>
      <c r="AA44" s="247" t="s">
        <v>78</v>
      </c>
      <c r="AB44" s="137" t="s">
        <v>436</v>
      </c>
      <c r="AC44" s="247"/>
    </row>
    <row r="45" spans="1:29" x14ac:dyDescent="0.15">
      <c r="A45" s="137" t="s">
        <v>61</v>
      </c>
      <c r="B45" s="137" t="s">
        <v>393</v>
      </c>
      <c r="C45" s="137">
        <v>2018</v>
      </c>
      <c r="D45" s="138" t="s">
        <v>435</v>
      </c>
      <c r="E45" s="137" t="s">
        <v>255</v>
      </c>
      <c r="F45" s="137" t="s">
        <v>256</v>
      </c>
      <c r="G45" s="137" t="s">
        <v>42</v>
      </c>
      <c r="H45" s="247" t="s">
        <v>166</v>
      </c>
      <c r="I45" s="247" t="s">
        <v>155</v>
      </c>
      <c r="J45" s="137" t="s">
        <v>38</v>
      </c>
      <c r="K45" s="247" t="s">
        <v>156</v>
      </c>
      <c r="L45" s="247">
        <v>2</v>
      </c>
      <c r="M45" s="247"/>
      <c r="N45" s="247">
        <v>1</v>
      </c>
      <c r="O45" s="247">
        <v>0.5</v>
      </c>
      <c r="P45" s="247">
        <v>0.5</v>
      </c>
      <c r="Q45" s="139">
        <f t="shared" si="0"/>
        <v>0.5</v>
      </c>
      <c r="R45" s="247">
        <v>18.600000000000001</v>
      </c>
      <c r="S45" s="247">
        <v>141</v>
      </c>
      <c r="T45" s="140">
        <f t="shared" si="1"/>
        <v>22</v>
      </c>
      <c r="U45" s="247">
        <v>105</v>
      </c>
      <c r="V45" s="141">
        <f t="shared" si="2"/>
        <v>2310</v>
      </c>
      <c r="W45" s="247">
        <v>12</v>
      </c>
      <c r="X45" s="137" t="s">
        <v>46</v>
      </c>
      <c r="Y45" s="247" t="s">
        <v>88</v>
      </c>
      <c r="Z45" s="247" t="s">
        <v>97</v>
      </c>
      <c r="AA45" s="247" t="s">
        <v>78</v>
      </c>
      <c r="AB45" s="137" t="s">
        <v>436</v>
      </c>
      <c r="AC45" s="247"/>
    </row>
    <row r="46" spans="1:29" x14ac:dyDescent="0.15">
      <c r="A46" s="137" t="s">
        <v>61</v>
      </c>
      <c r="B46" s="137" t="s">
        <v>393</v>
      </c>
      <c r="C46" s="137">
        <v>2018</v>
      </c>
      <c r="D46" s="138" t="s">
        <v>435</v>
      </c>
      <c r="E46" s="137" t="s">
        <v>255</v>
      </c>
      <c r="F46" s="137" t="s">
        <v>256</v>
      </c>
      <c r="G46" s="137" t="s">
        <v>42</v>
      </c>
      <c r="H46" s="247" t="s">
        <v>166</v>
      </c>
      <c r="I46" s="247" t="s">
        <v>155</v>
      </c>
      <c r="J46" s="137" t="s">
        <v>38</v>
      </c>
      <c r="K46" s="247" t="s">
        <v>156</v>
      </c>
      <c r="L46" s="247">
        <v>3</v>
      </c>
      <c r="M46" s="247"/>
      <c r="N46" s="247">
        <v>1</v>
      </c>
      <c r="O46" s="247">
        <v>0.6</v>
      </c>
      <c r="P46" s="247">
        <v>0.65</v>
      </c>
      <c r="Q46" s="139">
        <f t="shared" si="0"/>
        <v>0.625</v>
      </c>
      <c r="R46" s="247">
        <v>17.899999999999999</v>
      </c>
      <c r="S46" s="247">
        <v>146</v>
      </c>
      <c r="T46" s="140">
        <f t="shared" si="1"/>
        <v>22</v>
      </c>
      <c r="U46" s="247">
        <v>105</v>
      </c>
      <c r="V46" s="141">
        <f t="shared" si="2"/>
        <v>2310</v>
      </c>
      <c r="W46" s="247">
        <v>12</v>
      </c>
      <c r="X46" s="137" t="s">
        <v>46</v>
      </c>
      <c r="Y46" s="247" t="s">
        <v>88</v>
      </c>
      <c r="Z46" s="247" t="s">
        <v>97</v>
      </c>
      <c r="AA46" s="247" t="s">
        <v>78</v>
      </c>
      <c r="AB46" s="137" t="s">
        <v>436</v>
      </c>
      <c r="AC46" s="247"/>
    </row>
    <row r="47" spans="1:29" x14ac:dyDescent="0.15">
      <c r="A47" s="137" t="s">
        <v>61</v>
      </c>
      <c r="B47" s="137" t="s">
        <v>393</v>
      </c>
      <c r="C47" s="137">
        <v>2018</v>
      </c>
      <c r="D47" s="138" t="s">
        <v>435</v>
      </c>
      <c r="E47" s="137" t="s">
        <v>133</v>
      </c>
      <c r="F47" s="137" t="s">
        <v>257</v>
      </c>
      <c r="G47" s="137" t="s">
        <v>42</v>
      </c>
      <c r="H47" s="247" t="s">
        <v>157</v>
      </c>
      <c r="I47" s="247" t="s">
        <v>155</v>
      </c>
      <c r="J47" s="137" t="s">
        <v>38</v>
      </c>
      <c r="K47" s="247" t="s">
        <v>156</v>
      </c>
      <c r="L47" s="247">
        <v>1</v>
      </c>
      <c r="M47" s="247"/>
      <c r="N47" s="247">
        <v>1</v>
      </c>
      <c r="O47" s="247">
        <v>0.6</v>
      </c>
      <c r="P47" s="247">
        <v>0.6</v>
      </c>
      <c r="Q47" s="139">
        <f t="shared" si="0"/>
        <v>0.6</v>
      </c>
      <c r="R47" s="247">
        <v>17.8</v>
      </c>
      <c r="S47" s="247">
        <v>98</v>
      </c>
      <c r="T47" s="140">
        <f t="shared" si="1"/>
        <v>36</v>
      </c>
      <c r="U47" s="247">
        <v>105</v>
      </c>
      <c r="V47" s="141">
        <f t="shared" si="2"/>
        <v>3780</v>
      </c>
      <c r="W47" s="247">
        <v>19</v>
      </c>
      <c r="X47" s="137" t="s">
        <v>46</v>
      </c>
      <c r="Y47" s="247" t="s">
        <v>88</v>
      </c>
      <c r="Z47" s="247" t="s">
        <v>78</v>
      </c>
      <c r="AA47" s="247" t="s">
        <v>69</v>
      </c>
      <c r="AB47" s="137" t="s">
        <v>436</v>
      </c>
      <c r="AC47" s="142"/>
    </row>
    <row r="48" spans="1:29" x14ac:dyDescent="0.15">
      <c r="A48" s="137" t="s">
        <v>61</v>
      </c>
      <c r="B48" s="137" t="s">
        <v>393</v>
      </c>
      <c r="C48" s="137">
        <v>2018</v>
      </c>
      <c r="D48" s="138" t="s">
        <v>435</v>
      </c>
      <c r="E48" s="137" t="s">
        <v>133</v>
      </c>
      <c r="F48" s="137" t="s">
        <v>257</v>
      </c>
      <c r="G48" s="137" t="s">
        <v>42</v>
      </c>
      <c r="H48" s="247" t="s">
        <v>157</v>
      </c>
      <c r="I48" s="247" t="s">
        <v>155</v>
      </c>
      <c r="J48" s="137" t="s">
        <v>38</v>
      </c>
      <c r="K48" s="247" t="s">
        <v>156</v>
      </c>
      <c r="L48" s="247">
        <v>2</v>
      </c>
      <c r="M48" s="247"/>
      <c r="N48" s="247">
        <v>1</v>
      </c>
      <c r="O48" s="247">
        <v>0.65</v>
      </c>
      <c r="P48" s="247">
        <v>0.65</v>
      </c>
      <c r="Q48" s="139">
        <f t="shared" si="0"/>
        <v>0.65</v>
      </c>
      <c r="R48" s="247">
        <v>17.600000000000001</v>
      </c>
      <c r="S48" s="247">
        <v>101</v>
      </c>
      <c r="T48" s="140">
        <f t="shared" si="1"/>
        <v>33</v>
      </c>
      <c r="U48" s="247">
        <v>105</v>
      </c>
      <c r="V48" s="141">
        <f t="shared" si="2"/>
        <v>3465</v>
      </c>
      <c r="W48" s="247">
        <v>19</v>
      </c>
      <c r="X48" s="137" t="s">
        <v>46</v>
      </c>
      <c r="Y48" s="247" t="s">
        <v>88</v>
      </c>
      <c r="Z48" s="247" t="s">
        <v>78</v>
      </c>
      <c r="AA48" s="247" t="s">
        <v>69</v>
      </c>
      <c r="AB48" s="137" t="s">
        <v>436</v>
      </c>
      <c r="AC48" s="142"/>
    </row>
    <row r="49" spans="1:29" x14ac:dyDescent="0.15">
      <c r="A49" s="137" t="s">
        <v>61</v>
      </c>
      <c r="B49" s="137" t="s">
        <v>393</v>
      </c>
      <c r="C49" s="137">
        <v>2018</v>
      </c>
      <c r="D49" s="138" t="s">
        <v>435</v>
      </c>
      <c r="E49" s="137" t="s">
        <v>133</v>
      </c>
      <c r="F49" s="137" t="s">
        <v>257</v>
      </c>
      <c r="G49" s="137" t="s">
        <v>42</v>
      </c>
      <c r="H49" s="247" t="s">
        <v>157</v>
      </c>
      <c r="I49" s="247" t="s">
        <v>155</v>
      </c>
      <c r="J49" s="137" t="s">
        <v>38</v>
      </c>
      <c r="K49" s="247" t="s">
        <v>156</v>
      </c>
      <c r="L49" s="247">
        <v>3</v>
      </c>
      <c r="M49" s="247"/>
      <c r="N49" s="247">
        <v>1</v>
      </c>
      <c r="O49" s="247">
        <v>0.5</v>
      </c>
      <c r="P49" s="247">
        <v>0.5</v>
      </c>
      <c r="Q49" s="139">
        <f t="shared" si="0"/>
        <v>0.5</v>
      </c>
      <c r="R49" s="247">
        <v>18.399999999999999</v>
      </c>
      <c r="S49" s="247">
        <v>121</v>
      </c>
      <c r="T49" s="140">
        <f t="shared" si="1"/>
        <v>27</v>
      </c>
      <c r="U49" s="247">
        <v>105</v>
      </c>
      <c r="V49" s="141">
        <f t="shared" si="2"/>
        <v>2835</v>
      </c>
      <c r="W49" s="247">
        <v>19</v>
      </c>
      <c r="X49" s="137" t="s">
        <v>46</v>
      </c>
      <c r="Y49" s="247" t="s">
        <v>88</v>
      </c>
      <c r="Z49" s="247" t="s">
        <v>78</v>
      </c>
      <c r="AA49" s="247" t="s">
        <v>69</v>
      </c>
      <c r="AB49" s="137" t="s">
        <v>436</v>
      </c>
      <c r="AC49" s="142"/>
    </row>
    <row r="50" spans="1:29" x14ac:dyDescent="0.15">
      <c r="A50" s="137" t="s">
        <v>61</v>
      </c>
      <c r="B50" s="137" t="s">
        <v>393</v>
      </c>
      <c r="C50" s="137">
        <v>2018</v>
      </c>
      <c r="D50" s="138" t="s">
        <v>435</v>
      </c>
      <c r="E50" s="137" t="s">
        <v>133</v>
      </c>
      <c r="F50" s="137" t="s">
        <v>257</v>
      </c>
      <c r="G50" s="137" t="s">
        <v>42</v>
      </c>
      <c r="H50" s="247" t="s">
        <v>166</v>
      </c>
      <c r="I50" s="247" t="s">
        <v>155</v>
      </c>
      <c r="J50" s="137" t="s">
        <v>38</v>
      </c>
      <c r="K50" s="247" t="s">
        <v>156</v>
      </c>
      <c r="L50" s="247">
        <v>1</v>
      </c>
      <c r="M50" s="247"/>
      <c r="N50" s="247">
        <v>1</v>
      </c>
      <c r="O50" s="247">
        <v>0.5</v>
      </c>
      <c r="P50" s="247">
        <v>0.5</v>
      </c>
      <c r="Q50" s="139">
        <f t="shared" si="0"/>
        <v>0.5</v>
      </c>
      <c r="R50" s="247">
        <v>18.399999999999999</v>
      </c>
      <c r="S50" s="247">
        <v>131</v>
      </c>
      <c r="T50" s="140">
        <f t="shared" si="1"/>
        <v>25</v>
      </c>
      <c r="U50" s="247">
        <v>149</v>
      </c>
      <c r="V50" s="141">
        <f t="shared" si="2"/>
        <v>3725</v>
      </c>
      <c r="W50" s="247">
        <v>19</v>
      </c>
      <c r="X50" s="137" t="s">
        <v>46</v>
      </c>
      <c r="Y50" s="247" t="s">
        <v>88</v>
      </c>
      <c r="Z50" s="247" t="s">
        <v>78</v>
      </c>
      <c r="AA50" s="247" t="s">
        <v>69</v>
      </c>
      <c r="AB50" s="137" t="s">
        <v>436</v>
      </c>
      <c r="AC50" s="142"/>
    </row>
    <row r="51" spans="1:29" x14ac:dyDescent="0.15">
      <c r="A51" s="137" t="s">
        <v>61</v>
      </c>
      <c r="B51" s="137" t="s">
        <v>393</v>
      </c>
      <c r="C51" s="137">
        <v>2018</v>
      </c>
      <c r="D51" s="138" t="s">
        <v>435</v>
      </c>
      <c r="E51" s="137" t="s">
        <v>133</v>
      </c>
      <c r="F51" s="137" t="s">
        <v>257</v>
      </c>
      <c r="G51" s="137" t="s">
        <v>42</v>
      </c>
      <c r="H51" s="247" t="s">
        <v>166</v>
      </c>
      <c r="I51" s="247" t="s">
        <v>155</v>
      </c>
      <c r="J51" s="137" t="s">
        <v>38</v>
      </c>
      <c r="K51" s="247" t="s">
        <v>156</v>
      </c>
      <c r="L51" s="247">
        <v>2</v>
      </c>
      <c r="M51" s="247"/>
      <c r="N51" s="247">
        <v>1</v>
      </c>
      <c r="O51" s="247">
        <v>0.55000000000000004</v>
      </c>
      <c r="P51" s="247">
        <v>0.5</v>
      </c>
      <c r="Q51" s="139">
        <f t="shared" si="0"/>
        <v>0.52500000000000002</v>
      </c>
      <c r="R51" s="247">
        <v>18.600000000000001</v>
      </c>
      <c r="S51" s="247">
        <v>134</v>
      </c>
      <c r="T51" s="140">
        <f t="shared" si="1"/>
        <v>25</v>
      </c>
      <c r="U51" s="247">
        <v>149</v>
      </c>
      <c r="V51" s="141">
        <f t="shared" si="2"/>
        <v>3725</v>
      </c>
      <c r="W51" s="247">
        <v>19</v>
      </c>
      <c r="X51" s="137" t="s">
        <v>46</v>
      </c>
      <c r="Y51" s="247" t="s">
        <v>88</v>
      </c>
      <c r="Z51" s="247" t="s">
        <v>78</v>
      </c>
      <c r="AA51" s="247" t="s">
        <v>69</v>
      </c>
      <c r="AB51" s="137" t="s">
        <v>436</v>
      </c>
      <c r="AC51" s="142"/>
    </row>
    <row r="52" spans="1:29" x14ac:dyDescent="0.15">
      <c r="A52" s="137" t="s">
        <v>61</v>
      </c>
      <c r="B52" s="137" t="s">
        <v>393</v>
      </c>
      <c r="C52" s="137">
        <v>2018</v>
      </c>
      <c r="D52" s="138" t="s">
        <v>435</v>
      </c>
      <c r="E52" s="137" t="s">
        <v>133</v>
      </c>
      <c r="F52" s="137" t="s">
        <v>257</v>
      </c>
      <c r="G52" s="137" t="s">
        <v>42</v>
      </c>
      <c r="H52" s="247" t="s">
        <v>166</v>
      </c>
      <c r="I52" s="247" t="s">
        <v>155</v>
      </c>
      <c r="J52" s="137" t="s">
        <v>38</v>
      </c>
      <c r="K52" s="247" t="s">
        <v>156</v>
      </c>
      <c r="L52" s="247">
        <v>3</v>
      </c>
      <c r="M52" s="247"/>
      <c r="N52" s="247">
        <v>1</v>
      </c>
      <c r="O52" s="247">
        <v>0.6</v>
      </c>
      <c r="P52" s="247">
        <v>0.65</v>
      </c>
      <c r="Q52" s="139">
        <f t="shared" si="0"/>
        <v>0.625</v>
      </c>
      <c r="R52" s="247">
        <v>18.100000000000001</v>
      </c>
      <c r="S52" s="247">
        <v>129</v>
      </c>
      <c r="T52" s="140">
        <f t="shared" si="1"/>
        <v>25</v>
      </c>
      <c r="U52" s="247">
        <v>149</v>
      </c>
      <c r="V52" s="141">
        <f t="shared" si="2"/>
        <v>3725</v>
      </c>
      <c r="W52" s="247">
        <v>19</v>
      </c>
      <c r="X52" s="137" t="s">
        <v>46</v>
      </c>
      <c r="Y52" s="247" t="s">
        <v>88</v>
      </c>
      <c r="Z52" s="247" t="s">
        <v>78</v>
      </c>
      <c r="AA52" s="247" t="s">
        <v>69</v>
      </c>
      <c r="AB52" s="137" t="s">
        <v>436</v>
      </c>
      <c r="AC52" s="142"/>
    </row>
    <row r="53" spans="1:29" x14ac:dyDescent="0.15">
      <c r="A53" s="137" t="s">
        <v>61</v>
      </c>
      <c r="B53" s="137" t="s">
        <v>393</v>
      </c>
      <c r="C53" s="137">
        <v>2018</v>
      </c>
      <c r="D53" s="138" t="s">
        <v>435</v>
      </c>
      <c r="E53" s="137" t="s">
        <v>258</v>
      </c>
      <c r="F53" s="137" t="s">
        <v>259</v>
      </c>
      <c r="G53" s="137" t="s">
        <v>42</v>
      </c>
      <c r="H53" s="247" t="s">
        <v>157</v>
      </c>
      <c r="I53" s="247" t="s">
        <v>155</v>
      </c>
      <c r="J53" s="137" t="s">
        <v>38</v>
      </c>
      <c r="K53" s="247" t="s">
        <v>156</v>
      </c>
      <c r="L53" s="247">
        <v>1</v>
      </c>
      <c r="M53" s="247"/>
      <c r="N53" s="247">
        <v>1</v>
      </c>
      <c r="O53" s="247">
        <v>0.5</v>
      </c>
      <c r="P53" s="247">
        <v>0.55000000000000004</v>
      </c>
      <c r="Q53" s="139">
        <f t="shared" si="0"/>
        <v>0.52500000000000002</v>
      </c>
      <c r="R53" s="247">
        <v>18.3</v>
      </c>
      <c r="S53" s="247">
        <v>138</v>
      </c>
      <c r="T53" s="140">
        <f t="shared" si="1"/>
        <v>22</v>
      </c>
      <c r="U53" s="247">
        <v>128</v>
      </c>
      <c r="V53" s="141">
        <f t="shared" si="2"/>
        <v>2816</v>
      </c>
      <c r="W53" s="247">
        <v>12</v>
      </c>
      <c r="X53" s="137" t="s">
        <v>46</v>
      </c>
      <c r="Y53" s="247" t="s">
        <v>97</v>
      </c>
      <c r="Z53" s="247" t="s">
        <v>88</v>
      </c>
      <c r="AA53" s="247" t="s">
        <v>102</v>
      </c>
      <c r="AB53" s="137" t="s">
        <v>436</v>
      </c>
      <c r="AC53" s="142"/>
    </row>
    <row r="54" spans="1:29" x14ac:dyDescent="0.15">
      <c r="A54" s="137" t="s">
        <v>61</v>
      </c>
      <c r="B54" s="137" t="s">
        <v>393</v>
      </c>
      <c r="C54" s="137">
        <v>2018</v>
      </c>
      <c r="D54" s="138" t="s">
        <v>435</v>
      </c>
      <c r="E54" s="137" t="s">
        <v>258</v>
      </c>
      <c r="F54" s="137" t="s">
        <v>259</v>
      </c>
      <c r="G54" s="137" t="s">
        <v>42</v>
      </c>
      <c r="H54" s="247" t="s">
        <v>157</v>
      </c>
      <c r="I54" s="247" t="s">
        <v>155</v>
      </c>
      <c r="J54" s="137" t="s">
        <v>38</v>
      </c>
      <c r="K54" s="247" t="s">
        <v>156</v>
      </c>
      <c r="L54" s="247">
        <v>2</v>
      </c>
      <c r="M54" s="247"/>
      <c r="N54" s="247">
        <v>1</v>
      </c>
      <c r="O54" s="247">
        <v>0.6</v>
      </c>
      <c r="P54" s="247">
        <v>0.55000000000000004</v>
      </c>
      <c r="Q54" s="139">
        <f t="shared" si="0"/>
        <v>0.57499999999999996</v>
      </c>
      <c r="R54" s="247">
        <v>18.3</v>
      </c>
      <c r="S54" s="247">
        <v>136</v>
      </c>
      <c r="T54" s="140">
        <f t="shared" si="1"/>
        <v>25</v>
      </c>
      <c r="U54" s="247">
        <v>128</v>
      </c>
      <c r="V54" s="141">
        <f t="shared" si="2"/>
        <v>3200</v>
      </c>
      <c r="W54" s="247">
        <v>12</v>
      </c>
      <c r="X54" s="137" t="s">
        <v>46</v>
      </c>
      <c r="Y54" s="247" t="s">
        <v>97</v>
      </c>
      <c r="Z54" s="247" t="s">
        <v>88</v>
      </c>
      <c r="AA54" s="247" t="s">
        <v>102</v>
      </c>
      <c r="AB54" s="137" t="s">
        <v>436</v>
      </c>
      <c r="AC54" s="142"/>
    </row>
    <row r="55" spans="1:29" x14ac:dyDescent="0.15">
      <c r="A55" s="137" t="s">
        <v>61</v>
      </c>
      <c r="B55" s="137" t="s">
        <v>393</v>
      </c>
      <c r="C55" s="137">
        <v>2018</v>
      </c>
      <c r="D55" s="138" t="s">
        <v>435</v>
      </c>
      <c r="E55" s="137" t="s">
        <v>258</v>
      </c>
      <c r="F55" s="137" t="s">
        <v>259</v>
      </c>
      <c r="G55" s="137" t="s">
        <v>42</v>
      </c>
      <c r="H55" s="247" t="s">
        <v>157</v>
      </c>
      <c r="I55" s="247" t="s">
        <v>155</v>
      </c>
      <c r="J55" s="137" t="s">
        <v>38</v>
      </c>
      <c r="K55" s="247" t="s">
        <v>156</v>
      </c>
      <c r="L55" s="247">
        <v>3</v>
      </c>
      <c r="M55" s="247"/>
      <c r="N55" s="247">
        <v>1</v>
      </c>
      <c r="O55" s="247">
        <v>0.6</v>
      </c>
      <c r="P55" s="247">
        <v>0.6</v>
      </c>
      <c r="Q55" s="139">
        <f t="shared" si="0"/>
        <v>0.6</v>
      </c>
      <c r="R55" s="247">
        <v>18</v>
      </c>
      <c r="S55" s="247">
        <v>141</v>
      </c>
      <c r="T55" s="140">
        <f t="shared" si="1"/>
        <v>22</v>
      </c>
      <c r="U55" s="247">
        <v>128</v>
      </c>
      <c r="V55" s="141">
        <f t="shared" si="2"/>
        <v>2816</v>
      </c>
      <c r="W55" s="247">
        <v>12</v>
      </c>
      <c r="X55" s="137" t="s">
        <v>46</v>
      </c>
      <c r="Y55" s="247" t="s">
        <v>97</v>
      </c>
      <c r="Z55" s="247" t="s">
        <v>88</v>
      </c>
      <c r="AA55" s="247" t="s">
        <v>102</v>
      </c>
      <c r="AB55" s="137" t="s">
        <v>436</v>
      </c>
      <c r="AC55" s="142"/>
    </row>
    <row r="56" spans="1:29" x14ac:dyDescent="0.15">
      <c r="A56" s="137" t="s">
        <v>61</v>
      </c>
      <c r="B56" s="137" t="s">
        <v>393</v>
      </c>
      <c r="C56" s="137">
        <v>2018</v>
      </c>
      <c r="D56" s="138" t="s">
        <v>435</v>
      </c>
      <c r="E56" s="137" t="s">
        <v>258</v>
      </c>
      <c r="F56" s="137" t="s">
        <v>259</v>
      </c>
      <c r="G56" s="137" t="s">
        <v>42</v>
      </c>
      <c r="H56" s="247" t="s">
        <v>166</v>
      </c>
      <c r="I56" s="247" t="s">
        <v>155</v>
      </c>
      <c r="J56" s="137" t="s">
        <v>38</v>
      </c>
      <c r="K56" s="247" t="s">
        <v>156</v>
      </c>
      <c r="L56" s="247">
        <v>1</v>
      </c>
      <c r="M56" s="247"/>
      <c r="N56" s="247">
        <v>1</v>
      </c>
      <c r="O56" s="247">
        <v>0.5</v>
      </c>
      <c r="P56" s="247">
        <v>0.5</v>
      </c>
      <c r="Q56" s="139">
        <f t="shared" si="0"/>
        <v>0.5</v>
      </c>
      <c r="R56" s="247">
        <v>18.600000000000001</v>
      </c>
      <c r="S56" s="247">
        <v>143</v>
      </c>
      <c r="T56" s="140">
        <f t="shared" si="1"/>
        <v>22</v>
      </c>
      <c r="U56" s="247">
        <v>158</v>
      </c>
      <c r="V56" s="141">
        <f t="shared" si="2"/>
        <v>3476</v>
      </c>
      <c r="W56" s="247">
        <v>12</v>
      </c>
      <c r="X56" s="137" t="s">
        <v>46</v>
      </c>
      <c r="Y56" s="247" t="s">
        <v>97</v>
      </c>
      <c r="Z56" s="247" t="s">
        <v>88</v>
      </c>
      <c r="AA56" s="247" t="s">
        <v>102</v>
      </c>
      <c r="AB56" s="137" t="s">
        <v>436</v>
      </c>
      <c r="AC56" s="142"/>
    </row>
    <row r="57" spans="1:29" x14ac:dyDescent="0.15">
      <c r="A57" s="137" t="s">
        <v>61</v>
      </c>
      <c r="B57" s="137" t="s">
        <v>393</v>
      </c>
      <c r="C57" s="137">
        <v>2018</v>
      </c>
      <c r="D57" s="138" t="s">
        <v>435</v>
      </c>
      <c r="E57" s="137" t="s">
        <v>258</v>
      </c>
      <c r="F57" s="137" t="s">
        <v>259</v>
      </c>
      <c r="G57" s="137" t="s">
        <v>42</v>
      </c>
      <c r="H57" s="247" t="s">
        <v>166</v>
      </c>
      <c r="I57" s="247" t="s">
        <v>155</v>
      </c>
      <c r="J57" s="137" t="s">
        <v>38</v>
      </c>
      <c r="K57" s="247" t="s">
        <v>156</v>
      </c>
      <c r="L57" s="247">
        <v>2</v>
      </c>
      <c r="M57" s="247"/>
      <c r="N57" s="247">
        <v>1</v>
      </c>
      <c r="O57" s="247">
        <v>0.5</v>
      </c>
      <c r="P57" s="247">
        <v>0.55000000000000004</v>
      </c>
      <c r="Q57" s="139">
        <f t="shared" si="0"/>
        <v>0.52500000000000002</v>
      </c>
      <c r="R57" s="247">
        <v>18.7</v>
      </c>
      <c r="S57" s="247">
        <v>146</v>
      </c>
      <c r="T57" s="140">
        <f t="shared" si="1"/>
        <v>22</v>
      </c>
      <c r="U57" s="247">
        <v>158</v>
      </c>
      <c r="V57" s="141">
        <f t="shared" si="2"/>
        <v>3476</v>
      </c>
      <c r="W57" s="247">
        <v>12</v>
      </c>
      <c r="X57" s="137" t="s">
        <v>46</v>
      </c>
      <c r="Y57" s="247" t="s">
        <v>97</v>
      </c>
      <c r="Z57" s="247" t="s">
        <v>88</v>
      </c>
      <c r="AA57" s="247" t="s">
        <v>102</v>
      </c>
      <c r="AB57" s="137" t="s">
        <v>436</v>
      </c>
      <c r="AC57" s="142"/>
    </row>
    <row r="58" spans="1:29" x14ac:dyDescent="0.15">
      <c r="A58" s="137" t="s">
        <v>61</v>
      </c>
      <c r="B58" s="137" t="s">
        <v>393</v>
      </c>
      <c r="C58" s="137">
        <v>2018</v>
      </c>
      <c r="D58" s="138" t="s">
        <v>435</v>
      </c>
      <c r="E58" s="137" t="s">
        <v>258</v>
      </c>
      <c r="F58" s="137" t="s">
        <v>259</v>
      </c>
      <c r="G58" s="137" t="s">
        <v>42</v>
      </c>
      <c r="H58" s="247" t="s">
        <v>166</v>
      </c>
      <c r="I58" s="247" t="s">
        <v>155</v>
      </c>
      <c r="J58" s="137" t="s">
        <v>38</v>
      </c>
      <c r="K58" s="247" t="s">
        <v>156</v>
      </c>
      <c r="L58" s="247">
        <v>3</v>
      </c>
      <c r="M58" s="247"/>
      <c r="N58" s="247">
        <v>1</v>
      </c>
      <c r="O58" s="247">
        <v>0.5</v>
      </c>
      <c r="P58" s="247">
        <v>0.5</v>
      </c>
      <c r="Q58" s="139">
        <f t="shared" si="0"/>
        <v>0.5</v>
      </c>
      <c r="R58" s="247">
        <v>18.399999999999999</v>
      </c>
      <c r="S58" s="247">
        <v>141</v>
      </c>
      <c r="T58" s="140">
        <f t="shared" si="1"/>
        <v>22</v>
      </c>
      <c r="U58" s="247">
        <v>158</v>
      </c>
      <c r="V58" s="141">
        <f t="shared" si="2"/>
        <v>3476</v>
      </c>
      <c r="W58" s="247">
        <v>12</v>
      </c>
      <c r="X58" s="137" t="s">
        <v>46</v>
      </c>
      <c r="Y58" s="247" t="s">
        <v>97</v>
      </c>
      <c r="Z58" s="247" t="s">
        <v>88</v>
      </c>
      <c r="AA58" s="247" t="s">
        <v>102</v>
      </c>
      <c r="AB58" s="137" t="s">
        <v>436</v>
      </c>
      <c r="AC58" s="142"/>
    </row>
    <row r="59" spans="1:29" x14ac:dyDescent="0.15">
      <c r="A59" s="137" t="s">
        <v>61</v>
      </c>
      <c r="B59" s="137" t="s">
        <v>393</v>
      </c>
      <c r="C59" s="137">
        <v>2018</v>
      </c>
      <c r="D59" s="138" t="s">
        <v>435</v>
      </c>
      <c r="E59" s="137" t="s">
        <v>260</v>
      </c>
      <c r="F59" s="137" t="s">
        <v>259</v>
      </c>
      <c r="G59" s="137" t="s">
        <v>42</v>
      </c>
      <c r="H59" s="247" t="s">
        <v>157</v>
      </c>
      <c r="I59" s="247" t="s">
        <v>155</v>
      </c>
      <c r="J59" s="137" t="s">
        <v>38</v>
      </c>
      <c r="K59" s="247" t="s">
        <v>156</v>
      </c>
      <c r="L59" s="247">
        <v>1</v>
      </c>
      <c r="M59" s="247"/>
      <c r="N59" s="247">
        <v>1</v>
      </c>
      <c r="O59" s="247">
        <v>0.6</v>
      </c>
      <c r="P59" s="247">
        <v>0.5</v>
      </c>
      <c r="Q59" s="139">
        <f t="shared" si="0"/>
        <v>0.55000000000000004</v>
      </c>
      <c r="R59" s="247">
        <v>18.100000000000001</v>
      </c>
      <c r="S59" s="247">
        <v>98</v>
      </c>
      <c r="T59" s="140">
        <f t="shared" si="1"/>
        <v>36</v>
      </c>
      <c r="U59" s="247">
        <v>149</v>
      </c>
      <c r="V59" s="141">
        <f t="shared" si="2"/>
        <v>5364</v>
      </c>
      <c r="W59" s="247">
        <v>26</v>
      </c>
      <c r="X59" s="137" t="s">
        <v>46</v>
      </c>
      <c r="Y59" s="247" t="s">
        <v>97</v>
      </c>
      <c r="Z59" s="247" t="s">
        <v>78</v>
      </c>
      <c r="AA59" s="247" t="s">
        <v>88</v>
      </c>
      <c r="AB59" s="137" t="s">
        <v>436</v>
      </c>
      <c r="AC59" s="247"/>
    </row>
    <row r="60" spans="1:29" x14ac:dyDescent="0.15">
      <c r="A60" s="137" t="s">
        <v>61</v>
      </c>
      <c r="B60" s="137" t="s">
        <v>393</v>
      </c>
      <c r="C60" s="137">
        <v>2018</v>
      </c>
      <c r="D60" s="138" t="s">
        <v>435</v>
      </c>
      <c r="E60" s="137" t="s">
        <v>260</v>
      </c>
      <c r="F60" s="137" t="s">
        <v>259</v>
      </c>
      <c r="G60" s="137" t="s">
        <v>42</v>
      </c>
      <c r="H60" s="247" t="s">
        <v>157</v>
      </c>
      <c r="I60" s="247" t="s">
        <v>155</v>
      </c>
      <c r="J60" s="137" t="s">
        <v>38</v>
      </c>
      <c r="K60" s="247" t="s">
        <v>156</v>
      </c>
      <c r="L60" s="247">
        <v>2</v>
      </c>
      <c r="M60" s="247"/>
      <c r="N60" s="247">
        <v>1</v>
      </c>
      <c r="O60" s="247">
        <v>0.6</v>
      </c>
      <c r="P60" s="247">
        <v>0.5</v>
      </c>
      <c r="Q60" s="139">
        <f t="shared" si="0"/>
        <v>0.55000000000000004</v>
      </c>
      <c r="R60" s="247">
        <v>18.3</v>
      </c>
      <c r="S60" s="247">
        <v>102</v>
      </c>
      <c r="T60" s="140">
        <f t="shared" si="1"/>
        <v>33</v>
      </c>
      <c r="U60" s="247">
        <v>149</v>
      </c>
      <c r="V60" s="141">
        <f t="shared" si="2"/>
        <v>4917</v>
      </c>
      <c r="W60" s="247">
        <v>26</v>
      </c>
      <c r="X60" s="137" t="s">
        <v>46</v>
      </c>
      <c r="Y60" s="247" t="s">
        <v>97</v>
      </c>
      <c r="Z60" s="247" t="s">
        <v>78</v>
      </c>
      <c r="AA60" s="247" t="s">
        <v>88</v>
      </c>
      <c r="AB60" s="137" t="s">
        <v>436</v>
      </c>
      <c r="AC60" s="247"/>
    </row>
    <row r="61" spans="1:29" x14ac:dyDescent="0.15">
      <c r="A61" s="137" t="s">
        <v>61</v>
      </c>
      <c r="B61" s="137" t="s">
        <v>393</v>
      </c>
      <c r="C61" s="137">
        <v>2018</v>
      </c>
      <c r="D61" s="138" t="s">
        <v>435</v>
      </c>
      <c r="E61" s="137" t="s">
        <v>260</v>
      </c>
      <c r="F61" s="137" t="s">
        <v>259</v>
      </c>
      <c r="G61" s="137" t="s">
        <v>42</v>
      </c>
      <c r="H61" s="247" t="s">
        <v>157</v>
      </c>
      <c r="I61" s="247" t="s">
        <v>155</v>
      </c>
      <c r="J61" s="137" t="s">
        <v>38</v>
      </c>
      <c r="K61" s="247" t="s">
        <v>156</v>
      </c>
      <c r="L61" s="247">
        <v>3</v>
      </c>
      <c r="M61" s="247"/>
      <c r="N61" s="247">
        <v>1</v>
      </c>
      <c r="O61" s="247">
        <v>0.55000000000000004</v>
      </c>
      <c r="P61" s="247">
        <v>0.55000000000000004</v>
      </c>
      <c r="Q61" s="139">
        <f t="shared" si="0"/>
        <v>0.55000000000000004</v>
      </c>
      <c r="R61" s="247">
        <v>18.100000000000001</v>
      </c>
      <c r="S61" s="247">
        <v>106</v>
      </c>
      <c r="T61" s="140">
        <f t="shared" si="1"/>
        <v>33</v>
      </c>
      <c r="U61" s="247">
        <v>149</v>
      </c>
      <c r="V61" s="141">
        <f t="shared" si="2"/>
        <v>4917</v>
      </c>
      <c r="W61" s="247">
        <v>26</v>
      </c>
      <c r="X61" s="137" t="s">
        <v>46</v>
      </c>
      <c r="Y61" s="247" t="s">
        <v>97</v>
      </c>
      <c r="Z61" s="247" t="s">
        <v>78</v>
      </c>
      <c r="AA61" s="247" t="s">
        <v>88</v>
      </c>
      <c r="AB61" s="137" t="s">
        <v>436</v>
      </c>
      <c r="AC61" s="247"/>
    </row>
    <row r="62" spans="1:29" x14ac:dyDescent="0.15">
      <c r="A62" s="137" t="s">
        <v>61</v>
      </c>
      <c r="B62" s="137" t="s">
        <v>393</v>
      </c>
      <c r="C62" s="137">
        <v>2018</v>
      </c>
      <c r="D62" s="138" t="s">
        <v>435</v>
      </c>
      <c r="E62" s="137" t="s">
        <v>260</v>
      </c>
      <c r="F62" s="137" t="s">
        <v>259</v>
      </c>
      <c r="G62" s="137" t="s">
        <v>42</v>
      </c>
      <c r="H62" s="247" t="s">
        <v>166</v>
      </c>
      <c r="I62" s="247" t="s">
        <v>155</v>
      </c>
      <c r="J62" s="137" t="s">
        <v>38</v>
      </c>
      <c r="K62" s="247" t="s">
        <v>156</v>
      </c>
      <c r="L62" s="247">
        <v>1</v>
      </c>
      <c r="M62" s="247"/>
      <c r="N62" s="247">
        <v>1</v>
      </c>
      <c r="O62" s="247">
        <v>0.6</v>
      </c>
      <c r="P62" s="247">
        <v>0.6</v>
      </c>
      <c r="Q62" s="139">
        <f>IF(OR(O62="",P62=""),"",AVERAGE(O62,P62))</f>
        <v>0.6</v>
      </c>
      <c r="R62" s="247">
        <v>18.8</v>
      </c>
      <c r="S62" s="247">
        <v>131</v>
      </c>
      <c r="T62" s="140">
        <f t="shared" si="1"/>
        <v>25</v>
      </c>
      <c r="U62" s="247">
        <v>149</v>
      </c>
      <c r="V62" s="141">
        <f t="shared" si="2"/>
        <v>3725</v>
      </c>
      <c r="W62" s="247">
        <v>26</v>
      </c>
      <c r="X62" s="137" t="s">
        <v>46</v>
      </c>
      <c r="Y62" s="247" t="s">
        <v>97</v>
      </c>
      <c r="Z62" s="247" t="s">
        <v>78</v>
      </c>
      <c r="AA62" s="247" t="s">
        <v>88</v>
      </c>
      <c r="AB62" s="137" t="s">
        <v>436</v>
      </c>
      <c r="AC62" s="247"/>
    </row>
    <row r="63" spans="1:29" x14ac:dyDescent="0.15">
      <c r="A63" s="137" t="s">
        <v>61</v>
      </c>
      <c r="B63" s="137" t="s">
        <v>393</v>
      </c>
      <c r="C63" s="137">
        <v>2018</v>
      </c>
      <c r="D63" s="138" t="s">
        <v>435</v>
      </c>
      <c r="E63" s="137" t="s">
        <v>260</v>
      </c>
      <c r="F63" s="137" t="s">
        <v>259</v>
      </c>
      <c r="G63" s="137" t="s">
        <v>42</v>
      </c>
      <c r="H63" s="247" t="s">
        <v>166</v>
      </c>
      <c r="I63" s="247" t="s">
        <v>155</v>
      </c>
      <c r="J63" s="137" t="s">
        <v>38</v>
      </c>
      <c r="K63" s="247" t="s">
        <v>156</v>
      </c>
      <c r="L63" s="247">
        <v>2</v>
      </c>
      <c r="M63" s="247"/>
      <c r="N63" s="247">
        <v>1</v>
      </c>
      <c r="O63" s="247">
        <v>0.65</v>
      </c>
      <c r="P63" s="247">
        <v>0.6</v>
      </c>
      <c r="Q63" s="139">
        <f t="shared" si="0"/>
        <v>0.625</v>
      </c>
      <c r="R63" s="247">
        <v>18.399999999999999</v>
      </c>
      <c r="S63" s="247">
        <v>132</v>
      </c>
      <c r="T63" s="140">
        <f t="shared" si="1"/>
        <v>25</v>
      </c>
      <c r="U63" s="247">
        <v>149</v>
      </c>
      <c r="V63" s="141">
        <f t="shared" si="2"/>
        <v>3725</v>
      </c>
      <c r="W63" s="247">
        <v>26</v>
      </c>
      <c r="X63" s="137" t="s">
        <v>46</v>
      </c>
      <c r="Y63" s="247" t="s">
        <v>97</v>
      </c>
      <c r="Z63" s="247" t="s">
        <v>78</v>
      </c>
      <c r="AA63" s="247" t="s">
        <v>88</v>
      </c>
      <c r="AB63" s="137" t="s">
        <v>436</v>
      </c>
      <c r="AC63" s="247"/>
    </row>
    <row r="64" spans="1:29" x14ac:dyDescent="0.15">
      <c r="A64" s="137" t="s">
        <v>61</v>
      </c>
      <c r="B64" s="137" t="s">
        <v>393</v>
      </c>
      <c r="C64" s="137">
        <v>2018</v>
      </c>
      <c r="D64" s="138" t="s">
        <v>435</v>
      </c>
      <c r="E64" s="137" t="s">
        <v>260</v>
      </c>
      <c r="F64" s="137" t="s">
        <v>259</v>
      </c>
      <c r="G64" s="137" t="s">
        <v>42</v>
      </c>
      <c r="H64" s="247" t="s">
        <v>166</v>
      </c>
      <c r="I64" s="247" t="s">
        <v>155</v>
      </c>
      <c r="J64" s="137" t="s">
        <v>38</v>
      </c>
      <c r="K64" s="247" t="s">
        <v>156</v>
      </c>
      <c r="L64" s="247">
        <v>3</v>
      </c>
      <c r="M64" s="247"/>
      <c r="N64" s="247">
        <v>1</v>
      </c>
      <c r="O64" s="247">
        <v>0.5</v>
      </c>
      <c r="P64" s="247">
        <v>0.55000000000000004</v>
      </c>
      <c r="Q64" s="139">
        <f t="shared" si="0"/>
        <v>0.52500000000000002</v>
      </c>
      <c r="R64" s="247">
        <v>18.600000000000001</v>
      </c>
      <c r="S64" s="247">
        <v>138</v>
      </c>
      <c r="T64" s="140">
        <f t="shared" si="1"/>
        <v>22</v>
      </c>
      <c r="U64" s="247">
        <v>149</v>
      </c>
      <c r="V64" s="141">
        <f t="shared" si="2"/>
        <v>3278</v>
      </c>
      <c r="W64" s="247">
        <v>26</v>
      </c>
      <c r="X64" s="137" t="s">
        <v>46</v>
      </c>
      <c r="Y64" s="247" t="s">
        <v>97</v>
      </c>
      <c r="Z64" s="247" t="s">
        <v>78</v>
      </c>
      <c r="AA64" s="247" t="s">
        <v>88</v>
      </c>
      <c r="AB64" s="137" t="s">
        <v>436</v>
      </c>
      <c r="AC64" s="247"/>
    </row>
    <row r="65" spans="1:29" x14ac:dyDescent="0.15">
      <c r="A65" s="137"/>
      <c r="B65" s="137"/>
      <c r="C65" s="137"/>
      <c r="D65" s="138"/>
      <c r="E65" s="137"/>
      <c r="F65" s="137"/>
      <c r="G65" s="137"/>
      <c r="H65" s="247"/>
      <c r="I65" s="247"/>
      <c r="J65" s="137"/>
      <c r="K65" s="247"/>
      <c r="L65" s="247"/>
      <c r="M65" s="247"/>
      <c r="N65" s="247"/>
      <c r="O65" s="247"/>
      <c r="P65" s="247"/>
      <c r="Q65" s="139" t="str">
        <f t="shared" si="0"/>
        <v/>
      </c>
      <c r="R65" s="247"/>
      <c r="S65" s="247"/>
      <c r="T65" s="140" t="str">
        <f t="shared" si="1"/>
        <v/>
      </c>
      <c r="U65" s="247"/>
      <c r="V65" s="141" t="str">
        <f t="shared" si="2"/>
        <v/>
      </c>
      <c r="W65" s="247"/>
      <c r="X65" s="137"/>
      <c r="Y65" s="247"/>
      <c r="Z65" s="247"/>
      <c r="AA65" s="247"/>
      <c r="AB65" s="137"/>
      <c r="AC65" s="142"/>
    </row>
    <row r="66" spans="1:29" x14ac:dyDescent="0.15">
      <c r="A66" s="137"/>
      <c r="B66" s="137"/>
      <c r="C66" s="137"/>
      <c r="D66" s="138"/>
      <c r="E66" s="137"/>
      <c r="F66" s="137"/>
      <c r="G66" s="137"/>
      <c r="H66" s="247"/>
      <c r="I66" s="247"/>
      <c r="J66" s="137"/>
      <c r="K66" s="247"/>
      <c r="L66" s="247"/>
      <c r="M66" s="247"/>
      <c r="N66" s="247"/>
      <c r="O66" s="247"/>
      <c r="P66" s="247"/>
      <c r="Q66" s="139" t="str">
        <f t="shared" si="0"/>
        <v/>
      </c>
      <c r="R66" s="247"/>
      <c r="S66" s="247"/>
      <c r="T66" s="140" t="str">
        <f t="shared" ref="T66:T85" si="3">IF(H66="","",IF(OR(H66="GREEN",H66="GK"),IF(S66&gt;=$AX$2,VLOOKUP(S66,$AX$2:$AY$15,2,1),""),IF(S66&gt;=$AZ$2,VLOOKUP(S66,$AZ$2:$BA$15,2,1),"")))</f>
        <v/>
      </c>
      <c r="U66" s="247"/>
      <c r="V66" s="141" t="str">
        <f t="shared" si="2"/>
        <v/>
      </c>
      <c r="W66" s="247"/>
      <c r="X66" s="137"/>
      <c r="Y66" s="247"/>
      <c r="Z66" s="247"/>
      <c r="AA66" s="247"/>
      <c r="AB66" s="137"/>
      <c r="AC66" s="142"/>
    </row>
    <row r="67" spans="1:29" x14ac:dyDescent="0.15">
      <c r="A67" s="137"/>
      <c r="B67" s="137"/>
      <c r="C67" s="137"/>
      <c r="D67" s="138"/>
      <c r="E67" s="137"/>
      <c r="F67" s="137"/>
      <c r="G67" s="137"/>
      <c r="H67" s="247"/>
      <c r="I67" s="247"/>
      <c r="J67" s="137"/>
      <c r="K67" s="247"/>
      <c r="L67" s="247"/>
      <c r="M67" s="247"/>
      <c r="N67" s="247"/>
      <c r="O67" s="247"/>
      <c r="P67" s="247"/>
      <c r="Q67" s="139" t="str">
        <f t="shared" ref="Q67:Q85" si="4">IF(OR(O67="",P67=""),"",AVERAGE(O67,P67))</f>
        <v/>
      </c>
      <c r="R67" s="142"/>
      <c r="S67" s="247"/>
      <c r="T67" s="140" t="str">
        <f t="shared" si="3"/>
        <v/>
      </c>
      <c r="U67" s="247"/>
      <c r="V67" s="141" t="str">
        <f t="shared" ref="V67:V85" si="5">IF(OR(N67="",U67="",T67=""),"",U67/N67*T67)</f>
        <v/>
      </c>
      <c r="W67" s="247"/>
      <c r="X67" s="137"/>
      <c r="Y67" s="247"/>
      <c r="Z67" s="247"/>
      <c r="AA67" s="247"/>
      <c r="AB67" s="137"/>
      <c r="AC67" s="142"/>
    </row>
    <row r="68" spans="1:29" x14ac:dyDescent="0.15">
      <c r="A68" s="137"/>
      <c r="B68" s="137"/>
      <c r="C68" s="137"/>
      <c r="D68" s="138"/>
      <c r="E68" s="137"/>
      <c r="F68" s="137"/>
      <c r="G68" s="137"/>
      <c r="H68" s="247"/>
      <c r="I68" s="247"/>
      <c r="J68" s="137"/>
      <c r="K68" s="247"/>
      <c r="L68" s="247"/>
      <c r="M68" s="247"/>
      <c r="N68" s="247"/>
      <c r="O68" s="247"/>
      <c r="P68" s="247"/>
      <c r="Q68" s="139" t="str">
        <f t="shared" si="4"/>
        <v/>
      </c>
      <c r="R68" s="247"/>
      <c r="S68" s="247"/>
      <c r="T68" s="140" t="str">
        <f t="shared" si="3"/>
        <v/>
      </c>
      <c r="U68" s="247"/>
      <c r="V68" s="141" t="str">
        <f t="shared" si="5"/>
        <v/>
      </c>
      <c r="W68" s="247"/>
      <c r="X68" s="137"/>
      <c r="Y68" s="247"/>
      <c r="Z68" s="247"/>
      <c r="AA68" s="247"/>
      <c r="AB68" s="137"/>
      <c r="AC68" s="142"/>
    </row>
    <row r="69" spans="1:29" x14ac:dyDescent="0.15">
      <c r="A69" s="137"/>
      <c r="B69" s="137"/>
      <c r="C69" s="137"/>
      <c r="D69" s="138"/>
      <c r="E69" s="137"/>
      <c r="F69" s="137"/>
      <c r="G69" s="137"/>
      <c r="H69" s="247"/>
      <c r="I69" s="247"/>
      <c r="J69" s="137"/>
      <c r="K69" s="247"/>
      <c r="L69" s="247"/>
      <c r="M69" s="247"/>
      <c r="N69" s="247"/>
      <c r="O69" s="247"/>
      <c r="P69" s="247"/>
      <c r="Q69" s="139" t="str">
        <f t="shared" si="4"/>
        <v/>
      </c>
      <c r="R69" s="142"/>
      <c r="S69" s="247"/>
      <c r="T69" s="140" t="str">
        <f t="shared" si="3"/>
        <v/>
      </c>
      <c r="U69" s="247"/>
      <c r="V69" s="141" t="str">
        <f t="shared" si="5"/>
        <v/>
      </c>
      <c r="W69" s="247"/>
      <c r="X69" s="137"/>
      <c r="Y69" s="247"/>
      <c r="Z69" s="247"/>
      <c r="AA69" s="247"/>
      <c r="AB69" s="137"/>
      <c r="AC69" s="142"/>
    </row>
    <row r="70" spans="1:29" x14ac:dyDescent="0.15">
      <c r="A70" s="137"/>
      <c r="B70" s="137"/>
      <c r="C70" s="137"/>
      <c r="D70" s="138"/>
      <c r="E70" s="137"/>
      <c r="F70" s="137"/>
      <c r="G70" s="137"/>
      <c r="H70" s="247"/>
      <c r="I70" s="247"/>
      <c r="J70" s="137"/>
      <c r="K70" s="247"/>
      <c r="L70" s="247"/>
      <c r="M70" s="247"/>
      <c r="N70" s="247"/>
      <c r="O70" s="247"/>
      <c r="P70" s="247"/>
      <c r="Q70" s="139" t="str">
        <f t="shared" si="4"/>
        <v/>
      </c>
      <c r="R70" s="142"/>
      <c r="S70" s="247"/>
      <c r="T70" s="140" t="str">
        <f t="shared" si="3"/>
        <v/>
      </c>
      <c r="U70" s="247"/>
      <c r="V70" s="141" t="str">
        <f t="shared" si="5"/>
        <v/>
      </c>
      <c r="W70" s="247"/>
      <c r="X70" s="137"/>
      <c r="Y70" s="247"/>
      <c r="Z70" s="247"/>
      <c r="AA70" s="247"/>
      <c r="AB70" s="137"/>
      <c r="AC70" s="142"/>
    </row>
    <row r="71" spans="1:29" x14ac:dyDescent="0.15">
      <c r="A71" s="137"/>
      <c r="B71" s="137"/>
      <c r="C71" s="137"/>
      <c r="D71" s="138"/>
      <c r="E71" s="137"/>
      <c r="F71" s="137"/>
      <c r="G71" s="137"/>
      <c r="H71" s="247"/>
      <c r="I71" s="247"/>
      <c r="J71" s="137"/>
      <c r="K71" s="247"/>
      <c r="L71" s="247"/>
      <c r="M71" s="247"/>
      <c r="N71" s="247"/>
      <c r="O71" s="247"/>
      <c r="P71" s="247"/>
      <c r="Q71" s="139"/>
      <c r="R71" s="247"/>
      <c r="S71" s="247"/>
      <c r="T71" s="140"/>
      <c r="U71" s="247"/>
      <c r="V71" s="141"/>
      <c r="W71" s="247"/>
      <c r="X71" s="137"/>
      <c r="Y71" s="247"/>
      <c r="Z71" s="247"/>
      <c r="AA71" s="247"/>
      <c r="AB71" s="137"/>
      <c r="AC71" s="142"/>
    </row>
    <row r="72" spans="1:29" x14ac:dyDescent="0.15">
      <c r="A72" s="137"/>
      <c r="B72" s="137"/>
      <c r="C72" s="137"/>
      <c r="D72" s="138"/>
      <c r="E72" s="137"/>
      <c r="F72" s="137"/>
      <c r="G72" s="137"/>
      <c r="H72" s="247"/>
      <c r="I72" s="247"/>
      <c r="J72" s="137"/>
      <c r="K72" s="247"/>
      <c r="L72" s="247"/>
      <c r="M72" s="247"/>
      <c r="N72" s="247"/>
      <c r="O72" s="247"/>
      <c r="P72" s="247"/>
      <c r="Q72" s="139"/>
      <c r="R72" s="247"/>
      <c r="S72" s="247"/>
      <c r="T72" s="140"/>
      <c r="U72" s="247"/>
      <c r="V72" s="141"/>
      <c r="W72" s="247"/>
      <c r="X72" s="137"/>
      <c r="Y72" s="247"/>
      <c r="Z72" s="247"/>
      <c r="AA72" s="247"/>
      <c r="AB72" s="137"/>
      <c r="AC72" s="142"/>
    </row>
    <row r="73" spans="1:29" x14ac:dyDescent="0.15">
      <c r="A73" s="137"/>
      <c r="B73" s="137"/>
      <c r="C73" s="137"/>
      <c r="D73" s="138"/>
      <c r="E73" s="137"/>
      <c r="F73" s="137"/>
      <c r="G73" s="137"/>
      <c r="H73" s="247"/>
      <c r="I73" s="247"/>
      <c r="J73" s="137"/>
      <c r="K73" s="247"/>
      <c r="L73" s="247"/>
      <c r="M73" s="247"/>
      <c r="N73" s="247"/>
      <c r="O73" s="247"/>
      <c r="P73" s="247"/>
      <c r="Q73" s="139"/>
      <c r="R73" s="247"/>
      <c r="S73" s="247"/>
      <c r="T73" s="140"/>
      <c r="U73" s="247"/>
      <c r="V73" s="141"/>
      <c r="W73" s="247"/>
      <c r="X73" s="137"/>
      <c r="Y73" s="247"/>
      <c r="Z73" s="247"/>
      <c r="AA73" s="247"/>
      <c r="AB73" s="137"/>
      <c r="AC73" s="142"/>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c r="R77" s="247"/>
      <c r="S77" s="247"/>
      <c r="T77" s="140"/>
      <c r="U77" s="247"/>
      <c r="V77" s="141"/>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c r="R78" s="247"/>
      <c r="S78" s="247"/>
      <c r="T78" s="140"/>
      <c r="U78" s="247"/>
      <c r="V78" s="141"/>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c r="R79" s="247"/>
      <c r="S79" s="247"/>
      <c r="T79" s="140"/>
      <c r="U79" s="247"/>
      <c r="V79" s="141"/>
      <c r="W79" s="247"/>
      <c r="X79" s="137"/>
      <c r="Y79" s="247"/>
      <c r="Z79" s="247"/>
      <c r="AA79" s="247"/>
      <c r="AB79" s="137"/>
      <c r="AC79" s="247"/>
    </row>
    <row r="80" spans="1:29" x14ac:dyDescent="0.15">
      <c r="A80" s="137"/>
      <c r="B80" s="137"/>
      <c r="C80" s="137"/>
      <c r="D80" s="138"/>
      <c r="E80" s="137"/>
      <c r="F80" s="137"/>
      <c r="G80" s="137"/>
      <c r="H80" s="247"/>
      <c r="I80" s="247"/>
      <c r="J80" s="137"/>
      <c r="K80" s="247"/>
      <c r="L80" s="247"/>
      <c r="M80" s="247"/>
      <c r="N80" s="247"/>
      <c r="O80" s="247"/>
      <c r="P80" s="247"/>
      <c r="Q80" s="139" t="str">
        <f t="shared" si="4"/>
        <v/>
      </c>
      <c r="R80" s="247"/>
      <c r="S80" s="247"/>
      <c r="T80" s="140" t="str">
        <f t="shared" si="3"/>
        <v/>
      </c>
      <c r="U80" s="247"/>
      <c r="V80" s="141" t="str">
        <f t="shared" si="5"/>
        <v/>
      </c>
      <c r="W80" s="247"/>
      <c r="X80" s="137"/>
      <c r="Y80" s="247"/>
      <c r="Z80" s="247"/>
      <c r="AA80" s="247"/>
      <c r="AB80" s="137"/>
      <c r="AC80" s="247"/>
    </row>
    <row r="81" spans="1:29" x14ac:dyDescent="0.15">
      <c r="A81" s="137"/>
      <c r="B81" s="137"/>
      <c r="C81" s="137"/>
      <c r="D81" s="138"/>
      <c r="E81" s="137"/>
      <c r="F81" s="137"/>
      <c r="G81" s="137"/>
      <c r="H81" s="247"/>
      <c r="I81" s="247"/>
      <c r="J81" s="137"/>
      <c r="K81" s="247"/>
      <c r="L81" s="247"/>
      <c r="M81" s="247"/>
      <c r="N81" s="247"/>
      <c r="O81" s="247"/>
      <c r="P81" s="247"/>
      <c r="Q81" s="139" t="str">
        <f t="shared" si="4"/>
        <v/>
      </c>
      <c r="R81" s="247"/>
      <c r="S81" s="247"/>
      <c r="T81" s="140" t="str">
        <f t="shared" si="3"/>
        <v/>
      </c>
      <c r="U81" s="247"/>
      <c r="V81" s="141" t="str">
        <f t="shared" si="5"/>
        <v/>
      </c>
      <c r="W81" s="247"/>
      <c r="X81" s="137"/>
      <c r="Y81" s="247"/>
      <c r="Z81" s="247"/>
      <c r="AA81" s="247"/>
      <c r="AB81" s="137"/>
      <c r="AC81" s="247"/>
    </row>
    <row r="82" spans="1:29" x14ac:dyDescent="0.15">
      <c r="A82" s="137"/>
      <c r="B82" s="137"/>
      <c r="C82" s="137"/>
      <c r="D82" s="138"/>
      <c r="E82" s="137"/>
      <c r="F82" s="137"/>
      <c r="G82" s="137"/>
      <c r="H82" s="247"/>
      <c r="I82" s="247"/>
      <c r="J82" s="137"/>
      <c r="K82" s="247"/>
      <c r="L82" s="247"/>
      <c r="M82" s="247"/>
      <c r="N82" s="247"/>
      <c r="O82" s="247"/>
      <c r="P82" s="247"/>
      <c r="Q82" s="139" t="str">
        <f t="shared" si="4"/>
        <v/>
      </c>
      <c r="R82" s="247"/>
      <c r="S82" s="247"/>
      <c r="T82" s="140" t="str">
        <f t="shared" si="3"/>
        <v/>
      </c>
      <c r="U82" s="247"/>
      <c r="V82" s="141" t="str">
        <f t="shared" si="5"/>
        <v/>
      </c>
      <c r="W82" s="247"/>
      <c r="X82" s="137"/>
      <c r="Y82" s="247"/>
      <c r="Z82" s="247"/>
      <c r="AA82" s="247"/>
      <c r="AB82" s="137"/>
      <c r="AC82" s="247"/>
    </row>
    <row r="83" spans="1:29" x14ac:dyDescent="0.15">
      <c r="A83" s="137"/>
      <c r="B83" s="137"/>
      <c r="C83" s="137"/>
      <c r="D83" s="138"/>
      <c r="E83" s="137"/>
      <c r="F83" s="137"/>
      <c r="G83" s="137"/>
      <c r="H83" s="247"/>
      <c r="I83" s="247"/>
      <c r="J83" s="137"/>
      <c r="K83" s="247"/>
      <c r="L83" s="247"/>
      <c r="M83" s="247"/>
      <c r="N83" s="247"/>
      <c r="O83" s="247"/>
      <c r="P83" s="247"/>
      <c r="Q83" s="139" t="str">
        <f t="shared" si="4"/>
        <v/>
      </c>
      <c r="R83" s="247"/>
      <c r="S83" s="247"/>
      <c r="T83" s="140" t="str">
        <f t="shared" si="3"/>
        <v/>
      </c>
      <c r="U83" s="247"/>
      <c r="V83" s="141" t="str">
        <f t="shared" si="5"/>
        <v/>
      </c>
      <c r="W83" s="247"/>
      <c r="X83" s="137"/>
      <c r="Y83" s="247"/>
      <c r="Z83" s="247"/>
      <c r="AA83" s="247"/>
      <c r="AB83" s="137"/>
      <c r="AC83" s="247"/>
    </row>
    <row r="84" spans="1:29" x14ac:dyDescent="0.15">
      <c r="A84" s="137"/>
      <c r="B84" s="137"/>
      <c r="C84" s="137"/>
      <c r="D84" s="138"/>
      <c r="E84" s="137"/>
      <c r="F84" s="137"/>
      <c r="G84" s="137"/>
      <c r="H84" s="247"/>
      <c r="I84" s="247"/>
      <c r="J84" s="137"/>
      <c r="K84" s="247"/>
      <c r="L84" s="247"/>
      <c r="M84" s="247"/>
      <c r="N84" s="247"/>
      <c r="O84" s="247"/>
      <c r="P84" s="247"/>
      <c r="Q84" s="139" t="str">
        <f t="shared" si="4"/>
        <v/>
      </c>
      <c r="R84" s="247"/>
      <c r="S84" s="247"/>
      <c r="T84" s="140" t="str">
        <f t="shared" si="3"/>
        <v/>
      </c>
      <c r="U84" s="247"/>
      <c r="V84" s="141" t="str">
        <f t="shared" si="5"/>
        <v/>
      </c>
      <c r="W84" s="247"/>
      <c r="X84" s="137"/>
      <c r="Y84" s="247"/>
      <c r="Z84" s="247"/>
      <c r="AA84" s="247"/>
      <c r="AB84" s="137"/>
      <c r="AC84" s="247"/>
    </row>
    <row r="85" spans="1:29" x14ac:dyDescent="0.15">
      <c r="A85" s="137"/>
      <c r="B85" s="137"/>
      <c r="C85" s="137"/>
      <c r="D85" s="138"/>
      <c r="E85" s="137"/>
      <c r="F85" s="137"/>
      <c r="G85" s="137"/>
      <c r="H85" s="247"/>
      <c r="I85" s="247"/>
      <c r="J85" s="137"/>
      <c r="K85" s="247"/>
      <c r="L85" s="247"/>
      <c r="M85" s="247"/>
      <c r="N85" s="247"/>
      <c r="O85" s="247"/>
      <c r="P85" s="247"/>
      <c r="Q85" s="139" t="str">
        <f t="shared" si="4"/>
        <v/>
      </c>
      <c r="R85" s="247"/>
      <c r="S85" s="247"/>
      <c r="T85" s="140" t="str">
        <f t="shared" si="3"/>
        <v/>
      </c>
      <c r="U85" s="247"/>
      <c r="V85" s="141" t="str">
        <f t="shared" si="5"/>
        <v/>
      </c>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A89" s="137"/>
      <c r="B89" s="137"/>
      <c r="C89" s="137"/>
      <c r="D89" s="138"/>
      <c r="E89" s="247"/>
      <c r="F89" s="247"/>
      <c r="G89" s="137"/>
      <c r="H89" s="247"/>
      <c r="I89" s="247"/>
      <c r="J89" s="137"/>
      <c r="K89" s="247"/>
      <c r="L89" s="247"/>
      <c r="M89" s="247"/>
      <c r="N89" s="247"/>
      <c r="O89" s="247"/>
      <c r="P89" s="247"/>
      <c r="Q89" s="139"/>
      <c r="R89" s="247"/>
      <c r="S89" s="247"/>
      <c r="T89" s="140"/>
      <c r="U89" s="247"/>
      <c r="V89" s="141"/>
      <c r="W89" s="247"/>
      <c r="X89" s="137"/>
      <c r="Y89" s="247"/>
      <c r="Z89" s="247"/>
      <c r="AA89" s="247"/>
      <c r="AB89" s="13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K95" s="24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137"/>
      <c r="B107" s="137"/>
      <c r="C107" s="137"/>
      <c r="D107" s="138"/>
      <c r="E107" s="247"/>
      <c r="F107" s="247"/>
      <c r="G107" s="137"/>
      <c r="H107" s="247"/>
      <c r="I107" s="247"/>
      <c r="J107" s="137"/>
      <c r="K107" s="247"/>
      <c r="L107" s="247"/>
      <c r="M107" s="247"/>
      <c r="N107" s="247"/>
      <c r="O107" s="247"/>
      <c r="P107" s="247"/>
      <c r="Q107" s="139"/>
      <c r="R107" s="247"/>
      <c r="S107" s="247"/>
      <c r="T107" s="140"/>
      <c r="U107" s="247"/>
      <c r="V107" s="141"/>
      <c r="W107" s="247"/>
      <c r="X107" s="137"/>
      <c r="Y107" s="247"/>
      <c r="Z107" s="247"/>
      <c r="AA107" s="247"/>
      <c r="AB107" s="137"/>
      <c r="AC107" s="247"/>
    </row>
    <row r="108" spans="1:29" x14ac:dyDescent="0.15">
      <c r="A108" s="137"/>
      <c r="B108" s="137"/>
      <c r="C108" s="137"/>
      <c r="D108" s="138"/>
      <c r="E108" s="247"/>
      <c r="F108" s="247"/>
      <c r="G108" s="137"/>
      <c r="H108" s="247"/>
      <c r="I108" s="247"/>
      <c r="J108" s="137"/>
      <c r="K108" s="247"/>
      <c r="L108" s="247"/>
      <c r="M108" s="247"/>
      <c r="N108" s="247"/>
      <c r="O108" s="247"/>
      <c r="P108" s="247"/>
      <c r="Q108" s="139"/>
      <c r="R108" s="247"/>
      <c r="S108" s="247"/>
      <c r="T108" s="140"/>
      <c r="U108" s="247"/>
      <c r="V108" s="141"/>
      <c r="W108" s="247"/>
      <c r="X108" s="137"/>
      <c r="Y108" s="247"/>
      <c r="Z108" s="247"/>
      <c r="AA108" s="247"/>
      <c r="AB108" s="137"/>
      <c r="AC108" s="247"/>
    </row>
    <row r="109" spans="1:29" x14ac:dyDescent="0.15">
      <c r="A109" s="137"/>
      <c r="B109" s="137"/>
      <c r="C109" s="137"/>
      <c r="D109" s="138"/>
      <c r="E109" s="247"/>
      <c r="F109" s="247"/>
      <c r="G109" s="137"/>
      <c r="H109" s="247"/>
      <c r="I109" s="247"/>
      <c r="J109" s="137"/>
      <c r="K109" s="247"/>
      <c r="L109" s="247"/>
      <c r="M109" s="247"/>
      <c r="N109" s="247"/>
      <c r="O109" s="247"/>
      <c r="P109" s="247"/>
      <c r="Q109" s="139"/>
      <c r="R109" s="247"/>
      <c r="S109" s="247"/>
      <c r="T109" s="140"/>
      <c r="U109" s="247"/>
      <c r="V109" s="141"/>
      <c r="W109" s="247"/>
      <c r="X109" s="137"/>
      <c r="Y109" s="247"/>
      <c r="Z109" s="247"/>
      <c r="AA109" s="247"/>
      <c r="AB109" s="137"/>
      <c r="AC109" s="247"/>
    </row>
    <row r="110" spans="1:29" x14ac:dyDescent="0.15">
      <c r="A110" s="137"/>
      <c r="B110" s="137"/>
      <c r="C110" s="137"/>
      <c r="D110" s="138"/>
      <c r="E110" s="247"/>
      <c r="F110" s="247"/>
      <c r="G110" s="137"/>
      <c r="H110" s="247"/>
      <c r="I110" s="247"/>
      <c r="J110" s="137"/>
      <c r="K110" s="247"/>
      <c r="L110" s="247"/>
      <c r="M110" s="247"/>
      <c r="N110" s="247"/>
      <c r="O110" s="247"/>
      <c r="P110" s="247"/>
      <c r="Q110" s="139"/>
      <c r="R110" s="247"/>
      <c r="S110" s="247"/>
      <c r="T110" s="140"/>
      <c r="U110" s="247"/>
      <c r="V110" s="141"/>
      <c r="W110" s="247"/>
      <c r="X110" s="137"/>
      <c r="Y110" s="247"/>
      <c r="Z110" s="247"/>
      <c r="AA110" s="247"/>
      <c r="AB110" s="137"/>
      <c r="AC110" s="247"/>
    </row>
    <row r="111" spans="1:29" x14ac:dyDescent="0.15">
      <c r="A111" s="137"/>
      <c r="B111" s="137"/>
      <c r="C111" s="137"/>
      <c r="D111" s="138"/>
      <c r="E111" s="247"/>
      <c r="F111" s="247"/>
      <c r="G111" s="137"/>
      <c r="H111" s="247"/>
      <c r="I111" s="247"/>
      <c r="J111" s="137"/>
      <c r="K111" s="247"/>
      <c r="L111" s="247"/>
      <c r="M111" s="247"/>
      <c r="N111" s="247"/>
      <c r="O111" s="247"/>
      <c r="P111" s="247"/>
      <c r="Q111" s="139"/>
      <c r="R111" s="247"/>
      <c r="S111" s="247"/>
      <c r="T111" s="140"/>
      <c r="U111" s="247"/>
      <c r="V111" s="141"/>
      <c r="W111" s="247"/>
      <c r="X111" s="137"/>
      <c r="Y111" s="247"/>
      <c r="Z111" s="247"/>
      <c r="AA111" s="247"/>
      <c r="AB111" s="137"/>
      <c r="AC111" s="247"/>
    </row>
    <row r="112" spans="1:29" x14ac:dyDescent="0.15">
      <c r="A112" s="137"/>
      <c r="B112" s="137"/>
      <c r="C112" s="137"/>
      <c r="D112" s="138"/>
      <c r="E112" s="247"/>
      <c r="F112" s="247"/>
      <c r="G112" s="137"/>
      <c r="H112" s="247"/>
      <c r="I112" s="247"/>
      <c r="J112" s="137"/>
      <c r="K112" s="247"/>
      <c r="L112" s="247"/>
      <c r="M112" s="247"/>
      <c r="N112" s="247"/>
      <c r="O112" s="247"/>
      <c r="P112" s="247"/>
      <c r="Q112" s="139"/>
      <c r="R112" s="247"/>
      <c r="S112" s="247"/>
      <c r="T112" s="140"/>
      <c r="U112" s="247"/>
      <c r="V112" s="141"/>
      <c r="W112" s="247"/>
      <c r="X112" s="137"/>
      <c r="Y112" s="247"/>
      <c r="Z112" s="247"/>
      <c r="AA112" s="247"/>
      <c r="AB112" s="137"/>
      <c r="AC112" s="247"/>
    </row>
    <row r="113" spans="1:29" x14ac:dyDescent="0.15">
      <c r="A113" s="247"/>
      <c r="B113" s="247"/>
      <c r="C113" s="247"/>
      <c r="D113" s="247"/>
      <c r="E113" s="247"/>
      <c r="F113" s="247"/>
      <c r="G113" s="247"/>
      <c r="H113" s="247"/>
      <c r="I113" s="247"/>
      <c r="J113" s="247"/>
      <c r="K113" s="247"/>
      <c r="L113" s="247"/>
      <c r="M113" s="247"/>
      <c r="N113" s="247"/>
      <c r="O113" s="247"/>
      <c r="P113" s="247"/>
      <c r="Q113" s="140"/>
      <c r="R113" s="247"/>
      <c r="S113" s="247"/>
      <c r="T113" s="140"/>
      <c r="U113" s="247"/>
      <c r="V113" s="140"/>
      <c r="W113" s="247"/>
      <c r="X113" s="247"/>
      <c r="Y113" s="247"/>
      <c r="Z113" s="247"/>
      <c r="AA113" s="247"/>
      <c r="AB113" s="247"/>
      <c r="AC113" s="247"/>
    </row>
    <row r="114" spans="1:29" x14ac:dyDescent="0.15">
      <c r="A114" s="247"/>
      <c r="B114" s="247"/>
      <c r="C114" s="247"/>
      <c r="D114" s="247"/>
      <c r="E114" s="247"/>
      <c r="F114" s="247"/>
      <c r="G114" s="247"/>
      <c r="H114" s="247"/>
      <c r="I114" s="247"/>
      <c r="J114" s="247"/>
      <c r="K114" s="247"/>
      <c r="L114" s="247" t="s">
        <v>452</v>
      </c>
      <c r="M114" s="247"/>
      <c r="N114" s="247"/>
      <c r="O114" s="247"/>
      <c r="P114" s="247"/>
      <c r="Q114" s="140"/>
      <c r="R114" s="247"/>
      <c r="S114" s="247"/>
      <c r="T114" s="140"/>
      <c r="U114" s="247"/>
      <c r="V114" s="140"/>
      <c r="W114" s="247"/>
      <c r="X114" s="247"/>
      <c r="Y114" s="247"/>
      <c r="Z114" s="247"/>
      <c r="AA114" s="247"/>
      <c r="AB114" s="247"/>
      <c r="AC114" s="247"/>
    </row>
    <row r="115" spans="1:29" x14ac:dyDescent="0.15">
      <c r="K115" s="247"/>
    </row>
    <row r="116" spans="1:29" x14ac:dyDescent="0.15">
      <c r="K116" s="247"/>
    </row>
    <row r="117" spans="1:29" x14ac:dyDescent="0.15">
      <c r="K117" s="247"/>
    </row>
    <row r="118" spans="1:29" x14ac:dyDescent="0.15">
      <c r="K118" s="247"/>
    </row>
    <row r="119" spans="1:29" x14ac:dyDescent="0.15">
      <c r="K119" s="247"/>
    </row>
    <row r="120" spans="1:29" x14ac:dyDescent="0.15">
      <c r="K120" s="247"/>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41:P94 O5:O7 P5:P40 O17:O2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A22" zoomScale="85" zoomScaleNormal="85" workbookViewId="0"/>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261</v>
      </c>
      <c r="O1" s="203" t="s">
        <v>161</v>
      </c>
      <c r="P1" s="203" t="s">
        <v>15</v>
      </c>
      <c r="Q1" s="204" t="s">
        <v>16</v>
      </c>
      <c r="R1" s="203" t="s">
        <v>17</v>
      </c>
      <c r="S1" s="203" t="s">
        <v>18</v>
      </c>
      <c r="T1" s="204" t="s">
        <v>19</v>
      </c>
      <c r="U1" s="205" t="s">
        <v>320</v>
      </c>
      <c r="V1" s="206" t="s">
        <v>20</v>
      </c>
      <c r="W1" s="203" t="s">
        <v>21</v>
      </c>
      <c r="X1" s="241" t="s">
        <v>22</v>
      </c>
      <c r="Y1" s="241" t="s">
        <v>23</v>
      </c>
      <c r="Z1" s="241" t="s">
        <v>24</v>
      </c>
      <c r="AA1" s="242" t="s">
        <v>25</v>
      </c>
      <c r="AB1" s="207" t="s">
        <v>162</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163</v>
      </c>
      <c r="AY1" s="214" t="s">
        <v>164</v>
      </c>
      <c r="AZ1" s="214" t="s">
        <v>170</v>
      </c>
      <c r="BA1" s="215" t="s">
        <v>165</v>
      </c>
    </row>
    <row r="2" spans="1:53" x14ac:dyDescent="0.15">
      <c r="A2" s="208" t="s">
        <v>59</v>
      </c>
      <c r="B2" s="237" t="s">
        <v>416</v>
      </c>
      <c r="C2" s="152">
        <v>2018</v>
      </c>
      <c r="D2" s="153" t="s">
        <v>343</v>
      </c>
      <c r="E2" s="208" t="s">
        <v>453</v>
      </c>
      <c r="F2" s="208" t="s">
        <v>304</v>
      </c>
      <c r="G2" s="208" t="s">
        <v>36</v>
      </c>
      <c r="H2" s="208" t="s">
        <v>166</v>
      </c>
      <c r="I2" s="208" t="s">
        <v>155</v>
      </c>
      <c r="J2" s="208" t="s">
        <v>38</v>
      </c>
      <c r="K2" s="208" t="s">
        <v>156</v>
      </c>
      <c r="L2" s="208">
        <v>1</v>
      </c>
      <c r="N2" s="208">
        <v>4</v>
      </c>
      <c r="O2" s="208">
        <v>0.45</v>
      </c>
      <c r="P2" s="208">
        <v>0.32</v>
      </c>
      <c r="Q2" s="245">
        <f>IF(OR(O2="",P2=""),"",AVERAGE(O2,P2))</f>
        <v>0.38500000000000001</v>
      </c>
      <c r="R2" s="208">
        <v>16.100000000000001</v>
      </c>
      <c r="S2" s="208">
        <v>136</v>
      </c>
      <c r="T2" s="217">
        <f t="shared" ref="T2:T73" si="0">IF(H2="","",IF(OR(H2="GREEN",H2="GK"),IF(S2&gt;=$AX$2,VLOOKUP(S2,$AX$2:$AY$12,2,1),""),IF(S2&gt;=$AZ$2,VLOOKUP(S2,$AZ$2:$BA$12,2,1),"")))</f>
        <v>25</v>
      </c>
      <c r="U2" s="208">
        <v>480</v>
      </c>
      <c r="V2" s="217">
        <f t="shared" ref="V2:V70" si="1">IF(J2="","",IF(OR(J2="GREEN",J2="GK"),IF(U2&gt;=$AX$2,VLOOKUP(U2,$AX$2:$AY$12,2,1),""),IF(U2&gt;=$AZ$2,VLOOKUP(U2,$AZ$2:$BA$12,2,1),"")))</f>
        <v>16</v>
      </c>
      <c r="W2" s="208">
        <v>2</v>
      </c>
      <c r="X2" s="208" t="s">
        <v>39</v>
      </c>
      <c r="Y2" s="208" t="s">
        <v>78</v>
      </c>
      <c r="Z2" s="208" t="s">
        <v>86</v>
      </c>
      <c r="AA2" s="208" t="s">
        <v>102</v>
      </c>
      <c r="AB2" s="237" t="s">
        <v>454</v>
      </c>
      <c r="AE2" s="218" t="s">
        <v>35</v>
      </c>
      <c r="AG2" s="154" t="s">
        <v>311</v>
      </c>
      <c r="AH2" s="155" t="s">
        <v>303</v>
      </c>
      <c r="AJ2" s="248" t="s">
        <v>36</v>
      </c>
      <c r="AL2" s="219" t="s">
        <v>127</v>
      </c>
      <c r="AN2" s="156" t="s">
        <v>455</v>
      </c>
      <c r="AP2" s="219" t="s">
        <v>38</v>
      </c>
      <c r="AR2" s="219" t="s">
        <v>456</v>
      </c>
      <c r="AT2" s="248" t="s">
        <v>39</v>
      </c>
      <c r="AV2" s="224" t="s">
        <v>55</v>
      </c>
      <c r="AX2" s="157">
        <v>1</v>
      </c>
      <c r="AY2" s="158">
        <v>50</v>
      </c>
      <c r="AZ2" s="158">
        <v>1</v>
      </c>
      <c r="BA2" s="159">
        <v>50</v>
      </c>
    </row>
    <row r="3" spans="1:53" x14ac:dyDescent="0.15">
      <c r="A3" s="208" t="s">
        <v>59</v>
      </c>
      <c r="B3" s="237" t="s">
        <v>457</v>
      </c>
      <c r="C3" s="152">
        <v>2018</v>
      </c>
      <c r="D3" s="153" t="s">
        <v>458</v>
      </c>
      <c r="E3" s="208" t="s">
        <v>459</v>
      </c>
      <c r="F3" s="208" t="s">
        <v>304</v>
      </c>
      <c r="G3" s="208" t="s">
        <v>36</v>
      </c>
      <c r="H3" s="208" t="s">
        <v>166</v>
      </c>
      <c r="I3" s="208" t="s">
        <v>155</v>
      </c>
      <c r="J3" s="208" t="s">
        <v>38</v>
      </c>
      <c r="K3" s="208" t="s">
        <v>156</v>
      </c>
      <c r="L3" s="208">
        <v>2</v>
      </c>
      <c r="N3" s="208">
        <v>4</v>
      </c>
      <c r="O3" s="208">
        <v>0.36</v>
      </c>
      <c r="P3" s="208">
        <v>0.31</v>
      </c>
      <c r="Q3" s="245">
        <f t="shared" ref="Q3:Q73" si="2">IF(OR(O3="",P3=""),"",AVERAGE(O3,P3))</f>
        <v>0.33499999999999996</v>
      </c>
      <c r="R3" s="208">
        <v>15.8</v>
      </c>
      <c r="S3" s="208">
        <v>134</v>
      </c>
      <c r="T3" s="217">
        <f t="shared" si="0"/>
        <v>25</v>
      </c>
      <c r="U3" s="208">
        <v>480</v>
      </c>
      <c r="V3" s="217">
        <f t="shared" si="1"/>
        <v>16</v>
      </c>
      <c r="W3" s="208">
        <v>2</v>
      </c>
      <c r="X3" s="208" t="s">
        <v>39</v>
      </c>
      <c r="Y3" s="208" t="s">
        <v>78</v>
      </c>
      <c r="Z3" s="208" t="s">
        <v>86</v>
      </c>
      <c r="AA3" s="208" t="s">
        <v>102</v>
      </c>
      <c r="AB3" s="237" t="s">
        <v>460</v>
      </c>
      <c r="AE3" s="223" t="s">
        <v>41</v>
      </c>
      <c r="AG3" s="154" t="s">
        <v>312</v>
      </c>
      <c r="AH3" s="155" t="s">
        <v>304</v>
      </c>
      <c r="AJ3" s="224" t="s">
        <v>42</v>
      </c>
      <c r="AL3" s="224" t="s">
        <v>128</v>
      </c>
      <c r="AN3" s="224" t="s">
        <v>43</v>
      </c>
      <c r="AP3" s="224" t="s">
        <v>44</v>
      </c>
      <c r="AR3" s="238" t="s">
        <v>45</v>
      </c>
      <c r="AT3" s="224" t="s">
        <v>46</v>
      </c>
      <c r="AV3" s="224" t="s">
        <v>461</v>
      </c>
      <c r="AX3" s="225">
        <v>72</v>
      </c>
      <c r="AY3" s="226">
        <v>46</v>
      </c>
      <c r="AZ3" s="226">
        <v>71</v>
      </c>
      <c r="BA3" s="227">
        <v>42</v>
      </c>
    </row>
    <row r="4" spans="1:53" x14ac:dyDescent="0.15">
      <c r="A4" s="208" t="s">
        <v>59</v>
      </c>
      <c r="B4" s="237" t="s">
        <v>457</v>
      </c>
      <c r="C4" s="152">
        <v>2018</v>
      </c>
      <c r="D4" s="153" t="s">
        <v>458</v>
      </c>
      <c r="E4" s="208" t="s">
        <v>459</v>
      </c>
      <c r="F4" s="208" t="s">
        <v>304</v>
      </c>
      <c r="G4" s="208" t="s">
        <v>36</v>
      </c>
      <c r="H4" s="208" t="s">
        <v>166</v>
      </c>
      <c r="I4" s="208" t="s">
        <v>462</v>
      </c>
      <c r="J4" s="208" t="s">
        <v>38</v>
      </c>
      <c r="K4" s="208" t="s">
        <v>156</v>
      </c>
      <c r="L4" s="208">
        <v>3</v>
      </c>
      <c r="N4" s="208">
        <v>4</v>
      </c>
      <c r="O4" s="208">
        <v>0.33</v>
      </c>
      <c r="P4" s="208">
        <v>0.42</v>
      </c>
      <c r="Q4" s="245">
        <f t="shared" si="2"/>
        <v>0.375</v>
      </c>
      <c r="R4" s="208">
        <v>16.3</v>
      </c>
      <c r="S4" s="208">
        <v>137</v>
      </c>
      <c r="T4" s="217">
        <f t="shared" si="0"/>
        <v>25</v>
      </c>
      <c r="U4" s="208">
        <v>480</v>
      </c>
      <c r="V4" s="217">
        <f t="shared" si="1"/>
        <v>16</v>
      </c>
      <c r="W4" s="208">
        <v>2</v>
      </c>
      <c r="X4" s="208" t="s">
        <v>39</v>
      </c>
      <c r="Y4" s="208" t="s">
        <v>78</v>
      </c>
      <c r="Z4" s="208" t="s">
        <v>86</v>
      </c>
      <c r="AA4" s="208" t="s">
        <v>102</v>
      </c>
      <c r="AB4" s="237" t="s">
        <v>460</v>
      </c>
      <c r="AE4" s="223" t="s">
        <v>34</v>
      </c>
      <c r="AG4" s="154" t="s">
        <v>313</v>
      </c>
      <c r="AH4" s="155" t="s">
        <v>305</v>
      </c>
      <c r="AJ4" s="228" t="s">
        <v>48</v>
      </c>
      <c r="AL4" s="228" t="s">
        <v>129</v>
      </c>
      <c r="AN4" s="229" t="s">
        <v>49</v>
      </c>
      <c r="AP4" s="224" t="s">
        <v>463</v>
      </c>
      <c r="AR4" s="238" t="s">
        <v>262</v>
      </c>
      <c r="AT4" s="229"/>
      <c r="AV4" s="224" t="s">
        <v>464</v>
      </c>
      <c r="AX4" s="225">
        <v>75</v>
      </c>
      <c r="AY4" s="226">
        <v>42</v>
      </c>
      <c r="AZ4" s="226">
        <v>76</v>
      </c>
      <c r="BA4" s="227">
        <v>39</v>
      </c>
    </row>
    <row r="5" spans="1:53" x14ac:dyDescent="0.15">
      <c r="A5" s="208" t="s">
        <v>59</v>
      </c>
      <c r="B5" s="237" t="s">
        <v>457</v>
      </c>
      <c r="C5" s="152">
        <v>2018</v>
      </c>
      <c r="D5" s="153" t="s">
        <v>458</v>
      </c>
      <c r="E5" s="208" t="s">
        <v>459</v>
      </c>
      <c r="F5" s="208" t="s">
        <v>304</v>
      </c>
      <c r="G5" s="208" t="s">
        <v>36</v>
      </c>
      <c r="H5" s="208" t="s">
        <v>157</v>
      </c>
      <c r="I5" s="208" t="s">
        <v>155</v>
      </c>
      <c r="J5" s="208" t="s">
        <v>38</v>
      </c>
      <c r="K5" s="208" t="s">
        <v>156</v>
      </c>
      <c r="L5" s="208">
        <v>1</v>
      </c>
      <c r="N5" s="208">
        <v>4</v>
      </c>
      <c r="O5" s="208">
        <v>0.3</v>
      </c>
      <c r="P5" s="208">
        <v>0.25</v>
      </c>
      <c r="Q5" s="245">
        <f t="shared" si="2"/>
        <v>0.27500000000000002</v>
      </c>
      <c r="R5" s="208">
        <v>13.5</v>
      </c>
      <c r="S5" s="208">
        <v>136</v>
      </c>
      <c r="T5" s="217">
        <f t="shared" si="0"/>
        <v>25</v>
      </c>
      <c r="U5" s="208">
        <v>398</v>
      </c>
      <c r="V5" s="217">
        <f t="shared" si="1"/>
        <v>16</v>
      </c>
      <c r="W5" s="208">
        <v>2</v>
      </c>
      <c r="X5" s="208" t="s">
        <v>39</v>
      </c>
      <c r="Y5" s="208" t="s">
        <v>78</v>
      </c>
      <c r="Z5" s="208" t="s">
        <v>86</v>
      </c>
      <c r="AA5" s="208" t="s">
        <v>102</v>
      </c>
      <c r="AB5" s="237" t="s">
        <v>460</v>
      </c>
      <c r="AE5" s="223" t="s">
        <v>51</v>
      </c>
      <c r="AG5" s="154" t="s">
        <v>263</v>
      </c>
      <c r="AH5" s="155" t="s">
        <v>306</v>
      </c>
      <c r="AJ5" s="229"/>
      <c r="AL5" s="230" t="s">
        <v>465</v>
      </c>
      <c r="AN5" s="72" t="s">
        <v>466</v>
      </c>
      <c r="AP5" s="224" t="s">
        <v>467</v>
      </c>
      <c r="AR5" s="238" t="s">
        <v>54</v>
      </c>
      <c r="AV5" s="224" t="s">
        <v>468</v>
      </c>
      <c r="AX5" s="225">
        <v>84</v>
      </c>
      <c r="AY5" s="226">
        <v>39</v>
      </c>
      <c r="AZ5" s="226">
        <v>84</v>
      </c>
      <c r="BA5" s="227">
        <v>36</v>
      </c>
    </row>
    <row r="6" spans="1:53" x14ac:dyDescent="0.15">
      <c r="A6" s="208" t="s">
        <v>59</v>
      </c>
      <c r="B6" s="237" t="s">
        <v>457</v>
      </c>
      <c r="C6" s="152">
        <v>2018</v>
      </c>
      <c r="D6" s="153" t="s">
        <v>458</v>
      </c>
      <c r="E6" s="208" t="s">
        <v>459</v>
      </c>
      <c r="F6" s="208" t="s">
        <v>304</v>
      </c>
      <c r="G6" s="208" t="s">
        <v>36</v>
      </c>
      <c r="H6" s="208" t="s">
        <v>157</v>
      </c>
      <c r="I6" s="208" t="s">
        <v>155</v>
      </c>
      <c r="J6" s="208" t="s">
        <v>38</v>
      </c>
      <c r="K6" s="208" t="s">
        <v>156</v>
      </c>
      <c r="L6" s="208">
        <v>2</v>
      </c>
      <c r="N6" s="208">
        <v>4</v>
      </c>
      <c r="O6" s="208">
        <v>0.28000000000000003</v>
      </c>
      <c r="P6" s="208">
        <v>0.27</v>
      </c>
      <c r="Q6" s="245">
        <f t="shared" si="2"/>
        <v>0.27500000000000002</v>
      </c>
      <c r="R6" s="208">
        <v>13.7</v>
      </c>
      <c r="S6" s="208">
        <v>134</v>
      </c>
      <c r="T6" s="217">
        <f t="shared" si="0"/>
        <v>25</v>
      </c>
      <c r="U6" s="208">
        <v>398</v>
      </c>
      <c r="V6" s="217">
        <f t="shared" si="1"/>
        <v>16</v>
      </c>
      <c r="W6" s="208">
        <v>2</v>
      </c>
      <c r="X6" s="208" t="s">
        <v>39</v>
      </c>
      <c r="Y6" s="208" t="s">
        <v>78</v>
      </c>
      <c r="Z6" s="208" t="s">
        <v>86</v>
      </c>
      <c r="AA6" s="208" t="s">
        <v>102</v>
      </c>
      <c r="AB6" s="237" t="s">
        <v>460</v>
      </c>
      <c r="AE6" s="223" t="s">
        <v>56</v>
      </c>
      <c r="AG6" s="154" t="s">
        <v>314</v>
      </c>
      <c r="AH6" s="155" t="s">
        <v>307</v>
      </c>
      <c r="AL6" s="230" t="s">
        <v>469</v>
      </c>
      <c r="AN6" s="230" t="s">
        <v>470</v>
      </c>
      <c r="AP6" s="224" t="s">
        <v>53</v>
      </c>
      <c r="AR6" s="238" t="s">
        <v>167</v>
      </c>
      <c r="AV6" s="224" t="s">
        <v>60</v>
      </c>
      <c r="AX6" s="225">
        <v>97</v>
      </c>
      <c r="AY6" s="226">
        <v>36</v>
      </c>
      <c r="AZ6" s="226">
        <v>99</v>
      </c>
      <c r="BA6" s="227">
        <v>33</v>
      </c>
    </row>
    <row r="7" spans="1:53" x14ac:dyDescent="0.15">
      <c r="A7" s="208" t="s">
        <v>59</v>
      </c>
      <c r="B7" s="237" t="s">
        <v>393</v>
      </c>
      <c r="C7" s="152">
        <v>2018</v>
      </c>
      <c r="D7" s="153" t="s">
        <v>394</v>
      </c>
      <c r="E7" s="208" t="s">
        <v>471</v>
      </c>
      <c r="F7" s="208" t="s">
        <v>304</v>
      </c>
      <c r="G7" s="208" t="s">
        <v>36</v>
      </c>
      <c r="H7" s="208" t="s">
        <v>157</v>
      </c>
      <c r="I7" s="208" t="s">
        <v>155</v>
      </c>
      <c r="J7" s="208" t="s">
        <v>38</v>
      </c>
      <c r="K7" s="208" t="s">
        <v>156</v>
      </c>
      <c r="L7" s="208">
        <v>3</v>
      </c>
      <c r="N7" s="208">
        <v>4</v>
      </c>
      <c r="O7" s="208">
        <v>0.4</v>
      </c>
      <c r="P7" s="208">
        <v>0.36</v>
      </c>
      <c r="Q7" s="245">
        <f t="shared" si="2"/>
        <v>0.38</v>
      </c>
      <c r="R7" s="208">
        <v>13.5</v>
      </c>
      <c r="S7" s="208">
        <v>136</v>
      </c>
      <c r="T7" s="217">
        <f t="shared" si="0"/>
        <v>25</v>
      </c>
      <c r="U7" s="208">
        <v>398</v>
      </c>
      <c r="V7" s="217">
        <f t="shared" si="1"/>
        <v>16</v>
      </c>
      <c r="W7" s="208">
        <v>2</v>
      </c>
      <c r="X7" s="208" t="s">
        <v>39</v>
      </c>
      <c r="Y7" s="208" t="s">
        <v>78</v>
      </c>
      <c r="Z7" s="208" t="s">
        <v>86</v>
      </c>
      <c r="AA7" s="208" t="s">
        <v>102</v>
      </c>
      <c r="AB7" s="237" t="s">
        <v>472</v>
      </c>
      <c r="AE7" s="223" t="s">
        <v>61</v>
      </c>
      <c r="AG7" s="154" t="s">
        <v>315</v>
      </c>
      <c r="AH7" s="155" t="s">
        <v>308</v>
      </c>
      <c r="AL7" s="235" t="s">
        <v>473</v>
      </c>
      <c r="AP7" s="224" t="s">
        <v>58</v>
      </c>
      <c r="AR7" s="231" t="s">
        <v>265</v>
      </c>
      <c r="AV7" s="224" t="s">
        <v>64</v>
      </c>
      <c r="AX7" s="225">
        <v>109</v>
      </c>
      <c r="AY7" s="226">
        <v>33</v>
      </c>
      <c r="AZ7" s="226">
        <v>113</v>
      </c>
      <c r="BA7" s="227">
        <v>30</v>
      </c>
    </row>
    <row r="8" spans="1:53" x14ac:dyDescent="0.15">
      <c r="A8" s="208" t="s">
        <v>59</v>
      </c>
      <c r="B8" s="237" t="s">
        <v>474</v>
      </c>
      <c r="C8" s="152">
        <v>2018</v>
      </c>
      <c r="D8" s="153" t="s">
        <v>475</v>
      </c>
      <c r="E8" s="208" t="s">
        <v>311</v>
      </c>
      <c r="F8" s="208" t="s">
        <v>303</v>
      </c>
      <c r="G8" s="208" t="s">
        <v>36</v>
      </c>
      <c r="H8" s="208" t="s">
        <v>166</v>
      </c>
      <c r="I8" s="208" t="s">
        <v>155</v>
      </c>
      <c r="J8" s="208" t="s">
        <v>38</v>
      </c>
      <c r="K8" s="208" t="s">
        <v>156</v>
      </c>
      <c r="L8" s="208">
        <v>1</v>
      </c>
      <c r="N8" s="208">
        <v>4</v>
      </c>
      <c r="O8" s="208">
        <v>0.45</v>
      </c>
      <c r="P8" s="208">
        <v>0.35</v>
      </c>
      <c r="Q8" s="245">
        <f t="shared" si="2"/>
        <v>0.4</v>
      </c>
      <c r="R8" s="208">
        <v>16.3</v>
      </c>
      <c r="S8" s="208">
        <v>102</v>
      </c>
      <c r="T8" s="217">
        <f t="shared" si="0"/>
        <v>33</v>
      </c>
      <c r="U8" s="208">
        <v>437</v>
      </c>
      <c r="V8" s="217">
        <f t="shared" si="1"/>
        <v>16</v>
      </c>
      <c r="W8" s="208">
        <v>6</v>
      </c>
      <c r="X8" s="208" t="s">
        <v>39</v>
      </c>
      <c r="Y8" s="208" t="s">
        <v>88</v>
      </c>
      <c r="Z8" s="208" t="s">
        <v>78</v>
      </c>
      <c r="AA8" s="208" t="s">
        <v>69</v>
      </c>
      <c r="AB8" s="237" t="s">
        <v>460</v>
      </c>
      <c r="AE8" s="223" t="s">
        <v>59</v>
      </c>
      <c r="AG8" s="160" t="s">
        <v>316</v>
      </c>
      <c r="AH8" s="155" t="s">
        <v>309</v>
      </c>
      <c r="AL8" s="235" t="s">
        <v>476</v>
      </c>
      <c r="AP8" s="224" t="s">
        <v>62</v>
      </c>
      <c r="AR8" s="238" t="s">
        <v>81</v>
      </c>
      <c r="AV8" s="224" t="s">
        <v>97</v>
      </c>
      <c r="AX8" s="225">
        <v>119</v>
      </c>
      <c r="AY8" s="226">
        <v>30</v>
      </c>
      <c r="AZ8" s="226">
        <v>121</v>
      </c>
      <c r="BA8" s="227">
        <v>27</v>
      </c>
    </row>
    <row r="9" spans="1:53" x14ac:dyDescent="0.15">
      <c r="A9" s="208" t="s">
        <v>59</v>
      </c>
      <c r="B9" s="237" t="s">
        <v>457</v>
      </c>
      <c r="C9" s="152">
        <v>2018</v>
      </c>
      <c r="D9" s="153" t="s">
        <v>458</v>
      </c>
      <c r="E9" s="208" t="s">
        <v>311</v>
      </c>
      <c r="F9" s="208" t="s">
        <v>303</v>
      </c>
      <c r="G9" s="208" t="s">
        <v>36</v>
      </c>
      <c r="H9" s="208" t="s">
        <v>166</v>
      </c>
      <c r="I9" s="208" t="s">
        <v>155</v>
      </c>
      <c r="J9" s="208" t="s">
        <v>38</v>
      </c>
      <c r="K9" s="208" t="s">
        <v>156</v>
      </c>
      <c r="L9" s="208">
        <v>2</v>
      </c>
      <c r="N9" s="208">
        <v>4</v>
      </c>
      <c r="O9" s="208">
        <v>0.45</v>
      </c>
      <c r="P9" s="208">
        <v>0.41</v>
      </c>
      <c r="Q9" s="245">
        <f t="shared" si="2"/>
        <v>0.43</v>
      </c>
      <c r="R9" s="208">
        <v>15.2</v>
      </c>
      <c r="S9" s="208">
        <v>101</v>
      </c>
      <c r="T9" s="217">
        <f t="shared" si="0"/>
        <v>33</v>
      </c>
      <c r="U9" s="208">
        <v>437</v>
      </c>
      <c r="V9" s="217">
        <f t="shared" si="1"/>
        <v>16</v>
      </c>
      <c r="W9" s="208">
        <v>6</v>
      </c>
      <c r="X9" s="208" t="s">
        <v>39</v>
      </c>
      <c r="Y9" s="208" t="s">
        <v>88</v>
      </c>
      <c r="Z9" s="208" t="s">
        <v>78</v>
      </c>
      <c r="AA9" s="208" t="s">
        <v>69</v>
      </c>
      <c r="AB9" s="237" t="s">
        <v>460</v>
      </c>
      <c r="AE9" s="223" t="s">
        <v>98</v>
      </c>
      <c r="AG9" s="160" t="s">
        <v>317</v>
      </c>
      <c r="AH9" s="155" t="s">
        <v>309</v>
      </c>
      <c r="AL9" s="230"/>
      <c r="AP9" s="224" t="s">
        <v>267</v>
      </c>
      <c r="AR9" s="231" t="s">
        <v>89</v>
      </c>
      <c r="AV9" s="224" t="s">
        <v>102</v>
      </c>
      <c r="AX9" s="225">
        <v>128</v>
      </c>
      <c r="AY9" s="226">
        <v>27</v>
      </c>
      <c r="AZ9" s="226">
        <v>129</v>
      </c>
      <c r="BA9" s="227">
        <v>25</v>
      </c>
    </row>
    <row r="10" spans="1:53" x14ac:dyDescent="0.15">
      <c r="A10" s="208" t="s">
        <v>59</v>
      </c>
      <c r="B10" s="237" t="s">
        <v>388</v>
      </c>
      <c r="C10" s="152">
        <v>2018</v>
      </c>
      <c r="D10" s="153" t="s">
        <v>389</v>
      </c>
      <c r="E10" s="208" t="s">
        <v>311</v>
      </c>
      <c r="F10" s="208" t="s">
        <v>303</v>
      </c>
      <c r="G10" s="208" t="s">
        <v>36</v>
      </c>
      <c r="H10" s="208" t="s">
        <v>166</v>
      </c>
      <c r="I10" s="208" t="s">
        <v>155</v>
      </c>
      <c r="J10" s="208" t="s">
        <v>38</v>
      </c>
      <c r="K10" s="208" t="s">
        <v>156</v>
      </c>
      <c r="L10" s="208">
        <v>3</v>
      </c>
      <c r="N10" s="208">
        <v>4</v>
      </c>
      <c r="O10" s="208">
        <v>0.55000000000000004</v>
      </c>
      <c r="P10" s="208">
        <v>0.5</v>
      </c>
      <c r="Q10" s="245">
        <f t="shared" si="2"/>
        <v>0.52500000000000002</v>
      </c>
      <c r="R10" s="208">
        <v>16.600000000000001</v>
      </c>
      <c r="S10" s="208">
        <v>105</v>
      </c>
      <c r="T10" s="217">
        <f t="shared" si="0"/>
        <v>33</v>
      </c>
      <c r="U10" s="208">
        <v>437</v>
      </c>
      <c r="V10" s="217">
        <f t="shared" si="1"/>
        <v>16</v>
      </c>
      <c r="W10" s="208">
        <v>6</v>
      </c>
      <c r="X10" s="208" t="s">
        <v>39</v>
      </c>
      <c r="Y10" s="208" t="s">
        <v>88</v>
      </c>
      <c r="Z10" s="208" t="s">
        <v>78</v>
      </c>
      <c r="AA10" s="208" t="s">
        <v>69</v>
      </c>
      <c r="AB10" s="237" t="s">
        <v>460</v>
      </c>
      <c r="AE10" s="223" t="s">
        <v>103</v>
      </c>
      <c r="AG10" s="154" t="s">
        <v>318</v>
      </c>
      <c r="AH10" s="155" t="s">
        <v>306</v>
      </c>
      <c r="AL10" s="88"/>
      <c r="AP10" s="224" t="s">
        <v>100</v>
      </c>
      <c r="AR10" s="231" t="s">
        <v>123</v>
      </c>
      <c r="AV10" s="224" t="s">
        <v>106</v>
      </c>
      <c r="AX10" s="225">
        <v>138</v>
      </c>
      <c r="AY10" s="226">
        <v>25</v>
      </c>
      <c r="AZ10" s="226">
        <v>138</v>
      </c>
      <c r="BA10" s="227">
        <v>22</v>
      </c>
    </row>
    <row r="11" spans="1:53" x14ac:dyDescent="0.15">
      <c r="A11" s="208" t="s">
        <v>59</v>
      </c>
      <c r="B11" s="237" t="s">
        <v>457</v>
      </c>
      <c r="C11" s="152">
        <v>2018</v>
      </c>
      <c r="D11" s="153" t="s">
        <v>458</v>
      </c>
      <c r="E11" s="208" t="s">
        <v>311</v>
      </c>
      <c r="F11" s="208" t="s">
        <v>303</v>
      </c>
      <c r="G11" s="208" t="s">
        <v>36</v>
      </c>
      <c r="H11" s="208" t="s">
        <v>157</v>
      </c>
      <c r="I11" s="208" t="s">
        <v>155</v>
      </c>
      <c r="J11" s="208" t="s">
        <v>38</v>
      </c>
      <c r="K11" s="208" t="s">
        <v>156</v>
      </c>
      <c r="L11" s="208">
        <v>1</v>
      </c>
      <c r="N11" s="208">
        <v>2</v>
      </c>
      <c r="O11" s="208">
        <v>0.51</v>
      </c>
      <c r="P11" s="208">
        <v>0.63</v>
      </c>
      <c r="Q11" s="245">
        <f t="shared" si="2"/>
        <v>0.57000000000000006</v>
      </c>
      <c r="R11" s="208">
        <v>16.2</v>
      </c>
      <c r="S11" s="208">
        <v>155</v>
      </c>
      <c r="T11" s="217">
        <f t="shared" si="0"/>
        <v>18</v>
      </c>
      <c r="U11" s="208">
        <v>277</v>
      </c>
      <c r="V11" s="217">
        <f t="shared" si="1"/>
        <v>16</v>
      </c>
      <c r="W11" s="208">
        <v>6</v>
      </c>
      <c r="X11" s="208" t="s">
        <v>39</v>
      </c>
      <c r="Y11" s="208" t="s">
        <v>88</v>
      </c>
      <c r="Z11" s="208" t="s">
        <v>78</v>
      </c>
      <c r="AA11" s="208" t="s">
        <v>69</v>
      </c>
      <c r="AB11" s="237" t="s">
        <v>460</v>
      </c>
      <c r="AE11" s="223" t="s">
        <v>65</v>
      </c>
      <c r="AG11" s="160" t="s">
        <v>319</v>
      </c>
      <c r="AH11" s="155" t="s">
        <v>310</v>
      </c>
      <c r="AL11" s="88"/>
      <c r="AP11" s="224" t="s">
        <v>266</v>
      </c>
      <c r="AR11" s="231" t="s">
        <v>268</v>
      </c>
      <c r="AV11" s="224" t="s">
        <v>477</v>
      </c>
      <c r="AX11" s="225">
        <v>151</v>
      </c>
      <c r="AY11" s="226">
        <v>22</v>
      </c>
      <c r="AZ11" s="226">
        <v>152</v>
      </c>
      <c r="BA11" s="227">
        <v>18</v>
      </c>
    </row>
    <row r="12" spans="1:53" x14ac:dyDescent="0.15">
      <c r="A12" s="208" t="s">
        <v>59</v>
      </c>
      <c r="B12" s="237" t="s">
        <v>478</v>
      </c>
      <c r="C12" s="152">
        <v>2018</v>
      </c>
      <c r="D12" s="153" t="s">
        <v>479</v>
      </c>
      <c r="E12" s="208" t="s">
        <v>311</v>
      </c>
      <c r="F12" s="208" t="s">
        <v>303</v>
      </c>
      <c r="G12" s="208" t="s">
        <v>36</v>
      </c>
      <c r="H12" s="208" t="s">
        <v>157</v>
      </c>
      <c r="I12" s="208" t="s">
        <v>155</v>
      </c>
      <c r="J12" s="208" t="s">
        <v>38</v>
      </c>
      <c r="K12" s="208" t="s">
        <v>156</v>
      </c>
      <c r="L12" s="208">
        <v>2</v>
      </c>
      <c r="N12" s="208">
        <v>2</v>
      </c>
      <c r="O12" s="208">
        <v>0.4</v>
      </c>
      <c r="P12" s="208">
        <v>0.45</v>
      </c>
      <c r="Q12" s="245">
        <f t="shared" si="2"/>
        <v>0.42500000000000004</v>
      </c>
      <c r="R12" s="208">
        <v>14.4</v>
      </c>
      <c r="S12" s="208">
        <v>172</v>
      </c>
      <c r="T12" s="217">
        <f t="shared" si="0"/>
        <v>18</v>
      </c>
      <c r="U12" s="208">
        <v>277</v>
      </c>
      <c r="V12" s="217">
        <f t="shared" si="1"/>
        <v>16</v>
      </c>
      <c r="W12" s="208">
        <v>6</v>
      </c>
      <c r="X12" s="208" t="s">
        <v>39</v>
      </c>
      <c r="Y12" s="208" t="s">
        <v>88</v>
      </c>
      <c r="Z12" s="208" t="s">
        <v>78</v>
      </c>
      <c r="AA12" s="208" t="s">
        <v>69</v>
      </c>
      <c r="AB12" s="237" t="s">
        <v>460</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397</v>
      </c>
      <c r="C13" s="152">
        <v>2018</v>
      </c>
      <c r="D13" s="153" t="s">
        <v>398</v>
      </c>
      <c r="E13" s="208" t="s">
        <v>311</v>
      </c>
      <c r="F13" s="208" t="s">
        <v>303</v>
      </c>
      <c r="G13" s="208" t="s">
        <v>36</v>
      </c>
      <c r="H13" s="208" t="s">
        <v>157</v>
      </c>
      <c r="I13" s="208" t="s">
        <v>155</v>
      </c>
      <c r="J13" s="208" t="s">
        <v>38</v>
      </c>
      <c r="K13" s="208" t="s">
        <v>156</v>
      </c>
      <c r="L13" s="208">
        <v>3</v>
      </c>
      <c r="N13" s="208">
        <v>2</v>
      </c>
      <c r="O13" s="208">
        <v>0.52</v>
      </c>
      <c r="P13" s="208">
        <v>0.6</v>
      </c>
      <c r="Q13" s="245">
        <f t="shared" si="2"/>
        <v>0.56000000000000005</v>
      </c>
      <c r="R13" s="208">
        <v>14.7</v>
      </c>
      <c r="S13" s="208">
        <v>154</v>
      </c>
      <c r="T13" s="217">
        <f t="shared" si="0"/>
        <v>18</v>
      </c>
      <c r="U13" s="208">
        <v>277</v>
      </c>
      <c r="V13" s="217">
        <f t="shared" si="1"/>
        <v>16</v>
      </c>
      <c r="W13" s="208">
        <v>6</v>
      </c>
      <c r="X13" s="208" t="s">
        <v>39</v>
      </c>
      <c r="Y13" s="208" t="s">
        <v>88</v>
      </c>
      <c r="Z13" s="208" t="s">
        <v>78</v>
      </c>
      <c r="AA13" s="208" t="s">
        <v>69</v>
      </c>
      <c r="AB13" s="237" t="s">
        <v>460</v>
      </c>
      <c r="AE13" s="223" t="s">
        <v>73</v>
      </c>
      <c r="AG13" s="224"/>
      <c r="AH13" s="224"/>
      <c r="AP13" s="224" t="s">
        <v>71</v>
      </c>
      <c r="AR13" s="231" t="s">
        <v>103</v>
      </c>
      <c r="AV13" s="224" t="s">
        <v>75</v>
      </c>
    </row>
    <row r="14" spans="1:53" x14ac:dyDescent="0.15">
      <c r="A14" s="208" t="s">
        <v>59</v>
      </c>
      <c r="B14" s="237" t="s">
        <v>399</v>
      </c>
      <c r="C14" s="152">
        <v>2018</v>
      </c>
      <c r="D14" s="153" t="s">
        <v>400</v>
      </c>
      <c r="E14" s="208" t="s">
        <v>263</v>
      </c>
      <c r="F14" s="208" t="s">
        <v>306</v>
      </c>
      <c r="G14" s="208" t="s">
        <v>36</v>
      </c>
      <c r="H14" s="208" t="s">
        <v>166</v>
      </c>
      <c r="I14" s="208" t="s">
        <v>155</v>
      </c>
      <c r="J14" s="208" t="s">
        <v>38</v>
      </c>
      <c r="K14" s="208" t="s">
        <v>156</v>
      </c>
      <c r="L14" s="208">
        <v>1</v>
      </c>
      <c r="N14" s="208">
        <v>4</v>
      </c>
      <c r="O14" s="208">
        <v>0.44</v>
      </c>
      <c r="P14" s="208">
        <v>0.44</v>
      </c>
      <c r="Q14" s="245">
        <f t="shared" si="2"/>
        <v>0.44</v>
      </c>
      <c r="R14" s="208">
        <v>14.8</v>
      </c>
      <c r="S14" s="208">
        <v>115</v>
      </c>
      <c r="T14" s="217">
        <f t="shared" si="0"/>
        <v>30</v>
      </c>
      <c r="U14" s="208">
        <v>499</v>
      </c>
      <c r="V14" s="217">
        <f t="shared" si="1"/>
        <v>16</v>
      </c>
      <c r="W14" s="208">
        <v>6</v>
      </c>
      <c r="X14" s="208" t="s">
        <v>46</v>
      </c>
      <c r="Y14" s="208" t="s">
        <v>55</v>
      </c>
      <c r="Z14" s="208" t="s">
        <v>102</v>
      </c>
      <c r="AA14" s="208" t="s">
        <v>69</v>
      </c>
      <c r="AB14" s="237" t="s">
        <v>480</v>
      </c>
      <c r="AE14" s="223" t="s">
        <v>76</v>
      </c>
      <c r="AG14" s="224"/>
      <c r="AH14" s="224"/>
      <c r="AP14" s="224" t="s">
        <v>269</v>
      </c>
      <c r="AR14" s="231" t="s">
        <v>125</v>
      </c>
      <c r="AV14" s="224" t="s">
        <v>78</v>
      </c>
    </row>
    <row r="15" spans="1:53" x14ac:dyDescent="0.15">
      <c r="A15" s="208" t="s">
        <v>59</v>
      </c>
      <c r="B15" s="237" t="s">
        <v>399</v>
      </c>
      <c r="C15" s="152">
        <v>2018</v>
      </c>
      <c r="D15" s="153" t="s">
        <v>400</v>
      </c>
      <c r="E15" s="208" t="s">
        <v>263</v>
      </c>
      <c r="F15" s="208" t="s">
        <v>306</v>
      </c>
      <c r="G15" s="208" t="s">
        <v>36</v>
      </c>
      <c r="H15" s="208" t="s">
        <v>166</v>
      </c>
      <c r="I15" s="208" t="s">
        <v>155</v>
      </c>
      <c r="J15" s="208" t="s">
        <v>38</v>
      </c>
      <c r="K15" s="208" t="s">
        <v>156</v>
      </c>
      <c r="L15" s="208">
        <v>2</v>
      </c>
      <c r="N15" s="208">
        <v>4</v>
      </c>
      <c r="O15" s="208">
        <v>0.45</v>
      </c>
      <c r="P15" s="208">
        <v>0.36</v>
      </c>
      <c r="Q15" s="245">
        <f t="shared" si="2"/>
        <v>0.40500000000000003</v>
      </c>
      <c r="R15" s="208">
        <v>15.5</v>
      </c>
      <c r="S15" s="208">
        <v>110</v>
      </c>
      <c r="T15" s="217">
        <f t="shared" si="0"/>
        <v>33</v>
      </c>
      <c r="U15" s="208">
        <v>499</v>
      </c>
      <c r="V15" s="217">
        <f t="shared" si="1"/>
        <v>16</v>
      </c>
      <c r="W15" s="208">
        <v>6</v>
      </c>
      <c r="X15" s="208" t="s">
        <v>46</v>
      </c>
      <c r="Y15" s="208" t="s">
        <v>55</v>
      </c>
      <c r="Z15" s="208" t="s">
        <v>102</v>
      </c>
      <c r="AA15" s="208" t="s">
        <v>69</v>
      </c>
      <c r="AB15" s="237" t="s">
        <v>480</v>
      </c>
      <c r="AE15" s="223" t="s">
        <v>79</v>
      </c>
      <c r="AG15" s="224"/>
      <c r="AH15" s="224"/>
      <c r="AP15" s="224" t="s">
        <v>270</v>
      </c>
      <c r="AR15" s="231" t="s">
        <v>94</v>
      </c>
      <c r="AV15" s="224" t="s">
        <v>107</v>
      </c>
    </row>
    <row r="16" spans="1:53" x14ac:dyDescent="0.15">
      <c r="A16" s="208" t="s">
        <v>59</v>
      </c>
      <c r="B16" s="237" t="s">
        <v>401</v>
      </c>
      <c r="C16" s="152">
        <v>2018</v>
      </c>
      <c r="D16" s="153" t="s">
        <v>402</v>
      </c>
      <c r="E16" s="208" t="s">
        <v>263</v>
      </c>
      <c r="F16" s="208" t="s">
        <v>306</v>
      </c>
      <c r="G16" s="208" t="s">
        <v>36</v>
      </c>
      <c r="H16" s="208" t="s">
        <v>166</v>
      </c>
      <c r="I16" s="208" t="s">
        <v>155</v>
      </c>
      <c r="J16" s="208" t="s">
        <v>38</v>
      </c>
      <c r="K16" s="208" t="s">
        <v>156</v>
      </c>
      <c r="L16" s="208">
        <v>3</v>
      </c>
      <c r="N16" s="208">
        <v>4</v>
      </c>
      <c r="O16" s="208">
        <v>0.48</v>
      </c>
      <c r="P16" s="208">
        <v>0.53</v>
      </c>
      <c r="Q16" s="245">
        <f t="shared" si="2"/>
        <v>0.505</v>
      </c>
      <c r="R16" s="208">
        <v>15.4</v>
      </c>
      <c r="S16" s="208">
        <v>109</v>
      </c>
      <c r="T16" s="217">
        <f t="shared" si="0"/>
        <v>33</v>
      </c>
      <c r="U16" s="208">
        <v>499</v>
      </c>
      <c r="V16" s="217">
        <f t="shared" si="1"/>
        <v>16</v>
      </c>
      <c r="W16" s="208">
        <v>6</v>
      </c>
      <c r="X16" s="208" t="s">
        <v>46</v>
      </c>
      <c r="Y16" s="208" t="s">
        <v>55</v>
      </c>
      <c r="Z16" s="208" t="s">
        <v>102</v>
      </c>
      <c r="AA16" s="208" t="s">
        <v>69</v>
      </c>
      <c r="AB16" s="237" t="s">
        <v>481</v>
      </c>
      <c r="AE16" s="223" t="s">
        <v>82</v>
      </c>
      <c r="AG16" s="229"/>
      <c r="AH16" s="229"/>
      <c r="AP16" s="224" t="s">
        <v>80</v>
      </c>
      <c r="AR16" s="238" t="s">
        <v>63</v>
      </c>
      <c r="AV16" s="224" t="s">
        <v>84</v>
      </c>
    </row>
    <row r="17" spans="1:48" x14ac:dyDescent="0.15">
      <c r="A17" s="208" t="s">
        <v>59</v>
      </c>
      <c r="B17" s="237" t="s">
        <v>401</v>
      </c>
      <c r="C17" s="152">
        <v>2018</v>
      </c>
      <c r="D17" s="153" t="s">
        <v>402</v>
      </c>
      <c r="E17" s="208" t="s">
        <v>263</v>
      </c>
      <c r="F17" s="208" t="s">
        <v>306</v>
      </c>
      <c r="G17" s="208" t="s">
        <v>36</v>
      </c>
      <c r="H17" s="208" t="s">
        <v>157</v>
      </c>
      <c r="I17" s="208" t="s">
        <v>155</v>
      </c>
      <c r="J17" s="208" t="s">
        <v>38</v>
      </c>
      <c r="K17" s="208" t="s">
        <v>156</v>
      </c>
      <c r="L17" s="208">
        <v>1</v>
      </c>
      <c r="N17" s="208">
        <v>2</v>
      </c>
      <c r="O17" s="208">
        <v>0.54</v>
      </c>
      <c r="P17" s="208">
        <v>0.47</v>
      </c>
      <c r="Q17" s="245">
        <f t="shared" si="2"/>
        <v>0.505</v>
      </c>
      <c r="R17" s="208">
        <v>14.5</v>
      </c>
      <c r="S17" s="208">
        <v>145</v>
      </c>
      <c r="T17" s="217">
        <f t="shared" si="0"/>
        <v>22</v>
      </c>
      <c r="U17" s="208">
        <v>299</v>
      </c>
      <c r="V17" s="217">
        <f t="shared" si="1"/>
        <v>16</v>
      </c>
      <c r="W17" s="208">
        <v>6</v>
      </c>
      <c r="X17" s="208" t="s">
        <v>46</v>
      </c>
      <c r="Y17" s="208" t="s">
        <v>55</v>
      </c>
      <c r="Z17" s="208" t="s">
        <v>102</v>
      </c>
      <c r="AA17" s="208" t="s">
        <v>69</v>
      </c>
      <c r="AB17" s="237" t="s">
        <v>481</v>
      </c>
      <c r="AE17" s="223" t="s">
        <v>85</v>
      </c>
      <c r="AP17" s="239" t="s">
        <v>110</v>
      </c>
      <c r="AR17" s="238" t="s">
        <v>96</v>
      </c>
      <c r="AV17" s="224" t="s">
        <v>86</v>
      </c>
    </row>
    <row r="18" spans="1:48" x14ac:dyDescent="0.15">
      <c r="A18" s="208" t="s">
        <v>59</v>
      </c>
      <c r="B18" s="237" t="s">
        <v>401</v>
      </c>
      <c r="C18" s="152">
        <v>2018</v>
      </c>
      <c r="D18" s="153" t="s">
        <v>402</v>
      </c>
      <c r="E18" s="208" t="s">
        <v>263</v>
      </c>
      <c r="F18" s="208" t="s">
        <v>306</v>
      </c>
      <c r="G18" s="208" t="s">
        <v>36</v>
      </c>
      <c r="H18" s="208" t="s">
        <v>157</v>
      </c>
      <c r="I18" s="208" t="s">
        <v>155</v>
      </c>
      <c r="J18" s="208" t="s">
        <v>38</v>
      </c>
      <c r="K18" s="208" t="s">
        <v>156</v>
      </c>
      <c r="L18" s="208">
        <v>2</v>
      </c>
      <c r="N18" s="208">
        <v>2</v>
      </c>
      <c r="O18" s="208">
        <v>0.71</v>
      </c>
      <c r="P18" s="208">
        <v>0.68</v>
      </c>
      <c r="Q18" s="245">
        <f t="shared" si="2"/>
        <v>0.69500000000000006</v>
      </c>
      <c r="R18" s="208">
        <v>14.5</v>
      </c>
      <c r="S18" s="208">
        <v>145</v>
      </c>
      <c r="T18" s="217">
        <f t="shared" si="0"/>
        <v>22</v>
      </c>
      <c r="U18" s="208">
        <v>299</v>
      </c>
      <c r="V18" s="217">
        <f t="shared" si="1"/>
        <v>16</v>
      </c>
      <c r="W18" s="208">
        <v>6</v>
      </c>
      <c r="X18" s="208" t="s">
        <v>46</v>
      </c>
      <c r="Y18" s="208" t="s">
        <v>55</v>
      </c>
      <c r="Z18" s="208" t="s">
        <v>102</v>
      </c>
      <c r="AA18" s="208" t="s">
        <v>69</v>
      </c>
      <c r="AB18" s="237" t="s">
        <v>481</v>
      </c>
      <c r="AE18" s="223" t="s">
        <v>87</v>
      </c>
      <c r="AP18" s="239" t="s">
        <v>272</v>
      </c>
      <c r="AR18" s="238" t="s">
        <v>101</v>
      </c>
      <c r="AV18" s="224" t="s">
        <v>88</v>
      </c>
    </row>
    <row r="19" spans="1:48" x14ac:dyDescent="0.15">
      <c r="A19" s="208" t="s">
        <v>59</v>
      </c>
      <c r="B19" s="237" t="s">
        <v>393</v>
      </c>
      <c r="C19" s="152">
        <v>2018</v>
      </c>
      <c r="D19" s="153" t="s">
        <v>394</v>
      </c>
      <c r="E19" s="208" t="s">
        <v>263</v>
      </c>
      <c r="F19" s="208" t="s">
        <v>306</v>
      </c>
      <c r="G19" s="208" t="s">
        <v>36</v>
      </c>
      <c r="H19" s="208" t="s">
        <v>157</v>
      </c>
      <c r="I19" s="208" t="s">
        <v>155</v>
      </c>
      <c r="J19" s="208" t="s">
        <v>38</v>
      </c>
      <c r="K19" s="208" t="s">
        <v>156</v>
      </c>
      <c r="L19" s="208">
        <v>3</v>
      </c>
      <c r="N19" s="208">
        <v>2</v>
      </c>
      <c r="O19" s="208">
        <v>0.72</v>
      </c>
      <c r="P19" s="208">
        <v>0.66</v>
      </c>
      <c r="Q19" s="245">
        <f t="shared" si="2"/>
        <v>0.69</v>
      </c>
      <c r="R19" s="208">
        <v>14.1</v>
      </c>
      <c r="S19" s="208">
        <v>147</v>
      </c>
      <c r="T19" s="217">
        <f t="shared" si="0"/>
        <v>22</v>
      </c>
      <c r="U19" s="208">
        <v>299</v>
      </c>
      <c r="V19" s="217">
        <f t="shared" si="1"/>
        <v>16</v>
      </c>
      <c r="W19" s="208">
        <v>6</v>
      </c>
      <c r="X19" s="208" t="s">
        <v>46</v>
      </c>
      <c r="Y19" s="208" t="s">
        <v>55</v>
      </c>
      <c r="Z19" s="208" t="s">
        <v>102</v>
      </c>
      <c r="AA19" s="208" t="s">
        <v>69</v>
      </c>
      <c r="AB19" s="237" t="s">
        <v>472</v>
      </c>
      <c r="AD19" s="237"/>
      <c r="AE19" s="236" t="s">
        <v>89</v>
      </c>
      <c r="AP19" s="239" t="s">
        <v>112</v>
      </c>
      <c r="AR19" s="231" t="s">
        <v>126</v>
      </c>
      <c r="AV19" s="224" t="s">
        <v>273</v>
      </c>
    </row>
    <row r="20" spans="1:48" x14ac:dyDescent="0.15">
      <c r="A20" s="208" t="s">
        <v>59</v>
      </c>
      <c r="B20" s="237" t="s">
        <v>482</v>
      </c>
      <c r="C20" s="152">
        <v>2018</v>
      </c>
      <c r="D20" s="153" t="s">
        <v>483</v>
      </c>
      <c r="E20" s="208" t="s">
        <v>318</v>
      </c>
      <c r="F20" s="208" t="s">
        <v>306</v>
      </c>
      <c r="G20" s="208" t="s">
        <v>36</v>
      </c>
      <c r="H20" s="208" t="s">
        <v>166</v>
      </c>
      <c r="I20" s="208" t="s">
        <v>155</v>
      </c>
      <c r="J20" s="208" t="s">
        <v>38</v>
      </c>
      <c r="K20" s="208" t="s">
        <v>156</v>
      </c>
      <c r="L20" s="208">
        <v>1</v>
      </c>
      <c r="N20" s="208">
        <v>2</v>
      </c>
      <c r="O20" s="208">
        <v>0.5</v>
      </c>
      <c r="P20" s="208">
        <v>0.35</v>
      </c>
      <c r="Q20" s="245">
        <f t="shared" si="2"/>
        <v>0.42499999999999999</v>
      </c>
      <c r="R20" s="208">
        <v>15.5</v>
      </c>
      <c r="S20" s="208">
        <v>160</v>
      </c>
      <c r="T20" s="217">
        <f t="shared" si="0"/>
        <v>18</v>
      </c>
      <c r="U20" s="208">
        <v>410</v>
      </c>
      <c r="V20" s="217">
        <f t="shared" si="1"/>
        <v>16</v>
      </c>
      <c r="W20" s="208">
        <v>5</v>
      </c>
      <c r="X20" s="208" t="s">
        <v>46</v>
      </c>
      <c r="Y20" s="208" t="s">
        <v>78</v>
      </c>
      <c r="Z20" s="208" t="s">
        <v>88</v>
      </c>
      <c r="AA20" s="208" t="s">
        <v>69</v>
      </c>
      <c r="AB20" s="237" t="s">
        <v>484</v>
      </c>
      <c r="AD20" s="237"/>
      <c r="AE20" s="236"/>
      <c r="AP20" s="239" t="s">
        <v>113</v>
      </c>
      <c r="AR20" s="238" t="s">
        <v>105</v>
      </c>
      <c r="AV20" s="228" t="s">
        <v>485</v>
      </c>
    </row>
    <row r="21" spans="1:48" x14ac:dyDescent="0.15">
      <c r="A21" s="208" t="s">
        <v>59</v>
      </c>
      <c r="B21" s="237" t="s">
        <v>482</v>
      </c>
      <c r="C21" s="152">
        <v>2018</v>
      </c>
      <c r="D21" s="153" t="s">
        <v>483</v>
      </c>
      <c r="E21" s="208" t="s">
        <v>318</v>
      </c>
      <c r="F21" s="208" t="s">
        <v>306</v>
      </c>
      <c r="G21" s="208" t="s">
        <v>36</v>
      </c>
      <c r="H21" s="208" t="s">
        <v>166</v>
      </c>
      <c r="I21" s="208" t="s">
        <v>155</v>
      </c>
      <c r="J21" s="208" t="s">
        <v>38</v>
      </c>
      <c r="K21" s="208" t="s">
        <v>156</v>
      </c>
      <c r="L21" s="208">
        <v>2</v>
      </c>
      <c r="N21" s="208">
        <v>2</v>
      </c>
      <c r="O21" s="208">
        <v>0.45</v>
      </c>
      <c r="P21" s="208">
        <v>0.45</v>
      </c>
      <c r="Q21" s="245">
        <f t="shared" si="2"/>
        <v>0.45</v>
      </c>
      <c r="R21" s="208">
        <v>17.100000000000001</v>
      </c>
      <c r="S21" s="208">
        <v>160</v>
      </c>
      <c r="T21" s="217">
        <f t="shared" si="0"/>
        <v>18</v>
      </c>
      <c r="U21" s="208">
        <v>410</v>
      </c>
      <c r="V21" s="217">
        <f t="shared" si="1"/>
        <v>16</v>
      </c>
      <c r="W21" s="208">
        <v>5</v>
      </c>
      <c r="X21" s="208" t="s">
        <v>46</v>
      </c>
      <c r="Y21" s="208" t="s">
        <v>78</v>
      </c>
      <c r="Z21" s="208" t="s">
        <v>88</v>
      </c>
      <c r="AA21" s="208" t="s">
        <v>69</v>
      </c>
      <c r="AB21" s="237" t="s">
        <v>484</v>
      </c>
      <c r="AD21" s="237"/>
      <c r="AE21" s="229"/>
      <c r="AP21" s="239" t="s">
        <v>274</v>
      </c>
      <c r="AR21" s="238" t="s">
        <v>68</v>
      </c>
      <c r="AV21" s="228" t="s">
        <v>486</v>
      </c>
    </row>
    <row r="22" spans="1:48" x14ac:dyDescent="0.15">
      <c r="A22" s="208" t="s">
        <v>59</v>
      </c>
      <c r="B22" s="237" t="s">
        <v>482</v>
      </c>
      <c r="C22" s="152">
        <v>2018</v>
      </c>
      <c r="D22" s="153" t="s">
        <v>483</v>
      </c>
      <c r="E22" s="208" t="s">
        <v>318</v>
      </c>
      <c r="F22" s="208" t="s">
        <v>306</v>
      </c>
      <c r="G22" s="208" t="s">
        <v>36</v>
      </c>
      <c r="H22" s="208" t="s">
        <v>166</v>
      </c>
      <c r="I22" s="208" t="s">
        <v>155</v>
      </c>
      <c r="J22" s="208" t="s">
        <v>38</v>
      </c>
      <c r="K22" s="208" t="s">
        <v>156</v>
      </c>
      <c r="L22" s="208">
        <v>3</v>
      </c>
      <c r="N22" s="208">
        <v>2</v>
      </c>
      <c r="O22" s="208">
        <v>0.49</v>
      </c>
      <c r="P22" s="208">
        <v>0.56000000000000005</v>
      </c>
      <c r="Q22" s="245">
        <f t="shared" si="2"/>
        <v>0.52500000000000002</v>
      </c>
      <c r="R22" s="208">
        <v>17.3</v>
      </c>
      <c r="S22" s="208">
        <v>162</v>
      </c>
      <c r="T22" s="217">
        <f t="shared" si="0"/>
        <v>18</v>
      </c>
      <c r="U22" s="208">
        <v>410</v>
      </c>
      <c r="V22" s="217">
        <f t="shared" si="1"/>
        <v>16</v>
      </c>
      <c r="W22" s="208">
        <v>5</v>
      </c>
      <c r="X22" s="208" t="s">
        <v>46</v>
      </c>
      <c r="Y22" s="208" t="s">
        <v>78</v>
      </c>
      <c r="Z22" s="208" t="s">
        <v>88</v>
      </c>
      <c r="AA22" s="208" t="s">
        <v>69</v>
      </c>
      <c r="AB22" s="237" t="s">
        <v>484</v>
      </c>
      <c r="AD22" s="237"/>
      <c r="AP22" s="239" t="s">
        <v>271</v>
      </c>
      <c r="AR22" s="238" t="s">
        <v>83</v>
      </c>
      <c r="AV22" s="228" t="s">
        <v>275</v>
      </c>
    </row>
    <row r="23" spans="1:48" x14ac:dyDescent="0.15">
      <c r="A23" s="208" t="s">
        <v>59</v>
      </c>
      <c r="B23" s="237" t="s">
        <v>482</v>
      </c>
      <c r="C23" s="152">
        <v>2018</v>
      </c>
      <c r="D23" s="153" t="s">
        <v>483</v>
      </c>
      <c r="E23" s="208" t="s">
        <v>318</v>
      </c>
      <c r="F23" s="208" t="s">
        <v>306</v>
      </c>
      <c r="G23" s="208" t="s">
        <v>36</v>
      </c>
      <c r="H23" s="208" t="s">
        <v>157</v>
      </c>
      <c r="I23" s="208" t="s">
        <v>155</v>
      </c>
      <c r="J23" s="208" t="s">
        <v>38</v>
      </c>
      <c r="K23" s="208" t="s">
        <v>156</v>
      </c>
      <c r="L23" s="208">
        <v>1</v>
      </c>
      <c r="N23" s="208">
        <v>4</v>
      </c>
      <c r="O23" s="208">
        <v>1</v>
      </c>
      <c r="P23" s="208">
        <v>0.85</v>
      </c>
      <c r="Q23" s="245">
        <f t="shared" si="2"/>
        <v>0.92500000000000004</v>
      </c>
      <c r="R23" s="208">
        <v>14.9</v>
      </c>
      <c r="S23" s="208">
        <v>100</v>
      </c>
      <c r="T23" s="217">
        <f t="shared" si="0"/>
        <v>33</v>
      </c>
      <c r="U23" s="208">
        <v>410</v>
      </c>
      <c r="V23" s="217">
        <f t="shared" si="1"/>
        <v>16</v>
      </c>
      <c r="W23" s="208">
        <v>2</v>
      </c>
      <c r="X23" s="208" t="s">
        <v>46</v>
      </c>
      <c r="Y23" s="208" t="s">
        <v>78</v>
      </c>
      <c r="Z23" s="208" t="s">
        <v>88</v>
      </c>
      <c r="AA23" s="208" t="s">
        <v>69</v>
      </c>
      <c r="AB23" s="237" t="s">
        <v>484</v>
      </c>
      <c r="AP23" s="239" t="s">
        <v>487</v>
      </c>
      <c r="AR23" s="238" t="s">
        <v>61</v>
      </c>
      <c r="AV23" s="228" t="s">
        <v>488</v>
      </c>
    </row>
    <row r="24" spans="1:48" x14ac:dyDescent="0.15">
      <c r="A24" s="208" t="s">
        <v>59</v>
      </c>
      <c r="B24" s="237" t="s">
        <v>482</v>
      </c>
      <c r="C24" s="152">
        <v>2018</v>
      </c>
      <c r="D24" s="153" t="s">
        <v>483</v>
      </c>
      <c r="E24" s="208" t="s">
        <v>318</v>
      </c>
      <c r="F24" s="208" t="s">
        <v>306</v>
      </c>
      <c r="G24" s="208" t="s">
        <v>36</v>
      </c>
      <c r="H24" s="208" t="s">
        <v>157</v>
      </c>
      <c r="I24" s="208" t="s">
        <v>155</v>
      </c>
      <c r="J24" s="208" t="s">
        <v>38</v>
      </c>
      <c r="K24" s="208" t="s">
        <v>156</v>
      </c>
      <c r="L24" s="208">
        <v>2</v>
      </c>
      <c r="N24" s="208">
        <v>4</v>
      </c>
      <c r="O24" s="208">
        <v>0.98</v>
      </c>
      <c r="P24" s="208">
        <v>0.85</v>
      </c>
      <c r="Q24" s="245">
        <f t="shared" si="2"/>
        <v>0.91500000000000004</v>
      </c>
      <c r="R24" s="208">
        <v>14.9</v>
      </c>
      <c r="S24" s="208">
        <v>106</v>
      </c>
      <c r="T24" s="217">
        <f t="shared" si="0"/>
        <v>33</v>
      </c>
      <c r="U24" s="208">
        <v>410</v>
      </c>
      <c r="V24" s="217">
        <f t="shared" si="1"/>
        <v>16</v>
      </c>
      <c r="W24" s="208">
        <v>2</v>
      </c>
      <c r="X24" s="208" t="s">
        <v>46</v>
      </c>
      <c r="Y24" s="208" t="s">
        <v>78</v>
      </c>
      <c r="Z24" s="208" t="s">
        <v>88</v>
      </c>
      <c r="AA24" s="208" t="s">
        <v>69</v>
      </c>
      <c r="AB24" s="237" t="s">
        <v>484</v>
      </c>
      <c r="AP24" s="239" t="s">
        <v>489</v>
      </c>
      <c r="AR24" s="238" t="s">
        <v>91</v>
      </c>
      <c r="AV24" s="228" t="s">
        <v>490</v>
      </c>
    </row>
    <row r="25" spans="1:48" x14ac:dyDescent="0.15">
      <c r="A25" s="208" t="s">
        <v>59</v>
      </c>
      <c r="B25" s="237" t="s">
        <v>482</v>
      </c>
      <c r="C25" s="152">
        <v>2018</v>
      </c>
      <c r="D25" s="153" t="s">
        <v>483</v>
      </c>
      <c r="E25" s="208" t="s">
        <v>318</v>
      </c>
      <c r="F25" s="208" t="s">
        <v>306</v>
      </c>
      <c r="G25" s="208" t="s">
        <v>36</v>
      </c>
      <c r="H25" s="208" t="s">
        <v>157</v>
      </c>
      <c r="I25" s="208" t="s">
        <v>155</v>
      </c>
      <c r="J25" s="208" t="s">
        <v>38</v>
      </c>
      <c r="K25" s="208" t="s">
        <v>156</v>
      </c>
      <c r="L25" s="208">
        <v>3</v>
      </c>
      <c r="N25" s="208">
        <v>4</v>
      </c>
      <c r="O25" s="208">
        <v>0.88</v>
      </c>
      <c r="P25" s="208">
        <v>0.92</v>
      </c>
      <c r="Q25" s="245">
        <f t="shared" si="2"/>
        <v>0.9</v>
      </c>
      <c r="R25" s="208">
        <v>14.5</v>
      </c>
      <c r="S25" s="208">
        <v>107</v>
      </c>
      <c r="T25" s="217">
        <f t="shared" si="0"/>
        <v>33</v>
      </c>
      <c r="U25" s="208">
        <v>410</v>
      </c>
      <c r="V25" s="217">
        <f t="shared" si="1"/>
        <v>16</v>
      </c>
      <c r="W25" s="208">
        <v>2</v>
      </c>
      <c r="X25" s="208" t="s">
        <v>46</v>
      </c>
      <c r="Y25" s="208" t="s">
        <v>78</v>
      </c>
      <c r="Z25" s="208" t="s">
        <v>88</v>
      </c>
      <c r="AA25" s="208" t="s">
        <v>69</v>
      </c>
      <c r="AB25" s="237" t="s">
        <v>484</v>
      </c>
      <c r="AD25" s="237"/>
      <c r="AP25" s="239" t="s">
        <v>116</v>
      </c>
      <c r="AR25" s="42" t="s">
        <v>92</v>
      </c>
      <c r="AV25" s="228" t="s">
        <v>491</v>
      </c>
    </row>
    <row r="26" spans="1:48" x14ac:dyDescent="0.15">
      <c r="A26" s="208" t="s">
        <v>59</v>
      </c>
      <c r="B26" s="237" t="s">
        <v>482</v>
      </c>
      <c r="C26" s="152">
        <v>2018</v>
      </c>
      <c r="D26" s="153" t="s">
        <v>483</v>
      </c>
      <c r="E26" s="208" t="s">
        <v>317</v>
      </c>
      <c r="F26" s="208" t="s">
        <v>309</v>
      </c>
      <c r="G26" s="208" t="s">
        <v>36</v>
      </c>
      <c r="H26" s="208" t="s">
        <v>166</v>
      </c>
      <c r="I26" s="208" t="s">
        <v>155</v>
      </c>
      <c r="J26" s="208" t="s">
        <v>38</v>
      </c>
      <c r="K26" s="208" t="s">
        <v>156</v>
      </c>
      <c r="L26" s="208">
        <v>1</v>
      </c>
      <c r="N26" s="208">
        <v>2</v>
      </c>
      <c r="O26" s="208">
        <v>0.22</v>
      </c>
      <c r="P26" s="208">
        <v>0.25</v>
      </c>
      <c r="Q26" s="245">
        <f t="shared" si="2"/>
        <v>0.23499999999999999</v>
      </c>
      <c r="R26" s="208">
        <v>16</v>
      </c>
      <c r="S26" s="208">
        <v>196</v>
      </c>
      <c r="T26" s="217">
        <f t="shared" si="0"/>
        <v>16</v>
      </c>
      <c r="U26" s="208">
        <v>298</v>
      </c>
      <c r="V26" s="217">
        <f t="shared" si="1"/>
        <v>16</v>
      </c>
      <c r="W26" s="208">
        <v>3</v>
      </c>
      <c r="X26" s="208" t="s">
        <v>39</v>
      </c>
      <c r="Y26" s="208" t="s">
        <v>97</v>
      </c>
      <c r="Z26" s="208" t="s">
        <v>102</v>
      </c>
      <c r="AA26" s="208" t="s">
        <v>78</v>
      </c>
      <c r="AB26" s="237" t="s">
        <v>484</v>
      </c>
      <c r="AD26" s="237"/>
      <c r="AP26" s="239" t="s">
        <v>117</v>
      </c>
      <c r="AR26" s="228" t="s">
        <v>276</v>
      </c>
      <c r="AV26" s="228"/>
    </row>
    <row r="27" spans="1:48" x14ac:dyDescent="0.15">
      <c r="A27" s="208" t="s">
        <v>59</v>
      </c>
      <c r="B27" s="237" t="s">
        <v>482</v>
      </c>
      <c r="C27" s="152">
        <v>2018</v>
      </c>
      <c r="D27" s="153" t="s">
        <v>483</v>
      </c>
      <c r="E27" s="208" t="s">
        <v>317</v>
      </c>
      <c r="F27" s="208" t="s">
        <v>309</v>
      </c>
      <c r="G27" s="208" t="s">
        <v>36</v>
      </c>
      <c r="H27" s="208" t="s">
        <v>166</v>
      </c>
      <c r="I27" s="208" t="s">
        <v>155</v>
      </c>
      <c r="J27" s="208" t="s">
        <v>38</v>
      </c>
      <c r="K27" s="208" t="s">
        <v>156</v>
      </c>
      <c r="L27" s="208">
        <v>2</v>
      </c>
      <c r="N27" s="208">
        <v>2</v>
      </c>
      <c r="O27" s="208">
        <v>0.23</v>
      </c>
      <c r="P27" s="208">
        <v>0.22</v>
      </c>
      <c r="Q27" s="245">
        <f t="shared" si="2"/>
        <v>0.22500000000000001</v>
      </c>
      <c r="R27" s="208">
        <v>16.8</v>
      </c>
      <c r="S27" s="208">
        <v>184</v>
      </c>
      <c r="T27" s="217">
        <f t="shared" si="0"/>
        <v>16</v>
      </c>
      <c r="U27" s="208">
        <v>298</v>
      </c>
      <c r="V27" s="217">
        <f t="shared" si="1"/>
        <v>16</v>
      </c>
      <c r="W27" s="208">
        <v>3</v>
      </c>
      <c r="X27" s="208" t="s">
        <v>39</v>
      </c>
      <c r="Y27" s="208" t="s">
        <v>97</v>
      </c>
      <c r="Z27" s="208" t="s">
        <v>102</v>
      </c>
      <c r="AA27" s="208" t="s">
        <v>78</v>
      </c>
      <c r="AB27" s="237" t="s">
        <v>484</v>
      </c>
      <c r="AD27" s="237"/>
      <c r="AP27" s="239" t="s">
        <v>118</v>
      </c>
      <c r="AR27" s="229" t="s">
        <v>290</v>
      </c>
      <c r="AV27" s="228"/>
    </row>
    <row r="28" spans="1:48" x14ac:dyDescent="0.15">
      <c r="A28" s="208" t="s">
        <v>59</v>
      </c>
      <c r="B28" s="237" t="s">
        <v>482</v>
      </c>
      <c r="C28" s="152">
        <v>2018</v>
      </c>
      <c r="D28" s="153" t="s">
        <v>483</v>
      </c>
      <c r="E28" s="208" t="s">
        <v>317</v>
      </c>
      <c r="F28" s="208" t="s">
        <v>309</v>
      </c>
      <c r="G28" s="208" t="s">
        <v>36</v>
      </c>
      <c r="H28" s="208" t="s">
        <v>166</v>
      </c>
      <c r="I28" s="208" t="s">
        <v>155</v>
      </c>
      <c r="J28" s="208" t="s">
        <v>38</v>
      </c>
      <c r="K28" s="208" t="s">
        <v>156</v>
      </c>
      <c r="L28" s="208">
        <v>3</v>
      </c>
      <c r="N28" s="208">
        <v>2</v>
      </c>
      <c r="O28" s="208">
        <v>0.33</v>
      </c>
      <c r="P28" s="208">
        <v>0.34</v>
      </c>
      <c r="Q28" s="245">
        <f t="shared" si="2"/>
        <v>0.33500000000000002</v>
      </c>
      <c r="R28" s="208">
        <v>16.3</v>
      </c>
      <c r="S28" s="208">
        <v>193</v>
      </c>
      <c r="T28" s="217">
        <f t="shared" si="0"/>
        <v>16</v>
      </c>
      <c r="U28" s="208">
        <v>298</v>
      </c>
      <c r="V28" s="217">
        <f t="shared" si="1"/>
        <v>16</v>
      </c>
      <c r="W28" s="208">
        <v>3</v>
      </c>
      <c r="X28" s="208" t="s">
        <v>39</v>
      </c>
      <c r="Y28" s="208" t="s">
        <v>97</v>
      </c>
      <c r="Z28" s="208" t="s">
        <v>102</v>
      </c>
      <c r="AA28" s="208" t="s">
        <v>78</v>
      </c>
      <c r="AB28" s="237" t="s">
        <v>484</v>
      </c>
      <c r="AD28" s="237"/>
      <c r="AV28" s="228"/>
    </row>
    <row r="29" spans="1:48" x14ac:dyDescent="0.15">
      <c r="A29" s="208" t="s">
        <v>59</v>
      </c>
      <c r="B29" s="237" t="s">
        <v>482</v>
      </c>
      <c r="C29" s="152">
        <v>2018</v>
      </c>
      <c r="D29" s="153" t="s">
        <v>483</v>
      </c>
      <c r="E29" s="208" t="s">
        <v>317</v>
      </c>
      <c r="F29" s="208" t="s">
        <v>309</v>
      </c>
      <c r="G29" s="208" t="s">
        <v>36</v>
      </c>
      <c r="H29" s="208" t="s">
        <v>157</v>
      </c>
      <c r="I29" s="208" t="s">
        <v>155</v>
      </c>
      <c r="J29" s="208" t="s">
        <v>38</v>
      </c>
      <c r="K29" s="208" t="s">
        <v>156</v>
      </c>
      <c r="L29" s="208">
        <v>1</v>
      </c>
      <c r="N29" s="208">
        <v>6</v>
      </c>
      <c r="O29" s="208">
        <v>0.48</v>
      </c>
      <c r="P29" s="208">
        <v>0.39</v>
      </c>
      <c r="Q29" s="245">
        <f t="shared" si="2"/>
        <v>0.435</v>
      </c>
      <c r="R29" s="208">
        <v>14.5</v>
      </c>
      <c r="S29" s="208">
        <v>105</v>
      </c>
      <c r="T29" s="217">
        <f t="shared" si="0"/>
        <v>33</v>
      </c>
      <c r="U29" s="208">
        <v>398</v>
      </c>
      <c r="V29" s="217">
        <f t="shared" si="1"/>
        <v>16</v>
      </c>
      <c r="W29" s="208">
        <v>2</v>
      </c>
      <c r="X29" s="208" t="s">
        <v>39</v>
      </c>
      <c r="Y29" s="208" t="s">
        <v>97</v>
      </c>
      <c r="Z29" s="208" t="s">
        <v>102</v>
      </c>
      <c r="AA29" s="208" t="s">
        <v>78</v>
      </c>
      <c r="AB29" s="237" t="s">
        <v>484</v>
      </c>
      <c r="AV29" s="228"/>
    </row>
    <row r="30" spans="1:48" x14ac:dyDescent="0.15">
      <c r="A30" s="208" t="s">
        <v>59</v>
      </c>
      <c r="B30" s="237" t="s">
        <v>482</v>
      </c>
      <c r="C30" s="152">
        <v>2018</v>
      </c>
      <c r="D30" s="153" t="s">
        <v>483</v>
      </c>
      <c r="E30" s="208" t="s">
        <v>317</v>
      </c>
      <c r="F30" s="208" t="s">
        <v>309</v>
      </c>
      <c r="G30" s="208" t="s">
        <v>36</v>
      </c>
      <c r="H30" s="208" t="s">
        <v>157</v>
      </c>
      <c r="I30" s="208" t="s">
        <v>155</v>
      </c>
      <c r="J30" s="208" t="s">
        <v>38</v>
      </c>
      <c r="K30" s="208" t="s">
        <v>156</v>
      </c>
      <c r="L30" s="208">
        <v>2</v>
      </c>
      <c r="N30" s="208">
        <v>6</v>
      </c>
      <c r="O30" s="208">
        <v>0.44</v>
      </c>
      <c r="P30" s="208">
        <v>0.33</v>
      </c>
      <c r="Q30" s="245">
        <f t="shared" si="2"/>
        <v>0.38500000000000001</v>
      </c>
      <c r="R30" s="208">
        <v>15.2</v>
      </c>
      <c r="S30" s="208">
        <v>106</v>
      </c>
      <c r="T30" s="217">
        <f t="shared" si="0"/>
        <v>33</v>
      </c>
      <c r="U30" s="208">
        <v>398</v>
      </c>
      <c r="V30" s="217">
        <f t="shared" si="1"/>
        <v>16</v>
      </c>
      <c r="W30" s="208">
        <v>2</v>
      </c>
      <c r="X30" s="208" t="s">
        <v>39</v>
      </c>
      <c r="Y30" s="208" t="s">
        <v>97</v>
      </c>
      <c r="Z30" s="208" t="s">
        <v>102</v>
      </c>
      <c r="AA30" s="208" t="s">
        <v>78</v>
      </c>
      <c r="AB30" s="237" t="s">
        <v>484</v>
      </c>
      <c r="AV30" s="228"/>
    </row>
    <row r="31" spans="1:48" x14ac:dyDescent="0.15">
      <c r="A31" s="208" t="s">
        <v>59</v>
      </c>
      <c r="B31" s="237" t="s">
        <v>482</v>
      </c>
      <c r="C31" s="152">
        <v>2018</v>
      </c>
      <c r="D31" s="153" t="s">
        <v>483</v>
      </c>
      <c r="E31" s="208" t="s">
        <v>317</v>
      </c>
      <c r="F31" s="208" t="s">
        <v>309</v>
      </c>
      <c r="G31" s="208" t="s">
        <v>36</v>
      </c>
      <c r="H31" s="208" t="s">
        <v>157</v>
      </c>
      <c r="I31" s="208" t="s">
        <v>155</v>
      </c>
      <c r="J31" s="208" t="s">
        <v>38</v>
      </c>
      <c r="K31" s="208" t="s">
        <v>156</v>
      </c>
      <c r="L31" s="208">
        <v>3</v>
      </c>
      <c r="N31" s="208">
        <v>6</v>
      </c>
      <c r="O31" s="208">
        <v>0.44</v>
      </c>
      <c r="P31" s="208">
        <v>0.48</v>
      </c>
      <c r="Q31" s="245">
        <f t="shared" si="2"/>
        <v>0.45999999999999996</v>
      </c>
      <c r="R31" s="208">
        <v>14.4</v>
      </c>
      <c r="S31" s="208">
        <v>109</v>
      </c>
      <c r="T31" s="217">
        <f t="shared" si="0"/>
        <v>33</v>
      </c>
      <c r="U31" s="208">
        <v>398</v>
      </c>
      <c r="V31" s="217">
        <f t="shared" si="1"/>
        <v>16</v>
      </c>
      <c r="W31" s="208">
        <v>2</v>
      </c>
      <c r="X31" s="208" t="s">
        <v>39</v>
      </c>
      <c r="Y31" s="208" t="s">
        <v>97</v>
      </c>
      <c r="Z31" s="208" t="s">
        <v>102</v>
      </c>
      <c r="AA31" s="208" t="s">
        <v>78</v>
      </c>
      <c r="AB31" s="237" t="s">
        <v>484</v>
      </c>
      <c r="AV31" s="228"/>
    </row>
    <row r="32" spans="1:48" x14ac:dyDescent="0.15">
      <c r="A32" s="208" t="s">
        <v>59</v>
      </c>
      <c r="B32" s="237" t="s">
        <v>482</v>
      </c>
      <c r="C32" s="152">
        <v>2018</v>
      </c>
      <c r="D32" s="153" t="s">
        <v>483</v>
      </c>
      <c r="E32" s="208" t="s">
        <v>316</v>
      </c>
      <c r="F32" s="208" t="s">
        <v>309</v>
      </c>
      <c r="G32" s="208" t="s">
        <v>36</v>
      </c>
      <c r="H32" s="208" t="s">
        <v>166</v>
      </c>
      <c r="I32" s="208" t="s">
        <v>155</v>
      </c>
      <c r="J32" s="208" t="s">
        <v>38</v>
      </c>
      <c r="K32" s="208" t="s">
        <v>156</v>
      </c>
      <c r="L32" s="208">
        <v>1</v>
      </c>
      <c r="N32" s="208">
        <v>3</v>
      </c>
      <c r="O32" s="208">
        <v>0.49</v>
      </c>
      <c r="P32" s="208">
        <v>0.45</v>
      </c>
      <c r="Q32" s="245">
        <f t="shared" si="2"/>
        <v>0.47</v>
      </c>
      <c r="R32" s="208">
        <v>15.2</v>
      </c>
      <c r="S32" s="208">
        <v>116</v>
      </c>
      <c r="T32" s="217">
        <f t="shared" si="0"/>
        <v>30</v>
      </c>
      <c r="U32" s="208">
        <v>429</v>
      </c>
      <c r="V32" s="217">
        <f t="shared" si="1"/>
        <v>16</v>
      </c>
      <c r="W32" s="208">
        <v>4</v>
      </c>
      <c r="X32" s="208" t="s">
        <v>46</v>
      </c>
      <c r="Y32" s="208" t="s">
        <v>69</v>
      </c>
      <c r="Z32" s="208" t="s">
        <v>88</v>
      </c>
      <c r="AA32" s="208" t="s">
        <v>78</v>
      </c>
      <c r="AB32" s="237" t="s">
        <v>484</v>
      </c>
      <c r="AV32" s="228"/>
    </row>
    <row r="33" spans="1:48" x14ac:dyDescent="0.15">
      <c r="A33" s="208" t="s">
        <v>59</v>
      </c>
      <c r="B33" s="237" t="s">
        <v>482</v>
      </c>
      <c r="C33" s="152">
        <v>2018</v>
      </c>
      <c r="D33" s="153" t="s">
        <v>483</v>
      </c>
      <c r="E33" s="208" t="s">
        <v>316</v>
      </c>
      <c r="F33" s="208" t="s">
        <v>309</v>
      </c>
      <c r="G33" s="208" t="s">
        <v>36</v>
      </c>
      <c r="H33" s="208" t="s">
        <v>166</v>
      </c>
      <c r="I33" s="208" t="s">
        <v>155</v>
      </c>
      <c r="J33" s="208" t="s">
        <v>38</v>
      </c>
      <c r="K33" s="208" t="s">
        <v>156</v>
      </c>
      <c r="L33" s="208">
        <v>2</v>
      </c>
      <c r="N33" s="208">
        <v>3</v>
      </c>
      <c r="O33" s="208">
        <v>0.51</v>
      </c>
      <c r="P33" s="208">
        <v>0.55000000000000004</v>
      </c>
      <c r="Q33" s="245">
        <f t="shared" si="2"/>
        <v>0.53</v>
      </c>
      <c r="R33" s="208">
        <v>15.4</v>
      </c>
      <c r="S33" s="208">
        <v>116</v>
      </c>
      <c r="T33" s="217">
        <f t="shared" si="0"/>
        <v>30</v>
      </c>
      <c r="U33" s="208">
        <v>429</v>
      </c>
      <c r="V33" s="217">
        <f t="shared" si="1"/>
        <v>16</v>
      </c>
      <c r="W33" s="208">
        <v>4</v>
      </c>
      <c r="X33" s="208" t="s">
        <v>46</v>
      </c>
      <c r="Y33" s="208" t="s">
        <v>69</v>
      </c>
      <c r="Z33" s="208" t="s">
        <v>88</v>
      </c>
      <c r="AA33" s="208" t="s">
        <v>78</v>
      </c>
      <c r="AB33" s="237" t="s">
        <v>484</v>
      </c>
      <c r="AV33" s="228"/>
    </row>
    <row r="34" spans="1:48" x14ac:dyDescent="0.15">
      <c r="A34" s="208" t="s">
        <v>59</v>
      </c>
      <c r="B34" s="237" t="s">
        <v>482</v>
      </c>
      <c r="C34" s="152">
        <v>2018</v>
      </c>
      <c r="D34" s="153" t="s">
        <v>483</v>
      </c>
      <c r="E34" s="208" t="s">
        <v>316</v>
      </c>
      <c r="F34" s="208" t="s">
        <v>309</v>
      </c>
      <c r="G34" s="208" t="s">
        <v>36</v>
      </c>
      <c r="H34" s="208" t="s">
        <v>166</v>
      </c>
      <c r="I34" s="208" t="s">
        <v>155</v>
      </c>
      <c r="J34" s="208" t="s">
        <v>38</v>
      </c>
      <c r="K34" s="208" t="s">
        <v>156</v>
      </c>
      <c r="L34" s="208">
        <v>3</v>
      </c>
      <c r="N34" s="208">
        <v>3</v>
      </c>
      <c r="O34" s="208">
        <v>0.53</v>
      </c>
      <c r="P34" s="208">
        <v>0.5</v>
      </c>
      <c r="Q34" s="245">
        <f t="shared" si="2"/>
        <v>0.51500000000000001</v>
      </c>
      <c r="R34" s="208">
        <v>15.7</v>
      </c>
      <c r="S34" s="208">
        <v>115</v>
      </c>
      <c r="T34" s="217">
        <f t="shared" si="0"/>
        <v>30</v>
      </c>
      <c r="U34" s="208">
        <v>429</v>
      </c>
      <c r="V34" s="217">
        <f t="shared" si="1"/>
        <v>16</v>
      </c>
      <c r="W34" s="208">
        <v>4</v>
      </c>
      <c r="X34" s="208" t="s">
        <v>46</v>
      </c>
      <c r="Y34" s="208" t="s">
        <v>69</v>
      </c>
      <c r="Z34" s="208" t="s">
        <v>88</v>
      </c>
      <c r="AA34" s="208" t="s">
        <v>78</v>
      </c>
      <c r="AB34" s="237" t="s">
        <v>484</v>
      </c>
      <c r="AV34" s="228"/>
    </row>
    <row r="35" spans="1:48" x14ac:dyDescent="0.15">
      <c r="A35" s="208" t="s">
        <v>59</v>
      </c>
      <c r="B35" s="237" t="s">
        <v>482</v>
      </c>
      <c r="C35" s="152">
        <v>2018</v>
      </c>
      <c r="D35" s="153" t="s">
        <v>483</v>
      </c>
      <c r="E35" s="208" t="s">
        <v>316</v>
      </c>
      <c r="F35" s="208" t="s">
        <v>309</v>
      </c>
      <c r="G35" s="208" t="s">
        <v>36</v>
      </c>
      <c r="H35" s="208" t="s">
        <v>157</v>
      </c>
      <c r="I35" s="208" t="s">
        <v>155</v>
      </c>
      <c r="J35" s="208" t="s">
        <v>38</v>
      </c>
      <c r="K35" s="208" t="s">
        <v>156</v>
      </c>
      <c r="L35" s="208">
        <v>1</v>
      </c>
      <c r="N35" s="208">
        <v>1</v>
      </c>
      <c r="O35" s="208">
        <v>0.74</v>
      </c>
      <c r="P35" s="208">
        <v>0.62</v>
      </c>
      <c r="Q35" s="245">
        <f t="shared" si="2"/>
        <v>0.67999999999999994</v>
      </c>
      <c r="R35" s="208">
        <v>15.8</v>
      </c>
      <c r="S35" s="208">
        <v>150</v>
      </c>
      <c r="T35" s="217">
        <f t="shared" si="0"/>
        <v>22</v>
      </c>
      <c r="U35" s="208">
        <v>149</v>
      </c>
      <c r="V35" s="217">
        <f t="shared" si="1"/>
        <v>22</v>
      </c>
      <c r="W35" s="208">
        <v>4</v>
      </c>
      <c r="X35" s="208" t="s">
        <v>46</v>
      </c>
      <c r="Y35" s="208" t="s">
        <v>69</v>
      </c>
      <c r="Z35" s="208" t="s">
        <v>88</v>
      </c>
      <c r="AA35" s="208" t="s">
        <v>78</v>
      </c>
      <c r="AB35" s="237" t="s">
        <v>484</v>
      </c>
      <c r="AV35" s="228"/>
    </row>
    <row r="36" spans="1:48" x14ac:dyDescent="0.15">
      <c r="A36" s="208" t="s">
        <v>59</v>
      </c>
      <c r="B36" s="237" t="s">
        <v>482</v>
      </c>
      <c r="C36" s="152">
        <v>2018</v>
      </c>
      <c r="D36" s="153" t="s">
        <v>483</v>
      </c>
      <c r="E36" s="208" t="s">
        <v>316</v>
      </c>
      <c r="F36" s="208" t="s">
        <v>309</v>
      </c>
      <c r="G36" s="208" t="s">
        <v>36</v>
      </c>
      <c r="H36" s="208" t="s">
        <v>157</v>
      </c>
      <c r="I36" s="208" t="s">
        <v>155</v>
      </c>
      <c r="J36" s="208" t="s">
        <v>38</v>
      </c>
      <c r="K36" s="208" t="s">
        <v>156</v>
      </c>
      <c r="L36" s="208">
        <v>2</v>
      </c>
      <c r="N36" s="208">
        <v>1</v>
      </c>
      <c r="O36" s="208">
        <v>0.77</v>
      </c>
      <c r="P36" s="208">
        <v>0.65</v>
      </c>
      <c r="Q36" s="245">
        <f t="shared" si="2"/>
        <v>0.71</v>
      </c>
      <c r="R36" s="208">
        <v>15.6</v>
      </c>
      <c r="S36" s="208">
        <v>152</v>
      </c>
      <c r="T36" s="217">
        <f t="shared" si="0"/>
        <v>18</v>
      </c>
      <c r="U36" s="208">
        <v>149</v>
      </c>
      <c r="V36" s="217">
        <f t="shared" si="1"/>
        <v>22</v>
      </c>
      <c r="W36" s="208">
        <v>4</v>
      </c>
      <c r="X36" s="208" t="s">
        <v>46</v>
      </c>
      <c r="Y36" s="208" t="s">
        <v>69</v>
      </c>
      <c r="Z36" s="208" t="s">
        <v>88</v>
      </c>
      <c r="AA36" s="208" t="s">
        <v>78</v>
      </c>
      <c r="AB36" s="237" t="s">
        <v>484</v>
      </c>
      <c r="AV36" s="228"/>
    </row>
    <row r="37" spans="1:48" x14ac:dyDescent="0.15">
      <c r="A37" s="208" t="s">
        <v>59</v>
      </c>
      <c r="B37" s="237" t="s">
        <v>482</v>
      </c>
      <c r="C37" s="152">
        <v>2018</v>
      </c>
      <c r="D37" s="153" t="s">
        <v>483</v>
      </c>
      <c r="E37" s="208" t="s">
        <v>316</v>
      </c>
      <c r="F37" s="208" t="s">
        <v>309</v>
      </c>
      <c r="G37" s="208" t="s">
        <v>36</v>
      </c>
      <c r="H37" s="208" t="s">
        <v>157</v>
      </c>
      <c r="I37" s="208" t="s">
        <v>155</v>
      </c>
      <c r="J37" s="208" t="s">
        <v>38</v>
      </c>
      <c r="K37" s="208" t="s">
        <v>156</v>
      </c>
      <c r="L37" s="208">
        <v>3</v>
      </c>
      <c r="N37" s="208">
        <v>1</v>
      </c>
      <c r="O37" s="208">
        <v>0.71</v>
      </c>
      <c r="P37" s="208">
        <v>0.62</v>
      </c>
      <c r="Q37" s="245">
        <f t="shared" si="2"/>
        <v>0.66500000000000004</v>
      </c>
      <c r="R37" s="208">
        <v>15</v>
      </c>
      <c r="S37" s="208">
        <v>152</v>
      </c>
      <c r="T37" s="217">
        <f t="shared" si="0"/>
        <v>18</v>
      </c>
      <c r="U37" s="208">
        <v>149</v>
      </c>
      <c r="V37" s="217">
        <f t="shared" si="1"/>
        <v>22</v>
      </c>
      <c r="W37" s="208">
        <v>4</v>
      </c>
      <c r="X37" s="208" t="s">
        <v>46</v>
      </c>
      <c r="Y37" s="208" t="s">
        <v>69</v>
      </c>
      <c r="Z37" s="208" t="s">
        <v>88</v>
      </c>
      <c r="AA37" s="208" t="s">
        <v>78</v>
      </c>
      <c r="AB37" s="237" t="s">
        <v>484</v>
      </c>
      <c r="AV37" s="228"/>
    </row>
    <row r="38" spans="1:48" x14ac:dyDescent="0.15">
      <c r="A38" s="208" t="s">
        <v>59</v>
      </c>
      <c r="B38" s="237" t="s">
        <v>482</v>
      </c>
      <c r="C38" s="152">
        <v>2018</v>
      </c>
      <c r="D38" s="153" t="s">
        <v>483</v>
      </c>
      <c r="E38" s="208" t="s">
        <v>315</v>
      </c>
      <c r="F38" s="208" t="s">
        <v>308</v>
      </c>
      <c r="G38" s="208" t="s">
        <v>36</v>
      </c>
      <c r="H38" s="208" t="s">
        <v>166</v>
      </c>
      <c r="I38" s="208" t="s">
        <v>155</v>
      </c>
      <c r="J38" s="208" t="s">
        <v>38</v>
      </c>
      <c r="K38" s="208" t="s">
        <v>156</v>
      </c>
      <c r="L38" s="208">
        <v>1</v>
      </c>
      <c r="N38" s="208">
        <v>2</v>
      </c>
      <c r="O38" s="208">
        <v>0.4</v>
      </c>
      <c r="P38" s="208">
        <v>0.42</v>
      </c>
      <c r="Q38" s="245">
        <f t="shared" si="2"/>
        <v>0.41000000000000003</v>
      </c>
      <c r="R38" s="208">
        <v>16.3</v>
      </c>
      <c r="S38" s="208">
        <v>150</v>
      </c>
      <c r="T38" s="217">
        <f t="shared" si="0"/>
        <v>22</v>
      </c>
      <c r="U38" s="208">
        <v>399</v>
      </c>
      <c r="V38" s="217">
        <f t="shared" si="1"/>
        <v>16</v>
      </c>
      <c r="W38" s="208">
        <v>20</v>
      </c>
      <c r="X38" s="208" t="s">
        <v>46</v>
      </c>
      <c r="Y38" s="208" t="s">
        <v>97</v>
      </c>
      <c r="Z38" s="208" t="s">
        <v>55</v>
      </c>
      <c r="AA38" s="208" t="s">
        <v>69</v>
      </c>
      <c r="AB38" s="237" t="s">
        <v>492</v>
      </c>
      <c r="AV38" s="229"/>
    </row>
    <row r="39" spans="1:48" x14ac:dyDescent="0.15">
      <c r="A39" s="208" t="s">
        <v>59</v>
      </c>
      <c r="B39" s="237" t="s">
        <v>474</v>
      </c>
      <c r="C39" s="152">
        <v>2018</v>
      </c>
      <c r="D39" s="153" t="s">
        <v>475</v>
      </c>
      <c r="E39" s="208" t="s">
        <v>315</v>
      </c>
      <c r="F39" s="208" t="s">
        <v>308</v>
      </c>
      <c r="G39" s="208" t="s">
        <v>36</v>
      </c>
      <c r="H39" s="208" t="s">
        <v>166</v>
      </c>
      <c r="I39" s="208" t="s">
        <v>155</v>
      </c>
      <c r="J39" s="208" t="s">
        <v>38</v>
      </c>
      <c r="K39" s="208" t="s">
        <v>156</v>
      </c>
      <c r="L39" s="208">
        <v>2</v>
      </c>
      <c r="N39" s="208">
        <v>2</v>
      </c>
      <c r="O39" s="208">
        <v>0.41</v>
      </c>
      <c r="P39" s="208">
        <v>0.5</v>
      </c>
      <c r="Q39" s="245">
        <f t="shared" si="2"/>
        <v>0.45499999999999996</v>
      </c>
      <c r="R39" s="208">
        <v>15.3</v>
      </c>
      <c r="S39" s="208">
        <v>148</v>
      </c>
      <c r="T39" s="217">
        <f t="shared" si="0"/>
        <v>22</v>
      </c>
      <c r="U39" s="208">
        <v>399</v>
      </c>
      <c r="V39" s="217">
        <f t="shared" si="1"/>
        <v>16</v>
      </c>
      <c r="W39" s="208">
        <v>20</v>
      </c>
      <c r="X39" s="208" t="s">
        <v>46</v>
      </c>
      <c r="Y39" s="208" t="s">
        <v>97</v>
      </c>
      <c r="Z39" s="208" t="s">
        <v>55</v>
      </c>
      <c r="AA39" s="208" t="s">
        <v>69</v>
      </c>
      <c r="AB39" s="237" t="s">
        <v>492</v>
      </c>
    </row>
    <row r="40" spans="1:48" x14ac:dyDescent="0.15">
      <c r="A40" s="208" t="s">
        <v>59</v>
      </c>
      <c r="B40" s="237" t="s">
        <v>474</v>
      </c>
      <c r="C40" s="152">
        <v>2018</v>
      </c>
      <c r="D40" s="153" t="s">
        <v>475</v>
      </c>
      <c r="E40" s="208" t="s">
        <v>315</v>
      </c>
      <c r="F40" s="208" t="s">
        <v>308</v>
      </c>
      <c r="G40" s="208" t="s">
        <v>36</v>
      </c>
      <c r="H40" s="208" t="s">
        <v>166</v>
      </c>
      <c r="I40" s="208" t="s">
        <v>155</v>
      </c>
      <c r="J40" s="208" t="s">
        <v>38</v>
      </c>
      <c r="K40" s="208" t="s">
        <v>156</v>
      </c>
      <c r="L40" s="208">
        <v>3</v>
      </c>
      <c r="N40" s="208">
        <v>2</v>
      </c>
      <c r="O40" s="208">
        <v>0.44</v>
      </c>
      <c r="P40" s="208">
        <v>0.52</v>
      </c>
      <c r="Q40" s="245">
        <f t="shared" si="2"/>
        <v>0.48</v>
      </c>
      <c r="R40" s="208">
        <v>16.7</v>
      </c>
      <c r="S40" s="208">
        <v>154</v>
      </c>
      <c r="T40" s="217">
        <f t="shared" si="0"/>
        <v>18</v>
      </c>
      <c r="U40" s="208">
        <v>399</v>
      </c>
      <c r="V40" s="217">
        <f t="shared" si="1"/>
        <v>16</v>
      </c>
      <c r="W40" s="208">
        <v>20</v>
      </c>
      <c r="X40" s="208" t="s">
        <v>46</v>
      </c>
      <c r="Y40" s="208" t="s">
        <v>97</v>
      </c>
      <c r="Z40" s="208" t="s">
        <v>55</v>
      </c>
      <c r="AA40" s="208" t="s">
        <v>69</v>
      </c>
      <c r="AB40" s="237" t="s">
        <v>492</v>
      </c>
    </row>
    <row r="41" spans="1:48" x14ac:dyDescent="0.15">
      <c r="A41" s="208" t="s">
        <v>59</v>
      </c>
      <c r="B41" s="237" t="s">
        <v>474</v>
      </c>
      <c r="C41" s="152">
        <v>2018</v>
      </c>
      <c r="D41" s="153" t="s">
        <v>475</v>
      </c>
      <c r="E41" s="208" t="s">
        <v>315</v>
      </c>
      <c r="F41" s="208" t="s">
        <v>308</v>
      </c>
      <c r="G41" s="208" t="s">
        <v>36</v>
      </c>
      <c r="H41" s="208" t="s">
        <v>157</v>
      </c>
      <c r="I41" s="208" t="s">
        <v>155</v>
      </c>
      <c r="J41" s="208" t="s">
        <v>38</v>
      </c>
      <c r="K41" s="208" t="s">
        <v>156</v>
      </c>
      <c r="L41" s="208">
        <v>1</v>
      </c>
      <c r="N41" s="208">
        <v>3</v>
      </c>
      <c r="O41" s="208">
        <v>0.5</v>
      </c>
      <c r="P41" s="208">
        <v>0.49</v>
      </c>
      <c r="Q41" s="245">
        <f t="shared" si="2"/>
        <v>0.495</v>
      </c>
      <c r="R41" s="208">
        <v>15.1</v>
      </c>
      <c r="S41" s="208">
        <v>129</v>
      </c>
      <c r="T41" s="217">
        <f t="shared" si="0"/>
        <v>25</v>
      </c>
      <c r="U41" s="208">
        <v>399</v>
      </c>
      <c r="V41" s="217">
        <f t="shared" si="1"/>
        <v>16</v>
      </c>
      <c r="W41" s="208">
        <v>15</v>
      </c>
      <c r="X41" s="208" t="s">
        <v>46</v>
      </c>
      <c r="Y41" s="208" t="s">
        <v>97</v>
      </c>
      <c r="Z41" s="208" t="s">
        <v>55</v>
      </c>
      <c r="AA41" s="208" t="s">
        <v>69</v>
      </c>
      <c r="AB41" s="237" t="s">
        <v>492</v>
      </c>
    </row>
    <row r="42" spans="1:48" x14ac:dyDescent="0.15">
      <c r="A42" s="208" t="s">
        <v>59</v>
      </c>
      <c r="B42" s="237" t="s">
        <v>474</v>
      </c>
      <c r="C42" s="152">
        <v>2018</v>
      </c>
      <c r="D42" s="153" t="s">
        <v>475</v>
      </c>
      <c r="E42" s="208" t="s">
        <v>315</v>
      </c>
      <c r="F42" s="208" t="s">
        <v>308</v>
      </c>
      <c r="G42" s="208" t="s">
        <v>36</v>
      </c>
      <c r="H42" s="208" t="s">
        <v>157</v>
      </c>
      <c r="I42" s="208" t="s">
        <v>155</v>
      </c>
      <c r="J42" s="208" t="s">
        <v>38</v>
      </c>
      <c r="K42" s="208" t="s">
        <v>156</v>
      </c>
      <c r="L42" s="208">
        <v>2</v>
      </c>
      <c r="N42" s="208">
        <v>3</v>
      </c>
      <c r="O42" s="208">
        <v>0.52</v>
      </c>
      <c r="P42" s="208">
        <v>0.53</v>
      </c>
      <c r="Q42" s="245">
        <f t="shared" si="2"/>
        <v>0.52500000000000002</v>
      </c>
      <c r="R42" s="208">
        <v>14</v>
      </c>
      <c r="S42" s="208">
        <v>130</v>
      </c>
      <c r="T42" s="217">
        <f t="shared" si="0"/>
        <v>25</v>
      </c>
      <c r="U42" s="208">
        <v>399</v>
      </c>
      <c r="V42" s="217">
        <f t="shared" si="1"/>
        <v>16</v>
      </c>
      <c r="W42" s="208">
        <v>15</v>
      </c>
      <c r="X42" s="208" t="s">
        <v>46</v>
      </c>
      <c r="Y42" s="208" t="s">
        <v>97</v>
      </c>
      <c r="Z42" s="208" t="s">
        <v>55</v>
      </c>
      <c r="AA42" s="208" t="s">
        <v>69</v>
      </c>
      <c r="AB42" s="237" t="s">
        <v>492</v>
      </c>
    </row>
    <row r="43" spans="1:48" x14ac:dyDescent="0.15">
      <c r="A43" s="208" t="s">
        <v>59</v>
      </c>
      <c r="B43" s="237" t="s">
        <v>474</v>
      </c>
      <c r="C43" s="152">
        <v>2018</v>
      </c>
      <c r="D43" s="153" t="s">
        <v>475</v>
      </c>
      <c r="E43" s="208" t="s">
        <v>315</v>
      </c>
      <c r="F43" s="208" t="s">
        <v>308</v>
      </c>
      <c r="G43" s="208" t="s">
        <v>36</v>
      </c>
      <c r="H43" s="208" t="s">
        <v>157</v>
      </c>
      <c r="I43" s="208" t="s">
        <v>155</v>
      </c>
      <c r="J43" s="208" t="s">
        <v>38</v>
      </c>
      <c r="K43" s="208" t="s">
        <v>156</v>
      </c>
      <c r="L43" s="208">
        <v>3</v>
      </c>
      <c r="N43" s="208">
        <v>3</v>
      </c>
      <c r="O43" s="208">
        <v>0.55000000000000004</v>
      </c>
      <c r="P43" s="208">
        <v>0.51</v>
      </c>
      <c r="Q43" s="245">
        <f t="shared" si="2"/>
        <v>0.53</v>
      </c>
      <c r="R43" s="208">
        <v>14.8</v>
      </c>
      <c r="S43" s="208">
        <v>127</v>
      </c>
      <c r="T43" s="217">
        <f t="shared" si="0"/>
        <v>27</v>
      </c>
      <c r="U43" s="208">
        <v>399</v>
      </c>
      <c r="V43" s="217">
        <f t="shared" si="1"/>
        <v>16</v>
      </c>
      <c r="W43" s="208">
        <v>15</v>
      </c>
      <c r="X43" s="208" t="s">
        <v>46</v>
      </c>
      <c r="Y43" s="208" t="s">
        <v>97</v>
      </c>
      <c r="Z43" s="208" t="s">
        <v>55</v>
      </c>
      <c r="AA43" s="208" t="s">
        <v>69</v>
      </c>
      <c r="AB43" s="237" t="s">
        <v>492</v>
      </c>
    </row>
    <row r="44" spans="1:48" x14ac:dyDescent="0.15">
      <c r="A44" s="208" t="s">
        <v>59</v>
      </c>
      <c r="B44" s="237" t="s">
        <v>474</v>
      </c>
      <c r="C44" s="152">
        <v>2018</v>
      </c>
      <c r="D44" s="153" t="s">
        <v>475</v>
      </c>
      <c r="E44" s="208" t="s">
        <v>313</v>
      </c>
      <c r="F44" s="208" t="s">
        <v>305</v>
      </c>
      <c r="G44" s="208" t="s">
        <v>36</v>
      </c>
      <c r="H44" s="208" t="s">
        <v>166</v>
      </c>
      <c r="I44" s="208" t="s">
        <v>155</v>
      </c>
      <c r="J44" s="208" t="s">
        <v>38</v>
      </c>
      <c r="K44" s="208" t="s">
        <v>156</v>
      </c>
      <c r="L44" s="208">
        <v>1</v>
      </c>
      <c r="N44" s="208">
        <v>4</v>
      </c>
      <c r="O44" s="208">
        <v>0.3</v>
      </c>
      <c r="P44" s="208">
        <v>0.38</v>
      </c>
      <c r="Q44" s="245">
        <f t="shared" si="2"/>
        <v>0.33999999999999997</v>
      </c>
      <c r="R44" s="208">
        <v>17.2</v>
      </c>
      <c r="S44" s="208">
        <v>106</v>
      </c>
      <c r="T44" s="217">
        <f t="shared" si="0"/>
        <v>33</v>
      </c>
      <c r="U44" s="208">
        <v>518</v>
      </c>
      <c r="V44" s="217">
        <f t="shared" si="1"/>
        <v>16</v>
      </c>
      <c r="W44" s="208">
        <v>2</v>
      </c>
      <c r="X44" s="208" t="s">
        <v>39</v>
      </c>
      <c r="Y44" s="208" t="s">
        <v>90</v>
      </c>
      <c r="Z44" s="208" t="s">
        <v>78</v>
      </c>
      <c r="AA44" s="208" t="s">
        <v>88</v>
      </c>
      <c r="AB44" s="237" t="s">
        <v>492</v>
      </c>
    </row>
    <row r="45" spans="1:48" x14ac:dyDescent="0.15">
      <c r="A45" s="208" t="s">
        <v>59</v>
      </c>
      <c r="B45" s="237" t="s">
        <v>474</v>
      </c>
      <c r="C45" s="152">
        <v>2018</v>
      </c>
      <c r="D45" s="153" t="s">
        <v>475</v>
      </c>
      <c r="E45" s="208" t="s">
        <v>313</v>
      </c>
      <c r="F45" s="208" t="s">
        <v>305</v>
      </c>
      <c r="G45" s="208" t="s">
        <v>36</v>
      </c>
      <c r="H45" s="208" t="s">
        <v>166</v>
      </c>
      <c r="I45" s="208" t="s">
        <v>155</v>
      </c>
      <c r="J45" s="208" t="s">
        <v>38</v>
      </c>
      <c r="K45" s="208" t="s">
        <v>156</v>
      </c>
      <c r="L45" s="208">
        <v>2</v>
      </c>
      <c r="N45" s="208">
        <v>4</v>
      </c>
      <c r="O45" s="208">
        <v>0.63</v>
      </c>
      <c r="P45" s="208">
        <v>0.64</v>
      </c>
      <c r="Q45" s="245">
        <f t="shared" si="2"/>
        <v>0.63500000000000001</v>
      </c>
      <c r="R45" s="208">
        <v>16.3</v>
      </c>
      <c r="S45" s="208">
        <v>106</v>
      </c>
      <c r="T45" s="217">
        <f t="shared" si="0"/>
        <v>33</v>
      </c>
      <c r="U45" s="208">
        <v>518</v>
      </c>
      <c r="V45" s="217">
        <f t="shared" si="1"/>
        <v>16</v>
      </c>
      <c r="W45" s="208">
        <v>2</v>
      </c>
      <c r="X45" s="208" t="s">
        <v>39</v>
      </c>
      <c r="Y45" s="208" t="s">
        <v>90</v>
      </c>
      <c r="Z45" s="208" t="s">
        <v>78</v>
      </c>
      <c r="AA45" s="208" t="s">
        <v>88</v>
      </c>
      <c r="AB45" s="237" t="s">
        <v>492</v>
      </c>
    </row>
    <row r="46" spans="1:48" x14ac:dyDescent="0.15">
      <c r="A46" s="208" t="s">
        <v>59</v>
      </c>
      <c r="B46" s="237" t="s">
        <v>474</v>
      </c>
      <c r="C46" s="152">
        <v>2018</v>
      </c>
      <c r="D46" s="153" t="s">
        <v>475</v>
      </c>
      <c r="E46" s="208" t="s">
        <v>313</v>
      </c>
      <c r="F46" s="208" t="s">
        <v>305</v>
      </c>
      <c r="G46" s="208" t="s">
        <v>36</v>
      </c>
      <c r="H46" s="208" t="s">
        <v>166</v>
      </c>
      <c r="I46" s="208" t="s">
        <v>155</v>
      </c>
      <c r="J46" s="208" t="s">
        <v>38</v>
      </c>
      <c r="K46" s="208" t="s">
        <v>156</v>
      </c>
      <c r="L46" s="208">
        <v>3</v>
      </c>
      <c r="N46" s="208">
        <v>4</v>
      </c>
      <c r="O46" s="208">
        <v>0.6</v>
      </c>
      <c r="P46" s="208">
        <v>0.61</v>
      </c>
      <c r="Q46" s="245">
        <f t="shared" si="2"/>
        <v>0.60499999999999998</v>
      </c>
      <c r="R46" s="208">
        <v>16.3</v>
      </c>
      <c r="S46" s="208">
        <v>102</v>
      </c>
      <c r="T46" s="217">
        <f t="shared" si="0"/>
        <v>33</v>
      </c>
      <c r="U46" s="208">
        <v>518</v>
      </c>
      <c r="V46" s="217">
        <f t="shared" si="1"/>
        <v>16</v>
      </c>
      <c r="W46" s="208">
        <v>2</v>
      </c>
      <c r="X46" s="208" t="s">
        <v>39</v>
      </c>
      <c r="Y46" s="208" t="s">
        <v>90</v>
      </c>
      <c r="Z46" s="208" t="s">
        <v>78</v>
      </c>
      <c r="AA46" s="208" t="s">
        <v>88</v>
      </c>
      <c r="AB46" s="237" t="s">
        <v>492</v>
      </c>
    </row>
    <row r="47" spans="1:48" x14ac:dyDescent="0.15">
      <c r="A47" s="208" t="s">
        <v>59</v>
      </c>
      <c r="B47" s="237" t="s">
        <v>474</v>
      </c>
      <c r="C47" s="152">
        <v>2018</v>
      </c>
      <c r="D47" s="153" t="s">
        <v>475</v>
      </c>
      <c r="E47" s="208" t="s">
        <v>313</v>
      </c>
      <c r="F47" s="208" t="s">
        <v>305</v>
      </c>
      <c r="G47" s="208" t="s">
        <v>36</v>
      </c>
      <c r="H47" s="208" t="s">
        <v>157</v>
      </c>
      <c r="I47" s="208" t="s">
        <v>155</v>
      </c>
      <c r="J47" s="208" t="s">
        <v>38</v>
      </c>
      <c r="K47" s="208" t="s">
        <v>156</v>
      </c>
      <c r="L47" s="208">
        <v>1</v>
      </c>
      <c r="N47" s="208">
        <v>5</v>
      </c>
      <c r="O47" s="208">
        <v>0.8</v>
      </c>
      <c r="P47" s="208">
        <v>0.73</v>
      </c>
      <c r="Q47" s="245">
        <f t="shared" si="2"/>
        <v>0.76500000000000001</v>
      </c>
      <c r="R47" s="208">
        <v>16.2</v>
      </c>
      <c r="S47" s="208">
        <v>90</v>
      </c>
      <c r="T47" s="217">
        <f t="shared" si="0"/>
        <v>36</v>
      </c>
      <c r="U47" s="208">
        <v>429</v>
      </c>
      <c r="V47" s="217">
        <f t="shared" si="1"/>
        <v>16</v>
      </c>
      <c r="W47" s="208">
        <v>2</v>
      </c>
      <c r="X47" s="208" t="s">
        <v>39</v>
      </c>
      <c r="Y47" s="208" t="s">
        <v>90</v>
      </c>
      <c r="Z47" s="208" t="s">
        <v>78</v>
      </c>
      <c r="AA47" s="208" t="s">
        <v>88</v>
      </c>
      <c r="AB47" s="237" t="s">
        <v>492</v>
      </c>
    </row>
    <row r="48" spans="1:48" x14ac:dyDescent="0.15">
      <c r="A48" s="208" t="s">
        <v>59</v>
      </c>
      <c r="B48" s="237" t="s">
        <v>474</v>
      </c>
      <c r="C48" s="152">
        <v>2018</v>
      </c>
      <c r="D48" s="153" t="s">
        <v>475</v>
      </c>
      <c r="E48" s="208" t="s">
        <v>313</v>
      </c>
      <c r="F48" s="208" t="s">
        <v>305</v>
      </c>
      <c r="G48" s="208" t="s">
        <v>36</v>
      </c>
      <c r="H48" s="208" t="s">
        <v>157</v>
      </c>
      <c r="I48" s="208" t="s">
        <v>155</v>
      </c>
      <c r="J48" s="208" t="s">
        <v>38</v>
      </c>
      <c r="K48" s="208" t="s">
        <v>156</v>
      </c>
      <c r="L48" s="208">
        <v>2</v>
      </c>
      <c r="N48" s="208">
        <v>5</v>
      </c>
      <c r="O48" s="208">
        <v>0.65</v>
      </c>
      <c r="P48" s="208">
        <v>0.6</v>
      </c>
      <c r="Q48" s="245">
        <f t="shared" si="2"/>
        <v>0.625</v>
      </c>
      <c r="R48" s="208">
        <v>17</v>
      </c>
      <c r="S48" s="208">
        <v>92</v>
      </c>
      <c r="T48" s="217">
        <f t="shared" si="0"/>
        <v>36</v>
      </c>
      <c r="U48" s="208">
        <v>429</v>
      </c>
      <c r="V48" s="217">
        <f t="shared" si="1"/>
        <v>16</v>
      </c>
      <c r="W48" s="208">
        <v>2</v>
      </c>
      <c r="X48" s="208" t="s">
        <v>39</v>
      </c>
      <c r="Y48" s="208" t="s">
        <v>90</v>
      </c>
      <c r="Z48" s="208" t="s">
        <v>78</v>
      </c>
      <c r="AA48" s="208" t="s">
        <v>88</v>
      </c>
      <c r="AB48" s="237" t="s">
        <v>492</v>
      </c>
    </row>
    <row r="49" spans="1:28" x14ac:dyDescent="0.15">
      <c r="A49" s="208" t="s">
        <v>59</v>
      </c>
      <c r="B49" s="237" t="s">
        <v>474</v>
      </c>
      <c r="C49" s="152">
        <v>2018</v>
      </c>
      <c r="D49" s="153" t="s">
        <v>475</v>
      </c>
      <c r="E49" s="208" t="s">
        <v>313</v>
      </c>
      <c r="F49" s="208" t="s">
        <v>305</v>
      </c>
      <c r="G49" s="208" t="s">
        <v>36</v>
      </c>
      <c r="H49" s="208" t="s">
        <v>157</v>
      </c>
      <c r="I49" s="208" t="s">
        <v>155</v>
      </c>
      <c r="J49" s="208" t="s">
        <v>38</v>
      </c>
      <c r="K49" s="208" t="s">
        <v>156</v>
      </c>
      <c r="L49" s="208">
        <v>3</v>
      </c>
      <c r="N49" s="208">
        <v>5</v>
      </c>
      <c r="O49" s="208">
        <v>0.82</v>
      </c>
      <c r="P49" s="208">
        <v>0.75</v>
      </c>
      <c r="Q49" s="245">
        <f t="shared" si="2"/>
        <v>0.78499999999999992</v>
      </c>
      <c r="R49" s="208">
        <v>16.399999999999999</v>
      </c>
      <c r="S49" s="208">
        <v>90</v>
      </c>
      <c r="T49" s="217">
        <f t="shared" si="0"/>
        <v>36</v>
      </c>
      <c r="U49" s="208">
        <v>429</v>
      </c>
      <c r="V49" s="217">
        <f t="shared" si="1"/>
        <v>16</v>
      </c>
      <c r="W49" s="208">
        <v>2</v>
      </c>
      <c r="X49" s="208" t="s">
        <v>39</v>
      </c>
      <c r="Y49" s="208" t="s">
        <v>90</v>
      </c>
      <c r="Z49" s="208" t="s">
        <v>78</v>
      </c>
      <c r="AA49" s="208" t="s">
        <v>88</v>
      </c>
      <c r="AB49" s="237" t="s">
        <v>492</v>
      </c>
    </row>
    <row r="50" spans="1:28" x14ac:dyDescent="0.15">
      <c r="A50" s="208" t="s">
        <v>59</v>
      </c>
      <c r="B50" s="237" t="s">
        <v>474</v>
      </c>
      <c r="C50" s="152">
        <v>2018</v>
      </c>
      <c r="D50" s="153" t="s">
        <v>475</v>
      </c>
      <c r="E50" s="208" t="s">
        <v>319</v>
      </c>
      <c r="F50" s="208" t="s">
        <v>310</v>
      </c>
      <c r="G50" s="208" t="s">
        <v>36</v>
      </c>
      <c r="H50" s="208" t="s">
        <v>166</v>
      </c>
      <c r="I50" s="208" t="s">
        <v>155</v>
      </c>
      <c r="J50" s="208" t="s">
        <v>38</v>
      </c>
      <c r="K50" s="208" t="s">
        <v>156</v>
      </c>
      <c r="L50" s="208">
        <v>1</v>
      </c>
      <c r="N50" s="208">
        <v>4</v>
      </c>
      <c r="O50" s="208">
        <v>0.48</v>
      </c>
      <c r="P50" s="208">
        <v>0.48</v>
      </c>
      <c r="Q50" s="245">
        <f t="shared" si="2"/>
        <v>0.48</v>
      </c>
      <c r="R50" s="208">
        <v>16.2</v>
      </c>
      <c r="S50" s="208">
        <v>109</v>
      </c>
      <c r="T50" s="217">
        <f t="shared" si="0"/>
        <v>33</v>
      </c>
      <c r="U50" s="208">
        <v>480</v>
      </c>
      <c r="V50" s="217">
        <f t="shared" si="1"/>
        <v>16</v>
      </c>
      <c r="W50" s="208">
        <v>5</v>
      </c>
      <c r="X50" s="208" t="s">
        <v>46</v>
      </c>
      <c r="Y50" s="208" t="s">
        <v>97</v>
      </c>
      <c r="Z50" s="208" t="s">
        <v>55</v>
      </c>
      <c r="AA50" s="208" t="s">
        <v>78</v>
      </c>
      <c r="AB50" s="237" t="s">
        <v>492</v>
      </c>
    </row>
    <row r="51" spans="1:28" x14ac:dyDescent="0.15">
      <c r="A51" s="208" t="s">
        <v>59</v>
      </c>
      <c r="B51" s="237" t="s">
        <v>474</v>
      </c>
      <c r="C51" s="152">
        <v>2018</v>
      </c>
      <c r="D51" s="153" t="s">
        <v>475</v>
      </c>
      <c r="E51" s="208" t="s">
        <v>319</v>
      </c>
      <c r="F51" s="208" t="s">
        <v>310</v>
      </c>
      <c r="G51" s="208" t="s">
        <v>36</v>
      </c>
      <c r="H51" s="208" t="s">
        <v>166</v>
      </c>
      <c r="I51" s="208" t="s">
        <v>155</v>
      </c>
      <c r="J51" s="208" t="s">
        <v>38</v>
      </c>
      <c r="K51" s="208" t="s">
        <v>156</v>
      </c>
      <c r="L51" s="208">
        <v>2</v>
      </c>
      <c r="N51" s="208">
        <v>4</v>
      </c>
      <c r="O51" s="208">
        <v>0.56000000000000005</v>
      </c>
      <c r="P51" s="208">
        <v>0.47</v>
      </c>
      <c r="Q51" s="245">
        <f t="shared" si="2"/>
        <v>0.51500000000000001</v>
      </c>
      <c r="R51" s="208">
        <v>14.9</v>
      </c>
      <c r="S51" s="208">
        <v>115</v>
      </c>
      <c r="T51" s="217">
        <f t="shared" si="0"/>
        <v>30</v>
      </c>
      <c r="U51" s="208">
        <v>480</v>
      </c>
      <c r="V51" s="217">
        <f t="shared" si="1"/>
        <v>16</v>
      </c>
      <c r="W51" s="208">
        <v>5</v>
      </c>
      <c r="X51" s="208" t="s">
        <v>46</v>
      </c>
      <c r="Y51" s="208" t="s">
        <v>97</v>
      </c>
      <c r="Z51" s="208" t="s">
        <v>55</v>
      </c>
      <c r="AA51" s="208" t="s">
        <v>78</v>
      </c>
      <c r="AB51" s="237" t="s">
        <v>492</v>
      </c>
    </row>
    <row r="52" spans="1:28" x14ac:dyDescent="0.15">
      <c r="A52" s="208" t="s">
        <v>59</v>
      </c>
      <c r="B52" s="237" t="s">
        <v>474</v>
      </c>
      <c r="C52" s="152">
        <v>2018</v>
      </c>
      <c r="D52" s="153" t="s">
        <v>475</v>
      </c>
      <c r="E52" s="208" t="s">
        <v>319</v>
      </c>
      <c r="F52" s="208" t="s">
        <v>310</v>
      </c>
      <c r="G52" s="208" t="s">
        <v>36</v>
      </c>
      <c r="H52" s="208" t="s">
        <v>166</v>
      </c>
      <c r="I52" s="208" t="s">
        <v>155</v>
      </c>
      <c r="J52" s="208" t="s">
        <v>38</v>
      </c>
      <c r="K52" s="208" t="s">
        <v>156</v>
      </c>
      <c r="L52" s="208">
        <v>3</v>
      </c>
      <c r="N52" s="208">
        <v>4</v>
      </c>
      <c r="O52" s="208">
        <v>0.45</v>
      </c>
      <c r="P52" s="208">
        <v>0.48</v>
      </c>
      <c r="Q52" s="245">
        <f t="shared" si="2"/>
        <v>0.46499999999999997</v>
      </c>
      <c r="R52" s="208">
        <v>15.1</v>
      </c>
      <c r="S52" s="208">
        <v>111</v>
      </c>
      <c r="T52" s="217">
        <f t="shared" si="0"/>
        <v>33</v>
      </c>
      <c r="U52" s="208">
        <v>480</v>
      </c>
      <c r="V52" s="217">
        <f t="shared" si="1"/>
        <v>16</v>
      </c>
      <c r="W52" s="208">
        <v>5</v>
      </c>
      <c r="X52" s="208" t="s">
        <v>46</v>
      </c>
      <c r="Y52" s="208" t="s">
        <v>97</v>
      </c>
      <c r="Z52" s="208" t="s">
        <v>55</v>
      </c>
      <c r="AA52" s="208" t="s">
        <v>78</v>
      </c>
      <c r="AB52" s="237" t="s">
        <v>492</v>
      </c>
    </row>
    <row r="53" spans="1:28" x14ac:dyDescent="0.15">
      <c r="A53" s="208" t="s">
        <v>59</v>
      </c>
      <c r="B53" s="237" t="s">
        <v>474</v>
      </c>
      <c r="C53" s="152">
        <v>2018</v>
      </c>
      <c r="D53" s="153" t="s">
        <v>475</v>
      </c>
      <c r="E53" s="208" t="s">
        <v>319</v>
      </c>
      <c r="F53" s="208" t="s">
        <v>310</v>
      </c>
      <c r="G53" s="208" t="s">
        <v>36</v>
      </c>
      <c r="H53" s="208" t="s">
        <v>157</v>
      </c>
      <c r="I53" s="208" t="s">
        <v>155</v>
      </c>
      <c r="J53" s="208" t="s">
        <v>38</v>
      </c>
      <c r="K53" s="208" t="s">
        <v>156</v>
      </c>
      <c r="L53" s="208">
        <v>1</v>
      </c>
      <c r="N53" s="208">
        <v>4</v>
      </c>
      <c r="O53" s="208">
        <v>1</v>
      </c>
      <c r="P53" s="208">
        <v>1.0900000000000001</v>
      </c>
      <c r="Q53" s="245">
        <f t="shared" si="2"/>
        <v>1.0449999999999999</v>
      </c>
      <c r="R53" s="208">
        <v>14.9</v>
      </c>
      <c r="S53" s="208">
        <v>145</v>
      </c>
      <c r="T53" s="217">
        <f t="shared" si="0"/>
        <v>22</v>
      </c>
      <c r="U53" s="208">
        <v>298</v>
      </c>
      <c r="V53" s="217">
        <f t="shared" si="1"/>
        <v>16</v>
      </c>
      <c r="W53" s="208">
        <v>7</v>
      </c>
      <c r="X53" s="208" t="s">
        <v>46</v>
      </c>
      <c r="Y53" s="208" t="s">
        <v>97</v>
      </c>
      <c r="Z53" s="208" t="s">
        <v>55</v>
      </c>
      <c r="AA53" s="208" t="s">
        <v>78</v>
      </c>
      <c r="AB53" s="237" t="s">
        <v>492</v>
      </c>
    </row>
    <row r="54" spans="1:28" x14ac:dyDescent="0.15">
      <c r="A54" s="208" t="s">
        <v>59</v>
      </c>
      <c r="B54" s="237" t="s">
        <v>474</v>
      </c>
      <c r="C54" s="152">
        <v>2018</v>
      </c>
      <c r="D54" s="153" t="s">
        <v>475</v>
      </c>
      <c r="E54" s="208" t="s">
        <v>319</v>
      </c>
      <c r="F54" s="208" t="s">
        <v>310</v>
      </c>
      <c r="G54" s="208" t="s">
        <v>36</v>
      </c>
      <c r="H54" s="208" t="s">
        <v>157</v>
      </c>
      <c r="I54" s="208" t="s">
        <v>155</v>
      </c>
      <c r="J54" s="208" t="s">
        <v>38</v>
      </c>
      <c r="K54" s="208" t="s">
        <v>156</v>
      </c>
      <c r="L54" s="208">
        <v>2</v>
      </c>
      <c r="N54" s="208">
        <v>4</v>
      </c>
      <c r="O54" s="208">
        <v>0.65</v>
      </c>
      <c r="P54" s="208">
        <v>0.48</v>
      </c>
      <c r="Q54" s="245">
        <f t="shared" si="2"/>
        <v>0.56499999999999995</v>
      </c>
      <c r="R54" s="208">
        <v>16</v>
      </c>
      <c r="S54" s="208">
        <v>142</v>
      </c>
      <c r="T54" s="217">
        <f t="shared" si="0"/>
        <v>22</v>
      </c>
      <c r="U54" s="208">
        <v>298</v>
      </c>
      <c r="V54" s="217">
        <f t="shared" si="1"/>
        <v>16</v>
      </c>
      <c r="W54" s="208">
        <v>7</v>
      </c>
      <c r="X54" s="208" t="s">
        <v>46</v>
      </c>
      <c r="Y54" s="208" t="s">
        <v>97</v>
      </c>
      <c r="Z54" s="208" t="s">
        <v>55</v>
      </c>
      <c r="AA54" s="208" t="s">
        <v>78</v>
      </c>
      <c r="AB54" s="237" t="s">
        <v>492</v>
      </c>
    </row>
    <row r="55" spans="1:28" x14ac:dyDescent="0.15">
      <c r="A55" s="208" t="s">
        <v>59</v>
      </c>
      <c r="B55" s="237" t="s">
        <v>474</v>
      </c>
      <c r="C55" s="152">
        <v>2018</v>
      </c>
      <c r="D55" s="153" t="s">
        <v>475</v>
      </c>
      <c r="E55" s="208" t="s">
        <v>319</v>
      </c>
      <c r="F55" s="208" t="s">
        <v>310</v>
      </c>
      <c r="G55" s="208" t="s">
        <v>36</v>
      </c>
      <c r="H55" s="208" t="s">
        <v>157</v>
      </c>
      <c r="I55" s="208" t="s">
        <v>155</v>
      </c>
      <c r="J55" s="208" t="s">
        <v>38</v>
      </c>
      <c r="K55" s="208" t="s">
        <v>156</v>
      </c>
      <c r="L55" s="208">
        <v>3</v>
      </c>
      <c r="N55" s="208">
        <v>4</v>
      </c>
      <c r="O55" s="208">
        <v>0.95</v>
      </c>
      <c r="P55" s="208">
        <v>0.82</v>
      </c>
      <c r="Q55" s="245">
        <f t="shared" si="2"/>
        <v>0.88500000000000001</v>
      </c>
      <c r="R55" s="208">
        <v>14.8</v>
      </c>
      <c r="S55" s="208">
        <v>140</v>
      </c>
      <c r="T55" s="217">
        <f t="shared" si="0"/>
        <v>22</v>
      </c>
      <c r="U55" s="208">
        <v>298</v>
      </c>
      <c r="V55" s="217">
        <f t="shared" si="1"/>
        <v>16</v>
      </c>
      <c r="W55" s="208">
        <v>7</v>
      </c>
      <c r="X55" s="208" t="s">
        <v>46</v>
      </c>
      <c r="Y55" s="208" t="s">
        <v>97</v>
      </c>
      <c r="Z55" s="208" t="s">
        <v>55</v>
      </c>
      <c r="AA55" s="208" t="s">
        <v>78</v>
      </c>
      <c r="AB55" s="237" t="s">
        <v>492</v>
      </c>
    </row>
    <row r="56" spans="1:28" x14ac:dyDescent="0.15">
      <c r="A56" s="208" t="s">
        <v>59</v>
      </c>
      <c r="B56" s="237" t="s">
        <v>474</v>
      </c>
      <c r="C56" s="152">
        <v>2018</v>
      </c>
      <c r="D56" s="153" t="s">
        <v>475</v>
      </c>
      <c r="E56" s="208" t="s">
        <v>314</v>
      </c>
      <c r="F56" s="208" t="s">
        <v>307</v>
      </c>
      <c r="G56" s="208" t="s">
        <v>36</v>
      </c>
      <c r="H56" s="208" t="s">
        <v>166</v>
      </c>
      <c r="I56" s="208" t="s">
        <v>155</v>
      </c>
      <c r="J56" s="208" t="s">
        <v>38</v>
      </c>
      <c r="K56" s="208" t="s">
        <v>156</v>
      </c>
      <c r="L56" s="208">
        <v>1</v>
      </c>
      <c r="N56" s="208">
        <v>1</v>
      </c>
      <c r="O56" s="208">
        <v>0.5</v>
      </c>
      <c r="P56" s="208">
        <v>0.56000000000000005</v>
      </c>
      <c r="Q56" s="245">
        <f t="shared" si="2"/>
        <v>0.53</v>
      </c>
      <c r="R56" s="208">
        <v>15.6</v>
      </c>
      <c r="S56" s="208">
        <v>130</v>
      </c>
      <c r="T56" s="217">
        <f t="shared" si="0"/>
        <v>25</v>
      </c>
      <c r="U56" s="208">
        <v>138</v>
      </c>
      <c r="V56" s="217">
        <f t="shared" si="1"/>
        <v>22</v>
      </c>
      <c r="W56" s="208">
        <v>3</v>
      </c>
      <c r="X56" s="208" t="s">
        <v>46</v>
      </c>
      <c r="Y56" s="208" t="s">
        <v>78</v>
      </c>
      <c r="Z56" s="208" t="s">
        <v>102</v>
      </c>
      <c r="AA56" s="208" t="s">
        <v>97</v>
      </c>
      <c r="AB56" s="237" t="s">
        <v>492</v>
      </c>
    </row>
    <row r="57" spans="1:28" x14ac:dyDescent="0.15">
      <c r="A57" s="208" t="s">
        <v>59</v>
      </c>
      <c r="B57" s="237" t="s">
        <v>474</v>
      </c>
      <c r="C57" s="152">
        <v>2018</v>
      </c>
      <c r="D57" s="153" t="s">
        <v>475</v>
      </c>
      <c r="E57" s="208" t="s">
        <v>314</v>
      </c>
      <c r="F57" s="208" t="s">
        <v>307</v>
      </c>
      <c r="G57" s="208" t="s">
        <v>36</v>
      </c>
      <c r="H57" s="208" t="s">
        <v>166</v>
      </c>
      <c r="I57" s="208" t="s">
        <v>155</v>
      </c>
      <c r="J57" s="208" t="s">
        <v>38</v>
      </c>
      <c r="K57" s="208" t="s">
        <v>156</v>
      </c>
      <c r="L57" s="208">
        <v>2</v>
      </c>
      <c r="N57" s="208">
        <v>1</v>
      </c>
      <c r="O57" s="208">
        <v>0.56000000000000005</v>
      </c>
      <c r="P57" s="208">
        <v>0.55000000000000004</v>
      </c>
      <c r="Q57" s="245">
        <f t="shared" si="2"/>
        <v>0.55500000000000005</v>
      </c>
      <c r="R57" s="208">
        <v>15.8</v>
      </c>
      <c r="S57" s="208">
        <v>137</v>
      </c>
      <c r="T57" s="217">
        <f t="shared" si="0"/>
        <v>25</v>
      </c>
      <c r="U57" s="208">
        <v>138</v>
      </c>
      <c r="V57" s="217">
        <f t="shared" si="1"/>
        <v>22</v>
      </c>
      <c r="W57" s="208">
        <v>3</v>
      </c>
      <c r="X57" s="208" t="s">
        <v>46</v>
      </c>
      <c r="Y57" s="208" t="s">
        <v>78</v>
      </c>
      <c r="Z57" s="208" t="s">
        <v>102</v>
      </c>
      <c r="AA57" s="208" t="s">
        <v>97</v>
      </c>
      <c r="AB57" s="237" t="s">
        <v>492</v>
      </c>
    </row>
    <row r="58" spans="1:28" x14ac:dyDescent="0.15">
      <c r="A58" s="208" t="s">
        <v>59</v>
      </c>
      <c r="B58" s="237" t="s">
        <v>474</v>
      </c>
      <c r="C58" s="152">
        <v>2018</v>
      </c>
      <c r="D58" s="153" t="s">
        <v>475</v>
      </c>
      <c r="E58" s="208" t="s">
        <v>314</v>
      </c>
      <c r="F58" s="208" t="s">
        <v>307</v>
      </c>
      <c r="G58" s="208" t="s">
        <v>36</v>
      </c>
      <c r="H58" s="208" t="s">
        <v>166</v>
      </c>
      <c r="I58" s="208" t="s">
        <v>155</v>
      </c>
      <c r="J58" s="208" t="s">
        <v>38</v>
      </c>
      <c r="K58" s="208" t="s">
        <v>156</v>
      </c>
      <c r="L58" s="208">
        <v>3</v>
      </c>
      <c r="N58" s="208">
        <v>1</v>
      </c>
      <c r="O58" s="208">
        <v>0.51</v>
      </c>
      <c r="P58" s="208">
        <v>0.57999999999999996</v>
      </c>
      <c r="Q58" s="245">
        <f t="shared" si="2"/>
        <v>0.54499999999999993</v>
      </c>
      <c r="R58" s="208">
        <v>15.5</v>
      </c>
      <c r="S58" s="208">
        <v>132</v>
      </c>
      <c r="T58" s="217">
        <f t="shared" si="0"/>
        <v>25</v>
      </c>
      <c r="U58" s="208">
        <v>138</v>
      </c>
      <c r="V58" s="217">
        <f t="shared" si="1"/>
        <v>22</v>
      </c>
      <c r="W58" s="208">
        <v>3</v>
      </c>
      <c r="X58" s="208" t="s">
        <v>46</v>
      </c>
      <c r="Y58" s="208" t="s">
        <v>78</v>
      </c>
      <c r="Z58" s="208" t="s">
        <v>102</v>
      </c>
      <c r="AA58" s="208" t="s">
        <v>97</v>
      </c>
      <c r="AB58" s="237" t="s">
        <v>492</v>
      </c>
    </row>
    <row r="59" spans="1:28" x14ac:dyDescent="0.15">
      <c r="A59" s="208" t="s">
        <v>59</v>
      </c>
      <c r="B59" s="237" t="s">
        <v>474</v>
      </c>
      <c r="C59" s="152">
        <v>2018</v>
      </c>
      <c r="D59" s="153" t="s">
        <v>475</v>
      </c>
      <c r="E59" s="208" t="s">
        <v>314</v>
      </c>
      <c r="F59" s="208" t="s">
        <v>307</v>
      </c>
      <c r="G59" s="208" t="s">
        <v>36</v>
      </c>
      <c r="H59" s="208" t="s">
        <v>157</v>
      </c>
      <c r="I59" s="208" t="s">
        <v>155</v>
      </c>
      <c r="J59" s="208" t="s">
        <v>38</v>
      </c>
      <c r="K59" s="208" t="s">
        <v>156</v>
      </c>
      <c r="L59" s="208">
        <v>1</v>
      </c>
      <c r="N59" s="208">
        <v>4</v>
      </c>
      <c r="O59" s="208">
        <v>0.78</v>
      </c>
      <c r="P59" s="208">
        <v>0.66</v>
      </c>
      <c r="Q59" s="245">
        <f t="shared" si="2"/>
        <v>0.72</v>
      </c>
      <c r="R59" s="208">
        <v>13.9</v>
      </c>
      <c r="S59" s="208">
        <v>104</v>
      </c>
      <c r="T59" s="217">
        <f t="shared" si="0"/>
        <v>33</v>
      </c>
      <c r="U59" s="208">
        <v>321</v>
      </c>
      <c r="V59" s="217">
        <f t="shared" si="1"/>
        <v>16</v>
      </c>
      <c r="W59" s="208">
        <v>2</v>
      </c>
      <c r="X59" s="208" t="s">
        <v>39</v>
      </c>
      <c r="Y59" s="208" t="s">
        <v>78</v>
      </c>
      <c r="Z59" s="208" t="s">
        <v>102</v>
      </c>
      <c r="AA59" s="208" t="s">
        <v>97</v>
      </c>
      <c r="AB59" s="237" t="s">
        <v>492</v>
      </c>
    </row>
    <row r="60" spans="1:28" x14ac:dyDescent="0.15">
      <c r="A60" s="208" t="s">
        <v>59</v>
      </c>
      <c r="B60" s="237" t="s">
        <v>474</v>
      </c>
      <c r="C60" s="152">
        <v>2018</v>
      </c>
      <c r="D60" s="153" t="s">
        <v>475</v>
      </c>
      <c r="E60" s="208" t="s">
        <v>314</v>
      </c>
      <c r="F60" s="208" t="s">
        <v>307</v>
      </c>
      <c r="G60" s="208" t="s">
        <v>36</v>
      </c>
      <c r="H60" s="208" t="s">
        <v>157</v>
      </c>
      <c r="I60" s="208" t="s">
        <v>155</v>
      </c>
      <c r="J60" s="208" t="s">
        <v>38</v>
      </c>
      <c r="K60" s="208" t="s">
        <v>156</v>
      </c>
      <c r="L60" s="208">
        <v>2</v>
      </c>
      <c r="N60" s="208">
        <v>4</v>
      </c>
      <c r="O60" s="208">
        <v>0.33</v>
      </c>
      <c r="P60" s="208">
        <v>0.3</v>
      </c>
      <c r="Q60" s="245">
        <f t="shared" si="2"/>
        <v>0.315</v>
      </c>
      <c r="R60" s="208">
        <v>13.8</v>
      </c>
      <c r="S60" s="208">
        <v>105</v>
      </c>
      <c r="T60" s="217">
        <f t="shared" si="0"/>
        <v>33</v>
      </c>
      <c r="U60" s="208">
        <v>321</v>
      </c>
      <c r="V60" s="217">
        <f t="shared" si="1"/>
        <v>16</v>
      </c>
      <c r="W60" s="208">
        <v>2</v>
      </c>
      <c r="X60" s="208" t="s">
        <v>39</v>
      </c>
      <c r="Y60" s="208" t="s">
        <v>78</v>
      </c>
      <c r="Z60" s="208" t="s">
        <v>102</v>
      </c>
      <c r="AA60" s="208" t="s">
        <v>97</v>
      </c>
      <c r="AB60" s="237" t="s">
        <v>492</v>
      </c>
    </row>
    <row r="61" spans="1:28" x14ac:dyDescent="0.15">
      <c r="A61" s="208" t="s">
        <v>59</v>
      </c>
      <c r="B61" s="237" t="s">
        <v>474</v>
      </c>
      <c r="C61" s="152">
        <v>2018</v>
      </c>
      <c r="D61" s="153" t="s">
        <v>475</v>
      </c>
      <c r="E61" s="208" t="s">
        <v>314</v>
      </c>
      <c r="F61" s="208" t="s">
        <v>307</v>
      </c>
      <c r="G61" s="208" t="s">
        <v>36</v>
      </c>
      <c r="H61" s="208" t="s">
        <v>157</v>
      </c>
      <c r="I61" s="208" t="s">
        <v>155</v>
      </c>
      <c r="J61" s="208" t="s">
        <v>38</v>
      </c>
      <c r="K61" s="208" t="s">
        <v>156</v>
      </c>
      <c r="L61" s="208">
        <v>3</v>
      </c>
      <c r="N61" s="208">
        <v>4</v>
      </c>
      <c r="O61" s="208">
        <v>0.65</v>
      </c>
      <c r="P61" s="208">
        <v>0.7</v>
      </c>
      <c r="Q61" s="245">
        <f t="shared" si="2"/>
        <v>0.67500000000000004</v>
      </c>
      <c r="R61" s="208">
        <v>13.4</v>
      </c>
      <c r="S61" s="208">
        <v>94</v>
      </c>
      <c r="T61" s="217">
        <f t="shared" si="0"/>
        <v>36</v>
      </c>
      <c r="U61" s="208">
        <v>321</v>
      </c>
      <c r="V61" s="217">
        <f t="shared" si="1"/>
        <v>16</v>
      </c>
      <c r="W61" s="208">
        <v>2</v>
      </c>
      <c r="X61" s="208" t="s">
        <v>39</v>
      </c>
      <c r="Y61" s="208" t="s">
        <v>78</v>
      </c>
      <c r="Z61" s="208" t="s">
        <v>102</v>
      </c>
      <c r="AA61" s="208" t="s">
        <v>97</v>
      </c>
      <c r="AB61" s="237" t="s">
        <v>492</v>
      </c>
    </row>
    <row r="62" spans="1:28" x14ac:dyDescent="0.15">
      <c r="B62" s="237"/>
      <c r="C62" s="152"/>
      <c r="D62" s="153"/>
      <c r="Q62" s="245" t="str">
        <f t="shared" si="2"/>
        <v/>
      </c>
      <c r="T62" s="217" t="str">
        <f t="shared" si="0"/>
        <v/>
      </c>
      <c r="V62" s="217" t="str">
        <f t="shared" si="1"/>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TC2:TC59 ACY2:ACY59 AMU2:AMU59 AWQ2:AWQ59 BGM2:BGM59 BQI2:BQI59 CAE2:CAE59 CKA2:CKA59 CTW2:CTW59 DDS2:DDS59 DNO2:DNO59 DXK2:DXK59 EHG2:EHG59 ERC2:ERC59 FAY2:FAY59 FKU2:FKU59 FUQ2:FUQ59 GEM2:GEM59 GOI2:GOI59 GYE2:GYE59 HIA2:HIA59 HRW2:HRW59 IBS2:IBS59 ILO2:ILO59 IVK2:IVK59 JFG2:JFG59 JPC2:JPC59 JYY2:JYY59 KIU2:KIU59 KSQ2:KSQ59 LCM2:LCM59 LMI2:LMI59 LWE2:LWE59 MGA2:MGA59 MPW2:MPW59 MZS2:MZS59 NJO2:NJO59 NTK2:NTK59 ODG2:ODG59 ONC2:ONC59 OWY2:OWY59 PGU2:PGU59 PQQ2:PQQ59 QAM2:QAM59 QKI2:QKI59 QUE2:QUE59 REA2:REA59 RNW2:RNW59 RXS2:RXS59 SHO2:SHO59 SRK2:SRK59 TBG2:TBG59 TLC2:TLC59 TUY2:TUY59 UEU2:UEU59 UOQ2:UOQ59 UYM2:UYM59 VII2:VII59 VSE2:VSE59 WCA2:WCA59 WLW2:WLW59 WVS2:WVS59 JG2:JG59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K65530:K65595">
      <formula1>$AR$2:$AR$25</formula1>
    </dataValidation>
    <dataValidation type="list" allowBlank="1" showInputMessage="1" showErrorMessage="1" sqref="WVR983034:WVR983099 J44:J492 JF2:JF59 TB2:TB59 ACX2:ACX59 AMT2:AMT59 AWP2:AWP59 BGL2:BGL59 BQH2:BQH59 CAD2:CAD59 CJZ2:CJZ59 CTV2:CTV59 DDR2:DDR59 DNN2:DNN59 DXJ2:DXJ59 EHF2:EHF59 ERB2:ERB59 FAX2:FAX59 FKT2:FKT59 FUP2:FUP59 GEL2:GEL59 GOH2:GOH59 GYD2:GYD59 HHZ2:HHZ59 HRV2:HRV59 IBR2:IBR59 ILN2:ILN59 IVJ2:IVJ59 JFF2:JFF59 JPB2:JPB59 JYX2:JYX59 KIT2:KIT59 KSP2:KSP59 LCL2:LCL59 LMH2:LMH59 LWD2:LWD59 MFZ2:MFZ59 MPV2:MPV59 MZR2:MZR59 NJN2:NJN59 NTJ2:NTJ59 ODF2:ODF59 ONB2:ONB59 OWX2:OWX59 PGT2:PGT59 PQP2:PQP59 QAL2:QAL59 QKH2:QKH59 QUD2:QUD59 RDZ2:RDZ59 RNV2:RNV59 RXR2:RXR59 SHN2:SHN59 SRJ2:SRJ59 TBF2:TBF59 TLB2:TLB59 TUX2:TUX59 UET2:UET59 UOP2:UOP59 UYL2:UYL59 VIH2:VIH59 VSD2:VSD59 WBZ2:WBZ59 WLV2:WLV59 WVR2:WVR59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65530:J65595">
      <formula1>$AP$2:$AP$27</formula1>
    </dataValidation>
    <dataValidation type="list" allowBlank="1" showInputMessage="1" showErrorMessage="1" sqref="WVP983034:WVP983099 JD2:JD59 SZ2:SZ59 ACV2:ACV59 AMR2:AMR59 AWN2:AWN59 BGJ2:BGJ59 BQF2:BQF59 CAB2:CAB59 CJX2:CJX59 CTT2:CTT59 DDP2:DDP59 DNL2:DNL59 DXH2:DXH59 EHD2:EHD59 EQZ2:EQZ59 FAV2:FAV59 FKR2:FKR59 FUN2:FUN59 GEJ2:GEJ59 GOF2:GOF59 GYB2:GYB59 HHX2:HHX59 HRT2:HRT59 IBP2:IBP59 ILL2:ILL59 IVH2:IVH59 JFD2:JFD59 JOZ2:JOZ59 JYV2:JYV59 KIR2:KIR59 KSN2:KSN59 LCJ2:LCJ59 LMF2:LMF59 LWB2:LWB59 MFX2:MFX59 MPT2:MPT59 MZP2:MZP59 NJL2:NJL59 NTH2:NTH59 ODD2:ODD59 OMZ2:OMZ59 OWV2:OWV59 PGR2:PGR59 PQN2:PQN59 QAJ2:QAJ59 QKF2:QKF59 QUB2:QUB59 RDX2:RDX59 RNT2:RNT59 RXP2:RXP59 SHL2:SHL59 SRH2:SRH59 TBD2:TBD59 TKZ2:TKZ59 TUV2:TUV59 UER2:UER59 UON2:UON59 UYJ2:UYJ59 VIF2:VIF59 VSB2:VSB59 WBX2:WBX59 WLT2:WLT59 WVP2:WVP59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H65530:H65595">
      <formula1>$AL$4:$AL$12</formula1>
    </dataValidation>
    <dataValidation type="list" allowBlank="1" showInputMessage="1" showErrorMessage="1" sqref="A64355:A64420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64355:IW64420">
      <formula1>$AE$2:$AE$19</formula1>
    </dataValidation>
    <dataValidation type="list" allowBlank="1" showInputMessage="1" showErrorMessage="1" sqref="X64355:X64420 JT64355:JT64420 TP2:TP59 ADL2:ADL59 ANH2:ANH59 AXD2:AXD59 BGZ2:BGZ59 BQV2:BQV59 CAR2:CAR59 CKN2:CKN59 CUJ2:CUJ59 DEF2:DEF59 DOB2:DOB59 DXX2:DXX59 EHT2:EHT59 ERP2:ERP59 FBL2:FBL59 FLH2:FLH59 FVD2:FVD59 GEZ2:GEZ59 GOV2:GOV59 GYR2:GYR59 HIN2:HIN59 HSJ2:HSJ59 ICF2:ICF59 IMB2:IMB59 IVX2:IVX59 JFT2:JFT59 JPP2:JPP59 JZL2:JZL59 KJH2:KJH59 KTD2:KTD59 LCZ2:LCZ59 LMV2:LMV59 LWR2:LWR59 MGN2:MGN59 MQJ2:MQJ59 NAF2:NAF59 NKB2:NKB59 NTX2:NTX59 ODT2:ODT59 ONP2:ONP59 OXL2:OXL59 PHH2:PHH59 PRD2:PRD59 QAZ2:QAZ59 QKV2:QKV59 QUR2:QUR59 REN2:REN59 ROJ2:ROJ59 RYF2:RYF59 SIB2:SIB59 SRX2:SRX59 TBT2:TBT59 TLP2:TLP59 TVL2:TVL59 UFH2:UFH59 UPD2:UPD59 UYZ2:UYZ59 VIV2:VIV59 VSR2:VSR59 WCN2:WCN59 WMJ2:WMJ59 WWF2:WWF59 JT2:JT59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X2:X492">
      <formula1>$AT$2:$AT$3</formula1>
    </dataValidation>
    <dataValidation type="list" allowBlank="1" showInputMessage="1" showErrorMessage="1" sqref="G64355:G64422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64355:JC64422">
      <formula1>$AJ$2:$AJ$4</formula1>
    </dataValidation>
    <dataValidation type="list" allowBlank="1" showInputMessage="1" showErrorMessage="1" sqref="I64355:I64420 JE64355:JE64420 TA2:TA59 ACW2:ACW59 AMS2:AMS59 AWO2:AWO59 BGK2:BGK59 BQG2:BQG59 CAC2:CAC59 CJY2:CJY59 CTU2:CTU59 DDQ2:DDQ59 DNM2:DNM59 DXI2:DXI59 EHE2:EHE59 ERA2:ERA59 FAW2:FAW59 FKS2:FKS59 FUO2:FUO59 GEK2:GEK59 GOG2:GOG59 GYC2:GYC59 HHY2:HHY59 HRU2:HRU59 IBQ2:IBQ59 ILM2:ILM59 IVI2:IVI59 JFE2:JFE59 JPA2:JPA59 JYW2:JYW59 KIS2:KIS59 KSO2:KSO59 LCK2:LCK59 LMG2:LMG59 LWC2:LWC59 MFY2:MFY59 MPU2:MPU59 MZQ2:MZQ59 NJM2:NJM59 NTI2:NTI59 ODE2:ODE59 ONA2:ONA59 OWW2:OWW59 PGS2:PGS59 PQO2:PQO59 QAK2:QAK59 QKG2:QKG59 QUC2:QUC59 RDY2:RDY59 RNU2:RNU59 RXQ2:RXQ59 SHM2:SHM59 SRI2:SRI59 TBE2:TBE59 TLA2:TLA59 TUW2:TUW59 UES2:UES59 UOO2:UOO59 UYK2:UYK59 VIG2:VIG59 VSC2:VSC59 WBY2:WBY59 WLU2:WLU59 WVQ2:WVQ59 JE2:JE59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JU2:JW59 TQ2:TS59 ADM2:ADO59 ANI2:ANK59 AXE2:AXG59 BHA2:BHC59 BQW2:BQY59 CAS2:CAU59 CKO2:CKQ59 CUK2:CUM59 DEG2:DEI59 DOC2:DOE59 DXY2:DYA59 EHU2:EHW59 ERQ2:ERS59 FBM2:FBO59 FLI2:FLK59 FVE2:FVG59 GFA2:GFC59 GOW2:GOY59 GYS2:GYU59 HIO2:HIQ59 HSK2:HSM59 ICG2:ICI59 IMC2:IME59 IVY2:IWA59 JFU2:JFW59 JPQ2:JPS59 JZM2:JZO59 KJI2:KJK59 KTE2:KTG59 LDA2:LDC59 LMW2:LMY59 LWS2:LWU59 MGO2:MGQ59 MQK2:MQM59 NAG2:NAI59 NKC2:NKE59 NTY2:NUA59 ODU2:ODW59 ONQ2:ONS59 OXM2:OXO59 PHI2:PHK59 PRE2:PRG59 QBA2:QBC59 QKW2:QKY59 QUS2:QUU59 REO2:REQ59 ROK2:ROM59 RYG2:RYI59 SIC2:SIE59 SRY2:SSA59 TBU2:TBW59 TLQ2:TLS59 TVM2:TVO59 UFI2:UFK59 UPE2:UPG59 UZA2:UZC59 VIW2:VIY59 VSS2:VSU59 WCO2:WCQ59 WMK2:WMM59 WWG2:WWI59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64355:JW64420">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WVM983034:WVN98310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31" zoomScale="85" zoomScaleNormal="85" zoomScaleSheetLayoutView="100" workbookViewId="0">
      <selection activeCell="M21" sqref="M21"/>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493</v>
      </c>
      <c r="D1" s="203" t="s">
        <v>3</v>
      </c>
      <c r="E1" s="241" t="s">
        <v>4</v>
      </c>
      <c r="F1" s="241" t="s">
        <v>5</v>
      </c>
      <c r="G1" s="241" t="s">
        <v>6</v>
      </c>
      <c r="H1" s="241" t="s">
        <v>7</v>
      </c>
      <c r="I1" s="241" t="s">
        <v>8</v>
      </c>
      <c r="J1" s="241" t="s">
        <v>9</v>
      </c>
      <c r="K1" s="201" t="s">
        <v>10</v>
      </c>
      <c r="L1" s="203" t="s">
        <v>494</v>
      </c>
      <c r="M1" s="203" t="s">
        <v>12</v>
      </c>
      <c r="N1" s="203" t="s">
        <v>13</v>
      </c>
      <c r="O1" s="203" t="s">
        <v>495</v>
      </c>
      <c r="P1" s="203" t="s">
        <v>496</v>
      </c>
      <c r="Q1" s="204" t="s">
        <v>16</v>
      </c>
      <c r="R1" s="203" t="s">
        <v>497</v>
      </c>
      <c r="S1" s="203" t="s">
        <v>498</v>
      </c>
      <c r="T1" s="204" t="s">
        <v>19</v>
      </c>
      <c r="U1" s="205" t="s">
        <v>108</v>
      </c>
      <c r="V1" s="206" t="s">
        <v>20</v>
      </c>
      <c r="W1" s="203" t="s">
        <v>21</v>
      </c>
      <c r="X1" s="241" t="s">
        <v>22</v>
      </c>
      <c r="Y1" s="241" t="s">
        <v>23</v>
      </c>
      <c r="Z1" s="241" t="s">
        <v>24</v>
      </c>
      <c r="AA1" s="242" t="s">
        <v>25</v>
      </c>
      <c r="AB1" s="207" t="s">
        <v>499</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500</v>
      </c>
      <c r="AY1" s="214" t="s">
        <v>501</v>
      </c>
      <c r="AZ1" s="214" t="s">
        <v>502</v>
      </c>
      <c r="BA1" s="215" t="s">
        <v>503</v>
      </c>
    </row>
    <row r="2" spans="1:53" x14ac:dyDescent="0.15">
      <c r="A2" s="165" t="s">
        <v>34</v>
      </c>
      <c r="B2" s="165" t="s">
        <v>504</v>
      </c>
      <c r="C2" s="165">
        <v>2018</v>
      </c>
      <c r="D2" s="166" t="s">
        <v>505</v>
      </c>
      <c r="E2" s="165" t="s">
        <v>506</v>
      </c>
      <c r="F2" s="165" t="s">
        <v>278</v>
      </c>
      <c r="G2" s="167" t="s">
        <v>36</v>
      </c>
      <c r="H2" s="168" t="s">
        <v>157</v>
      </c>
      <c r="I2" s="137" t="s">
        <v>155</v>
      </c>
      <c r="J2" s="200" t="s">
        <v>38</v>
      </c>
      <c r="K2" s="137" t="s">
        <v>156</v>
      </c>
      <c r="L2" s="169">
        <v>1</v>
      </c>
      <c r="M2" s="170"/>
      <c r="N2" s="170">
        <v>1</v>
      </c>
      <c r="O2" s="170">
        <v>0.6</v>
      </c>
      <c r="P2" s="170">
        <v>0.55000000000000004</v>
      </c>
      <c r="Q2" s="171">
        <f t="shared" ref="Q2:Q65" si="0">IF(OR(O2="",P2=""),"",AVERAGE(O2,P2))</f>
        <v>0.57499999999999996</v>
      </c>
      <c r="R2" s="172">
        <v>13.6</v>
      </c>
      <c r="S2" s="168">
        <v>123</v>
      </c>
      <c r="T2" s="173">
        <f t="shared" ref="T2:T65" si="1">IF(H2="","",IF(OR(H2="GREEN",H2="GK"),IF(S2&gt;=$AX$2,VLOOKUP(S2,$AX$2:$AY$7,2,1),""),IF(S2&gt;=$AZ$2,VLOOKUP(S2,$AZ$2:$BA$7,2,1),"")))</f>
        <v>30</v>
      </c>
      <c r="U2" s="137">
        <v>138</v>
      </c>
      <c r="V2" s="173">
        <f t="shared" ref="V2:V65" si="2">IF(OR(N2="",U2="",T2=""),"",U2/N2*T2)</f>
        <v>4140</v>
      </c>
      <c r="W2" s="174">
        <v>2</v>
      </c>
      <c r="X2" s="175" t="s">
        <v>39</v>
      </c>
      <c r="Y2" s="175" t="s">
        <v>102</v>
      </c>
      <c r="Z2" s="175" t="s">
        <v>88</v>
      </c>
      <c r="AA2" s="176" t="s">
        <v>78</v>
      </c>
      <c r="AB2" s="55" t="s">
        <v>507</v>
      </c>
      <c r="AE2" s="218" t="s">
        <v>35</v>
      </c>
      <c r="AG2" s="243" t="s">
        <v>508</v>
      </c>
      <c r="AH2" s="243" t="s">
        <v>279</v>
      </c>
      <c r="AJ2" s="144" t="s">
        <v>36</v>
      </c>
      <c r="AL2" s="219" t="s">
        <v>127</v>
      </c>
      <c r="AN2" s="219" t="s">
        <v>37</v>
      </c>
      <c r="AO2" s="216"/>
      <c r="AP2" s="219" t="s">
        <v>38</v>
      </c>
      <c r="AQ2" s="216"/>
      <c r="AR2" s="219" t="s">
        <v>509</v>
      </c>
      <c r="AS2" s="216"/>
      <c r="AT2" s="219" t="s">
        <v>39</v>
      </c>
      <c r="AU2" s="216"/>
      <c r="AV2" s="248" t="s">
        <v>40</v>
      </c>
      <c r="AW2" s="216"/>
      <c r="AX2" s="220">
        <v>1</v>
      </c>
      <c r="AY2" s="221">
        <v>50</v>
      </c>
      <c r="AZ2" s="221">
        <v>1</v>
      </c>
      <c r="BA2" s="222">
        <v>50</v>
      </c>
    </row>
    <row r="3" spans="1:53" x14ac:dyDescent="0.15">
      <c r="A3" s="177" t="s">
        <v>34</v>
      </c>
      <c r="B3" s="177" t="s">
        <v>338</v>
      </c>
      <c r="C3" s="178">
        <v>2018</v>
      </c>
      <c r="D3" s="260" t="s">
        <v>510</v>
      </c>
      <c r="E3" s="177" t="s">
        <v>506</v>
      </c>
      <c r="F3" s="177" t="s">
        <v>278</v>
      </c>
      <c r="G3" s="180" t="s">
        <v>36</v>
      </c>
      <c r="H3" s="137" t="s">
        <v>157</v>
      </c>
      <c r="I3" s="137" t="s">
        <v>155</v>
      </c>
      <c r="J3" s="137" t="s">
        <v>38</v>
      </c>
      <c r="K3" s="137" t="s">
        <v>156</v>
      </c>
      <c r="L3" s="208">
        <v>2</v>
      </c>
      <c r="N3" s="208">
        <v>1</v>
      </c>
      <c r="O3" s="208">
        <v>0.6</v>
      </c>
      <c r="P3" s="235">
        <v>0.65</v>
      </c>
      <c r="Q3" s="181">
        <f t="shared" si="0"/>
        <v>0.625</v>
      </c>
      <c r="R3" s="182">
        <v>13.9</v>
      </c>
      <c r="S3" s="182">
        <v>119</v>
      </c>
      <c r="T3" s="217">
        <f t="shared" si="1"/>
        <v>30</v>
      </c>
      <c r="U3" s="183">
        <v>138</v>
      </c>
      <c r="V3" s="184">
        <f t="shared" si="2"/>
        <v>4140</v>
      </c>
      <c r="W3" s="185">
        <v>2</v>
      </c>
      <c r="X3" s="186" t="s">
        <v>39</v>
      </c>
      <c r="Y3" s="186" t="s">
        <v>102</v>
      </c>
      <c r="Z3" s="186" t="s">
        <v>88</v>
      </c>
      <c r="AA3" s="176" t="s">
        <v>78</v>
      </c>
      <c r="AB3" s="55" t="s">
        <v>340</v>
      </c>
      <c r="AE3" s="223" t="s">
        <v>41</v>
      </c>
      <c r="AG3" s="243" t="s">
        <v>280</v>
      </c>
      <c r="AH3" s="243" t="s">
        <v>281</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338</v>
      </c>
      <c r="C4" s="177">
        <v>2018</v>
      </c>
      <c r="D4" s="179" t="s">
        <v>510</v>
      </c>
      <c r="E4" s="177" t="s">
        <v>506</v>
      </c>
      <c r="F4" s="177" t="s">
        <v>278</v>
      </c>
      <c r="G4" s="180" t="s">
        <v>36</v>
      </c>
      <c r="H4" s="137" t="s">
        <v>157</v>
      </c>
      <c r="I4" s="137" t="s">
        <v>155</v>
      </c>
      <c r="J4" s="137" t="s">
        <v>38</v>
      </c>
      <c r="K4" s="137" t="s">
        <v>156</v>
      </c>
      <c r="L4" s="208">
        <v>3</v>
      </c>
      <c r="N4" s="208">
        <v>1</v>
      </c>
      <c r="O4" s="208">
        <v>0.7</v>
      </c>
      <c r="P4" s="235">
        <v>0.6</v>
      </c>
      <c r="Q4" s="245">
        <f t="shared" si="0"/>
        <v>0.64999999999999991</v>
      </c>
      <c r="R4" s="188">
        <v>14.4</v>
      </c>
      <c r="S4" s="188">
        <v>120</v>
      </c>
      <c r="T4" s="217">
        <f t="shared" si="1"/>
        <v>30</v>
      </c>
      <c r="U4" s="189">
        <v>138</v>
      </c>
      <c r="V4" s="184">
        <f t="shared" si="2"/>
        <v>4140</v>
      </c>
      <c r="W4" s="190">
        <v>2</v>
      </c>
      <c r="X4" s="186" t="s">
        <v>39</v>
      </c>
      <c r="Y4" s="186" t="s">
        <v>102</v>
      </c>
      <c r="Z4" s="186" t="s">
        <v>88</v>
      </c>
      <c r="AA4" s="176" t="s">
        <v>78</v>
      </c>
      <c r="AB4" s="55" t="s">
        <v>340</v>
      </c>
      <c r="AE4" s="223" t="s">
        <v>34</v>
      </c>
      <c r="AG4" s="243" t="s">
        <v>511</v>
      </c>
      <c r="AH4" s="243" t="s">
        <v>282</v>
      </c>
      <c r="AJ4" s="191" t="s">
        <v>48</v>
      </c>
      <c r="AL4" s="228" t="s">
        <v>129</v>
      </c>
      <c r="AN4" s="229" t="s">
        <v>49</v>
      </c>
      <c r="AP4" s="224" t="s">
        <v>512</v>
      </c>
      <c r="AR4" s="238" t="s">
        <v>513</v>
      </c>
      <c r="AT4" s="229"/>
      <c r="AV4" s="224" t="s">
        <v>50</v>
      </c>
      <c r="AX4" s="225">
        <v>75</v>
      </c>
      <c r="AY4" s="226">
        <v>42</v>
      </c>
      <c r="AZ4" s="226">
        <v>76</v>
      </c>
      <c r="BA4" s="227">
        <v>39</v>
      </c>
    </row>
    <row r="5" spans="1:53" x14ac:dyDescent="0.15">
      <c r="A5" s="177" t="s">
        <v>34</v>
      </c>
      <c r="B5" s="177" t="s">
        <v>338</v>
      </c>
      <c r="C5" s="178">
        <v>2018</v>
      </c>
      <c r="D5" s="179" t="s">
        <v>510</v>
      </c>
      <c r="E5" s="177" t="s">
        <v>506</v>
      </c>
      <c r="F5" s="177" t="s">
        <v>278</v>
      </c>
      <c r="G5" s="180" t="s">
        <v>36</v>
      </c>
      <c r="H5" s="137" t="s">
        <v>166</v>
      </c>
      <c r="I5" s="137" t="s">
        <v>155</v>
      </c>
      <c r="J5" s="137" t="s">
        <v>38</v>
      </c>
      <c r="K5" s="137" t="s">
        <v>156</v>
      </c>
      <c r="L5" s="208">
        <v>1</v>
      </c>
      <c r="N5" s="208">
        <v>1</v>
      </c>
      <c r="O5" s="208">
        <v>0.55000000000000004</v>
      </c>
      <c r="P5" s="237">
        <v>0.5</v>
      </c>
      <c r="Q5" s="245">
        <f t="shared" si="0"/>
        <v>0.52500000000000002</v>
      </c>
      <c r="R5" s="188">
        <v>14.7</v>
      </c>
      <c r="S5" s="188">
        <v>117</v>
      </c>
      <c r="T5" s="217">
        <f t="shared" si="1"/>
        <v>30</v>
      </c>
      <c r="U5" s="189">
        <v>138</v>
      </c>
      <c r="V5" s="184">
        <f t="shared" si="2"/>
        <v>4140</v>
      </c>
      <c r="W5" s="190">
        <v>2</v>
      </c>
      <c r="X5" s="186" t="s">
        <v>39</v>
      </c>
      <c r="Y5" s="186" t="s">
        <v>102</v>
      </c>
      <c r="Z5" s="186" t="s">
        <v>88</v>
      </c>
      <c r="AA5" s="176" t="s">
        <v>78</v>
      </c>
      <c r="AB5" s="55" t="s">
        <v>340</v>
      </c>
      <c r="AE5" s="223" t="s">
        <v>51</v>
      </c>
      <c r="AG5" s="243" t="s">
        <v>514</v>
      </c>
      <c r="AH5" s="243" t="s">
        <v>285</v>
      </c>
      <c r="AJ5" s="192"/>
      <c r="AL5" s="230" t="s">
        <v>515</v>
      </c>
      <c r="AN5" s="230" t="s">
        <v>516</v>
      </c>
      <c r="AP5" s="224" t="s">
        <v>517</v>
      </c>
      <c r="AR5" s="238" t="s">
        <v>54</v>
      </c>
      <c r="AT5" s="247"/>
      <c r="AV5" s="224" t="s">
        <v>55</v>
      </c>
      <c r="AX5" s="225">
        <v>84</v>
      </c>
      <c r="AY5" s="226">
        <v>39</v>
      </c>
      <c r="AZ5" s="226">
        <v>84</v>
      </c>
      <c r="BA5" s="227">
        <v>36</v>
      </c>
    </row>
    <row r="6" spans="1:53" x14ac:dyDescent="0.15">
      <c r="A6" s="177" t="s">
        <v>34</v>
      </c>
      <c r="B6" s="177" t="s">
        <v>338</v>
      </c>
      <c r="C6" s="177">
        <v>2018</v>
      </c>
      <c r="D6" s="179" t="s">
        <v>510</v>
      </c>
      <c r="E6" s="177" t="s">
        <v>506</v>
      </c>
      <c r="F6" s="177" t="s">
        <v>278</v>
      </c>
      <c r="G6" s="180" t="s">
        <v>36</v>
      </c>
      <c r="H6" s="137" t="s">
        <v>166</v>
      </c>
      <c r="I6" s="137" t="s">
        <v>155</v>
      </c>
      <c r="J6" s="137" t="s">
        <v>38</v>
      </c>
      <c r="K6" s="137" t="s">
        <v>156</v>
      </c>
      <c r="L6" s="208">
        <v>2</v>
      </c>
      <c r="N6" s="208">
        <v>1</v>
      </c>
      <c r="O6" s="208">
        <v>0.55000000000000004</v>
      </c>
      <c r="P6" s="237">
        <v>0.5</v>
      </c>
      <c r="Q6" s="245">
        <f t="shared" si="0"/>
        <v>0.52500000000000002</v>
      </c>
      <c r="R6" s="188">
        <v>14.2</v>
      </c>
      <c r="S6" s="188">
        <v>117</v>
      </c>
      <c r="T6" s="217">
        <f t="shared" si="1"/>
        <v>30</v>
      </c>
      <c r="U6" s="189">
        <v>138</v>
      </c>
      <c r="V6" s="184">
        <f t="shared" si="2"/>
        <v>4140</v>
      </c>
      <c r="W6" s="190">
        <v>2</v>
      </c>
      <c r="X6" s="186" t="s">
        <v>39</v>
      </c>
      <c r="Y6" s="186" t="s">
        <v>102</v>
      </c>
      <c r="Z6" s="186" t="s">
        <v>88</v>
      </c>
      <c r="AA6" s="176" t="s">
        <v>78</v>
      </c>
      <c r="AB6" s="55" t="s">
        <v>340</v>
      </c>
      <c r="AE6" s="223" t="s">
        <v>56</v>
      </c>
      <c r="AG6" s="243" t="s">
        <v>518</v>
      </c>
      <c r="AH6" s="243" t="s">
        <v>284</v>
      </c>
      <c r="AL6" s="230" t="s">
        <v>519</v>
      </c>
      <c r="AN6" s="230" t="s">
        <v>520</v>
      </c>
      <c r="AP6" s="224" t="s">
        <v>53</v>
      </c>
      <c r="AR6" s="238" t="s">
        <v>59</v>
      </c>
      <c r="AV6" s="224" t="s">
        <v>60</v>
      </c>
      <c r="AX6" s="225">
        <v>97</v>
      </c>
      <c r="AY6" s="226">
        <v>36</v>
      </c>
      <c r="AZ6" s="226">
        <v>99</v>
      </c>
      <c r="BA6" s="227">
        <v>33</v>
      </c>
    </row>
    <row r="7" spans="1:53" x14ac:dyDescent="0.15">
      <c r="A7" s="177" t="s">
        <v>34</v>
      </c>
      <c r="B7" s="177" t="s">
        <v>338</v>
      </c>
      <c r="C7" s="178">
        <v>2018</v>
      </c>
      <c r="D7" s="179" t="s">
        <v>510</v>
      </c>
      <c r="E7" s="177" t="s">
        <v>506</v>
      </c>
      <c r="F7" s="177" t="s">
        <v>278</v>
      </c>
      <c r="G7" s="180" t="s">
        <v>36</v>
      </c>
      <c r="H7" s="137" t="s">
        <v>166</v>
      </c>
      <c r="I7" s="137" t="s">
        <v>155</v>
      </c>
      <c r="J7" s="137" t="s">
        <v>38</v>
      </c>
      <c r="K7" s="137" t="s">
        <v>156</v>
      </c>
      <c r="L7" s="208">
        <v>3</v>
      </c>
      <c r="N7" s="208">
        <v>1</v>
      </c>
      <c r="O7" s="208">
        <v>0.45</v>
      </c>
      <c r="P7" s="237">
        <v>0.45</v>
      </c>
      <c r="Q7" s="245">
        <f t="shared" si="0"/>
        <v>0.45</v>
      </c>
      <c r="R7" s="188">
        <v>15.1</v>
      </c>
      <c r="S7" s="188">
        <v>124</v>
      </c>
      <c r="T7" s="217">
        <f t="shared" si="1"/>
        <v>30</v>
      </c>
      <c r="U7" s="189">
        <v>138</v>
      </c>
      <c r="V7" s="184">
        <f t="shared" si="2"/>
        <v>4140</v>
      </c>
      <c r="W7" s="190">
        <v>2</v>
      </c>
      <c r="X7" s="186" t="s">
        <v>39</v>
      </c>
      <c r="Y7" s="186" t="s">
        <v>102</v>
      </c>
      <c r="Z7" s="186" t="s">
        <v>88</v>
      </c>
      <c r="AA7" s="176" t="s">
        <v>78</v>
      </c>
      <c r="AB7" s="55" t="s">
        <v>340</v>
      </c>
      <c r="AE7" s="223" t="s">
        <v>61</v>
      </c>
      <c r="AG7" s="243" t="s">
        <v>283</v>
      </c>
      <c r="AH7" s="243" t="s">
        <v>278</v>
      </c>
      <c r="AL7" s="235" t="s">
        <v>521</v>
      </c>
      <c r="AP7" s="224" t="s">
        <v>58</v>
      </c>
      <c r="AR7" s="231" t="s">
        <v>122</v>
      </c>
      <c r="AV7" s="224" t="s">
        <v>64</v>
      </c>
      <c r="AX7" s="225">
        <v>109</v>
      </c>
      <c r="AY7" s="226">
        <v>33</v>
      </c>
      <c r="AZ7" s="226">
        <v>113</v>
      </c>
      <c r="BA7" s="227">
        <v>30</v>
      </c>
    </row>
    <row r="8" spans="1:53" x14ac:dyDescent="0.15">
      <c r="A8" s="177" t="s">
        <v>34</v>
      </c>
      <c r="B8" s="177" t="s">
        <v>338</v>
      </c>
      <c r="C8" s="177">
        <v>2018</v>
      </c>
      <c r="D8" s="179" t="s">
        <v>510</v>
      </c>
      <c r="E8" s="178" t="s">
        <v>283</v>
      </c>
      <c r="F8" s="177" t="s">
        <v>284</v>
      </c>
      <c r="G8" s="180" t="s">
        <v>36</v>
      </c>
      <c r="H8" s="137" t="s">
        <v>157</v>
      </c>
      <c r="I8" s="137" t="s">
        <v>155</v>
      </c>
      <c r="J8" s="137" t="s">
        <v>38</v>
      </c>
      <c r="K8" s="137" t="s">
        <v>156</v>
      </c>
      <c r="L8" s="208">
        <v>1</v>
      </c>
      <c r="N8" s="208">
        <v>6</v>
      </c>
      <c r="O8" s="208">
        <v>0.8</v>
      </c>
      <c r="P8" s="208">
        <v>0.85</v>
      </c>
      <c r="Q8" s="245">
        <f t="shared" si="0"/>
        <v>0.82499999999999996</v>
      </c>
      <c r="R8" s="188">
        <v>14.7</v>
      </c>
      <c r="S8" s="188">
        <v>117</v>
      </c>
      <c r="T8" s="217">
        <f t="shared" si="1"/>
        <v>30</v>
      </c>
      <c r="U8" s="193">
        <v>498</v>
      </c>
      <c r="V8" s="184">
        <f t="shared" si="2"/>
        <v>2490</v>
      </c>
      <c r="W8" s="190">
        <v>1</v>
      </c>
      <c r="X8" s="186" t="s">
        <v>46</v>
      </c>
      <c r="Y8" s="194" t="s">
        <v>88</v>
      </c>
      <c r="Z8" s="186" t="s">
        <v>78</v>
      </c>
      <c r="AA8" s="176" t="s">
        <v>102</v>
      </c>
      <c r="AB8" s="55" t="s">
        <v>340</v>
      </c>
      <c r="AE8" s="223" t="s">
        <v>59</v>
      </c>
      <c r="AG8" s="243" t="s">
        <v>522</v>
      </c>
      <c r="AH8" s="243" t="s">
        <v>287</v>
      </c>
      <c r="AL8" s="235" t="s">
        <v>353</v>
      </c>
      <c r="AP8" s="224" t="s">
        <v>62</v>
      </c>
      <c r="AR8" s="238" t="s">
        <v>81</v>
      </c>
      <c r="AV8" s="224" t="s">
        <v>97</v>
      </c>
      <c r="AX8" s="225">
        <v>151</v>
      </c>
      <c r="AY8" s="226">
        <v>22</v>
      </c>
      <c r="AZ8" s="226">
        <v>152</v>
      </c>
      <c r="BA8" s="227">
        <v>18</v>
      </c>
    </row>
    <row r="9" spans="1:53" x14ac:dyDescent="0.15">
      <c r="A9" s="177" t="s">
        <v>34</v>
      </c>
      <c r="B9" s="177" t="s">
        <v>338</v>
      </c>
      <c r="C9" s="178">
        <v>2018</v>
      </c>
      <c r="D9" s="179" t="s">
        <v>510</v>
      </c>
      <c r="E9" s="178" t="s">
        <v>283</v>
      </c>
      <c r="F9" s="177" t="s">
        <v>284</v>
      </c>
      <c r="G9" s="180" t="s">
        <v>36</v>
      </c>
      <c r="H9" s="137" t="s">
        <v>157</v>
      </c>
      <c r="I9" s="137" t="s">
        <v>155</v>
      </c>
      <c r="J9" s="137" t="s">
        <v>38</v>
      </c>
      <c r="K9" s="137" t="s">
        <v>156</v>
      </c>
      <c r="L9" s="208">
        <v>2</v>
      </c>
      <c r="N9" s="208">
        <v>6</v>
      </c>
      <c r="O9" s="208">
        <v>0.75</v>
      </c>
      <c r="P9" s="208">
        <v>0.6</v>
      </c>
      <c r="Q9" s="245">
        <f t="shared" si="0"/>
        <v>0.67500000000000004</v>
      </c>
      <c r="R9" s="188">
        <v>15.2</v>
      </c>
      <c r="S9" s="188">
        <v>109</v>
      </c>
      <c r="T9" s="217">
        <f t="shared" si="1"/>
        <v>33</v>
      </c>
      <c r="U9" s="193">
        <v>498</v>
      </c>
      <c r="V9" s="184">
        <f t="shared" si="2"/>
        <v>2739</v>
      </c>
      <c r="W9" s="190">
        <v>1</v>
      </c>
      <c r="X9" s="186" t="s">
        <v>46</v>
      </c>
      <c r="Y9" s="194" t="s">
        <v>88</v>
      </c>
      <c r="Z9" s="186" t="s">
        <v>78</v>
      </c>
      <c r="AA9" s="176" t="s">
        <v>102</v>
      </c>
      <c r="AB9" s="55" t="s">
        <v>340</v>
      </c>
      <c r="AE9" s="223" t="s">
        <v>98</v>
      </c>
      <c r="AG9" s="243" t="s">
        <v>523</v>
      </c>
      <c r="AH9" s="243" t="s">
        <v>288</v>
      </c>
      <c r="AL9" s="230"/>
      <c r="AP9" s="224" t="s">
        <v>95</v>
      </c>
      <c r="AR9" s="231" t="s">
        <v>89</v>
      </c>
      <c r="AV9" s="224" t="s">
        <v>102</v>
      </c>
      <c r="AX9" s="232">
        <v>180</v>
      </c>
      <c r="AY9" s="233">
        <v>18</v>
      </c>
      <c r="AZ9" s="233">
        <v>181</v>
      </c>
      <c r="BA9" s="234">
        <v>16</v>
      </c>
    </row>
    <row r="10" spans="1:53" x14ac:dyDescent="0.15">
      <c r="A10" s="177" t="s">
        <v>34</v>
      </c>
      <c r="B10" s="177" t="s">
        <v>338</v>
      </c>
      <c r="C10" s="177">
        <v>2018</v>
      </c>
      <c r="D10" s="179" t="s">
        <v>510</v>
      </c>
      <c r="E10" s="178" t="s">
        <v>283</v>
      </c>
      <c r="F10" s="177" t="s">
        <v>284</v>
      </c>
      <c r="G10" s="180" t="s">
        <v>36</v>
      </c>
      <c r="H10" s="137" t="s">
        <v>157</v>
      </c>
      <c r="I10" s="137" t="s">
        <v>155</v>
      </c>
      <c r="J10" s="137" t="s">
        <v>38</v>
      </c>
      <c r="K10" s="137" t="s">
        <v>156</v>
      </c>
      <c r="L10" s="208">
        <v>3</v>
      </c>
      <c r="N10" s="208">
        <v>6</v>
      </c>
      <c r="O10" s="208">
        <v>0.8</v>
      </c>
      <c r="P10" s="208">
        <v>0.6</v>
      </c>
      <c r="Q10" s="245">
        <f t="shared" si="0"/>
        <v>0.7</v>
      </c>
      <c r="R10" s="188">
        <v>14.6</v>
      </c>
      <c r="S10" s="188">
        <v>108</v>
      </c>
      <c r="T10" s="217">
        <f t="shared" si="1"/>
        <v>33</v>
      </c>
      <c r="U10" s="193">
        <v>498</v>
      </c>
      <c r="V10" s="184">
        <f t="shared" si="2"/>
        <v>2739</v>
      </c>
      <c r="W10" s="190">
        <v>1</v>
      </c>
      <c r="X10" s="186" t="s">
        <v>46</v>
      </c>
      <c r="Y10" s="194" t="s">
        <v>88</v>
      </c>
      <c r="Z10" s="186" t="s">
        <v>78</v>
      </c>
      <c r="AA10" s="176" t="s">
        <v>102</v>
      </c>
      <c r="AB10" s="55" t="s">
        <v>340</v>
      </c>
      <c r="AE10" s="223" t="s">
        <v>103</v>
      </c>
      <c r="AG10" s="243" t="s">
        <v>524</v>
      </c>
      <c r="AH10" s="243" t="s">
        <v>525</v>
      </c>
      <c r="AL10" s="235"/>
      <c r="AP10" s="224" t="s">
        <v>100</v>
      </c>
      <c r="AR10" s="231" t="s">
        <v>123</v>
      </c>
      <c r="AV10" s="224" t="s">
        <v>106</v>
      </c>
    </row>
    <row r="11" spans="1:53" x14ac:dyDescent="0.15">
      <c r="A11" s="177" t="s">
        <v>34</v>
      </c>
      <c r="B11" s="177" t="s">
        <v>338</v>
      </c>
      <c r="C11" s="178">
        <v>2018</v>
      </c>
      <c r="D11" s="179" t="s">
        <v>510</v>
      </c>
      <c r="E11" s="178" t="s">
        <v>283</v>
      </c>
      <c r="F11" s="177" t="s">
        <v>284</v>
      </c>
      <c r="G11" s="180" t="s">
        <v>36</v>
      </c>
      <c r="H11" s="137" t="s">
        <v>166</v>
      </c>
      <c r="I11" s="137" t="s">
        <v>155</v>
      </c>
      <c r="J11" s="137" t="s">
        <v>38</v>
      </c>
      <c r="K11" s="137" t="s">
        <v>156</v>
      </c>
      <c r="L11" s="208">
        <v>1</v>
      </c>
      <c r="N11" s="208">
        <v>4</v>
      </c>
      <c r="O11" s="208">
        <v>0.4</v>
      </c>
      <c r="P11" s="208">
        <v>0.45</v>
      </c>
      <c r="Q11" s="245">
        <f t="shared" si="0"/>
        <v>0.42500000000000004</v>
      </c>
      <c r="R11" s="188">
        <v>15.2</v>
      </c>
      <c r="S11" s="188">
        <v>145</v>
      </c>
      <c r="T11" s="217">
        <f t="shared" si="1"/>
        <v>30</v>
      </c>
      <c r="U11" s="193">
        <v>680</v>
      </c>
      <c r="V11" s="184">
        <f t="shared" si="2"/>
        <v>5100</v>
      </c>
      <c r="W11" s="190">
        <v>1</v>
      </c>
      <c r="X11" s="186" t="s">
        <v>46</v>
      </c>
      <c r="Y11" s="194" t="s">
        <v>88</v>
      </c>
      <c r="Z11" s="186" t="s">
        <v>78</v>
      </c>
      <c r="AA11" s="195" t="s">
        <v>102</v>
      </c>
      <c r="AB11" s="55" t="s">
        <v>340</v>
      </c>
      <c r="AE11" s="223" t="s">
        <v>65</v>
      </c>
      <c r="AG11" s="238"/>
      <c r="AH11" s="238"/>
      <c r="AL11" s="235"/>
      <c r="AP11" s="224" t="s">
        <v>104</v>
      </c>
      <c r="AR11" s="231" t="s">
        <v>87</v>
      </c>
      <c r="AV11" s="224" t="s">
        <v>69</v>
      </c>
    </row>
    <row r="12" spans="1:53" x14ac:dyDescent="0.15">
      <c r="A12" s="177" t="s">
        <v>34</v>
      </c>
      <c r="B12" s="177" t="s">
        <v>338</v>
      </c>
      <c r="C12" s="177">
        <v>2018</v>
      </c>
      <c r="D12" s="179" t="s">
        <v>510</v>
      </c>
      <c r="E12" s="178" t="s">
        <v>283</v>
      </c>
      <c r="F12" s="177" t="s">
        <v>284</v>
      </c>
      <c r="G12" s="180" t="s">
        <v>36</v>
      </c>
      <c r="H12" s="137" t="s">
        <v>166</v>
      </c>
      <c r="I12" s="137" t="s">
        <v>155</v>
      </c>
      <c r="J12" s="137" t="s">
        <v>38</v>
      </c>
      <c r="K12" s="137" t="s">
        <v>156</v>
      </c>
      <c r="L12" s="208">
        <v>2</v>
      </c>
      <c r="N12" s="208">
        <v>4</v>
      </c>
      <c r="O12" s="208">
        <v>0.45</v>
      </c>
      <c r="P12" s="208">
        <v>0.5</v>
      </c>
      <c r="Q12" s="245">
        <f t="shared" si="0"/>
        <v>0.47499999999999998</v>
      </c>
      <c r="R12" s="188">
        <v>15</v>
      </c>
      <c r="S12" s="188">
        <v>161</v>
      </c>
      <c r="T12" s="217">
        <f t="shared" si="1"/>
        <v>30</v>
      </c>
      <c r="U12" s="193">
        <v>680</v>
      </c>
      <c r="V12" s="184">
        <f t="shared" si="2"/>
        <v>5100</v>
      </c>
      <c r="W12" s="190">
        <v>1</v>
      </c>
      <c r="X12" s="186" t="s">
        <v>46</v>
      </c>
      <c r="Y12" s="194" t="s">
        <v>88</v>
      </c>
      <c r="Z12" s="186" t="s">
        <v>78</v>
      </c>
      <c r="AA12" s="195" t="s">
        <v>102</v>
      </c>
      <c r="AB12" s="55" t="s">
        <v>340</v>
      </c>
      <c r="AE12" s="223" t="s">
        <v>70</v>
      </c>
      <c r="AG12" s="238"/>
      <c r="AH12" s="238"/>
      <c r="AL12" s="235"/>
      <c r="AP12" s="224" t="s">
        <v>67</v>
      </c>
      <c r="AR12" s="231" t="s">
        <v>124</v>
      </c>
      <c r="AV12" s="224" t="s">
        <v>72</v>
      </c>
    </row>
    <row r="13" spans="1:53" x14ac:dyDescent="0.15">
      <c r="A13" s="177" t="s">
        <v>34</v>
      </c>
      <c r="B13" s="177" t="s">
        <v>338</v>
      </c>
      <c r="C13" s="178">
        <v>2018</v>
      </c>
      <c r="D13" s="179" t="s">
        <v>510</v>
      </c>
      <c r="E13" s="178" t="s">
        <v>283</v>
      </c>
      <c r="F13" s="177" t="s">
        <v>284</v>
      </c>
      <c r="G13" s="180" t="s">
        <v>36</v>
      </c>
      <c r="H13" s="137" t="s">
        <v>166</v>
      </c>
      <c r="I13" s="137" t="s">
        <v>155</v>
      </c>
      <c r="J13" s="137" t="s">
        <v>38</v>
      </c>
      <c r="K13" s="137" t="s">
        <v>156</v>
      </c>
      <c r="L13" s="208">
        <v>3</v>
      </c>
      <c r="N13" s="208">
        <v>4</v>
      </c>
      <c r="O13" s="208">
        <v>0.4</v>
      </c>
      <c r="P13" s="208">
        <v>0.5</v>
      </c>
      <c r="Q13" s="245">
        <f t="shared" si="0"/>
        <v>0.45</v>
      </c>
      <c r="R13" s="188">
        <v>15.5</v>
      </c>
      <c r="S13" s="188">
        <v>150</v>
      </c>
      <c r="T13" s="217">
        <f t="shared" si="1"/>
        <v>30</v>
      </c>
      <c r="U13" s="193">
        <v>680</v>
      </c>
      <c r="V13" s="184">
        <f t="shared" si="2"/>
        <v>5100</v>
      </c>
      <c r="W13" s="190">
        <v>1</v>
      </c>
      <c r="X13" s="186" t="s">
        <v>46</v>
      </c>
      <c r="Y13" s="194" t="s">
        <v>88</v>
      </c>
      <c r="Z13" s="186" t="s">
        <v>78</v>
      </c>
      <c r="AA13" s="195" t="s">
        <v>102</v>
      </c>
      <c r="AB13" s="55" t="s">
        <v>340</v>
      </c>
      <c r="AE13" s="223" t="s">
        <v>73</v>
      </c>
      <c r="AG13" s="196"/>
      <c r="AH13" s="196"/>
      <c r="AP13" s="224" t="s">
        <v>71</v>
      </c>
      <c r="AR13" s="231" t="s">
        <v>103</v>
      </c>
      <c r="AV13" s="224" t="s">
        <v>75</v>
      </c>
    </row>
    <row r="14" spans="1:53" x14ac:dyDescent="0.15">
      <c r="A14" s="177" t="s">
        <v>34</v>
      </c>
      <c r="B14" s="177" t="s">
        <v>338</v>
      </c>
      <c r="C14" s="177">
        <v>2018</v>
      </c>
      <c r="D14" s="179" t="s">
        <v>510</v>
      </c>
      <c r="E14" s="178" t="s">
        <v>286</v>
      </c>
      <c r="F14" s="177" t="s">
        <v>284</v>
      </c>
      <c r="G14" s="180" t="s">
        <v>36</v>
      </c>
      <c r="H14" s="137" t="s">
        <v>157</v>
      </c>
      <c r="I14" s="137" t="s">
        <v>155</v>
      </c>
      <c r="J14" s="137" t="s">
        <v>38</v>
      </c>
      <c r="K14" s="137" t="s">
        <v>156</v>
      </c>
      <c r="L14" s="208">
        <v>1</v>
      </c>
      <c r="N14" s="208">
        <v>1</v>
      </c>
      <c r="O14" s="208">
        <v>0.75</v>
      </c>
      <c r="P14" s="208">
        <v>0.8</v>
      </c>
      <c r="Q14" s="245">
        <f t="shared" si="0"/>
        <v>0.77500000000000002</v>
      </c>
      <c r="R14" s="188">
        <v>13.1</v>
      </c>
      <c r="S14" s="188">
        <v>140</v>
      </c>
      <c r="T14" s="217">
        <f t="shared" si="1"/>
        <v>30</v>
      </c>
      <c r="U14" s="193">
        <v>98</v>
      </c>
      <c r="V14" s="184">
        <v>3582</v>
      </c>
      <c r="W14" s="190">
        <v>3</v>
      </c>
      <c r="X14" s="186" t="s">
        <v>46</v>
      </c>
      <c r="Y14" s="194" t="s">
        <v>97</v>
      </c>
      <c r="Z14" s="186" t="s">
        <v>78</v>
      </c>
      <c r="AA14" s="195" t="s">
        <v>88</v>
      </c>
      <c r="AB14" s="55" t="s">
        <v>340</v>
      </c>
      <c r="AC14" s="235"/>
      <c r="AE14" s="223" t="s">
        <v>76</v>
      </c>
      <c r="AG14" s="247"/>
      <c r="AH14" s="247"/>
      <c r="AP14" s="224" t="s">
        <v>74</v>
      </c>
      <c r="AR14" s="231" t="s">
        <v>125</v>
      </c>
      <c r="AV14" s="224" t="s">
        <v>78</v>
      </c>
    </row>
    <row r="15" spans="1:53" x14ac:dyDescent="0.15">
      <c r="A15" s="177" t="s">
        <v>34</v>
      </c>
      <c r="B15" s="177" t="s">
        <v>338</v>
      </c>
      <c r="C15" s="178">
        <v>2018</v>
      </c>
      <c r="D15" s="179" t="s">
        <v>510</v>
      </c>
      <c r="E15" s="178" t="s">
        <v>286</v>
      </c>
      <c r="F15" s="177" t="s">
        <v>284</v>
      </c>
      <c r="G15" s="180" t="s">
        <v>36</v>
      </c>
      <c r="H15" s="137" t="s">
        <v>157</v>
      </c>
      <c r="I15" s="137" t="s">
        <v>155</v>
      </c>
      <c r="J15" s="137" t="s">
        <v>38</v>
      </c>
      <c r="K15" s="137" t="s">
        <v>156</v>
      </c>
      <c r="L15" s="208">
        <v>2</v>
      </c>
      <c r="N15" s="208">
        <v>1</v>
      </c>
      <c r="O15" s="208">
        <v>0.6</v>
      </c>
      <c r="P15" s="208">
        <v>0.55000000000000004</v>
      </c>
      <c r="Q15" s="245">
        <f t="shared" si="0"/>
        <v>0.57499999999999996</v>
      </c>
      <c r="R15" s="188">
        <v>14.1</v>
      </c>
      <c r="S15" s="188">
        <v>140</v>
      </c>
      <c r="T15" s="217">
        <f t="shared" si="1"/>
        <v>30</v>
      </c>
      <c r="U15" s="193">
        <v>98</v>
      </c>
      <c r="V15" s="184">
        <f t="shared" si="2"/>
        <v>2940</v>
      </c>
      <c r="W15" s="190">
        <v>3</v>
      </c>
      <c r="X15" s="186" t="s">
        <v>46</v>
      </c>
      <c r="Y15" s="194" t="s">
        <v>97</v>
      </c>
      <c r="Z15" s="186" t="s">
        <v>78</v>
      </c>
      <c r="AA15" s="195" t="s">
        <v>88</v>
      </c>
      <c r="AB15" s="55" t="s">
        <v>340</v>
      </c>
      <c r="AC15" s="235"/>
      <c r="AE15" s="223" t="s">
        <v>79</v>
      </c>
      <c r="AP15" s="224" t="s">
        <v>77</v>
      </c>
      <c r="AR15" s="231" t="s">
        <v>94</v>
      </c>
      <c r="AV15" s="224" t="s">
        <v>107</v>
      </c>
    </row>
    <row r="16" spans="1:53" x14ac:dyDescent="0.15">
      <c r="A16" s="177" t="s">
        <v>34</v>
      </c>
      <c r="B16" s="177" t="s">
        <v>338</v>
      </c>
      <c r="C16" s="177">
        <v>2018</v>
      </c>
      <c r="D16" s="179" t="s">
        <v>510</v>
      </c>
      <c r="E16" s="178" t="s">
        <v>286</v>
      </c>
      <c r="F16" s="177" t="s">
        <v>284</v>
      </c>
      <c r="G16" s="180" t="s">
        <v>36</v>
      </c>
      <c r="H16" s="137" t="s">
        <v>157</v>
      </c>
      <c r="I16" s="137" t="s">
        <v>155</v>
      </c>
      <c r="J16" s="137" t="s">
        <v>38</v>
      </c>
      <c r="K16" s="137" t="s">
        <v>156</v>
      </c>
      <c r="L16" s="208">
        <v>3</v>
      </c>
      <c r="N16" s="208">
        <v>1</v>
      </c>
      <c r="O16" s="208">
        <v>0.6</v>
      </c>
      <c r="P16" s="208">
        <v>0.65</v>
      </c>
      <c r="Q16" s="245">
        <f t="shared" si="0"/>
        <v>0.625</v>
      </c>
      <c r="R16" s="188">
        <v>14.3</v>
      </c>
      <c r="S16" s="188">
        <v>148</v>
      </c>
      <c r="T16" s="217">
        <f t="shared" si="1"/>
        <v>30</v>
      </c>
      <c r="U16" s="193">
        <v>98</v>
      </c>
      <c r="V16" s="184">
        <f t="shared" si="2"/>
        <v>2940</v>
      </c>
      <c r="W16" s="190">
        <v>3</v>
      </c>
      <c r="X16" s="186" t="s">
        <v>46</v>
      </c>
      <c r="Y16" s="194" t="s">
        <v>97</v>
      </c>
      <c r="Z16" s="186" t="s">
        <v>78</v>
      </c>
      <c r="AA16" s="195" t="s">
        <v>88</v>
      </c>
      <c r="AB16" s="55" t="s">
        <v>340</v>
      </c>
      <c r="AC16" s="235"/>
      <c r="AE16" s="223" t="s">
        <v>82</v>
      </c>
      <c r="AP16" s="224" t="s">
        <v>80</v>
      </c>
      <c r="AR16" s="238" t="s">
        <v>63</v>
      </c>
      <c r="AV16" s="224" t="s">
        <v>84</v>
      </c>
    </row>
    <row r="17" spans="1:48" x14ac:dyDescent="0.15">
      <c r="A17" s="177" t="s">
        <v>34</v>
      </c>
      <c r="B17" s="177" t="s">
        <v>338</v>
      </c>
      <c r="C17" s="178">
        <v>2018</v>
      </c>
      <c r="D17" s="179" t="s">
        <v>510</v>
      </c>
      <c r="E17" s="178" t="s">
        <v>286</v>
      </c>
      <c r="F17" s="177" t="s">
        <v>284</v>
      </c>
      <c r="G17" s="180" t="s">
        <v>36</v>
      </c>
      <c r="H17" s="137" t="s">
        <v>166</v>
      </c>
      <c r="I17" s="137" t="s">
        <v>155</v>
      </c>
      <c r="J17" s="137" t="s">
        <v>38</v>
      </c>
      <c r="K17" s="137" t="s">
        <v>156</v>
      </c>
      <c r="L17" s="208">
        <v>1</v>
      </c>
      <c r="N17" s="208">
        <v>1</v>
      </c>
      <c r="O17" s="208">
        <v>0.6</v>
      </c>
      <c r="P17" s="208">
        <v>0.5</v>
      </c>
      <c r="Q17" s="245">
        <f t="shared" si="0"/>
        <v>0.55000000000000004</v>
      </c>
      <c r="R17" s="188">
        <v>17.2</v>
      </c>
      <c r="S17" s="188">
        <v>137</v>
      </c>
      <c r="T17" s="217">
        <f t="shared" si="1"/>
        <v>30</v>
      </c>
      <c r="U17" s="193">
        <v>98</v>
      </c>
      <c r="V17" s="184">
        <f t="shared" si="2"/>
        <v>2940</v>
      </c>
      <c r="W17" s="190">
        <v>3</v>
      </c>
      <c r="X17" s="186" t="s">
        <v>46</v>
      </c>
      <c r="Y17" s="194" t="s">
        <v>97</v>
      </c>
      <c r="Z17" s="186" t="s">
        <v>78</v>
      </c>
      <c r="AA17" s="195" t="s">
        <v>88</v>
      </c>
      <c r="AB17" s="55" t="s">
        <v>340</v>
      </c>
      <c r="AC17" s="235"/>
      <c r="AE17" s="223" t="s">
        <v>85</v>
      </c>
      <c r="AP17" s="239" t="s">
        <v>110</v>
      </c>
      <c r="AR17" s="238" t="s">
        <v>96</v>
      </c>
      <c r="AV17" s="224" t="s">
        <v>86</v>
      </c>
    </row>
    <row r="18" spans="1:48" x14ac:dyDescent="0.15">
      <c r="A18" s="177" t="s">
        <v>34</v>
      </c>
      <c r="B18" s="177" t="s">
        <v>338</v>
      </c>
      <c r="C18" s="177">
        <v>2018</v>
      </c>
      <c r="D18" s="179" t="s">
        <v>510</v>
      </c>
      <c r="E18" s="178" t="s">
        <v>286</v>
      </c>
      <c r="F18" s="177" t="s">
        <v>284</v>
      </c>
      <c r="G18" s="180" t="s">
        <v>36</v>
      </c>
      <c r="H18" s="137" t="s">
        <v>166</v>
      </c>
      <c r="I18" s="137" t="s">
        <v>155</v>
      </c>
      <c r="J18" s="137" t="s">
        <v>38</v>
      </c>
      <c r="K18" s="137" t="s">
        <v>156</v>
      </c>
      <c r="L18" s="208">
        <v>2</v>
      </c>
      <c r="N18" s="208">
        <v>1</v>
      </c>
      <c r="O18" s="208">
        <v>0.55000000000000004</v>
      </c>
      <c r="P18" s="208">
        <v>0.55000000000000004</v>
      </c>
      <c r="Q18" s="245">
        <f t="shared" si="0"/>
        <v>0.55000000000000004</v>
      </c>
      <c r="R18" s="188">
        <v>16.5</v>
      </c>
      <c r="S18" s="188">
        <v>145</v>
      </c>
      <c r="T18" s="217">
        <f t="shared" si="1"/>
        <v>30</v>
      </c>
      <c r="U18" s="193">
        <v>98</v>
      </c>
      <c r="V18" s="184">
        <f t="shared" si="2"/>
        <v>2940</v>
      </c>
      <c r="W18" s="190">
        <v>3</v>
      </c>
      <c r="X18" s="186" t="s">
        <v>46</v>
      </c>
      <c r="Y18" s="194" t="s">
        <v>97</v>
      </c>
      <c r="Z18" s="186" t="s">
        <v>78</v>
      </c>
      <c r="AA18" s="195" t="s">
        <v>88</v>
      </c>
      <c r="AB18" s="55" t="s">
        <v>340</v>
      </c>
      <c r="AC18" s="235"/>
      <c r="AE18" s="223" t="s">
        <v>87</v>
      </c>
      <c r="AP18" s="239" t="s">
        <v>111</v>
      </c>
      <c r="AR18" s="238" t="s">
        <v>101</v>
      </c>
      <c r="AV18" s="224" t="s">
        <v>88</v>
      </c>
    </row>
    <row r="19" spans="1:48" x14ac:dyDescent="0.15">
      <c r="A19" s="177" t="s">
        <v>34</v>
      </c>
      <c r="B19" s="177" t="s">
        <v>338</v>
      </c>
      <c r="C19" s="178">
        <v>2018</v>
      </c>
      <c r="D19" s="179" t="s">
        <v>510</v>
      </c>
      <c r="E19" s="178" t="s">
        <v>286</v>
      </c>
      <c r="F19" s="177" t="s">
        <v>284</v>
      </c>
      <c r="G19" s="180" t="s">
        <v>36</v>
      </c>
      <c r="H19" s="137" t="s">
        <v>166</v>
      </c>
      <c r="I19" s="137" t="s">
        <v>155</v>
      </c>
      <c r="J19" s="137" t="s">
        <v>38</v>
      </c>
      <c r="K19" s="137" t="s">
        <v>156</v>
      </c>
      <c r="L19" s="208">
        <v>3</v>
      </c>
      <c r="N19" s="208">
        <v>1</v>
      </c>
      <c r="O19" s="208">
        <v>0.5</v>
      </c>
      <c r="P19" s="208">
        <v>0.5</v>
      </c>
      <c r="Q19" s="245">
        <f t="shared" si="0"/>
        <v>0.5</v>
      </c>
      <c r="R19" s="188">
        <v>16.7</v>
      </c>
      <c r="S19" s="188">
        <v>143</v>
      </c>
      <c r="T19" s="217">
        <f t="shared" si="1"/>
        <v>30</v>
      </c>
      <c r="U19" s="193">
        <v>98</v>
      </c>
      <c r="V19" s="184">
        <f t="shared" si="2"/>
        <v>2940</v>
      </c>
      <c r="W19" s="190">
        <v>3</v>
      </c>
      <c r="X19" s="186" t="s">
        <v>46</v>
      </c>
      <c r="Y19" s="194" t="s">
        <v>97</v>
      </c>
      <c r="Z19" s="186" t="s">
        <v>78</v>
      </c>
      <c r="AA19" s="195" t="s">
        <v>88</v>
      </c>
      <c r="AB19" s="55" t="s">
        <v>340</v>
      </c>
      <c r="AC19" s="235"/>
      <c r="AE19" s="236" t="s">
        <v>89</v>
      </c>
      <c r="AP19" s="239" t="s">
        <v>112</v>
      </c>
      <c r="AR19" s="231" t="s">
        <v>126</v>
      </c>
      <c r="AV19" s="224" t="s">
        <v>90</v>
      </c>
    </row>
    <row r="20" spans="1:48" x14ac:dyDescent="0.15">
      <c r="A20" s="177" t="s">
        <v>34</v>
      </c>
      <c r="B20" s="177" t="s">
        <v>338</v>
      </c>
      <c r="C20" s="177">
        <v>2018</v>
      </c>
      <c r="D20" s="179" t="s">
        <v>510</v>
      </c>
      <c r="E20" s="178" t="s">
        <v>506</v>
      </c>
      <c r="F20" s="177" t="s">
        <v>526</v>
      </c>
      <c r="G20" s="180" t="s">
        <v>36</v>
      </c>
      <c r="H20" s="137" t="s">
        <v>157</v>
      </c>
      <c r="I20" s="137" t="s">
        <v>155</v>
      </c>
      <c r="J20" s="137" t="s">
        <v>38</v>
      </c>
      <c r="K20" s="137" t="s">
        <v>156</v>
      </c>
      <c r="L20" s="208">
        <v>1</v>
      </c>
      <c r="N20" s="208">
        <v>1</v>
      </c>
      <c r="O20" s="208">
        <v>0.6</v>
      </c>
      <c r="P20" s="208">
        <v>0.6</v>
      </c>
      <c r="Q20" s="245">
        <f t="shared" si="0"/>
        <v>0.6</v>
      </c>
      <c r="R20" s="188">
        <v>13.5</v>
      </c>
      <c r="S20" s="197">
        <v>126</v>
      </c>
      <c r="T20" s="217">
        <f t="shared" si="1"/>
        <v>30</v>
      </c>
      <c r="U20" s="193">
        <v>128</v>
      </c>
      <c r="V20" s="184">
        <f t="shared" si="2"/>
        <v>3840</v>
      </c>
      <c r="W20" s="190">
        <v>4</v>
      </c>
      <c r="X20" s="186" t="s">
        <v>46</v>
      </c>
      <c r="Y20" s="194" t="s">
        <v>97</v>
      </c>
      <c r="Z20" s="194" t="s">
        <v>86</v>
      </c>
      <c r="AA20" s="195" t="s">
        <v>102</v>
      </c>
      <c r="AB20" s="55" t="s">
        <v>340</v>
      </c>
      <c r="AE20" s="236"/>
      <c r="AP20" s="239" t="s">
        <v>113</v>
      </c>
      <c r="AR20" s="238" t="s">
        <v>105</v>
      </c>
      <c r="AV20" s="228" t="s">
        <v>354</v>
      </c>
    </row>
    <row r="21" spans="1:48" x14ac:dyDescent="0.15">
      <c r="A21" s="177" t="s">
        <v>34</v>
      </c>
      <c r="B21" s="177" t="s">
        <v>338</v>
      </c>
      <c r="C21" s="178">
        <v>2018</v>
      </c>
      <c r="D21" s="179" t="s">
        <v>510</v>
      </c>
      <c r="E21" s="178" t="s">
        <v>506</v>
      </c>
      <c r="F21" s="177" t="s">
        <v>526</v>
      </c>
      <c r="G21" s="180" t="s">
        <v>36</v>
      </c>
      <c r="H21" s="137" t="s">
        <v>157</v>
      </c>
      <c r="I21" s="137" t="s">
        <v>155</v>
      </c>
      <c r="J21" s="137" t="s">
        <v>38</v>
      </c>
      <c r="K21" s="137" t="s">
        <v>156</v>
      </c>
      <c r="L21" s="208">
        <v>2</v>
      </c>
      <c r="N21" s="208">
        <v>1</v>
      </c>
      <c r="O21" s="208">
        <v>0.6</v>
      </c>
      <c r="P21" s="208">
        <v>0.65</v>
      </c>
      <c r="Q21" s="245">
        <f t="shared" si="0"/>
        <v>0.625</v>
      </c>
      <c r="R21" s="197">
        <v>13.9</v>
      </c>
      <c r="S21" s="188">
        <v>119</v>
      </c>
      <c r="T21" s="217">
        <f t="shared" si="1"/>
        <v>30</v>
      </c>
      <c r="U21" s="193">
        <v>128</v>
      </c>
      <c r="V21" s="184">
        <f t="shared" si="2"/>
        <v>3840</v>
      </c>
      <c r="W21" s="190">
        <v>4</v>
      </c>
      <c r="X21" s="186" t="s">
        <v>46</v>
      </c>
      <c r="Y21" s="194" t="s">
        <v>97</v>
      </c>
      <c r="Z21" s="194" t="s">
        <v>86</v>
      </c>
      <c r="AA21" s="195" t="s">
        <v>102</v>
      </c>
      <c r="AB21" s="55" t="s">
        <v>340</v>
      </c>
      <c r="AE21" s="229"/>
      <c r="AP21" s="239" t="s">
        <v>114</v>
      </c>
      <c r="AR21" s="238" t="s">
        <v>68</v>
      </c>
      <c r="AV21" s="228" t="s">
        <v>355</v>
      </c>
    </row>
    <row r="22" spans="1:48" x14ac:dyDescent="0.15">
      <c r="A22" s="177" t="s">
        <v>34</v>
      </c>
      <c r="B22" s="177" t="s">
        <v>338</v>
      </c>
      <c r="C22" s="177">
        <v>2018</v>
      </c>
      <c r="D22" s="179" t="s">
        <v>510</v>
      </c>
      <c r="E22" s="178" t="s">
        <v>506</v>
      </c>
      <c r="F22" s="177" t="s">
        <v>526</v>
      </c>
      <c r="G22" s="180" t="s">
        <v>36</v>
      </c>
      <c r="H22" s="137" t="s">
        <v>157</v>
      </c>
      <c r="I22" s="137" t="s">
        <v>155</v>
      </c>
      <c r="J22" s="137" t="s">
        <v>38</v>
      </c>
      <c r="K22" s="137" t="s">
        <v>156</v>
      </c>
      <c r="L22" s="208">
        <v>3</v>
      </c>
      <c r="N22" s="208">
        <v>1</v>
      </c>
      <c r="O22" s="208">
        <v>0.55000000000000004</v>
      </c>
      <c r="P22" s="235">
        <v>0.6</v>
      </c>
      <c r="Q22" s="245">
        <f t="shared" si="0"/>
        <v>0.57499999999999996</v>
      </c>
      <c r="R22" s="188">
        <v>14.1</v>
      </c>
      <c r="S22" s="188">
        <v>116</v>
      </c>
      <c r="T22" s="217">
        <f t="shared" si="1"/>
        <v>30</v>
      </c>
      <c r="U22" s="193">
        <v>128</v>
      </c>
      <c r="V22" s="184">
        <f t="shared" si="2"/>
        <v>3840</v>
      </c>
      <c r="W22" s="190">
        <v>4</v>
      </c>
      <c r="X22" s="186" t="s">
        <v>46</v>
      </c>
      <c r="Y22" s="194" t="s">
        <v>97</v>
      </c>
      <c r="Z22" s="194" t="s">
        <v>86</v>
      </c>
      <c r="AA22" s="195" t="s">
        <v>102</v>
      </c>
      <c r="AB22" s="55" t="s">
        <v>340</v>
      </c>
      <c r="AP22" s="239" t="s">
        <v>115</v>
      </c>
      <c r="AR22" s="238" t="s">
        <v>83</v>
      </c>
      <c r="AV22" s="224"/>
    </row>
    <row r="23" spans="1:48" x14ac:dyDescent="0.15">
      <c r="A23" s="177" t="s">
        <v>34</v>
      </c>
      <c r="B23" s="177" t="s">
        <v>338</v>
      </c>
      <c r="C23" s="178">
        <v>2018</v>
      </c>
      <c r="D23" s="179" t="s">
        <v>510</v>
      </c>
      <c r="E23" s="178" t="s">
        <v>506</v>
      </c>
      <c r="F23" s="177" t="s">
        <v>526</v>
      </c>
      <c r="G23" s="180" t="s">
        <v>36</v>
      </c>
      <c r="H23" s="137" t="s">
        <v>166</v>
      </c>
      <c r="I23" s="137" t="s">
        <v>155</v>
      </c>
      <c r="J23" s="137" t="s">
        <v>38</v>
      </c>
      <c r="K23" s="137" t="s">
        <v>156</v>
      </c>
      <c r="L23" s="208">
        <v>1</v>
      </c>
      <c r="N23" s="208">
        <v>1</v>
      </c>
      <c r="O23" s="208">
        <v>0.4</v>
      </c>
      <c r="P23" s="235">
        <v>0.45</v>
      </c>
      <c r="Q23" s="245">
        <f t="shared" si="0"/>
        <v>0.42500000000000004</v>
      </c>
      <c r="R23" s="188">
        <v>15.1</v>
      </c>
      <c r="S23" s="188">
        <v>120</v>
      </c>
      <c r="T23" s="217">
        <f t="shared" si="1"/>
        <v>30</v>
      </c>
      <c r="U23" s="193">
        <v>138</v>
      </c>
      <c r="V23" s="184">
        <f t="shared" si="2"/>
        <v>4140</v>
      </c>
      <c r="W23" s="190">
        <v>4</v>
      </c>
      <c r="X23" s="186" t="s">
        <v>46</v>
      </c>
      <c r="Y23" s="194" t="s">
        <v>97</v>
      </c>
      <c r="Z23" s="194" t="s">
        <v>86</v>
      </c>
      <c r="AA23" s="195" t="s">
        <v>102</v>
      </c>
      <c r="AB23" s="55" t="s">
        <v>340</v>
      </c>
      <c r="AP23" s="239" t="s">
        <v>408</v>
      </c>
      <c r="AR23" s="238" t="s">
        <v>61</v>
      </c>
      <c r="AV23" s="224"/>
    </row>
    <row r="24" spans="1:48" x14ac:dyDescent="0.15">
      <c r="A24" s="177" t="s">
        <v>34</v>
      </c>
      <c r="B24" s="177" t="s">
        <v>338</v>
      </c>
      <c r="C24" s="177">
        <v>2018</v>
      </c>
      <c r="D24" s="179" t="s">
        <v>510</v>
      </c>
      <c r="E24" s="178" t="s">
        <v>506</v>
      </c>
      <c r="F24" s="177" t="s">
        <v>526</v>
      </c>
      <c r="G24" s="180" t="s">
        <v>36</v>
      </c>
      <c r="H24" s="137" t="s">
        <v>166</v>
      </c>
      <c r="I24" s="137" t="s">
        <v>155</v>
      </c>
      <c r="J24" s="137" t="s">
        <v>38</v>
      </c>
      <c r="K24" s="137" t="s">
        <v>156</v>
      </c>
      <c r="L24" s="208">
        <v>2</v>
      </c>
      <c r="N24" s="208">
        <v>1</v>
      </c>
      <c r="O24" s="208">
        <v>0.4</v>
      </c>
      <c r="P24" s="235">
        <v>0.45</v>
      </c>
      <c r="Q24" s="245">
        <f t="shared" si="0"/>
        <v>0.42500000000000004</v>
      </c>
      <c r="R24" s="188">
        <v>14.7</v>
      </c>
      <c r="S24" s="188">
        <v>123</v>
      </c>
      <c r="T24" s="217">
        <f t="shared" si="1"/>
        <v>30</v>
      </c>
      <c r="U24" s="193">
        <v>138</v>
      </c>
      <c r="V24" s="184">
        <f t="shared" si="2"/>
        <v>4140</v>
      </c>
      <c r="W24" s="190">
        <v>4</v>
      </c>
      <c r="X24" s="186" t="s">
        <v>46</v>
      </c>
      <c r="Y24" s="194" t="s">
        <v>97</v>
      </c>
      <c r="Z24" s="194" t="s">
        <v>86</v>
      </c>
      <c r="AA24" s="195" t="s">
        <v>102</v>
      </c>
      <c r="AB24" s="55" t="s">
        <v>340</v>
      </c>
      <c r="AP24" s="239" t="s">
        <v>409</v>
      </c>
      <c r="AR24" s="238" t="s">
        <v>91</v>
      </c>
      <c r="AV24" s="224"/>
    </row>
    <row r="25" spans="1:48" x14ac:dyDescent="0.15">
      <c r="A25" s="177" t="s">
        <v>34</v>
      </c>
      <c r="B25" s="177" t="s">
        <v>338</v>
      </c>
      <c r="C25" s="178">
        <v>2018</v>
      </c>
      <c r="D25" s="179" t="s">
        <v>510</v>
      </c>
      <c r="E25" s="178" t="s">
        <v>506</v>
      </c>
      <c r="F25" s="177" t="s">
        <v>526</v>
      </c>
      <c r="G25" s="180" t="s">
        <v>36</v>
      </c>
      <c r="H25" s="137" t="s">
        <v>166</v>
      </c>
      <c r="I25" s="137" t="s">
        <v>155</v>
      </c>
      <c r="J25" s="137" t="s">
        <v>38</v>
      </c>
      <c r="K25" s="137" t="s">
        <v>156</v>
      </c>
      <c r="L25" s="208">
        <v>3</v>
      </c>
      <c r="N25" s="208">
        <v>1</v>
      </c>
      <c r="O25" s="208">
        <v>0.45</v>
      </c>
      <c r="P25" s="235">
        <v>0.5</v>
      </c>
      <c r="Q25" s="245">
        <f t="shared" si="0"/>
        <v>0.47499999999999998</v>
      </c>
      <c r="R25" s="188">
        <v>15.3</v>
      </c>
      <c r="S25" s="188">
        <v>123</v>
      </c>
      <c r="T25" s="217">
        <f t="shared" si="1"/>
        <v>30</v>
      </c>
      <c r="U25" s="193">
        <v>138</v>
      </c>
      <c r="V25" s="184">
        <f t="shared" si="2"/>
        <v>4140</v>
      </c>
      <c r="W25" s="190">
        <v>4</v>
      </c>
      <c r="X25" s="186" t="s">
        <v>46</v>
      </c>
      <c r="Y25" s="194" t="s">
        <v>97</v>
      </c>
      <c r="Z25" s="194" t="s">
        <v>86</v>
      </c>
      <c r="AA25" s="195" t="s">
        <v>102</v>
      </c>
      <c r="AB25" s="55" t="s">
        <v>340</v>
      </c>
      <c r="AP25" s="239" t="s">
        <v>116</v>
      </c>
      <c r="AR25" s="42" t="s">
        <v>92</v>
      </c>
      <c r="AV25" s="224"/>
    </row>
    <row r="26" spans="1:48" x14ac:dyDescent="0.15">
      <c r="A26" s="177" t="s">
        <v>34</v>
      </c>
      <c r="B26" s="177" t="s">
        <v>338</v>
      </c>
      <c r="C26" s="177">
        <v>2018</v>
      </c>
      <c r="D26" s="179" t="s">
        <v>510</v>
      </c>
      <c r="E26" s="178" t="s">
        <v>280</v>
      </c>
      <c r="F26" s="177" t="s">
        <v>281</v>
      </c>
      <c r="G26" s="180" t="s">
        <v>42</v>
      </c>
      <c r="H26" s="137" t="s">
        <v>157</v>
      </c>
      <c r="I26" s="137" t="s">
        <v>155</v>
      </c>
      <c r="J26" s="137" t="s">
        <v>38</v>
      </c>
      <c r="K26" s="137" t="s">
        <v>156</v>
      </c>
      <c r="L26" s="208">
        <v>1</v>
      </c>
      <c r="N26" s="208">
        <v>1</v>
      </c>
      <c r="O26" s="208">
        <v>0.65</v>
      </c>
      <c r="P26" s="237">
        <v>0.5</v>
      </c>
      <c r="Q26" s="245">
        <f t="shared" si="0"/>
        <v>0.57499999999999996</v>
      </c>
      <c r="R26" s="188">
        <v>14.6</v>
      </c>
      <c r="S26" s="188">
        <v>137</v>
      </c>
      <c r="T26" s="217">
        <f t="shared" si="1"/>
        <v>30</v>
      </c>
      <c r="U26" s="193">
        <v>127</v>
      </c>
      <c r="V26" s="184">
        <f t="shared" si="2"/>
        <v>3810</v>
      </c>
      <c r="W26" s="190">
        <v>9</v>
      </c>
      <c r="X26" s="186" t="s">
        <v>46</v>
      </c>
      <c r="Y26" s="195" t="s">
        <v>88</v>
      </c>
      <c r="Z26" s="194" t="s">
        <v>97</v>
      </c>
      <c r="AA26" s="195" t="s">
        <v>47</v>
      </c>
      <c r="AB26" s="55" t="s">
        <v>340</v>
      </c>
      <c r="AP26" s="239" t="s">
        <v>117</v>
      </c>
      <c r="AR26" s="224" t="s">
        <v>290</v>
      </c>
      <c r="AV26" s="228"/>
    </row>
    <row r="27" spans="1:48" x14ac:dyDescent="0.15">
      <c r="A27" s="177" t="s">
        <v>34</v>
      </c>
      <c r="B27" s="177" t="s">
        <v>338</v>
      </c>
      <c r="C27" s="178">
        <v>2018</v>
      </c>
      <c r="D27" s="179" t="s">
        <v>510</v>
      </c>
      <c r="E27" s="178" t="s">
        <v>280</v>
      </c>
      <c r="F27" s="177" t="s">
        <v>281</v>
      </c>
      <c r="G27" s="180" t="s">
        <v>42</v>
      </c>
      <c r="H27" s="137" t="s">
        <v>157</v>
      </c>
      <c r="I27" s="137" t="s">
        <v>155</v>
      </c>
      <c r="J27" s="137" t="s">
        <v>38</v>
      </c>
      <c r="K27" s="137" t="s">
        <v>156</v>
      </c>
      <c r="L27" s="208">
        <v>2</v>
      </c>
      <c r="N27" s="208">
        <v>1</v>
      </c>
      <c r="O27" s="235">
        <v>0.7</v>
      </c>
      <c r="P27" s="237">
        <v>0.8</v>
      </c>
      <c r="Q27" s="245">
        <f t="shared" si="0"/>
        <v>0.75</v>
      </c>
      <c r="R27" s="188">
        <v>14.2</v>
      </c>
      <c r="S27" s="188">
        <v>144</v>
      </c>
      <c r="T27" s="217">
        <f t="shared" si="1"/>
        <v>30</v>
      </c>
      <c r="U27" s="193">
        <v>127</v>
      </c>
      <c r="V27" s="184">
        <f t="shared" si="2"/>
        <v>3810</v>
      </c>
      <c r="W27" s="190">
        <v>9</v>
      </c>
      <c r="X27" s="186" t="s">
        <v>46</v>
      </c>
      <c r="Y27" s="195" t="s">
        <v>88</v>
      </c>
      <c r="Z27" s="194" t="s">
        <v>97</v>
      </c>
      <c r="AA27" s="195" t="s">
        <v>47</v>
      </c>
      <c r="AB27" s="55" t="s">
        <v>340</v>
      </c>
      <c r="AP27" s="239" t="s">
        <v>118</v>
      </c>
      <c r="AR27" s="224"/>
    </row>
    <row r="28" spans="1:48" x14ac:dyDescent="0.15">
      <c r="A28" s="177" t="s">
        <v>34</v>
      </c>
      <c r="B28" s="177" t="s">
        <v>338</v>
      </c>
      <c r="C28" s="177">
        <v>2018</v>
      </c>
      <c r="D28" s="179" t="s">
        <v>510</v>
      </c>
      <c r="E28" s="178" t="s">
        <v>280</v>
      </c>
      <c r="F28" s="177" t="s">
        <v>281</v>
      </c>
      <c r="G28" s="180" t="s">
        <v>42</v>
      </c>
      <c r="H28" s="137" t="s">
        <v>157</v>
      </c>
      <c r="I28" s="137" t="s">
        <v>155</v>
      </c>
      <c r="J28" s="137" t="s">
        <v>38</v>
      </c>
      <c r="K28" s="137" t="s">
        <v>156</v>
      </c>
      <c r="L28" s="208">
        <v>3</v>
      </c>
      <c r="N28" s="208">
        <v>1</v>
      </c>
      <c r="O28" s="235">
        <v>0.6</v>
      </c>
      <c r="P28" s="208">
        <v>0.5</v>
      </c>
      <c r="Q28" s="245">
        <f t="shared" si="0"/>
        <v>0.55000000000000004</v>
      </c>
      <c r="R28" s="188">
        <v>14.8</v>
      </c>
      <c r="S28" s="188">
        <v>137</v>
      </c>
      <c r="T28" s="217">
        <f t="shared" si="1"/>
        <v>30</v>
      </c>
      <c r="U28" s="193">
        <v>127</v>
      </c>
      <c r="V28" s="184">
        <f t="shared" si="2"/>
        <v>3810</v>
      </c>
      <c r="W28" s="190">
        <v>9</v>
      </c>
      <c r="X28" s="186" t="s">
        <v>46</v>
      </c>
      <c r="Y28" s="195" t="s">
        <v>88</v>
      </c>
      <c r="Z28" s="194" t="s">
        <v>97</v>
      </c>
      <c r="AA28" s="195" t="s">
        <v>47</v>
      </c>
      <c r="AB28" s="55" t="s">
        <v>340</v>
      </c>
      <c r="AR28" s="224"/>
    </row>
    <row r="29" spans="1:48" x14ac:dyDescent="0.15">
      <c r="A29" s="177" t="s">
        <v>34</v>
      </c>
      <c r="B29" s="177" t="s">
        <v>338</v>
      </c>
      <c r="C29" s="177">
        <v>2018</v>
      </c>
      <c r="D29" s="179" t="s">
        <v>510</v>
      </c>
      <c r="E29" s="178" t="s">
        <v>280</v>
      </c>
      <c r="F29" s="177" t="s">
        <v>281</v>
      </c>
      <c r="G29" s="180" t="s">
        <v>42</v>
      </c>
      <c r="H29" s="137" t="s">
        <v>166</v>
      </c>
      <c r="I29" s="137" t="s">
        <v>155</v>
      </c>
      <c r="J29" s="137" t="s">
        <v>38</v>
      </c>
      <c r="K29" s="137" t="s">
        <v>156</v>
      </c>
      <c r="L29" s="208">
        <v>1</v>
      </c>
      <c r="N29" s="208">
        <v>1</v>
      </c>
      <c r="O29" s="208">
        <v>0.5</v>
      </c>
      <c r="P29" s="208">
        <v>0.45</v>
      </c>
      <c r="Q29" s="245">
        <f t="shared" si="0"/>
        <v>0.47499999999999998</v>
      </c>
      <c r="R29" s="188">
        <v>16</v>
      </c>
      <c r="S29" s="188">
        <v>161</v>
      </c>
      <c r="T29" s="217">
        <f t="shared" si="1"/>
        <v>30</v>
      </c>
      <c r="U29" s="193">
        <v>127</v>
      </c>
      <c r="V29" s="184">
        <f t="shared" si="2"/>
        <v>3810</v>
      </c>
      <c r="W29" s="190">
        <v>9</v>
      </c>
      <c r="X29" s="186" t="s">
        <v>46</v>
      </c>
      <c r="Y29" s="195" t="s">
        <v>88</v>
      </c>
      <c r="Z29" s="194" t="s">
        <v>97</v>
      </c>
      <c r="AA29" s="195" t="s">
        <v>47</v>
      </c>
      <c r="AB29" s="55" t="s">
        <v>340</v>
      </c>
      <c r="AR29" s="229"/>
    </row>
    <row r="30" spans="1:48" x14ac:dyDescent="0.15">
      <c r="A30" s="177" t="s">
        <v>34</v>
      </c>
      <c r="B30" s="177" t="s">
        <v>338</v>
      </c>
      <c r="C30" s="178">
        <v>2018</v>
      </c>
      <c r="D30" s="179" t="s">
        <v>510</v>
      </c>
      <c r="E30" s="178" t="s">
        <v>280</v>
      </c>
      <c r="F30" s="177" t="s">
        <v>281</v>
      </c>
      <c r="G30" s="180" t="s">
        <v>42</v>
      </c>
      <c r="H30" s="137" t="s">
        <v>166</v>
      </c>
      <c r="I30" s="137" t="s">
        <v>155</v>
      </c>
      <c r="J30" s="137" t="s">
        <v>38</v>
      </c>
      <c r="K30" s="137" t="s">
        <v>156</v>
      </c>
      <c r="L30" s="208">
        <v>2</v>
      </c>
      <c r="N30" s="208">
        <v>1</v>
      </c>
      <c r="O30" s="208">
        <v>0.55000000000000004</v>
      </c>
      <c r="P30" s="208">
        <v>0.6</v>
      </c>
      <c r="Q30" s="245">
        <f t="shared" si="0"/>
        <v>0.57499999999999996</v>
      </c>
      <c r="R30" s="188">
        <v>15.5</v>
      </c>
      <c r="S30" s="188">
        <v>149</v>
      </c>
      <c r="T30" s="217">
        <f t="shared" si="1"/>
        <v>30</v>
      </c>
      <c r="U30" s="193">
        <v>127</v>
      </c>
      <c r="V30" s="184">
        <f t="shared" si="2"/>
        <v>3810</v>
      </c>
      <c r="W30" s="190">
        <v>9</v>
      </c>
      <c r="X30" s="186" t="s">
        <v>46</v>
      </c>
      <c r="Y30" s="195" t="s">
        <v>88</v>
      </c>
      <c r="Z30" s="194" t="s">
        <v>97</v>
      </c>
      <c r="AA30" s="195" t="s">
        <v>47</v>
      </c>
      <c r="AB30" s="55" t="s">
        <v>340</v>
      </c>
    </row>
    <row r="31" spans="1:48" x14ac:dyDescent="0.15">
      <c r="A31" s="177" t="s">
        <v>34</v>
      </c>
      <c r="B31" s="177" t="s">
        <v>338</v>
      </c>
      <c r="C31" s="177">
        <v>2018</v>
      </c>
      <c r="D31" s="179" t="s">
        <v>510</v>
      </c>
      <c r="E31" s="178" t="s">
        <v>280</v>
      </c>
      <c r="F31" s="177" t="s">
        <v>281</v>
      </c>
      <c r="G31" s="180" t="s">
        <v>42</v>
      </c>
      <c r="H31" s="137" t="s">
        <v>166</v>
      </c>
      <c r="I31" s="137" t="s">
        <v>155</v>
      </c>
      <c r="J31" s="137" t="s">
        <v>38</v>
      </c>
      <c r="K31" s="137" t="s">
        <v>156</v>
      </c>
      <c r="L31" s="208">
        <v>3</v>
      </c>
      <c r="N31" s="208">
        <v>1</v>
      </c>
      <c r="O31" s="208">
        <v>0.5</v>
      </c>
      <c r="P31" s="208">
        <v>0.45</v>
      </c>
      <c r="Q31" s="245">
        <f t="shared" si="0"/>
        <v>0.47499999999999998</v>
      </c>
      <c r="R31" s="188">
        <v>16.2</v>
      </c>
      <c r="S31" s="188">
        <v>174</v>
      </c>
      <c r="T31" s="217">
        <f t="shared" si="1"/>
        <v>30</v>
      </c>
      <c r="U31" s="193">
        <v>127</v>
      </c>
      <c r="V31" s="184">
        <f t="shared" si="2"/>
        <v>3810</v>
      </c>
      <c r="W31" s="190">
        <v>9</v>
      </c>
      <c r="X31" s="186" t="s">
        <v>46</v>
      </c>
      <c r="Y31" s="195" t="s">
        <v>88</v>
      </c>
      <c r="Z31" s="194" t="s">
        <v>97</v>
      </c>
      <c r="AA31" s="195" t="s">
        <v>47</v>
      </c>
      <c r="AB31" s="55" t="s">
        <v>340</v>
      </c>
    </row>
    <row r="32" spans="1:48" ht="14.25" customHeight="1" x14ac:dyDescent="0.15">
      <c r="A32" s="177" t="s">
        <v>34</v>
      </c>
      <c r="B32" s="177" t="s">
        <v>338</v>
      </c>
      <c r="C32" s="178">
        <v>2018</v>
      </c>
      <c r="D32" s="179" t="s">
        <v>510</v>
      </c>
      <c r="E32" s="178" t="s">
        <v>527</v>
      </c>
      <c r="F32" s="177" t="s">
        <v>281</v>
      </c>
      <c r="G32" s="180" t="s">
        <v>42</v>
      </c>
      <c r="H32" s="137" t="s">
        <v>157</v>
      </c>
      <c r="I32" s="137" t="s">
        <v>155</v>
      </c>
      <c r="J32" s="137" t="s">
        <v>38</v>
      </c>
      <c r="K32" s="137" t="s">
        <v>156</v>
      </c>
      <c r="L32" s="208">
        <v>1</v>
      </c>
      <c r="N32" s="208">
        <v>1</v>
      </c>
      <c r="O32" s="208">
        <v>0.8</v>
      </c>
      <c r="P32" s="208">
        <v>0.85</v>
      </c>
      <c r="Q32" s="245">
        <f t="shared" si="0"/>
        <v>0.82499999999999996</v>
      </c>
      <c r="R32" s="188">
        <v>15.1</v>
      </c>
      <c r="S32" s="188">
        <v>149</v>
      </c>
      <c r="T32" s="217">
        <f t="shared" si="1"/>
        <v>30</v>
      </c>
      <c r="U32" s="193">
        <v>129</v>
      </c>
      <c r="V32" s="184">
        <f t="shared" si="2"/>
        <v>3870</v>
      </c>
      <c r="W32" s="190">
        <v>2</v>
      </c>
      <c r="X32" s="186" t="s">
        <v>46</v>
      </c>
      <c r="Y32" s="195" t="s">
        <v>78</v>
      </c>
      <c r="Z32" s="194" t="s">
        <v>107</v>
      </c>
      <c r="AA32" s="194" t="s">
        <v>102</v>
      </c>
      <c r="AB32" s="55" t="s">
        <v>340</v>
      </c>
    </row>
    <row r="33" spans="1:28" x14ac:dyDescent="0.15">
      <c r="A33" s="177" t="s">
        <v>34</v>
      </c>
      <c r="B33" s="177" t="s">
        <v>338</v>
      </c>
      <c r="C33" s="177">
        <v>2018</v>
      </c>
      <c r="D33" s="179" t="s">
        <v>510</v>
      </c>
      <c r="E33" s="178" t="s">
        <v>527</v>
      </c>
      <c r="F33" s="177" t="s">
        <v>281</v>
      </c>
      <c r="G33" s="180" t="s">
        <v>42</v>
      </c>
      <c r="H33" s="137" t="s">
        <v>157</v>
      </c>
      <c r="I33" s="137" t="s">
        <v>155</v>
      </c>
      <c r="J33" s="137" t="s">
        <v>38</v>
      </c>
      <c r="K33" s="137" t="s">
        <v>156</v>
      </c>
      <c r="L33" s="208">
        <v>2</v>
      </c>
      <c r="N33" s="208">
        <v>1</v>
      </c>
      <c r="O33" s="208">
        <v>0.8</v>
      </c>
      <c r="P33" s="208">
        <v>0.7</v>
      </c>
      <c r="Q33" s="245">
        <f t="shared" si="0"/>
        <v>0.75</v>
      </c>
      <c r="R33" s="188">
        <v>14.7</v>
      </c>
      <c r="S33" s="188">
        <v>149</v>
      </c>
      <c r="T33" s="217">
        <f t="shared" si="1"/>
        <v>30</v>
      </c>
      <c r="U33" s="193">
        <v>129</v>
      </c>
      <c r="V33" s="184">
        <f t="shared" si="2"/>
        <v>3870</v>
      </c>
      <c r="W33" s="190">
        <v>2</v>
      </c>
      <c r="X33" s="186" t="s">
        <v>46</v>
      </c>
      <c r="Y33" s="195" t="s">
        <v>78</v>
      </c>
      <c r="Z33" s="194" t="s">
        <v>107</v>
      </c>
      <c r="AA33" s="194" t="s">
        <v>102</v>
      </c>
      <c r="AB33" s="55" t="s">
        <v>340</v>
      </c>
    </row>
    <row r="34" spans="1:28" x14ac:dyDescent="0.15">
      <c r="A34" s="177" t="s">
        <v>34</v>
      </c>
      <c r="B34" s="177" t="s">
        <v>338</v>
      </c>
      <c r="C34" s="178">
        <v>2018</v>
      </c>
      <c r="D34" s="179" t="s">
        <v>510</v>
      </c>
      <c r="E34" s="178" t="s">
        <v>527</v>
      </c>
      <c r="F34" s="177" t="s">
        <v>281</v>
      </c>
      <c r="G34" s="180" t="s">
        <v>42</v>
      </c>
      <c r="H34" s="137" t="s">
        <v>157</v>
      </c>
      <c r="I34" s="137" t="s">
        <v>155</v>
      </c>
      <c r="J34" s="137" t="s">
        <v>38</v>
      </c>
      <c r="K34" s="137" t="s">
        <v>156</v>
      </c>
      <c r="L34" s="208">
        <v>3</v>
      </c>
      <c r="N34" s="208">
        <v>1</v>
      </c>
      <c r="O34" s="208">
        <v>0.7</v>
      </c>
      <c r="P34" s="235">
        <v>0.75</v>
      </c>
      <c r="Q34" s="245">
        <f t="shared" si="0"/>
        <v>0.72499999999999998</v>
      </c>
      <c r="R34" s="188">
        <v>15.3</v>
      </c>
      <c r="S34" s="188">
        <v>147</v>
      </c>
      <c r="T34" s="217">
        <f t="shared" si="1"/>
        <v>30</v>
      </c>
      <c r="U34" s="193">
        <v>129</v>
      </c>
      <c r="V34" s="184">
        <f t="shared" si="2"/>
        <v>3870</v>
      </c>
      <c r="W34" s="190">
        <v>2</v>
      </c>
      <c r="X34" s="186" t="s">
        <v>46</v>
      </c>
      <c r="Y34" s="195" t="s">
        <v>78</v>
      </c>
      <c r="Z34" s="194" t="s">
        <v>107</v>
      </c>
      <c r="AA34" s="194" t="s">
        <v>102</v>
      </c>
      <c r="AB34" s="55" t="s">
        <v>340</v>
      </c>
    </row>
    <row r="35" spans="1:28" x14ac:dyDescent="0.15">
      <c r="A35" s="177" t="s">
        <v>34</v>
      </c>
      <c r="B35" s="177" t="s">
        <v>338</v>
      </c>
      <c r="C35" s="177">
        <v>2018</v>
      </c>
      <c r="D35" s="179" t="s">
        <v>510</v>
      </c>
      <c r="E35" s="178" t="s">
        <v>527</v>
      </c>
      <c r="F35" s="177" t="s">
        <v>281</v>
      </c>
      <c r="G35" s="180" t="s">
        <v>42</v>
      </c>
      <c r="H35" s="137" t="s">
        <v>166</v>
      </c>
      <c r="I35" s="137" t="s">
        <v>155</v>
      </c>
      <c r="J35" s="137" t="s">
        <v>38</v>
      </c>
      <c r="K35" s="137" t="s">
        <v>156</v>
      </c>
      <c r="L35" s="208">
        <v>1</v>
      </c>
      <c r="N35" s="208">
        <v>1</v>
      </c>
      <c r="O35" s="208">
        <v>0.6</v>
      </c>
      <c r="P35" s="208">
        <v>0.55000000000000004</v>
      </c>
      <c r="Q35" s="245">
        <f t="shared" si="0"/>
        <v>0.57499999999999996</v>
      </c>
      <c r="R35" s="188">
        <v>15.5</v>
      </c>
      <c r="S35" s="188">
        <v>144</v>
      </c>
      <c r="T35" s="217">
        <f t="shared" si="1"/>
        <v>30</v>
      </c>
      <c r="U35" s="193">
        <v>129</v>
      </c>
      <c r="V35" s="184">
        <f t="shared" si="2"/>
        <v>3870</v>
      </c>
      <c r="W35" s="190">
        <v>2</v>
      </c>
      <c r="X35" s="186" t="s">
        <v>46</v>
      </c>
      <c r="Y35" s="194" t="s">
        <v>78</v>
      </c>
      <c r="Z35" s="194" t="s">
        <v>107</v>
      </c>
      <c r="AA35" s="194" t="s">
        <v>102</v>
      </c>
      <c r="AB35" s="55" t="s">
        <v>340</v>
      </c>
    </row>
    <row r="36" spans="1:28" x14ac:dyDescent="0.15">
      <c r="A36" s="177" t="s">
        <v>34</v>
      </c>
      <c r="B36" s="177" t="s">
        <v>338</v>
      </c>
      <c r="C36" s="178">
        <v>2018</v>
      </c>
      <c r="D36" s="179" t="s">
        <v>510</v>
      </c>
      <c r="E36" s="178" t="s">
        <v>527</v>
      </c>
      <c r="F36" s="177" t="s">
        <v>281</v>
      </c>
      <c r="G36" s="180" t="s">
        <v>42</v>
      </c>
      <c r="H36" s="137" t="s">
        <v>166</v>
      </c>
      <c r="I36" s="137" t="s">
        <v>155</v>
      </c>
      <c r="J36" s="137" t="s">
        <v>38</v>
      </c>
      <c r="K36" s="137" t="s">
        <v>156</v>
      </c>
      <c r="L36" s="208">
        <v>2</v>
      </c>
      <c r="N36" s="208">
        <v>1</v>
      </c>
      <c r="O36" s="208">
        <v>0.55000000000000004</v>
      </c>
      <c r="P36" s="208">
        <v>0.5</v>
      </c>
      <c r="Q36" s="245">
        <f t="shared" si="0"/>
        <v>0.52500000000000002</v>
      </c>
      <c r="R36" s="188">
        <v>15.8</v>
      </c>
      <c r="S36" s="188">
        <v>142</v>
      </c>
      <c r="T36" s="217">
        <f t="shared" si="1"/>
        <v>30</v>
      </c>
      <c r="U36" s="193">
        <v>129</v>
      </c>
      <c r="V36" s="184">
        <f t="shared" si="2"/>
        <v>3870</v>
      </c>
      <c r="W36" s="190">
        <v>2</v>
      </c>
      <c r="X36" s="186" t="s">
        <v>46</v>
      </c>
      <c r="Y36" s="194" t="s">
        <v>78</v>
      </c>
      <c r="Z36" s="194" t="s">
        <v>107</v>
      </c>
      <c r="AA36" s="194" t="s">
        <v>102</v>
      </c>
      <c r="AB36" s="55" t="s">
        <v>340</v>
      </c>
    </row>
    <row r="37" spans="1:28" x14ac:dyDescent="0.15">
      <c r="A37" s="177" t="s">
        <v>34</v>
      </c>
      <c r="B37" s="177" t="s">
        <v>338</v>
      </c>
      <c r="C37" s="177">
        <v>2018</v>
      </c>
      <c r="D37" s="179" t="s">
        <v>510</v>
      </c>
      <c r="E37" s="178" t="s">
        <v>527</v>
      </c>
      <c r="F37" s="177" t="s">
        <v>281</v>
      </c>
      <c r="G37" s="180" t="s">
        <v>42</v>
      </c>
      <c r="H37" s="137" t="s">
        <v>166</v>
      </c>
      <c r="I37" s="137" t="s">
        <v>155</v>
      </c>
      <c r="J37" s="137" t="s">
        <v>38</v>
      </c>
      <c r="K37" s="137" t="s">
        <v>156</v>
      </c>
      <c r="L37" s="208">
        <v>3</v>
      </c>
      <c r="N37" s="208">
        <v>1</v>
      </c>
      <c r="O37" s="208">
        <v>0.5</v>
      </c>
      <c r="P37" s="208">
        <v>0.55000000000000004</v>
      </c>
      <c r="Q37" s="245">
        <f t="shared" si="0"/>
        <v>0.52500000000000002</v>
      </c>
      <c r="R37" s="188">
        <v>15.4</v>
      </c>
      <c r="S37" s="188">
        <v>146</v>
      </c>
      <c r="T37" s="217">
        <f t="shared" si="1"/>
        <v>30</v>
      </c>
      <c r="U37" s="193">
        <v>129</v>
      </c>
      <c r="V37" s="184">
        <f t="shared" si="2"/>
        <v>3870</v>
      </c>
      <c r="W37" s="190">
        <v>2</v>
      </c>
      <c r="X37" s="186" t="s">
        <v>46</v>
      </c>
      <c r="Y37" s="194" t="s">
        <v>78</v>
      </c>
      <c r="Z37" s="194" t="s">
        <v>107</v>
      </c>
      <c r="AA37" s="194" t="s">
        <v>102</v>
      </c>
      <c r="AB37" s="55" t="s">
        <v>340</v>
      </c>
    </row>
    <row r="38" spans="1:28" x14ac:dyDescent="0.15">
      <c r="A38" s="177" t="s">
        <v>34</v>
      </c>
      <c r="B38" s="177" t="s">
        <v>338</v>
      </c>
      <c r="C38" s="178">
        <v>2018</v>
      </c>
      <c r="D38" s="179" t="s">
        <v>510</v>
      </c>
      <c r="E38" s="178" t="s">
        <v>280</v>
      </c>
      <c r="F38" s="177" t="s">
        <v>288</v>
      </c>
      <c r="G38" s="180" t="s">
        <v>42</v>
      </c>
      <c r="H38" s="137" t="s">
        <v>157</v>
      </c>
      <c r="I38" s="137" t="s">
        <v>155</v>
      </c>
      <c r="J38" s="137" t="s">
        <v>38</v>
      </c>
      <c r="K38" s="137" t="s">
        <v>156</v>
      </c>
      <c r="L38" s="208">
        <v>1</v>
      </c>
      <c r="N38" s="208">
        <v>4</v>
      </c>
      <c r="O38" s="208">
        <v>0.55000000000000004</v>
      </c>
      <c r="P38" s="208">
        <v>0.45</v>
      </c>
      <c r="Q38" s="245">
        <f t="shared" si="0"/>
        <v>0.5</v>
      </c>
      <c r="R38" s="188">
        <v>13.8</v>
      </c>
      <c r="S38" s="188">
        <v>140</v>
      </c>
      <c r="T38" s="217">
        <f t="shared" si="1"/>
        <v>30</v>
      </c>
      <c r="U38" s="193">
        <v>127</v>
      </c>
      <c r="V38" s="184">
        <f t="shared" si="2"/>
        <v>952.5</v>
      </c>
      <c r="W38" s="190">
        <v>8</v>
      </c>
      <c r="X38" s="186" t="s">
        <v>46</v>
      </c>
      <c r="Y38" s="194" t="s">
        <v>88</v>
      </c>
      <c r="Z38" s="194" t="s">
        <v>102</v>
      </c>
      <c r="AA38" s="194" t="s">
        <v>97</v>
      </c>
      <c r="AB38" s="55" t="s">
        <v>340</v>
      </c>
    </row>
    <row r="39" spans="1:28" x14ac:dyDescent="0.15">
      <c r="A39" s="177" t="s">
        <v>34</v>
      </c>
      <c r="B39" s="177" t="s">
        <v>338</v>
      </c>
      <c r="C39" s="177">
        <v>2018</v>
      </c>
      <c r="D39" s="179" t="s">
        <v>510</v>
      </c>
      <c r="E39" s="178" t="s">
        <v>280</v>
      </c>
      <c r="F39" s="177" t="s">
        <v>288</v>
      </c>
      <c r="G39" s="180" t="s">
        <v>42</v>
      </c>
      <c r="H39" s="137" t="s">
        <v>157</v>
      </c>
      <c r="I39" s="137" t="s">
        <v>155</v>
      </c>
      <c r="J39" s="137" t="s">
        <v>38</v>
      </c>
      <c r="K39" s="137" t="s">
        <v>156</v>
      </c>
      <c r="L39" s="208">
        <v>2</v>
      </c>
      <c r="N39" s="208">
        <v>4</v>
      </c>
      <c r="O39" s="208">
        <v>0.45</v>
      </c>
      <c r="P39" s="208">
        <v>0.4</v>
      </c>
      <c r="Q39" s="245">
        <f t="shared" si="0"/>
        <v>0.42500000000000004</v>
      </c>
      <c r="R39" s="188">
        <v>14.1</v>
      </c>
      <c r="S39" s="188">
        <v>142</v>
      </c>
      <c r="T39" s="217">
        <f t="shared" si="1"/>
        <v>30</v>
      </c>
      <c r="U39" s="193">
        <v>127</v>
      </c>
      <c r="V39" s="184">
        <f t="shared" si="2"/>
        <v>952.5</v>
      </c>
      <c r="W39" s="190">
        <v>8</v>
      </c>
      <c r="X39" s="186" t="s">
        <v>46</v>
      </c>
      <c r="Y39" s="194" t="s">
        <v>88</v>
      </c>
      <c r="Z39" s="194" t="s">
        <v>102</v>
      </c>
      <c r="AA39" s="194" t="s">
        <v>97</v>
      </c>
      <c r="AB39" s="55" t="s">
        <v>340</v>
      </c>
    </row>
    <row r="40" spans="1:28" ht="12.75" customHeight="1" x14ac:dyDescent="0.15">
      <c r="A40" s="177" t="s">
        <v>34</v>
      </c>
      <c r="B40" s="177" t="s">
        <v>338</v>
      </c>
      <c r="C40" s="178">
        <v>2018</v>
      </c>
      <c r="D40" s="179" t="s">
        <v>510</v>
      </c>
      <c r="E40" s="178" t="s">
        <v>280</v>
      </c>
      <c r="F40" s="177" t="s">
        <v>288</v>
      </c>
      <c r="G40" s="180" t="s">
        <v>42</v>
      </c>
      <c r="H40" s="137" t="s">
        <v>157</v>
      </c>
      <c r="I40" s="137" t="s">
        <v>155</v>
      </c>
      <c r="J40" s="137" t="s">
        <v>38</v>
      </c>
      <c r="K40" s="137" t="s">
        <v>156</v>
      </c>
      <c r="L40" s="208">
        <v>3</v>
      </c>
      <c r="N40" s="208">
        <v>4</v>
      </c>
      <c r="O40" s="208">
        <v>0.5</v>
      </c>
      <c r="P40" s="208">
        <v>0.5</v>
      </c>
      <c r="Q40" s="245">
        <f t="shared" si="0"/>
        <v>0.5</v>
      </c>
      <c r="R40" s="188">
        <v>14.4</v>
      </c>
      <c r="S40" s="188">
        <v>148</v>
      </c>
      <c r="T40" s="217">
        <f t="shared" si="1"/>
        <v>30</v>
      </c>
      <c r="U40" s="193">
        <v>127</v>
      </c>
      <c r="V40" s="184">
        <f t="shared" si="2"/>
        <v>952.5</v>
      </c>
      <c r="W40" s="190">
        <v>8</v>
      </c>
      <c r="X40" s="186" t="s">
        <v>46</v>
      </c>
      <c r="Y40" s="194" t="s">
        <v>88</v>
      </c>
      <c r="Z40" s="194" t="s">
        <v>102</v>
      </c>
      <c r="AA40" s="194" t="s">
        <v>97</v>
      </c>
      <c r="AB40" s="55" t="s">
        <v>340</v>
      </c>
    </row>
    <row r="41" spans="1:28" ht="12.75" customHeight="1" x14ac:dyDescent="0.15">
      <c r="A41" s="137" t="s">
        <v>34</v>
      </c>
      <c r="B41" s="177" t="s">
        <v>338</v>
      </c>
      <c r="C41" s="178">
        <v>2018</v>
      </c>
      <c r="D41" s="179" t="s">
        <v>510</v>
      </c>
      <c r="E41" s="178" t="s">
        <v>280</v>
      </c>
      <c r="F41" s="177" t="s">
        <v>288</v>
      </c>
      <c r="G41" s="180" t="s">
        <v>42</v>
      </c>
      <c r="H41" s="137" t="s">
        <v>166</v>
      </c>
      <c r="I41" s="137" t="s">
        <v>155</v>
      </c>
      <c r="J41" s="137" t="s">
        <v>38</v>
      </c>
      <c r="K41" s="137" t="s">
        <v>156</v>
      </c>
      <c r="L41" s="208">
        <v>1</v>
      </c>
      <c r="N41" s="208">
        <v>1</v>
      </c>
      <c r="O41" s="208">
        <v>0.7</v>
      </c>
      <c r="P41" s="208">
        <v>0.55000000000000004</v>
      </c>
      <c r="Q41" s="245">
        <f t="shared" si="0"/>
        <v>0.625</v>
      </c>
      <c r="R41" s="188">
        <v>15.3</v>
      </c>
      <c r="S41" s="188">
        <v>150</v>
      </c>
      <c r="T41" s="217">
        <f t="shared" si="1"/>
        <v>30</v>
      </c>
      <c r="U41" s="193">
        <v>127</v>
      </c>
      <c r="V41" s="184">
        <f t="shared" si="2"/>
        <v>3810</v>
      </c>
      <c r="W41" s="247">
        <v>8</v>
      </c>
      <c r="X41" s="186" t="s">
        <v>46</v>
      </c>
      <c r="Y41" s="198" t="s">
        <v>88</v>
      </c>
      <c r="Z41" s="198" t="s">
        <v>102</v>
      </c>
      <c r="AA41" s="198" t="s">
        <v>97</v>
      </c>
      <c r="AB41" s="55" t="s">
        <v>340</v>
      </c>
    </row>
    <row r="42" spans="1:28" ht="12.75" customHeight="1" x14ac:dyDescent="0.15">
      <c r="A42" s="137" t="s">
        <v>34</v>
      </c>
      <c r="B42" s="177" t="s">
        <v>338</v>
      </c>
      <c r="C42" s="178">
        <v>2018</v>
      </c>
      <c r="D42" s="179" t="s">
        <v>510</v>
      </c>
      <c r="E42" s="178" t="s">
        <v>280</v>
      </c>
      <c r="F42" s="177" t="s">
        <v>288</v>
      </c>
      <c r="G42" s="180" t="s">
        <v>42</v>
      </c>
      <c r="H42" s="137" t="s">
        <v>166</v>
      </c>
      <c r="I42" s="137" t="s">
        <v>155</v>
      </c>
      <c r="J42" s="137" t="s">
        <v>38</v>
      </c>
      <c r="K42" s="137" t="s">
        <v>156</v>
      </c>
      <c r="L42" s="208">
        <v>2</v>
      </c>
      <c r="N42" s="208">
        <v>1</v>
      </c>
      <c r="O42" s="208">
        <v>0.6</v>
      </c>
      <c r="P42" s="208">
        <v>0.55000000000000004</v>
      </c>
      <c r="Q42" s="245">
        <f t="shared" si="0"/>
        <v>0.57499999999999996</v>
      </c>
      <c r="R42" s="188">
        <v>15.5</v>
      </c>
      <c r="S42" s="188">
        <v>157</v>
      </c>
      <c r="T42" s="217">
        <f t="shared" si="1"/>
        <v>30</v>
      </c>
      <c r="U42" s="193">
        <v>127</v>
      </c>
      <c r="V42" s="184">
        <f t="shared" si="2"/>
        <v>3810</v>
      </c>
      <c r="W42" s="247">
        <v>8</v>
      </c>
      <c r="X42" s="186" t="s">
        <v>46</v>
      </c>
      <c r="Y42" s="198" t="s">
        <v>88</v>
      </c>
      <c r="Z42" s="198" t="s">
        <v>102</v>
      </c>
      <c r="AA42" s="198" t="s">
        <v>97</v>
      </c>
      <c r="AB42" s="55" t="s">
        <v>340</v>
      </c>
    </row>
    <row r="43" spans="1:28" ht="12.75" customHeight="1" x14ac:dyDescent="0.15">
      <c r="A43" s="137" t="s">
        <v>34</v>
      </c>
      <c r="B43" s="177" t="s">
        <v>338</v>
      </c>
      <c r="C43" s="178">
        <v>2018</v>
      </c>
      <c r="D43" s="179" t="s">
        <v>510</v>
      </c>
      <c r="E43" s="178" t="s">
        <v>280</v>
      </c>
      <c r="F43" s="177" t="s">
        <v>288</v>
      </c>
      <c r="G43" s="180" t="s">
        <v>42</v>
      </c>
      <c r="H43" s="137" t="s">
        <v>166</v>
      </c>
      <c r="I43" s="137" t="s">
        <v>155</v>
      </c>
      <c r="J43" s="137" t="s">
        <v>38</v>
      </c>
      <c r="K43" s="137" t="s">
        <v>156</v>
      </c>
      <c r="L43" s="208">
        <v>3</v>
      </c>
      <c r="N43" s="208">
        <v>1</v>
      </c>
      <c r="O43" s="208">
        <v>0.55000000000000004</v>
      </c>
      <c r="P43" s="208">
        <v>0.45</v>
      </c>
      <c r="Q43" s="245">
        <f t="shared" si="0"/>
        <v>0.5</v>
      </c>
      <c r="R43" s="188">
        <v>15.7</v>
      </c>
      <c r="S43" s="188">
        <v>149</v>
      </c>
      <c r="T43" s="217">
        <f t="shared" si="1"/>
        <v>30</v>
      </c>
      <c r="U43" s="193">
        <v>127</v>
      </c>
      <c r="V43" s="184">
        <f t="shared" si="2"/>
        <v>3810</v>
      </c>
      <c r="W43" s="247">
        <v>8</v>
      </c>
      <c r="X43" s="186" t="s">
        <v>46</v>
      </c>
      <c r="Y43" s="198" t="s">
        <v>88</v>
      </c>
      <c r="Z43" s="198" t="s">
        <v>102</v>
      </c>
      <c r="AA43" s="198" t="s">
        <v>97</v>
      </c>
      <c r="AB43" s="55" t="s">
        <v>340</v>
      </c>
    </row>
    <row r="44" spans="1:28" x14ac:dyDescent="0.15">
      <c r="A44" s="208" t="s">
        <v>34</v>
      </c>
      <c r="B44" s="177" t="s">
        <v>338</v>
      </c>
      <c r="C44" s="178">
        <v>2018</v>
      </c>
      <c r="D44" s="179" t="s">
        <v>510</v>
      </c>
      <c r="E44" s="178" t="s">
        <v>139</v>
      </c>
      <c r="F44" s="177" t="s">
        <v>288</v>
      </c>
      <c r="G44" s="180" t="s">
        <v>36</v>
      </c>
      <c r="H44" s="137" t="s">
        <v>157</v>
      </c>
      <c r="I44" s="137" t="s">
        <v>155</v>
      </c>
      <c r="J44" s="247" t="s">
        <v>38</v>
      </c>
      <c r="K44" s="137" t="s">
        <v>156</v>
      </c>
      <c r="L44" s="208">
        <v>1</v>
      </c>
      <c r="N44" s="208">
        <v>1</v>
      </c>
      <c r="O44" s="208">
        <v>0.85</v>
      </c>
      <c r="P44" s="208">
        <v>0.7</v>
      </c>
      <c r="Q44" s="245">
        <f t="shared" si="0"/>
        <v>0.77499999999999991</v>
      </c>
      <c r="R44" s="188">
        <v>14.1</v>
      </c>
      <c r="S44" s="188">
        <v>108</v>
      </c>
      <c r="T44" s="217">
        <f t="shared" si="1"/>
        <v>33</v>
      </c>
      <c r="U44" s="193">
        <v>78</v>
      </c>
      <c r="V44" s="217">
        <f t="shared" si="2"/>
        <v>2574</v>
      </c>
      <c r="W44" s="208">
        <v>12</v>
      </c>
      <c r="X44" s="186" t="s">
        <v>46</v>
      </c>
      <c r="Y44" s="198" t="s">
        <v>102</v>
      </c>
      <c r="Z44" s="198" t="s">
        <v>97</v>
      </c>
      <c r="AA44" s="198" t="s">
        <v>88</v>
      </c>
      <c r="AB44" s="55" t="s">
        <v>340</v>
      </c>
    </row>
    <row r="45" spans="1:28" x14ac:dyDescent="0.15">
      <c r="A45" s="208" t="s">
        <v>34</v>
      </c>
      <c r="B45" s="177" t="s">
        <v>338</v>
      </c>
      <c r="C45" s="177">
        <v>2018</v>
      </c>
      <c r="D45" s="179" t="s">
        <v>510</v>
      </c>
      <c r="E45" s="178" t="s">
        <v>139</v>
      </c>
      <c r="F45" s="177" t="s">
        <v>288</v>
      </c>
      <c r="G45" s="180" t="s">
        <v>36</v>
      </c>
      <c r="H45" s="137" t="s">
        <v>157</v>
      </c>
      <c r="I45" s="137" t="s">
        <v>155</v>
      </c>
      <c r="J45" s="247" t="s">
        <v>38</v>
      </c>
      <c r="K45" s="137" t="s">
        <v>156</v>
      </c>
      <c r="L45" s="208">
        <v>2</v>
      </c>
      <c r="N45" s="208">
        <v>1</v>
      </c>
      <c r="O45" s="208">
        <v>0.7</v>
      </c>
      <c r="P45" s="208">
        <v>0.75</v>
      </c>
      <c r="Q45" s="245">
        <f t="shared" si="0"/>
        <v>0.72499999999999998</v>
      </c>
      <c r="R45" s="188">
        <v>13.9</v>
      </c>
      <c r="S45" s="188">
        <v>107</v>
      </c>
      <c r="T45" s="217">
        <f t="shared" si="1"/>
        <v>33</v>
      </c>
      <c r="U45" s="193">
        <v>78</v>
      </c>
      <c r="V45" s="217">
        <f t="shared" si="2"/>
        <v>2574</v>
      </c>
      <c r="W45" s="208">
        <v>12</v>
      </c>
      <c r="X45" s="186" t="s">
        <v>46</v>
      </c>
      <c r="Y45" s="198" t="s">
        <v>102</v>
      </c>
      <c r="Z45" s="198" t="s">
        <v>97</v>
      </c>
      <c r="AA45" s="198" t="s">
        <v>88</v>
      </c>
      <c r="AB45" s="55" t="s">
        <v>340</v>
      </c>
    </row>
    <row r="46" spans="1:28" x14ac:dyDescent="0.15">
      <c r="A46" s="208" t="s">
        <v>34</v>
      </c>
      <c r="B46" s="177" t="s">
        <v>338</v>
      </c>
      <c r="C46" s="178">
        <v>2018</v>
      </c>
      <c r="D46" s="179" t="s">
        <v>510</v>
      </c>
      <c r="E46" s="178" t="s">
        <v>139</v>
      </c>
      <c r="F46" s="177" t="s">
        <v>288</v>
      </c>
      <c r="G46" s="180" t="s">
        <v>36</v>
      </c>
      <c r="H46" s="137" t="s">
        <v>157</v>
      </c>
      <c r="I46" s="137" t="s">
        <v>155</v>
      </c>
      <c r="J46" s="247" t="s">
        <v>38</v>
      </c>
      <c r="K46" s="137" t="s">
        <v>156</v>
      </c>
      <c r="L46" s="208">
        <v>3</v>
      </c>
      <c r="N46" s="208">
        <v>1</v>
      </c>
      <c r="O46" s="208">
        <v>0.9</v>
      </c>
      <c r="P46" s="208">
        <v>0.8</v>
      </c>
      <c r="Q46" s="245">
        <f t="shared" si="0"/>
        <v>0.85000000000000009</v>
      </c>
      <c r="R46" s="188">
        <v>14.4</v>
      </c>
      <c r="S46" s="188">
        <v>111</v>
      </c>
      <c r="T46" s="217">
        <f t="shared" si="1"/>
        <v>33</v>
      </c>
      <c r="U46" s="193">
        <v>78</v>
      </c>
      <c r="V46" s="217">
        <f t="shared" si="2"/>
        <v>2574</v>
      </c>
      <c r="W46" s="208">
        <v>12</v>
      </c>
      <c r="X46" s="186" t="s">
        <v>46</v>
      </c>
      <c r="Y46" s="198" t="s">
        <v>102</v>
      </c>
      <c r="Z46" s="198" t="s">
        <v>97</v>
      </c>
      <c r="AA46" s="198" t="s">
        <v>88</v>
      </c>
      <c r="AB46" s="55" t="s">
        <v>340</v>
      </c>
    </row>
    <row r="47" spans="1:28" x14ac:dyDescent="0.15">
      <c r="A47" s="208" t="s">
        <v>34</v>
      </c>
      <c r="B47" s="235" t="s">
        <v>338</v>
      </c>
      <c r="C47" s="208">
        <v>2018</v>
      </c>
      <c r="D47" s="179" t="s">
        <v>510</v>
      </c>
      <c r="E47" s="208" t="s">
        <v>139</v>
      </c>
      <c r="F47" s="177" t="s">
        <v>288</v>
      </c>
      <c r="G47" s="180" t="s">
        <v>36</v>
      </c>
      <c r="H47" s="137" t="s">
        <v>166</v>
      </c>
      <c r="I47" s="137" t="s">
        <v>155</v>
      </c>
      <c r="J47" s="247" t="s">
        <v>38</v>
      </c>
      <c r="K47" s="137" t="s">
        <v>156</v>
      </c>
      <c r="L47" s="208">
        <v>1</v>
      </c>
      <c r="N47" s="208">
        <v>1</v>
      </c>
      <c r="O47" s="208">
        <v>0.55000000000000004</v>
      </c>
      <c r="P47" s="208">
        <v>0.5</v>
      </c>
      <c r="Q47" s="245">
        <f t="shared" si="0"/>
        <v>0.52500000000000002</v>
      </c>
      <c r="R47" s="188">
        <v>15.9</v>
      </c>
      <c r="S47" s="188">
        <v>124</v>
      </c>
      <c r="T47" s="217">
        <f t="shared" si="1"/>
        <v>30</v>
      </c>
      <c r="U47" s="208">
        <v>158</v>
      </c>
      <c r="V47" s="217">
        <f t="shared" si="2"/>
        <v>4740</v>
      </c>
      <c r="W47" s="208">
        <v>12</v>
      </c>
      <c r="X47" s="186" t="s">
        <v>46</v>
      </c>
      <c r="Y47" s="208" t="s">
        <v>102</v>
      </c>
      <c r="Z47" s="208" t="s">
        <v>97</v>
      </c>
      <c r="AA47" s="208" t="s">
        <v>88</v>
      </c>
      <c r="AB47" s="55" t="s">
        <v>340</v>
      </c>
    </row>
    <row r="48" spans="1:28" x14ac:dyDescent="0.15">
      <c r="A48" s="208" t="s">
        <v>34</v>
      </c>
      <c r="B48" s="235" t="s">
        <v>338</v>
      </c>
      <c r="C48" s="208">
        <v>2018</v>
      </c>
      <c r="D48" s="179" t="s">
        <v>510</v>
      </c>
      <c r="E48" s="208" t="s">
        <v>139</v>
      </c>
      <c r="F48" s="177" t="s">
        <v>288</v>
      </c>
      <c r="G48" s="180" t="s">
        <v>36</v>
      </c>
      <c r="H48" s="137" t="s">
        <v>166</v>
      </c>
      <c r="I48" s="137" t="s">
        <v>155</v>
      </c>
      <c r="J48" s="247" t="s">
        <v>38</v>
      </c>
      <c r="K48" s="137" t="s">
        <v>156</v>
      </c>
      <c r="L48" s="208">
        <v>2</v>
      </c>
      <c r="N48" s="208">
        <v>1</v>
      </c>
      <c r="O48" s="208">
        <v>0.55000000000000004</v>
      </c>
      <c r="P48" s="208">
        <v>0.5</v>
      </c>
      <c r="Q48" s="245">
        <f t="shared" si="0"/>
        <v>0.52500000000000002</v>
      </c>
      <c r="R48" s="188">
        <v>16.2</v>
      </c>
      <c r="S48" s="188">
        <v>124</v>
      </c>
      <c r="T48" s="217">
        <f t="shared" si="1"/>
        <v>30</v>
      </c>
      <c r="U48" s="208">
        <v>158</v>
      </c>
      <c r="V48" s="217">
        <f t="shared" si="2"/>
        <v>4740</v>
      </c>
      <c r="W48" s="208">
        <v>12</v>
      </c>
      <c r="X48" s="186" t="s">
        <v>46</v>
      </c>
      <c r="Y48" s="208" t="s">
        <v>102</v>
      </c>
      <c r="Z48" s="208" t="s">
        <v>97</v>
      </c>
      <c r="AA48" s="208" t="s">
        <v>88</v>
      </c>
      <c r="AB48" s="55" t="s">
        <v>340</v>
      </c>
    </row>
    <row r="49" spans="1:28" x14ac:dyDescent="0.15">
      <c r="A49" s="208" t="s">
        <v>34</v>
      </c>
      <c r="B49" s="235" t="s">
        <v>338</v>
      </c>
      <c r="C49" s="208">
        <v>2018</v>
      </c>
      <c r="D49" s="179" t="s">
        <v>510</v>
      </c>
      <c r="E49" s="208" t="s">
        <v>139</v>
      </c>
      <c r="F49" s="177" t="s">
        <v>288</v>
      </c>
      <c r="G49" s="180" t="s">
        <v>36</v>
      </c>
      <c r="H49" s="137" t="s">
        <v>166</v>
      </c>
      <c r="I49" s="137" t="s">
        <v>155</v>
      </c>
      <c r="J49" s="247" t="s">
        <v>38</v>
      </c>
      <c r="K49" s="137" t="s">
        <v>156</v>
      </c>
      <c r="L49" s="208">
        <v>3</v>
      </c>
      <c r="N49" s="208">
        <v>1</v>
      </c>
      <c r="O49" s="208">
        <v>0.45</v>
      </c>
      <c r="P49" s="208">
        <v>0.4</v>
      </c>
      <c r="Q49" s="245">
        <f t="shared" si="0"/>
        <v>0.42500000000000004</v>
      </c>
      <c r="R49" s="188">
        <v>16.3</v>
      </c>
      <c r="S49" s="188">
        <v>121</v>
      </c>
      <c r="T49" s="217">
        <f t="shared" si="1"/>
        <v>30</v>
      </c>
      <c r="U49" s="208">
        <v>158</v>
      </c>
      <c r="V49" s="217">
        <f t="shared" si="2"/>
        <v>4740</v>
      </c>
      <c r="W49" s="208">
        <v>12</v>
      </c>
      <c r="X49" s="186" t="s">
        <v>46</v>
      </c>
      <c r="Y49" s="208" t="s">
        <v>102</v>
      </c>
      <c r="Z49" s="208" t="s">
        <v>97</v>
      </c>
      <c r="AA49" s="208" t="s">
        <v>88</v>
      </c>
      <c r="AB49" s="55" t="s">
        <v>340</v>
      </c>
    </row>
    <row r="50" spans="1:28" x14ac:dyDescent="0.15">
      <c r="A50" s="208" t="s">
        <v>34</v>
      </c>
      <c r="B50" s="208" t="s">
        <v>338</v>
      </c>
      <c r="C50" s="208">
        <v>2018</v>
      </c>
      <c r="D50" s="179" t="s">
        <v>510</v>
      </c>
      <c r="E50" s="208" t="s">
        <v>133</v>
      </c>
      <c r="F50" s="177" t="s">
        <v>282</v>
      </c>
      <c r="G50" s="180" t="s">
        <v>36</v>
      </c>
      <c r="H50" s="247" t="s">
        <v>157</v>
      </c>
      <c r="I50" s="247" t="s">
        <v>155</v>
      </c>
      <c r="J50" s="247" t="s">
        <v>38</v>
      </c>
      <c r="K50" s="137" t="s">
        <v>156</v>
      </c>
      <c r="L50" s="208">
        <v>1</v>
      </c>
      <c r="N50" s="208">
        <v>1</v>
      </c>
      <c r="O50" s="208">
        <v>0.55000000000000004</v>
      </c>
      <c r="P50" s="208">
        <v>0.6</v>
      </c>
      <c r="Q50" s="245">
        <f t="shared" si="0"/>
        <v>0.57499999999999996</v>
      </c>
      <c r="R50" s="208">
        <v>13.9</v>
      </c>
      <c r="S50" s="208">
        <v>138</v>
      </c>
      <c r="T50" s="217">
        <f t="shared" si="1"/>
        <v>30</v>
      </c>
      <c r="U50" s="208">
        <v>84</v>
      </c>
      <c r="V50" s="217">
        <f t="shared" si="2"/>
        <v>2520</v>
      </c>
      <c r="W50" s="208">
        <v>16</v>
      </c>
      <c r="X50" s="186" t="s">
        <v>46</v>
      </c>
      <c r="Y50" s="208" t="s">
        <v>97</v>
      </c>
      <c r="Z50" s="208" t="s">
        <v>88</v>
      </c>
      <c r="AA50" s="208" t="s">
        <v>78</v>
      </c>
      <c r="AB50" s="208" t="s">
        <v>340</v>
      </c>
    </row>
    <row r="51" spans="1:28" x14ac:dyDescent="0.15">
      <c r="A51" s="208" t="s">
        <v>34</v>
      </c>
      <c r="B51" s="208" t="s">
        <v>338</v>
      </c>
      <c r="C51" s="208">
        <v>2018</v>
      </c>
      <c r="D51" s="179" t="s">
        <v>510</v>
      </c>
      <c r="E51" s="208" t="s">
        <v>133</v>
      </c>
      <c r="F51" s="177" t="s">
        <v>282</v>
      </c>
      <c r="G51" s="180" t="s">
        <v>36</v>
      </c>
      <c r="H51" s="247" t="s">
        <v>157</v>
      </c>
      <c r="I51" s="247" t="s">
        <v>155</v>
      </c>
      <c r="J51" s="247" t="s">
        <v>38</v>
      </c>
      <c r="K51" s="137" t="s">
        <v>156</v>
      </c>
      <c r="L51" s="208">
        <v>2</v>
      </c>
      <c r="N51" s="208">
        <v>1</v>
      </c>
      <c r="O51" s="208">
        <v>0.7</v>
      </c>
      <c r="P51" s="208">
        <v>0.55000000000000004</v>
      </c>
      <c r="Q51" s="245">
        <f t="shared" si="0"/>
        <v>0.625</v>
      </c>
      <c r="R51" s="208">
        <v>14.4</v>
      </c>
      <c r="S51" s="208">
        <v>142</v>
      </c>
      <c r="T51" s="217">
        <f t="shared" si="1"/>
        <v>30</v>
      </c>
      <c r="U51" s="208">
        <v>84</v>
      </c>
      <c r="V51" s="217">
        <f t="shared" si="2"/>
        <v>2520</v>
      </c>
      <c r="W51" s="208">
        <v>16</v>
      </c>
      <c r="X51" s="186" t="s">
        <v>46</v>
      </c>
      <c r="Y51" s="208" t="s">
        <v>97</v>
      </c>
      <c r="Z51" s="208" t="s">
        <v>88</v>
      </c>
      <c r="AA51" s="208" t="s">
        <v>78</v>
      </c>
      <c r="AB51" s="208" t="s">
        <v>340</v>
      </c>
    </row>
    <row r="52" spans="1:28" x14ac:dyDescent="0.15">
      <c r="A52" s="208" t="s">
        <v>34</v>
      </c>
      <c r="B52" s="208" t="s">
        <v>338</v>
      </c>
      <c r="C52" s="208">
        <v>2018</v>
      </c>
      <c r="D52" s="179" t="s">
        <v>510</v>
      </c>
      <c r="E52" s="208" t="s">
        <v>133</v>
      </c>
      <c r="F52" s="177" t="s">
        <v>282</v>
      </c>
      <c r="G52" s="180" t="s">
        <v>36</v>
      </c>
      <c r="H52" s="247" t="s">
        <v>157</v>
      </c>
      <c r="I52" s="247" t="s">
        <v>155</v>
      </c>
      <c r="J52" s="247" t="s">
        <v>38</v>
      </c>
      <c r="K52" s="137" t="s">
        <v>156</v>
      </c>
      <c r="L52" s="208">
        <v>3</v>
      </c>
      <c r="N52" s="208">
        <v>1</v>
      </c>
      <c r="O52" s="208">
        <v>0.75</v>
      </c>
      <c r="P52" s="208">
        <v>0.7</v>
      </c>
      <c r="Q52" s="245">
        <f t="shared" si="0"/>
        <v>0.72499999999999998</v>
      </c>
      <c r="R52" s="208">
        <v>14.3</v>
      </c>
      <c r="S52" s="208">
        <v>142</v>
      </c>
      <c r="T52" s="217">
        <f t="shared" si="1"/>
        <v>30</v>
      </c>
      <c r="U52" s="208">
        <v>84</v>
      </c>
      <c r="V52" s="217">
        <f t="shared" si="2"/>
        <v>2520</v>
      </c>
      <c r="W52" s="208">
        <v>16</v>
      </c>
      <c r="X52" s="186" t="s">
        <v>46</v>
      </c>
      <c r="Y52" s="208" t="s">
        <v>97</v>
      </c>
      <c r="Z52" s="208" t="s">
        <v>88</v>
      </c>
      <c r="AA52" s="208" t="s">
        <v>78</v>
      </c>
      <c r="AB52" s="208" t="s">
        <v>340</v>
      </c>
    </row>
    <row r="53" spans="1:28" x14ac:dyDescent="0.15">
      <c r="A53" s="208" t="s">
        <v>34</v>
      </c>
      <c r="B53" s="208" t="s">
        <v>338</v>
      </c>
      <c r="C53" s="208">
        <v>2018</v>
      </c>
      <c r="D53" s="179" t="s">
        <v>510</v>
      </c>
      <c r="E53" s="208" t="s">
        <v>133</v>
      </c>
      <c r="F53" s="177" t="s">
        <v>282</v>
      </c>
      <c r="G53" s="180" t="s">
        <v>36</v>
      </c>
      <c r="H53" s="247" t="s">
        <v>166</v>
      </c>
      <c r="I53" s="247" t="s">
        <v>155</v>
      </c>
      <c r="J53" s="247" t="s">
        <v>38</v>
      </c>
      <c r="K53" s="137" t="s">
        <v>156</v>
      </c>
      <c r="L53" s="208">
        <v>1</v>
      </c>
      <c r="N53" s="208">
        <v>1</v>
      </c>
      <c r="O53" s="208">
        <v>0.8</v>
      </c>
      <c r="P53" s="208">
        <v>0.65</v>
      </c>
      <c r="Q53" s="245">
        <f t="shared" si="0"/>
        <v>0.72500000000000009</v>
      </c>
      <c r="R53" s="208">
        <v>16.600000000000001</v>
      </c>
      <c r="S53" s="208">
        <v>155</v>
      </c>
      <c r="T53" s="217">
        <f t="shared" si="1"/>
        <v>30</v>
      </c>
      <c r="U53" s="208">
        <v>149</v>
      </c>
      <c r="V53" s="217">
        <f t="shared" si="2"/>
        <v>4470</v>
      </c>
      <c r="W53" s="208">
        <v>16</v>
      </c>
      <c r="X53" s="186" t="s">
        <v>46</v>
      </c>
      <c r="Y53" s="208" t="s">
        <v>97</v>
      </c>
      <c r="Z53" s="208" t="s">
        <v>88</v>
      </c>
      <c r="AA53" s="208" t="s">
        <v>78</v>
      </c>
      <c r="AB53" s="208" t="s">
        <v>340</v>
      </c>
    </row>
    <row r="54" spans="1:28" x14ac:dyDescent="0.15">
      <c r="A54" s="208" t="s">
        <v>34</v>
      </c>
      <c r="B54" s="208" t="s">
        <v>338</v>
      </c>
      <c r="C54" s="208">
        <v>2018</v>
      </c>
      <c r="D54" s="179" t="s">
        <v>510</v>
      </c>
      <c r="E54" s="208" t="s">
        <v>133</v>
      </c>
      <c r="F54" s="177" t="s">
        <v>282</v>
      </c>
      <c r="G54" s="180" t="s">
        <v>36</v>
      </c>
      <c r="H54" s="247" t="s">
        <v>166</v>
      </c>
      <c r="I54" s="247" t="s">
        <v>155</v>
      </c>
      <c r="J54" s="247" t="s">
        <v>38</v>
      </c>
      <c r="K54" s="137" t="s">
        <v>156</v>
      </c>
      <c r="L54" s="208">
        <v>2</v>
      </c>
      <c r="N54" s="208">
        <v>1</v>
      </c>
      <c r="O54" s="208">
        <v>0.65</v>
      </c>
      <c r="P54" s="208">
        <v>0.7</v>
      </c>
      <c r="Q54" s="245">
        <f t="shared" si="0"/>
        <v>0.67500000000000004</v>
      </c>
      <c r="R54" s="208">
        <v>16.7</v>
      </c>
      <c r="S54" s="208">
        <v>151</v>
      </c>
      <c r="T54" s="217">
        <f t="shared" si="1"/>
        <v>30</v>
      </c>
      <c r="U54" s="208">
        <v>149</v>
      </c>
      <c r="V54" s="217">
        <f t="shared" si="2"/>
        <v>4470</v>
      </c>
      <c r="W54" s="208">
        <v>16</v>
      </c>
      <c r="X54" s="186" t="s">
        <v>46</v>
      </c>
      <c r="Y54" s="208" t="s">
        <v>97</v>
      </c>
      <c r="Z54" s="208" t="s">
        <v>88</v>
      </c>
      <c r="AA54" s="208" t="s">
        <v>78</v>
      </c>
      <c r="AB54" s="208" t="s">
        <v>340</v>
      </c>
    </row>
    <row r="55" spans="1:28" x14ac:dyDescent="0.15">
      <c r="A55" s="208" t="s">
        <v>34</v>
      </c>
      <c r="B55" s="208" t="s">
        <v>338</v>
      </c>
      <c r="C55" s="208">
        <v>2018</v>
      </c>
      <c r="D55" s="179" t="s">
        <v>510</v>
      </c>
      <c r="E55" s="208" t="s">
        <v>133</v>
      </c>
      <c r="F55" s="177" t="s">
        <v>282</v>
      </c>
      <c r="G55" s="180" t="s">
        <v>36</v>
      </c>
      <c r="H55" s="247" t="s">
        <v>166</v>
      </c>
      <c r="I55" s="247" t="s">
        <v>155</v>
      </c>
      <c r="J55" s="247" t="s">
        <v>38</v>
      </c>
      <c r="K55" s="137" t="s">
        <v>156</v>
      </c>
      <c r="L55" s="208">
        <v>3</v>
      </c>
      <c r="N55" s="208">
        <v>1</v>
      </c>
      <c r="O55" s="208">
        <v>0.8</v>
      </c>
      <c r="P55" s="208">
        <v>0.65</v>
      </c>
      <c r="Q55" s="245">
        <f t="shared" si="0"/>
        <v>0.72500000000000009</v>
      </c>
      <c r="R55" s="208">
        <v>15.8</v>
      </c>
      <c r="S55" s="208">
        <v>164</v>
      </c>
      <c r="T55" s="217">
        <f t="shared" si="1"/>
        <v>30</v>
      </c>
      <c r="U55" s="208">
        <v>149</v>
      </c>
      <c r="V55" s="217">
        <f t="shared" si="2"/>
        <v>4470</v>
      </c>
      <c r="W55" s="208">
        <v>16</v>
      </c>
      <c r="X55" s="186" t="s">
        <v>46</v>
      </c>
      <c r="Y55" s="208" t="s">
        <v>97</v>
      </c>
      <c r="Z55" s="208" t="s">
        <v>88</v>
      </c>
      <c r="AA55" s="208" t="s">
        <v>78</v>
      </c>
      <c r="AB55" s="208" t="s">
        <v>340</v>
      </c>
    </row>
    <row r="56" spans="1:28" x14ac:dyDescent="0.15">
      <c r="A56" s="208" t="s">
        <v>34</v>
      </c>
      <c r="B56" s="208" t="s">
        <v>338</v>
      </c>
      <c r="C56" s="208">
        <v>2018</v>
      </c>
      <c r="D56" s="179" t="s">
        <v>510</v>
      </c>
      <c r="E56" s="208" t="s">
        <v>205</v>
      </c>
      <c r="F56" s="177" t="s">
        <v>285</v>
      </c>
      <c r="G56" s="180" t="s">
        <v>36</v>
      </c>
      <c r="H56" s="247" t="s">
        <v>157</v>
      </c>
      <c r="I56" s="247" t="s">
        <v>155</v>
      </c>
      <c r="J56" s="247" t="s">
        <v>38</v>
      </c>
      <c r="K56" s="137" t="s">
        <v>156</v>
      </c>
      <c r="L56" s="208">
        <v>1</v>
      </c>
      <c r="N56" s="208">
        <v>1</v>
      </c>
      <c r="O56" s="208">
        <v>0.35</v>
      </c>
      <c r="P56" s="208">
        <v>0.4</v>
      </c>
      <c r="Q56" s="245">
        <f t="shared" si="0"/>
        <v>0.375</v>
      </c>
      <c r="R56" s="208">
        <v>13.8</v>
      </c>
      <c r="S56" s="208">
        <v>129</v>
      </c>
      <c r="T56" s="217">
        <f t="shared" si="1"/>
        <v>30</v>
      </c>
      <c r="U56" s="208">
        <v>128</v>
      </c>
      <c r="V56" s="217">
        <f t="shared" si="2"/>
        <v>3840</v>
      </c>
      <c r="W56" s="208">
        <v>6</v>
      </c>
      <c r="X56" s="186" t="s">
        <v>46</v>
      </c>
      <c r="Y56" s="208" t="s">
        <v>102</v>
      </c>
      <c r="Z56" s="208" t="s">
        <v>88</v>
      </c>
      <c r="AA56" s="208" t="s">
        <v>78</v>
      </c>
      <c r="AB56" s="208" t="s">
        <v>340</v>
      </c>
    </row>
    <row r="57" spans="1:28" x14ac:dyDescent="0.15">
      <c r="A57" s="208" t="s">
        <v>34</v>
      </c>
      <c r="B57" s="208" t="s">
        <v>338</v>
      </c>
      <c r="C57" s="208">
        <v>2018</v>
      </c>
      <c r="D57" s="179" t="s">
        <v>510</v>
      </c>
      <c r="E57" s="208" t="s">
        <v>205</v>
      </c>
      <c r="F57" s="177" t="s">
        <v>285</v>
      </c>
      <c r="G57" s="180" t="s">
        <v>36</v>
      </c>
      <c r="H57" s="247" t="s">
        <v>157</v>
      </c>
      <c r="I57" s="247" t="s">
        <v>155</v>
      </c>
      <c r="J57" s="247" t="s">
        <v>38</v>
      </c>
      <c r="K57" s="137" t="s">
        <v>156</v>
      </c>
      <c r="L57" s="208">
        <v>2</v>
      </c>
      <c r="N57" s="208">
        <v>1</v>
      </c>
      <c r="O57" s="208">
        <v>0.4</v>
      </c>
      <c r="P57" s="208">
        <v>0.45</v>
      </c>
      <c r="Q57" s="245">
        <f t="shared" si="0"/>
        <v>0.42500000000000004</v>
      </c>
      <c r="R57" s="208">
        <v>14.5</v>
      </c>
      <c r="S57" s="208">
        <v>132</v>
      </c>
      <c r="T57" s="217">
        <f t="shared" si="1"/>
        <v>30</v>
      </c>
      <c r="U57" s="208">
        <v>128</v>
      </c>
      <c r="V57" s="217">
        <f t="shared" si="2"/>
        <v>3840</v>
      </c>
      <c r="W57" s="208">
        <v>6</v>
      </c>
      <c r="X57" s="186" t="s">
        <v>46</v>
      </c>
      <c r="Y57" s="208" t="s">
        <v>102</v>
      </c>
      <c r="Z57" s="208" t="s">
        <v>88</v>
      </c>
      <c r="AA57" s="208" t="s">
        <v>78</v>
      </c>
      <c r="AB57" s="208" t="s">
        <v>340</v>
      </c>
    </row>
    <row r="58" spans="1:28" x14ac:dyDescent="0.15">
      <c r="A58" s="208" t="s">
        <v>34</v>
      </c>
      <c r="B58" s="208" t="s">
        <v>338</v>
      </c>
      <c r="C58" s="208">
        <v>2018</v>
      </c>
      <c r="D58" s="179" t="s">
        <v>510</v>
      </c>
      <c r="E58" s="208" t="s">
        <v>205</v>
      </c>
      <c r="F58" s="177" t="s">
        <v>285</v>
      </c>
      <c r="G58" s="180" t="s">
        <v>36</v>
      </c>
      <c r="H58" s="247" t="s">
        <v>157</v>
      </c>
      <c r="I58" s="247" t="s">
        <v>155</v>
      </c>
      <c r="J58" s="247" t="s">
        <v>38</v>
      </c>
      <c r="K58" s="137" t="s">
        <v>156</v>
      </c>
      <c r="L58" s="208">
        <v>3</v>
      </c>
      <c r="N58" s="208">
        <v>1</v>
      </c>
      <c r="O58" s="208">
        <v>0.5</v>
      </c>
      <c r="P58" s="208">
        <v>0.5</v>
      </c>
      <c r="Q58" s="245">
        <f t="shared" si="0"/>
        <v>0.5</v>
      </c>
      <c r="R58" s="208">
        <v>14.2</v>
      </c>
      <c r="S58" s="208">
        <v>125</v>
      </c>
      <c r="T58" s="217">
        <f t="shared" si="1"/>
        <v>30</v>
      </c>
      <c r="U58" s="208">
        <v>128</v>
      </c>
      <c r="V58" s="217">
        <f t="shared" si="2"/>
        <v>3840</v>
      </c>
      <c r="W58" s="208">
        <v>6</v>
      </c>
      <c r="X58" s="186" t="s">
        <v>46</v>
      </c>
      <c r="Y58" s="208" t="s">
        <v>102</v>
      </c>
      <c r="Z58" s="208" t="s">
        <v>88</v>
      </c>
      <c r="AA58" s="208" t="s">
        <v>78</v>
      </c>
      <c r="AB58" s="208" t="s">
        <v>340</v>
      </c>
    </row>
    <row r="59" spans="1:28" x14ac:dyDescent="0.15">
      <c r="A59" s="208" t="s">
        <v>34</v>
      </c>
      <c r="B59" s="208" t="s">
        <v>338</v>
      </c>
      <c r="C59" s="208">
        <v>2018</v>
      </c>
      <c r="D59" s="179" t="s">
        <v>510</v>
      </c>
      <c r="E59" s="208" t="s">
        <v>205</v>
      </c>
      <c r="F59" s="177" t="s">
        <v>285</v>
      </c>
      <c r="G59" s="180" t="s">
        <v>36</v>
      </c>
      <c r="H59" s="247" t="s">
        <v>166</v>
      </c>
      <c r="I59" s="247" t="s">
        <v>155</v>
      </c>
      <c r="J59" s="247" t="s">
        <v>38</v>
      </c>
      <c r="K59" s="137" t="s">
        <v>156</v>
      </c>
      <c r="L59" s="208">
        <v>1</v>
      </c>
      <c r="N59" s="208">
        <v>1</v>
      </c>
      <c r="O59" s="208">
        <v>0.5</v>
      </c>
      <c r="P59" s="208">
        <v>0.45</v>
      </c>
      <c r="Q59" s="245">
        <f t="shared" si="0"/>
        <v>0.47499999999999998</v>
      </c>
      <c r="R59" s="208">
        <v>17.399999999999999</v>
      </c>
      <c r="S59" s="208">
        <v>151</v>
      </c>
      <c r="T59" s="217">
        <f t="shared" si="1"/>
        <v>30</v>
      </c>
      <c r="U59" s="208">
        <v>128</v>
      </c>
      <c r="V59" s="217">
        <f t="shared" si="2"/>
        <v>3840</v>
      </c>
      <c r="W59" s="208">
        <v>6</v>
      </c>
      <c r="X59" s="186" t="s">
        <v>46</v>
      </c>
      <c r="Y59" s="208" t="s">
        <v>102</v>
      </c>
      <c r="Z59" s="208" t="s">
        <v>88</v>
      </c>
      <c r="AA59" s="208" t="s">
        <v>78</v>
      </c>
      <c r="AB59" s="208" t="s">
        <v>340</v>
      </c>
    </row>
    <row r="60" spans="1:28" x14ac:dyDescent="0.15">
      <c r="A60" s="208" t="s">
        <v>34</v>
      </c>
      <c r="B60" s="208" t="s">
        <v>338</v>
      </c>
      <c r="C60" s="208">
        <v>2018</v>
      </c>
      <c r="D60" s="179" t="s">
        <v>510</v>
      </c>
      <c r="E60" s="208" t="s">
        <v>205</v>
      </c>
      <c r="F60" s="177" t="s">
        <v>285</v>
      </c>
      <c r="G60" s="180" t="s">
        <v>36</v>
      </c>
      <c r="H60" s="247" t="s">
        <v>166</v>
      </c>
      <c r="I60" s="247" t="s">
        <v>155</v>
      </c>
      <c r="J60" s="247" t="s">
        <v>38</v>
      </c>
      <c r="K60" s="137" t="s">
        <v>156</v>
      </c>
      <c r="L60" s="208">
        <v>2</v>
      </c>
      <c r="N60" s="208">
        <v>1</v>
      </c>
      <c r="O60" s="208">
        <v>0.4</v>
      </c>
      <c r="P60" s="208">
        <v>0.4</v>
      </c>
      <c r="Q60" s="245">
        <f t="shared" si="0"/>
        <v>0.4</v>
      </c>
      <c r="R60" s="208">
        <v>16.600000000000001</v>
      </c>
      <c r="S60" s="208">
        <v>146</v>
      </c>
      <c r="T60" s="217">
        <f t="shared" si="1"/>
        <v>30</v>
      </c>
      <c r="U60" s="208">
        <v>128</v>
      </c>
      <c r="V60" s="217">
        <f t="shared" si="2"/>
        <v>3840</v>
      </c>
      <c r="W60" s="208">
        <v>6</v>
      </c>
      <c r="X60" s="186" t="s">
        <v>46</v>
      </c>
      <c r="Y60" s="208" t="s">
        <v>102</v>
      </c>
      <c r="Z60" s="208" t="s">
        <v>88</v>
      </c>
      <c r="AA60" s="208" t="s">
        <v>78</v>
      </c>
      <c r="AB60" s="208" t="s">
        <v>340</v>
      </c>
    </row>
    <row r="61" spans="1:28" x14ac:dyDescent="0.15">
      <c r="A61" s="208" t="s">
        <v>34</v>
      </c>
      <c r="B61" s="208" t="s">
        <v>338</v>
      </c>
      <c r="C61" s="208">
        <v>2018</v>
      </c>
      <c r="D61" s="179" t="s">
        <v>510</v>
      </c>
      <c r="E61" s="208" t="s">
        <v>205</v>
      </c>
      <c r="F61" s="177" t="s">
        <v>285</v>
      </c>
      <c r="G61" s="180" t="s">
        <v>36</v>
      </c>
      <c r="H61" s="247" t="s">
        <v>166</v>
      </c>
      <c r="I61" s="247" t="s">
        <v>155</v>
      </c>
      <c r="J61" s="247" t="s">
        <v>38</v>
      </c>
      <c r="K61" s="137" t="s">
        <v>156</v>
      </c>
      <c r="L61" s="208">
        <v>3</v>
      </c>
      <c r="N61" s="208">
        <v>1</v>
      </c>
      <c r="O61" s="208">
        <v>0.5</v>
      </c>
      <c r="P61" s="208">
        <v>0.45</v>
      </c>
      <c r="Q61" s="245">
        <f t="shared" si="0"/>
        <v>0.47499999999999998</v>
      </c>
      <c r="R61" s="208">
        <v>16.8</v>
      </c>
      <c r="S61" s="208">
        <v>147</v>
      </c>
      <c r="T61" s="217">
        <f t="shared" si="1"/>
        <v>30</v>
      </c>
      <c r="U61" s="208">
        <v>128</v>
      </c>
      <c r="V61" s="217">
        <f t="shared" si="2"/>
        <v>3840</v>
      </c>
      <c r="W61" s="208">
        <v>6</v>
      </c>
      <c r="X61" s="186" t="s">
        <v>46</v>
      </c>
      <c r="Y61" s="208" t="s">
        <v>102</v>
      </c>
      <c r="Z61" s="208" t="s">
        <v>88</v>
      </c>
      <c r="AA61" s="208" t="s">
        <v>78</v>
      </c>
      <c r="AB61" s="208" t="s">
        <v>340</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topLeftCell="A58" zoomScale="85" zoomScaleNormal="85" workbookViewId="0">
      <selection activeCell="G7" sqref="G7"/>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159</v>
      </c>
      <c r="D1" s="203" t="s">
        <v>3</v>
      </c>
      <c r="E1" s="241" t="s">
        <v>4</v>
      </c>
      <c r="F1" s="241" t="s">
        <v>5</v>
      </c>
      <c r="G1" s="241" t="s">
        <v>6</v>
      </c>
      <c r="H1" s="241" t="s">
        <v>7</v>
      </c>
      <c r="I1" s="241" t="s">
        <v>8</v>
      </c>
      <c r="J1" s="241" t="s">
        <v>9</v>
      </c>
      <c r="K1" s="241" t="s">
        <v>10</v>
      </c>
      <c r="L1" s="203" t="s">
        <v>160</v>
      </c>
      <c r="M1" s="203" t="s">
        <v>12</v>
      </c>
      <c r="N1" s="203" t="s">
        <v>13</v>
      </c>
      <c r="O1" s="203" t="s">
        <v>161</v>
      </c>
      <c r="P1" s="203" t="s">
        <v>15</v>
      </c>
      <c r="Q1" s="204" t="s">
        <v>16</v>
      </c>
      <c r="R1" s="203" t="s">
        <v>17</v>
      </c>
      <c r="S1" s="203" t="s">
        <v>18</v>
      </c>
      <c r="T1" s="204" t="s">
        <v>19</v>
      </c>
      <c r="U1" s="205" t="s">
        <v>528</v>
      </c>
      <c r="V1" s="206" t="s">
        <v>20</v>
      </c>
      <c r="W1" s="203" t="s">
        <v>21</v>
      </c>
      <c r="X1" s="241" t="s">
        <v>22</v>
      </c>
      <c r="Y1" s="241" t="s">
        <v>23</v>
      </c>
      <c r="Z1" s="241" t="s">
        <v>529</v>
      </c>
      <c r="AA1" s="242" t="s">
        <v>25</v>
      </c>
      <c r="AB1" s="207" t="s">
        <v>530</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531</v>
      </c>
      <c r="AY1" s="214" t="s">
        <v>532</v>
      </c>
      <c r="AZ1" s="214" t="s">
        <v>533</v>
      </c>
      <c r="BA1" s="215" t="s">
        <v>534</v>
      </c>
    </row>
    <row r="2" spans="1:53" s="216" customFormat="1" x14ac:dyDescent="0.15">
      <c r="A2" s="216" t="s">
        <v>34</v>
      </c>
      <c r="B2" s="208" t="s">
        <v>338</v>
      </c>
      <c r="C2" s="208">
        <v>2018</v>
      </c>
      <c r="D2" s="250" t="s">
        <v>535</v>
      </c>
      <c r="E2" s="237" t="s">
        <v>289</v>
      </c>
      <c r="F2" s="237" t="s">
        <v>333</v>
      </c>
      <c r="G2" s="216" t="s">
        <v>36</v>
      </c>
      <c r="H2" s="208" t="s">
        <v>157</v>
      </c>
      <c r="I2" s="216" t="s">
        <v>155</v>
      </c>
      <c r="J2" s="216" t="s">
        <v>38</v>
      </c>
      <c r="K2" s="216" t="s">
        <v>156</v>
      </c>
      <c r="L2" s="216">
        <v>1</v>
      </c>
      <c r="N2" s="216">
        <v>1</v>
      </c>
      <c r="O2" s="216">
        <v>0.6</v>
      </c>
      <c r="P2" s="216">
        <v>0.6</v>
      </c>
      <c r="Q2" s="245">
        <f t="shared" ref="Q2:Q82" si="0">IF(OR(O2="",P2=""),"",AVERAGE(O2,P2))</f>
        <v>0.6</v>
      </c>
      <c r="R2" s="216">
        <v>16.600000000000001</v>
      </c>
      <c r="S2" s="216">
        <v>121</v>
      </c>
      <c r="T2" s="217">
        <f t="shared" ref="T2:T100" si="1">IF(H2="","",IF(OR(H2="GREEN",H2="GK"),IF(S2&gt;=$AX$2,VLOOKUP(S2,$AX$2:$AY$9,2,1),""),IF(S2&gt;=$AZ$2,VLOOKUP(S2,$AZ$2:$BA$9,2,1),"")))</f>
        <v>30</v>
      </c>
      <c r="U2" s="216">
        <v>138</v>
      </c>
      <c r="V2" s="217">
        <f t="shared" ref="V2:V100" si="2">IF(OR(N2="",U2="",T2=""),"",U2/N2*T2)</f>
        <v>4140</v>
      </c>
      <c r="W2" s="216">
        <v>5</v>
      </c>
      <c r="X2" s="216" t="s">
        <v>46</v>
      </c>
      <c r="Y2" s="216" t="s">
        <v>88</v>
      </c>
      <c r="Z2" s="216" t="s">
        <v>69</v>
      </c>
      <c r="AA2" s="216" t="s">
        <v>55</v>
      </c>
      <c r="AB2" s="216" t="s">
        <v>340</v>
      </c>
      <c r="AE2" s="218" t="s">
        <v>35</v>
      </c>
      <c r="AG2" s="251" t="s">
        <v>286</v>
      </c>
      <c r="AH2" s="243" t="s">
        <v>321</v>
      </c>
      <c r="AJ2" s="219" t="s">
        <v>36</v>
      </c>
      <c r="AL2" s="219" t="s">
        <v>127</v>
      </c>
      <c r="AN2" s="219" t="s">
        <v>37</v>
      </c>
      <c r="AP2" s="219" t="s">
        <v>38</v>
      </c>
      <c r="AR2" s="219" t="s">
        <v>536</v>
      </c>
      <c r="AT2" s="219" t="s">
        <v>39</v>
      </c>
      <c r="AV2" s="248" t="s">
        <v>40</v>
      </c>
      <c r="AX2" s="220">
        <v>1</v>
      </c>
      <c r="AY2" s="221">
        <v>50</v>
      </c>
      <c r="AZ2" s="221">
        <v>1</v>
      </c>
      <c r="BA2" s="222">
        <v>50</v>
      </c>
    </row>
    <row r="3" spans="1:53" x14ac:dyDescent="0.15">
      <c r="A3" s="216" t="s">
        <v>34</v>
      </c>
      <c r="B3" s="208" t="s">
        <v>338</v>
      </c>
      <c r="C3" s="208">
        <v>2018</v>
      </c>
      <c r="D3" s="250" t="s">
        <v>535</v>
      </c>
      <c r="E3" s="237" t="s">
        <v>289</v>
      </c>
      <c r="F3" s="237" t="s">
        <v>333</v>
      </c>
      <c r="G3" s="216" t="s">
        <v>36</v>
      </c>
      <c r="H3" s="208" t="s">
        <v>157</v>
      </c>
      <c r="I3" s="216" t="s">
        <v>155</v>
      </c>
      <c r="J3" s="216" t="s">
        <v>38</v>
      </c>
      <c r="K3" s="216" t="s">
        <v>156</v>
      </c>
      <c r="L3" s="208">
        <v>2</v>
      </c>
      <c r="N3" s="208">
        <v>1</v>
      </c>
      <c r="O3" s="208">
        <v>0.6</v>
      </c>
      <c r="P3" s="208">
        <v>0.6</v>
      </c>
      <c r="Q3" s="245">
        <f t="shared" si="0"/>
        <v>0.6</v>
      </c>
      <c r="R3" s="208">
        <v>12.5</v>
      </c>
      <c r="S3" s="208">
        <v>117</v>
      </c>
      <c r="T3" s="217">
        <f t="shared" si="1"/>
        <v>30</v>
      </c>
      <c r="U3" s="208">
        <v>138</v>
      </c>
      <c r="V3" s="217">
        <f t="shared" si="2"/>
        <v>4140</v>
      </c>
      <c r="W3" s="216">
        <v>5</v>
      </c>
      <c r="X3" s="216" t="s">
        <v>46</v>
      </c>
      <c r="Y3" s="216" t="s">
        <v>88</v>
      </c>
      <c r="Z3" s="216" t="s">
        <v>69</v>
      </c>
      <c r="AA3" s="216" t="s">
        <v>55</v>
      </c>
      <c r="AB3" s="216" t="s">
        <v>340</v>
      </c>
      <c r="AC3" s="216"/>
      <c r="AE3" s="223" t="s">
        <v>41</v>
      </c>
      <c r="AG3" s="252" t="s">
        <v>322</v>
      </c>
      <c r="AH3" s="243" t="s">
        <v>323</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338</v>
      </c>
      <c r="C4" s="208">
        <v>2018</v>
      </c>
      <c r="D4" s="250" t="s">
        <v>535</v>
      </c>
      <c r="E4" s="237" t="s">
        <v>289</v>
      </c>
      <c r="F4" s="237" t="s">
        <v>333</v>
      </c>
      <c r="G4" s="216" t="s">
        <v>36</v>
      </c>
      <c r="H4" s="208" t="s">
        <v>157</v>
      </c>
      <c r="I4" s="216" t="s">
        <v>155</v>
      </c>
      <c r="J4" s="216" t="s">
        <v>38</v>
      </c>
      <c r="K4" s="216" t="s">
        <v>156</v>
      </c>
      <c r="L4" s="208">
        <v>3</v>
      </c>
      <c r="N4" s="208">
        <v>1</v>
      </c>
      <c r="O4" s="208">
        <v>0.6</v>
      </c>
      <c r="P4" s="208">
        <v>0.65</v>
      </c>
      <c r="Q4" s="245">
        <f t="shared" si="0"/>
        <v>0.625</v>
      </c>
      <c r="R4" s="208">
        <v>14.2</v>
      </c>
      <c r="S4" s="208">
        <v>124</v>
      </c>
      <c r="T4" s="217">
        <f t="shared" si="1"/>
        <v>30</v>
      </c>
      <c r="U4" s="208">
        <v>138</v>
      </c>
      <c r="V4" s="217">
        <f t="shared" si="2"/>
        <v>4140</v>
      </c>
      <c r="W4" s="208">
        <v>5</v>
      </c>
      <c r="X4" s="216" t="s">
        <v>46</v>
      </c>
      <c r="Y4" s="216" t="s">
        <v>88</v>
      </c>
      <c r="Z4" s="216" t="s">
        <v>69</v>
      </c>
      <c r="AA4" s="216" t="s">
        <v>55</v>
      </c>
      <c r="AB4" s="216" t="s">
        <v>340</v>
      </c>
      <c r="AC4" s="216"/>
      <c r="AE4" s="223" t="s">
        <v>34</v>
      </c>
      <c r="AG4" s="252" t="s">
        <v>324</v>
      </c>
      <c r="AH4" s="243" t="s">
        <v>325</v>
      </c>
      <c r="AJ4" s="228" t="s">
        <v>48</v>
      </c>
      <c r="AL4" s="228" t="s">
        <v>129</v>
      </c>
      <c r="AN4" s="229" t="s">
        <v>49</v>
      </c>
      <c r="AP4" s="224" t="s">
        <v>537</v>
      </c>
      <c r="AR4" s="238" t="s">
        <v>538</v>
      </c>
      <c r="AT4" s="229"/>
      <c r="AV4" s="224" t="s">
        <v>50</v>
      </c>
      <c r="AX4" s="225">
        <v>75</v>
      </c>
      <c r="AY4" s="226">
        <v>42</v>
      </c>
      <c r="AZ4" s="226">
        <v>76</v>
      </c>
      <c r="BA4" s="227">
        <v>39</v>
      </c>
    </row>
    <row r="5" spans="1:53" x14ac:dyDescent="0.15">
      <c r="A5" s="216" t="s">
        <v>34</v>
      </c>
      <c r="B5" s="208" t="s">
        <v>338</v>
      </c>
      <c r="C5" s="208">
        <v>2018</v>
      </c>
      <c r="D5" s="250" t="s">
        <v>535</v>
      </c>
      <c r="E5" s="237" t="s">
        <v>289</v>
      </c>
      <c r="F5" s="237" t="s">
        <v>333</v>
      </c>
      <c r="G5" s="216" t="s">
        <v>36</v>
      </c>
      <c r="H5" s="208" t="s">
        <v>157</v>
      </c>
      <c r="I5" s="216" t="s">
        <v>155</v>
      </c>
      <c r="J5" s="216" t="s">
        <v>38</v>
      </c>
      <c r="K5" s="216" t="s">
        <v>156</v>
      </c>
      <c r="L5" s="216">
        <v>1</v>
      </c>
      <c r="N5" s="208">
        <v>4</v>
      </c>
      <c r="O5" s="208">
        <v>0.2</v>
      </c>
      <c r="P5" s="208">
        <v>0.2</v>
      </c>
      <c r="Q5" s="245">
        <f t="shared" si="0"/>
        <v>0.2</v>
      </c>
      <c r="R5" s="208">
        <v>11</v>
      </c>
      <c r="S5" s="208">
        <v>81</v>
      </c>
      <c r="T5" s="217">
        <f t="shared" si="1"/>
        <v>39</v>
      </c>
      <c r="U5" s="208">
        <v>429</v>
      </c>
      <c r="V5" s="217">
        <f t="shared" si="2"/>
        <v>4182.75</v>
      </c>
      <c r="W5" s="208">
        <v>5</v>
      </c>
      <c r="X5" s="216" t="s">
        <v>46</v>
      </c>
      <c r="Y5" s="216" t="s">
        <v>88</v>
      </c>
      <c r="Z5" s="216" t="s">
        <v>69</v>
      </c>
      <c r="AA5" s="216" t="s">
        <v>55</v>
      </c>
      <c r="AB5" s="216" t="s">
        <v>340</v>
      </c>
      <c r="AE5" s="223" t="s">
        <v>51</v>
      </c>
      <c r="AG5" s="252" t="s">
        <v>326</v>
      </c>
      <c r="AH5" s="243" t="s">
        <v>327</v>
      </c>
      <c r="AJ5" s="229"/>
      <c r="AL5" s="230" t="s">
        <v>539</v>
      </c>
      <c r="AN5" s="230" t="s">
        <v>540</v>
      </c>
      <c r="AP5" s="224" t="s">
        <v>541</v>
      </c>
      <c r="AR5" s="238" t="s">
        <v>54</v>
      </c>
      <c r="AV5" s="224" t="s">
        <v>55</v>
      </c>
      <c r="AX5" s="225">
        <v>84</v>
      </c>
      <c r="AY5" s="226">
        <v>39</v>
      </c>
      <c r="AZ5" s="226">
        <v>84</v>
      </c>
      <c r="BA5" s="227">
        <v>36</v>
      </c>
    </row>
    <row r="6" spans="1:53" x14ac:dyDescent="0.15">
      <c r="A6" s="216" t="s">
        <v>34</v>
      </c>
      <c r="B6" s="208" t="s">
        <v>338</v>
      </c>
      <c r="C6" s="208">
        <v>2018</v>
      </c>
      <c r="D6" s="250" t="s">
        <v>535</v>
      </c>
      <c r="E6" s="237" t="s">
        <v>289</v>
      </c>
      <c r="F6" s="237" t="s">
        <v>333</v>
      </c>
      <c r="G6" s="216" t="s">
        <v>36</v>
      </c>
      <c r="H6" s="208" t="s">
        <v>157</v>
      </c>
      <c r="I6" s="216" t="s">
        <v>155</v>
      </c>
      <c r="J6" s="216" t="s">
        <v>38</v>
      </c>
      <c r="K6" s="216" t="s">
        <v>156</v>
      </c>
      <c r="L6" s="208">
        <v>2</v>
      </c>
      <c r="N6" s="208">
        <v>4</v>
      </c>
      <c r="O6" s="208">
        <v>0.5</v>
      </c>
      <c r="P6" s="208">
        <v>0.5</v>
      </c>
      <c r="Q6" s="245">
        <f t="shared" si="0"/>
        <v>0.5</v>
      </c>
      <c r="R6" s="208">
        <v>14.1</v>
      </c>
      <c r="S6" s="208">
        <v>78</v>
      </c>
      <c r="T6" s="217">
        <f t="shared" si="1"/>
        <v>39</v>
      </c>
      <c r="U6" s="208">
        <v>429</v>
      </c>
      <c r="V6" s="217">
        <f t="shared" si="2"/>
        <v>4182.75</v>
      </c>
      <c r="W6" s="208">
        <v>5</v>
      </c>
      <c r="X6" s="216" t="s">
        <v>46</v>
      </c>
      <c r="Y6" s="216" t="s">
        <v>88</v>
      </c>
      <c r="Z6" s="216" t="s">
        <v>69</v>
      </c>
      <c r="AA6" s="216" t="s">
        <v>55</v>
      </c>
      <c r="AB6" s="216" t="s">
        <v>340</v>
      </c>
      <c r="AE6" s="223" t="s">
        <v>56</v>
      </c>
      <c r="AG6" s="252" t="s">
        <v>328</v>
      </c>
      <c r="AH6" s="243" t="s">
        <v>329</v>
      </c>
      <c r="AL6" s="230" t="s">
        <v>542</v>
      </c>
      <c r="AN6" s="230" t="s">
        <v>543</v>
      </c>
      <c r="AP6" s="224" t="s">
        <v>53</v>
      </c>
      <c r="AR6" s="238" t="s">
        <v>59</v>
      </c>
      <c r="AV6" s="224" t="s">
        <v>60</v>
      </c>
      <c r="AX6" s="225">
        <v>97</v>
      </c>
      <c r="AY6" s="226">
        <v>36</v>
      </c>
      <c r="AZ6" s="226">
        <v>99</v>
      </c>
      <c r="BA6" s="227">
        <v>33</v>
      </c>
    </row>
    <row r="7" spans="1:53" x14ac:dyDescent="0.15">
      <c r="A7" s="216" t="s">
        <v>34</v>
      </c>
      <c r="B7" s="208" t="s">
        <v>338</v>
      </c>
      <c r="C7" s="208">
        <v>2018</v>
      </c>
      <c r="D7" s="250" t="s">
        <v>535</v>
      </c>
      <c r="E7" s="237" t="s">
        <v>289</v>
      </c>
      <c r="F7" s="237" t="s">
        <v>333</v>
      </c>
      <c r="G7" s="216" t="s">
        <v>36</v>
      </c>
      <c r="H7" s="208" t="s">
        <v>157</v>
      </c>
      <c r="I7" s="216" t="s">
        <v>155</v>
      </c>
      <c r="J7" s="216" t="s">
        <v>38</v>
      </c>
      <c r="K7" s="216" t="s">
        <v>156</v>
      </c>
      <c r="L7" s="208">
        <v>3</v>
      </c>
      <c r="N7" s="208">
        <v>4</v>
      </c>
      <c r="O7" s="208">
        <v>0.55000000000000004</v>
      </c>
      <c r="P7" s="208">
        <v>0.5</v>
      </c>
      <c r="Q7" s="245">
        <f t="shared" si="0"/>
        <v>0.52500000000000002</v>
      </c>
      <c r="R7" s="208">
        <v>13.1</v>
      </c>
      <c r="S7" s="208">
        <v>82</v>
      </c>
      <c r="T7" s="217">
        <f t="shared" si="1"/>
        <v>39</v>
      </c>
      <c r="U7" s="208">
        <v>429</v>
      </c>
      <c r="V7" s="217">
        <f t="shared" si="2"/>
        <v>4182.75</v>
      </c>
      <c r="W7" s="208">
        <v>5</v>
      </c>
      <c r="X7" s="216" t="s">
        <v>46</v>
      </c>
      <c r="Y7" s="216" t="s">
        <v>88</v>
      </c>
      <c r="Z7" s="216" t="s">
        <v>69</v>
      </c>
      <c r="AA7" s="216" t="s">
        <v>55</v>
      </c>
      <c r="AB7" s="216" t="s">
        <v>340</v>
      </c>
      <c r="AE7" s="223" t="s">
        <v>61</v>
      </c>
      <c r="AG7" s="252" t="s">
        <v>205</v>
      </c>
      <c r="AH7" s="243" t="s">
        <v>330</v>
      </c>
      <c r="AL7" s="235" t="s">
        <v>544</v>
      </c>
      <c r="AP7" s="224" t="s">
        <v>58</v>
      </c>
      <c r="AR7" s="231" t="s">
        <v>122</v>
      </c>
      <c r="AV7" s="224" t="s">
        <v>64</v>
      </c>
      <c r="AX7" s="225">
        <v>109</v>
      </c>
      <c r="AY7" s="226">
        <v>33</v>
      </c>
      <c r="AZ7" s="226">
        <v>113</v>
      </c>
      <c r="BA7" s="227">
        <v>30</v>
      </c>
    </row>
    <row r="8" spans="1:53" x14ac:dyDescent="0.15">
      <c r="A8" s="216" t="s">
        <v>34</v>
      </c>
      <c r="B8" s="208" t="s">
        <v>338</v>
      </c>
      <c r="C8" s="208">
        <v>2018</v>
      </c>
      <c r="D8" s="250" t="s">
        <v>545</v>
      </c>
      <c r="E8" s="237" t="s">
        <v>289</v>
      </c>
      <c r="F8" s="237" t="s">
        <v>333</v>
      </c>
      <c r="G8" s="216" t="s">
        <v>36</v>
      </c>
      <c r="H8" s="208" t="s">
        <v>166</v>
      </c>
      <c r="I8" s="216" t="s">
        <v>155</v>
      </c>
      <c r="J8" s="216" t="s">
        <v>38</v>
      </c>
      <c r="K8" s="216" t="s">
        <v>156</v>
      </c>
      <c r="L8" s="216">
        <v>1</v>
      </c>
      <c r="N8" s="208">
        <v>1</v>
      </c>
      <c r="O8" s="208">
        <v>0.6</v>
      </c>
      <c r="P8" s="208">
        <v>0.55000000000000004</v>
      </c>
      <c r="Q8" s="245">
        <f t="shared" si="0"/>
        <v>0.57499999999999996</v>
      </c>
      <c r="R8" s="208">
        <v>14.3</v>
      </c>
      <c r="S8" s="208">
        <v>130</v>
      </c>
      <c r="T8" s="217">
        <f t="shared" si="1"/>
        <v>30</v>
      </c>
      <c r="U8" s="208">
        <v>149</v>
      </c>
      <c r="V8" s="217">
        <f t="shared" si="2"/>
        <v>4470</v>
      </c>
      <c r="W8" s="208">
        <v>2</v>
      </c>
      <c r="X8" s="216" t="s">
        <v>46</v>
      </c>
      <c r="Y8" s="216" t="s">
        <v>88</v>
      </c>
      <c r="Z8" s="216" t="s">
        <v>69</v>
      </c>
      <c r="AA8" s="216" t="s">
        <v>55</v>
      </c>
      <c r="AB8" s="216" t="s">
        <v>340</v>
      </c>
      <c r="AE8" s="223" t="s">
        <v>59</v>
      </c>
      <c r="AG8" s="252" t="s">
        <v>331</v>
      </c>
      <c r="AH8" s="243" t="s">
        <v>332</v>
      </c>
      <c r="AL8" s="235" t="s">
        <v>353</v>
      </c>
      <c r="AP8" s="224" t="s">
        <v>62</v>
      </c>
      <c r="AR8" s="238" t="s">
        <v>81</v>
      </c>
      <c r="AV8" s="224" t="s">
        <v>97</v>
      </c>
      <c r="AX8" s="225">
        <v>151</v>
      </c>
      <c r="AY8" s="226">
        <v>22</v>
      </c>
      <c r="AZ8" s="226">
        <v>152</v>
      </c>
      <c r="BA8" s="227">
        <v>18</v>
      </c>
    </row>
    <row r="9" spans="1:53" x14ac:dyDescent="0.15">
      <c r="A9" s="216" t="s">
        <v>34</v>
      </c>
      <c r="B9" s="208" t="s">
        <v>338</v>
      </c>
      <c r="C9" s="208">
        <v>2018</v>
      </c>
      <c r="D9" s="250" t="s">
        <v>545</v>
      </c>
      <c r="E9" s="237" t="s">
        <v>289</v>
      </c>
      <c r="F9" s="237" t="s">
        <v>333</v>
      </c>
      <c r="G9" s="216" t="s">
        <v>36</v>
      </c>
      <c r="H9" s="208" t="s">
        <v>166</v>
      </c>
      <c r="I9" s="216" t="s">
        <v>155</v>
      </c>
      <c r="J9" s="216" t="s">
        <v>38</v>
      </c>
      <c r="K9" s="216" t="s">
        <v>156</v>
      </c>
      <c r="L9" s="208">
        <v>2</v>
      </c>
      <c r="N9" s="208">
        <v>1</v>
      </c>
      <c r="O9" s="208">
        <v>0.5</v>
      </c>
      <c r="P9" s="208">
        <v>0.2</v>
      </c>
      <c r="Q9" s="245">
        <f t="shared" si="0"/>
        <v>0.35</v>
      </c>
      <c r="R9" s="208">
        <v>15.1</v>
      </c>
      <c r="S9" s="208">
        <v>129</v>
      </c>
      <c r="T9" s="217">
        <f t="shared" si="1"/>
        <v>30</v>
      </c>
      <c r="U9" s="208">
        <v>149</v>
      </c>
      <c r="V9" s="217">
        <f t="shared" si="2"/>
        <v>4470</v>
      </c>
      <c r="W9" s="208">
        <v>2</v>
      </c>
      <c r="X9" s="216" t="s">
        <v>46</v>
      </c>
      <c r="Y9" s="216" t="s">
        <v>88</v>
      </c>
      <c r="Z9" s="216" t="s">
        <v>69</v>
      </c>
      <c r="AA9" s="216" t="s">
        <v>55</v>
      </c>
      <c r="AB9" s="216" t="s">
        <v>340</v>
      </c>
      <c r="AE9" s="223" t="s">
        <v>98</v>
      </c>
      <c r="AG9" s="252" t="s">
        <v>289</v>
      </c>
      <c r="AH9" s="243" t="s">
        <v>333</v>
      </c>
      <c r="AL9" s="230"/>
      <c r="AP9" s="224" t="s">
        <v>95</v>
      </c>
      <c r="AR9" s="231" t="s">
        <v>89</v>
      </c>
      <c r="AV9" s="224" t="s">
        <v>102</v>
      </c>
      <c r="AX9" s="232">
        <v>180</v>
      </c>
      <c r="AY9" s="233">
        <v>18</v>
      </c>
      <c r="AZ9" s="233">
        <v>181</v>
      </c>
      <c r="BA9" s="234">
        <v>16</v>
      </c>
    </row>
    <row r="10" spans="1:53" x14ac:dyDescent="0.15">
      <c r="A10" s="216" t="s">
        <v>34</v>
      </c>
      <c r="B10" s="208" t="s">
        <v>338</v>
      </c>
      <c r="C10" s="208">
        <v>2018</v>
      </c>
      <c r="D10" s="250" t="s">
        <v>546</v>
      </c>
      <c r="E10" s="237" t="s">
        <v>289</v>
      </c>
      <c r="F10" s="237" t="s">
        <v>333</v>
      </c>
      <c r="G10" s="216" t="s">
        <v>36</v>
      </c>
      <c r="H10" s="208" t="s">
        <v>166</v>
      </c>
      <c r="I10" s="216" t="s">
        <v>155</v>
      </c>
      <c r="J10" s="216" t="s">
        <v>38</v>
      </c>
      <c r="K10" s="216" t="s">
        <v>156</v>
      </c>
      <c r="L10" s="208">
        <v>3</v>
      </c>
      <c r="N10" s="208">
        <v>1</v>
      </c>
      <c r="O10" s="208">
        <v>0.5</v>
      </c>
      <c r="P10" s="208">
        <v>0.55000000000000004</v>
      </c>
      <c r="Q10" s="245">
        <f t="shared" si="0"/>
        <v>0.52500000000000002</v>
      </c>
      <c r="R10" s="208">
        <v>15.2</v>
      </c>
      <c r="S10" s="208">
        <v>130</v>
      </c>
      <c r="T10" s="217">
        <f t="shared" si="1"/>
        <v>30</v>
      </c>
      <c r="U10" s="208">
        <v>149</v>
      </c>
      <c r="V10" s="217">
        <f t="shared" si="2"/>
        <v>4470</v>
      </c>
      <c r="W10" s="208">
        <v>2</v>
      </c>
      <c r="X10" s="216" t="s">
        <v>46</v>
      </c>
      <c r="Y10" s="216" t="s">
        <v>88</v>
      </c>
      <c r="Z10" s="216" t="s">
        <v>69</v>
      </c>
      <c r="AA10" s="216" t="s">
        <v>55</v>
      </c>
      <c r="AB10" s="216" t="s">
        <v>340</v>
      </c>
      <c r="AE10" s="223" t="s">
        <v>103</v>
      </c>
      <c r="AG10" s="252" t="s">
        <v>334</v>
      </c>
      <c r="AH10" s="243" t="s">
        <v>335</v>
      </c>
      <c r="AL10" s="235"/>
      <c r="AP10" s="224" t="s">
        <v>100</v>
      </c>
      <c r="AR10" s="231" t="s">
        <v>123</v>
      </c>
      <c r="AV10" s="224" t="s">
        <v>106</v>
      </c>
    </row>
    <row r="11" spans="1:53" x14ac:dyDescent="0.15">
      <c r="A11" s="216" t="s">
        <v>34</v>
      </c>
      <c r="B11" s="208" t="s">
        <v>338</v>
      </c>
      <c r="C11" s="208">
        <v>2018</v>
      </c>
      <c r="D11" s="250" t="s">
        <v>546</v>
      </c>
      <c r="E11" s="237" t="s">
        <v>334</v>
      </c>
      <c r="F11" s="237" t="s">
        <v>335</v>
      </c>
      <c r="G11" s="216" t="s">
        <v>36</v>
      </c>
      <c r="H11" s="208" t="s">
        <v>157</v>
      </c>
      <c r="I11" s="216" t="s">
        <v>155</v>
      </c>
      <c r="J11" s="216" t="s">
        <v>38</v>
      </c>
      <c r="K11" s="216" t="s">
        <v>156</v>
      </c>
      <c r="L11" s="216">
        <v>1</v>
      </c>
      <c r="N11" s="208">
        <v>1</v>
      </c>
      <c r="O11" s="208">
        <v>0.9</v>
      </c>
      <c r="P11" s="208">
        <v>0.95</v>
      </c>
      <c r="Q11" s="245">
        <f t="shared" si="0"/>
        <v>0.92500000000000004</v>
      </c>
      <c r="R11" s="208">
        <v>16.2</v>
      </c>
      <c r="S11" s="208">
        <v>137</v>
      </c>
      <c r="T11" s="217">
        <f t="shared" si="1"/>
        <v>30</v>
      </c>
      <c r="U11" s="208">
        <v>103</v>
      </c>
      <c r="V11" s="217">
        <f t="shared" si="2"/>
        <v>3090</v>
      </c>
      <c r="W11" s="208">
        <v>3</v>
      </c>
      <c r="X11" s="216" t="s">
        <v>46</v>
      </c>
      <c r="Y11" s="216" t="s">
        <v>84</v>
      </c>
      <c r="Z11" s="216" t="s">
        <v>69</v>
      </c>
      <c r="AA11" s="216" t="s">
        <v>55</v>
      </c>
      <c r="AB11" s="216" t="s">
        <v>340</v>
      </c>
      <c r="AE11" s="223" t="s">
        <v>65</v>
      </c>
      <c r="AG11" s="252" t="s">
        <v>169</v>
      </c>
      <c r="AH11" s="243" t="s">
        <v>336</v>
      </c>
      <c r="AL11" s="235"/>
      <c r="AP11" s="224" t="s">
        <v>104</v>
      </c>
      <c r="AR11" s="231" t="s">
        <v>87</v>
      </c>
      <c r="AV11" s="224" t="s">
        <v>69</v>
      </c>
    </row>
    <row r="12" spans="1:53" x14ac:dyDescent="0.15">
      <c r="A12" s="216" t="s">
        <v>34</v>
      </c>
      <c r="B12" s="208" t="s">
        <v>338</v>
      </c>
      <c r="C12" s="208">
        <v>2018</v>
      </c>
      <c r="D12" s="250" t="s">
        <v>547</v>
      </c>
      <c r="E12" s="237" t="s">
        <v>334</v>
      </c>
      <c r="F12" s="237" t="s">
        <v>335</v>
      </c>
      <c r="G12" s="216" t="s">
        <v>36</v>
      </c>
      <c r="H12" s="208" t="s">
        <v>157</v>
      </c>
      <c r="I12" s="216" t="s">
        <v>155</v>
      </c>
      <c r="J12" s="216" t="s">
        <v>38</v>
      </c>
      <c r="K12" s="216" t="s">
        <v>156</v>
      </c>
      <c r="L12" s="208">
        <v>2</v>
      </c>
      <c r="N12" s="208">
        <v>1</v>
      </c>
      <c r="O12" s="208">
        <v>0.8</v>
      </c>
      <c r="P12" s="208">
        <v>0.85</v>
      </c>
      <c r="Q12" s="245">
        <f t="shared" si="0"/>
        <v>0.82499999999999996</v>
      </c>
      <c r="R12" s="208">
        <v>14.6</v>
      </c>
      <c r="S12" s="208">
        <v>134</v>
      </c>
      <c r="T12" s="217">
        <f t="shared" si="1"/>
        <v>30</v>
      </c>
      <c r="U12" s="208">
        <v>103</v>
      </c>
      <c r="V12" s="217">
        <f t="shared" si="2"/>
        <v>3090</v>
      </c>
      <c r="W12" s="208">
        <v>3</v>
      </c>
      <c r="X12" s="216" t="s">
        <v>46</v>
      </c>
      <c r="Y12" s="216" t="s">
        <v>84</v>
      </c>
      <c r="Z12" s="216" t="s">
        <v>69</v>
      </c>
      <c r="AA12" s="216" t="s">
        <v>55</v>
      </c>
      <c r="AB12" s="216" t="s">
        <v>340</v>
      </c>
      <c r="AE12" s="223" t="s">
        <v>70</v>
      </c>
      <c r="AG12" s="244"/>
      <c r="AH12" s="224"/>
      <c r="AL12" s="235"/>
      <c r="AP12" s="224" t="s">
        <v>67</v>
      </c>
      <c r="AR12" s="231" t="s">
        <v>124</v>
      </c>
      <c r="AV12" s="224" t="s">
        <v>72</v>
      </c>
    </row>
    <row r="13" spans="1:53" x14ac:dyDescent="0.15">
      <c r="A13" s="216" t="s">
        <v>34</v>
      </c>
      <c r="B13" s="208" t="s">
        <v>338</v>
      </c>
      <c r="C13" s="208">
        <v>2018</v>
      </c>
      <c r="D13" s="250" t="s">
        <v>548</v>
      </c>
      <c r="E13" s="237" t="s">
        <v>334</v>
      </c>
      <c r="F13" s="237" t="s">
        <v>335</v>
      </c>
      <c r="G13" s="216" t="s">
        <v>36</v>
      </c>
      <c r="H13" s="208" t="s">
        <v>157</v>
      </c>
      <c r="I13" s="216" t="s">
        <v>155</v>
      </c>
      <c r="J13" s="216" t="s">
        <v>38</v>
      </c>
      <c r="K13" s="216" t="s">
        <v>156</v>
      </c>
      <c r="L13" s="208">
        <v>3</v>
      </c>
      <c r="N13" s="208">
        <v>1</v>
      </c>
      <c r="O13" s="208">
        <v>0.75</v>
      </c>
      <c r="P13" s="208">
        <v>0.9</v>
      </c>
      <c r="Q13" s="245">
        <f t="shared" si="0"/>
        <v>0.82499999999999996</v>
      </c>
      <c r="R13" s="208">
        <v>13.7</v>
      </c>
      <c r="S13" s="208">
        <v>134</v>
      </c>
      <c r="T13" s="217">
        <f t="shared" si="1"/>
        <v>30</v>
      </c>
      <c r="U13" s="208">
        <v>103</v>
      </c>
      <c r="V13" s="217">
        <f t="shared" si="2"/>
        <v>3090</v>
      </c>
      <c r="W13" s="208">
        <v>3</v>
      </c>
      <c r="X13" s="216" t="s">
        <v>46</v>
      </c>
      <c r="Y13" s="216" t="s">
        <v>84</v>
      </c>
      <c r="Z13" s="216" t="s">
        <v>69</v>
      </c>
      <c r="AA13" s="216" t="s">
        <v>55</v>
      </c>
      <c r="AB13" s="216" t="s">
        <v>340</v>
      </c>
      <c r="AE13" s="223" t="s">
        <v>73</v>
      </c>
      <c r="AG13" s="253"/>
      <c r="AH13" s="229"/>
      <c r="AP13" s="224" t="s">
        <v>71</v>
      </c>
      <c r="AR13" s="231" t="s">
        <v>103</v>
      </c>
      <c r="AV13" s="224" t="s">
        <v>75</v>
      </c>
    </row>
    <row r="14" spans="1:53" x14ac:dyDescent="0.15">
      <c r="A14" s="216" t="s">
        <v>34</v>
      </c>
      <c r="B14" s="208" t="s">
        <v>338</v>
      </c>
      <c r="C14" s="208">
        <v>2018</v>
      </c>
      <c r="D14" s="250" t="s">
        <v>549</v>
      </c>
      <c r="E14" s="237" t="s">
        <v>334</v>
      </c>
      <c r="F14" s="237" t="s">
        <v>335</v>
      </c>
      <c r="G14" s="216" t="s">
        <v>36</v>
      </c>
      <c r="H14" s="208" t="s">
        <v>157</v>
      </c>
      <c r="I14" s="216" t="s">
        <v>155</v>
      </c>
      <c r="J14" s="216" t="s">
        <v>38</v>
      </c>
      <c r="K14" s="216" t="s">
        <v>156</v>
      </c>
      <c r="L14" s="216">
        <v>1</v>
      </c>
      <c r="N14" s="208">
        <v>5</v>
      </c>
      <c r="O14" s="208">
        <v>0.2</v>
      </c>
      <c r="P14" s="208">
        <v>0.2</v>
      </c>
      <c r="Q14" s="245">
        <f t="shared" si="0"/>
        <v>0.2</v>
      </c>
      <c r="R14" s="208">
        <v>11</v>
      </c>
      <c r="S14" s="208">
        <v>103</v>
      </c>
      <c r="T14" s="217">
        <f t="shared" si="1"/>
        <v>33</v>
      </c>
      <c r="U14" s="208">
        <v>319</v>
      </c>
      <c r="V14" s="217">
        <f t="shared" si="2"/>
        <v>2105.4</v>
      </c>
      <c r="W14" s="208">
        <v>3</v>
      </c>
      <c r="X14" s="216" t="s">
        <v>46</v>
      </c>
      <c r="Y14" s="216" t="s">
        <v>84</v>
      </c>
      <c r="Z14" s="216" t="s">
        <v>69</v>
      </c>
      <c r="AA14" s="216" t="s">
        <v>55</v>
      </c>
      <c r="AB14" s="216" t="s">
        <v>340</v>
      </c>
      <c r="AE14" s="223" t="s">
        <v>76</v>
      </c>
      <c r="AG14" s="254"/>
      <c r="AL14" s="247"/>
      <c r="AP14" s="224" t="s">
        <v>74</v>
      </c>
      <c r="AR14" s="231" t="s">
        <v>125</v>
      </c>
      <c r="AV14" s="224" t="s">
        <v>78</v>
      </c>
    </row>
    <row r="15" spans="1:53" x14ac:dyDescent="0.15">
      <c r="A15" s="216" t="s">
        <v>34</v>
      </c>
      <c r="B15" s="208" t="s">
        <v>338</v>
      </c>
      <c r="C15" s="208">
        <v>2018</v>
      </c>
      <c r="D15" s="250" t="s">
        <v>549</v>
      </c>
      <c r="E15" s="237" t="s">
        <v>334</v>
      </c>
      <c r="F15" s="237" t="s">
        <v>335</v>
      </c>
      <c r="G15" s="216" t="s">
        <v>36</v>
      </c>
      <c r="H15" s="208" t="s">
        <v>157</v>
      </c>
      <c r="I15" s="216" t="s">
        <v>155</v>
      </c>
      <c r="J15" s="216" t="s">
        <v>38</v>
      </c>
      <c r="K15" s="216" t="s">
        <v>156</v>
      </c>
      <c r="L15" s="208">
        <v>2</v>
      </c>
      <c r="N15" s="208">
        <v>5</v>
      </c>
      <c r="O15" s="208">
        <v>0.45</v>
      </c>
      <c r="P15" s="208">
        <v>0.2</v>
      </c>
      <c r="Q15" s="245">
        <f t="shared" si="0"/>
        <v>0.32500000000000001</v>
      </c>
      <c r="R15" s="208">
        <v>13.9</v>
      </c>
      <c r="S15" s="208">
        <v>101</v>
      </c>
      <c r="T15" s="217">
        <f t="shared" si="1"/>
        <v>33</v>
      </c>
      <c r="U15" s="208">
        <v>319</v>
      </c>
      <c r="V15" s="217">
        <f t="shared" si="2"/>
        <v>2105.4</v>
      </c>
      <c r="W15" s="208">
        <v>3</v>
      </c>
      <c r="X15" s="216" t="s">
        <v>46</v>
      </c>
      <c r="Y15" s="216" t="s">
        <v>84</v>
      </c>
      <c r="Z15" s="216" t="s">
        <v>69</v>
      </c>
      <c r="AA15" s="216" t="s">
        <v>55</v>
      </c>
      <c r="AB15" s="216" t="s">
        <v>340</v>
      </c>
      <c r="AE15" s="223" t="s">
        <v>79</v>
      </c>
      <c r="AL15" s="255"/>
      <c r="AP15" s="224" t="s">
        <v>77</v>
      </c>
      <c r="AR15" s="231" t="s">
        <v>94</v>
      </c>
      <c r="AV15" s="224" t="s">
        <v>107</v>
      </c>
    </row>
    <row r="16" spans="1:53" x14ac:dyDescent="0.15">
      <c r="A16" s="216" t="s">
        <v>34</v>
      </c>
      <c r="B16" s="208" t="s">
        <v>338</v>
      </c>
      <c r="C16" s="208">
        <v>2018</v>
      </c>
      <c r="D16" s="250" t="s">
        <v>550</v>
      </c>
      <c r="E16" s="237" t="s">
        <v>334</v>
      </c>
      <c r="F16" s="237" t="s">
        <v>335</v>
      </c>
      <c r="G16" s="216" t="s">
        <v>36</v>
      </c>
      <c r="H16" s="208" t="s">
        <v>157</v>
      </c>
      <c r="I16" s="216" t="s">
        <v>155</v>
      </c>
      <c r="J16" s="216" t="s">
        <v>38</v>
      </c>
      <c r="K16" s="216" t="s">
        <v>156</v>
      </c>
      <c r="L16" s="208">
        <v>3</v>
      </c>
      <c r="N16" s="208">
        <v>5</v>
      </c>
      <c r="O16" s="208">
        <v>0.55000000000000004</v>
      </c>
      <c r="P16" s="208">
        <v>0.65</v>
      </c>
      <c r="Q16" s="245">
        <f t="shared" si="0"/>
        <v>0.60000000000000009</v>
      </c>
      <c r="R16" s="208">
        <v>14.1</v>
      </c>
      <c r="S16" s="208">
        <v>104</v>
      </c>
      <c r="T16" s="217">
        <f t="shared" si="1"/>
        <v>33</v>
      </c>
      <c r="U16" s="208">
        <v>319</v>
      </c>
      <c r="V16" s="217">
        <f t="shared" si="2"/>
        <v>2105.4</v>
      </c>
      <c r="W16" s="208">
        <v>3</v>
      </c>
      <c r="X16" s="216" t="s">
        <v>46</v>
      </c>
      <c r="Y16" s="216" t="s">
        <v>84</v>
      </c>
      <c r="Z16" s="216" t="s">
        <v>69</v>
      </c>
      <c r="AA16" s="216" t="s">
        <v>55</v>
      </c>
      <c r="AB16" s="216" t="s">
        <v>340</v>
      </c>
      <c r="AE16" s="223" t="s">
        <v>82</v>
      </c>
      <c r="AL16" s="255"/>
      <c r="AP16" s="224" t="s">
        <v>80</v>
      </c>
      <c r="AR16" s="238" t="s">
        <v>63</v>
      </c>
      <c r="AV16" s="224" t="s">
        <v>84</v>
      </c>
    </row>
    <row r="17" spans="1:48" x14ac:dyDescent="0.15">
      <c r="A17" s="216" t="s">
        <v>34</v>
      </c>
      <c r="B17" s="208" t="s">
        <v>338</v>
      </c>
      <c r="C17" s="208">
        <v>2018</v>
      </c>
      <c r="D17" s="250" t="s">
        <v>550</v>
      </c>
      <c r="E17" s="237" t="s">
        <v>334</v>
      </c>
      <c r="F17" s="237" t="s">
        <v>335</v>
      </c>
      <c r="G17" s="216" t="s">
        <v>36</v>
      </c>
      <c r="H17" s="208" t="s">
        <v>166</v>
      </c>
      <c r="I17" s="216" t="s">
        <v>155</v>
      </c>
      <c r="J17" s="216" t="s">
        <v>38</v>
      </c>
      <c r="K17" s="216" t="s">
        <v>156</v>
      </c>
      <c r="L17" s="216">
        <v>1</v>
      </c>
      <c r="N17" s="208">
        <v>1</v>
      </c>
      <c r="O17" s="208">
        <v>0.45</v>
      </c>
      <c r="P17" s="208">
        <v>0.55000000000000004</v>
      </c>
      <c r="Q17" s="245">
        <f t="shared" si="0"/>
        <v>0.5</v>
      </c>
      <c r="R17" s="208">
        <v>14</v>
      </c>
      <c r="S17" s="208">
        <v>133</v>
      </c>
      <c r="T17" s="217">
        <f t="shared" si="1"/>
        <v>30</v>
      </c>
      <c r="U17" s="208">
        <v>96</v>
      </c>
      <c r="V17" s="217">
        <f t="shared" si="2"/>
        <v>2880</v>
      </c>
      <c r="W17" s="208">
        <v>2</v>
      </c>
      <c r="X17" s="216" t="s">
        <v>46</v>
      </c>
      <c r="Y17" s="216" t="s">
        <v>84</v>
      </c>
      <c r="Z17" s="216" t="s">
        <v>69</v>
      </c>
      <c r="AA17" s="216" t="s">
        <v>55</v>
      </c>
      <c r="AB17" s="216" t="s">
        <v>340</v>
      </c>
      <c r="AE17" s="223" t="s">
        <v>85</v>
      </c>
      <c r="AL17" s="255"/>
      <c r="AP17" s="239" t="s">
        <v>110</v>
      </c>
      <c r="AR17" s="238" t="s">
        <v>96</v>
      </c>
      <c r="AV17" s="224" t="s">
        <v>86</v>
      </c>
    </row>
    <row r="18" spans="1:48" x14ac:dyDescent="0.15">
      <c r="A18" s="216" t="s">
        <v>34</v>
      </c>
      <c r="B18" s="208" t="s">
        <v>338</v>
      </c>
      <c r="C18" s="208">
        <v>2018</v>
      </c>
      <c r="D18" s="250" t="s">
        <v>550</v>
      </c>
      <c r="E18" s="237" t="s">
        <v>334</v>
      </c>
      <c r="F18" s="237" t="s">
        <v>335</v>
      </c>
      <c r="G18" s="216" t="s">
        <v>36</v>
      </c>
      <c r="H18" s="208" t="s">
        <v>166</v>
      </c>
      <c r="I18" s="216" t="s">
        <v>155</v>
      </c>
      <c r="J18" s="216" t="s">
        <v>38</v>
      </c>
      <c r="K18" s="216" t="s">
        <v>156</v>
      </c>
      <c r="L18" s="208">
        <v>2</v>
      </c>
      <c r="N18" s="208">
        <v>1</v>
      </c>
      <c r="O18" s="208">
        <v>0.5</v>
      </c>
      <c r="P18" s="208">
        <v>0.45</v>
      </c>
      <c r="Q18" s="245">
        <f t="shared" si="0"/>
        <v>0.47499999999999998</v>
      </c>
      <c r="R18" s="208">
        <v>14.7</v>
      </c>
      <c r="S18" s="208">
        <v>129</v>
      </c>
      <c r="T18" s="217">
        <f t="shared" si="1"/>
        <v>30</v>
      </c>
      <c r="U18" s="208">
        <v>96</v>
      </c>
      <c r="V18" s="217">
        <f t="shared" si="2"/>
        <v>2880</v>
      </c>
      <c r="W18" s="208">
        <v>2</v>
      </c>
      <c r="X18" s="216" t="s">
        <v>46</v>
      </c>
      <c r="Y18" s="216" t="s">
        <v>84</v>
      </c>
      <c r="Z18" s="216" t="s">
        <v>69</v>
      </c>
      <c r="AA18" s="216" t="s">
        <v>55</v>
      </c>
      <c r="AB18" s="216" t="s">
        <v>340</v>
      </c>
      <c r="AE18" s="223" t="s">
        <v>87</v>
      </c>
      <c r="AL18" s="216"/>
      <c r="AP18" s="239" t="s">
        <v>111</v>
      </c>
      <c r="AR18" s="238" t="s">
        <v>101</v>
      </c>
      <c r="AV18" s="224" t="s">
        <v>88</v>
      </c>
    </row>
    <row r="19" spans="1:48" x14ac:dyDescent="0.15">
      <c r="A19" s="216" t="s">
        <v>34</v>
      </c>
      <c r="B19" s="208" t="s">
        <v>338</v>
      </c>
      <c r="C19" s="208">
        <v>2018</v>
      </c>
      <c r="D19" s="250" t="s">
        <v>547</v>
      </c>
      <c r="E19" s="237" t="s">
        <v>334</v>
      </c>
      <c r="F19" s="237" t="s">
        <v>335</v>
      </c>
      <c r="G19" s="216" t="s">
        <v>36</v>
      </c>
      <c r="H19" s="208" t="s">
        <v>166</v>
      </c>
      <c r="I19" s="216" t="s">
        <v>155</v>
      </c>
      <c r="J19" s="216" t="s">
        <v>38</v>
      </c>
      <c r="K19" s="216" t="s">
        <v>156</v>
      </c>
      <c r="L19" s="208">
        <v>3</v>
      </c>
      <c r="N19" s="208">
        <v>1</v>
      </c>
      <c r="O19" s="208">
        <v>0.5</v>
      </c>
      <c r="P19" s="208">
        <v>0.45</v>
      </c>
      <c r="Q19" s="245">
        <f t="shared" si="0"/>
        <v>0.47499999999999998</v>
      </c>
      <c r="R19" s="208">
        <v>15.9</v>
      </c>
      <c r="S19" s="208">
        <v>132</v>
      </c>
      <c r="T19" s="217">
        <f t="shared" si="1"/>
        <v>30</v>
      </c>
      <c r="U19" s="208">
        <v>96</v>
      </c>
      <c r="V19" s="217">
        <f t="shared" si="2"/>
        <v>2880</v>
      </c>
      <c r="W19" s="208">
        <v>2</v>
      </c>
      <c r="X19" s="216" t="s">
        <v>46</v>
      </c>
      <c r="Y19" s="216" t="s">
        <v>84</v>
      </c>
      <c r="Z19" s="216" t="s">
        <v>69</v>
      </c>
      <c r="AA19" s="216" t="s">
        <v>55</v>
      </c>
      <c r="AB19" s="216" t="s">
        <v>340</v>
      </c>
      <c r="AE19" s="236" t="s">
        <v>89</v>
      </c>
      <c r="AP19" s="239" t="s">
        <v>112</v>
      </c>
      <c r="AR19" s="231" t="s">
        <v>126</v>
      </c>
      <c r="AV19" s="224" t="s">
        <v>90</v>
      </c>
    </row>
    <row r="20" spans="1:48" x14ac:dyDescent="0.15">
      <c r="A20" s="216" t="s">
        <v>34</v>
      </c>
      <c r="B20" s="208" t="s">
        <v>338</v>
      </c>
      <c r="C20" s="208">
        <v>2018</v>
      </c>
      <c r="D20" s="250" t="s">
        <v>547</v>
      </c>
      <c r="E20" s="237" t="s">
        <v>331</v>
      </c>
      <c r="F20" s="237" t="s">
        <v>332</v>
      </c>
      <c r="G20" s="216" t="s">
        <v>36</v>
      </c>
      <c r="H20" s="208" t="s">
        <v>157</v>
      </c>
      <c r="I20" s="216" t="s">
        <v>155</v>
      </c>
      <c r="J20" s="216" t="s">
        <v>38</v>
      </c>
      <c r="K20" s="216" t="s">
        <v>156</v>
      </c>
      <c r="L20" s="216">
        <v>1</v>
      </c>
      <c r="N20" s="208">
        <v>1</v>
      </c>
      <c r="O20" s="208">
        <v>0.85</v>
      </c>
      <c r="P20" s="208">
        <v>0.55000000000000004</v>
      </c>
      <c r="Q20" s="245">
        <f t="shared" si="0"/>
        <v>0.7</v>
      </c>
      <c r="R20" s="208">
        <v>14.4</v>
      </c>
      <c r="S20" s="208">
        <v>172</v>
      </c>
      <c r="T20" s="217">
        <f t="shared" si="1"/>
        <v>18</v>
      </c>
      <c r="U20" s="208">
        <v>105</v>
      </c>
      <c r="V20" s="217">
        <f t="shared" si="2"/>
        <v>1890</v>
      </c>
      <c r="W20" s="208">
        <v>2</v>
      </c>
      <c r="X20" s="216" t="s">
        <v>46</v>
      </c>
      <c r="Y20" s="216" t="s">
        <v>69</v>
      </c>
      <c r="Z20" s="216" t="s">
        <v>88</v>
      </c>
      <c r="AA20" s="216" t="s">
        <v>102</v>
      </c>
      <c r="AB20" s="216" t="s">
        <v>340</v>
      </c>
      <c r="AP20" s="239" t="s">
        <v>113</v>
      </c>
      <c r="AR20" s="238" t="s">
        <v>105</v>
      </c>
      <c r="AV20" s="228" t="s">
        <v>354</v>
      </c>
    </row>
    <row r="21" spans="1:48" x14ac:dyDescent="0.15">
      <c r="A21" s="216" t="s">
        <v>34</v>
      </c>
      <c r="B21" s="208" t="s">
        <v>338</v>
      </c>
      <c r="C21" s="208">
        <v>2018</v>
      </c>
      <c r="D21" s="250" t="s">
        <v>547</v>
      </c>
      <c r="E21" s="237" t="s">
        <v>331</v>
      </c>
      <c r="F21" s="237" t="s">
        <v>332</v>
      </c>
      <c r="G21" s="216" t="s">
        <v>36</v>
      </c>
      <c r="H21" s="208" t="s">
        <v>157</v>
      </c>
      <c r="I21" s="216" t="s">
        <v>155</v>
      </c>
      <c r="J21" s="216" t="s">
        <v>38</v>
      </c>
      <c r="K21" s="216" t="s">
        <v>156</v>
      </c>
      <c r="L21" s="208">
        <v>2</v>
      </c>
      <c r="N21" s="208">
        <v>1</v>
      </c>
      <c r="O21" s="208">
        <v>0.7</v>
      </c>
      <c r="P21" s="208">
        <v>0.7</v>
      </c>
      <c r="Q21" s="245">
        <f t="shared" si="0"/>
        <v>0.7</v>
      </c>
      <c r="R21" s="208">
        <v>15</v>
      </c>
      <c r="S21" s="208">
        <v>150</v>
      </c>
      <c r="T21" s="217">
        <f t="shared" si="1"/>
        <v>30</v>
      </c>
      <c r="U21" s="208">
        <v>105</v>
      </c>
      <c r="V21" s="217">
        <f t="shared" si="2"/>
        <v>3150</v>
      </c>
      <c r="W21" s="208">
        <v>2</v>
      </c>
      <c r="X21" s="216" t="s">
        <v>46</v>
      </c>
      <c r="Y21" s="216" t="s">
        <v>69</v>
      </c>
      <c r="Z21" s="216" t="s">
        <v>88</v>
      </c>
      <c r="AA21" s="216" t="s">
        <v>102</v>
      </c>
      <c r="AB21" s="216" t="s">
        <v>340</v>
      </c>
      <c r="AP21" s="239" t="s">
        <v>114</v>
      </c>
      <c r="AR21" s="238" t="s">
        <v>68</v>
      </c>
      <c r="AV21" s="228" t="s">
        <v>355</v>
      </c>
    </row>
    <row r="22" spans="1:48" x14ac:dyDescent="0.15">
      <c r="A22" s="216" t="s">
        <v>34</v>
      </c>
      <c r="B22" s="208" t="s">
        <v>338</v>
      </c>
      <c r="C22" s="208">
        <v>2018</v>
      </c>
      <c r="D22" s="250" t="s">
        <v>547</v>
      </c>
      <c r="E22" s="237" t="s">
        <v>331</v>
      </c>
      <c r="F22" s="237" t="s">
        <v>332</v>
      </c>
      <c r="G22" s="216" t="s">
        <v>36</v>
      </c>
      <c r="H22" s="208" t="s">
        <v>157</v>
      </c>
      <c r="I22" s="216" t="s">
        <v>155</v>
      </c>
      <c r="J22" s="216" t="s">
        <v>38</v>
      </c>
      <c r="K22" s="216" t="s">
        <v>156</v>
      </c>
      <c r="L22" s="208">
        <v>3</v>
      </c>
      <c r="N22" s="208">
        <v>1</v>
      </c>
      <c r="O22" s="208">
        <v>0.85</v>
      </c>
      <c r="P22" s="208">
        <v>0.75</v>
      </c>
      <c r="Q22" s="245">
        <f t="shared" si="0"/>
        <v>0.8</v>
      </c>
      <c r="R22" s="208">
        <v>15.7</v>
      </c>
      <c r="S22" s="208">
        <v>176</v>
      </c>
      <c r="T22" s="217">
        <f t="shared" si="1"/>
        <v>18</v>
      </c>
      <c r="U22" s="208">
        <v>105</v>
      </c>
      <c r="V22" s="217">
        <f t="shared" si="2"/>
        <v>1890</v>
      </c>
      <c r="W22" s="208">
        <v>2</v>
      </c>
      <c r="X22" s="216" t="s">
        <v>46</v>
      </c>
      <c r="Y22" s="216" t="s">
        <v>69</v>
      </c>
      <c r="Z22" s="216" t="s">
        <v>88</v>
      </c>
      <c r="AA22" s="216" t="s">
        <v>102</v>
      </c>
      <c r="AB22" s="216" t="s">
        <v>340</v>
      </c>
      <c r="AP22" s="239" t="s">
        <v>115</v>
      </c>
      <c r="AR22" s="238" t="s">
        <v>83</v>
      </c>
      <c r="AV22" s="228"/>
    </row>
    <row r="23" spans="1:48" x14ac:dyDescent="0.15">
      <c r="A23" s="216" t="s">
        <v>34</v>
      </c>
      <c r="B23" s="208" t="s">
        <v>338</v>
      </c>
      <c r="C23" s="208">
        <v>2018</v>
      </c>
      <c r="D23" s="250" t="s">
        <v>547</v>
      </c>
      <c r="E23" s="237" t="s">
        <v>331</v>
      </c>
      <c r="F23" s="237" t="s">
        <v>332</v>
      </c>
      <c r="G23" s="216" t="s">
        <v>36</v>
      </c>
      <c r="H23" s="208" t="s">
        <v>157</v>
      </c>
      <c r="I23" s="216" t="s">
        <v>155</v>
      </c>
      <c r="J23" s="216" t="s">
        <v>38</v>
      </c>
      <c r="K23" s="216" t="s">
        <v>156</v>
      </c>
      <c r="L23" s="216">
        <v>1</v>
      </c>
      <c r="N23" s="208">
        <v>8</v>
      </c>
      <c r="O23" s="208">
        <v>0.7</v>
      </c>
      <c r="P23" s="208">
        <v>0.75</v>
      </c>
      <c r="Q23" s="245">
        <f t="shared" si="0"/>
        <v>0.72499999999999998</v>
      </c>
      <c r="R23" s="208">
        <v>11.8</v>
      </c>
      <c r="S23" s="208">
        <v>84</v>
      </c>
      <c r="T23" s="217">
        <f t="shared" si="1"/>
        <v>36</v>
      </c>
      <c r="U23" s="208">
        <v>429</v>
      </c>
      <c r="V23" s="217">
        <f t="shared" si="2"/>
        <v>1930.5</v>
      </c>
      <c r="W23" s="208">
        <v>2</v>
      </c>
      <c r="X23" s="216" t="s">
        <v>46</v>
      </c>
      <c r="Y23" s="216" t="s">
        <v>69</v>
      </c>
      <c r="Z23" s="216" t="s">
        <v>88</v>
      </c>
      <c r="AA23" s="216" t="s">
        <v>102</v>
      </c>
      <c r="AB23" s="216" t="s">
        <v>340</v>
      </c>
      <c r="AP23" s="239" t="s">
        <v>117</v>
      </c>
      <c r="AR23" s="238" t="s">
        <v>290</v>
      </c>
    </row>
    <row r="24" spans="1:48" x14ac:dyDescent="0.15">
      <c r="A24" s="216" t="s">
        <v>34</v>
      </c>
      <c r="B24" s="208" t="s">
        <v>338</v>
      </c>
      <c r="C24" s="208">
        <v>2018</v>
      </c>
      <c r="D24" s="250" t="s">
        <v>547</v>
      </c>
      <c r="E24" s="237" t="s">
        <v>331</v>
      </c>
      <c r="F24" s="237" t="s">
        <v>332</v>
      </c>
      <c r="G24" s="216" t="s">
        <v>36</v>
      </c>
      <c r="H24" s="208" t="s">
        <v>157</v>
      </c>
      <c r="I24" s="216" t="s">
        <v>155</v>
      </c>
      <c r="J24" s="216" t="s">
        <v>38</v>
      </c>
      <c r="K24" s="216" t="s">
        <v>156</v>
      </c>
      <c r="L24" s="208">
        <v>2</v>
      </c>
      <c r="N24" s="208">
        <v>8</v>
      </c>
      <c r="O24" s="208">
        <v>0.8</v>
      </c>
      <c r="P24" s="208">
        <v>0.9</v>
      </c>
      <c r="Q24" s="245">
        <f t="shared" si="0"/>
        <v>0.85000000000000009</v>
      </c>
      <c r="R24" s="208">
        <v>10.1</v>
      </c>
      <c r="S24" s="208">
        <v>91</v>
      </c>
      <c r="T24" s="217">
        <f t="shared" si="1"/>
        <v>36</v>
      </c>
      <c r="U24" s="208">
        <v>429</v>
      </c>
      <c r="V24" s="217">
        <f t="shared" si="2"/>
        <v>1930.5</v>
      </c>
      <c r="W24" s="208">
        <v>2</v>
      </c>
      <c r="X24" s="216" t="s">
        <v>46</v>
      </c>
      <c r="Y24" s="216" t="s">
        <v>69</v>
      </c>
      <c r="Z24" s="216" t="s">
        <v>88</v>
      </c>
      <c r="AA24" s="216" t="s">
        <v>102</v>
      </c>
      <c r="AB24" s="216" t="s">
        <v>340</v>
      </c>
      <c r="AP24" s="239" t="s">
        <v>118</v>
      </c>
    </row>
    <row r="25" spans="1:48" x14ac:dyDescent="0.15">
      <c r="A25" s="216" t="s">
        <v>34</v>
      </c>
      <c r="B25" s="208" t="s">
        <v>338</v>
      </c>
      <c r="C25" s="208">
        <v>2018</v>
      </c>
      <c r="D25" s="250" t="s">
        <v>547</v>
      </c>
      <c r="E25" s="237" t="s">
        <v>331</v>
      </c>
      <c r="F25" s="237" t="s">
        <v>332</v>
      </c>
      <c r="G25" s="216" t="s">
        <v>36</v>
      </c>
      <c r="H25" s="208" t="s">
        <v>157</v>
      </c>
      <c r="I25" s="216" t="s">
        <v>155</v>
      </c>
      <c r="J25" s="216" t="s">
        <v>38</v>
      </c>
      <c r="K25" s="216" t="s">
        <v>156</v>
      </c>
      <c r="L25" s="208">
        <v>3</v>
      </c>
      <c r="N25" s="208">
        <v>8</v>
      </c>
      <c r="O25" s="208">
        <v>0.8</v>
      </c>
      <c r="P25" s="208">
        <v>0.8</v>
      </c>
      <c r="Q25" s="245">
        <f t="shared" si="0"/>
        <v>0.8</v>
      </c>
      <c r="R25" s="208">
        <v>11.5</v>
      </c>
      <c r="S25" s="208">
        <v>84</v>
      </c>
      <c r="T25" s="217">
        <f t="shared" si="1"/>
        <v>36</v>
      </c>
      <c r="U25" s="208">
        <v>429</v>
      </c>
      <c r="V25" s="217">
        <f t="shared" si="2"/>
        <v>1930.5</v>
      </c>
      <c r="W25" s="208">
        <v>2</v>
      </c>
      <c r="X25" s="216" t="s">
        <v>46</v>
      </c>
      <c r="Y25" s="216" t="s">
        <v>69</v>
      </c>
      <c r="Z25" s="216" t="s">
        <v>88</v>
      </c>
      <c r="AA25" s="216" t="s">
        <v>102</v>
      </c>
      <c r="AB25" s="216" t="s">
        <v>340</v>
      </c>
    </row>
    <row r="26" spans="1:48" x14ac:dyDescent="0.15">
      <c r="A26" s="216" t="s">
        <v>34</v>
      </c>
      <c r="B26" s="208" t="s">
        <v>338</v>
      </c>
      <c r="C26" s="208">
        <v>2018</v>
      </c>
      <c r="D26" s="250" t="s">
        <v>547</v>
      </c>
      <c r="E26" s="237" t="s">
        <v>331</v>
      </c>
      <c r="F26" s="237" t="s">
        <v>332</v>
      </c>
      <c r="G26" s="216" t="s">
        <v>36</v>
      </c>
      <c r="H26" s="208" t="s">
        <v>166</v>
      </c>
      <c r="I26" s="216" t="s">
        <v>155</v>
      </c>
      <c r="J26" s="216" t="s">
        <v>38</v>
      </c>
      <c r="K26" s="216" t="s">
        <v>156</v>
      </c>
      <c r="L26" s="216">
        <v>1</v>
      </c>
      <c r="N26" s="208">
        <v>1</v>
      </c>
      <c r="O26" s="208">
        <v>0.6</v>
      </c>
      <c r="P26" s="208">
        <v>0.55000000000000004</v>
      </c>
      <c r="Q26" s="245">
        <f t="shared" si="0"/>
        <v>0.57499999999999996</v>
      </c>
      <c r="R26" s="208">
        <v>13.3</v>
      </c>
      <c r="S26" s="208">
        <v>141</v>
      </c>
      <c r="T26" s="217">
        <f t="shared" si="1"/>
        <v>30</v>
      </c>
      <c r="U26" s="208">
        <v>105</v>
      </c>
      <c r="V26" s="217">
        <f t="shared" si="2"/>
        <v>3150</v>
      </c>
      <c r="W26" s="208">
        <v>1</v>
      </c>
      <c r="X26" s="216" t="s">
        <v>46</v>
      </c>
      <c r="Y26" s="216" t="s">
        <v>69</v>
      </c>
      <c r="Z26" s="216" t="s">
        <v>88</v>
      </c>
      <c r="AA26" s="216" t="s">
        <v>102</v>
      </c>
      <c r="AB26" s="216" t="s">
        <v>340</v>
      </c>
    </row>
    <row r="27" spans="1:48" x14ac:dyDescent="0.15">
      <c r="A27" s="216" t="s">
        <v>34</v>
      </c>
      <c r="B27" s="208" t="s">
        <v>338</v>
      </c>
      <c r="C27" s="208">
        <v>2018</v>
      </c>
      <c r="D27" s="250" t="s">
        <v>547</v>
      </c>
      <c r="E27" s="237" t="s">
        <v>331</v>
      </c>
      <c r="F27" s="237" t="s">
        <v>332</v>
      </c>
      <c r="G27" s="216" t="s">
        <v>36</v>
      </c>
      <c r="H27" s="208" t="s">
        <v>166</v>
      </c>
      <c r="I27" s="216" t="s">
        <v>155</v>
      </c>
      <c r="J27" s="216" t="s">
        <v>38</v>
      </c>
      <c r="K27" s="216" t="s">
        <v>156</v>
      </c>
      <c r="L27" s="208">
        <v>2</v>
      </c>
      <c r="N27" s="208">
        <v>1</v>
      </c>
      <c r="O27" s="208">
        <v>0.6</v>
      </c>
      <c r="P27" s="208">
        <v>0.75</v>
      </c>
      <c r="Q27" s="245">
        <f t="shared" si="0"/>
        <v>0.67500000000000004</v>
      </c>
      <c r="R27" s="208">
        <v>14.6</v>
      </c>
      <c r="S27" s="208">
        <v>136</v>
      </c>
      <c r="T27" s="217">
        <f t="shared" si="1"/>
        <v>30</v>
      </c>
      <c r="U27" s="208">
        <v>105</v>
      </c>
      <c r="V27" s="217">
        <f t="shared" si="2"/>
        <v>3150</v>
      </c>
      <c r="W27" s="208">
        <v>1</v>
      </c>
      <c r="X27" s="216" t="s">
        <v>46</v>
      </c>
      <c r="Y27" s="216" t="s">
        <v>69</v>
      </c>
      <c r="Z27" s="216" t="s">
        <v>88</v>
      </c>
      <c r="AA27" s="216" t="s">
        <v>102</v>
      </c>
      <c r="AB27" s="216" t="s">
        <v>340</v>
      </c>
    </row>
    <row r="28" spans="1:48" x14ac:dyDescent="0.15">
      <c r="A28" s="216" t="s">
        <v>34</v>
      </c>
      <c r="B28" s="208" t="s">
        <v>338</v>
      </c>
      <c r="C28" s="208">
        <v>2018</v>
      </c>
      <c r="D28" s="250" t="s">
        <v>547</v>
      </c>
      <c r="E28" s="237" t="s">
        <v>331</v>
      </c>
      <c r="F28" s="237" t="s">
        <v>332</v>
      </c>
      <c r="G28" s="216" t="s">
        <v>36</v>
      </c>
      <c r="H28" s="208" t="s">
        <v>166</v>
      </c>
      <c r="I28" s="216" t="s">
        <v>155</v>
      </c>
      <c r="J28" s="216" t="s">
        <v>38</v>
      </c>
      <c r="K28" s="216" t="s">
        <v>156</v>
      </c>
      <c r="L28" s="208">
        <v>3</v>
      </c>
      <c r="N28" s="208">
        <v>1</v>
      </c>
      <c r="O28" s="208">
        <v>0.8</v>
      </c>
      <c r="P28" s="208">
        <v>0.7</v>
      </c>
      <c r="Q28" s="245">
        <f t="shared" si="0"/>
        <v>0.75</v>
      </c>
      <c r="R28" s="208">
        <v>14.6</v>
      </c>
      <c r="S28" s="208">
        <v>143</v>
      </c>
      <c r="T28" s="217">
        <f t="shared" si="1"/>
        <v>30</v>
      </c>
      <c r="U28" s="208">
        <v>105</v>
      </c>
      <c r="V28" s="217">
        <f t="shared" si="2"/>
        <v>3150</v>
      </c>
      <c r="W28" s="208">
        <v>1</v>
      </c>
      <c r="X28" s="216" t="s">
        <v>46</v>
      </c>
      <c r="Y28" s="216" t="s">
        <v>69</v>
      </c>
      <c r="Z28" s="216" t="s">
        <v>88</v>
      </c>
      <c r="AA28" s="216" t="s">
        <v>102</v>
      </c>
      <c r="AB28" s="216" t="s">
        <v>340</v>
      </c>
    </row>
    <row r="29" spans="1:48" x14ac:dyDescent="0.15">
      <c r="A29" s="216" t="s">
        <v>34</v>
      </c>
      <c r="B29" s="208" t="s">
        <v>338</v>
      </c>
      <c r="C29" s="208">
        <v>2018</v>
      </c>
      <c r="D29" s="250" t="s">
        <v>547</v>
      </c>
      <c r="E29" s="237" t="s">
        <v>169</v>
      </c>
      <c r="F29" s="237" t="s">
        <v>336</v>
      </c>
      <c r="G29" s="216" t="s">
        <v>36</v>
      </c>
      <c r="H29" s="208" t="s">
        <v>157</v>
      </c>
      <c r="I29" s="216" t="s">
        <v>155</v>
      </c>
      <c r="J29" s="216" t="s">
        <v>38</v>
      </c>
      <c r="K29" s="216" t="s">
        <v>156</v>
      </c>
      <c r="L29" s="216">
        <v>1</v>
      </c>
      <c r="N29" s="208">
        <v>1</v>
      </c>
      <c r="O29" s="208">
        <v>0.2</v>
      </c>
      <c r="P29" s="208">
        <v>0.2</v>
      </c>
      <c r="Q29" s="245">
        <f t="shared" si="0"/>
        <v>0.2</v>
      </c>
      <c r="R29" s="208">
        <v>14.3</v>
      </c>
      <c r="S29" s="208">
        <v>139</v>
      </c>
      <c r="T29" s="217">
        <f t="shared" si="1"/>
        <v>30</v>
      </c>
      <c r="U29" s="208">
        <v>137</v>
      </c>
      <c r="V29" s="217">
        <f t="shared" si="2"/>
        <v>4110</v>
      </c>
      <c r="W29" s="208">
        <v>2</v>
      </c>
      <c r="X29" s="216" t="s">
        <v>46</v>
      </c>
      <c r="Y29" s="216" t="s">
        <v>69</v>
      </c>
      <c r="Z29" s="216" t="s">
        <v>55</v>
      </c>
      <c r="AA29" s="216" t="s">
        <v>88</v>
      </c>
      <c r="AB29" s="216" t="s">
        <v>340</v>
      </c>
    </row>
    <row r="30" spans="1:48" x14ac:dyDescent="0.15">
      <c r="A30" s="216" t="s">
        <v>34</v>
      </c>
      <c r="B30" s="208" t="s">
        <v>338</v>
      </c>
      <c r="C30" s="208">
        <v>2018</v>
      </c>
      <c r="D30" s="250" t="s">
        <v>547</v>
      </c>
      <c r="E30" s="237" t="s">
        <v>169</v>
      </c>
      <c r="F30" s="237" t="s">
        <v>336</v>
      </c>
      <c r="G30" s="216" t="s">
        <v>36</v>
      </c>
      <c r="H30" s="208" t="s">
        <v>157</v>
      </c>
      <c r="I30" s="216" t="s">
        <v>155</v>
      </c>
      <c r="J30" s="216" t="s">
        <v>38</v>
      </c>
      <c r="K30" s="216" t="s">
        <v>156</v>
      </c>
      <c r="L30" s="208">
        <v>2</v>
      </c>
      <c r="N30" s="208">
        <v>1</v>
      </c>
      <c r="O30" s="208">
        <v>0.2</v>
      </c>
      <c r="P30" s="208">
        <v>0.2</v>
      </c>
      <c r="Q30" s="245">
        <f t="shared" si="0"/>
        <v>0.2</v>
      </c>
      <c r="R30" s="208">
        <v>15</v>
      </c>
      <c r="S30" s="208">
        <v>144</v>
      </c>
      <c r="T30" s="217">
        <f t="shared" si="1"/>
        <v>30</v>
      </c>
      <c r="U30" s="208">
        <v>137</v>
      </c>
      <c r="V30" s="217">
        <f t="shared" si="2"/>
        <v>4110</v>
      </c>
      <c r="W30" s="208">
        <v>2</v>
      </c>
      <c r="X30" s="216" t="s">
        <v>46</v>
      </c>
      <c r="Y30" s="216" t="s">
        <v>69</v>
      </c>
      <c r="Z30" s="216" t="s">
        <v>55</v>
      </c>
      <c r="AA30" s="216" t="s">
        <v>88</v>
      </c>
      <c r="AB30" s="216" t="s">
        <v>340</v>
      </c>
    </row>
    <row r="31" spans="1:48" x14ac:dyDescent="0.15">
      <c r="A31" s="216" t="s">
        <v>34</v>
      </c>
      <c r="B31" s="208" t="s">
        <v>338</v>
      </c>
      <c r="C31" s="208">
        <v>2018</v>
      </c>
      <c r="D31" s="250" t="s">
        <v>547</v>
      </c>
      <c r="E31" s="237" t="s">
        <v>169</v>
      </c>
      <c r="F31" s="237" t="s">
        <v>336</v>
      </c>
      <c r="G31" s="216" t="s">
        <v>36</v>
      </c>
      <c r="H31" s="208" t="s">
        <v>157</v>
      </c>
      <c r="I31" s="216" t="s">
        <v>155</v>
      </c>
      <c r="J31" s="216" t="s">
        <v>38</v>
      </c>
      <c r="K31" s="216" t="s">
        <v>156</v>
      </c>
      <c r="L31" s="208">
        <v>3</v>
      </c>
      <c r="N31" s="208">
        <v>1</v>
      </c>
      <c r="O31" s="208">
        <v>0.5</v>
      </c>
      <c r="P31" s="208">
        <v>0.6</v>
      </c>
      <c r="Q31" s="245">
        <f t="shared" si="0"/>
        <v>0.55000000000000004</v>
      </c>
      <c r="R31" s="208">
        <v>13.3</v>
      </c>
      <c r="S31" s="208">
        <v>138</v>
      </c>
      <c r="T31" s="217">
        <f t="shared" si="1"/>
        <v>30</v>
      </c>
      <c r="U31" s="208">
        <v>137</v>
      </c>
      <c r="V31" s="217">
        <f t="shared" si="2"/>
        <v>4110</v>
      </c>
      <c r="W31" s="208">
        <v>2</v>
      </c>
      <c r="X31" s="216" t="s">
        <v>46</v>
      </c>
      <c r="Y31" s="216" t="s">
        <v>69</v>
      </c>
      <c r="Z31" s="216" t="s">
        <v>55</v>
      </c>
      <c r="AA31" s="216" t="s">
        <v>88</v>
      </c>
      <c r="AB31" s="216" t="s">
        <v>340</v>
      </c>
    </row>
    <row r="32" spans="1:48" x14ac:dyDescent="0.15">
      <c r="A32" s="216" t="s">
        <v>34</v>
      </c>
      <c r="B32" s="208" t="s">
        <v>338</v>
      </c>
      <c r="C32" s="208">
        <v>2018</v>
      </c>
      <c r="D32" s="250" t="s">
        <v>547</v>
      </c>
      <c r="E32" s="237" t="s">
        <v>169</v>
      </c>
      <c r="F32" s="237" t="s">
        <v>336</v>
      </c>
      <c r="G32" s="216" t="s">
        <v>36</v>
      </c>
      <c r="H32" s="208" t="s">
        <v>157</v>
      </c>
      <c r="I32" s="216" t="s">
        <v>155</v>
      </c>
      <c r="J32" s="216" t="s">
        <v>38</v>
      </c>
      <c r="K32" s="216" t="s">
        <v>156</v>
      </c>
      <c r="L32" s="216">
        <v>1</v>
      </c>
      <c r="N32" s="208">
        <v>4</v>
      </c>
      <c r="O32" s="208">
        <v>0.75</v>
      </c>
      <c r="P32" s="208">
        <v>0.7</v>
      </c>
      <c r="Q32" s="245">
        <f t="shared" si="0"/>
        <v>0.72499999999999998</v>
      </c>
      <c r="R32" s="208">
        <v>14.7</v>
      </c>
      <c r="S32" s="208">
        <v>128</v>
      </c>
      <c r="T32" s="217">
        <f t="shared" si="1"/>
        <v>30</v>
      </c>
      <c r="U32" s="208">
        <v>471</v>
      </c>
      <c r="V32" s="217">
        <f t="shared" si="2"/>
        <v>3532.5</v>
      </c>
      <c r="W32" s="208">
        <v>2</v>
      </c>
      <c r="X32" s="216" t="s">
        <v>46</v>
      </c>
      <c r="Y32" s="216" t="s">
        <v>69</v>
      </c>
      <c r="Z32" s="216" t="s">
        <v>55</v>
      </c>
      <c r="AA32" s="216" t="s">
        <v>88</v>
      </c>
      <c r="AB32" s="216" t="s">
        <v>340</v>
      </c>
    </row>
    <row r="33" spans="1:28" x14ac:dyDescent="0.15">
      <c r="A33" s="216" t="s">
        <v>34</v>
      </c>
      <c r="B33" s="208" t="s">
        <v>338</v>
      </c>
      <c r="C33" s="208">
        <v>2018</v>
      </c>
      <c r="D33" s="250" t="s">
        <v>547</v>
      </c>
      <c r="E33" s="237" t="s">
        <v>169</v>
      </c>
      <c r="F33" s="237" t="s">
        <v>336</v>
      </c>
      <c r="G33" s="216" t="s">
        <v>36</v>
      </c>
      <c r="H33" s="208" t="s">
        <v>157</v>
      </c>
      <c r="I33" s="216" t="s">
        <v>155</v>
      </c>
      <c r="J33" s="216" t="s">
        <v>38</v>
      </c>
      <c r="K33" s="216" t="s">
        <v>156</v>
      </c>
      <c r="L33" s="208">
        <v>2</v>
      </c>
      <c r="N33" s="208">
        <v>4</v>
      </c>
      <c r="O33" s="208">
        <v>0.65</v>
      </c>
      <c r="P33" s="208">
        <v>0.65</v>
      </c>
      <c r="Q33" s="245">
        <f t="shared" si="0"/>
        <v>0.65</v>
      </c>
      <c r="R33" s="208">
        <v>15</v>
      </c>
      <c r="S33" s="208">
        <v>127</v>
      </c>
      <c r="T33" s="217">
        <f t="shared" si="1"/>
        <v>30</v>
      </c>
      <c r="U33" s="208">
        <v>471</v>
      </c>
      <c r="V33" s="217">
        <f t="shared" si="2"/>
        <v>3532.5</v>
      </c>
      <c r="W33" s="208">
        <v>2</v>
      </c>
      <c r="X33" s="216" t="s">
        <v>46</v>
      </c>
      <c r="Y33" s="216" t="s">
        <v>69</v>
      </c>
      <c r="Z33" s="216" t="s">
        <v>55</v>
      </c>
      <c r="AA33" s="216" t="s">
        <v>88</v>
      </c>
      <c r="AB33" s="216" t="s">
        <v>340</v>
      </c>
    </row>
    <row r="34" spans="1:28" x14ac:dyDescent="0.15">
      <c r="A34" s="216" t="s">
        <v>34</v>
      </c>
      <c r="B34" s="208" t="s">
        <v>338</v>
      </c>
      <c r="C34" s="208">
        <v>2018</v>
      </c>
      <c r="D34" s="250" t="s">
        <v>547</v>
      </c>
      <c r="E34" s="237" t="s">
        <v>169</v>
      </c>
      <c r="F34" s="237" t="s">
        <v>336</v>
      </c>
      <c r="G34" s="216" t="s">
        <v>36</v>
      </c>
      <c r="H34" s="208" t="s">
        <v>157</v>
      </c>
      <c r="I34" s="216" t="s">
        <v>155</v>
      </c>
      <c r="J34" s="216" t="s">
        <v>38</v>
      </c>
      <c r="K34" s="216" t="s">
        <v>156</v>
      </c>
      <c r="L34" s="208">
        <v>3</v>
      </c>
      <c r="N34" s="208">
        <v>4</v>
      </c>
      <c r="O34" s="208">
        <v>0.6</v>
      </c>
      <c r="P34" s="208">
        <v>0.6</v>
      </c>
      <c r="Q34" s="245">
        <f>IF(OR(O34="",P34=""),"",AVERAGE(O34,P34))</f>
        <v>0.6</v>
      </c>
      <c r="R34" s="208">
        <v>14.4</v>
      </c>
      <c r="S34" s="208">
        <v>131</v>
      </c>
      <c r="T34" s="217">
        <f t="shared" si="1"/>
        <v>30</v>
      </c>
      <c r="U34" s="208">
        <v>471</v>
      </c>
      <c r="V34" s="217">
        <f t="shared" si="2"/>
        <v>3532.5</v>
      </c>
      <c r="W34" s="208">
        <v>2</v>
      </c>
      <c r="X34" s="216" t="s">
        <v>46</v>
      </c>
      <c r="Y34" s="216" t="s">
        <v>69</v>
      </c>
      <c r="Z34" s="216" t="s">
        <v>55</v>
      </c>
      <c r="AA34" s="216" t="s">
        <v>88</v>
      </c>
      <c r="AB34" s="216" t="s">
        <v>340</v>
      </c>
    </row>
    <row r="35" spans="1:28" x14ac:dyDescent="0.15">
      <c r="A35" s="216" t="s">
        <v>34</v>
      </c>
      <c r="B35" s="208" t="s">
        <v>338</v>
      </c>
      <c r="C35" s="208">
        <v>2018</v>
      </c>
      <c r="D35" s="250" t="s">
        <v>547</v>
      </c>
      <c r="E35" s="237" t="s">
        <v>169</v>
      </c>
      <c r="F35" s="237" t="s">
        <v>336</v>
      </c>
      <c r="G35" s="216" t="s">
        <v>36</v>
      </c>
      <c r="H35" s="208" t="s">
        <v>166</v>
      </c>
      <c r="I35" s="216" t="s">
        <v>155</v>
      </c>
      <c r="J35" s="216" t="s">
        <v>38</v>
      </c>
      <c r="K35" s="216" t="s">
        <v>156</v>
      </c>
      <c r="L35" s="216">
        <v>1</v>
      </c>
      <c r="N35" s="208">
        <v>1</v>
      </c>
      <c r="O35" s="208">
        <v>0.75</v>
      </c>
      <c r="P35" s="208">
        <v>0.6</v>
      </c>
      <c r="Q35" s="245">
        <f t="shared" ref="Q35:Q36" si="3">IF(OR(O35="",P35=""),"",AVERAGE(O35,P35))</f>
        <v>0.67500000000000004</v>
      </c>
      <c r="R35" s="208">
        <v>15.3</v>
      </c>
      <c r="S35" s="208">
        <v>164</v>
      </c>
      <c r="T35" s="217">
        <f t="shared" si="1"/>
        <v>18</v>
      </c>
      <c r="U35" s="208">
        <v>137</v>
      </c>
      <c r="V35" s="217">
        <f t="shared" si="2"/>
        <v>2466</v>
      </c>
      <c r="W35" s="208">
        <v>5</v>
      </c>
      <c r="X35" s="216" t="s">
        <v>46</v>
      </c>
      <c r="Y35" s="216" t="s">
        <v>69</v>
      </c>
      <c r="Z35" s="216" t="s">
        <v>55</v>
      </c>
      <c r="AA35" s="216" t="s">
        <v>88</v>
      </c>
      <c r="AB35" s="216" t="s">
        <v>340</v>
      </c>
    </row>
    <row r="36" spans="1:28" x14ac:dyDescent="0.15">
      <c r="A36" s="216" t="s">
        <v>34</v>
      </c>
      <c r="B36" s="208" t="s">
        <v>338</v>
      </c>
      <c r="C36" s="208">
        <v>2018</v>
      </c>
      <c r="D36" s="250" t="s">
        <v>547</v>
      </c>
      <c r="E36" s="237" t="s">
        <v>169</v>
      </c>
      <c r="F36" s="237" t="s">
        <v>336</v>
      </c>
      <c r="G36" s="216" t="s">
        <v>36</v>
      </c>
      <c r="H36" s="208" t="s">
        <v>166</v>
      </c>
      <c r="I36" s="216" t="s">
        <v>155</v>
      </c>
      <c r="J36" s="216" t="s">
        <v>38</v>
      </c>
      <c r="K36" s="216" t="s">
        <v>156</v>
      </c>
      <c r="L36" s="208">
        <v>2</v>
      </c>
      <c r="N36" s="208">
        <v>1</v>
      </c>
      <c r="O36" s="208">
        <v>0.65</v>
      </c>
      <c r="P36" s="208">
        <v>0.5</v>
      </c>
      <c r="Q36" s="245">
        <f t="shared" si="3"/>
        <v>0.57499999999999996</v>
      </c>
      <c r="R36" s="208">
        <v>14.4</v>
      </c>
      <c r="S36" s="208">
        <v>157</v>
      </c>
      <c r="T36" s="217">
        <f t="shared" si="1"/>
        <v>18</v>
      </c>
      <c r="U36" s="208">
        <v>137</v>
      </c>
      <c r="V36" s="217">
        <f t="shared" si="2"/>
        <v>2466</v>
      </c>
      <c r="W36" s="208">
        <v>5</v>
      </c>
      <c r="X36" s="216" t="s">
        <v>46</v>
      </c>
      <c r="Y36" s="216" t="s">
        <v>69</v>
      </c>
      <c r="Z36" s="216" t="s">
        <v>55</v>
      </c>
      <c r="AA36" s="216" t="s">
        <v>88</v>
      </c>
      <c r="AB36" s="216" t="s">
        <v>340</v>
      </c>
    </row>
    <row r="37" spans="1:28" x14ac:dyDescent="0.15">
      <c r="A37" s="216" t="s">
        <v>34</v>
      </c>
      <c r="B37" s="208" t="s">
        <v>338</v>
      </c>
      <c r="C37" s="208">
        <v>2018</v>
      </c>
      <c r="D37" s="250" t="s">
        <v>547</v>
      </c>
      <c r="E37" s="237" t="s">
        <v>169</v>
      </c>
      <c r="F37" s="237" t="s">
        <v>336</v>
      </c>
      <c r="G37" s="216" t="s">
        <v>36</v>
      </c>
      <c r="H37" s="208" t="s">
        <v>166</v>
      </c>
      <c r="I37" s="216" t="s">
        <v>155</v>
      </c>
      <c r="J37" s="216" t="s">
        <v>38</v>
      </c>
      <c r="K37" s="216" t="s">
        <v>156</v>
      </c>
      <c r="L37" s="208">
        <v>3</v>
      </c>
      <c r="N37" s="208">
        <v>1</v>
      </c>
      <c r="O37" s="208">
        <v>0.5</v>
      </c>
      <c r="P37" s="208">
        <v>0.5</v>
      </c>
      <c r="Q37" s="245">
        <f>IF(OR(O37="",P37=""),"",AVERAGE(O37,P37))</f>
        <v>0.5</v>
      </c>
      <c r="R37" s="208">
        <v>14.8</v>
      </c>
      <c r="S37" s="208">
        <v>153</v>
      </c>
      <c r="T37" s="217">
        <f t="shared" si="1"/>
        <v>18</v>
      </c>
      <c r="U37" s="208">
        <v>137</v>
      </c>
      <c r="V37" s="217">
        <f t="shared" si="2"/>
        <v>2466</v>
      </c>
      <c r="W37" s="208">
        <v>5</v>
      </c>
      <c r="X37" s="216" t="s">
        <v>46</v>
      </c>
      <c r="Y37" s="216" t="s">
        <v>69</v>
      </c>
      <c r="Z37" s="216" t="s">
        <v>55</v>
      </c>
      <c r="AA37" s="216" t="s">
        <v>88</v>
      </c>
      <c r="AB37" s="216" t="s">
        <v>340</v>
      </c>
    </row>
    <row r="38" spans="1:28" x14ac:dyDescent="0.15">
      <c r="A38" s="216" t="s">
        <v>34</v>
      </c>
      <c r="B38" s="208" t="s">
        <v>338</v>
      </c>
      <c r="C38" s="208">
        <v>2018</v>
      </c>
      <c r="D38" s="250" t="s">
        <v>547</v>
      </c>
      <c r="E38" s="237" t="s">
        <v>169</v>
      </c>
      <c r="F38" s="237" t="s">
        <v>336</v>
      </c>
      <c r="G38" s="216" t="s">
        <v>36</v>
      </c>
      <c r="H38" s="208" t="s">
        <v>166</v>
      </c>
      <c r="I38" s="216" t="s">
        <v>155</v>
      </c>
      <c r="J38" s="216" t="s">
        <v>38</v>
      </c>
      <c r="K38" s="216" t="s">
        <v>156</v>
      </c>
      <c r="L38" s="216">
        <v>1</v>
      </c>
      <c r="N38" s="208">
        <v>4</v>
      </c>
      <c r="O38" s="208">
        <v>0.5</v>
      </c>
      <c r="P38" s="208">
        <v>0.45</v>
      </c>
      <c r="Q38" s="245">
        <f t="shared" ref="Q38:Q39" si="4">IF(OR(O38="",P38=""),"",AVERAGE(O38,P38))</f>
        <v>0.47499999999999998</v>
      </c>
      <c r="R38" s="208">
        <v>15.2</v>
      </c>
      <c r="S38" s="208">
        <v>129</v>
      </c>
      <c r="T38" s="217">
        <f t="shared" si="1"/>
        <v>30</v>
      </c>
      <c r="U38" s="208">
        <v>471</v>
      </c>
      <c r="V38" s="217">
        <f t="shared" si="2"/>
        <v>3532.5</v>
      </c>
      <c r="W38" s="208">
        <v>5</v>
      </c>
      <c r="X38" s="216" t="s">
        <v>46</v>
      </c>
      <c r="Y38" s="216" t="s">
        <v>69</v>
      </c>
      <c r="Z38" s="216" t="s">
        <v>55</v>
      </c>
      <c r="AA38" s="216" t="s">
        <v>88</v>
      </c>
      <c r="AB38" s="216" t="s">
        <v>340</v>
      </c>
    </row>
    <row r="39" spans="1:28" x14ac:dyDescent="0.15">
      <c r="A39" s="216" t="s">
        <v>34</v>
      </c>
      <c r="B39" s="208" t="s">
        <v>338</v>
      </c>
      <c r="C39" s="208">
        <v>2018</v>
      </c>
      <c r="D39" s="250" t="s">
        <v>547</v>
      </c>
      <c r="E39" s="237" t="s">
        <v>169</v>
      </c>
      <c r="F39" s="237" t="s">
        <v>336</v>
      </c>
      <c r="G39" s="216" t="s">
        <v>36</v>
      </c>
      <c r="H39" s="208" t="s">
        <v>166</v>
      </c>
      <c r="I39" s="216" t="s">
        <v>155</v>
      </c>
      <c r="J39" s="216" t="s">
        <v>38</v>
      </c>
      <c r="K39" s="216" t="s">
        <v>156</v>
      </c>
      <c r="L39" s="208">
        <v>2</v>
      </c>
      <c r="N39" s="208">
        <v>4</v>
      </c>
      <c r="O39" s="208">
        <v>0.55000000000000004</v>
      </c>
      <c r="P39" s="208">
        <v>0.6</v>
      </c>
      <c r="Q39" s="245">
        <f t="shared" si="4"/>
        <v>0.57499999999999996</v>
      </c>
      <c r="R39" s="208">
        <v>14.2</v>
      </c>
      <c r="S39" s="208">
        <v>130</v>
      </c>
      <c r="T39" s="217">
        <f t="shared" si="1"/>
        <v>30</v>
      </c>
      <c r="U39" s="208">
        <v>471</v>
      </c>
      <c r="V39" s="217">
        <f t="shared" si="2"/>
        <v>3532.5</v>
      </c>
      <c r="W39" s="208">
        <v>5</v>
      </c>
      <c r="X39" s="216" t="s">
        <v>46</v>
      </c>
      <c r="Y39" s="216" t="s">
        <v>69</v>
      </c>
      <c r="Z39" s="216" t="s">
        <v>55</v>
      </c>
      <c r="AA39" s="216" t="s">
        <v>88</v>
      </c>
      <c r="AB39" s="216" t="s">
        <v>340</v>
      </c>
    </row>
    <row r="40" spans="1:28" x14ac:dyDescent="0.15">
      <c r="A40" s="216" t="s">
        <v>34</v>
      </c>
      <c r="B40" s="208" t="s">
        <v>338</v>
      </c>
      <c r="C40" s="208">
        <v>2018</v>
      </c>
      <c r="D40" s="250" t="s">
        <v>547</v>
      </c>
      <c r="E40" s="237" t="s">
        <v>169</v>
      </c>
      <c r="F40" s="237" t="s">
        <v>336</v>
      </c>
      <c r="G40" s="216" t="s">
        <v>36</v>
      </c>
      <c r="H40" s="208" t="s">
        <v>166</v>
      </c>
      <c r="I40" s="216" t="s">
        <v>155</v>
      </c>
      <c r="J40" s="216" t="s">
        <v>38</v>
      </c>
      <c r="K40" s="216" t="s">
        <v>156</v>
      </c>
      <c r="L40" s="208">
        <v>3</v>
      </c>
      <c r="N40" s="208">
        <v>4</v>
      </c>
      <c r="O40" s="208">
        <v>0.2</v>
      </c>
      <c r="P40" s="208">
        <v>0.5</v>
      </c>
      <c r="Q40" s="245">
        <f>IF(OR(O40="",P40=""),"",AVERAGE(O40,P40))</f>
        <v>0.35</v>
      </c>
      <c r="R40" s="208">
        <v>14.5</v>
      </c>
      <c r="S40" s="208">
        <v>130</v>
      </c>
      <c r="T40" s="217">
        <f t="shared" si="1"/>
        <v>30</v>
      </c>
      <c r="U40" s="208">
        <v>471</v>
      </c>
      <c r="V40" s="217">
        <f t="shared" si="2"/>
        <v>3532.5</v>
      </c>
      <c r="W40" s="208">
        <v>5</v>
      </c>
      <c r="X40" s="216" t="s">
        <v>46</v>
      </c>
      <c r="Y40" s="216" t="s">
        <v>69</v>
      </c>
      <c r="Z40" s="216" t="s">
        <v>55</v>
      </c>
      <c r="AA40" s="216" t="s">
        <v>88</v>
      </c>
      <c r="AB40" s="216" t="s">
        <v>340</v>
      </c>
    </row>
    <row r="41" spans="1:28" x14ac:dyDescent="0.15">
      <c r="A41" s="216" t="s">
        <v>34</v>
      </c>
      <c r="B41" s="208" t="s">
        <v>338</v>
      </c>
      <c r="C41" s="208">
        <v>2018</v>
      </c>
      <c r="D41" s="250" t="s">
        <v>547</v>
      </c>
      <c r="E41" s="237" t="s">
        <v>286</v>
      </c>
      <c r="F41" s="237" t="s">
        <v>321</v>
      </c>
      <c r="G41" s="216" t="s">
        <v>36</v>
      </c>
      <c r="H41" s="208" t="s">
        <v>157</v>
      </c>
      <c r="I41" s="216" t="s">
        <v>155</v>
      </c>
      <c r="J41" s="216" t="s">
        <v>38</v>
      </c>
      <c r="K41" s="216" t="s">
        <v>156</v>
      </c>
      <c r="L41" s="216">
        <v>1</v>
      </c>
      <c r="N41" s="208">
        <v>1</v>
      </c>
      <c r="O41" s="208">
        <v>0.8</v>
      </c>
      <c r="P41" s="208">
        <v>0.8</v>
      </c>
      <c r="Q41" s="245">
        <f t="shared" si="0"/>
        <v>0.8</v>
      </c>
      <c r="R41" s="208">
        <v>15</v>
      </c>
      <c r="S41" s="208">
        <v>141</v>
      </c>
      <c r="T41" s="217">
        <f t="shared" si="1"/>
        <v>30</v>
      </c>
      <c r="U41" s="208">
        <v>105</v>
      </c>
      <c r="V41" s="217">
        <f t="shared" si="2"/>
        <v>3150</v>
      </c>
      <c r="W41" s="208">
        <v>1</v>
      </c>
      <c r="X41" s="216" t="s">
        <v>46</v>
      </c>
      <c r="Y41" s="216" t="s">
        <v>97</v>
      </c>
      <c r="Z41" s="216" t="s">
        <v>88</v>
      </c>
      <c r="AA41" s="216" t="s">
        <v>78</v>
      </c>
      <c r="AB41" s="216" t="s">
        <v>340</v>
      </c>
    </row>
    <row r="42" spans="1:28" x14ac:dyDescent="0.15">
      <c r="A42" s="216" t="s">
        <v>34</v>
      </c>
      <c r="B42" s="208" t="s">
        <v>338</v>
      </c>
      <c r="C42" s="208">
        <v>2018</v>
      </c>
      <c r="D42" s="250" t="s">
        <v>547</v>
      </c>
      <c r="E42" s="237" t="s">
        <v>286</v>
      </c>
      <c r="F42" s="237" t="s">
        <v>321</v>
      </c>
      <c r="G42" s="216" t="s">
        <v>36</v>
      </c>
      <c r="H42" s="208" t="s">
        <v>157</v>
      </c>
      <c r="I42" s="216" t="s">
        <v>155</v>
      </c>
      <c r="J42" s="216" t="s">
        <v>38</v>
      </c>
      <c r="K42" s="216" t="s">
        <v>156</v>
      </c>
      <c r="L42" s="208">
        <v>2</v>
      </c>
      <c r="N42" s="208">
        <v>1</v>
      </c>
      <c r="O42" s="208">
        <v>0.8</v>
      </c>
      <c r="P42" s="208">
        <v>0.8</v>
      </c>
      <c r="Q42" s="245">
        <f t="shared" si="0"/>
        <v>0.8</v>
      </c>
      <c r="R42" s="208">
        <v>14.1</v>
      </c>
      <c r="S42" s="208">
        <v>139</v>
      </c>
      <c r="T42" s="217">
        <f t="shared" si="1"/>
        <v>30</v>
      </c>
      <c r="U42" s="208">
        <v>105</v>
      </c>
      <c r="V42" s="217">
        <f t="shared" si="2"/>
        <v>3150</v>
      </c>
      <c r="W42" s="208">
        <v>1</v>
      </c>
      <c r="X42" s="216" t="s">
        <v>46</v>
      </c>
      <c r="Y42" s="216" t="s">
        <v>97</v>
      </c>
      <c r="Z42" s="216" t="s">
        <v>88</v>
      </c>
      <c r="AA42" s="216" t="s">
        <v>78</v>
      </c>
      <c r="AB42" s="216" t="s">
        <v>340</v>
      </c>
    </row>
    <row r="43" spans="1:28" x14ac:dyDescent="0.15">
      <c r="A43" s="216" t="s">
        <v>34</v>
      </c>
      <c r="B43" s="208" t="s">
        <v>338</v>
      </c>
      <c r="C43" s="208">
        <v>2018</v>
      </c>
      <c r="D43" s="250" t="s">
        <v>547</v>
      </c>
      <c r="E43" s="237" t="s">
        <v>286</v>
      </c>
      <c r="F43" s="237" t="s">
        <v>321</v>
      </c>
      <c r="G43" s="216" t="s">
        <v>36</v>
      </c>
      <c r="H43" s="208" t="s">
        <v>157</v>
      </c>
      <c r="I43" s="216" t="s">
        <v>155</v>
      </c>
      <c r="J43" s="216" t="s">
        <v>38</v>
      </c>
      <c r="K43" s="216" t="s">
        <v>156</v>
      </c>
      <c r="L43" s="208">
        <v>3</v>
      </c>
      <c r="N43" s="208">
        <v>1</v>
      </c>
      <c r="O43" s="208">
        <v>1.05</v>
      </c>
      <c r="P43" s="208">
        <v>0.7</v>
      </c>
      <c r="Q43" s="245">
        <f t="shared" si="0"/>
        <v>0.875</v>
      </c>
      <c r="R43" s="208">
        <v>14.7</v>
      </c>
      <c r="S43" s="208">
        <v>140</v>
      </c>
      <c r="T43" s="217">
        <f t="shared" si="1"/>
        <v>30</v>
      </c>
      <c r="U43" s="208">
        <v>105</v>
      </c>
      <c r="V43" s="217">
        <f t="shared" si="2"/>
        <v>3150</v>
      </c>
      <c r="W43" s="208">
        <v>1</v>
      </c>
      <c r="X43" s="216" t="s">
        <v>46</v>
      </c>
      <c r="Y43" s="216" t="s">
        <v>97</v>
      </c>
      <c r="Z43" s="216" t="s">
        <v>88</v>
      </c>
      <c r="AA43" s="216" t="s">
        <v>78</v>
      </c>
      <c r="AB43" s="216" t="s">
        <v>340</v>
      </c>
    </row>
    <row r="44" spans="1:28" x14ac:dyDescent="0.15">
      <c r="A44" s="216" t="s">
        <v>34</v>
      </c>
      <c r="B44" s="208" t="s">
        <v>338</v>
      </c>
      <c r="C44" s="208">
        <v>2018</v>
      </c>
      <c r="D44" s="250" t="s">
        <v>547</v>
      </c>
      <c r="E44" s="237" t="s">
        <v>286</v>
      </c>
      <c r="F44" s="237" t="s">
        <v>321</v>
      </c>
      <c r="G44" s="216" t="s">
        <v>36</v>
      </c>
      <c r="H44" s="208" t="s">
        <v>166</v>
      </c>
      <c r="I44" s="216" t="s">
        <v>155</v>
      </c>
      <c r="J44" s="216" t="s">
        <v>38</v>
      </c>
      <c r="K44" s="216" t="s">
        <v>156</v>
      </c>
      <c r="L44" s="216">
        <v>1</v>
      </c>
      <c r="N44" s="208">
        <v>1</v>
      </c>
      <c r="O44" s="208">
        <v>0.65</v>
      </c>
      <c r="P44" s="208">
        <v>0.65</v>
      </c>
      <c r="Q44" s="245">
        <f t="shared" si="0"/>
        <v>0.65</v>
      </c>
      <c r="R44" s="208">
        <v>16.3</v>
      </c>
      <c r="S44" s="208">
        <v>126</v>
      </c>
      <c r="T44" s="217">
        <f t="shared" si="1"/>
        <v>30</v>
      </c>
      <c r="U44" s="208">
        <v>105</v>
      </c>
      <c r="V44" s="217">
        <f t="shared" si="2"/>
        <v>3150</v>
      </c>
      <c r="W44" s="208">
        <v>1</v>
      </c>
      <c r="X44" s="216" t="s">
        <v>46</v>
      </c>
      <c r="Y44" s="216" t="s">
        <v>97</v>
      </c>
      <c r="Z44" s="216" t="s">
        <v>88</v>
      </c>
      <c r="AA44" s="216" t="s">
        <v>78</v>
      </c>
      <c r="AB44" s="216" t="s">
        <v>340</v>
      </c>
    </row>
    <row r="45" spans="1:28" x14ac:dyDescent="0.15">
      <c r="A45" s="216" t="s">
        <v>34</v>
      </c>
      <c r="B45" s="208" t="s">
        <v>338</v>
      </c>
      <c r="C45" s="208">
        <v>2018</v>
      </c>
      <c r="D45" s="250" t="s">
        <v>547</v>
      </c>
      <c r="E45" s="237" t="s">
        <v>286</v>
      </c>
      <c r="F45" s="237" t="s">
        <v>321</v>
      </c>
      <c r="G45" s="216" t="s">
        <v>36</v>
      </c>
      <c r="H45" s="208" t="s">
        <v>166</v>
      </c>
      <c r="I45" s="216" t="s">
        <v>155</v>
      </c>
      <c r="J45" s="216" t="s">
        <v>38</v>
      </c>
      <c r="K45" s="216" t="s">
        <v>156</v>
      </c>
      <c r="L45" s="208">
        <v>2</v>
      </c>
      <c r="N45" s="208">
        <v>1</v>
      </c>
      <c r="O45" s="208">
        <v>0.6</v>
      </c>
      <c r="P45" s="208">
        <v>0.7</v>
      </c>
      <c r="Q45" s="245">
        <f t="shared" si="0"/>
        <v>0.64999999999999991</v>
      </c>
      <c r="R45" s="208">
        <v>16.399999999999999</v>
      </c>
      <c r="S45" s="208">
        <v>120</v>
      </c>
      <c r="T45" s="217">
        <f t="shared" si="1"/>
        <v>30</v>
      </c>
      <c r="U45" s="208">
        <v>105</v>
      </c>
      <c r="V45" s="217">
        <f t="shared" si="2"/>
        <v>3150</v>
      </c>
      <c r="W45" s="208">
        <v>1</v>
      </c>
      <c r="X45" s="216" t="s">
        <v>46</v>
      </c>
      <c r="Y45" s="216" t="s">
        <v>97</v>
      </c>
      <c r="Z45" s="216" t="s">
        <v>88</v>
      </c>
      <c r="AA45" s="216" t="s">
        <v>78</v>
      </c>
      <c r="AB45" s="216" t="s">
        <v>340</v>
      </c>
    </row>
    <row r="46" spans="1:28" x14ac:dyDescent="0.15">
      <c r="A46" s="216" t="s">
        <v>34</v>
      </c>
      <c r="B46" s="208" t="s">
        <v>338</v>
      </c>
      <c r="C46" s="208">
        <v>2018</v>
      </c>
      <c r="D46" s="250" t="s">
        <v>547</v>
      </c>
      <c r="E46" s="237" t="s">
        <v>286</v>
      </c>
      <c r="F46" s="237" t="s">
        <v>321</v>
      </c>
      <c r="G46" s="216" t="s">
        <v>36</v>
      </c>
      <c r="H46" s="208" t="s">
        <v>166</v>
      </c>
      <c r="I46" s="216" t="s">
        <v>155</v>
      </c>
      <c r="J46" s="216" t="s">
        <v>38</v>
      </c>
      <c r="K46" s="216" t="s">
        <v>156</v>
      </c>
      <c r="L46" s="208">
        <v>3</v>
      </c>
      <c r="N46" s="208">
        <v>1</v>
      </c>
      <c r="O46" s="208">
        <v>0.6</v>
      </c>
      <c r="P46" s="208">
        <v>0.6</v>
      </c>
      <c r="Q46" s="245">
        <f t="shared" si="0"/>
        <v>0.6</v>
      </c>
      <c r="R46" s="208">
        <v>15.1</v>
      </c>
      <c r="S46" s="208">
        <v>119</v>
      </c>
      <c r="T46" s="217">
        <f t="shared" si="1"/>
        <v>30</v>
      </c>
      <c r="U46" s="208">
        <v>105</v>
      </c>
      <c r="V46" s="217">
        <f t="shared" si="2"/>
        <v>3150</v>
      </c>
      <c r="W46" s="208">
        <v>1</v>
      </c>
      <c r="X46" s="216" t="s">
        <v>46</v>
      </c>
      <c r="Y46" s="216" t="s">
        <v>97</v>
      </c>
      <c r="Z46" s="216" t="s">
        <v>88</v>
      </c>
      <c r="AA46" s="216" t="s">
        <v>78</v>
      </c>
      <c r="AB46" s="216" t="s">
        <v>340</v>
      </c>
    </row>
    <row r="47" spans="1:28" x14ac:dyDescent="0.15">
      <c r="A47" s="216" t="s">
        <v>34</v>
      </c>
      <c r="B47" s="208" t="s">
        <v>338</v>
      </c>
      <c r="C47" s="208">
        <v>2018</v>
      </c>
      <c r="D47" s="250" t="s">
        <v>547</v>
      </c>
      <c r="E47" s="237" t="s">
        <v>322</v>
      </c>
      <c r="F47" s="237" t="s">
        <v>323</v>
      </c>
      <c r="G47" s="216" t="s">
        <v>36</v>
      </c>
      <c r="H47" s="208" t="s">
        <v>157</v>
      </c>
      <c r="I47" s="216" t="s">
        <v>155</v>
      </c>
      <c r="J47" s="216" t="s">
        <v>38</v>
      </c>
      <c r="K47" s="216" t="s">
        <v>156</v>
      </c>
      <c r="L47" s="216">
        <v>1</v>
      </c>
      <c r="N47" s="208">
        <v>1</v>
      </c>
      <c r="O47" s="208">
        <v>0.45</v>
      </c>
      <c r="P47" s="208">
        <v>0.5</v>
      </c>
      <c r="Q47" s="245">
        <f t="shared" si="0"/>
        <v>0.47499999999999998</v>
      </c>
      <c r="R47" s="208">
        <v>15.7</v>
      </c>
      <c r="S47" s="208">
        <v>129</v>
      </c>
      <c r="T47" s="217">
        <f t="shared" si="1"/>
        <v>30</v>
      </c>
      <c r="U47" s="208">
        <v>138</v>
      </c>
      <c r="V47" s="217">
        <f t="shared" si="2"/>
        <v>4140</v>
      </c>
      <c r="W47" s="208">
        <v>1</v>
      </c>
      <c r="X47" s="216" t="s">
        <v>46</v>
      </c>
      <c r="Y47" s="216" t="s">
        <v>69</v>
      </c>
      <c r="Z47" s="216" t="s">
        <v>88</v>
      </c>
      <c r="AA47" s="216" t="s">
        <v>55</v>
      </c>
      <c r="AB47" s="216" t="s">
        <v>340</v>
      </c>
    </row>
    <row r="48" spans="1:28" x14ac:dyDescent="0.15">
      <c r="A48" s="216" t="s">
        <v>34</v>
      </c>
      <c r="B48" s="208" t="s">
        <v>338</v>
      </c>
      <c r="C48" s="208">
        <v>2018</v>
      </c>
      <c r="D48" s="250" t="s">
        <v>547</v>
      </c>
      <c r="E48" s="237" t="s">
        <v>322</v>
      </c>
      <c r="F48" s="237" t="s">
        <v>323</v>
      </c>
      <c r="G48" s="216" t="s">
        <v>36</v>
      </c>
      <c r="H48" s="208" t="s">
        <v>157</v>
      </c>
      <c r="I48" s="216" t="s">
        <v>155</v>
      </c>
      <c r="J48" s="216" t="s">
        <v>38</v>
      </c>
      <c r="K48" s="216" t="s">
        <v>156</v>
      </c>
      <c r="L48" s="208">
        <v>2</v>
      </c>
      <c r="N48" s="208">
        <v>1</v>
      </c>
      <c r="O48" s="208">
        <v>0.6</v>
      </c>
      <c r="P48" s="208">
        <v>0.65</v>
      </c>
      <c r="Q48" s="245">
        <f t="shared" si="0"/>
        <v>0.625</v>
      </c>
      <c r="R48" s="208">
        <v>14.5</v>
      </c>
      <c r="S48" s="208">
        <v>131</v>
      </c>
      <c r="T48" s="217">
        <f t="shared" si="1"/>
        <v>30</v>
      </c>
      <c r="U48" s="208">
        <v>138</v>
      </c>
      <c r="V48" s="217">
        <f t="shared" si="2"/>
        <v>4140</v>
      </c>
      <c r="W48" s="208">
        <v>1</v>
      </c>
      <c r="X48" s="216" t="s">
        <v>46</v>
      </c>
      <c r="Y48" s="216" t="s">
        <v>69</v>
      </c>
      <c r="Z48" s="216" t="s">
        <v>88</v>
      </c>
      <c r="AA48" s="216" t="s">
        <v>55</v>
      </c>
      <c r="AB48" s="216" t="s">
        <v>340</v>
      </c>
    </row>
    <row r="49" spans="1:28" x14ac:dyDescent="0.15">
      <c r="A49" s="216" t="s">
        <v>34</v>
      </c>
      <c r="B49" s="208" t="s">
        <v>338</v>
      </c>
      <c r="C49" s="208">
        <v>2018</v>
      </c>
      <c r="D49" s="250" t="s">
        <v>547</v>
      </c>
      <c r="E49" s="237" t="s">
        <v>322</v>
      </c>
      <c r="F49" s="237" t="s">
        <v>323</v>
      </c>
      <c r="G49" s="216" t="s">
        <v>36</v>
      </c>
      <c r="H49" s="208" t="s">
        <v>157</v>
      </c>
      <c r="I49" s="216" t="s">
        <v>155</v>
      </c>
      <c r="J49" s="216" t="s">
        <v>38</v>
      </c>
      <c r="K49" s="216" t="s">
        <v>156</v>
      </c>
      <c r="L49" s="208">
        <v>3</v>
      </c>
      <c r="N49" s="208">
        <v>1</v>
      </c>
      <c r="O49" s="208">
        <v>0.7</v>
      </c>
      <c r="P49" s="208">
        <v>0.65</v>
      </c>
      <c r="Q49" s="245">
        <f t="shared" si="0"/>
        <v>0.67500000000000004</v>
      </c>
      <c r="R49" s="208">
        <v>13.9</v>
      </c>
      <c r="S49" s="208">
        <v>132</v>
      </c>
      <c r="T49" s="217">
        <f t="shared" si="1"/>
        <v>30</v>
      </c>
      <c r="U49" s="208">
        <v>138</v>
      </c>
      <c r="V49" s="217">
        <f t="shared" si="2"/>
        <v>4140</v>
      </c>
      <c r="W49" s="208">
        <v>1</v>
      </c>
      <c r="X49" s="216" t="s">
        <v>46</v>
      </c>
      <c r="Y49" s="216" t="s">
        <v>69</v>
      </c>
      <c r="Z49" s="216" t="s">
        <v>88</v>
      </c>
      <c r="AA49" s="216" t="s">
        <v>55</v>
      </c>
      <c r="AB49" s="216" t="s">
        <v>340</v>
      </c>
    </row>
    <row r="50" spans="1:28" x14ac:dyDescent="0.15">
      <c r="A50" s="216" t="s">
        <v>34</v>
      </c>
      <c r="B50" s="208" t="s">
        <v>338</v>
      </c>
      <c r="C50" s="208">
        <v>2018</v>
      </c>
      <c r="D50" s="250" t="s">
        <v>547</v>
      </c>
      <c r="E50" s="237" t="s">
        <v>322</v>
      </c>
      <c r="F50" s="237" t="s">
        <v>323</v>
      </c>
      <c r="G50" s="216" t="s">
        <v>36</v>
      </c>
      <c r="H50" s="208" t="s">
        <v>157</v>
      </c>
      <c r="I50" s="216" t="s">
        <v>155</v>
      </c>
      <c r="J50" s="216" t="s">
        <v>38</v>
      </c>
      <c r="K50" s="216" t="s">
        <v>156</v>
      </c>
      <c r="L50" s="216">
        <v>1</v>
      </c>
      <c r="N50" s="208">
        <v>5</v>
      </c>
      <c r="O50" s="208">
        <v>0.2</v>
      </c>
      <c r="P50" s="208">
        <v>0.2</v>
      </c>
      <c r="Q50" s="245">
        <f t="shared" si="0"/>
        <v>0.2</v>
      </c>
      <c r="R50" s="208">
        <v>11.1</v>
      </c>
      <c r="S50" s="208">
        <v>99</v>
      </c>
      <c r="T50" s="217">
        <f t="shared" si="1"/>
        <v>33</v>
      </c>
      <c r="U50" s="208">
        <v>430</v>
      </c>
      <c r="V50" s="217">
        <f t="shared" si="2"/>
        <v>2838</v>
      </c>
      <c r="W50" s="208">
        <v>5</v>
      </c>
      <c r="X50" s="216" t="s">
        <v>46</v>
      </c>
      <c r="Y50" s="216" t="s">
        <v>69</v>
      </c>
      <c r="Z50" s="216" t="s">
        <v>88</v>
      </c>
      <c r="AA50" s="216" t="s">
        <v>55</v>
      </c>
      <c r="AB50" s="216" t="s">
        <v>340</v>
      </c>
    </row>
    <row r="51" spans="1:28" x14ac:dyDescent="0.15">
      <c r="A51" s="216" t="s">
        <v>34</v>
      </c>
      <c r="B51" s="208" t="s">
        <v>338</v>
      </c>
      <c r="C51" s="208">
        <v>2018</v>
      </c>
      <c r="D51" s="250" t="s">
        <v>547</v>
      </c>
      <c r="E51" s="237" t="s">
        <v>322</v>
      </c>
      <c r="F51" s="237" t="s">
        <v>323</v>
      </c>
      <c r="G51" s="216" t="s">
        <v>36</v>
      </c>
      <c r="H51" s="208" t="s">
        <v>157</v>
      </c>
      <c r="I51" s="216" t="s">
        <v>155</v>
      </c>
      <c r="J51" s="216" t="s">
        <v>38</v>
      </c>
      <c r="K51" s="216" t="s">
        <v>156</v>
      </c>
      <c r="L51" s="208">
        <v>2</v>
      </c>
      <c r="N51" s="208">
        <v>5</v>
      </c>
      <c r="O51" s="208">
        <v>0.2</v>
      </c>
      <c r="P51" s="208">
        <v>0.2</v>
      </c>
      <c r="Q51" s="245">
        <f t="shared" si="0"/>
        <v>0.2</v>
      </c>
      <c r="R51" s="208">
        <v>9.6</v>
      </c>
      <c r="S51" s="208">
        <v>92</v>
      </c>
      <c r="T51" s="217">
        <f t="shared" si="1"/>
        <v>36</v>
      </c>
      <c r="U51" s="208">
        <v>430</v>
      </c>
      <c r="V51" s="217">
        <f t="shared" si="2"/>
        <v>3096</v>
      </c>
      <c r="W51" s="208">
        <v>5</v>
      </c>
      <c r="X51" s="216" t="s">
        <v>46</v>
      </c>
      <c r="Y51" s="216" t="s">
        <v>69</v>
      </c>
      <c r="Z51" s="216" t="s">
        <v>88</v>
      </c>
      <c r="AA51" s="216" t="s">
        <v>55</v>
      </c>
      <c r="AB51" s="216" t="s">
        <v>340</v>
      </c>
    </row>
    <row r="52" spans="1:28" x14ac:dyDescent="0.15">
      <c r="A52" s="216" t="s">
        <v>34</v>
      </c>
      <c r="B52" s="208" t="s">
        <v>338</v>
      </c>
      <c r="C52" s="208">
        <v>2018</v>
      </c>
      <c r="D52" s="250" t="s">
        <v>547</v>
      </c>
      <c r="E52" s="237" t="s">
        <v>322</v>
      </c>
      <c r="F52" s="237" t="s">
        <v>323</v>
      </c>
      <c r="G52" s="216" t="s">
        <v>36</v>
      </c>
      <c r="H52" s="208" t="s">
        <v>157</v>
      </c>
      <c r="I52" s="216" t="s">
        <v>155</v>
      </c>
      <c r="J52" s="216" t="s">
        <v>38</v>
      </c>
      <c r="K52" s="216" t="s">
        <v>156</v>
      </c>
      <c r="L52" s="208">
        <v>3</v>
      </c>
      <c r="N52" s="208">
        <v>5</v>
      </c>
      <c r="O52" s="208">
        <v>0.6</v>
      </c>
      <c r="P52" s="208">
        <v>0.5</v>
      </c>
      <c r="Q52" s="245">
        <f t="shared" si="0"/>
        <v>0.55000000000000004</v>
      </c>
      <c r="R52" s="208">
        <v>13.7</v>
      </c>
      <c r="S52" s="208">
        <v>94</v>
      </c>
      <c r="T52" s="217">
        <f t="shared" si="1"/>
        <v>36</v>
      </c>
      <c r="U52" s="208">
        <v>430</v>
      </c>
      <c r="V52" s="217">
        <f t="shared" si="2"/>
        <v>3096</v>
      </c>
      <c r="W52" s="208">
        <v>5</v>
      </c>
      <c r="X52" s="216" t="s">
        <v>46</v>
      </c>
      <c r="Y52" s="216" t="s">
        <v>69</v>
      </c>
      <c r="Z52" s="216" t="s">
        <v>88</v>
      </c>
      <c r="AA52" s="216" t="s">
        <v>55</v>
      </c>
      <c r="AB52" s="216" t="s">
        <v>340</v>
      </c>
    </row>
    <row r="53" spans="1:28" x14ac:dyDescent="0.15">
      <c r="A53" s="216" t="s">
        <v>34</v>
      </c>
      <c r="B53" s="208" t="s">
        <v>338</v>
      </c>
      <c r="C53" s="208">
        <v>2018</v>
      </c>
      <c r="D53" s="250" t="s">
        <v>547</v>
      </c>
      <c r="E53" s="237" t="s">
        <v>322</v>
      </c>
      <c r="F53" s="237" t="s">
        <v>323</v>
      </c>
      <c r="G53" s="216" t="s">
        <v>36</v>
      </c>
      <c r="H53" s="208" t="s">
        <v>166</v>
      </c>
      <c r="I53" s="216" t="s">
        <v>155</v>
      </c>
      <c r="J53" s="216" t="s">
        <v>38</v>
      </c>
      <c r="K53" s="216" t="s">
        <v>156</v>
      </c>
      <c r="L53" s="216">
        <v>1</v>
      </c>
      <c r="N53" s="208">
        <v>1</v>
      </c>
      <c r="O53" s="208">
        <v>0.2</v>
      </c>
      <c r="P53" s="208">
        <v>0.5</v>
      </c>
      <c r="Q53" s="245">
        <f t="shared" si="0"/>
        <v>0.35</v>
      </c>
      <c r="R53" s="208">
        <v>14.6</v>
      </c>
      <c r="S53" s="208">
        <v>124</v>
      </c>
      <c r="T53" s="217">
        <f t="shared" si="1"/>
        <v>30</v>
      </c>
      <c r="U53" s="208">
        <v>171</v>
      </c>
      <c r="V53" s="217">
        <f t="shared" si="2"/>
        <v>5130</v>
      </c>
      <c r="W53" s="208">
        <v>1</v>
      </c>
      <c r="X53" s="216" t="s">
        <v>46</v>
      </c>
      <c r="Y53" s="216" t="s">
        <v>69</v>
      </c>
      <c r="Z53" s="216" t="s">
        <v>88</v>
      </c>
      <c r="AA53" s="216" t="s">
        <v>55</v>
      </c>
      <c r="AB53" s="216" t="s">
        <v>340</v>
      </c>
    </row>
    <row r="54" spans="1:28" x14ac:dyDescent="0.15">
      <c r="A54" s="216" t="s">
        <v>34</v>
      </c>
      <c r="B54" s="208" t="s">
        <v>338</v>
      </c>
      <c r="C54" s="208">
        <v>2018</v>
      </c>
      <c r="D54" s="250" t="s">
        <v>547</v>
      </c>
      <c r="E54" s="237" t="s">
        <v>322</v>
      </c>
      <c r="F54" s="237" t="s">
        <v>323</v>
      </c>
      <c r="G54" s="216" t="s">
        <v>36</v>
      </c>
      <c r="H54" s="208" t="s">
        <v>166</v>
      </c>
      <c r="I54" s="216" t="s">
        <v>155</v>
      </c>
      <c r="J54" s="216" t="s">
        <v>38</v>
      </c>
      <c r="K54" s="216" t="s">
        <v>156</v>
      </c>
      <c r="L54" s="208">
        <v>2</v>
      </c>
      <c r="N54" s="208">
        <v>1</v>
      </c>
      <c r="O54" s="208">
        <v>0.55000000000000004</v>
      </c>
      <c r="P54" s="208">
        <v>0.5</v>
      </c>
      <c r="Q54" s="245">
        <f t="shared" si="0"/>
        <v>0.52500000000000002</v>
      </c>
      <c r="R54" s="208">
        <v>15.2</v>
      </c>
      <c r="S54" s="208">
        <v>133</v>
      </c>
      <c r="T54" s="217">
        <f t="shared" si="1"/>
        <v>30</v>
      </c>
      <c r="U54" s="208">
        <v>171</v>
      </c>
      <c r="V54" s="217">
        <f t="shared" si="2"/>
        <v>5130</v>
      </c>
      <c r="W54" s="208">
        <v>1</v>
      </c>
      <c r="X54" s="216" t="s">
        <v>46</v>
      </c>
      <c r="Y54" s="216" t="s">
        <v>69</v>
      </c>
      <c r="Z54" s="216" t="s">
        <v>88</v>
      </c>
      <c r="AA54" s="216" t="s">
        <v>55</v>
      </c>
      <c r="AB54" s="216" t="s">
        <v>340</v>
      </c>
    </row>
    <row r="55" spans="1:28" x14ac:dyDescent="0.15">
      <c r="A55" s="216" t="s">
        <v>34</v>
      </c>
      <c r="B55" s="208" t="s">
        <v>338</v>
      </c>
      <c r="C55" s="208">
        <v>2018</v>
      </c>
      <c r="D55" s="250" t="s">
        <v>547</v>
      </c>
      <c r="E55" s="237" t="s">
        <v>322</v>
      </c>
      <c r="F55" s="237" t="s">
        <v>323</v>
      </c>
      <c r="G55" s="216" t="s">
        <v>36</v>
      </c>
      <c r="H55" s="208" t="s">
        <v>166</v>
      </c>
      <c r="I55" s="216" t="s">
        <v>155</v>
      </c>
      <c r="J55" s="216" t="s">
        <v>38</v>
      </c>
      <c r="K55" s="216" t="s">
        <v>156</v>
      </c>
      <c r="L55" s="208">
        <v>3</v>
      </c>
      <c r="N55" s="208">
        <v>1</v>
      </c>
      <c r="O55" s="208">
        <v>0.6</v>
      </c>
      <c r="P55" s="208">
        <v>0.5</v>
      </c>
      <c r="Q55" s="245">
        <f t="shared" si="0"/>
        <v>0.55000000000000004</v>
      </c>
      <c r="R55" s="208">
        <v>15</v>
      </c>
      <c r="S55" s="208">
        <v>127</v>
      </c>
      <c r="T55" s="217">
        <f t="shared" si="1"/>
        <v>30</v>
      </c>
      <c r="U55" s="208">
        <v>171</v>
      </c>
      <c r="V55" s="217">
        <f t="shared" si="2"/>
        <v>5130</v>
      </c>
      <c r="W55" s="208">
        <v>1</v>
      </c>
      <c r="X55" s="216" t="s">
        <v>46</v>
      </c>
      <c r="Y55" s="216" t="s">
        <v>69</v>
      </c>
      <c r="Z55" s="216" t="s">
        <v>88</v>
      </c>
      <c r="AA55" s="216" t="s">
        <v>55</v>
      </c>
      <c r="AB55" s="216" t="s">
        <v>340</v>
      </c>
    </row>
    <row r="56" spans="1:28" x14ac:dyDescent="0.15">
      <c r="A56" s="216" t="s">
        <v>34</v>
      </c>
      <c r="B56" s="208" t="s">
        <v>338</v>
      </c>
      <c r="C56" s="208">
        <v>2018</v>
      </c>
      <c r="D56" s="250" t="s">
        <v>547</v>
      </c>
      <c r="E56" s="237" t="s">
        <v>324</v>
      </c>
      <c r="F56" s="237" t="s">
        <v>325</v>
      </c>
      <c r="G56" s="216" t="s">
        <v>36</v>
      </c>
      <c r="H56" s="208" t="s">
        <v>157</v>
      </c>
      <c r="I56" s="216" t="s">
        <v>155</v>
      </c>
      <c r="J56" s="216" t="s">
        <v>38</v>
      </c>
      <c r="K56" s="216" t="s">
        <v>156</v>
      </c>
      <c r="L56" s="216">
        <v>1</v>
      </c>
      <c r="N56" s="208">
        <v>1</v>
      </c>
      <c r="O56" s="208">
        <v>0.9</v>
      </c>
      <c r="P56" s="208">
        <v>0.7</v>
      </c>
      <c r="Q56" s="245">
        <f t="shared" si="0"/>
        <v>0.8</v>
      </c>
      <c r="R56" s="208">
        <v>16</v>
      </c>
      <c r="S56" s="208">
        <v>136</v>
      </c>
      <c r="T56" s="217">
        <f t="shared" si="1"/>
        <v>30</v>
      </c>
      <c r="U56" s="208">
        <v>108</v>
      </c>
      <c r="V56" s="217">
        <f t="shared" si="2"/>
        <v>3240</v>
      </c>
      <c r="W56" s="208">
        <v>6</v>
      </c>
      <c r="X56" s="216" t="s">
        <v>46</v>
      </c>
      <c r="Y56" s="216" t="s">
        <v>88</v>
      </c>
      <c r="Z56" s="216" t="s">
        <v>69</v>
      </c>
      <c r="AA56" s="216" t="s">
        <v>55</v>
      </c>
      <c r="AB56" s="216" t="s">
        <v>340</v>
      </c>
    </row>
    <row r="57" spans="1:28" x14ac:dyDescent="0.15">
      <c r="A57" s="216" t="s">
        <v>34</v>
      </c>
      <c r="B57" s="208" t="s">
        <v>338</v>
      </c>
      <c r="C57" s="208">
        <v>2018</v>
      </c>
      <c r="D57" s="250" t="s">
        <v>547</v>
      </c>
      <c r="E57" s="237" t="s">
        <v>324</v>
      </c>
      <c r="F57" s="237" t="s">
        <v>325</v>
      </c>
      <c r="G57" s="216" t="s">
        <v>36</v>
      </c>
      <c r="H57" s="208" t="s">
        <v>157</v>
      </c>
      <c r="I57" s="216" t="s">
        <v>155</v>
      </c>
      <c r="J57" s="216" t="s">
        <v>38</v>
      </c>
      <c r="K57" s="216" t="s">
        <v>156</v>
      </c>
      <c r="L57" s="208">
        <v>2</v>
      </c>
      <c r="N57" s="208">
        <v>1</v>
      </c>
      <c r="O57" s="208">
        <v>0.55000000000000004</v>
      </c>
      <c r="P57" s="208">
        <v>0.65</v>
      </c>
      <c r="Q57" s="245">
        <f t="shared" si="0"/>
        <v>0.60000000000000009</v>
      </c>
      <c r="R57" s="208">
        <v>11.9</v>
      </c>
      <c r="S57" s="208">
        <v>135</v>
      </c>
      <c r="T57" s="217">
        <f t="shared" si="1"/>
        <v>30</v>
      </c>
      <c r="U57" s="208">
        <v>108</v>
      </c>
      <c r="V57" s="217">
        <f t="shared" si="2"/>
        <v>3240</v>
      </c>
      <c r="W57" s="208">
        <v>6</v>
      </c>
      <c r="X57" s="216" t="s">
        <v>46</v>
      </c>
      <c r="Y57" s="216" t="s">
        <v>88</v>
      </c>
      <c r="Z57" s="216" t="s">
        <v>69</v>
      </c>
      <c r="AA57" s="216" t="s">
        <v>55</v>
      </c>
      <c r="AB57" s="216" t="s">
        <v>340</v>
      </c>
    </row>
    <row r="58" spans="1:28" x14ac:dyDescent="0.15">
      <c r="A58" s="216" t="s">
        <v>34</v>
      </c>
      <c r="B58" s="208" t="s">
        <v>338</v>
      </c>
      <c r="C58" s="208">
        <v>2018</v>
      </c>
      <c r="D58" s="250" t="s">
        <v>547</v>
      </c>
      <c r="E58" s="237" t="s">
        <v>324</v>
      </c>
      <c r="F58" s="237" t="s">
        <v>325</v>
      </c>
      <c r="G58" s="216" t="s">
        <v>36</v>
      </c>
      <c r="H58" s="208" t="s">
        <v>157</v>
      </c>
      <c r="I58" s="216" t="s">
        <v>155</v>
      </c>
      <c r="J58" s="216" t="s">
        <v>38</v>
      </c>
      <c r="K58" s="216" t="s">
        <v>156</v>
      </c>
      <c r="L58" s="208">
        <v>3</v>
      </c>
      <c r="N58" s="208">
        <v>1</v>
      </c>
      <c r="O58" s="208">
        <v>0.8</v>
      </c>
      <c r="P58" s="208">
        <v>0.65</v>
      </c>
      <c r="Q58" s="245">
        <f t="shared" si="0"/>
        <v>0.72500000000000009</v>
      </c>
      <c r="R58" s="208">
        <v>14.7</v>
      </c>
      <c r="S58" s="208">
        <v>130</v>
      </c>
      <c r="T58" s="217">
        <f t="shared" si="1"/>
        <v>30</v>
      </c>
      <c r="U58" s="208">
        <v>108</v>
      </c>
      <c r="V58" s="217">
        <f t="shared" si="2"/>
        <v>3240</v>
      </c>
      <c r="W58" s="208">
        <v>6</v>
      </c>
      <c r="X58" s="216" t="s">
        <v>46</v>
      </c>
      <c r="Y58" s="216" t="s">
        <v>88</v>
      </c>
      <c r="Z58" s="216" t="s">
        <v>69</v>
      </c>
      <c r="AA58" s="216" t="s">
        <v>55</v>
      </c>
      <c r="AB58" s="216" t="s">
        <v>340</v>
      </c>
    </row>
    <row r="59" spans="1:28" x14ac:dyDescent="0.15">
      <c r="A59" s="216" t="s">
        <v>34</v>
      </c>
      <c r="B59" s="208" t="s">
        <v>338</v>
      </c>
      <c r="C59" s="208">
        <v>2018</v>
      </c>
      <c r="D59" s="250" t="s">
        <v>547</v>
      </c>
      <c r="E59" s="237" t="s">
        <v>324</v>
      </c>
      <c r="F59" s="237" t="s">
        <v>325</v>
      </c>
      <c r="G59" s="216" t="s">
        <v>36</v>
      </c>
      <c r="H59" s="208" t="s">
        <v>157</v>
      </c>
      <c r="I59" s="216" t="s">
        <v>155</v>
      </c>
      <c r="J59" s="216" t="s">
        <v>38</v>
      </c>
      <c r="K59" s="216" t="s">
        <v>156</v>
      </c>
      <c r="L59" s="216">
        <v>1</v>
      </c>
      <c r="N59" s="208">
        <v>4</v>
      </c>
      <c r="O59" s="208">
        <v>0.45</v>
      </c>
      <c r="P59" s="208">
        <v>0.45</v>
      </c>
      <c r="Q59" s="245">
        <f t="shared" si="0"/>
        <v>0.45</v>
      </c>
      <c r="R59" s="208">
        <v>14</v>
      </c>
      <c r="S59" s="208">
        <v>87</v>
      </c>
      <c r="T59" s="217">
        <f t="shared" si="1"/>
        <v>36</v>
      </c>
      <c r="U59" s="208">
        <v>321</v>
      </c>
      <c r="V59" s="217">
        <f t="shared" si="2"/>
        <v>2889</v>
      </c>
      <c r="W59" s="208">
        <v>6</v>
      </c>
      <c r="X59" s="216" t="s">
        <v>46</v>
      </c>
      <c r="Y59" s="216" t="s">
        <v>88</v>
      </c>
      <c r="Z59" s="216" t="s">
        <v>69</v>
      </c>
      <c r="AA59" s="216" t="s">
        <v>55</v>
      </c>
      <c r="AB59" s="216" t="s">
        <v>340</v>
      </c>
    </row>
    <row r="60" spans="1:28" x14ac:dyDescent="0.15">
      <c r="A60" s="216" t="s">
        <v>34</v>
      </c>
      <c r="B60" s="208" t="s">
        <v>338</v>
      </c>
      <c r="C60" s="208">
        <v>2018</v>
      </c>
      <c r="D60" s="250" t="s">
        <v>547</v>
      </c>
      <c r="E60" s="237" t="s">
        <v>324</v>
      </c>
      <c r="F60" s="237" t="s">
        <v>325</v>
      </c>
      <c r="G60" s="216" t="s">
        <v>36</v>
      </c>
      <c r="H60" s="208" t="s">
        <v>157</v>
      </c>
      <c r="I60" s="216" t="s">
        <v>155</v>
      </c>
      <c r="J60" s="216" t="s">
        <v>38</v>
      </c>
      <c r="K60" s="216" t="s">
        <v>156</v>
      </c>
      <c r="L60" s="208">
        <v>2</v>
      </c>
      <c r="N60" s="208">
        <v>4</v>
      </c>
      <c r="O60" s="208">
        <v>0.45</v>
      </c>
      <c r="P60" s="208">
        <v>0.45</v>
      </c>
      <c r="Q60" s="245">
        <f t="shared" si="0"/>
        <v>0.45</v>
      </c>
      <c r="R60" s="208">
        <v>9.8000000000000007</v>
      </c>
      <c r="S60" s="208">
        <v>91</v>
      </c>
      <c r="T60" s="217">
        <f t="shared" si="1"/>
        <v>36</v>
      </c>
      <c r="U60" s="208">
        <v>321</v>
      </c>
      <c r="V60" s="217">
        <f t="shared" si="2"/>
        <v>2889</v>
      </c>
      <c r="W60" s="208">
        <v>6</v>
      </c>
      <c r="X60" s="216" t="s">
        <v>46</v>
      </c>
      <c r="Y60" s="216" t="s">
        <v>88</v>
      </c>
      <c r="Z60" s="216" t="s">
        <v>69</v>
      </c>
      <c r="AA60" s="216" t="s">
        <v>55</v>
      </c>
      <c r="AB60" s="216" t="s">
        <v>340</v>
      </c>
    </row>
    <row r="61" spans="1:28" x14ac:dyDescent="0.15">
      <c r="A61" s="216" t="s">
        <v>34</v>
      </c>
      <c r="B61" s="208" t="s">
        <v>338</v>
      </c>
      <c r="C61" s="208">
        <v>2018</v>
      </c>
      <c r="D61" s="250" t="s">
        <v>547</v>
      </c>
      <c r="E61" s="237" t="s">
        <v>324</v>
      </c>
      <c r="F61" s="237" t="s">
        <v>325</v>
      </c>
      <c r="G61" s="216" t="s">
        <v>36</v>
      </c>
      <c r="H61" s="208" t="s">
        <v>157</v>
      </c>
      <c r="I61" s="216" t="s">
        <v>155</v>
      </c>
      <c r="J61" s="216" t="s">
        <v>38</v>
      </c>
      <c r="K61" s="216" t="s">
        <v>156</v>
      </c>
      <c r="L61" s="208">
        <v>3</v>
      </c>
      <c r="N61" s="208">
        <v>4</v>
      </c>
      <c r="O61" s="208">
        <v>0.2</v>
      </c>
      <c r="P61" s="208">
        <v>0.2</v>
      </c>
      <c r="Q61" s="245">
        <f t="shared" si="0"/>
        <v>0.2</v>
      </c>
      <c r="R61" s="208">
        <v>11.9</v>
      </c>
      <c r="S61" s="208">
        <v>90</v>
      </c>
      <c r="T61" s="217">
        <f t="shared" si="1"/>
        <v>36</v>
      </c>
      <c r="U61" s="208">
        <v>321</v>
      </c>
      <c r="V61" s="217">
        <f t="shared" si="2"/>
        <v>2889</v>
      </c>
      <c r="W61" s="208">
        <v>6</v>
      </c>
      <c r="X61" s="216" t="s">
        <v>46</v>
      </c>
      <c r="Y61" s="216" t="s">
        <v>88</v>
      </c>
      <c r="Z61" s="216" t="s">
        <v>69</v>
      </c>
      <c r="AA61" s="216" t="s">
        <v>55</v>
      </c>
      <c r="AB61" s="216" t="s">
        <v>340</v>
      </c>
    </row>
    <row r="62" spans="1:28" x14ac:dyDescent="0.15">
      <c r="A62" s="216" t="s">
        <v>34</v>
      </c>
      <c r="B62" s="208" t="s">
        <v>338</v>
      </c>
      <c r="C62" s="208">
        <v>2018</v>
      </c>
      <c r="D62" s="250" t="s">
        <v>547</v>
      </c>
      <c r="E62" s="237" t="s">
        <v>324</v>
      </c>
      <c r="F62" s="237" t="s">
        <v>325</v>
      </c>
      <c r="G62" s="216" t="s">
        <v>36</v>
      </c>
      <c r="H62" s="208" t="s">
        <v>166</v>
      </c>
      <c r="I62" s="216" t="s">
        <v>155</v>
      </c>
      <c r="J62" s="216" t="s">
        <v>38</v>
      </c>
      <c r="K62" s="216" t="s">
        <v>156</v>
      </c>
      <c r="L62" s="216">
        <v>1</v>
      </c>
      <c r="N62" s="208">
        <v>1</v>
      </c>
      <c r="O62" s="208">
        <v>0.65</v>
      </c>
      <c r="P62" s="208">
        <v>0.65</v>
      </c>
      <c r="Q62" s="245">
        <f t="shared" si="0"/>
        <v>0.65</v>
      </c>
      <c r="R62" s="208">
        <v>14.9</v>
      </c>
      <c r="S62" s="208">
        <v>128</v>
      </c>
      <c r="T62" s="217">
        <f t="shared" si="1"/>
        <v>30</v>
      </c>
      <c r="U62" s="208">
        <v>108</v>
      </c>
      <c r="V62" s="217">
        <f t="shared" si="2"/>
        <v>3240</v>
      </c>
      <c r="W62" s="208">
        <v>5</v>
      </c>
      <c r="X62" s="216" t="s">
        <v>46</v>
      </c>
      <c r="Y62" s="216" t="s">
        <v>88</v>
      </c>
      <c r="Z62" s="216" t="s">
        <v>69</v>
      </c>
      <c r="AA62" s="216" t="s">
        <v>55</v>
      </c>
      <c r="AB62" s="216" t="s">
        <v>340</v>
      </c>
    </row>
    <row r="63" spans="1:28" x14ac:dyDescent="0.15">
      <c r="A63" s="216" t="s">
        <v>34</v>
      </c>
      <c r="B63" s="208" t="s">
        <v>338</v>
      </c>
      <c r="C63" s="208">
        <v>2018</v>
      </c>
      <c r="D63" s="250" t="s">
        <v>547</v>
      </c>
      <c r="E63" s="237" t="s">
        <v>324</v>
      </c>
      <c r="F63" s="237" t="s">
        <v>325</v>
      </c>
      <c r="G63" s="216" t="s">
        <v>36</v>
      </c>
      <c r="H63" s="208" t="s">
        <v>166</v>
      </c>
      <c r="I63" s="216" t="s">
        <v>155</v>
      </c>
      <c r="J63" s="216" t="s">
        <v>38</v>
      </c>
      <c r="K63" s="216" t="s">
        <v>156</v>
      </c>
      <c r="L63" s="208">
        <v>2</v>
      </c>
      <c r="N63" s="208">
        <v>1</v>
      </c>
      <c r="O63" s="208">
        <v>0.75</v>
      </c>
      <c r="P63" s="208">
        <v>0.6</v>
      </c>
      <c r="Q63" s="245">
        <f t="shared" si="0"/>
        <v>0.67500000000000004</v>
      </c>
      <c r="R63" s="208">
        <v>14.2</v>
      </c>
      <c r="S63" s="208">
        <v>137</v>
      </c>
      <c r="T63" s="217">
        <f t="shared" si="1"/>
        <v>30</v>
      </c>
      <c r="U63" s="208">
        <v>108</v>
      </c>
      <c r="V63" s="217">
        <f t="shared" si="2"/>
        <v>3240</v>
      </c>
      <c r="W63" s="208">
        <v>5</v>
      </c>
      <c r="X63" s="216" t="s">
        <v>46</v>
      </c>
      <c r="Y63" s="216" t="s">
        <v>88</v>
      </c>
      <c r="Z63" s="216" t="s">
        <v>69</v>
      </c>
      <c r="AA63" s="216" t="s">
        <v>55</v>
      </c>
      <c r="AB63" s="216" t="s">
        <v>340</v>
      </c>
    </row>
    <row r="64" spans="1:28" x14ac:dyDescent="0.15">
      <c r="A64" s="216" t="s">
        <v>34</v>
      </c>
      <c r="B64" s="208" t="s">
        <v>338</v>
      </c>
      <c r="C64" s="208">
        <v>2018</v>
      </c>
      <c r="D64" s="250" t="s">
        <v>547</v>
      </c>
      <c r="E64" s="237" t="s">
        <v>324</v>
      </c>
      <c r="F64" s="237" t="s">
        <v>325</v>
      </c>
      <c r="G64" s="216" t="s">
        <v>36</v>
      </c>
      <c r="H64" s="208" t="s">
        <v>166</v>
      </c>
      <c r="I64" s="216" t="s">
        <v>155</v>
      </c>
      <c r="J64" s="216" t="s">
        <v>38</v>
      </c>
      <c r="K64" s="216" t="s">
        <v>156</v>
      </c>
      <c r="L64" s="208">
        <v>3</v>
      </c>
      <c r="N64" s="208">
        <v>1</v>
      </c>
      <c r="O64" s="208">
        <v>0.55000000000000004</v>
      </c>
      <c r="P64" s="208">
        <v>0.6</v>
      </c>
      <c r="Q64" s="245">
        <f t="shared" si="0"/>
        <v>0.57499999999999996</v>
      </c>
      <c r="R64" s="208">
        <v>16.3</v>
      </c>
      <c r="S64" s="208">
        <v>131</v>
      </c>
      <c r="T64" s="217">
        <f t="shared" si="1"/>
        <v>30</v>
      </c>
      <c r="U64" s="208">
        <v>108</v>
      </c>
      <c r="V64" s="217">
        <f t="shared" si="2"/>
        <v>3240</v>
      </c>
      <c r="W64" s="208">
        <v>5</v>
      </c>
      <c r="X64" s="216" t="s">
        <v>46</v>
      </c>
      <c r="Y64" s="216" t="s">
        <v>88</v>
      </c>
      <c r="Z64" s="216" t="s">
        <v>69</v>
      </c>
      <c r="AA64" s="216" t="s">
        <v>55</v>
      </c>
      <c r="AB64" s="216" t="s">
        <v>340</v>
      </c>
    </row>
    <row r="65" spans="1:28" x14ac:dyDescent="0.15">
      <c r="A65" s="216" t="s">
        <v>34</v>
      </c>
      <c r="B65" s="208" t="s">
        <v>338</v>
      </c>
      <c r="C65" s="208">
        <v>2018</v>
      </c>
      <c r="D65" s="250" t="s">
        <v>547</v>
      </c>
      <c r="E65" s="237" t="s">
        <v>324</v>
      </c>
      <c r="F65" s="237" t="s">
        <v>325</v>
      </c>
      <c r="G65" s="216" t="s">
        <v>36</v>
      </c>
      <c r="H65" s="208" t="s">
        <v>166</v>
      </c>
      <c r="I65" s="216" t="s">
        <v>155</v>
      </c>
      <c r="J65" s="216" t="s">
        <v>38</v>
      </c>
      <c r="K65" s="216" t="s">
        <v>156</v>
      </c>
      <c r="L65" s="216">
        <v>1</v>
      </c>
      <c r="N65" s="208">
        <v>4</v>
      </c>
      <c r="O65" s="208">
        <v>0.2</v>
      </c>
      <c r="P65" s="208">
        <v>0.2</v>
      </c>
      <c r="Q65" s="245">
        <f t="shared" si="0"/>
        <v>0.2</v>
      </c>
      <c r="R65" s="208">
        <v>14.9</v>
      </c>
      <c r="S65" s="208">
        <v>115</v>
      </c>
      <c r="T65" s="217">
        <f t="shared" si="1"/>
        <v>30</v>
      </c>
      <c r="U65" s="208">
        <v>429</v>
      </c>
      <c r="V65" s="217">
        <f t="shared" si="2"/>
        <v>3217.5</v>
      </c>
      <c r="W65" s="208">
        <v>5</v>
      </c>
      <c r="X65" s="216" t="s">
        <v>46</v>
      </c>
      <c r="Y65" s="216" t="s">
        <v>88</v>
      </c>
      <c r="Z65" s="216" t="s">
        <v>69</v>
      </c>
      <c r="AA65" s="216" t="s">
        <v>55</v>
      </c>
      <c r="AB65" s="216" t="s">
        <v>340</v>
      </c>
    </row>
    <row r="66" spans="1:28" x14ac:dyDescent="0.15">
      <c r="A66" s="216" t="s">
        <v>34</v>
      </c>
      <c r="B66" s="208" t="s">
        <v>338</v>
      </c>
      <c r="C66" s="208">
        <v>2018</v>
      </c>
      <c r="D66" s="250" t="s">
        <v>547</v>
      </c>
      <c r="E66" s="237" t="s">
        <v>324</v>
      </c>
      <c r="F66" s="237" t="s">
        <v>325</v>
      </c>
      <c r="G66" s="216" t="s">
        <v>36</v>
      </c>
      <c r="H66" s="208" t="s">
        <v>166</v>
      </c>
      <c r="I66" s="216" t="s">
        <v>155</v>
      </c>
      <c r="J66" s="216" t="s">
        <v>38</v>
      </c>
      <c r="K66" s="216" t="s">
        <v>156</v>
      </c>
      <c r="L66" s="208">
        <v>2</v>
      </c>
      <c r="N66" s="208">
        <v>4</v>
      </c>
      <c r="O66" s="208">
        <v>0.45</v>
      </c>
      <c r="P66" s="208">
        <v>0.6</v>
      </c>
      <c r="Q66" s="245">
        <f t="shared" si="0"/>
        <v>0.52500000000000002</v>
      </c>
      <c r="R66" s="208">
        <v>15.3</v>
      </c>
      <c r="S66" s="208">
        <v>111</v>
      </c>
      <c r="T66" s="217">
        <f t="shared" si="1"/>
        <v>33</v>
      </c>
      <c r="U66" s="208">
        <v>429</v>
      </c>
      <c r="V66" s="217">
        <f t="shared" si="2"/>
        <v>3539.25</v>
      </c>
      <c r="W66" s="208">
        <v>5</v>
      </c>
      <c r="X66" s="216" t="s">
        <v>46</v>
      </c>
      <c r="Y66" s="216" t="s">
        <v>88</v>
      </c>
      <c r="Z66" s="216" t="s">
        <v>69</v>
      </c>
      <c r="AA66" s="216" t="s">
        <v>55</v>
      </c>
      <c r="AB66" s="216" t="s">
        <v>340</v>
      </c>
    </row>
    <row r="67" spans="1:28" x14ac:dyDescent="0.15">
      <c r="A67" s="216" t="s">
        <v>34</v>
      </c>
      <c r="B67" s="208" t="s">
        <v>338</v>
      </c>
      <c r="C67" s="208">
        <v>2018</v>
      </c>
      <c r="D67" s="250" t="s">
        <v>547</v>
      </c>
      <c r="E67" s="237" t="s">
        <v>324</v>
      </c>
      <c r="F67" s="237" t="s">
        <v>325</v>
      </c>
      <c r="G67" s="216" t="s">
        <v>36</v>
      </c>
      <c r="H67" s="208" t="s">
        <v>166</v>
      </c>
      <c r="I67" s="216" t="s">
        <v>155</v>
      </c>
      <c r="J67" s="216" t="s">
        <v>38</v>
      </c>
      <c r="K67" s="216" t="s">
        <v>156</v>
      </c>
      <c r="L67" s="208">
        <v>3</v>
      </c>
      <c r="N67" s="208">
        <v>4</v>
      </c>
      <c r="O67" s="208">
        <v>0.5</v>
      </c>
      <c r="P67" s="208">
        <v>0.6</v>
      </c>
      <c r="Q67" s="245">
        <f t="shared" si="0"/>
        <v>0.55000000000000004</v>
      </c>
      <c r="R67" s="208">
        <v>14.6</v>
      </c>
      <c r="S67" s="208">
        <v>113</v>
      </c>
      <c r="T67" s="217">
        <f t="shared" si="1"/>
        <v>30</v>
      </c>
      <c r="U67" s="208">
        <v>429</v>
      </c>
      <c r="V67" s="217">
        <f t="shared" si="2"/>
        <v>3217.5</v>
      </c>
      <c r="W67" s="208">
        <v>5</v>
      </c>
      <c r="X67" s="216" t="s">
        <v>46</v>
      </c>
      <c r="Y67" s="216" t="s">
        <v>88</v>
      </c>
      <c r="Z67" s="216" t="s">
        <v>69</v>
      </c>
      <c r="AA67" s="216" t="s">
        <v>55</v>
      </c>
      <c r="AB67" s="216" t="s">
        <v>340</v>
      </c>
    </row>
    <row r="68" spans="1:28" x14ac:dyDescent="0.15">
      <c r="A68" s="216" t="s">
        <v>34</v>
      </c>
      <c r="B68" s="208" t="s">
        <v>338</v>
      </c>
      <c r="C68" s="208">
        <v>2018</v>
      </c>
      <c r="D68" s="250" t="s">
        <v>547</v>
      </c>
      <c r="E68" s="237" t="s">
        <v>326</v>
      </c>
      <c r="F68" s="237" t="s">
        <v>327</v>
      </c>
      <c r="G68" s="216" t="s">
        <v>36</v>
      </c>
      <c r="H68" s="208" t="s">
        <v>157</v>
      </c>
      <c r="I68" s="216" t="s">
        <v>155</v>
      </c>
      <c r="J68" s="216" t="s">
        <v>38</v>
      </c>
      <c r="K68" s="216" t="s">
        <v>156</v>
      </c>
      <c r="L68" s="216">
        <v>1</v>
      </c>
      <c r="N68" s="208">
        <v>1</v>
      </c>
      <c r="O68" s="208">
        <v>0.95</v>
      </c>
      <c r="P68" s="208">
        <v>1.1000000000000001</v>
      </c>
      <c r="Q68" s="245">
        <f t="shared" si="0"/>
        <v>1.0249999999999999</v>
      </c>
      <c r="R68" s="208">
        <v>11.7</v>
      </c>
      <c r="S68" s="208">
        <v>140</v>
      </c>
      <c r="T68" s="217">
        <f t="shared" si="1"/>
        <v>30</v>
      </c>
      <c r="U68" s="208">
        <v>128</v>
      </c>
      <c r="V68" s="217">
        <f t="shared" si="2"/>
        <v>3840</v>
      </c>
      <c r="W68" s="208">
        <v>2</v>
      </c>
      <c r="X68" s="216" t="s">
        <v>46</v>
      </c>
      <c r="Y68" s="216" t="s">
        <v>69</v>
      </c>
      <c r="Z68" s="216" t="s">
        <v>88</v>
      </c>
      <c r="AA68" s="216" t="s">
        <v>78</v>
      </c>
      <c r="AB68" s="216" t="s">
        <v>340</v>
      </c>
    </row>
    <row r="69" spans="1:28" x14ac:dyDescent="0.15">
      <c r="A69" s="216" t="s">
        <v>34</v>
      </c>
      <c r="B69" s="208" t="s">
        <v>338</v>
      </c>
      <c r="C69" s="208">
        <v>2018</v>
      </c>
      <c r="D69" s="250" t="s">
        <v>547</v>
      </c>
      <c r="E69" s="237" t="s">
        <v>326</v>
      </c>
      <c r="F69" s="237" t="s">
        <v>327</v>
      </c>
      <c r="G69" s="216" t="s">
        <v>36</v>
      </c>
      <c r="H69" s="208" t="s">
        <v>157</v>
      </c>
      <c r="I69" s="216" t="s">
        <v>155</v>
      </c>
      <c r="J69" s="216" t="s">
        <v>38</v>
      </c>
      <c r="K69" s="216" t="s">
        <v>156</v>
      </c>
      <c r="L69" s="208">
        <v>2</v>
      </c>
      <c r="N69" s="208">
        <v>1</v>
      </c>
      <c r="O69" s="208">
        <v>0.85</v>
      </c>
      <c r="P69" s="208">
        <v>1</v>
      </c>
      <c r="Q69" s="245">
        <f t="shared" si="0"/>
        <v>0.92500000000000004</v>
      </c>
      <c r="R69" s="208">
        <v>14.2</v>
      </c>
      <c r="S69" s="208">
        <v>138</v>
      </c>
      <c r="T69" s="217">
        <f t="shared" si="1"/>
        <v>30</v>
      </c>
      <c r="U69" s="208">
        <v>128</v>
      </c>
      <c r="V69" s="217">
        <f t="shared" si="2"/>
        <v>3840</v>
      </c>
      <c r="W69" s="208">
        <v>2</v>
      </c>
      <c r="X69" s="216" t="s">
        <v>46</v>
      </c>
      <c r="Y69" s="216" t="s">
        <v>69</v>
      </c>
      <c r="Z69" s="216" t="s">
        <v>88</v>
      </c>
      <c r="AA69" s="216" t="s">
        <v>78</v>
      </c>
      <c r="AB69" s="216" t="s">
        <v>340</v>
      </c>
    </row>
    <row r="70" spans="1:28" x14ac:dyDescent="0.15">
      <c r="A70" s="216" t="s">
        <v>34</v>
      </c>
      <c r="B70" s="208" t="s">
        <v>338</v>
      </c>
      <c r="C70" s="208">
        <v>2018</v>
      </c>
      <c r="D70" s="250" t="s">
        <v>547</v>
      </c>
      <c r="E70" s="237" t="s">
        <v>326</v>
      </c>
      <c r="F70" s="237" t="s">
        <v>327</v>
      </c>
      <c r="G70" s="216" t="s">
        <v>36</v>
      </c>
      <c r="H70" s="208" t="s">
        <v>157</v>
      </c>
      <c r="I70" s="216" t="s">
        <v>155</v>
      </c>
      <c r="J70" s="216" t="s">
        <v>38</v>
      </c>
      <c r="K70" s="216" t="s">
        <v>156</v>
      </c>
      <c r="L70" s="208">
        <v>3</v>
      </c>
      <c r="N70" s="208">
        <v>1</v>
      </c>
      <c r="O70" s="208">
        <v>0.95</v>
      </c>
      <c r="P70" s="208">
        <v>1.05</v>
      </c>
      <c r="Q70" s="245">
        <f t="shared" si="0"/>
        <v>1</v>
      </c>
      <c r="R70" s="208">
        <v>14.5</v>
      </c>
      <c r="S70" s="208">
        <v>136</v>
      </c>
      <c r="T70" s="217">
        <f t="shared" si="1"/>
        <v>30</v>
      </c>
      <c r="U70" s="208">
        <v>128</v>
      </c>
      <c r="V70" s="217">
        <f t="shared" si="2"/>
        <v>3840</v>
      </c>
      <c r="W70" s="208">
        <v>2</v>
      </c>
      <c r="X70" s="216" t="s">
        <v>46</v>
      </c>
      <c r="Y70" s="216" t="s">
        <v>69</v>
      </c>
      <c r="Z70" s="216" t="s">
        <v>88</v>
      </c>
      <c r="AA70" s="216" t="s">
        <v>78</v>
      </c>
      <c r="AB70" s="216" t="s">
        <v>340</v>
      </c>
    </row>
    <row r="71" spans="1:28" x14ac:dyDescent="0.15">
      <c r="A71" s="216" t="s">
        <v>34</v>
      </c>
      <c r="B71" s="208" t="s">
        <v>338</v>
      </c>
      <c r="C71" s="208">
        <v>2018</v>
      </c>
      <c r="D71" s="250" t="s">
        <v>547</v>
      </c>
      <c r="E71" s="237" t="s">
        <v>326</v>
      </c>
      <c r="F71" s="237" t="s">
        <v>327</v>
      </c>
      <c r="G71" s="216" t="s">
        <v>36</v>
      </c>
      <c r="H71" s="208" t="s">
        <v>166</v>
      </c>
      <c r="I71" s="216" t="s">
        <v>155</v>
      </c>
      <c r="J71" s="216" t="s">
        <v>38</v>
      </c>
      <c r="K71" s="216" t="s">
        <v>156</v>
      </c>
      <c r="L71" s="216">
        <v>1</v>
      </c>
      <c r="N71" s="208">
        <v>1</v>
      </c>
      <c r="O71" s="208">
        <v>0.2</v>
      </c>
      <c r="P71" s="208">
        <v>0.2</v>
      </c>
      <c r="Q71" s="245">
        <f t="shared" si="0"/>
        <v>0.2</v>
      </c>
      <c r="R71" s="208">
        <v>17.399999999999999</v>
      </c>
      <c r="S71" s="208">
        <v>134</v>
      </c>
      <c r="T71" s="217">
        <f t="shared" si="1"/>
        <v>30</v>
      </c>
      <c r="U71" s="208">
        <v>139</v>
      </c>
      <c r="V71" s="217">
        <f t="shared" si="2"/>
        <v>4170</v>
      </c>
      <c r="W71" s="208">
        <v>4</v>
      </c>
      <c r="X71" s="216" t="s">
        <v>46</v>
      </c>
      <c r="Y71" s="216" t="s">
        <v>69</v>
      </c>
      <c r="Z71" s="216" t="s">
        <v>88</v>
      </c>
      <c r="AA71" s="216" t="s">
        <v>78</v>
      </c>
      <c r="AB71" s="216" t="s">
        <v>340</v>
      </c>
    </row>
    <row r="72" spans="1:28" x14ac:dyDescent="0.15">
      <c r="A72" s="216" t="s">
        <v>34</v>
      </c>
      <c r="B72" s="208" t="s">
        <v>338</v>
      </c>
      <c r="C72" s="208">
        <v>2018</v>
      </c>
      <c r="D72" s="250" t="s">
        <v>547</v>
      </c>
      <c r="E72" s="237" t="s">
        <v>326</v>
      </c>
      <c r="F72" s="237" t="s">
        <v>327</v>
      </c>
      <c r="G72" s="216" t="s">
        <v>36</v>
      </c>
      <c r="H72" s="208" t="s">
        <v>166</v>
      </c>
      <c r="I72" s="216" t="s">
        <v>155</v>
      </c>
      <c r="J72" s="216" t="s">
        <v>38</v>
      </c>
      <c r="K72" s="216" t="s">
        <v>156</v>
      </c>
      <c r="L72" s="208">
        <v>2</v>
      </c>
      <c r="N72" s="208">
        <v>1</v>
      </c>
      <c r="O72" s="208">
        <v>0.6</v>
      </c>
      <c r="P72" s="208">
        <v>0.6</v>
      </c>
      <c r="Q72" s="245">
        <f t="shared" si="0"/>
        <v>0.6</v>
      </c>
      <c r="R72" s="208">
        <v>16.399999999999999</v>
      </c>
      <c r="S72" s="208">
        <v>144</v>
      </c>
      <c r="T72" s="217">
        <f t="shared" si="1"/>
        <v>30</v>
      </c>
      <c r="U72" s="208">
        <v>139</v>
      </c>
      <c r="V72" s="217">
        <f t="shared" si="2"/>
        <v>4170</v>
      </c>
      <c r="W72" s="208">
        <v>4</v>
      </c>
      <c r="X72" s="216" t="s">
        <v>46</v>
      </c>
      <c r="Y72" s="216" t="s">
        <v>69</v>
      </c>
      <c r="Z72" s="216" t="s">
        <v>88</v>
      </c>
      <c r="AA72" s="216" t="s">
        <v>78</v>
      </c>
      <c r="AB72" s="216" t="s">
        <v>340</v>
      </c>
    </row>
    <row r="73" spans="1:28" x14ac:dyDescent="0.15">
      <c r="A73" s="216" t="s">
        <v>34</v>
      </c>
      <c r="B73" s="208" t="s">
        <v>338</v>
      </c>
      <c r="C73" s="208">
        <v>2018</v>
      </c>
      <c r="D73" s="250" t="s">
        <v>547</v>
      </c>
      <c r="E73" s="237" t="s">
        <v>326</v>
      </c>
      <c r="F73" s="237" t="s">
        <v>327</v>
      </c>
      <c r="G73" s="216" t="s">
        <v>36</v>
      </c>
      <c r="H73" s="208" t="s">
        <v>166</v>
      </c>
      <c r="I73" s="216" t="s">
        <v>155</v>
      </c>
      <c r="J73" s="216" t="s">
        <v>38</v>
      </c>
      <c r="K73" s="216" t="s">
        <v>156</v>
      </c>
      <c r="L73" s="208">
        <v>3</v>
      </c>
      <c r="N73" s="208">
        <v>1</v>
      </c>
      <c r="O73" s="208">
        <v>0.55000000000000004</v>
      </c>
      <c r="P73" s="208">
        <v>0.7</v>
      </c>
      <c r="Q73" s="245">
        <f t="shared" si="0"/>
        <v>0.625</v>
      </c>
      <c r="R73" s="208">
        <v>14.9</v>
      </c>
      <c r="S73" s="208">
        <v>137</v>
      </c>
      <c r="T73" s="217">
        <f t="shared" si="1"/>
        <v>30</v>
      </c>
      <c r="U73" s="208">
        <v>139</v>
      </c>
      <c r="V73" s="217">
        <f t="shared" si="2"/>
        <v>4170</v>
      </c>
      <c r="W73" s="208">
        <v>4</v>
      </c>
      <c r="X73" s="216" t="s">
        <v>46</v>
      </c>
      <c r="Y73" s="216" t="s">
        <v>69</v>
      </c>
      <c r="Z73" s="216" t="s">
        <v>88</v>
      </c>
      <c r="AA73" s="216" t="s">
        <v>78</v>
      </c>
      <c r="AB73" s="216" t="s">
        <v>340</v>
      </c>
    </row>
    <row r="74" spans="1:28" x14ac:dyDescent="0.15">
      <c r="A74" s="216" t="s">
        <v>34</v>
      </c>
      <c r="B74" s="208" t="s">
        <v>338</v>
      </c>
      <c r="C74" s="208">
        <v>2018</v>
      </c>
      <c r="D74" s="250" t="s">
        <v>547</v>
      </c>
      <c r="E74" s="237" t="s">
        <v>328</v>
      </c>
      <c r="F74" s="237" t="s">
        <v>329</v>
      </c>
      <c r="G74" s="216" t="s">
        <v>36</v>
      </c>
      <c r="H74" s="208" t="s">
        <v>157</v>
      </c>
      <c r="I74" s="216" t="s">
        <v>155</v>
      </c>
      <c r="J74" s="216" t="s">
        <v>38</v>
      </c>
      <c r="K74" s="216" t="s">
        <v>156</v>
      </c>
      <c r="L74" s="216">
        <v>1</v>
      </c>
      <c r="N74" s="208">
        <v>1</v>
      </c>
      <c r="O74" s="208">
        <v>0.45</v>
      </c>
      <c r="P74" s="208">
        <v>0.5</v>
      </c>
      <c r="Q74" s="245">
        <f t="shared" si="0"/>
        <v>0.47499999999999998</v>
      </c>
      <c r="R74" s="208">
        <v>15.1</v>
      </c>
      <c r="S74" s="208">
        <v>141</v>
      </c>
      <c r="T74" s="217">
        <f t="shared" si="1"/>
        <v>30</v>
      </c>
      <c r="U74" s="208">
        <v>113</v>
      </c>
      <c r="V74" s="217">
        <f t="shared" si="2"/>
        <v>3390</v>
      </c>
      <c r="W74" s="208">
        <v>8</v>
      </c>
      <c r="X74" s="216" t="s">
        <v>46</v>
      </c>
      <c r="Y74" s="216" t="s">
        <v>69</v>
      </c>
      <c r="Z74" s="216" t="s">
        <v>55</v>
      </c>
      <c r="AA74" s="216" t="s">
        <v>88</v>
      </c>
      <c r="AB74" s="216" t="s">
        <v>340</v>
      </c>
    </row>
    <row r="75" spans="1:28" x14ac:dyDescent="0.15">
      <c r="A75" s="216" t="s">
        <v>34</v>
      </c>
      <c r="B75" s="208" t="s">
        <v>338</v>
      </c>
      <c r="C75" s="208">
        <v>2018</v>
      </c>
      <c r="D75" s="250" t="s">
        <v>547</v>
      </c>
      <c r="E75" s="237" t="s">
        <v>328</v>
      </c>
      <c r="F75" s="237" t="s">
        <v>329</v>
      </c>
      <c r="G75" s="216" t="s">
        <v>36</v>
      </c>
      <c r="H75" s="208" t="s">
        <v>157</v>
      </c>
      <c r="I75" s="216" t="s">
        <v>155</v>
      </c>
      <c r="J75" s="216" t="s">
        <v>38</v>
      </c>
      <c r="K75" s="216" t="s">
        <v>156</v>
      </c>
      <c r="L75" s="208">
        <v>2</v>
      </c>
      <c r="N75" s="208">
        <v>1</v>
      </c>
      <c r="O75" s="208">
        <v>0.75</v>
      </c>
      <c r="P75" s="208">
        <v>0.9</v>
      </c>
      <c r="Q75" s="245">
        <f t="shared" si="0"/>
        <v>0.82499999999999996</v>
      </c>
      <c r="R75" s="208">
        <v>14.9</v>
      </c>
      <c r="S75" s="208">
        <v>137</v>
      </c>
      <c r="T75" s="217">
        <f t="shared" si="1"/>
        <v>30</v>
      </c>
      <c r="U75" s="208">
        <v>113</v>
      </c>
      <c r="V75" s="217">
        <f t="shared" si="2"/>
        <v>3390</v>
      </c>
      <c r="W75" s="208">
        <v>8</v>
      </c>
      <c r="X75" s="216" t="s">
        <v>46</v>
      </c>
      <c r="Y75" s="216" t="s">
        <v>69</v>
      </c>
      <c r="Z75" s="216" t="s">
        <v>55</v>
      </c>
      <c r="AA75" s="216" t="s">
        <v>88</v>
      </c>
      <c r="AB75" s="216" t="s">
        <v>340</v>
      </c>
    </row>
    <row r="76" spans="1:28" x14ac:dyDescent="0.15">
      <c r="A76" s="216" t="s">
        <v>34</v>
      </c>
      <c r="B76" s="208" t="s">
        <v>338</v>
      </c>
      <c r="C76" s="208">
        <v>2018</v>
      </c>
      <c r="D76" s="250" t="s">
        <v>547</v>
      </c>
      <c r="E76" s="237" t="s">
        <v>328</v>
      </c>
      <c r="F76" s="237" t="s">
        <v>329</v>
      </c>
      <c r="G76" s="216" t="s">
        <v>36</v>
      </c>
      <c r="H76" s="208" t="s">
        <v>157</v>
      </c>
      <c r="I76" s="216" t="s">
        <v>155</v>
      </c>
      <c r="J76" s="216" t="s">
        <v>38</v>
      </c>
      <c r="K76" s="216" t="s">
        <v>156</v>
      </c>
      <c r="L76" s="208">
        <v>3</v>
      </c>
      <c r="N76" s="208">
        <v>1</v>
      </c>
      <c r="O76" s="208">
        <v>0.55000000000000004</v>
      </c>
      <c r="P76" s="208">
        <v>0.6</v>
      </c>
      <c r="Q76" s="245">
        <f t="shared" si="0"/>
        <v>0.57499999999999996</v>
      </c>
      <c r="R76" s="208">
        <v>14</v>
      </c>
      <c r="S76" s="208">
        <v>141</v>
      </c>
      <c r="T76" s="217">
        <f t="shared" si="1"/>
        <v>30</v>
      </c>
      <c r="U76" s="208">
        <v>113</v>
      </c>
      <c r="V76" s="217">
        <f t="shared" si="2"/>
        <v>3390</v>
      </c>
      <c r="W76" s="208">
        <v>8</v>
      </c>
      <c r="X76" s="216" t="s">
        <v>46</v>
      </c>
      <c r="Y76" s="216" t="s">
        <v>69</v>
      </c>
      <c r="Z76" s="216" t="s">
        <v>55</v>
      </c>
      <c r="AA76" s="216" t="s">
        <v>88</v>
      </c>
      <c r="AB76" s="216" t="s">
        <v>340</v>
      </c>
    </row>
    <row r="77" spans="1:28" x14ac:dyDescent="0.15">
      <c r="A77" s="216" t="s">
        <v>34</v>
      </c>
      <c r="B77" s="208" t="s">
        <v>338</v>
      </c>
      <c r="C77" s="208">
        <v>2018</v>
      </c>
      <c r="D77" s="250" t="s">
        <v>547</v>
      </c>
      <c r="E77" s="237" t="s">
        <v>328</v>
      </c>
      <c r="F77" s="237" t="s">
        <v>329</v>
      </c>
      <c r="G77" s="216" t="s">
        <v>36</v>
      </c>
      <c r="H77" s="208" t="s">
        <v>157</v>
      </c>
      <c r="I77" s="216" t="s">
        <v>155</v>
      </c>
      <c r="J77" s="216" t="s">
        <v>38</v>
      </c>
      <c r="K77" s="216" t="s">
        <v>156</v>
      </c>
      <c r="L77" s="216">
        <v>1</v>
      </c>
      <c r="N77" s="208">
        <v>4</v>
      </c>
      <c r="O77" s="208">
        <v>0.8</v>
      </c>
      <c r="P77" s="208">
        <v>0.65</v>
      </c>
      <c r="Q77" s="245">
        <f t="shared" si="0"/>
        <v>0.72500000000000009</v>
      </c>
      <c r="R77" s="208">
        <v>14.9</v>
      </c>
      <c r="S77" s="208">
        <v>118</v>
      </c>
      <c r="T77" s="217">
        <f t="shared" si="1"/>
        <v>30</v>
      </c>
      <c r="U77" s="208">
        <v>410</v>
      </c>
      <c r="V77" s="217">
        <f t="shared" si="2"/>
        <v>3075</v>
      </c>
      <c r="W77" s="208">
        <v>8</v>
      </c>
      <c r="X77" s="216" t="s">
        <v>46</v>
      </c>
      <c r="Y77" s="216" t="s">
        <v>69</v>
      </c>
      <c r="Z77" s="216" t="s">
        <v>55</v>
      </c>
      <c r="AA77" s="216" t="s">
        <v>88</v>
      </c>
      <c r="AB77" s="216" t="s">
        <v>340</v>
      </c>
    </row>
    <row r="78" spans="1:28" x14ac:dyDescent="0.15">
      <c r="A78" s="216" t="s">
        <v>34</v>
      </c>
      <c r="B78" s="208" t="s">
        <v>338</v>
      </c>
      <c r="C78" s="208">
        <v>2018</v>
      </c>
      <c r="D78" s="250" t="s">
        <v>547</v>
      </c>
      <c r="E78" s="237" t="s">
        <v>328</v>
      </c>
      <c r="F78" s="237" t="s">
        <v>329</v>
      </c>
      <c r="G78" s="216" t="s">
        <v>36</v>
      </c>
      <c r="H78" s="208" t="s">
        <v>157</v>
      </c>
      <c r="I78" s="216" t="s">
        <v>155</v>
      </c>
      <c r="J78" s="216" t="s">
        <v>38</v>
      </c>
      <c r="K78" s="216" t="s">
        <v>156</v>
      </c>
      <c r="L78" s="208">
        <v>2</v>
      </c>
      <c r="N78" s="208">
        <v>4</v>
      </c>
      <c r="O78" s="208">
        <v>0.55000000000000004</v>
      </c>
      <c r="P78" s="208">
        <v>0.65</v>
      </c>
      <c r="Q78" s="245">
        <f t="shared" si="0"/>
        <v>0.60000000000000009</v>
      </c>
      <c r="R78" s="208">
        <v>17.2</v>
      </c>
      <c r="S78" s="208">
        <v>116</v>
      </c>
      <c r="T78" s="217">
        <f t="shared" si="1"/>
        <v>30</v>
      </c>
      <c r="U78" s="208">
        <v>410</v>
      </c>
      <c r="V78" s="217">
        <f t="shared" si="2"/>
        <v>3075</v>
      </c>
      <c r="W78" s="208">
        <v>8</v>
      </c>
      <c r="X78" s="216" t="s">
        <v>46</v>
      </c>
      <c r="Y78" s="216" t="s">
        <v>69</v>
      </c>
      <c r="Z78" s="216" t="s">
        <v>55</v>
      </c>
      <c r="AA78" s="216" t="s">
        <v>88</v>
      </c>
      <c r="AB78" s="216" t="s">
        <v>340</v>
      </c>
    </row>
    <row r="79" spans="1:28" x14ac:dyDescent="0.15">
      <c r="A79" s="216" t="s">
        <v>34</v>
      </c>
      <c r="B79" s="208" t="s">
        <v>338</v>
      </c>
      <c r="C79" s="208">
        <v>2018</v>
      </c>
      <c r="D79" s="250" t="s">
        <v>547</v>
      </c>
      <c r="E79" s="237" t="s">
        <v>328</v>
      </c>
      <c r="F79" s="237" t="s">
        <v>329</v>
      </c>
      <c r="G79" s="216" t="s">
        <v>36</v>
      </c>
      <c r="H79" s="208" t="s">
        <v>157</v>
      </c>
      <c r="I79" s="216" t="s">
        <v>155</v>
      </c>
      <c r="J79" s="216" t="s">
        <v>38</v>
      </c>
      <c r="K79" s="216" t="s">
        <v>156</v>
      </c>
      <c r="L79" s="208">
        <v>3</v>
      </c>
      <c r="N79" s="208">
        <v>4</v>
      </c>
      <c r="O79" s="208">
        <v>0.7</v>
      </c>
      <c r="P79" s="208">
        <v>0.65</v>
      </c>
      <c r="Q79" s="245">
        <f t="shared" si="0"/>
        <v>0.67500000000000004</v>
      </c>
      <c r="R79" s="208">
        <v>15.2</v>
      </c>
      <c r="S79" s="208">
        <v>117</v>
      </c>
      <c r="T79" s="217">
        <f t="shared" si="1"/>
        <v>30</v>
      </c>
      <c r="U79" s="208">
        <v>410</v>
      </c>
      <c r="V79" s="217">
        <f t="shared" si="2"/>
        <v>3075</v>
      </c>
      <c r="W79" s="208">
        <v>8</v>
      </c>
      <c r="X79" s="216" t="s">
        <v>46</v>
      </c>
      <c r="Y79" s="216" t="s">
        <v>69</v>
      </c>
      <c r="Z79" s="216" t="s">
        <v>55</v>
      </c>
      <c r="AA79" s="216" t="s">
        <v>88</v>
      </c>
      <c r="AB79" s="216" t="s">
        <v>340</v>
      </c>
    </row>
    <row r="80" spans="1:28" x14ac:dyDescent="0.15">
      <c r="A80" s="216" t="s">
        <v>34</v>
      </c>
      <c r="B80" s="208" t="s">
        <v>338</v>
      </c>
      <c r="C80" s="208">
        <v>2018</v>
      </c>
      <c r="D80" s="250" t="s">
        <v>547</v>
      </c>
      <c r="E80" s="237" t="s">
        <v>328</v>
      </c>
      <c r="F80" s="237" t="s">
        <v>329</v>
      </c>
      <c r="G80" s="216" t="s">
        <v>36</v>
      </c>
      <c r="H80" s="208" t="s">
        <v>157</v>
      </c>
      <c r="I80" s="216" t="s">
        <v>158</v>
      </c>
      <c r="J80" s="216" t="s">
        <v>38</v>
      </c>
      <c r="K80" s="216" t="s">
        <v>156</v>
      </c>
      <c r="L80" s="216">
        <v>1</v>
      </c>
      <c r="N80" s="208">
        <v>5</v>
      </c>
      <c r="O80" s="208">
        <v>0.45</v>
      </c>
      <c r="P80" s="208">
        <v>0.5</v>
      </c>
      <c r="Q80" s="245">
        <f t="shared" si="0"/>
        <v>0.47499999999999998</v>
      </c>
      <c r="R80" s="208">
        <v>11.1</v>
      </c>
      <c r="S80" s="208">
        <v>85</v>
      </c>
      <c r="T80" s="217">
        <f t="shared" si="1"/>
        <v>36</v>
      </c>
      <c r="U80" s="208">
        <v>346</v>
      </c>
      <c r="V80" s="217">
        <f t="shared" si="2"/>
        <v>2491.2000000000003</v>
      </c>
      <c r="W80" s="208">
        <v>8</v>
      </c>
      <c r="X80" s="216" t="s">
        <v>46</v>
      </c>
      <c r="Y80" s="216" t="s">
        <v>69</v>
      </c>
      <c r="Z80" s="216" t="s">
        <v>55</v>
      </c>
      <c r="AA80" s="216" t="s">
        <v>88</v>
      </c>
      <c r="AB80" s="216" t="s">
        <v>340</v>
      </c>
    </row>
    <row r="81" spans="1:28" x14ac:dyDescent="0.15">
      <c r="A81" s="216" t="s">
        <v>34</v>
      </c>
      <c r="B81" s="208" t="s">
        <v>338</v>
      </c>
      <c r="C81" s="208">
        <v>2018</v>
      </c>
      <c r="D81" s="250" t="s">
        <v>547</v>
      </c>
      <c r="E81" s="237" t="s">
        <v>328</v>
      </c>
      <c r="F81" s="237" t="s">
        <v>329</v>
      </c>
      <c r="G81" s="216" t="s">
        <v>36</v>
      </c>
      <c r="H81" s="208" t="s">
        <v>157</v>
      </c>
      <c r="I81" s="216" t="s">
        <v>158</v>
      </c>
      <c r="J81" s="216" t="s">
        <v>38</v>
      </c>
      <c r="K81" s="216" t="s">
        <v>156</v>
      </c>
      <c r="L81" s="208">
        <v>2</v>
      </c>
      <c r="N81" s="208">
        <v>5</v>
      </c>
      <c r="O81" s="208">
        <v>0.5</v>
      </c>
      <c r="P81" s="208">
        <v>0.55000000000000004</v>
      </c>
      <c r="Q81" s="245">
        <f t="shared" si="0"/>
        <v>0.52500000000000002</v>
      </c>
      <c r="R81" s="208">
        <v>11.1</v>
      </c>
      <c r="S81" s="208">
        <v>89</v>
      </c>
      <c r="T81" s="217">
        <f t="shared" si="1"/>
        <v>36</v>
      </c>
      <c r="U81" s="208">
        <v>346</v>
      </c>
      <c r="V81" s="217">
        <f t="shared" si="2"/>
        <v>2491.2000000000003</v>
      </c>
      <c r="W81" s="208">
        <v>8</v>
      </c>
      <c r="X81" s="216" t="s">
        <v>46</v>
      </c>
      <c r="Y81" s="216" t="s">
        <v>69</v>
      </c>
      <c r="Z81" s="216" t="s">
        <v>55</v>
      </c>
      <c r="AA81" s="216" t="s">
        <v>88</v>
      </c>
      <c r="AB81" s="216" t="s">
        <v>340</v>
      </c>
    </row>
    <row r="82" spans="1:28" x14ac:dyDescent="0.15">
      <c r="A82" s="216" t="s">
        <v>34</v>
      </c>
      <c r="B82" s="208" t="s">
        <v>338</v>
      </c>
      <c r="C82" s="208">
        <v>2018</v>
      </c>
      <c r="D82" s="250" t="s">
        <v>547</v>
      </c>
      <c r="E82" s="237" t="s">
        <v>328</v>
      </c>
      <c r="F82" s="237" t="s">
        <v>329</v>
      </c>
      <c r="G82" s="216" t="s">
        <v>36</v>
      </c>
      <c r="H82" s="208" t="s">
        <v>157</v>
      </c>
      <c r="I82" s="216" t="s">
        <v>158</v>
      </c>
      <c r="J82" s="216" t="s">
        <v>38</v>
      </c>
      <c r="K82" s="216" t="s">
        <v>156</v>
      </c>
      <c r="L82" s="208">
        <v>3</v>
      </c>
      <c r="N82" s="208">
        <v>5</v>
      </c>
      <c r="O82" s="208">
        <v>0.5</v>
      </c>
      <c r="P82" s="208">
        <v>0.45</v>
      </c>
      <c r="Q82" s="245">
        <f t="shared" si="0"/>
        <v>0.47499999999999998</v>
      </c>
      <c r="R82" s="208">
        <v>13.9</v>
      </c>
      <c r="S82" s="208">
        <v>79</v>
      </c>
      <c r="T82" s="217">
        <f t="shared" si="1"/>
        <v>39</v>
      </c>
      <c r="U82" s="208">
        <v>346</v>
      </c>
      <c r="V82" s="217">
        <f t="shared" si="2"/>
        <v>2698.8</v>
      </c>
      <c r="W82" s="208">
        <v>8</v>
      </c>
      <c r="X82" s="216" t="s">
        <v>46</v>
      </c>
      <c r="Y82" s="216" t="s">
        <v>69</v>
      </c>
      <c r="Z82" s="216" t="s">
        <v>55</v>
      </c>
      <c r="AA82" s="216" t="s">
        <v>88</v>
      </c>
      <c r="AB82" s="216" t="s">
        <v>340</v>
      </c>
    </row>
    <row r="83" spans="1:28" x14ac:dyDescent="0.15">
      <c r="A83" s="216" t="s">
        <v>34</v>
      </c>
      <c r="B83" s="208" t="s">
        <v>338</v>
      </c>
      <c r="C83" s="208">
        <v>2018</v>
      </c>
      <c r="D83" s="250" t="s">
        <v>547</v>
      </c>
      <c r="E83" s="237" t="s">
        <v>328</v>
      </c>
      <c r="F83" s="237" t="s">
        <v>329</v>
      </c>
      <c r="G83" s="216" t="s">
        <v>36</v>
      </c>
      <c r="H83" s="208" t="s">
        <v>166</v>
      </c>
      <c r="I83" s="216" t="s">
        <v>155</v>
      </c>
      <c r="J83" s="216" t="s">
        <v>38</v>
      </c>
      <c r="K83" s="216" t="s">
        <v>156</v>
      </c>
      <c r="L83" s="216">
        <v>1</v>
      </c>
      <c r="N83" s="208">
        <v>1</v>
      </c>
      <c r="O83" s="208">
        <v>0.2</v>
      </c>
      <c r="P83" s="208">
        <v>0.55000000000000004</v>
      </c>
      <c r="Q83" s="245">
        <f t="shared" ref="Q83:Q100" si="5">IF(OR(O83="",P83=""),"",AVERAGE(O83,P83))</f>
        <v>0.375</v>
      </c>
      <c r="R83" s="208">
        <v>18.100000000000001</v>
      </c>
      <c r="S83" s="208">
        <v>133</v>
      </c>
      <c r="T83" s="217">
        <f t="shared" si="1"/>
        <v>30</v>
      </c>
      <c r="U83" s="208">
        <v>170</v>
      </c>
      <c r="V83" s="217">
        <f t="shared" si="2"/>
        <v>5100</v>
      </c>
      <c r="W83" s="208">
        <v>5</v>
      </c>
      <c r="X83" s="216" t="s">
        <v>46</v>
      </c>
      <c r="Y83" s="216" t="s">
        <v>69</v>
      </c>
      <c r="Z83" s="216" t="s">
        <v>55</v>
      </c>
      <c r="AA83" s="216" t="s">
        <v>88</v>
      </c>
      <c r="AB83" s="216" t="s">
        <v>340</v>
      </c>
    </row>
    <row r="84" spans="1:28" x14ac:dyDescent="0.15">
      <c r="A84" s="216" t="s">
        <v>34</v>
      </c>
      <c r="B84" s="208" t="s">
        <v>338</v>
      </c>
      <c r="C84" s="208">
        <v>2018</v>
      </c>
      <c r="D84" s="250" t="s">
        <v>547</v>
      </c>
      <c r="E84" s="237" t="s">
        <v>328</v>
      </c>
      <c r="F84" s="237" t="s">
        <v>329</v>
      </c>
      <c r="G84" s="216" t="s">
        <v>36</v>
      </c>
      <c r="H84" s="208" t="s">
        <v>166</v>
      </c>
      <c r="I84" s="216" t="s">
        <v>155</v>
      </c>
      <c r="J84" s="216" t="s">
        <v>38</v>
      </c>
      <c r="K84" s="216" t="s">
        <v>156</v>
      </c>
      <c r="L84" s="208">
        <v>2</v>
      </c>
      <c r="N84" s="208">
        <v>1</v>
      </c>
      <c r="O84" s="208">
        <v>0.2</v>
      </c>
      <c r="P84" s="208">
        <v>0.2</v>
      </c>
      <c r="Q84" s="245">
        <f t="shared" si="5"/>
        <v>0.2</v>
      </c>
      <c r="R84" s="208">
        <v>15.4</v>
      </c>
      <c r="S84" s="208">
        <v>132</v>
      </c>
      <c r="T84" s="217">
        <f t="shared" si="1"/>
        <v>30</v>
      </c>
      <c r="U84" s="208">
        <v>170</v>
      </c>
      <c r="V84" s="217">
        <f t="shared" si="2"/>
        <v>5100</v>
      </c>
      <c r="W84" s="208">
        <v>5</v>
      </c>
      <c r="X84" s="216" t="s">
        <v>46</v>
      </c>
      <c r="Y84" s="216" t="s">
        <v>69</v>
      </c>
      <c r="Z84" s="216" t="s">
        <v>55</v>
      </c>
      <c r="AA84" s="216" t="s">
        <v>88</v>
      </c>
      <c r="AB84" s="216" t="s">
        <v>340</v>
      </c>
    </row>
    <row r="85" spans="1:28" x14ac:dyDescent="0.15">
      <c r="A85" s="216" t="s">
        <v>34</v>
      </c>
      <c r="B85" s="208" t="s">
        <v>338</v>
      </c>
      <c r="C85" s="208">
        <v>2018</v>
      </c>
      <c r="D85" s="250" t="s">
        <v>547</v>
      </c>
      <c r="E85" s="237" t="s">
        <v>328</v>
      </c>
      <c r="F85" s="237" t="s">
        <v>329</v>
      </c>
      <c r="G85" s="216" t="s">
        <v>36</v>
      </c>
      <c r="H85" s="208" t="s">
        <v>166</v>
      </c>
      <c r="I85" s="216" t="s">
        <v>155</v>
      </c>
      <c r="J85" s="216" t="s">
        <v>38</v>
      </c>
      <c r="K85" s="216" t="s">
        <v>156</v>
      </c>
      <c r="L85" s="208">
        <v>3</v>
      </c>
      <c r="N85" s="208">
        <v>1</v>
      </c>
      <c r="O85" s="208">
        <v>0.5</v>
      </c>
      <c r="P85" s="208">
        <v>0.55000000000000004</v>
      </c>
      <c r="Q85" s="217">
        <f t="shared" si="5"/>
        <v>0.52500000000000002</v>
      </c>
      <c r="R85" s="208">
        <v>15.3</v>
      </c>
      <c r="S85" s="208">
        <v>132</v>
      </c>
      <c r="T85" s="217">
        <f t="shared" si="1"/>
        <v>30</v>
      </c>
      <c r="U85" s="208">
        <v>170</v>
      </c>
      <c r="V85" s="217">
        <f t="shared" si="2"/>
        <v>5100</v>
      </c>
      <c r="W85" s="208">
        <v>5</v>
      </c>
      <c r="X85" s="216" t="s">
        <v>46</v>
      </c>
      <c r="Y85" s="216" t="s">
        <v>69</v>
      </c>
      <c r="Z85" s="216" t="s">
        <v>55</v>
      </c>
      <c r="AA85" s="216" t="s">
        <v>88</v>
      </c>
      <c r="AB85" s="216" t="s">
        <v>340</v>
      </c>
    </row>
    <row r="86" spans="1:28" x14ac:dyDescent="0.15">
      <c r="A86" s="216" t="s">
        <v>34</v>
      </c>
      <c r="B86" s="208" t="s">
        <v>338</v>
      </c>
      <c r="C86" s="208">
        <v>2018</v>
      </c>
      <c r="D86" s="250" t="s">
        <v>547</v>
      </c>
      <c r="E86" s="237" t="s">
        <v>328</v>
      </c>
      <c r="F86" s="237" t="s">
        <v>329</v>
      </c>
      <c r="G86" s="216" t="s">
        <v>36</v>
      </c>
      <c r="H86" s="208" t="s">
        <v>166</v>
      </c>
      <c r="I86" s="216" t="s">
        <v>155</v>
      </c>
      <c r="J86" s="216" t="s">
        <v>38</v>
      </c>
      <c r="K86" s="216" t="s">
        <v>156</v>
      </c>
      <c r="L86" s="216">
        <v>1</v>
      </c>
      <c r="N86" s="208">
        <v>3</v>
      </c>
      <c r="O86" s="208">
        <v>0.5</v>
      </c>
      <c r="P86" s="208">
        <v>0.5</v>
      </c>
      <c r="Q86" s="217">
        <f t="shared" si="5"/>
        <v>0.5</v>
      </c>
      <c r="R86" s="208">
        <v>14.7</v>
      </c>
      <c r="S86" s="208">
        <v>143</v>
      </c>
      <c r="T86" s="217">
        <f t="shared" si="1"/>
        <v>30</v>
      </c>
      <c r="U86" s="208">
        <v>486</v>
      </c>
      <c r="V86" s="217">
        <f t="shared" si="2"/>
        <v>4860</v>
      </c>
      <c r="W86" s="208">
        <v>5</v>
      </c>
      <c r="X86" s="216" t="s">
        <v>46</v>
      </c>
      <c r="Y86" s="216" t="s">
        <v>69</v>
      </c>
      <c r="Z86" s="216" t="s">
        <v>55</v>
      </c>
      <c r="AA86" s="216" t="s">
        <v>88</v>
      </c>
      <c r="AB86" s="216" t="s">
        <v>340</v>
      </c>
    </row>
    <row r="87" spans="1:28" x14ac:dyDescent="0.15">
      <c r="A87" s="216" t="s">
        <v>34</v>
      </c>
      <c r="B87" s="208" t="s">
        <v>338</v>
      </c>
      <c r="C87" s="208">
        <v>2018</v>
      </c>
      <c r="D87" s="250" t="s">
        <v>547</v>
      </c>
      <c r="E87" s="237" t="s">
        <v>328</v>
      </c>
      <c r="F87" s="237" t="s">
        <v>329</v>
      </c>
      <c r="G87" s="216" t="s">
        <v>36</v>
      </c>
      <c r="H87" s="208" t="s">
        <v>166</v>
      </c>
      <c r="I87" s="216" t="s">
        <v>155</v>
      </c>
      <c r="J87" s="216" t="s">
        <v>38</v>
      </c>
      <c r="K87" s="216" t="s">
        <v>156</v>
      </c>
      <c r="L87" s="208">
        <v>2</v>
      </c>
      <c r="N87" s="208">
        <v>3</v>
      </c>
      <c r="O87" s="208">
        <v>0.45</v>
      </c>
      <c r="P87" s="208">
        <v>0.45</v>
      </c>
      <c r="Q87" s="217">
        <f t="shared" si="5"/>
        <v>0.45</v>
      </c>
      <c r="R87" s="208">
        <v>17</v>
      </c>
      <c r="S87" s="208">
        <v>139</v>
      </c>
      <c r="T87" s="217">
        <f t="shared" si="1"/>
        <v>30</v>
      </c>
      <c r="U87" s="208">
        <v>486</v>
      </c>
      <c r="V87" s="217">
        <f t="shared" si="2"/>
        <v>4860</v>
      </c>
      <c r="W87" s="208">
        <v>5</v>
      </c>
      <c r="X87" s="216" t="s">
        <v>46</v>
      </c>
      <c r="Y87" s="216" t="s">
        <v>69</v>
      </c>
      <c r="Z87" s="216" t="s">
        <v>55</v>
      </c>
      <c r="AA87" s="216" t="s">
        <v>88</v>
      </c>
      <c r="AB87" s="216" t="s">
        <v>340</v>
      </c>
    </row>
    <row r="88" spans="1:28" x14ac:dyDescent="0.15">
      <c r="A88" s="216" t="s">
        <v>34</v>
      </c>
      <c r="B88" s="208" t="s">
        <v>338</v>
      </c>
      <c r="C88" s="208">
        <v>2018</v>
      </c>
      <c r="D88" s="250" t="s">
        <v>547</v>
      </c>
      <c r="E88" s="237" t="s">
        <v>328</v>
      </c>
      <c r="F88" s="237" t="s">
        <v>329</v>
      </c>
      <c r="G88" s="216" t="s">
        <v>36</v>
      </c>
      <c r="H88" s="208" t="s">
        <v>166</v>
      </c>
      <c r="I88" s="216" t="s">
        <v>155</v>
      </c>
      <c r="J88" s="216" t="s">
        <v>38</v>
      </c>
      <c r="K88" s="216" t="s">
        <v>156</v>
      </c>
      <c r="L88" s="208">
        <v>3</v>
      </c>
      <c r="N88" s="208">
        <v>3</v>
      </c>
      <c r="O88" s="208">
        <v>0.2</v>
      </c>
      <c r="P88" s="208">
        <v>0.2</v>
      </c>
      <c r="Q88" s="217">
        <f t="shared" si="5"/>
        <v>0.2</v>
      </c>
      <c r="R88" s="208">
        <v>15.8</v>
      </c>
      <c r="S88" s="208">
        <v>143</v>
      </c>
      <c r="T88" s="217">
        <f t="shared" si="1"/>
        <v>30</v>
      </c>
      <c r="U88" s="208">
        <v>486</v>
      </c>
      <c r="V88" s="217">
        <f t="shared" si="2"/>
        <v>4860</v>
      </c>
      <c r="W88" s="208">
        <v>5</v>
      </c>
      <c r="X88" s="216" t="s">
        <v>46</v>
      </c>
      <c r="Y88" s="216" t="s">
        <v>69</v>
      </c>
      <c r="Z88" s="216" t="s">
        <v>55</v>
      </c>
      <c r="AA88" s="216" t="s">
        <v>88</v>
      </c>
      <c r="AB88" s="216" t="s">
        <v>340</v>
      </c>
    </row>
    <row r="89" spans="1:28" x14ac:dyDescent="0.15">
      <c r="A89" s="216" t="s">
        <v>34</v>
      </c>
      <c r="B89" s="208" t="s">
        <v>338</v>
      </c>
      <c r="C89" s="208">
        <v>2018</v>
      </c>
      <c r="D89" s="250" t="s">
        <v>547</v>
      </c>
      <c r="E89" s="237" t="s">
        <v>328</v>
      </c>
      <c r="F89" s="237" t="s">
        <v>329</v>
      </c>
      <c r="G89" s="216" t="s">
        <v>36</v>
      </c>
      <c r="H89" s="208" t="s">
        <v>166</v>
      </c>
      <c r="I89" s="216" t="s">
        <v>158</v>
      </c>
      <c r="J89" s="216" t="s">
        <v>38</v>
      </c>
      <c r="K89" s="216" t="s">
        <v>156</v>
      </c>
      <c r="L89" s="216">
        <v>1</v>
      </c>
      <c r="N89" s="208">
        <v>3</v>
      </c>
      <c r="O89" s="208">
        <v>0.5</v>
      </c>
      <c r="P89" s="208">
        <v>0.2</v>
      </c>
      <c r="Q89" s="217">
        <f t="shared" si="5"/>
        <v>0.35</v>
      </c>
      <c r="R89" s="208">
        <v>15.5</v>
      </c>
      <c r="S89" s="208">
        <v>129</v>
      </c>
      <c r="T89" s="217">
        <f t="shared" si="1"/>
        <v>30</v>
      </c>
      <c r="U89" s="208">
        <v>537</v>
      </c>
      <c r="V89" s="217">
        <f t="shared" si="2"/>
        <v>5370</v>
      </c>
      <c r="W89" s="208">
        <v>5</v>
      </c>
      <c r="X89" s="216" t="s">
        <v>46</v>
      </c>
      <c r="Y89" s="216" t="s">
        <v>69</v>
      </c>
      <c r="Z89" s="216" t="s">
        <v>55</v>
      </c>
      <c r="AA89" s="216" t="s">
        <v>88</v>
      </c>
      <c r="AB89" s="216" t="s">
        <v>340</v>
      </c>
    </row>
    <row r="90" spans="1:28" x14ac:dyDescent="0.15">
      <c r="A90" s="216" t="s">
        <v>34</v>
      </c>
      <c r="B90" s="208" t="s">
        <v>338</v>
      </c>
      <c r="C90" s="208">
        <v>2018</v>
      </c>
      <c r="D90" s="250" t="s">
        <v>547</v>
      </c>
      <c r="E90" s="237" t="s">
        <v>328</v>
      </c>
      <c r="F90" s="237" t="s">
        <v>329</v>
      </c>
      <c r="G90" s="216" t="s">
        <v>36</v>
      </c>
      <c r="H90" s="208" t="s">
        <v>166</v>
      </c>
      <c r="I90" s="216" t="s">
        <v>158</v>
      </c>
      <c r="J90" s="216" t="s">
        <v>38</v>
      </c>
      <c r="K90" s="216" t="s">
        <v>156</v>
      </c>
      <c r="L90" s="208">
        <v>2</v>
      </c>
      <c r="N90" s="208">
        <v>3</v>
      </c>
      <c r="O90" s="208">
        <v>0.2</v>
      </c>
      <c r="P90" s="208">
        <v>0.2</v>
      </c>
      <c r="Q90" s="217">
        <f t="shared" si="5"/>
        <v>0.2</v>
      </c>
      <c r="R90" s="208">
        <v>15.4</v>
      </c>
      <c r="S90" s="208">
        <v>135</v>
      </c>
      <c r="T90" s="217">
        <f t="shared" si="1"/>
        <v>30</v>
      </c>
      <c r="U90" s="208">
        <v>537</v>
      </c>
      <c r="V90" s="217">
        <f t="shared" si="2"/>
        <v>5370</v>
      </c>
      <c r="W90" s="208">
        <v>5</v>
      </c>
      <c r="X90" s="216" t="s">
        <v>46</v>
      </c>
      <c r="Y90" s="216" t="s">
        <v>69</v>
      </c>
      <c r="Z90" s="216" t="s">
        <v>55</v>
      </c>
      <c r="AA90" s="216" t="s">
        <v>88</v>
      </c>
      <c r="AB90" s="216" t="s">
        <v>340</v>
      </c>
    </row>
    <row r="91" spans="1:28" x14ac:dyDescent="0.15">
      <c r="A91" s="216" t="s">
        <v>34</v>
      </c>
      <c r="B91" s="208" t="s">
        <v>338</v>
      </c>
      <c r="C91" s="208">
        <v>2018</v>
      </c>
      <c r="D91" s="250" t="s">
        <v>547</v>
      </c>
      <c r="E91" s="237" t="s">
        <v>328</v>
      </c>
      <c r="F91" s="237" t="s">
        <v>329</v>
      </c>
      <c r="G91" s="216" t="s">
        <v>36</v>
      </c>
      <c r="H91" s="208" t="s">
        <v>166</v>
      </c>
      <c r="I91" s="216" t="s">
        <v>158</v>
      </c>
      <c r="J91" s="216" t="s">
        <v>38</v>
      </c>
      <c r="K91" s="216" t="s">
        <v>156</v>
      </c>
      <c r="L91" s="208">
        <v>3</v>
      </c>
      <c r="N91" s="208">
        <v>3</v>
      </c>
      <c r="O91" s="208">
        <v>0.2</v>
      </c>
      <c r="P91" s="208">
        <v>0.2</v>
      </c>
      <c r="Q91" s="217">
        <f t="shared" si="5"/>
        <v>0.2</v>
      </c>
      <c r="R91" s="208">
        <v>16.100000000000001</v>
      </c>
      <c r="S91" s="208">
        <v>127</v>
      </c>
      <c r="T91" s="217">
        <f t="shared" si="1"/>
        <v>30</v>
      </c>
      <c r="U91" s="208">
        <v>537</v>
      </c>
      <c r="V91" s="217">
        <f t="shared" si="2"/>
        <v>5370</v>
      </c>
      <c r="W91" s="208">
        <v>5</v>
      </c>
      <c r="X91" s="216" t="s">
        <v>46</v>
      </c>
      <c r="Y91" s="216" t="s">
        <v>69</v>
      </c>
      <c r="Z91" s="216" t="s">
        <v>55</v>
      </c>
      <c r="AA91" s="216" t="s">
        <v>88</v>
      </c>
      <c r="AB91" s="216" t="s">
        <v>340</v>
      </c>
    </row>
    <row r="92" spans="1:28" x14ac:dyDescent="0.15">
      <c r="A92" s="216" t="s">
        <v>34</v>
      </c>
      <c r="B92" s="208" t="s">
        <v>338</v>
      </c>
      <c r="C92" s="208">
        <v>2018</v>
      </c>
      <c r="D92" s="250" t="s">
        <v>547</v>
      </c>
      <c r="E92" s="237" t="s">
        <v>205</v>
      </c>
      <c r="F92" s="237" t="s">
        <v>330</v>
      </c>
      <c r="G92" s="216" t="s">
        <v>36</v>
      </c>
      <c r="H92" s="208" t="s">
        <v>157</v>
      </c>
      <c r="I92" s="216" t="s">
        <v>155</v>
      </c>
      <c r="J92" s="216" t="s">
        <v>38</v>
      </c>
      <c r="K92" s="216" t="s">
        <v>156</v>
      </c>
      <c r="L92" s="216">
        <v>1</v>
      </c>
      <c r="N92" s="208">
        <v>1</v>
      </c>
      <c r="O92" s="208">
        <v>0.65</v>
      </c>
      <c r="P92" s="208">
        <v>0.55000000000000004</v>
      </c>
      <c r="Q92" s="217">
        <f t="shared" si="5"/>
        <v>0.60000000000000009</v>
      </c>
      <c r="R92" s="208">
        <v>16.5</v>
      </c>
      <c r="S92" s="208">
        <v>124</v>
      </c>
      <c r="T92" s="217">
        <f t="shared" si="1"/>
        <v>30</v>
      </c>
      <c r="U92" s="208">
        <v>105</v>
      </c>
      <c r="V92" s="217">
        <f t="shared" si="2"/>
        <v>3150</v>
      </c>
      <c r="W92" s="208">
        <v>3</v>
      </c>
      <c r="X92" s="216" t="s">
        <v>46</v>
      </c>
      <c r="Y92" s="216" t="s">
        <v>88</v>
      </c>
      <c r="Z92" s="216" t="s">
        <v>69</v>
      </c>
      <c r="AA92" s="216" t="s">
        <v>55</v>
      </c>
      <c r="AB92" s="216" t="s">
        <v>340</v>
      </c>
    </row>
    <row r="93" spans="1:28" x14ac:dyDescent="0.15">
      <c r="A93" s="216" t="s">
        <v>34</v>
      </c>
      <c r="B93" s="208" t="s">
        <v>338</v>
      </c>
      <c r="C93" s="208">
        <v>2018</v>
      </c>
      <c r="D93" s="250" t="s">
        <v>547</v>
      </c>
      <c r="E93" s="237" t="s">
        <v>205</v>
      </c>
      <c r="F93" s="237" t="s">
        <v>330</v>
      </c>
      <c r="G93" s="216" t="s">
        <v>36</v>
      </c>
      <c r="H93" s="208" t="s">
        <v>157</v>
      </c>
      <c r="I93" s="216" t="s">
        <v>155</v>
      </c>
      <c r="J93" s="216" t="s">
        <v>38</v>
      </c>
      <c r="K93" s="216" t="s">
        <v>156</v>
      </c>
      <c r="L93" s="208">
        <v>2</v>
      </c>
      <c r="N93" s="208">
        <v>1</v>
      </c>
      <c r="O93" s="208">
        <v>0.7</v>
      </c>
      <c r="P93" s="208">
        <v>0.75</v>
      </c>
      <c r="Q93" s="217">
        <f t="shared" si="5"/>
        <v>0.72499999999999998</v>
      </c>
      <c r="R93" s="208">
        <v>12.1</v>
      </c>
      <c r="S93" s="208">
        <v>131</v>
      </c>
      <c r="T93" s="217">
        <f t="shared" si="1"/>
        <v>30</v>
      </c>
      <c r="U93" s="208">
        <v>105</v>
      </c>
      <c r="V93" s="217">
        <f t="shared" si="2"/>
        <v>3150</v>
      </c>
      <c r="W93" s="208">
        <v>3</v>
      </c>
      <c r="X93" s="216" t="s">
        <v>46</v>
      </c>
      <c r="Y93" s="216" t="s">
        <v>88</v>
      </c>
      <c r="Z93" s="216" t="s">
        <v>69</v>
      </c>
      <c r="AA93" s="216" t="s">
        <v>55</v>
      </c>
      <c r="AB93" s="216" t="s">
        <v>340</v>
      </c>
    </row>
    <row r="94" spans="1:28" x14ac:dyDescent="0.15">
      <c r="A94" s="216" t="s">
        <v>34</v>
      </c>
      <c r="B94" s="208" t="s">
        <v>338</v>
      </c>
      <c r="C94" s="208">
        <v>2018</v>
      </c>
      <c r="D94" s="250" t="s">
        <v>547</v>
      </c>
      <c r="E94" s="237" t="s">
        <v>205</v>
      </c>
      <c r="F94" s="237" t="s">
        <v>330</v>
      </c>
      <c r="G94" s="216" t="s">
        <v>36</v>
      </c>
      <c r="H94" s="208" t="s">
        <v>157</v>
      </c>
      <c r="I94" s="216" t="s">
        <v>155</v>
      </c>
      <c r="J94" s="216" t="s">
        <v>38</v>
      </c>
      <c r="K94" s="216" t="s">
        <v>156</v>
      </c>
      <c r="L94" s="208">
        <v>3</v>
      </c>
      <c r="N94" s="208">
        <v>1</v>
      </c>
      <c r="O94" s="208">
        <v>0.55000000000000004</v>
      </c>
      <c r="P94" s="208">
        <v>0.55000000000000004</v>
      </c>
      <c r="Q94" s="217">
        <f t="shared" si="5"/>
        <v>0.55000000000000004</v>
      </c>
      <c r="R94" s="208">
        <v>14.5</v>
      </c>
      <c r="S94" s="208">
        <v>116</v>
      </c>
      <c r="T94" s="217">
        <f t="shared" si="1"/>
        <v>30</v>
      </c>
      <c r="U94" s="208">
        <v>105</v>
      </c>
      <c r="V94" s="217">
        <f t="shared" si="2"/>
        <v>3150</v>
      </c>
      <c r="W94" s="208">
        <v>3</v>
      </c>
      <c r="X94" s="216" t="s">
        <v>46</v>
      </c>
      <c r="Y94" s="216" t="s">
        <v>88</v>
      </c>
      <c r="Z94" s="216" t="s">
        <v>69</v>
      </c>
      <c r="AA94" s="216" t="s">
        <v>55</v>
      </c>
      <c r="AB94" s="216" t="s">
        <v>340</v>
      </c>
    </row>
    <row r="95" spans="1:28" x14ac:dyDescent="0.15">
      <c r="A95" s="216" t="s">
        <v>34</v>
      </c>
      <c r="B95" s="208" t="s">
        <v>338</v>
      </c>
      <c r="C95" s="208">
        <v>2018</v>
      </c>
      <c r="D95" s="250" t="s">
        <v>547</v>
      </c>
      <c r="E95" s="237" t="s">
        <v>205</v>
      </c>
      <c r="F95" s="237" t="s">
        <v>330</v>
      </c>
      <c r="G95" s="216" t="s">
        <v>36</v>
      </c>
      <c r="H95" s="208" t="s">
        <v>157</v>
      </c>
      <c r="I95" s="216" t="s">
        <v>155</v>
      </c>
      <c r="J95" s="216" t="s">
        <v>38</v>
      </c>
      <c r="K95" s="216" t="s">
        <v>156</v>
      </c>
      <c r="L95" s="216">
        <v>1</v>
      </c>
      <c r="N95" s="208">
        <v>5</v>
      </c>
      <c r="O95" s="208">
        <v>0.75</v>
      </c>
      <c r="P95" s="208">
        <v>0.8</v>
      </c>
      <c r="Q95" s="217">
        <f t="shared" si="5"/>
        <v>0.77500000000000002</v>
      </c>
      <c r="R95" s="208">
        <v>10.6</v>
      </c>
      <c r="S95" s="208">
        <v>89</v>
      </c>
      <c r="T95" s="217">
        <f t="shared" si="1"/>
        <v>36</v>
      </c>
      <c r="U95" s="208">
        <v>429</v>
      </c>
      <c r="V95" s="217">
        <f t="shared" si="2"/>
        <v>3088.7999999999997</v>
      </c>
      <c r="W95" s="208">
        <v>3</v>
      </c>
      <c r="X95" s="216" t="s">
        <v>46</v>
      </c>
      <c r="Y95" s="216" t="s">
        <v>88</v>
      </c>
      <c r="Z95" s="216" t="s">
        <v>69</v>
      </c>
      <c r="AA95" s="216" t="s">
        <v>55</v>
      </c>
      <c r="AB95" s="216" t="s">
        <v>340</v>
      </c>
    </row>
    <row r="96" spans="1:28" x14ac:dyDescent="0.15">
      <c r="A96" s="216" t="s">
        <v>34</v>
      </c>
      <c r="B96" s="208" t="s">
        <v>338</v>
      </c>
      <c r="C96" s="208">
        <v>2018</v>
      </c>
      <c r="D96" s="250" t="s">
        <v>547</v>
      </c>
      <c r="E96" s="237" t="s">
        <v>205</v>
      </c>
      <c r="F96" s="237" t="s">
        <v>330</v>
      </c>
      <c r="G96" s="216" t="s">
        <v>36</v>
      </c>
      <c r="H96" s="208" t="s">
        <v>157</v>
      </c>
      <c r="I96" s="216" t="s">
        <v>155</v>
      </c>
      <c r="J96" s="216" t="s">
        <v>38</v>
      </c>
      <c r="K96" s="216" t="s">
        <v>156</v>
      </c>
      <c r="L96" s="208">
        <v>2</v>
      </c>
      <c r="N96" s="208">
        <v>5</v>
      </c>
      <c r="O96" s="208">
        <v>0.6</v>
      </c>
      <c r="P96" s="208">
        <v>0.5</v>
      </c>
      <c r="Q96" s="217">
        <f t="shared" si="5"/>
        <v>0.55000000000000004</v>
      </c>
      <c r="R96" s="208">
        <v>9.6</v>
      </c>
      <c r="S96" s="208">
        <v>90</v>
      </c>
      <c r="T96" s="217">
        <f t="shared" si="1"/>
        <v>36</v>
      </c>
      <c r="U96" s="208">
        <v>429</v>
      </c>
      <c r="V96" s="217">
        <f t="shared" si="2"/>
        <v>3088.7999999999997</v>
      </c>
      <c r="W96" s="208">
        <v>3</v>
      </c>
      <c r="X96" s="216" t="s">
        <v>46</v>
      </c>
      <c r="Y96" s="216" t="s">
        <v>88</v>
      </c>
      <c r="Z96" s="216" t="s">
        <v>69</v>
      </c>
      <c r="AA96" s="216" t="s">
        <v>55</v>
      </c>
      <c r="AB96" s="216" t="s">
        <v>340</v>
      </c>
    </row>
    <row r="97" spans="1:28" x14ac:dyDescent="0.15">
      <c r="A97" s="216" t="s">
        <v>34</v>
      </c>
      <c r="B97" s="208" t="s">
        <v>338</v>
      </c>
      <c r="C97" s="208">
        <v>2018</v>
      </c>
      <c r="D97" s="250" t="s">
        <v>547</v>
      </c>
      <c r="E97" s="237" t="s">
        <v>205</v>
      </c>
      <c r="F97" s="237" t="s">
        <v>330</v>
      </c>
      <c r="G97" s="216" t="s">
        <v>36</v>
      </c>
      <c r="H97" s="208" t="s">
        <v>157</v>
      </c>
      <c r="I97" s="216" t="s">
        <v>155</v>
      </c>
      <c r="J97" s="216" t="s">
        <v>38</v>
      </c>
      <c r="K97" s="216" t="s">
        <v>156</v>
      </c>
      <c r="L97" s="208">
        <v>3</v>
      </c>
      <c r="N97" s="208">
        <v>5</v>
      </c>
      <c r="O97" s="208">
        <v>0.8</v>
      </c>
      <c r="P97" s="208">
        <v>0.7</v>
      </c>
      <c r="Q97" s="217">
        <f t="shared" si="5"/>
        <v>0.75</v>
      </c>
      <c r="R97" s="208">
        <v>11.4</v>
      </c>
      <c r="S97" s="208">
        <v>92</v>
      </c>
      <c r="T97" s="217">
        <f t="shared" si="1"/>
        <v>36</v>
      </c>
      <c r="U97" s="208">
        <v>429</v>
      </c>
      <c r="V97" s="217">
        <f t="shared" si="2"/>
        <v>3088.7999999999997</v>
      </c>
      <c r="W97" s="208">
        <v>3</v>
      </c>
      <c r="X97" s="216" t="s">
        <v>46</v>
      </c>
      <c r="Y97" s="216" t="s">
        <v>88</v>
      </c>
      <c r="Z97" s="216" t="s">
        <v>69</v>
      </c>
      <c r="AA97" s="216" t="s">
        <v>55</v>
      </c>
      <c r="AB97" s="216" t="s">
        <v>340</v>
      </c>
    </row>
    <row r="98" spans="1:28" x14ac:dyDescent="0.15">
      <c r="A98" s="216" t="s">
        <v>34</v>
      </c>
      <c r="B98" s="208" t="s">
        <v>338</v>
      </c>
      <c r="C98" s="208">
        <v>2018</v>
      </c>
      <c r="D98" s="250" t="s">
        <v>547</v>
      </c>
      <c r="E98" s="237" t="s">
        <v>205</v>
      </c>
      <c r="F98" s="237" t="s">
        <v>330</v>
      </c>
      <c r="G98" s="216" t="s">
        <v>36</v>
      </c>
      <c r="H98" s="208" t="s">
        <v>166</v>
      </c>
      <c r="I98" s="216" t="s">
        <v>155</v>
      </c>
      <c r="J98" s="216" t="s">
        <v>38</v>
      </c>
      <c r="K98" s="216" t="s">
        <v>156</v>
      </c>
      <c r="L98" s="216">
        <v>1</v>
      </c>
      <c r="N98" s="208">
        <v>1</v>
      </c>
      <c r="O98" s="208">
        <v>0.2</v>
      </c>
      <c r="P98" s="208">
        <v>0.2</v>
      </c>
      <c r="Q98" s="217">
        <f t="shared" si="5"/>
        <v>0.2</v>
      </c>
      <c r="R98" s="208">
        <v>14.5</v>
      </c>
      <c r="S98" s="208">
        <v>150</v>
      </c>
      <c r="T98" s="217">
        <f t="shared" si="1"/>
        <v>30</v>
      </c>
      <c r="U98" s="208">
        <v>170</v>
      </c>
      <c r="V98" s="217">
        <f t="shared" si="2"/>
        <v>5100</v>
      </c>
      <c r="W98" s="208">
        <v>3</v>
      </c>
      <c r="X98" s="216" t="s">
        <v>46</v>
      </c>
      <c r="Y98" s="216" t="s">
        <v>88</v>
      </c>
      <c r="Z98" s="216" t="s">
        <v>69</v>
      </c>
      <c r="AA98" s="216" t="s">
        <v>55</v>
      </c>
      <c r="AB98" s="216" t="s">
        <v>340</v>
      </c>
    </row>
    <row r="99" spans="1:28" x14ac:dyDescent="0.15">
      <c r="A99" s="216" t="s">
        <v>34</v>
      </c>
      <c r="B99" s="208" t="s">
        <v>338</v>
      </c>
      <c r="C99" s="208">
        <v>2018</v>
      </c>
      <c r="D99" s="250" t="s">
        <v>547</v>
      </c>
      <c r="E99" s="237" t="s">
        <v>205</v>
      </c>
      <c r="F99" s="237" t="s">
        <v>330</v>
      </c>
      <c r="G99" s="216" t="s">
        <v>36</v>
      </c>
      <c r="H99" s="208" t="s">
        <v>166</v>
      </c>
      <c r="I99" s="216" t="s">
        <v>155</v>
      </c>
      <c r="J99" s="216" t="s">
        <v>38</v>
      </c>
      <c r="K99" s="216" t="s">
        <v>156</v>
      </c>
      <c r="L99" s="208">
        <v>2</v>
      </c>
      <c r="N99" s="208">
        <v>1</v>
      </c>
      <c r="O99" s="208">
        <v>0.2</v>
      </c>
      <c r="P99" s="208">
        <v>0.5</v>
      </c>
      <c r="Q99" s="217">
        <f t="shared" si="5"/>
        <v>0.35</v>
      </c>
      <c r="R99" s="208">
        <v>17.399999999999999</v>
      </c>
      <c r="S99" s="208">
        <v>148</v>
      </c>
      <c r="T99" s="217">
        <f t="shared" si="1"/>
        <v>30</v>
      </c>
      <c r="U99" s="208">
        <v>170</v>
      </c>
      <c r="V99" s="217">
        <f t="shared" si="2"/>
        <v>5100</v>
      </c>
      <c r="W99" s="208">
        <v>3</v>
      </c>
      <c r="X99" s="216" t="s">
        <v>46</v>
      </c>
      <c r="Y99" s="216" t="s">
        <v>88</v>
      </c>
      <c r="Z99" s="216" t="s">
        <v>69</v>
      </c>
      <c r="AA99" s="216" t="s">
        <v>55</v>
      </c>
      <c r="AB99" s="216" t="s">
        <v>340</v>
      </c>
    </row>
    <row r="100" spans="1:28" x14ac:dyDescent="0.15">
      <c r="A100" s="216" t="s">
        <v>34</v>
      </c>
      <c r="B100" s="208" t="s">
        <v>338</v>
      </c>
      <c r="C100" s="208">
        <v>2018</v>
      </c>
      <c r="D100" s="250" t="s">
        <v>547</v>
      </c>
      <c r="E100" s="237" t="s">
        <v>205</v>
      </c>
      <c r="F100" s="237" t="s">
        <v>330</v>
      </c>
      <c r="G100" s="216" t="s">
        <v>36</v>
      </c>
      <c r="H100" s="208" t="s">
        <v>166</v>
      </c>
      <c r="I100" s="216" t="s">
        <v>155</v>
      </c>
      <c r="J100" s="216" t="s">
        <v>38</v>
      </c>
      <c r="K100" s="216" t="s">
        <v>156</v>
      </c>
      <c r="L100" s="208">
        <v>3</v>
      </c>
      <c r="N100" s="208">
        <v>1</v>
      </c>
      <c r="O100" s="208">
        <v>0.45</v>
      </c>
      <c r="P100" s="208">
        <v>0.5</v>
      </c>
      <c r="Q100" s="217">
        <f t="shared" si="5"/>
        <v>0.47499999999999998</v>
      </c>
      <c r="R100" s="208">
        <v>16.600000000000001</v>
      </c>
      <c r="S100" s="208">
        <v>157</v>
      </c>
      <c r="T100" s="217">
        <f t="shared" si="1"/>
        <v>18</v>
      </c>
      <c r="U100" s="208">
        <v>170</v>
      </c>
      <c r="V100" s="217">
        <f t="shared" si="2"/>
        <v>3060</v>
      </c>
      <c r="W100" s="208">
        <v>3</v>
      </c>
      <c r="X100" s="216" t="s">
        <v>46</v>
      </c>
      <c r="Y100" s="216" t="s">
        <v>88</v>
      </c>
      <c r="Z100" s="216" t="s">
        <v>69</v>
      </c>
      <c r="AA100" s="216" t="s">
        <v>55</v>
      </c>
      <c r="AB100" s="216" t="s">
        <v>340</v>
      </c>
    </row>
    <row r="101" spans="1:28" x14ac:dyDescent="0.15">
      <c r="K101" s="216"/>
    </row>
    <row r="102" spans="1:28" x14ac:dyDescent="0.15">
      <c r="K102" s="216"/>
    </row>
    <row r="103" spans="1:28" x14ac:dyDescent="0.15">
      <c r="K103" s="216"/>
    </row>
    <row r="104" spans="1:28" x14ac:dyDescent="0.15">
      <c r="K104" s="216"/>
    </row>
    <row r="105" spans="1:28" x14ac:dyDescent="0.15">
      <c r="K105" s="216"/>
    </row>
    <row r="106" spans="1:28" x14ac:dyDescent="0.15">
      <c r="K106" s="216"/>
    </row>
    <row r="107" spans="1:28" x14ac:dyDescent="0.15">
      <c r="K107" s="216"/>
    </row>
    <row r="108" spans="1:28" x14ac:dyDescent="0.15">
      <c r="K108" s="216"/>
    </row>
    <row r="109" spans="1:28" x14ac:dyDescent="0.15">
      <c r="K109" s="216"/>
    </row>
    <row r="110" spans="1:28" x14ac:dyDescent="0.15">
      <c r="K110" s="216"/>
    </row>
    <row r="111" spans="1:28" x14ac:dyDescent="0.15">
      <c r="K111" s="216"/>
    </row>
    <row r="112" spans="1:28"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row r="753" spans="11:11" x14ac:dyDescent="0.15">
      <c r="K753" s="216"/>
    </row>
    <row r="754" spans="11:11" x14ac:dyDescent="0.15">
      <c r="K754" s="216"/>
    </row>
    <row r="755" spans="11:11" x14ac:dyDescent="0.15">
      <c r="K755" s="216"/>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4D550E-A212-40BD-948E-3CC3FAC5E237}"/>
</file>

<file path=customXml/itemProps2.xml><?xml version="1.0" encoding="utf-8"?>
<ds:datastoreItem xmlns:ds="http://schemas.openxmlformats.org/officeDocument/2006/customXml" ds:itemID="{EAC3A75C-06A3-491D-AEBB-B711CD55D749}"/>
</file>

<file path=customXml/itemProps3.xml><?xml version="1.0" encoding="utf-8"?>
<ds:datastoreItem xmlns:ds="http://schemas.openxmlformats.org/officeDocument/2006/customXml" ds:itemID="{EED2B2F7-ED14-4CDA-B0A9-9831B13258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2018-08-10T07:32:55Z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